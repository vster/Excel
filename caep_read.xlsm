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_СП_СИ_СО\_2024\20240920_IPтел_develop\"/>
    </mc:Choice>
  </mc:AlternateContent>
  <bookViews>
    <workbookView xWindow="0" yWindow="0" windowWidth="22590" windowHeight="10695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" i="1" l="1"/>
  <c r="C61" i="1"/>
  <c r="C24" i="1"/>
  <c r="C34" i="1"/>
  <c r="C48" i="1"/>
  <c r="C45" i="1"/>
  <c r="C25" i="1"/>
  <c r="C31" i="1"/>
  <c r="C47" i="1"/>
  <c r="C60" i="1"/>
  <c r="C26" i="1"/>
  <c r="C4" i="1"/>
  <c r="C28" i="1"/>
  <c r="C40" i="1"/>
  <c r="C56" i="1"/>
  <c r="C8" i="1"/>
  <c r="C19" i="1"/>
  <c r="C2" i="1"/>
  <c r="C55" i="1"/>
  <c r="C32" i="1"/>
  <c r="C21" i="1"/>
  <c r="C17" i="1"/>
  <c r="C65" i="1"/>
  <c r="C33" i="1"/>
  <c r="C23" i="1"/>
  <c r="C59" i="1"/>
  <c r="C44" i="1"/>
  <c r="C27" i="1"/>
  <c r="C5" i="1"/>
  <c r="C42" i="1"/>
  <c r="C43" i="1"/>
  <c r="C12" i="1"/>
  <c r="C6" i="1"/>
  <c r="C41" i="1"/>
  <c r="C58" i="1"/>
  <c r="C7" i="1"/>
  <c r="C13" i="1"/>
  <c r="C3" i="1"/>
  <c r="C57" i="1"/>
  <c r="C20" i="1"/>
  <c r="C50" i="1"/>
  <c r="C49" i="1"/>
  <c r="C54" i="1"/>
  <c r="C39" i="1"/>
  <c r="C29" i="1"/>
  <c r="C9" i="1"/>
  <c r="C37" i="1"/>
  <c r="C38" i="1"/>
  <c r="C14" i="1"/>
  <c r="C10" i="1"/>
  <c r="C69" i="1"/>
  <c r="C36" i="1"/>
  <c r="C68" i="1"/>
  <c r="C30" i="1"/>
  <c r="C11" i="1"/>
  <c r="C67" i="1"/>
  <c r="C63" i="1"/>
  <c r="C52" i="1"/>
  <c r="C15" i="1"/>
  <c r="C51" i="1"/>
  <c r="C16" i="1"/>
  <c r="C66" i="1"/>
  <c r="C1" i="1"/>
  <c r="C53" i="1"/>
  <c r="C62" i="1"/>
  <c r="C22" i="1"/>
  <c r="C46" i="1"/>
  <c r="C18" i="1"/>
  <c r="D18" i="1" l="1"/>
  <c r="D46" i="1"/>
  <c r="D22" i="1"/>
  <c r="D62" i="1"/>
  <c r="D53" i="1"/>
  <c r="D1" i="1"/>
  <c r="D66" i="1"/>
  <c r="D16" i="1"/>
  <c r="D51" i="1"/>
  <c r="D15" i="1"/>
  <c r="D52" i="1"/>
  <c r="D63" i="1"/>
  <c r="D67" i="1"/>
  <c r="D11" i="1"/>
  <c r="D30" i="1"/>
  <c r="D68" i="1"/>
  <c r="D36" i="1"/>
  <c r="D69" i="1"/>
  <c r="D10" i="1"/>
  <c r="D14" i="1"/>
  <c r="D38" i="1"/>
  <c r="D37" i="1"/>
  <c r="D9" i="1"/>
  <c r="D29" i="1"/>
  <c r="D39" i="1"/>
  <c r="D54" i="1"/>
  <c r="D49" i="1"/>
  <c r="D50" i="1"/>
  <c r="D20" i="1"/>
  <c r="D57" i="1"/>
  <c r="D3" i="1"/>
  <c r="D13" i="1"/>
  <c r="D7" i="1"/>
  <c r="D58" i="1"/>
  <c r="D41" i="1"/>
  <c r="D6" i="1"/>
  <c r="D12" i="1"/>
  <c r="D43" i="1"/>
  <c r="D42" i="1"/>
  <c r="D5" i="1"/>
  <c r="D27" i="1"/>
  <c r="D44" i="1"/>
  <c r="D59" i="1"/>
  <c r="D23" i="1"/>
  <c r="D33" i="1"/>
  <c r="D65" i="1"/>
  <c r="D17" i="1"/>
  <c r="D21" i="1"/>
  <c r="D32" i="1"/>
  <c r="D55" i="1"/>
  <c r="D2" i="1"/>
  <c r="D19" i="1"/>
  <c r="D8" i="1"/>
  <c r="D56" i="1"/>
  <c r="D40" i="1"/>
  <c r="D28" i="1"/>
  <c r="D4" i="1"/>
  <c r="D26" i="1"/>
  <c r="D60" i="1"/>
  <c r="D47" i="1"/>
  <c r="D31" i="1"/>
  <c r="D25" i="1"/>
  <c r="D45" i="1"/>
  <c r="D48" i="1"/>
  <c r="D34" i="1"/>
  <c r="D24" i="1"/>
  <c r="D61" i="1"/>
  <c r="D64" i="1"/>
</calcChain>
</file>

<file path=xl/sharedStrings.xml><?xml version="1.0" encoding="utf-8"?>
<sst xmlns="http://schemas.openxmlformats.org/spreadsheetml/2006/main" count="68" uniqueCount="68">
  <si>
    <t>74.17n</t>
  </si>
  <si>
    <t>58.42n</t>
  </si>
  <si>
    <t>111.04n</t>
  </si>
  <si>
    <t>55.03n</t>
  </si>
  <si>
    <t>119.81n</t>
  </si>
  <si>
    <t>53.66n</t>
  </si>
  <si>
    <t>33.13n</t>
  </si>
  <si>
    <t>145.54n</t>
  </si>
  <si>
    <t>61.94n</t>
  </si>
  <si>
    <t>42.46n</t>
  </si>
  <si>
    <t>73.27n</t>
  </si>
  <si>
    <t>66.37n</t>
  </si>
  <si>
    <t>77.81n</t>
  </si>
  <si>
    <t>38.65n</t>
  </si>
  <si>
    <t>79.69n</t>
  </si>
  <si>
    <t>26.31n</t>
  </si>
  <si>
    <t>96.91n</t>
  </si>
  <si>
    <t>51.92n</t>
  </si>
  <si>
    <t>94.22n</t>
  </si>
  <si>
    <t>62.32n</t>
  </si>
  <si>
    <t>74.36n</t>
  </si>
  <si>
    <t>84.14n</t>
  </si>
  <si>
    <t>79.52n</t>
  </si>
  <si>
    <t>93.12n</t>
  </si>
  <si>
    <t>128.19n</t>
  </si>
  <si>
    <t>68.89n</t>
  </si>
  <si>
    <t>111.45n</t>
  </si>
  <si>
    <t>23.34n</t>
  </si>
  <si>
    <t>91.52n</t>
  </si>
  <si>
    <t>101.18n</t>
  </si>
  <si>
    <t>124.9n</t>
  </si>
  <si>
    <t>77.14n</t>
  </si>
  <si>
    <t>64.42n</t>
  </si>
  <si>
    <t>50.66n</t>
  </si>
  <si>
    <t>83.69n</t>
  </si>
  <si>
    <t>87.52n</t>
  </si>
  <si>
    <t>159.94n</t>
  </si>
  <si>
    <t>105.88n</t>
  </si>
  <si>
    <t>161.2n</t>
  </si>
  <si>
    <t>84.38n</t>
  </si>
  <si>
    <t>112.07n</t>
  </si>
  <si>
    <t>64.67n</t>
  </si>
  <si>
    <t>128.26n</t>
  </si>
  <si>
    <t>160.84n</t>
  </si>
  <si>
    <t>142.39n</t>
  </si>
  <si>
    <t>106.65n</t>
  </si>
  <si>
    <t>130.24n</t>
  </si>
  <si>
    <t>119.44n</t>
  </si>
  <si>
    <t>328.96n</t>
  </si>
  <si>
    <t>274.29n</t>
  </si>
  <si>
    <t>165.81n</t>
  </si>
  <si>
    <t>290.83n</t>
  </si>
  <si>
    <t>424.39n</t>
  </si>
  <si>
    <t>308.9n</t>
  </si>
  <si>
    <t>187.51n</t>
  </si>
  <si>
    <t>258.19n</t>
  </si>
  <si>
    <t>934.37n</t>
  </si>
  <si>
    <t>308.05n</t>
  </si>
  <si>
    <t>657.08n</t>
  </si>
  <si>
    <t>383n</t>
  </si>
  <si>
    <t>201.89n</t>
  </si>
  <si>
    <t>435.41n</t>
  </si>
  <si>
    <t>1.35u</t>
  </si>
  <si>
    <t>385.31n</t>
  </si>
  <si>
    <t>769.44n</t>
  </si>
  <si>
    <t>464.11n</t>
  </si>
  <si>
    <t>719.1n</t>
  </si>
  <si>
    <t>437.99n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</si>
</sst>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164" fontId="0" fillId="0" borderId="0" xfId="0" applyNumberFormat="1" applyBorder="1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Лист1!$A$1:$A$34</c:f>
              <c:numCache>
                <c:formatCode>General</c:formatCode>
                <c:ptCount val="34"/>
                <c:pt idx="0">
                  <c:v>175</c:v>
                </c:pt>
                <c:pt idx="1">
                  <c:v>225</c:v>
                </c:pt>
                <c:pt idx="2">
                  <c:v>275</c:v>
                </c:pt>
                <c:pt idx="3">
                  <c:v>325</c:v>
                </c:pt>
                <c:pt idx="4">
                  <c:v>375</c:v>
                </c:pt>
                <c:pt idx="5">
                  <c:v>425</c:v>
                </c:pt>
                <c:pt idx="6">
                  <c:v>475</c:v>
                </c:pt>
                <c:pt idx="7">
                  <c:v>575</c:v>
                </c:pt>
                <c:pt idx="8">
                  <c:v>625</c:v>
                </c:pt>
                <c:pt idx="9">
                  <c:v>675</c:v>
                </c:pt>
                <c:pt idx="10">
                  <c:v>875</c:v>
                </c:pt>
                <c:pt idx="11">
                  <c:v>975</c:v>
                </c:pt>
                <c:pt idx="12">
                  <c:v>1075</c:v>
                </c:pt>
                <c:pt idx="13">
                  <c:v>1175</c:v>
                </c:pt>
                <c:pt idx="14">
                  <c:v>1275</c:v>
                </c:pt>
                <c:pt idx="15">
                  <c:v>1375</c:v>
                </c:pt>
                <c:pt idx="16">
                  <c:v>1425</c:v>
                </c:pt>
                <c:pt idx="17">
                  <c:v>1625</c:v>
                </c:pt>
                <c:pt idx="18">
                  <c:v>1825</c:v>
                </c:pt>
                <c:pt idx="19">
                  <c:v>2125</c:v>
                </c:pt>
                <c:pt idx="20">
                  <c:v>2425</c:v>
                </c:pt>
                <c:pt idx="21">
                  <c:v>2775</c:v>
                </c:pt>
                <c:pt idx="22">
                  <c:v>2825</c:v>
                </c:pt>
                <c:pt idx="23">
                  <c:v>3425</c:v>
                </c:pt>
                <c:pt idx="24">
                  <c:v>4025</c:v>
                </c:pt>
                <c:pt idx="25">
                  <c:v>4625</c:v>
                </c:pt>
                <c:pt idx="26">
                  <c:v>5225</c:v>
                </c:pt>
                <c:pt idx="27">
                  <c:v>5625</c:v>
                </c:pt>
                <c:pt idx="28">
                  <c:v>6025</c:v>
                </c:pt>
                <c:pt idx="29">
                  <c:v>7025</c:v>
                </c:pt>
                <c:pt idx="30">
                  <c:v>8025</c:v>
                </c:pt>
                <c:pt idx="31">
                  <c:v>9025</c:v>
                </c:pt>
                <c:pt idx="32">
                  <c:v>10025</c:v>
                </c:pt>
                <c:pt idx="33">
                  <c:v>11025</c:v>
                </c:pt>
              </c:numCache>
            </c:numRef>
          </c:xVal>
          <c:yVal>
            <c:numRef>
              <c:f>Лист1!$D$1:$D$34</c:f>
              <c:numCache>
                <c:formatCode>0.0</c:formatCode>
                <c:ptCount val="34"/>
                <c:pt idx="0">
                  <c:v>-19.100000000000001</c:v>
                </c:pt>
                <c:pt idx="1">
                  <c:v>-18.399999999999999</c:v>
                </c:pt>
                <c:pt idx="2">
                  <c:v>-25.4</c:v>
                </c:pt>
                <c:pt idx="3">
                  <c:v>-16.7</c:v>
                </c:pt>
                <c:pt idx="4">
                  <c:v>-24.2</c:v>
                </c:pt>
                <c:pt idx="5">
                  <c:v>-22.7</c:v>
                </c:pt>
                <c:pt idx="6">
                  <c:v>-22.2</c:v>
                </c:pt>
                <c:pt idx="7">
                  <c:v>-22</c:v>
                </c:pt>
                <c:pt idx="8">
                  <c:v>-20.3</c:v>
                </c:pt>
                <c:pt idx="9">
                  <c:v>-20.5</c:v>
                </c:pt>
                <c:pt idx="10">
                  <c:v>-22.6</c:v>
                </c:pt>
                <c:pt idx="11">
                  <c:v>-22</c:v>
                </c:pt>
                <c:pt idx="12">
                  <c:v>-17.8</c:v>
                </c:pt>
                <c:pt idx="13">
                  <c:v>-19.100000000000001</c:v>
                </c:pt>
                <c:pt idx="14">
                  <c:v>-20.8</c:v>
                </c:pt>
                <c:pt idx="15">
                  <c:v>-18.100000000000001</c:v>
                </c:pt>
                <c:pt idx="16">
                  <c:v>-23.8</c:v>
                </c:pt>
                <c:pt idx="17">
                  <c:v>-21.5</c:v>
                </c:pt>
                <c:pt idx="18">
                  <c:v>-15.9</c:v>
                </c:pt>
                <c:pt idx="19">
                  <c:v>-15.9</c:v>
                </c:pt>
                <c:pt idx="20">
                  <c:v>-19</c:v>
                </c:pt>
                <c:pt idx="21">
                  <c:v>-17.8</c:v>
                </c:pt>
                <c:pt idx="22">
                  <c:v>-16.899999999999999</c:v>
                </c:pt>
                <c:pt idx="23">
                  <c:v>-17.7</c:v>
                </c:pt>
                <c:pt idx="24">
                  <c:v>-9.6999999999999993</c:v>
                </c:pt>
                <c:pt idx="25">
                  <c:v>-15.6</c:v>
                </c:pt>
                <c:pt idx="26">
                  <c:v>-7.4</c:v>
                </c:pt>
                <c:pt idx="27">
                  <c:v>-14.5</c:v>
                </c:pt>
                <c:pt idx="28">
                  <c:v>-0.6</c:v>
                </c:pt>
                <c:pt idx="29">
                  <c:v>-3.6</c:v>
                </c:pt>
                <c:pt idx="30">
                  <c:v>-13.9</c:v>
                </c:pt>
                <c:pt idx="31">
                  <c:v>2.6</c:v>
                </c:pt>
                <c:pt idx="32">
                  <c:v>-2.2999999999999998</c:v>
                </c:pt>
                <c:pt idx="33">
                  <c:v>-2.9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7A-475F-9261-9A321B0DCCE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Лист1!$A$1:$A$34</c:f>
              <c:numCache>
                <c:formatCode>General</c:formatCode>
                <c:ptCount val="34"/>
                <c:pt idx="0">
                  <c:v>175</c:v>
                </c:pt>
                <c:pt idx="1">
                  <c:v>225</c:v>
                </c:pt>
                <c:pt idx="2">
                  <c:v>275</c:v>
                </c:pt>
                <c:pt idx="3">
                  <c:v>325</c:v>
                </c:pt>
                <c:pt idx="4">
                  <c:v>375</c:v>
                </c:pt>
                <c:pt idx="5">
                  <c:v>425</c:v>
                </c:pt>
                <c:pt idx="6">
                  <c:v>475</c:v>
                </c:pt>
                <c:pt idx="7">
                  <c:v>575</c:v>
                </c:pt>
                <c:pt idx="8">
                  <c:v>625</c:v>
                </c:pt>
                <c:pt idx="9">
                  <c:v>675</c:v>
                </c:pt>
                <c:pt idx="10">
                  <c:v>875</c:v>
                </c:pt>
                <c:pt idx="11">
                  <c:v>975</c:v>
                </c:pt>
                <c:pt idx="12">
                  <c:v>1075</c:v>
                </c:pt>
                <c:pt idx="13">
                  <c:v>1175</c:v>
                </c:pt>
                <c:pt idx="14">
                  <c:v>1275</c:v>
                </c:pt>
                <c:pt idx="15">
                  <c:v>1375</c:v>
                </c:pt>
                <c:pt idx="16">
                  <c:v>1425</c:v>
                </c:pt>
                <c:pt idx="17">
                  <c:v>1625</c:v>
                </c:pt>
                <c:pt idx="18">
                  <c:v>1825</c:v>
                </c:pt>
                <c:pt idx="19">
                  <c:v>2125</c:v>
                </c:pt>
                <c:pt idx="20">
                  <c:v>2425</c:v>
                </c:pt>
                <c:pt idx="21">
                  <c:v>2775</c:v>
                </c:pt>
                <c:pt idx="22">
                  <c:v>2825</c:v>
                </c:pt>
                <c:pt idx="23">
                  <c:v>3425</c:v>
                </c:pt>
                <c:pt idx="24">
                  <c:v>4025</c:v>
                </c:pt>
                <c:pt idx="25">
                  <c:v>4625</c:v>
                </c:pt>
                <c:pt idx="26">
                  <c:v>5225</c:v>
                </c:pt>
                <c:pt idx="27">
                  <c:v>5625</c:v>
                </c:pt>
                <c:pt idx="28">
                  <c:v>6025</c:v>
                </c:pt>
                <c:pt idx="29">
                  <c:v>7025</c:v>
                </c:pt>
                <c:pt idx="30">
                  <c:v>8025</c:v>
                </c:pt>
                <c:pt idx="31">
                  <c:v>9025</c:v>
                </c:pt>
                <c:pt idx="32">
                  <c:v>10025</c:v>
                </c:pt>
                <c:pt idx="33">
                  <c:v>11025</c:v>
                </c:pt>
              </c:numCache>
            </c:numRef>
          </c:xVal>
          <c:yVal>
            <c:numRef>
              <c:f>Лист1!$D$36:$D$69</c:f>
              <c:numCache>
                <c:formatCode>0.0</c:formatCode>
                <c:ptCount val="34"/>
                <c:pt idx="0">
                  <c:v>-25.2</c:v>
                </c:pt>
                <c:pt idx="1">
                  <c:v>-24.7</c:v>
                </c:pt>
                <c:pt idx="2">
                  <c:v>-29.6</c:v>
                </c:pt>
                <c:pt idx="3">
                  <c:v>-22.6</c:v>
                </c:pt>
                <c:pt idx="4">
                  <c:v>-27.4</c:v>
                </c:pt>
                <c:pt idx="5">
                  <c:v>-23.6</c:v>
                </c:pt>
                <c:pt idx="6">
                  <c:v>-28.3</c:v>
                </c:pt>
                <c:pt idx="7">
                  <c:v>-31.6</c:v>
                </c:pt>
                <c:pt idx="8">
                  <c:v>-25.7</c:v>
                </c:pt>
                <c:pt idx="9">
                  <c:v>-24.1</c:v>
                </c:pt>
                <c:pt idx="10">
                  <c:v>-21.5</c:v>
                </c:pt>
                <c:pt idx="11">
                  <c:v>-20.6</c:v>
                </c:pt>
                <c:pt idx="12">
                  <c:v>-23.2</c:v>
                </c:pt>
                <c:pt idx="13">
                  <c:v>-32.6</c:v>
                </c:pt>
                <c:pt idx="14">
                  <c:v>-19.899999999999999</c:v>
                </c:pt>
                <c:pt idx="15">
                  <c:v>-22.3</c:v>
                </c:pt>
                <c:pt idx="16">
                  <c:v>-25.9</c:v>
                </c:pt>
                <c:pt idx="17">
                  <c:v>-21.2</c:v>
                </c:pt>
                <c:pt idx="18">
                  <c:v>-19.5</c:v>
                </c:pt>
                <c:pt idx="19">
                  <c:v>-21.5</c:v>
                </c:pt>
                <c:pt idx="20">
                  <c:v>-23.8</c:v>
                </c:pt>
                <c:pt idx="21">
                  <c:v>-15.9</c:v>
                </c:pt>
                <c:pt idx="22">
                  <c:v>-19.399999999999999</c:v>
                </c:pt>
                <c:pt idx="23">
                  <c:v>-18.5</c:v>
                </c:pt>
                <c:pt idx="24">
                  <c:v>-11.2</c:v>
                </c:pt>
                <c:pt idx="25">
                  <c:v>-10.7</c:v>
                </c:pt>
                <c:pt idx="26">
                  <c:v>-10.199999999999999</c:v>
                </c:pt>
                <c:pt idx="27">
                  <c:v>-11.8</c:v>
                </c:pt>
                <c:pt idx="28">
                  <c:v>-10.199999999999999</c:v>
                </c:pt>
                <c:pt idx="29">
                  <c:v>-8.3000000000000007</c:v>
                </c:pt>
                <c:pt idx="30">
                  <c:v>-7.2</c:v>
                </c:pt>
                <c:pt idx="31">
                  <c:v>-8.3000000000000007</c:v>
                </c:pt>
                <c:pt idx="32">
                  <c:v>-6.7</c:v>
                </c:pt>
                <c:pt idx="33">
                  <c:v>-7.2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7A-475F-9261-9A321B0DC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479168"/>
        <c:axId val="605484416"/>
      </c:scatterChart>
      <c:valAx>
        <c:axId val="60547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5484416"/>
        <c:crosses val="autoZero"/>
        <c:crossBetween val="midCat"/>
      </c:valAx>
      <c:valAx>
        <c:axId val="6054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547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2</xdr:row>
      <xdr:rowOff>119061</xdr:rowOff>
    </xdr:from>
    <xdr:to>
      <xdr:col>15</xdr:col>
      <xdr:colOff>114300</xdr:colOff>
      <xdr:row>21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69"/>
  <sheetViews>
    <sheetView tabSelected="1" workbookViewId="0">
      <selection activeCell="F11" sqref="F11"/>
    </sheetView>
  </sheetViews>
  <sheetFormatPr defaultRowHeight="15" x14ac:dyDescent="0.25"/>
  <cols>
    <col min="1" max="1" width="6" style="1" bestFit="1" customWidth="1"/>
    <col min="2" max="2" width="10.28515625" style="1" customWidth="1"/>
    <col min="3" max="3" width="13.42578125" style="2" customWidth="1"/>
    <col min="4" max="4" width="8.85546875" style="1" customWidth="1"/>
    <col min="6" max="6" width="9.42578125" customWidth="1"/>
  </cols>
  <sheetData>
    <row r="1" spans="1:4" x14ac:dyDescent="0.25">
      <c r="A1" s="1">
        <v>175</v>
      </c>
      <c r="B1" s="1" t="s">
        <v>2</v>
      </c>
      <c r="C1" s="2">
        <f>str2val(B1)</f>
        <v>111.04</v>
      </c>
      <c r="D1" s="3">
        <f>ROUND(20*LOG10(C1/1000),1)</f>
        <v>-19.100000000000001</v>
      </c>
    </row>
    <row r="2" spans="1:4" x14ac:dyDescent="0.25">
      <c r="A2" s="1">
        <v>225</v>
      </c>
      <c r="B2" s="1" t="s">
        <v>4</v>
      </c>
      <c r="C2" s="2">
        <f t="shared" ref="C2:C34" si="0">str2val(B2)</f>
        <v>119.81</v>
      </c>
      <c r="D2" s="3">
        <f t="shared" ref="D2:D34" si="1">ROUND(20*LOG10(C2/1000),1)</f>
        <v>-18.399999999999999</v>
      </c>
    </row>
    <row r="3" spans="1:4" x14ac:dyDescent="0.25">
      <c r="A3" s="1">
        <v>275</v>
      </c>
      <c r="B3" s="1" t="s">
        <v>5</v>
      </c>
      <c r="C3" s="2">
        <f t="shared" si="0"/>
        <v>53.66</v>
      </c>
      <c r="D3" s="3">
        <f t="shared" si="1"/>
        <v>-25.4</v>
      </c>
    </row>
    <row r="4" spans="1:4" x14ac:dyDescent="0.25">
      <c r="A4" s="1">
        <v>325</v>
      </c>
      <c r="B4" s="1" t="s">
        <v>7</v>
      </c>
      <c r="C4" s="2">
        <f t="shared" si="0"/>
        <v>145.54</v>
      </c>
      <c r="D4" s="3">
        <f t="shared" si="1"/>
        <v>-16.7</v>
      </c>
    </row>
    <row r="5" spans="1:4" x14ac:dyDescent="0.25">
      <c r="A5" s="1">
        <v>375</v>
      </c>
      <c r="B5" s="1" t="s">
        <v>8</v>
      </c>
      <c r="C5" s="2">
        <f t="shared" si="0"/>
        <v>61.94</v>
      </c>
      <c r="D5" s="3">
        <f t="shared" si="1"/>
        <v>-24.2</v>
      </c>
    </row>
    <row r="6" spans="1:4" x14ac:dyDescent="0.25">
      <c r="A6" s="1">
        <v>425</v>
      </c>
      <c r="B6" s="1" t="s">
        <v>10</v>
      </c>
      <c r="C6" s="2">
        <f t="shared" si="0"/>
        <v>73.27</v>
      </c>
      <c r="D6" s="3">
        <f t="shared" si="1"/>
        <v>-22.7</v>
      </c>
    </row>
    <row r="7" spans="1:4" x14ac:dyDescent="0.25">
      <c r="A7" s="1">
        <v>475</v>
      </c>
      <c r="B7" s="1" t="s">
        <v>12</v>
      </c>
      <c r="C7" s="2">
        <f t="shared" si="0"/>
        <v>77.81</v>
      </c>
      <c r="D7" s="3">
        <f t="shared" si="1"/>
        <v>-22.2</v>
      </c>
    </row>
    <row r="8" spans="1:4" x14ac:dyDescent="0.25">
      <c r="A8" s="1">
        <v>575</v>
      </c>
      <c r="B8" s="1" t="s">
        <v>14</v>
      </c>
      <c r="C8" s="2">
        <f t="shared" si="0"/>
        <v>79.69</v>
      </c>
      <c r="D8" s="3">
        <f t="shared" si="1"/>
        <v>-22</v>
      </c>
    </row>
    <row r="9" spans="1:4" x14ac:dyDescent="0.25">
      <c r="A9" s="1">
        <v>625</v>
      </c>
      <c r="B9" s="1" t="s">
        <v>16</v>
      </c>
      <c r="C9" s="2">
        <f t="shared" si="0"/>
        <v>96.91</v>
      </c>
      <c r="D9" s="3">
        <f t="shared" si="1"/>
        <v>-20.3</v>
      </c>
    </row>
    <row r="10" spans="1:4" x14ac:dyDescent="0.25">
      <c r="A10" s="1">
        <v>675</v>
      </c>
      <c r="B10" s="1" t="s">
        <v>18</v>
      </c>
      <c r="C10" s="2">
        <f t="shared" si="0"/>
        <v>94.22</v>
      </c>
      <c r="D10" s="3">
        <f t="shared" si="1"/>
        <v>-20.5</v>
      </c>
    </row>
    <row r="11" spans="1:4" x14ac:dyDescent="0.25">
      <c r="A11" s="1">
        <v>875</v>
      </c>
      <c r="B11" s="1" t="s">
        <v>20</v>
      </c>
      <c r="C11" s="2">
        <f t="shared" si="0"/>
        <v>74.36</v>
      </c>
      <c r="D11" s="3">
        <f t="shared" si="1"/>
        <v>-22.6</v>
      </c>
    </row>
    <row r="12" spans="1:4" x14ac:dyDescent="0.25">
      <c r="A12" s="1">
        <v>975</v>
      </c>
      <c r="B12" s="1" t="s">
        <v>22</v>
      </c>
      <c r="C12" s="2">
        <f t="shared" si="0"/>
        <v>79.52</v>
      </c>
      <c r="D12" s="3">
        <f t="shared" si="1"/>
        <v>-22</v>
      </c>
    </row>
    <row r="13" spans="1:4" x14ac:dyDescent="0.25">
      <c r="A13" s="1">
        <v>1075</v>
      </c>
      <c r="B13" s="1" t="s">
        <v>24</v>
      </c>
      <c r="C13" s="2">
        <f t="shared" si="0"/>
        <v>128.19</v>
      </c>
      <c r="D13" s="3">
        <f t="shared" si="1"/>
        <v>-17.8</v>
      </c>
    </row>
    <row r="14" spans="1:4" x14ac:dyDescent="0.25">
      <c r="A14" s="1">
        <v>1175</v>
      </c>
      <c r="B14" s="1" t="s">
        <v>26</v>
      </c>
      <c r="C14" s="2">
        <f t="shared" si="0"/>
        <v>111.45</v>
      </c>
      <c r="D14" s="3">
        <f t="shared" si="1"/>
        <v>-19.100000000000001</v>
      </c>
    </row>
    <row r="15" spans="1:4" x14ac:dyDescent="0.25">
      <c r="A15" s="1">
        <v>1275</v>
      </c>
      <c r="B15" s="1" t="s">
        <v>28</v>
      </c>
      <c r="C15" s="2">
        <f t="shared" si="0"/>
        <v>91.52</v>
      </c>
      <c r="D15" s="3">
        <f t="shared" si="1"/>
        <v>-20.8</v>
      </c>
    </row>
    <row r="16" spans="1:4" x14ac:dyDescent="0.25">
      <c r="A16" s="1">
        <v>1375</v>
      </c>
      <c r="B16" s="1" t="s">
        <v>30</v>
      </c>
      <c r="C16" s="2">
        <f t="shared" si="0"/>
        <v>124.9</v>
      </c>
      <c r="D16" s="3">
        <f t="shared" si="1"/>
        <v>-18.100000000000001</v>
      </c>
    </row>
    <row r="17" spans="1:4" x14ac:dyDescent="0.25">
      <c r="A17" s="1">
        <v>1425</v>
      </c>
      <c r="B17" s="1" t="s">
        <v>32</v>
      </c>
      <c r="C17" s="2">
        <f t="shared" si="0"/>
        <v>64.42</v>
      </c>
      <c r="D17" s="3">
        <f t="shared" si="1"/>
        <v>-23.8</v>
      </c>
    </row>
    <row r="18" spans="1:4" x14ac:dyDescent="0.25">
      <c r="A18" s="1">
        <v>1625</v>
      </c>
      <c r="B18" s="1" t="s">
        <v>34</v>
      </c>
      <c r="C18" s="2">
        <f t="shared" si="0"/>
        <v>83.69</v>
      </c>
      <c r="D18" s="3">
        <f t="shared" si="1"/>
        <v>-21.5</v>
      </c>
    </row>
    <row r="19" spans="1:4" x14ac:dyDescent="0.25">
      <c r="A19" s="1">
        <v>1825</v>
      </c>
      <c r="B19" s="1" t="s">
        <v>36</v>
      </c>
      <c r="C19" s="2">
        <f t="shared" si="0"/>
        <v>159.94</v>
      </c>
      <c r="D19" s="3">
        <f t="shared" si="1"/>
        <v>-15.9</v>
      </c>
    </row>
    <row r="20" spans="1:4" x14ac:dyDescent="0.25">
      <c r="A20" s="1">
        <v>2125</v>
      </c>
      <c r="B20" s="1" t="s">
        <v>38</v>
      </c>
      <c r="C20" s="2">
        <f t="shared" si="0"/>
        <v>161.19999999999999</v>
      </c>
      <c r="D20" s="3">
        <f t="shared" si="1"/>
        <v>-15.9</v>
      </c>
    </row>
    <row r="21" spans="1:4" x14ac:dyDescent="0.25">
      <c r="A21" s="1">
        <v>2425</v>
      </c>
      <c r="B21" s="1" t="s">
        <v>40</v>
      </c>
      <c r="C21" s="2">
        <f t="shared" si="0"/>
        <v>112.07</v>
      </c>
      <c r="D21" s="3">
        <f t="shared" si="1"/>
        <v>-19</v>
      </c>
    </row>
    <row r="22" spans="1:4" x14ac:dyDescent="0.25">
      <c r="A22" s="1">
        <v>2775</v>
      </c>
      <c r="B22" s="1" t="s">
        <v>42</v>
      </c>
      <c r="C22" s="2">
        <f t="shared" si="0"/>
        <v>128.26</v>
      </c>
      <c r="D22" s="3">
        <f t="shared" si="1"/>
        <v>-17.8</v>
      </c>
    </row>
    <row r="23" spans="1:4" x14ac:dyDescent="0.25">
      <c r="A23" s="1">
        <v>2825</v>
      </c>
      <c r="B23" s="1" t="s">
        <v>44</v>
      </c>
      <c r="C23" s="2">
        <f t="shared" si="0"/>
        <v>142.38999999999999</v>
      </c>
      <c r="D23" s="3">
        <f t="shared" si="1"/>
        <v>-16.899999999999999</v>
      </c>
    </row>
    <row r="24" spans="1:4" x14ac:dyDescent="0.25">
      <c r="A24" s="1">
        <v>3425</v>
      </c>
      <c r="B24" s="1" t="s">
        <v>46</v>
      </c>
      <c r="C24" s="2">
        <f t="shared" si="0"/>
        <v>130.24</v>
      </c>
      <c r="D24" s="3">
        <f t="shared" si="1"/>
        <v>-17.7</v>
      </c>
    </row>
    <row r="25" spans="1:4" x14ac:dyDescent="0.25">
      <c r="A25" s="1">
        <v>4025</v>
      </c>
      <c r="B25" s="1" t="s">
        <v>48</v>
      </c>
      <c r="C25" s="2">
        <f t="shared" si="0"/>
        <v>328.96</v>
      </c>
      <c r="D25" s="3">
        <f t="shared" si="1"/>
        <v>-9.6999999999999993</v>
      </c>
    </row>
    <row r="26" spans="1:4" x14ac:dyDescent="0.25">
      <c r="A26" s="1">
        <v>4625</v>
      </c>
      <c r="B26" s="1" t="s">
        <v>50</v>
      </c>
      <c r="C26" s="2">
        <f t="shared" si="0"/>
        <v>165.81</v>
      </c>
      <c r="D26" s="3">
        <f t="shared" si="1"/>
        <v>-15.6</v>
      </c>
    </row>
    <row r="27" spans="1:4" x14ac:dyDescent="0.25">
      <c r="A27" s="1">
        <v>5225</v>
      </c>
      <c r="B27" s="1" t="s">
        <v>52</v>
      </c>
      <c r="C27" s="2">
        <f t="shared" si="0"/>
        <v>424.39</v>
      </c>
      <c r="D27" s="3">
        <f t="shared" si="1"/>
        <v>-7.4</v>
      </c>
    </row>
    <row r="28" spans="1:4" x14ac:dyDescent="0.25">
      <c r="A28" s="1">
        <v>5625</v>
      </c>
      <c r="B28" s="1" t="s">
        <v>54</v>
      </c>
      <c r="C28" s="2">
        <f t="shared" si="0"/>
        <v>187.51</v>
      </c>
      <c r="D28" s="3">
        <f t="shared" si="1"/>
        <v>-14.5</v>
      </c>
    </row>
    <row r="29" spans="1:4" x14ac:dyDescent="0.25">
      <c r="A29" s="1">
        <v>6025</v>
      </c>
      <c r="B29" s="1" t="s">
        <v>56</v>
      </c>
      <c r="C29" s="2">
        <f t="shared" si="0"/>
        <v>934.37</v>
      </c>
      <c r="D29" s="3">
        <f t="shared" si="1"/>
        <v>-0.6</v>
      </c>
    </row>
    <row r="30" spans="1:4" x14ac:dyDescent="0.25">
      <c r="A30" s="1">
        <v>7025</v>
      </c>
      <c r="B30" s="1" t="s">
        <v>58</v>
      </c>
      <c r="C30" s="2">
        <f t="shared" si="0"/>
        <v>657.08</v>
      </c>
      <c r="D30" s="3">
        <f t="shared" si="1"/>
        <v>-3.6</v>
      </c>
    </row>
    <row r="31" spans="1:4" x14ac:dyDescent="0.25">
      <c r="A31" s="1">
        <v>8025</v>
      </c>
      <c r="B31" s="1" t="s">
        <v>60</v>
      </c>
      <c r="C31" s="2">
        <f t="shared" si="0"/>
        <v>201.89</v>
      </c>
      <c r="D31" s="3">
        <f t="shared" si="1"/>
        <v>-13.9</v>
      </c>
    </row>
    <row r="32" spans="1:4" x14ac:dyDescent="0.25">
      <c r="A32" s="1">
        <v>9025</v>
      </c>
      <c r="B32" s="1" t="s">
        <v>62</v>
      </c>
      <c r="C32" s="2">
        <f t="shared" si="0"/>
        <v>1350</v>
      </c>
      <c r="D32" s="3">
        <f t="shared" si="1"/>
        <v>2.6</v>
      </c>
    </row>
    <row r="33" spans="1:4" x14ac:dyDescent="0.25">
      <c r="A33" s="1">
        <v>10025</v>
      </c>
      <c r="B33" s="1" t="s">
        <v>64</v>
      </c>
      <c r="C33" s="2">
        <f t="shared" si="0"/>
        <v>769.44</v>
      </c>
      <c r="D33" s="3">
        <f t="shared" si="1"/>
        <v>-2.2999999999999998</v>
      </c>
    </row>
    <row r="34" spans="1:4" x14ac:dyDescent="0.25">
      <c r="A34" s="1">
        <v>11025</v>
      </c>
      <c r="B34" s="1" t="s">
        <v>66</v>
      </c>
      <c r="C34" s="2">
        <f t="shared" si="0"/>
        <v>719.1</v>
      </c>
      <c r="D34" s="3">
        <f t="shared" si="1"/>
        <v>-2.9</v>
      </c>
    </row>
    <row r="36" spans="1:4" x14ac:dyDescent="0.25">
      <c r="A36" s="1">
        <v>175</v>
      </c>
      <c r="B36" s="1" t="s">
        <v>3</v>
      </c>
      <c r="C36" s="2">
        <f>str2val(B36)</f>
        <v>55.03</v>
      </c>
      <c r="D36" s="3">
        <f>ROUND(20*LOG10(C36/1000),1)</f>
        <v>-25.2</v>
      </c>
    </row>
    <row r="37" spans="1:4" x14ac:dyDescent="0.25">
      <c r="A37" s="1">
        <v>225</v>
      </c>
      <c r="B37" s="1" t="s">
        <v>1</v>
      </c>
      <c r="C37" s="2">
        <f t="shared" ref="C37:C69" si="2">str2val(B37)</f>
        <v>58.42</v>
      </c>
      <c r="D37" s="3">
        <f t="shared" ref="D37:D69" si="3">ROUND(20*LOG10(C37/1000),1)</f>
        <v>-24.7</v>
      </c>
    </row>
    <row r="38" spans="1:4" x14ac:dyDescent="0.25">
      <c r="A38" s="1">
        <v>275</v>
      </c>
      <c r="B38" s="1" t="s">
        <v>6</v>
      </c>
      <c r="C38" s="2">
        <f t="shared" si="2"/>
        <v>33.130000000000003</v>
      </c>
      <c r="D38" s="3">
        <f t="shared" si="3"/>
        <v>-29.6</v>
      </c>
    </row>
    <row r="39" spans="1:4" x14ac:dyDescent="0.25">
      <c r="A39" s="1">
        <v>325</v>
      </c>
      <c r="B39" s="1" t="s">
        <v>0</v>
      </c>
      <c r="C39" s="2">
        <f t="shared" si="2"/>
        <v>74.17</v>
      </c>
      <c r="D39" s="3">
        <f t="shared" si="3"/>
        <v>-22.6</v>
      </c>
    </row>
    <row r="40" spans="1:4" x14ac:dyDescent="0.25">
      <c r="A40" s="1">
        <v>375</v>
      </c>
      <c r="B40" s="1" t="s">
        <v>9</v>
      </c>
      <c r="C40" s="2">
        <f t="shared" si="2"/>
        <v>42.46</v>
      </c>
      <c r="D40" s="3">
        <f t="shared" si="3"/>
        <v>-27.4</v>
      </c>
    </row>
    <row r="41" spans="1:4" x14ac:dyDescent="0.25">
      <c r="A41" s="1">
        <v>425</v>
      </c>
      <c r="B41" s="1" t="s">
        <v>11</v>
      </c>
      <c r="C41" s="2">
        <f t="shared" si="2"/>
        <v>66.37</v>
      </c>
      <c r="D41" s="3">
        <f t="shared" si="3"/>
        <v>-23.6</v>
      </c>
    </row>
    <row r="42" spans="1:4" x14ac:dyDescent="0.25">
      <c r="A42" s="1">
        <v>475</v>
      </c>
      <c r="B42" s="1" t="s">
        <v>13</v>
      </c>
      <c r="C42" s="2">
        <f t="shared" si="2"/>
        <v>38.65</v>
      </c>
      <c r="D42" s="3">
        <f t="shared" si="3"/>
        <v>-28.3</v>
      </c>
    </row>
    <row r="43" spans="1:4" x14ac:dyDescent="0.25">
      <c r="A43" s="1">
        <v>575</v>
      </c>
      <c r="B43" s="1" t="s">
        <v>15</v>
      </c>
      <c r="C43" s="2">
        <f t="shared" si="2"/>
        <v>26.31</v>
      </c>
      <c r="D43" s="3">
        <f t="shared" si="3"/>
        <v>-31.6</v>
      </c>
    </row>
    <row r="44" spans="1:4" x14ac:dyDescent="0.25">
      <c r="A44" s="1">
        <v>625</v>
      </c>
      <c r="B44" s="1" t="s">
        <v>17</v>
      </c>
      <c r="C44" s="2">
        <f t="shared" si="2"/>
        <v>51.92</v>
      </c>
      <c r="D44" s="3">
        <f t="shared" si="3"/>
        <v>-25.7</v>
      </c>
    </row>
    <row r="45" spans="1:4" x14ac:dyDescent="0.25">
      <c r="A45" s="1">
        <v>675</v>
      </c>
      <c r="B45" s="1" t="s">
        <v>19</v>
      </c>
      <c r="C45" s="2">
        <f t="shared" si="2"/>
        <v>62.32</v>
      </c>
      <c r="D45" s="3">
        <f t="shared" si="3"/>
        <v>-24.1</v>
      </c>
    </row>
    <row r="46" spans="1:4" x14ac:dyDescent="0.25">
      <c r="A46" s="1">
        <v>875</v>
      </c>
      <c r="B46" s="1" t="s">
        <v>21</v>
      </c>
      <c r="C46" s="2">
        <f t="shared" si="2"/>
        <v>84.14</v>
      </c>
      <c r="D46" s="3">
        <f t="shared" si="3"/>
        <v>-21.5</v>
      </c>
    </row>
    <row r="47" spans="1:4" x14ac:dyDescent="0.25">
      <c r="A47" s="1">
        <v>975</v>
      </c>
      <c r="B47" s="1" t="s">
        <v>23</v>
      </c>
      <c r="C47" s="2">
        <f t="shared" si="2"/>
        <v>93.12</v>
      </c>
      <c r="D47" s="3">
        <f t="shared" si="3"/>
        <v>-20.6</v>
      </c>
    </row>
    <row r="48" spans="1:4" x14ac:dyDescent="0.25">
      <c r="A48" s="1">
        <v>1075</v>
      </c>
      <c r="B48" s="1" t="s">
        <v>25</v>
      </c>
      <c r="C48" s="2">
        <f t="shared" si="2"/>
        <v>68.89</v>
      </c>
      <c r="D48" s="3">
        <f t="shared" si="3"/>
        <v>-23.2</v>
      </c>
    </row>
    <row r="49" spans="1:4" x14ac:dyDescent="0.25">
      <c r="A49" s="1">
        <v>1175</v>
      </c>
      <c r="B49" s="1" t="s">
        <v>27</v>
      </c>
      <c r="C49" s="2">
        <f t="shared" si="2"/>
        <v>23.34</v>
      </c>
      <c r="D49" s="3">
        <f t="shared" si="3"/>
        <v>-32.6</v>
      </c>
    </row>
    <row r="50" spans="1:4" x14ac:dyDescent="0.25">
      <c r="A50" s="1">
        <v>1275</v>
      </c>
      <c r="B50" s="1" t="s">
        <v>29</v>
      </c>
      <c r="C50" s="2">
        <f t="shared" si="2"/>
        <v>101.18</v>
      </c>
      <c r="D50" s="3">
        <f t="shared" si="3"/>
        <v>-19.899999999999999</v>
      </c>
    </row>
    <row r="51" spans="1:4" x14ac:dyDescent="0.25">
      <c r="A51" s="1">
        <v>1375</v>
      </c>
      <c r="B51" s="1" t="s">
        <v>31</v>
      </c>
      <c r="C51" s="2">
        <f t="shared" si="2"/>
        <v>77.14</v>
      </c>
      <c r="D51" s="3">
        <f t="shared" si="3"/>
        <v>-22.3</v>
      </c>
    </row>
    <row r="52" spans="1:4" x14ac:dyDescent="0.25">
      <c r="A52" s="1">
        <v>1425</v>
      </c>
      <c r="B52" s="1" t="s">
        <v>33</v>
      </c>
      <c r="C52" s="2">
        <f t="shared" si="2"/>
        <v>50.66</v>
      </c>
      <c r="D52" s="3">
        <f t="shared" si="3"/>
        <v>-25.9</v>
      </c>
    </row>
    <row r="53" spans="1:4" x14ac:dyDescent="0.25">
      <c r="A53" s="1">
        <v>1625</v>
      </c>
      <c r="B53" s="1" t="s">
        <v>35</v>
      </c>
      <c r="C53" s="2">
        <f t="shared" si="2"/>
        <v>87.52</v>
      </c>
      <c r="D53" s="3">
        <f t="shared" si="3"/>
        <v>-21.2</v>
      </c>
    </row>
    <row r="54" spans="1:4" x14ac:dyDescent="0.25">
      <c r="A54" s="1">
        <v>1825</v>
      </c>
      <c r="B54" s="1" t="s">
        <v>37</v>
      </c>
      <c r="C54" s="2">
        <f t="shared" si="2"/>
        <v>105.88</v>
      </c>
      <c r="D54" s="3">
        <f t="shared" si="3"/>
        <v>-19.5</v>
      </c>
    </row>
    <row r="55" spans="1:4" x14ac:dyDescent="0.25">
      <c r="A55" s="1">
        <v>2125</v>
      </c>
      <c r="B55" s="1" t="s">
        <v>39</v>
      </c>
      <c r="C55" s="2">
        <f t="shared" si="2"/>
        <v>84.38</v>
      </c>
      <c r="D55" s="3">
        <f t="shared" si="3"/>
        <v>-21.5</v>
      </c>
    </row>
    <row r="56" spans="1:4" x14ac:dyDescent="0.25">
      <c r="A56" s="1">
        <v>2425</v>
      </c>
      <c r="B56" s="1" t="s">
        <v>41</v>
      </c>
      <c r="C56" s="2">
        <f t="shared" si="2"/>
        <v>64.67</v>
      </c>
      <c r="D56" s="3">
        <f t="shared" si="3"/>
        <v>-23.8</v>
      </c>
    </row>
    <row r="57" spans="1:4" x14ac:dyDescent="0.25">
      <c r="A57" s="1">
        <v>2775</v>
      </c>
      <c r="B57" s="1" t="s">
        <v>43</v>
      </c>
      <c r="C57" s="2">
        <f t="shared" si="2"/>
        <v>160.84</v>
      </c>
      <c r="D57" s="3">
        <f t="shared" si="3"/>
        <v>-15.9</v>
      </c>
    </row>
    <row r="58" spans="1:4" x14ac:dyDescent="0.25">
      <c r="A58" s="1">
        <v>2825</v>
      </c>
      <c r="B58" s="1" t="s">
        <v>45</v>
      </c>
      <c r="C58" s="2">
        <f t="shared" si="2"/>
        <v>106.65</v>
      </c>
      <c r="D58" s="3">
        <f t="shared" si="3"/>
        <v>-19.399999999999999</v>
      </c>
    </row>
    <row r="59" spans="1:4" x14ac:dyDescent="0.25">
      <c r="A59" s="1">
        <v>3425</v>
      </c>
      <c r="B59" s="1" t="s">
        <v>47</v>
      </c>
      <c r="C59" s="2">
        <f t="shared" si="2"/>
        <v>119.44</v>
      </c>
      <c r="D59" s="3">
        <f t="shared" si="3"/>
        <v>-18.5</v>
      </c>
    </row>
    <row r="60" spans="1:4" x14ac:dyDescent="0.25">
      <c r="A60" s="1">
        <v>4025</v>
      </c>
      <c r="B60" s="1" t="s">
        <v>49</v>
      </c>
      <c r="C60" s="2">
        <f t="shared" si="2"/>
        <v>274.29000000000002</v>
      </c>
      <c r="D60" s="3">
        <f t="shared" si="3"/>
        <v>-11.2</v>
      </c>
    </row>
    <row r="61" spans="1:4" x14ac:dyDescent="0.25">
      <c r="A61" s="1">
        <v>4625</v>
      </c>
      <c r="B61" s="1" t="s">
        <v>51</v>
      </c>
      <c r="C61" s="2">
        <f t="shared" si="2"/>
        <v>290.83</v>
      </c>
      <c r="D61" s="3">
        <f t="shared" si="3"/>
        <v>-10.7</v>
      </c>
    </row>
    <row r="62" spans="1:4" x14ac:dyDescent="0.25">
      <c r="A62" s="1">
        <v>5225</v>
      </c>
      <c r="B62" s="1" t="s">
        <v>53</v>
      </c>
      <c r="C62" s="2">
        <f t="shared" si="2"/>
        <v>308.89999999999998</v>
      </c>
      <c r="D62" s="3">
        <f t="shared" si="3"/>
        <v>-10.199999999999999</v>
      </c>
    </row>
    <row r="63" spans="1:4" x14ac:dyDescent="0.25">
      <c r="A63" s="1">
        <v>5625</v>
      </c>
      <c r="B63" s="1" t="s">
        <v>55</v>
      </c>
      <c r="C63" s="2">
        <f t="shared" si="2"/>
        <v>258.19</v>
      </c>
      <c r="D63" s="3">
        <f t="shared" si="3"/>
        <v>-11.8</v>
      </c>
    </row>
    <row r="64" spans="1:4" x14ac:dyDescent="0.25">
      <c r="A64" s="1">
        <v>6025</v>
      </c>
      <c r="B64" s="1" t="s">
        <v>57</v>
      </c>
      <c r="C64" s="2">
        <f t="shared" si="2"/>
        <v>308.05</v>
      </c>
      <c r="D64" s="3">
        <f t="shared" si="3"/>
        <v>-10.199999999999999</v>
      </c>
    </row>
    <row r="65" spans="1:4" x14ac:dyDescent="0.25">
      <c r="A65" s="1">
        <v>7025</v>
      </c>
      <c r="B65" s="1" t="s">
        <v>59</v>
      </c>
      <c r="C65" s="2">
        <f t="shared" si="2"/>
        <v>383</v>
      </c>
      <c r="D65" s="3">
        <f t="shared" si="3"/>
        <v>-8.3000000000000007</v>
      </c>
    </row>
    <row r="66" spans="1:4" x14ac:dyDescent="0.25">
      <c r="A66" s="1">
        <v>8025</v>
      </c>
      <c r="B66" s="1" t="s">
        <v>61</v>
      </c>
      <c r="C66" s="2">
        <f t="shared" si="2"/>
        <v>435.41</v>
      </c>
      <c r="D66" s="3">
        <f t="shared" si="3"/>
        <v>-7.2</v>
      </c>
    </row>
    <row r="67" spans="1:4" x14ac:dyDescent="0.25">
      <c r="A67" s="1">
        <v>9025</v>
      </c>
      <c r="B67" s="1" t="s">
        <v>63</v>
      </c>
      <c r="C67" s="2">
        <f t="shared" si="2"/>
        <v>385.31</v>
      </c>
      <c r="D67" s="3">
        <f t="shared" si="3"/>
        <v>-8.3000000000000007</v>
      </c>
    </row>
    <row r="68" spans="1:4" x14ac:dyDescent="0.25">
      <c r="A68" s="1">
        <v>10025</v>
      </c>
      <c r="B68" s="1" t="s">
        <v>65</v>
      </c>
      <c r="C68" s="2">
        <f t="shared" si="2"/>
        <v>464.11</v>
      </c>
      <c r="D68" s="3">
        <f t="shared" si="3"/>
        <v>-6.7</v>
      </c>
    </row>
    <row r="69" spans="1:4" x14ac:dyDescent="0.25">
      <c r="A69" s="1">
        <v>11025</v>
      </c>
      <c r="B69" s="1" t="s">
        <v>67</v>
      </c>
      <c r="C69" s="2">
        <f t="shared" si="2"/>
        <v>437.99</v>
      </c>
      <c r="D69" s="3">
        <f t="shared" si="3"/>
        <v>-7.2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2024-10-09T12:04:09Z</dcterms:created>
  <dcterms:modified xsi:type="dcterms:W3CDTF">2024-10-09T13:59:06Z</dcterms:modified>
</cp:coreProperties>
</file>