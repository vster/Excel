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 codeName="ЭтаКнига"/>
  <mc:AlternateContent xmlns:mc="http://schemas.openxmlformats.org/markup-compatibility/2006">
    <mc:Choice Requires="x15">
      <x15ac:absPath xmlns:x15ac="http://schemas.microsoft.com/office/spreadsheetml/2010/11/ac" url="N:\_СП_СИ_СО\_2025\20250917_iptel\calc\"/>
    </mc:Choice>
  </mc:AlternateContent>
  <xr:revisionPtr revIDLastSave="0" documentId="13_ncr:1_{1A28B250-C693-475F-867A-6B73ADB30F0A}" xr6:coauthVersionLast="45" xr6:coauthVersionMax="45" xr10:uidLastSave="{00000000-0000-0000-0000-000000000000}"/>
  <bookViews>
    <workbookView xWindow="1365" yWindow="1380" windowWidth="21345" windowHeight="12915" activeTab="3" xr2:uid="{00000000-000D-0000-FFFF-FFFF00000000}"/>
  </bookViews>
  <sheets>
    <sheet name="зел" sheetId="3" r:id="rId1"/>
    <sheet name="кор" sheetId="5" r:id="rId2"/>
    <sheet name="оранж" sheetId="6" r:id="rId3"/>
    <sheet name="син" sheetId="7" r:id="rId4"/>
    <sheet name="Params" sheetId="4" r:id="rId5"/>
  </sheets>
  <definedNames>
    <definedName name="H">Params!$B$8</definedName>
    <definedName name="Kzt">Params!$B$5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721" i="7" l="1"/>
  <c r="P721" i="7" s="1"/>
  <c r="K721" i="7"/>
  <c r="L721" i="7" s="1"/>
  <c r="O720" i="7"/>
  <c r="P720" i="7" s="1"/>
  <c r="K720" i="7"/>
  <c r="L720" i="7" s="1"/>
  <c r="O719" i="7"/>
  <c r="P719" i="7" s="1"/>
  <c r="K719" i="7"/>
  <c r="L719" i="7" s="1"/>
  <c r="O718" i="7"/>
  <c r="P718" i="7" s="1"/>
  <c r="K718" i="7"/>
  <c r="L718" i="7" s="1"/>
  <c r="M716" i="7" s="1"/>
  <c r="N716" i="7" s="1"/>
  <c r="S716" i="7" s="1"/>
  <c r="O717" i="7"/>
  <c r="P717" i="7" s="1"/>
  <c r="K717" i="7"/>
  <c r="L717" i="7" s="1"/>
  <c r="O716" i="7"/>
  <c r="P716" i="7" s="1"/>
  <c r="Q716" i="7" s="1"/>
  <c r="R716" i="7" s="1"/>
  <c r="K716" i="7"/>
  <c r="L716" i="7" s="1"/>
  <c r="O715" i="7"/>
  <c r="P715" i="7" s="1"/>
  <c r="K715" i="7"/>
  <c r="L715" i="7" s="1"/>
  <c r="O714" i="7"/>
  <c r="P714" i="7" s="1"/>
  <c r="K714" i="7"/>
  <c r="L714" i="7" s="1"/>
  <c r="O713" i="7"/>
  <c r="P713" i="7" s="1"/>
  <c r="K713" i="7"/>
  <c r="L713" i="7" s="1"/>
  <c r="O712" i="7"/>
  <c r="P712" i="7" s="1"/>
  <c r="K712" i="7"/>
  <c r="L712" i="7" s="1"/>
  <c r="O711" i="7"/>
  <c r="P711" i="7" s="1"/>
  <c r="K711" i="7"/>
  <c r="L711" i="7" s="1"/>
  <c r="O710" i="7"/>
  <c r="P710" i="7" s="1"/>
  <c r="Q710" i="7" s="1"/>
  <c r="R710" i="7" s="1"/>
  <c r="K710" i="7"/>
  <c r="L710" i="7" s="1"/>
  <c r="M710" i="7" s="1"/>
  <c r="N710" i="7" s="1"/>
  <c r="S710" i="7" s="1"/>
  <c r="O709" i="7"/>
  <c r="P709" i="7" s="1"/>
  <c r="K709" i="7"/>
  <c r="L709" i="7" s="1"/>
  <c r="O708" i="7"/>
  <c r="P708" i="7" s="1"/>
  <c r="K708" i="7"/>
  <c r="L708" i="7" s="1"/>
  <c r="O707" i="7"/>
  <c r="P707" i="7" s="1"/>
  <c r="K707" i="7"/>
  <c r="L707" i="7" s="1"/>
  <c r="O706" i="7"/>
  <c r="P706" i="7" s="1"/>
  <c r="K706" i="7"/>
  <c r="L706" i="7" s="1"/>
  <c r="O705" i="7"/>
  <c r="P705" i="7" s="1"/>
  <c r="K705" i="7"/>
  <c r="L705" i="7" s="1"/>
  <c r="Q704" i="7"/>
  <c r="R704" i="7" s="1"/>
  <c r="O704" i="7"/>
  <c r="P704" i="7" s="1"/>
  <c r="K704" i="7"/>
  <c r="L704" i="7" s="1"/>
  <c r="M704" i="7" s="1"/>
  <c r="N704" i="7" s="1"/>
  <c r="S704" i="7" s="1"/>
  <c r="O703" i="7"/>
  <c r="P703" i="7" s="1"/>
  <c r="K703" i="7"/>
  <c r="L703" i="7" s="1"/>
  <c r="O702" i="7"/>
  <c r="P702" i="7" s="1"/>
  <c r="K702" i="7"/>
  <c r="L702" i="7" s="1"/>
  <c r="O701" i="7"/>
  <c r="P701" i="7" s="1"/>
  <c r="K701" i="7"/>
  <c r="L701" i="7" s="1"/>
  <c r="O700" i="7"/>
  <c r="P700" i="7" s="1"/>
  <c r="K700" i="7"/>
  <c r="L700" i="7" s="1"/>
  <c r="O699" i="7"/>
  <c r="P699" i="7" s="1"/>
  <c r="K699" i="7"/>
  <c r="L699" i="7" s="1"/>
  <c r="O698" i="7"/>
  <c r="P698" i="7" s="1"/>
  <c r="K698" i="7"/>
  <c r="L698" i="7" s="1"/>
  <c r="M698" i="7" s="1"/>
  <c r="N698" i="7" s="1"/>
  <c r="S698" i="7" s="1"/>
  <c r="O697" i="7"/>
  <c r="P697" i="7" s="1"/>
  <c r="K697" i="7"/>
  <c r="L697" i="7" s="1"/>
  <c r="O696" i="7"/>
  <c r="P696" i="7" s="1"/>
  <c r="L696" i="7"/>
  <c r="K696" i="7"/>
  <c r="O695" i="7"/>
  <c r="P695" i="7" s="1"/>
  <c r="K695" i="7"/>
  <c r="L695" i="7" s="1"/>
  <c r="O694" i="7"/>
  <c r="P694" i="7" s="1"/>
  <c r="L694" i="7"/>
  <c r="K694" i="7"/>
  <c r="O693" i="7"/>
  <c r="P693" i="7" s="1"/>
  <c r="K693" i="7"/>
  <c r="L693" i="7" s="1"/>
  <c r="O692" i="7"/>
  <c r="P692" i="7" s="1"/>
  <c r="K692" i="7"/>
  <c r="L692" i="7" s="1"/>
  <c r="P691" i="7"/>
  <c r="O691" i="7"/>
  <c r="K691" i="7"/>
  <c r="L691" i="7" s="1"/>
  <c r="O690" i="7"/>
  <c r="P690" i="7" s="1"/>
  <c r="K690" i="7"/>
  <c r="L690" i="7" s="1"/>
  <c r="O689" i="7"/>
  <c r="P689" i="7" s="1"/>
  <c r="K689" i="7"/>
  <c r="L689" i="7" s="1"/>
  <c r="P688" i="7"/>
  <c r="O688" i="7"/>
  <c r="K688" i="7"/>
  <c r="L688" i="7" s="1"/>
  <c r="M688" i="7" s="1"/>
  <c r="N688" i="7" s="1"/>
  <c r="S688" i="7" s="1"/>
  <c r="P685" i="7"/>
  <c r="O685" i="7"/>
  <c r="K685" i="7"/>
  <c r="L685" i="7" s="1"/>
  <c r="O684" i="7"/>
  <c r="P684" i="7" s="1"/>
  <c r="K684" i="7"/>
  <c r="L684" i="7" s="1"/>
  <c r="O683" i="7"/>
  <c r="P683" i="7" s="1"/>
  <c r="K683" i="7"/>
  <c r="L683" i="7" s="1"/>
  <c r="O682" i="7"/>
  <c r="P682" i="7" s="1"/>
  <c r="K682" i="7"/>
  <c r="L682" i="7" s="1"/>
  <c r="P681" i="7"/>
  <c r="O681" i="7"/>
  <c r="K681" i="7"/>
  <c r="L681" i="7" s="1"/>
  <c r="O680" i="7"/>
  <c r="P680" i="7" s="1"/>
  <c r="Q680" i="7" s="1"/>
  <c r="R680" i="7" s="1"/>
  <c r="K680" i="7"/>
  <c r="L680" i="7" s="1"/>
  <c r="O679" i="7"/>
  <c r="P679" i="7" s="1"/>
  <c r="K679" i="7"/>
  <c r="L679" i="7" s="1"/>
  <c r="O678" i="7"/>
  <c r="P678" i="7" s="1"/>
  <c r="Q674" i="7" s="1"/>
  <c r="R674" i="7" s="1"/>
  <c r="K678" i="7"/>
  <c r="L678" i="7" s="1"/>
  <c r="O677" i="7"/>
  <c r="P677" i="7" s="1"/>
  <c r="L677" i="7"/>
  <c r="K677" i="7"/>
  <c r="O676" i="7"/>
  <c r="P676" i="7" s="1"/>
  <c r="K676" i="7"/>
  <c r="L676" i="7" s="1"/>
  <c r="O675" i="7"/>
  <c r="P675" i="7" s="1"/>
  <c r="K675" i="7"/>
  <c r="L675" i="7" s="1"/>
  <c r="O674" i="7"/>
  <c r="P674" i="7" s="1"/>
  <c r="K674" i="7"/>
  <c r="L674" i="7" s="1"/>
  <c r="O673" i="7"/>
  <c r="P673" i="7" s="1"/>
  <c r="K673" i="7"/>
  <c r="L673" i="7" s="1"/>
  <c r="O672" i="7"/>
  <c r="P672" i="7" s="1"/>
  <c r="K672" i="7"/>
  <c r="L672" i="7" s="1"/>
  <c r="O671" i="7"/>
  <c r="P671" i="7" s="1"/>
  <c r="K671" i="7"/>
  <c r="L671" i="7" s="1"/>
  <c r="P670" i="7"/>
  <c r="O670" i="7"/>
  <c r="K670" i="7"/>
  <c r="L670" i="7" s="1"/>
  <c r="O669" i="7"/>
  <c r="P669" i="7" s="1"/>
  <c r="K669" i="7"/>
  <c r="L669" i="7" s="1"/>
  <c r="O668" i="7"/>
  <c r="P668" i="7" s="1"/>
  <c r="Q668" i="7" s="1"/>
  <c r="R668" i="7" s="1"/>
  <c r="K668" i="7"/>
  <c r="L668" i="7" s="1"/>
  <c r="O667" i="7"/>
  <c r="P667" i="7" s="1"/>
  <c r="K667" i="7"/>
  <c r="L667" i="7" s="1"/>
  <c r="O666" i="7"/>
  <c r="P666" i="7" s="1"/>
  <c r="L666" i="7"/>
  <c r="K666" i="7"/>
  <c r="O665" i="7"/>
  <c r="P665" i="7" s="1"/>
  <c r="K665" i="7"/>
  <c r="L665" i="7" s="1"/>
  <c r="O664" i="7"/>
  <c r="P664" i="7" s="1"/>
  <c r="K664" i="7"/>
  <c r="L664" i="7" s="1"/>
  <c r="O663" i="7"/>
  <c r="P663" i="7" s="1"/>
  <c r="K663" i="7"/>
  <c r="L663" i="7" s="1"/>
  <c r="O662" i="7"/>
  <c r="P662" i="7" s="1"/>
  <c r="K662" i="7"/>
  <c r="L662" i="7" s="1"/>
  <c r="O661" i="7"/>
  <c r="P661" i="7" s="1"/>
  <c r="K661" i="7"/>
  <c r="L661" i="7" s="1"/>
  <c r="O660" i="7"/>
  <c r="P660" i="7" s="1"/>
  <c r="K660" i="7"/>
  <c r="L660" i="7" s="1"/>
  <c r="P659" i="7"/>
  <c r="O659" i="7"/>
  <c r="K659" i="7"/>
  <c r="L659" i="7" s="1"/>
  <c r="O658" i="7"/>
  <c r="P658" i="7" s="1"/>
  <c r="K658" i="7"/>
  <c r="L658" i="7" s="1"/>
  <c r="M656" i="7" s="1"/>
  <c r="N656" i="7" s="1"/>
  <c r="S656" i="7" s="1"/>
  <c r="O657" i="7"/>
  <c r="P657" i="7" s="1"/>
  <c r="K657" i="7"/>
  <c r="L657" i="7" s="1"/>
  <c r="P656" i="7"/>
  <c r="O656" i="7"/>
  <c r="K656" i="7"/>
  <c r="L656" i="7" s="1"/>
  <c r="O655" i="7"/>
  <c r="P655" i="7" s="1"/>
  <c r="K655" i="7"/>
  <c r="L655" i="7" s="1"/>
  <c r="O654" i="7"/>
  <c r="P654" i="7" s="1"/>
  <c r="K654" i="7"/>
  <c r="L654" i="7" s="1"/>
  <c r="O653" i="7"/>
  <c r="P653" i="7" s="1"/>
  <c r="L653" i="7"/>
  <c r="K653" i="7"/>
  <c r="O652" i="7"/>
  <c r="P652" i="7" s="1"/>
  <c r="Q652" i="7" s="1"/>
  <c r="R652" i="7" s="1"/>
  <c r="K652" i="7"/>
  <c r="L652" i="7" s="1"/>
  <c r="O649" i="7"/>
  <c r="P649" i="7" s="1"/>
  <c r="K649" i="7"/>
  <c r="L649" i="7" s="1"/>
  <c r="O648" i="7"/>
  <c r="P648" i="7" s="1"/>
  <c r="K648" i="7"/>
  <c r="L648" i="7" s="1"/>
  <c r="O647" i="7"/>
  <c r="P647" i="7" s="1"/>
  <c r="K647" i="7"/>
  <c r="L647" i="7" s="1"/>
  <c r="O646" i="7"/>
  <c r="P646" i="7" s="1"/>
  <c r="K646" i="7"/>
  <c r="L646" i="7" s="1"/>
  <c r="O645" i="7"/>
  <c r="P645" i="7" s="1"/>
  <c r="K645" i="7"/>
  <c r="L645" i="7" s="1"/>
  <c r="O644" i="7"/>
  <c r="P644" i="7" s="1"/>
  <c r="Q644" i="7" s="1"/>
  <c r="R644" i="7" s="1"/>
  <c r="K644" i="7"/>
  <c r="L644" i="7" s="1"/>
  <c r="M644" i="7" s="1"/>
  <c r="N644" i="7" s="1"/>
  <c r="S644" i="7" s="1"/>
  <c r="O643" i="7"/>
  <c r="P643" i="7" s="1"/>
  <c r="K643" i="7"/>
  <c r="L643" i="7" s="1"/>
  <c r="O642" i="7"/>
  <c r="P642" i="7" s="1"/>
  <c r="K642" i="7"/>
  <c r="L642" i="7" s="1"/>
  <c r="O641" i="7"/>
  <c r="P641" i="7" s="1"/>
  <c r="K641" i="7"/>
  <c r="L641" i="7" s="1"/>
  <c r="O640" i="7"/>
  <c r="P640" i="7" s="1"/>
  <c r="K640" i="7"/>
  <c r="L640" i="7" s="1"/>
  <c r="M638" i="7" s="1"/>
  <c r="N638" i="7" s="1"/>
  <c r="S638" i="7" s="1"/>
  <c r="O639" i="7"/>
  <c r="P639" i="7" s="1"/>
  <c r="K639" i="7"/>
  <c r="L639" i="7" s="1"/>
  <c r="Q638" i="7"/>
  <c r="R638" i="7" s="1"/>
  <c r="O638" i="7"/>
  <c r="P638" i="7" s="1"/>
  <c r="K638" i="7"/>
  <c r="L638" i="7" s="1"/>
  <c r="O637" i="7"/>
  <c r="P637" i="7" s="1"/>
  <c r="K637" i="7"/>
  <c r="L637" i="7" s="1"/>
  <c r="O636" i="7"/>
  <c r="P636" i="7" s="1"/>
  <c r="K636" i="7"/>
  <c r="L636" i="7" s="1"/>
  <c r="O635" i="7"/>
  <c r="P635" i="7" s="1"/>
  <c r="K635" i="7"/>
  <c r="L635" i="7" s="1"/>
  <c r="O634" i="7"/>
  <c r="P634" i="7" s="1"/>
  <c r="K634" i="7"/>
  <c r="L634" i="7" s="1"/>
  <c r="O633" i="7"/>
  <c r="P633" i="7" s="1"/>
  <c r="K633" i="7"/>
  <c r="L633" i="7" s="1"/>
  <c r="O632" i="7"/>
  <c r="P632" i="7" s="1"/>
  <c r="Q632" i="7" s="1"/>
  <c r="R632" i="7" s="1"/>
  <c r="K632" i="7"/>
  <c r="L632" i="7" s="1"/>
  <c r="O631" i="7"/>
  <c r="P631" i="7" s="1"/>
  <c r="K631" i="7"/>
  <c r="L631" i="7" s="1"/>
  <c r="O630" i="7"/>
  <c r="P630" i="7" s="1"/>
  <c r="K630" i="7"/>
  <c r="L630" i="7" s="1"/>
  <c r="O629" i="7"/>
  <c r="P629" i="7" s="1"/>
  <c r="K629" i="7"/>
  <c r="L629" i="7" s="1"/>
  <c r="O628" i="7"/>
  <c r="P628" i="7" s="1"/>
  <c r="K628" i="7"/>
  <c r="L628" i="7" s="1"/>
  <c r="O627" i="7"/>
  <c r="P627" i="7" s="1"/>
  <c r="K627" i="7"/>
  <c r="L627" i="7" s="1"/>
  <c r="M626" i="7" s="1"/>
  <c r="N626" i="7" s="1"/>
  <c r="S626" i="7" s="1"/>
  <c r="O626" i="7"/>
  <c r="P626" i="7" s="1"/>
  <c r="Q626" i="7" s="1"/>
  <c r="R626" i="7" s="1"/>
  <c r="K626" i="7"/>
  <c r="L626" i="7" s="1"/>
  <c r="O625" i="7"/>
  <c r="P625" i="7" s="1"/>
  <c r="K625" i="7"/>
  <c r="L625" i="7" s="1"/>
  <c r="O624" i="7"/>
  <c r="P624" i="7" s="1"/>
  <c r="K624" i="7"/>
  <c r="L624" i="7" s="1"/>
  <c r="O623" i="7"/>
  <c r="P623" i="7" s="1"/>
  <c r="K623" i="7"/>
  <c r="L623" i="7" s="1"/>
  <c r="O622" i="7"/>
  <c r="P622" i="7" s="1"/>
  <c r="K622" i="7"/>
  <c r="L622" i="7" s="1"/>
  <c r="O621" i="7"/>
  <c r="P621" i="7" s="1"/>
  <c r="K621" i="7"/>
  <c r="L621" i="7" s="1"/>
  <c r="O620" i="7"/>
  <c r="P620" i="7" s="1"/>
  <c r="K620" i="7"/>
  <c r="L620" i="7" s="1"/>
  <c r="O619" i="7"/>
  <c r="P619" i="7" s="1"/>
  <c r="K619" i="7"/>
  <c r="L619" i="7" s="1"/>
  <c r="O618" i="7"/>
  <c r="P618" i="7" s="1"/>
  <c r="K618" i="7"/>
  <c r="L618" i="7" s="1"/>
  <c r="O617" i="7"/>
  <c r="P617" i="7" s="1"/>
  <c r="Q616" i="7" s="1"/>
  <c r="R616" i="7" s="1"/>
  <c r="K617" i="7"/>
  <c r="L617" i="7" s="1"/>
  <c r="O616" i="7"/>
  <c r="P616" i="7" s="1"/>
  <c r="K616" i="7"/>
  <c r="L616" i="7" s="1"/>
  <c r="O613" i="7"/>
  <c r="P613" i="7" s="1"/>
  <c r="K613" i="7"/>
  <c r="L613" i="7" s="1"/>
  <c r="O612" i="7"/>
  <c r="P612" i="7" s="1"/>
  <c r="K612" i="7"/>
  <c r="L612" i="7" s="1"/>
  <c r="O611" i="7"/>
  <c r="P611" i="7" s="1"/>
  <c r="K611" i="7"/>
  <c r="L611" i="7" s="1"/>
  <c r="O610" i="7"/>
  <c r="P610" i="7" s="1"/>
  <c r="K610" i="7"/>
  <c r="L610" i="7" s="1"/>
  <c r="M608" i="7" s="1"/>
  <c r="N608" i="7" s="1"/>
  <c r="S608" i="7" s="1"/>
  <c r="O609" i="7"/>
  <c r="P609" i="7" s="1"/>
  <c r="K609" i="7"/>
  <c r="L609" i="7" s="1"/>
  <c r="O608" i="7"/>
  <c r="P608" i="7" s="1"/>
  <c r="Q608" i="7" s="1"/>
  <c r="R608" i="7" s="1"/>
  <c r="K608" i="7"/>
  <c r="L608" i="7" s="1"/>
  <c r="O607" i="7"/>
  <c r="P607" i="7" s="1"/>
  <c r="K607" i="7"/>
  <c r="L607" i="7" s="1"/>
  <c r="O606" i="7"/>
  <c r="P606" i="7" s="1"/>
  <c r="K606" i="7"/>
  <c r="L606" i="7" s="1"/>
  <c r="O605" i="7"/>
  <c r="P605" i="7" s="1"/>
  <c r="K605" i="7"/>
  <c r="L605" i="7" s="1"/>
  <c r="O604" i="7"/>
  <c r="P604" i="7" s="1"/>
  <c r="K604" i="7"/>
  <c r="L604" i="7" s="1"/>
  <c r="O603" i="7"/>
  <c r="P603" i="7" s="1"/>
  <c r="K603" i="7"/>
  <c r="L603" i="7" s="1"/>
  <c r="O602" i="7"/>
  <c r="P602" i="7" s="1"/>
  <c r="K602" i="7"/>
  <c r="L602" i="7" s="1"/>
  <c r="M602" i="7" s="1"/>
  <c r="N602" i="7" s="1"/>
  <c r="S602" i="7" s="1"/>
  <c r="O601" i="7"/>
  <c r="P601" i="7" s="1"/>
  <c r="K601" i="7"/>
  <c r="L601" i="7" s="1"/>
  <c r="O600" i="7"/>
  <c r="P600" i="7" s="1"/>
  <c r="K600" i="7"/>
  <c r="L600" i="7" s="1"/>
  <c r="O599" i="7"/>
  <c r="P599" i="7" s="1"/>
  <c r="K599" i="7"/>
  <c r="L599" i="7" s="1"/>
  <c r="O598" i="7"/>
  <c r="P598" i="7" s="1"/>
  <c r="K598" i="7"/>
  <c r="L598" i="7" s="1"/>
  <c r="P597" i="7"/>
  <c r="O597" i="7"/>
  <c r="K597" i="7"/>
  <c r="L597" i="7" s="1"/>
  <c r="O596" i="7"/>
  <c r="P596" i="7" s="1"/>
  <c r="K596" i="7"/>
  <c r="L596" i="7" s="1"/>
  <c r="O595" i="7"/>
  <c r="P595" i="7" s="1"/>
  <c r="L595" i="7"/>
  <c r="K595" i="7"/>
  <c r="O594" i="7"/>
  <c r="P594" i="7" s="1"/>
  <c r="K594" i="7"/>
  <c r="L594" i="7" s="1"/>
  <c r="O593" i="7"/>
  <c r="P593" i="7" s="1"/>
  <c r="K593" i="7"/>
  <c r="L593" i="7" s="1"/>
  <c r="O592" i="7"/>
  <c r="P592" i="7" s="1"/>
  <c r="K592" i="7"/>
  <c r="L592" i="7" s="1"/>
  <c r="O591" i="7"/>
  <c r="P591" i="7" s="1"/>
  <c r="L591" i="7"/>
  <c r="K591" i="7"/>
  <c r="O590" i="7"/>
  <c r="P590" i="7" s="1"/>
  <c r="K590" i="7"/>
  <c r="L590" i="7" s="1"/>
  <c r="O589" i="7"/>
  <c r="P589" i="7" s="1"/>
  <c r="K589" i="7"/>
  <c r="L589" i="7" s="1"/>
  <c r="O588" i="7"/>
  <c r="P588" i="7" s="1"/>
  <c r="K588" i="7"/>
  <c r="L588" i="7" s="1"/>
  <c r="O587" i="7"/>
  <c r="P587" i="7" s="1"/>
  <c r="K587" i="7"/>
  <c r="L587" i="7" s="1"/>
  <c r="O586" i="7"/>
  <c r="P586" i="7" s="1"/>
  <c r="K586" i="7"/>
  <c r="L586" i="7" s="1"/>
  <c r="O585" i="7"/>
  <c r="P585" i="7" s="1"/>
  <c r="K585" i="7"/>
  <c r="L585" i="7" s="1"/>
  <c r="O584" i="7"/>
  <c r="P584" i="7" s="1"/>
  <c r="K584" i="7"/>
  <c r="L584" i="7" s="1"/>
  <c r="O583" i="7"/>
  <c r="P583" i="7" s="1"/>
  <c r="K583" i="7"/>
  <c r="L583" i="7" s="1"/>
  <c r="O582" i="7"/>
  <c r="P582" i="7" s="1"/>
  <c r="L582" i="7"/>
  <c r="K582" i="7"/>
  <c r="O581" i="7"/>
  <c r="P581" i="7" s="1"/>
  <c r="K581" i="7"/>
  <c r="L581" i="7" s="1"/>
  <c r="O580" i="7"/>
  <c r="P580" i="7" s="1"/>
  <c r="K580" i="7"/>
  <c r="L580" i="7" s="1"/>
  <c r="O577" i="7"/>
  <c r="P577" i="7" s="1"/>
  <c r="K577" i="7"/>
  <c r="L577" i="7" s="1"/>
  <c r="O576" i="7"/>
  <c r="P576" i="7" s="1"/>
  <c r="L576" i="7"/>
  <c r="K576" i="7"/>
  <c r="O575" i="7"/>
  <c r="P575" i="7" s="1"/>
  <c r="K575" i="7"/>
  <c r="L575" i="7" s="1"/>
  <c r="O574" i="7"/>
  <c r="P574" i="7" s="1"/>
  <c r="K574" i="7"/>
  <c r="L574" i="7" s="1"/>
  <c r="O573" i="7"/>
  <c r="P573" i="7" s="1"/>
  <c r="K573" i="7"/>
  <c r="L573" i="7" s="1"/>
  <c r="O572" i="7"/>
  <c r="P572" i="7" s="1"/>
  <c r="K572" i="7"/>
  <c r="L572" i="7" s="1"/>
  <c r="O571" i="7"/>
  <c r="P571" i="7" s="1"/>
  <c r="K571" i="7"/>
  <c r="L571" i="7" s="1"/>
  <c r="O570" i="7"/>
  <c r="P570" i="7" s="1"/>
  <c r="K570" i="7"/>
  <c r="L570" i="7" s="1"/>
  <c r="P569" i="7"/>
  <c r="O569" i="7"/>
  <c r="K569" i="7"/>
  <c r="L569" i="7" s="1"/>
  <c r="O568" i="7"/>
  <c r="P568" i="7" s="1"/>
  <c r="K568" i="7"/>
  <c r="L568" i="7" s="1"/>
  <c r="O567" i="7"/>
  <c r="P567" i="7" s="1"/>
  <c r="K567" i="7"/>
  <c r="L567" i="7" s="1"/>
  <c r="P566" i="7"/>
  <c r="O566" i="7"/>
  <c r="K566" i="7"/>
  <c r="L566" i="7" s="1"/>
  <c r="M566" i="7" s="1"/>
  <c r="N566" i="7" s="1"/>
  <c r="S566" i="7" s="1"/>
  <c r="O565" i="7"/>
  <c r="P565" i="7" s="1"/>
  <c r="K565" i="7"/>
  <c r="L565" i="7" s="1"/>
  <c r="O564" i="7"/>
  <c r="P564" i="7" s="1"/>
  <c r="K564" i="7"/>
  <c r="L564" i="7" s="1"/>
  <c r="O563" i="7"/>
  <c r="P563" i="7" s="1"/>
  <c r="K563" i="7"/>
  <c r="L563" i="7" s="1"/>
  <c r="O562" i="7"/>
  <c r="P562" i="7" s="1"/>
  <c r="K562" i="7"/>
  <c r="L562" i="7" s="1"/>
  <c r="O561" i="7"/>
  <c r="P561" i="7" s="1"/>
  <c r="L561" i="7"/>
  <c r="K561" i="7"/>
  <c r="O560" i="7"/>
  <c r="P560" i="7" s="1"/>
  <c r="K560" i="7"/>
  <c r="L560" i="7" s="1"/>
  <c r="O559" i="7"/>
  <c r="P559" i="7" s="1"/>
  <c r="K559" i="7"/>
  <c r="L559" i="7" s="1"/>
  <c r="O558" i="7"/>
  <c r="P558" i="7" s="1"/>
  <c r="K558" i="7"/>
  <c r="L558" i="7" s="1"/>
  <c r="O557" i="7"/>
  <c r="P557" i="7" s="1"/>
  <c r="K557" i="7"/>
  <c r="L557" i="7" s="1"/>
  <c r="O556" i="7"/>
  <c r="P556" i="7" s="1"/>
  <c r="K556" i="7"/>
  <c r="L556" i="7" s="1"/>
  <c r="O555" i="7"/>
  <c r="P555" i="7" s="1"/>
  <c r="K555" i="7"/>
  <c r="L555" i="7" s="1"/>
  <c r="O554" i="7"/>
  <c r="P554" i="7" s="1"/>
  <c r="L554" i="7"/>
  <c r="K554" i="7"/>
  <c r="O553" i="7"/>
  <c r="P553" i="7" s="1"/>
  <c r="K553" i="7"/>
  <c r="L553" i="7" s="1"/>
  <c r="O552" i="7"/>
  <c r="P552" i="7" s="1"/>
  <c r="K552" i="7"/>
  <c r="L552" i="7" s="1"/>
  <c r="O551" i="7"/>
  <c r="P551" i="7" s="1"/>
  <c r="K551" i="7"/>
  <c r="L551" i="7" s="1"/>
  <c r="O550" i="7"/>
  <c r="P550" i="7" s="1"/>
  <c r="K550" i="7"/>
  <c r="L550" i="7" s="1"/>
  <c r="O549" i="7"/>
  <c r="P549" i="7" s="1"/>
  <c r="K549" i="7"/>
  <c r="L549" i="7" s="1"/>
  <c r="O548" i="7"/>
  <c r="P548" i="7" s="1"/>
  <c r="K548" i="7"/>
  <c r="L548" i="7" s="1"/>
  <c r="O547" i="7"/>
  <c r="P547" i="7" s="1"/>
  <c r="K547" i="7"/>
  <c r="L547" i="7" s="1"/>
  <c r="O546" i="7"/>
  <c r="P546" i="7" s="1"/>
  <c r="K546" i="7"/>
  <c r="L546" i="7" s="1"/>
  <c r="P545" i="7"/>
  <c r="O545" i="7"/>
  <c r="K545" i="7"/>
  <c r="L545" i="7" s="1"/>
  <c r="O544" i="7"/>
  <c r="P544" i="7" s="1"/>
  <c r="K544" i="7"/>
  <c r="L544" i="7" s="1"/>
  <c r="M544" i="7" s="1"/>
  <c r="N544" i="7" s="1"/>
  <c r="S544" i="7" s="1"/>
  <c r="P541" i="7"/>
  <c r="O541" i="7"/>
  <c r="K541" i="7"/>
  <c r="L541" i="7" s="1"/>
  <c r="O540" i="7"/>
  <c r="P540" i="7" s="1"/>
  <c r="K540" i="7"/>
  <c r="L540" i="7" s="1"/>
  <c r="P539" i="7"/>
  <c r="O539" i="7"/>
  <c r="K539" i="7"/>
  <c r="L539" i="7" s="1"/>
  <c r="O538" i="7"/>
  <c r="P538" i="7" s="1"/>
  <c r="K538" i="7"/>
  <c r="L538" i="7" s="1"/>
  <c r="O537" i="7"/>
  <c r="P537" i="7" s="1"/>
  <c r="K537" i="7"/>
  <c r="L537" i="7" s="1"/>
  <c r="P536" i="7"/>
  <c r="O536" i="7"/>
  <c r="K536" i="7"/>
  <c r="L536" i="7" s="1"/>
  <c r="O535" i="7"/>
  <c r="P535" i="7" s="1"/>
  <c r="K535" i="7"/>
  <c r="L535" i="7" s="1"/>
  <c r="O534" i="7"/>
  <c r="P534" i="7" s="1"/>
  <c r="K534" i="7"/>
  <c r="L534" i="7" s="1"/>
  <c r="O533" i="7"/>
  <c r="P533" i="7" s="1"/>
  <c r="L533" i="7"/>
  <c r="K533" i="7"/>
  <c r="O532" i="7"/>
  <c r="P532" i="7" s="1"/>
  <c r="Q530" i="7" s="1"/>
  <c r="R530" i="7" s="1"/>
  <c r="K532" i="7"/>
  <c r="L532" i="7" s="1"/>
  <c r="O531" i="7"/>
  <c r="P531" i="7" s="1"/>
  <c r="K531" i="7"/>
  <c r="L531" i="7" s="1"/>
  <c r="O530" i="7"/>
  <c r="P530" i="7" s="1"/>
  <c r="L530" i="7"/>
  <c r="K530" i="7"/>
  <c r="O529" i="7"/>
  <c r="P529" i="7" s="1"/>
  <c r="L529" i="7"/>
  <c r="K529" i="7"/>
  <c r="O528" i="7"/>
  <c r="P528" i="7" s="1"/>
  <c r="L528" i="7"/>
  <c r="K528" i="7"/>
  <c r="O527" i="7"/>
  <c r="P527" i="7" s="1"/>
  <c r="L527" i="7"/>
  <c r="K527" i="7"/>
  <c r="O526" i="7"/>
  <c r="P526" i="7" s="1"/>
  <c r="L526" i="7"/>
  <c r="K526" i="7"/>
  <c r="O525" i="7"/>
  <c r="P525" i="7" s="1"/>
  <c r="L525" i="7"/>
  <c r="K525" i="7"/>
  <c r="P524" i="7"/>
  <c r="O524" i="7"/>
  <c r="K524" i="7"/>
  <c r="L524" i="7" s="1"/>
  <c r="O523" i="7"/>
  <c r="P523" i="7" s="1"/>
  <c r="K523" i="7"/>
  <c r="L523" i="7" s="1"/>
  <c r="O522" i="7"/>
  <c r="P522" i="7" s="1"/>
  <c r="K522" i="7"/>
  <c r="L522" i="7" s="1"/>
  <c r="P521" i="7"/>
  <c r="O521" i="7"/>
  <c r="K521" i="7"/>
  <c r="L521" i="7" s="1"/>
  <c r="P520" i="7"/>
  <c r="O520" i="7"/>
  <c r="K520" i="7"/>
  <c r="L520" i="7" s="1"/>
  <c r="O519" i="7"/>
  <c r="P519" i="7" s="1"/>
  <c r="K519" i="7"/>
  <c r="L519" i="7" s="1"/>
  <c r="P518" i="7"/>
  <c r="O518" i="7"/>
  <c r="K518" i="7"/>
  <c r="L518" i="7" s="1"/>
  <c r="M518" i="7" s="1"/>
  <c r="N518" i="7" s="1"/>
  <c r="S518" i="7" s="1"/>
  <c r="P517" i="7"/>
  <c r="O517" i="7"/>
  <c r="K517" i="7"/>
  <c r="L517" i="7" s="1"/>
  <c r="P516" i="7"/>
  <c r="O516" i="7"/>
  <c r="K516" i="7"/>
  <c r="L516" i="7" s="1"/>
  <c r="O515" i="7"/>
  <c r="P515" i="7" s="1"/>
  <c r="K515" i="7"/>
  <c r="L515" i="7" s="1"/>
  <c r="P514" i="7"/>
  <c r="O514" i="7"/>
  <c r="K514" i="7"/>
  <c r="L514" i="7" s="1"/>
  <c r="P513" i="7"/>
  <c r="O513" i="7"/>
  <c r="K513" i="7"/>
  <c r="L513" i="7" s="1"/>
  <c r="P512" i="7"/>
  <c r="O512" i="7"/>
  <c r="K512" i="7"/>
  <c r="L512" i="7" s="1"/>
  <c r="P511" i="7"/>
  <c r="O511" i="7"/>
  <c r="K511" i="7"/>
  <c r="L511" i="7" s="1"/>
  <c r="O510" i="7"/>
  <c r="P510" i="7" s="1"/>
  <c r="K510" i="7"/>
  <c r="L510" i="7" s="1"/>
  <c r="P509" i="7"/>
  <c r="O509" i="7"/>
  <c r="K509" i="7"/>
  <c r="L509" i="7" s="1"/>
  <c r="P508" i="7"/>
  <c r="O508" i="7"/>
  <c r="K508" i="7"/>
  <c r="L508" i="7" s="1"/>
  <c r="O505" i="7"/>
  <c r="P505" i="7" s="1"/>
  <c r="K505" i="7"/>
  <c r="L505" i="7" s="1"/>
  <c r="O504" i="7"/>
  <c r="P504" i="7" s="1"/>
  <c r="K504" i="7"/>
  <c r="L504" i="7" s="1"/>
  <c r="O503" i="7"/>
  <c r="P503" i="7" s="1"/>
  <c r="K503" i="7"/>
  <c r="L503" i="7" s="1"/>
  <c r="P502" i="7"/>
  <c r="O502" i="7"/>
  <c r="K502" i="7"/>
  <c r="L502" i="7" s="1"/>
  <c r="O501" i="7"/>
  <c r="P501" i="7" s="1"/>
  <c r="K501" i="7"/>
  <c r="L501" i="7" s="1"/>
  <c r="O500" i="7"/>
  <c r="P500" i="7" s="1"/>
  <c r="K500" i="7"/>
  <c r="L500" i="7" s="1"/>
  <c r="O499" i="7"/>
  <c r="P499" i="7" s="1"/>
  <c r="K499" i="7"/>
  <c r="L499" i="7" s="1"/>
  <c r="P498" i="7"/>
  <c r="O498" i="7"/>
  <c r="K498" i="7"/>
  <c r="L498" i="7" s="1"/>
  <c r="O497" i="7"/>
  <c r="P497" i="7" s="1"/>
  <c r="K497" i="7"/>
  <c r="L497" i="7" s="1"/>
  <c r="O496" i="7"/>
  <c r="P496" i="7" s="1"/>
  <c r="K496" i="7"/>
  <c r="L496" i="7" s="1"/>
  <c r="P495" i="7"/>
  <c r="O495" i="7"/>
  <c r="K495" i="7"/>
  <c r="L495" i="7" s="1"/>
  <c r="P494" i="7"/>
  <c r="O494" i="7"/>
  <c r="L494" i="7"/>
  <c r="K494" i="7"/>
  <c r="P493" i="7"/>
  <c r="O493" i="7"/>
  <c r="L493" i="7"/>
  <c r="K493" i="7"/>
  <c r="P492" i="7"/>
  <c r="O492" i="7"/>
  <c r="L492" i="7"/>
  <c r="K492" i="7"/>
  <c r="P491" i="7"/>
  <c r="O491" i="7"/>
  <c r="L491" i="7"/>
  <c r="K491" i="7"/>
  <c r="P490" i="7"/>
  <c r="O490" i="7"/>
  <c r="L490" i="7"/>
  <c r="K490" i="7"/>
  <c r="P489" i="7"/>
  <c r="O489" i="7"/>
  <c r="L489" i="7"/>
  <c r="K489" i="7"/>
  <c r="P488" i="7"/>
  <c r="Q488" i="7" s="1"/>
  <c r="R488" i="7" s="1"/>
  <c r="O488" i="7"/>
  <c r="L488" i="7"/>
  <c r="M488" i="7" s="1"/>
  <c r="N488" i="7" s="1"/>
  <c r="S488" i="7" s="1"/>
  <c r="K488" i="7"/>
  <c r="P487" i="7"/>
  <c r="O487" i="7"/>
  <c r="L487" i="7"/>
  <c r="K487" i="7"/>
  <c r="P486" i="7"/>
  <c r="O486" i="7"/>
  <c r="L486" i="7"/>
  <c r="K486" i="7"/>
  <c r="P485" i="7"/>
  <c r="O485" i="7"/>
  <c r="L485" i="7"/>
  <c r="K485" i="7"/>
  <c r="P484" i="7"/>
  <c r="O484" i="7"/>
  <c r="L484" i="7"/>
  <c r="K484" i="7"/>
  <c r="P483" i="7"/>
  <c r="O483" i="7"/>
  <c r="L483" i="7"/>
  <c r="K483" i="7"/>
  <c r="O482" i="7"/>
  <c r="P482" i="7" s="1"/>
  <c r="K482" i="7"/>
  <c r="L482" i="7" s="1"/>
  <c r="M482" i="7" s="1"/>
  <c r="N482" i="7" s="1"/>
  <c r="S482" i="7" s="1"/>
  <c r="P481" i="7"/>
  <c r="O481" i="7"/>
  <c r="K481" i="7"/>
  <c r="L481" i="7" s="1"/>
  <c r="O480" i="7"/>
  <c r="P480" i="7" s="1"/>
  <c r="K480" i="7"/>
  <c r="L480" i="7" s="1"/>
  <c r="O479" i="7"/>
  <c r="P479" i="7" s="1"/>
  <c r="K479" i="7"/>
  <c r="L479" i="7" s="1"/>
  <c r="P478" i="7"/>
  <c r="O478" i="7"/>
  <c r="K478" i="7"/>
  <c r="L478" i="7" s="1"/>
  <c r="P477" i="7"/>
  <c r="O477" i="7"/>
  <c r="K477" i="7"/>
  <c r="L477" i="7" s="1"/>
  <c r="O476" i="7"/>
  <c r="P476" i="7" s="1"/>
  <c r="K476" i="7"/>
  <c r="L476" i="7" s="1"/>
  <c r="O475" i="7"/>
  <c r="P475" i="7" s="1"/>
  <c r="L475" i="7"/>
  <c r="K475" i="7"/>
  <c r="O474" i="7"/>
  <c r="P474" i="7" s="1"/>
  <c r="L474" i="7"/>
  <c r="K474" i="7"/>
  <c r="O473" i="7"/>
  <c r="P473" i="7" s="1"/>
  <c r="K473" i="7"/>
  <c r="L473" i="7" s="1"/>
  <c r="O472" i="7"/>
  <c r="P472" i="7" s="1"/>
  <c r="K472" i="7"/>
  <c r="L472" i="7" s="1"/>
  <c r="O469" i="7"/>
  <c r="P469" i="7" s="1"/>
  <c r="K469" i="7"/>
  <c r="L469" i="7" s="1"/>
  <c r="O468" i="7"/>
  <c r="P468" i="7" s="1"/>
  <c r="K468" i="7"/>
  <c r="L468" i="7" s="1"/>
  <c r="O467" i="7"/>
  <c r="P467" i="7" s="1"/>
  <c r="K467" i="7"/>
  <c r="L467" i="7" s="1"/>
  <c r="O466" i="7"/>
  <c r="P466" i="7" s="1"/>
  <c r="K466" i="7"/>
  <c r="L466" i="7" s="1"/>
  <c r="O465" i="7"/>
  <c r="P465" i="7" s="1"/>
  <c r="L465" i="7"/>
  <c r="K465" i="7"/>
  <c r="O464" i="7"/>
  <c r="P464" i="7" s="1"/>
  <c r="K464" i="7"/>
  <c r="L464" i="7" s="1"/>
  <c r="P463" i="7"/>
  <c r="O463" i="7"/>
  <c r="K463" i="7"/>
  <c r="L463" i="7" s="1"/>
  <c r="O462" i="7"/>
  <c r="P462" i="7" s="1"/>
  <c r="K462" i="7"/>
  <c r="L462" i="7" s="1"/>
  <c r="O461" i="7"/>
  <c r="P461" i="7" s="1"/>
  <c r="K461" i="7"/>
  <c r="L461" i="7" s="1"/>
  <c r="O460" i="7"/>
  <c r="P460" i="7" s="1"/>
  <c r="K460" i="7"/>
  <c r="L460" i="7" s="1"/>
  <c r="P459" i="7"/>
  <c r="O459" i="7"/>
  <c r="K459" i="7"/>
  <c r="L459" i="7" s="1"/>
  <c r="O458" i="7"/>
  <c r="P458" i="7" s="1"/>
  <c r="K458" i="7"/>
  <c r="L458" i="7" s="1"/>
  <c r="M458" i="7" s="1"/>
  <c r="N458" i="7" s="1"/>
  <c r="S458" i="7" s="1"/>
  <c r="O457" i="7"/>
  <c r="P457" i="7" s="1"/>
  <c r="L457" i="7"/>
  <c r="K457" i="7"/>
  <c r="O456" i="7"/>
  <c r="P456" i="7" s="1"/>
  <c r="K456" i="7"/>
  <c r="L456" i="7" s="1"/>
  <c r="O455" i="7"/>
  <c r="P455" i="7" s="1"/>
  <c r="K455" i="7"/>
  <c r="L455" i="7" s="1"/>
  <c r="O454" i="7"/>
  <c r="P454" i="7" s="1"/>
  <c r="K454" i="7"/>
  <c r="L454" i="7" s="1"/>
  <c r="O453" i="7"/>
  <c r="P453" i="7" s="1"/>
  <c r="L453" i="7"/>
  <c r="K453" i="7"/>
  <c r="O452" i="7"/>
  <c r="P452" i="7" s="1"/>
  <c r="K452" i="7"/>
  <c r="L452" i="7" s="1"/>
  <c r="P451" i="7"/>
  <c r="O451" i="7"/>
  <c r="K451" i="7"/>
  <c r="L451" i="7" s="1"/>
  <c r="O450" i="7"/>
  <c r="P450" i="7" s="1"/>
  <c r="K450" i="7"/>
  <c r="L450" i="7" s="1"/>
  <c r="O449" i="7"/>
  <c r="P449" i="7" s="1"/>
  <c r="K449" i="7"/>
  <c r="L449" i="7" s="1"/>
  <c r="O448" i="7"/>
  <c r="P448" i="7" s="1"/>
  <c r="K448" i="7"/>
  <c r="L448" i="7" s="1"/>
  <c r="P447" i="7"/>
  <c r="O447" i="7"/>
  <c r="K447" i="7"/>
  <c r="L447" i="7" s="1"/>
  <c r="O446" i="7"/>
  <c r="P446" i="7" s="1"/>
  <c r="K446" i="7"/>
  <c r="L446" i="7" s="1"/>
  <c r="M446" i="7" s="1"/>
  <c r="N446" i="7" s="1"/>
  <c r="S446" i="7" s="1"/>
  <c r="O445" i="7"/>
  <c r="P445" i="7" s="1"/>
  <c r="L445" i="7"/>
  <c r="K445" i="7"/>
  <c r="O444" i="7"/>
  <c r="P444" i="7" s="1"/>
  <c r="K444" i="7"/>
  <c r="L444" i="7" s="1"/>
  <c r="O443" i="7"/>
  <c r="P443" i="7" s="1"/>
  <c r="K443" i="7"/>
  <c r="L443" i="7" s="1"/>
  <c r="O442" i="7"/>
  <c r="P442" i="7" s="1"/>
  <c r="L442" i="7"/>
  <c r="K442" i="7"/>
  <c r="O441" i="7"/>
  <c r="P441" i="7" s="1"/>
  <c r="L441" i="7"/>
  <c r="K441" i="7"/>
  <c r="O440" i="7"/>
  <c r="P440" i="7" s="1"/>
  <c r="K440" i="7"/>
  <c r="L440" i="7" s="1"/>
  <c r="O439" i="7"/>
  <c r="P439" i="7" s="1"/>
  <c r="K439" i="7"/>
  <c r="L439" i="7" s="1"/>
  <c r="P438" i="7"/>
  <c r="O438" i="7"/>
  <c r="K438" i="7"/>
  <c r="L438" i="7" s="1"/>
  <c r="O437" i="7"/>
  <c r="P437" i="7" s="1"/>
  <c r="K437" i="7"/>
  <c r="L437" i="7" s="1"/>
  <c r="O436" i="7"/>
  <c r="P436" i="7" s="1"/>
  <c r="K436" i="7"/>
  <c r="L436" i="7" s="1"/>
  <c r="M436" i="7" s="1"/>
  <c r="N436" i="7" s="1"/>
  <c r="S436" i="7" s="1"/>
  <c r="P433" i="7"/>
  <c r="O433" i="7"/>
  <c r="L433" i="7"/>
  <c r="K433" i="7"/>
  <c r="P432" i="7"/>
  <c r="O432" i="7"/>
  <c r="L432" i="7"/>
  <c r="K432" i="7"/>
  <c r="P431" i="7"/>
  <c r="O431" i="7"/>
  <c r="L431" i="7"/>
  <c r="K431" i="7"/>
  <c r="P430" i="7"/>
  <c r="O430" i="7"/>
  <c r="L430" i="7"/>
  <c r="K430" i="7"/>
  <c r="P429" i="7"/>
  <c r="O429" i="7"/>
  <c r="L429" i="7"/>
  <c r="K429" i="7"/>
  <c r="O428" i="7"/>
  <c r="P428" i="7" s="1"/>
  <c r="Q428" i="7" s="1"/>
  <c r="R428" i="7" s="1"/>
  <c r="K428" i="7"/>
  <c r="L428" i="7" s="1"/>
  <c r="M428" i="7" s="1"/>
  <c r="N428" i="7" s="1"/>
  <c r="S428" i="7" s="1"/>
  <c r="O427" i="7"/>
  <c r="P427" i="7" s="1"/>
  <c r="L427" i="7"/>
  <c r="K427" i="7"/>
  <c r="O426" i="7"/>
  <c r="P426" i="7" s="1"/>
  <c r="L426" i="7"/>
  <c r="K426" i="7"/>
  <c r="O425" i="7"/>
  <c r="P425" i="7" s="1"/>
  <c r="K425" i="7"/>
  <c r="L425" i="7" s="1"/>
  <c r="O424" i="7"/>
  <c r="P424" i="7" s="1"/>
  <c r="K424" i="7"/>
  <c r="L424" i="7" s="1"/>
  <c r="O423" i="7"/>
  <c r="P423" i="7" s="1"/>
  <c r="L423" i="7"/>
  <c r="K423" i="7"/>
  <c r="O422" i="7"/>
  <c r="P422" i="7" s="1"/>
  <c r="K422" i="7"/>
  <c r="L422" i="7" s="1"/>
  <c r="O421" i="7"/>
  <c r="P421" i="7" s="1"/>
  <c r="K421" i="7"/>
  <c r="L421" i="7" s="1"/>
  <c r="P420" i="7"/>
  <c r="O420" i="7"/>
  <c r="K420" i="7"/>
  <c r="L420" i="7" s="1"/>
  <c r="O419" i="7"/>
  <c r="P419" i="7" s="1"/>
  <c r="K419" i="7"/>
  <c r="L419" i="7" s="1"/>
  <c r="P418" i="7"/>
  <c r="O418" i="7"/>
  <c r="K418" i="7"/>
  <c r="L418" i="7" s="1"/>
  <c r="O417" i="7"/>
  <c r="P417" i="7" s="1"/>
  <c r="K417" i="7"/>
  <c r="L417" i="7" s="1"/>
  <c r="P416" i="7"/>
  <c r="O416" i="7"/>
  <c r="L416" i="7"/>
  <c r="K416" i="7"/>
  <c r="P415" i="7"/>
  <c r="O415" i="7"/>
  <c r="L415" i="7"/>
  <c r="K415" i="7"/>
  <c r="P414" i="7"/>
  <c r="O414" i="7"/>
  <c r="L414" i="7"/>
  <c r="K414" i="7"/>
  <c r="P413" i="7"/>
  <c r="O413" i="7"/>
  <c r="L413" i="7"/>
  <c r="K413" i="7"/>
  <c r="P412" i="7"/>
  <c r="O412" i="7"/>
  <c r="L412" i="7"/>
  <c r="K412" i="7"/>
  <c r="P411" i="7"/>
  <c r="O411" i="7"/>
  <c r="L411" i="7"/>
  <c r="K411" i="7"/>
  <c r="O410" i="7"/>
  <c r="P410" i="7" s="1"/>
  <c r="Q410" i="7" s="1"/>
  <c r="R410" i="7" s="1"/>
  <c r="K410" i="7"/>
  <c r="L410" i="7" s="1"/>
  <c r="P409" i="7"/>
  <c r="O409" i="7"/>
  <c r="K409" i="7"/>
  <c r="L409" i="7" s="1"/>
  <c r="O408" i="7"/>
  <c r="P408" i="7" s="1"/>
  <c r="K408" i="7"/>
  <c r="L408" i="7" s="1"/>
  <c r="P407" i="7"/>
  <c r="O407" i="7"/>
  <c r="K407" i="7"/>
  <c r="L407" i="7" s="1"/>
  <c r="O406" i="7"/>
  <c r="P406" i="7" s="1"/>
  <c r="K406" i="7"/>
  <c r="L406" i="7" s="1"/>
  <c r="P405" i="7"/>
  <c r="O405" i="7"/>
  <c r="K405" i="7"/>
  <c r="L405" i="7" s="1"/>
  <c r="O404" i="7"/>
  <c r="P404" i="7" s="1"/>
  <c r="L404" i="7"/>
  <c r="K404" i="7"/>
  <c r="O403" i="7"/>
  <c r="P403" i="7" s="1"/>
  <c r="L403" i="7"/>
  <c r="K403" i="7"/>
  <c r="O402" i="7"/>
  <c r="P402" i="7" s="1"/>
  <c r="K402" i="7"/>
  <c r="L402" i="7" s="1"/>
  <c r="O401" i="7"/>
  <c r="P401" i="7" s="1"/>
  <c r="L401" i="7"/>
  <c r="K401" i="7"/>
  <c r="O400" i="7"/>
  <c r="P400" i="7" s="1"/>
  <c r="L400" i="7"/>
  <c r="K400" i="7"/>
  <c r="O397" i="7"/>
  <c r="P397" i="7" s="1"/>
  <c r="K397" i="7"/>
  <c r="L397" i="7" s="1"/>
  <c r="O396" i="7"/>
  <c r="P396" i="7" s="1"/>
  <c r="L396" i="7"/>
  <c r="K396" i="7"/>
  <c r="O395" i="7"/>
  <c r="P395" i="7" s="1"/>
  <c r="K395" i="7"/>
  <c r="L395" i="7" s="1"/>
  <c r="O394" i="7"/>
  <c r="P394" i="7" s="1"/>
  <c r="K394" i="7"/>
  <c r="L394" i="7" s="1"/>
  <c r="O393" i="7"/>
  <c r="P393" i="7" s="1"/>
  <c r="L393" i="7"/>
  <c r="K393" i="7"/>
  <c r="O392" i="7"/>
  <c r="P392" i="7" s="1"/>
  <c r="L392" i="7"/>
  <c r="K392" i="7"/>
  <c r="O391" i="7"/>
  <c r="P391" i="7" s="1"/>
  <c r="L391" i="7"/>
  <c r="K391" i="7"/>
  <c r="O390" i="7"/>
  <c r="P390" i="7" s="1"/>
  <c r="L390" i="7"/>
  <c r="K390" i="7"/>
  <c r="O389" i="7"/>
  <c r="P389" i="7" s="1"/>
  <c r="L389" i="7"/>
  <c r="K389" i="7"/>
  <c r="O388" i="7"/>
  <c r="P388" i="7" s="1"/>
  <c r="L388" i="7"/>
  <c r="K388" i="7"/>
  <c r="O387" i="7"/>
  <c r="P387" i="7" s="1"/>
  <c r="L387" i="7"/>
  <c r="K387" i="7"/>
  <c r="O386" i="7"/>
  <c r="P386" i="7" s="1"/>
  <c r="K386" i="7"/>
  <c r="L386" i="7" s="1"/>
  <c r="M386" i="7" s="1"/>
  <c r="N386" i="7" s="1"/>
  <c r="S386" i="7" s="1"/>
  <c r="O385" i="7"/>
  <c r="P385" i="7" s="1"/>
  <c r="K385" i="7"/>
  <c r="L385" i="7" s="1"/>
  <c r="P384" i="7"/>
  <c r="O384" i="7"/>
  <c r="K384" i="7"/>
  <c r="L384" i="7" s="1"/>
  <c r="O383" i="7"/>
  <c r="P383" i="7" s="1"/>
  <c r="K383" i="7"/>
  <c r="L383" i="7" s="1"/>
  <c r="P382" i="7"/>
  <c r="O382" i="7"/>
  <c r="K382" i="7"/>
  <c r="L382" i="7" s="1"/>
  <c r="O381" i="7"/>
  <c r="P381" i="7" s="1"/>
  <c r="K381" i="7"/>
  <c r="L381" i="7" s="1"/>
  <c r="O380" i="7"/>
  <c r="P380" i="7" s="1"/>
  <c r="K380" i="7"/>
  <c r="L380" i="7" s="1"/>
  <c r="O379" i="7"/>
  <c r="P379" i="7" s="1"/>
  <c r="K379" i="7"/>
  <c r="L379" i="7" s="1"/>
  <c r="O378" i="7"/>
  <c r="P378" i="7" s="1"/>
  <c r="L378" i="7"/>
  <c r="K378" i="7"/>
  <c r="O377" i="7"/>
  <c r="P377" i="7" s="1"/>
  <c r="K377" i="7"/>
  <c r="L377" i="7" s="1"/>
  <c r="O376" i="7"/>
  <c r="P376" i="7" s="1"/>
  <c r="L376" i="7"/>
  <c r="K376" i="7"/>
  <c r="O375" i="7"/>
  <c r="P375" i="7" s="1"/>
  <c r="K375" i="7"/>
  <c r="L375" i="7" s="1"/>
  <c r="M374" i="7" s="1"/>
  <c r="N374" i="7" s="1"/>
  <c r="S374" i="7" s="1"/>
  <c r="O374" i="7"/>
  <c r="P374" i="7" s="1"/>
  <c r="K374" i="7"/>
  <c r="L374" i="7" s="1"/>
  <c r="P373" i="7"/>
  <c r="O373" i="7"/>
  <c r="K373" i="7"/>
  <c r="L373" i="7" s="1"/>
  <c r="O372" i="7"/>
  <c r="P372" i="7" s="1"/>
  <c r="K372" i="7"/>
  <c r="L372" i="7" s="1"/>
  <c r="O371" i="7"/>
  <c r="P371" i="7" s="1"/>
  <c r="K371" i="7"/>
  <c r="L371" i="7" s="1"/>
  <c r="O370" i="7"/>
  <c r="P370" i="7" s="1"/>
  <c r="K370" i="7"/>
  <c r="L370" i="7" s="1"/>
  <c r="P369" i="7"/>
  <c r="O369" i="7"/>
  <c r="K369" i="7"/>
  <c r="L369" i="7" s="1"/>
  <c r="O368" i="7"/>
  <c r="P368" i="7" s="1"/>
  <c r="K368" i="7"/>
  <c r="L368" i="7" s="1"/>
  <c r="O367" i="7"/>
  <c r="P367" i="7" s="1"/>
  <c r="L367" i="7"/>
  <c r="K367" i="7"/>
  <c r="O366" i="7"/>
  <c r="P366" i="7" s="1"/>
  <c r="Q364" i="7" s="1"/>
  <c r="R364" i="7" s="1"/>
  <c r="K366" i="7"/>
  <c r="L366" i="7" s="1"/>
  <c r="O365" i="7"/>
  <c r="P365" i="7" s="1"/>
  <c r="L365" i="7"/>
  <c r="K365" i="7"/>
  <c r="O364" i="7"/>
  <c r="P364" i="7" s="1"/>
  <c r="K364" i="7"/>
  <c r="L364" i="7" s="1"/>
  <c r="O361" i="7"/>
  <c r="P361" i="7" s="1"/>
  <c r="K361" i="7"/>
  <c r="L361" i="7" s="1"/>
  <c r="O360" i="7"/>
  <c r="P360" i="7" s="1"/>
  <c r="Q356" i="7" s="1"/>
  <c r="R356" i="7" s="1"/>
  <c r="K360" i="7"/>
  <c r="L360" i="7" s="1"/>
  <c r="O359" i="7"/>
  <c r="P359" i="7" s="1"/>
  <c r="L359" i="7"/>
  <c r="K359" i="7"/>
  <c r="O358" i="7"/>
  <c r="P358" i="7" s="1"/>
  <c r="K358" i="7"/>
  <c r="L358" i="7" s="1"/>
  <c r="O357" i="7"/>
  <c r="P357" i="7" s="1"/>
  <c r="K357" i="7"/>
  <c r="L357" i="7" s="1"/>
  <c r="O356" i="7"/>
  <c r="P356" i="7" s="1"/>
  <c r="K356" i="7"/>
  <c r="L356" i="7" s="1"/>
  <c r="O355" i="7"/>
  <c r="P355" i="7" s="1"/>
  <c r="K355" i="7"/>
  <c r="L355" i="7" s="1"/>
  <c r="P354" i="7"/>
  <c r="O354" i="7"/>
  <c r="K354" i="7"/>
  <c r="L354" i="7" s="1"/>
  <c r="O353" i="7"/>
  <c r="P353" i="7" s="1"/>
  <c r="K353" i="7"/>
  <c r="L353" i="7" s="1"/>
  <c r="O352" i="7"/>
  <c r="P352" i="7" s="1"/>
  <c r="K352" i="7"/>
  <c r="L352" i="7" s="1"/>
  <c r="O351" i="7"/>
  <c r="P351" i="7" s="1"/>
  <c r="K351" i="7"/>
  <c r="L351" i="7" s="1"/>
  <c r="O350" i="7"/>
  <c r="P350" i="7" s="1"/>
  <c r="K350" i="7"/>
  <c r="L350" i="7" s="1"/>
  <c r="O349" i="7"/>
  <c r="P349" i="7" s="1"/>
  <c r="K349" i="7"/>
  <c r="L349" i="7" s="1"/>
  <c r="O348" i="7"/>
  <c r="P348" i="7" s="1"/>
  <c r="K348" i="7"/>
  <c r="L348" i="7" s="1"/>
  <c r="O347" i="7"/>
  <c r="P347" i="7" s="1"/>
  <c r="K347" i="7"/>
  <c r="L347" i="7" s="1"/>
  <c r="O346" i="7"/>
  <c r="P346" i="7" s="1"/>
  <c r="K346" i="7"/>
  <c r="L346" i="7" s="1"/>
  <c r="O345" i="7"/>
  <c r="P345" i="7" s="1"/>
  <c r="K345" i="7"/>
  <c r="L345" i="7" s="1"/>
  <c r="O344" i="7"/>
  <c r="P344" i="7" s="1"/>
  <c r="K344" i="7"/>
  <c r="L344" i="7" s="1"/>
  <c r="O343" i="7"/>
  <c r="P343" i="7" s="1"/>
  <c r="K343" i="7"/>
  <c r="L343" i="7" s="1"/>
  <c r="O342" i="7"/>
  <c r="P342" i="7" s="1"/>
  <c r="K342" i="7"/>
  <c r="L342" i="7" s="1"/>
  <c r="O341" i="7"/>
  <c r="P341" i="7" s="1"/>
  <c r="K341" i="7"/>
  <c r="L341" i="7" s="1"/>
  <c r="O340" i="7"/>
  <c r="P340" i="7" s="1"/>
  <c r="K340" i="7"/>
  <c r="L340" i="7" s="1"/>
  <c r="O339" i="7"/>
  <c r="P339" i="7" s="1"/>
  <c r="K339" i="7"/>
  <c r="L339" i="7" s="1"/>
  <c r="O338" i="7"/>
  <c r="P338" i="7" s="1"/>
  <c r="K338" i="7"/>
  <c r="L338" i="7" s="1"/>
  <c r="O337" i="7"/>
  <c r="P337" i="7" s="1"/>
  <c r="K337" i="7"/>
  <c r="L337" i="7" s="1"/>
  <c r="O336" i="7"/>
  <c r="P336" i="7" s="1"/>
  <c r="K336" i="7"/>
  <c r="L336" i="7" s="1"/>
  <c r="O335" i="7"/>
  <c r="P335" i="7" s="1"/>
  <c r="K335" i="7"/>
  <c r="L335" i="7" s="1"/>
  <c r="O334" i="7"/>
  <c r="P334" i="7" s="1"/>
  <c r="K334" i="7"/>
  <c r="L334" i="7" s="1"/>
  <c r="O333" i="7"/>
  <c r="P333" i="7" s="1"/>
  <c r="K333" i="7"/>
  <c r="L333" i="7" s="1"/>
  <c r="M332" i="7" s="1"/>
  <c r="N332" i="7" s="1"/>
  <c r="S332" i="7" s="1"/>
  <c r="O332" i="7"/>
  <c r="P332" i="7" s="1"/>
  <c r="K332" i="7"/>
  <c r="L332" i="7" s="1"/>
  <c r="O331" i="7"/>
  <c r="P331" i="7" s="1"/>
  <c r="K331" i="7"/>
  <c r="L331" i="7" s="1"/>
  <c r="O330" i="7"/>
  <c r="P330" i="7" s="1"/>
  <c r="K330" i="7"/>
  <c r="L330" i="7" s="1"/>
  <c r="O329" i="7"/>
  <c r="P329" i="7" s="1"/>
  <c r="K329" i="7"/>
  <c r="L329" i="7" s="1"/>
  <c r="O328" i="7"/>
  <c r="P328" i="7" s="1"/>
  <c r="K328" i="7"/>
  <c r="L328" i="7" s="1"/>
  <c r="O325" i="7"/>
  <c r="P325" i="7" s="1"/>
  <c r="K325" i="7"/>
  <c r="L325" i="7" s="1"/>
  <c r="O324" i="7"/>
  <c r="P324" i="7" s="1"/>
  <c r="K324" i="7"/>
  <c r="L324" i="7" s="1"/>
  <c r="O323" i="7"/>
  <c r="P323" i="7" s="1"/>
  <c r="K323" i="7"/>
  <c r="L323" i="7" s="1"/>
  <c r="O322" i="7"/>
  <c r="P322" i="7" s="1"/>
  <c r="K322" i="7"/>
  <c r="L322" i="7" s="1"/>
  <c r="O321" i="7"/>
  <c r="P321" i="7" s="1"/>
  <c r="K321" i="7"/>
  <c r="L321" i="7" s="1"/>
  <c r="O320" i="7"/>
  <c r="P320" i="7" s="1"/>
  <c r="K320" i="7"/>
  <c r="L320" i="7" s="1"/>
  <c r="O319" i="7"/>
  <c r="P319" i="7" s="1"/>
  <c r="K319" i="7"/>
  <c r="L319" i="7" s="1"/>
  <c r="O318" i="7"/>
  <c r="P318" i="7" s="1"/>
  <c r="K318" i="7"/>
  <c r="L318" i="7" s="1"/>
  <c r="O317" i="7"/>
  <c r="P317" i="7" s="1"/>
  <c r="K317" i="7"/>
  <c r="L317" i="7" s="1"/>
  <c r="O316" i="7"/>
  <c r="P316" i="7" s="1"/>
  <c r="K316" i="7"/>
  <c r="L316" i="7" s="1"/>
  <c r="O315" i="7"/>
  <c r="P315" i="7" s="1"/>
  <c r="K315" i="7"/>
  <c r="L315" i="7" s="1"/>
  <c r="O314" i="7"/>
  <c r="P314" i="7" s="1"/>
  <c r="Q314" i="7" s="1"/>
  <c r="R314" i="7" s="1"/>
  <c r="K314" i="7"/>
  <c r="L314" i="7" s="1"/>
  <c r="M314" i="7" s="1"/>
  <c r="N314" i="7" s="1"/>
  <c r="S314" i="7" s="1"/>
  <c r="U314" i="7" s="1"/>
  <c r="O313" i="7"/>
  <c r="P313" i="7" s="1"/>
  <c r="K313" i="7"/>
  <c r="L313" i="7" s="1"/>
  <c r="O312" i="7"/>
  <c r="P312" i="7" s="1"/>
  <c r="K312" i="7"/>
  <c r="L312" i="7" s="1"/>
  <c r="O311" i="7"/>
  <c r="P311" i="7" s="1"/>
  <c r="K311" i="7"/>
  <c r="L311" i="7" s="1"/>
  <c r="O310" i="7"/>
  <c r="P310" i="7" s="1"/>
  <c r="K310" i="7"/>
  <c r="L310" i="7" s="1"/>
  <c r="O309" i="7"/>
  <c r="P309" i="7" s="1"/>
  <c r="K309" i="7"/>
  <c r="L309" i="7" s="1"/>
  <c r="O308" i="7"/>
  <c r="P308" i="7" s="1"/>
  <c r="Q308" i="7" s="1"/>
  <c r="R308" i="7" s="1"/>
  <c r="M308" i="7"/>
  <c r="N308" i="7" s="1"/>
  <c r="S308" i="7" s="1"/>
  <c r="U308" i="7" s="1"/>
  <c r="K308" i="7"/>
  <c r="L308" i="7" s="1"/>
  <c r="O307" i="7"/>
  <c r="P307" i="7" s="1"/>
  <c r="K307" i="7"/>
  <c r="L307" i="7" s="1"/>
  <c r="O306" i="7"/>
  <c r="P306" i="7" s="1"/>
  <c r="K306" i="7"/>
  <c r="L306" i="7" s="1"/>
  <c r="O305" i="7"/>
  <c r="P305" i="7" s="1"/>
  <c r="K305" i="7"/>
  <c r="L305" i="7" s="1"/>
  <c r="O304" i="7"/>
  <c r="P304" i="7" s="1"/>
  <c r="K304" i="7"/>
  <c r="L304" i="7" s="1"/>
  <c r="O303" i="7"/>
  <c r="P303" i="7" s="1"/>
  <c r="K303" i="7"/>
  <c r="L303" i="7" s="1"/>
  <c r="O302" i="7"/>
  <c r="P302" i="7" s="1"/>
  <c r="K302" i="7"/>
  <c r="L302" i="7" s="1"/>
  <c r="O301" i="7"/>
  <c r="P301" i="7" s="1"/>
  <c r="K301" i="7"/>
  <c r="L301" i="7" s="1"/>
  <c r="O300" i="7"/>
  <c r="P300" i="7" s="1"/>
  <c r="K300" i="7"/>
  <c r="L300" i="7" s="1"/>
  <c r="O299" i="7"/>
  <c r="P299" i="7" s="1"/>
  <c r="K299" i="7"/>
  <c r="L299" i="7" s="1"/>
  <c r="O298" i="7"/>
  <c r="P298" i="7" s="1"/>
  <c r="K298" i="7"/>
  <c r="L298" i="7" s="1"/>
  <c r="O297" i="7"/>
  <c r="P297" i="7" s="1"/>
  <c r="K297" i="7"/>
  <c r="L297" i="7" s="1"/>
  <c r="Q296" i="7"/>
  <c r="R296" i="7" s="1"/>
  <c r="O296" i="7"/>
  <c r="P296" i="7" s="1"/>
  <c r="K296" i="7"/>
  <c r="L296" i="7" s="1"/>
  <c r="O295" i="7"/>
  <c r="P295" i="7" s="1"/>
  <c r="K295" i="7"/>
  <c r="L295" i="7" s="1"/>
  <c r="O294" i="7"/>
  <c r="P294" i="7" s="1"/>
  <c r="K294" i="7"/>
  <c r="L294" i="7" s="1"/>
  <c r="O293" i="7"/>
  <c r="P293" i="7" s="1"/>
  <c r="K293" i="7"/>
  <c r="L293" i="7" s="1"/>
  <c r="O292" i="7"/>
  <c r="P292" i="7" s="1"/>
  <c r="K292" i="7"/>
  <c r="L292" i="7" s="1"/>
  <c r="M292" i="7" s="1"/>
  <c r="N292" i="7" s="1"/>
  <c r="S292" i="7" s="1"/>
  <c r="O289" i="7"/>
  <c r="P289" i="7" s="1"/>
  <c r="K289" i="7"/>
  <c r="L289" i="7" s="1"/>
  <c r="O288" i="7"/>
  <c r="P288" i="7" s="1"/>
  <c r="K288" i="7"/>
  <c r="L288" i="7" s="1"/>
  <c r="O287" i="7"/>
  <c r="P287" i="7" s="1"/>
  <c r="K287" i="7"/>
  <c r="L287" i="7" s="1"/>
  <c r="O286" i="7"/>
  <c r="P286" i="7" s="1"/>
  <c r="K286" i="7"/>
  <c r="L286" i="7" s="1"/>
  <c r="O285" i="7"/>
  <c r="P285" i="7" s="1"/>
  <c r="K285" i="7"/>
  <c r="L285" i="7" s="1"/>
  <c r="O284" i="7"/>
  <c r="P284" i="7" s="1"/>
  <c r="K284" i="7"/>
  <c r="L284" i="7" s="1"/>
  <c r="M284" i="7" s="1"/>
  <c r="N284" i="7" s="1"/>
  <c r="S284" i="7" s="1"/>
  <c r="O283" i="7"/>
  <c r="P283" i="7" s="1"/>
  <c r="K283" i="7"/>
  <c r="L283" i="7" s="1"/>
  <c r="O282" i="7"/>
  <c r="P282" i="7" s="1"/>
  <c r="K282" i="7"/>
  <c r="L282" i="7" s="1"/>
  <c r="O281" i="7"/>
  <c r="P281" i="7" s="1"/>
  <c r="K281" i="7"/>
  <c r="L281" i="7" s="1"/>
  <c r="O280" i="7"/>
  <c r="P280" i="7" s="1"/>
  <c r="K280" i="7"/>
  <c r="L280" i="7" s="1"/>
  <c r="O279" i="7"/>
  <c r="P279" i="7" s="1"/>
  <c r="K279" i="7"/>
  <c r="L279" i="7" s="1"/>
  <c r="O278" i="7"/>
  <c r="P278" i="7" s="1"/>
  <c r="K278" i="7"/>
  <c r="L278" i="7" s="1"/>
  <c r="M278" i="7" s="1"/>
  <c r="N278" i="7" s="1"/>
  <c r="S278" i="7" s="1"/>
  <c r="O277" i="7"/>
  <c r="P277" i="7" s="1"/>
  <c r="K277" i="7"/>
  <c r="L277" i="7" s="1"/>
  <c r="O276" i="7"/>
  <c r="P276" i="7" s="1"/>
  <c r="K276" i="7"/>
  <c r="L276" i="7" s="1"/>
  <c r="O275" i="7"/>
  <c r="P275" i="7" s="1"/>
  <c r="K275" i="7"/>
  <c r="L275" i="7" s="1"/>
  <c r="O274" i="7"/>
  <c r="P274" i="7" s="1"/>
  <c r="K274" i="7"/>
  <c r="L274" i="7" s="1"/>
  <c r="O273" i="7"/>
  <c r="P273" i="7" s="1"/>
  <c r="K273" i="7"/>
  <c r="L273" i="7" s="1"/>
  <c r="O272" i="7"/>
  <c r="P272" i="7" s="1"/>
  <c r="K272" i="7"/>
  <c r="L272" i="7" s="1"/>
  <c r="M272" i="7" s="1"/>
  <c r="N272" i="7" s="1"/>
  <c r="S272" i="7" s="1"/>
  <c r="O271" i="7"/>
  <c r="P271" i="7" s="1"/>
  <c r="K271" i="7"/>
  <c r="L271" i="7" s="1"/>
  <c r="O270" i="7"/>
  <c r="P270" i="7" s="1"/>
  <c r="K270" i="7"/>
  <c r="L270" i="7" s="1"/>
  <c r="O269" i="7"/>
  <c r="P269" i="7" s="1"/>
  <c r="K269" i="7"/>
  <c r="L269" i="7" s="1"/>
  <c r="O268" i="7"/>
  <c r="P268" i="7" s="1"/>
  <c r="K268" i="7"/>
  <c r="L268" i="7" s="1"/>
  <c r="O267" i="7"/>
  <c r="P267" i="7" s="1"/>
  <c r="K267" i="7"/>
  <c r="L267" i="7" s="1"/>
  <c r="O266" i="7"/>
  <c r="P266" i="7" s="1"/>
  <c r="Q266" i="7" s="1"/>
  <c r="R266" i="7" s="1"/>
  <c r="K266" i="7"/>
  <c r="L266" i="7" s="1"/>
  <c r="O265" i="7"/>
  <c r="P265" i="7" s="1"/>
  <c r="K265" i="7"/>
  <c r="L265" i="7" s="1"/>
  <c r="O264" i="7"/>
  <c r="P264" i="7" s="1"/>
  <c r="K264" i="7"/>
  <c r="L264" i="7" s="1"/>
  <c r="O263" i="7"/>
  <c r="P263" i="7" s="1"/>
  <c r="K263" i="7"/>
  <c r="L263" i="7" s="1"/>
  <c r="O262" i="7"/>
  <c r="P262" i="7" s="1"/>
  <c r="K262" i="7"/>
  <c r="L262" i="7" s="1"/>
  <c r="O261" i="7"/>
  <c r="P261" i="7" s="1"/>
  <c r="K261" i="7"/>
  <c r="L261" i="7" s="1"/>
  <c r="M260" i="7" s="1"/>
  <c r="N260" i="7" s="1"/>
  <c r="S260" i="7" s="1"/>
  <c r="O260" i="7"/>
  <c r="P260" i="7" s="1"/>
  <c r="Q260" i="7" s="1"/>
  <c r="R260" i="7" s="1"/>
  <c r="K260" i="7"/>
  <c r="L260" i="7" s="1"/>
  <c r="O259" i="7"/>
  <c r="P259" i="7" s="1"/>
  <c r="K259" i="7"/>
  <c r="L259" i="7" s="1"/>
  <c r="O258" i="7"/>
  <c r="P258" i="7" s="1"/>
  <c r="K258" i="7"/>
  <c r="L258" i="7" s="1"/>
  <c r="O257" i="7"/>
  <c r="P257" i="7" s="1"/>
  <c r="K257" i="7"/>
  <c r="L257" i="7" s="1"/>
  <c r="O256" i="7"/>
  <c r="P256" i="7" s="1"/>
  <c r="Q256" i="7" s="1"/>
  <c r="R256" i="7" s="1"/>
  <c r="K256" i="7"/>
  <c r="L256" i="7" s="1"/>
  <c r="M256" i="7" s="1"/>
  <c r="N256" i="7" s="1"/>
  <c r="S256" i="7" s="1"/>
  <c r="U256" i="7" s="1"/>
  <c r="O253" i="7"/>
  <c r="P253" i="7" s="1"/>
  <c r="K253" i="7"/>
  <c r="L253" i="7" s="1"/>
  <c r="O252" i="7"/>
  <c r="P252" i="7" s="1"/>
  <c r="K252" i="7"/>
  <c r="L252" i="7" s="1"/>
  <c r="O251" i="7"/>
  <c r="P251" i="7" s="1"/>
  <c r="K251" i="7"/>
  <c r="L251" i="7" s="1"/>
  <c r="O250" i="7"/>
  <c r="P250" i="7" s="1"/>
  <c r="K250" i="7"/>
  <c r="L250" i="7" s="1"/>
  <c r="M248" i="7" s="1"/>
  <c r="N248" i="7" s="1"/>
  <c r="S248" i="7" s="1"/>
  <c r="O249" i="7"/>
  <c r="P249" i="7" s="1"/>
  <c r="K249" i="7"/>
  <c r="L249" i="7" s="1"/>
  <c r="O248" i="7"/>
  <c r="P248" i="7" s="1"/>
  <c r="K248" i="7"/>
  <c r="L248" i="7" s="1"/>
  <c r="O247" i="7"/>
  <c r="P247" i="7" s="1"/>
  <c r="K247" i="7"/>
  <c r="L247" i="7" s="1"/>
  <c r="O246" i="7"/>
  <c r="P246" i="7" s="1"/>
  <c r="K246" i="7"/>
  <c r="L246" i="7" s="1"/>
  <c r="O245" i="7"/>
  <c r="P245" i="7" s="1"/>
  <c r="K245" i="7"/>
  <c r="L245" i="7" s="1"/>
  <c r="O244" i="7"/>
  <c r="P244" i="7" s="1"/>
  <c r="K244" i="7"/>
  <c r="L244" i="7" s="1"/>
  <c r="O243" i="7"/>
  <c r="P243" i="7" s="1"/>
  <c r="K243" i="7"/>
  <c r="L243" i="7" s="1"/>
  <c r="O242" i="7"/>
  <c r="P242" i="7" s="1"/>
  <c r="K242" i="7"/>
  <c r="L242" i="7" s="1"/>
  <c r="M242" i="7" s="1"/>
  <c r="N242" i="7" s="1"/>
  <c r="S242" i="7" s="1"/>
  <c r="O241" i="7"/>
  <c r="P241" i="7" s="1"/>
  <c r="K241" i="7"/>
  <c r="L241" i="7" s="1"/>
  <c r="O240" i="7"/>
  <c r="P240" i="7" s="1"/>
  <c r="K240" i="7"/>
  <c r="L240" i="7" s="1"/>
  <c r="O239" i="7"/>
  <c r="P239" i="7" s="1"/>
  <c r="L239" i="7"/>
  <c r="K239" i="7"/>
  <c r="O238" i="7"/>
  <c r="P238" i="7" s="1"/>
  <c r="K238" i="7"/>
  <c r="L238" i="7" s="1"/>
  <c r="O237" i="7"/>
  <c r="P237" i="7" s="1"/>
  <c r="K237" i="7"/>
  <c r="L237" i="7" s="1"/>
  <c r="O236" i="7"/>
  <c r="P236" i="7" s="1"/>
  <c r="Q236" i="7" s="1"/>
  <c r="R236" i="7" s="1"/>
  <c r="K236" i="7"/>
  <c r="L236" i="7" s="1"/>
  <c r="O235" i="7"/>
  <c r="P235" i="7" s="1"/>
  <c r="K235" i="7"/>
  <c r="L235" i="7" s="1"/>
  <c r="O234" i="7"/>
  <c r="P234" i="7" s="1"/>
  <c r="K234" i="7"/>
  <c r="L234" i="7" s="1"/>
  <c r="O233" i="7"/>
  <c r="P233" i="7" s="1"/>
  <c r="K233" i="7"/>
  <c r="L233" i="7" s="1"/>
  <c r="P232" i="7"/>
  <c r="O232" i="7"/>
  <c r="K232" i="7"/>
  <c r="L232" i="7" s="1"/>
  <c r="O231" i="7"/>
  <c r="P231" i="7" s="1"/>
  <c r="K231" i="7"/>
  <c r="L231" i="7" s="1"/>
  <c r="O230" i="7"/>
  <c r="P230" i="7" s="1"/>
  <c r="L230" i="7"/>
  <c r="M230" i="7" s="1"/>
  <c r="N230" i="7" s="1"/>
  <c r="S230" i="7" s="1"/>
  <c r="K230" i="7"/>
  <c r="O229" i="7"/>
  <c r="P229" i="7" s="1"/>
  <c r="K229" i="7"/>
  <c r="L229" i="7" s="1"/>
  <c r="O228" i="7"/>
  <c r="P228" i="7" s="1"/>
  <c r="K228" i="7"/>
  <c r="L228" i="7" s="1"/>
  <c r="O227" i="7"/>
  <c r="P227" i="7" s="1"/>
  <c r="K227" i="7"/>
  <c r="L227" i="7" s="1"/>
  <c r="O226" i="7"/>
  <c r="P226" i="7" s="1"/>
  <c r="L226" i="7"/>
  <c r="K226" i="7"/>
  <c r="O225" i="7"/>
  <c r="P225" i="7" s="1"/>
  <c r="K225" i="7"/>
  <c r="L225" i="7" s="1"/>
  <c r="O224" i="7"/>
  <c r="P224" i="7" s="1"/>
  <c r="K224" i="7"/>
  <c r="L224" i="7" s="1"/>
  <c r="O223" i="7"/>
  <c r="P223" i="7" s="1"/>
  <c r="K223" i="7"/>
  <c r="L223" i="7" s="1"/>
  <c r="O222" i="7"/>
  <c r="P222" i="7" s="1"/>
  <c r="K222" i="7"/>
  <c r="L222" i="7" s="1"/>
  <c r="O221" i="7"/>
  <c r="P221" i="7" s="1"/>
  <c r="K221" i="7"/>
  <c r="L221" i="7" s="1"/>
  <c r="O220" i="7"/>
  <c r="P220" i="7" s="1"/>
  <c r="K220" i="7"/>
  <c r="L220" i="7" s="1"/>
  <c r="O217" i="7"/>
  <c r="P217" i="7" s="1"/>
  <c r="K217" i="7"/>
  <c r="L217" i="7" s="1"/>
  <c r="P216" i="7"/>
  <c r="O216" i="7"/>
  <c r="K216" i="7"/>
  <c r="L216" i="7" s="1"/>
  <c r="O215" i="7"/>
  <c r="P215" i="7" s="1"/>
  <c r="K215" i="7"/>
  <c r="L215" i="7" s="1"/>
  <c r="O214" i="7"/>
  <c r="P214" i="7" s="1"/>
  <c r="K214" i="7"/>
  <c r="L214" i="7" s="1"/>
  <c r="O213" i="7"/>
  <c r="P213" i="7" s="1"/>
  <c r="K213" i="7"/>
  <c r="L213" i="7" s="1"/>
  <c r="P212" i="7"/>
  <c r="O212" i="7"/>
  <c r="K212" i="7"/>
  <c r="L212" i="7" s="1"/>
  <c r="O211" i="7"/>
  <c r="P211" i="7" s="1"/>
  <c r="K211" i="7"/>
  <c r="L211" i="7" s="1"/>
  <c r="O210" i="7"/>
  <c r="P210" i="7" s="1"/>
  <c r="L210" i="7"/>
  <c r="K210" i="7"/>
  <c r="O209" i="7"/>
  <c r="P209" i="7" s="1"/>
  <c r="L209" i="7"/>
  <c r="K209" i="7"/>
  <c r="O208" i="7"/>
  <c r="P208" i="7" s="1"/>
  <c r="K208" i="7"/>
  <c r="L208" i="7" s="1"/>
  <c r="O207" i="7"/>
  <c r="P207" i="7" s="1"/>
  <c r="K207" i="7"/>
  <c r="L207" i="7" s="1"/>
  <c r="O206" i="7"/>
  <c r="P206" i="7" s="1"/>
  <c r="K206" i="7"/>
  <c r="L206" i="7" s="1"/>
  <c r="O205" i="7"/>
  <c r="P205" i="7" s="1"/>
  <c r="K205" i="7"/>
  <c r="L205" i="7" s="1"/>
  <c r="O204" i="7"/>
  <c r="P204" i="7" s="1"/>
  <c r="K204" i="7"/>
  <c r="L204" i="7" s="1"/>
  <c r="O203" i="7"/>
  <c r="P203" i="7" s="1"/>
  <c r="K203" i="7"/>
  <c r="L203" i="7" s="1"/>
  <c r="P202" i="7"/>
  <c r="O202" i="7"/>
  <c r="K202" i="7"/>
  <c r="L202" i="7" s="1"/>
  <c r="O201" i="7"/>
  <c r="P201" i="7" s="1"/>
  <c r="K201" i="7"/>
  <c r="L201" i="7" s="1"/>
  <c r="O200" i="7"/>
  <c r="P200" i="7" s="1"/>
  <c r="K200" i="7"/>
  <c r="L200" i="7" s="1"/>
  <c r="M200" i="7" s="1"/>
  <c r="N200" i="7" s="1"/>
  <c r="S200" i="7" s="1"/>
  <c r="O199" i="7"/>
  <c r="P199" i="7" s="1"/>
  <c r="K199" i="7"/>
  <c r="L199" i="7" s="1"/>
  <c r="O198" i="7"/>
  <c r="P198" i="7" s="1"/>
  <c r="K198" i="7"/>
  <c r="L198" i="7" s="1"/>
  <c r="O197" i="7"/>
  <c r="P197" i="7" s="1"/>
  <c r="L197" i="7"/>
  <c r="K197" i="7"/>
  <c r="O196" i="7"/>
  <c r="P196" i="7" s="1"/>
  <c r="L196" i="7"/>
  <c r="K196" i="7"/>
  <c r="O195" i="7"/>
  <c r="P195" i="7" s="1"/>
  <c r="K195" i="7"/>
  <c r="L195" i="7" s="1"/>
  <c r="O194" i="7"/>
  <c r="P194" i="7" s="1"/>
  <c r="Q194" i="7" s="1"/>
  <c r="R194" i="7" s="1"/>
  <c r="K194" i="7"/>
  <c r="L194" i="7" s="1"/>
  <c r="P193" i="7"/>
  <c r="O193" i="7"/>
  <c r="K193" i="7"/>
  <c r="L193" i="7" s="1"/>
  <c r="O192" i="7"/>
  <c r="P192" i="7" s="1"/>
  <c r="K192" i="7"/>
  <c r="L192" i="7" s="1"/>
  <c r="O191" i="7"/>
  <c r="P191" i="7" s="1"/>
  <c r="K191" i="7"/>
  <c r="L191" i="7" s="1"/>
  <c r="O190" i="7"/>
  <c r="P190" i="7" s="1"/>
  <c r="K190" i="7"/>
  <c r="L190" i="7" s="1"/>
  <c r="M188" i="7" s="1"/>
  <c r="N188" i="7" s="1"/>
  <c r="S188" i="7" s="1"/>
  <c r="P189" i="7"/>
  <c r="O189" i="7"/>
  <c r="K189" i="7"/>
  <c r="L189" i="7" s="1"/>
  <c r="O188" i="7"/>
  <c r="P188" i="7" s="1"/>
  <c r="L188" i="7"/>
  <c r="K188" i="7"/>
  <c r="O187" i="7"/>
  <c r="P187" i="7" s="1"/>
  <c r="L187" i="7"/>
  <c r="K187" i="7"/>
  <c r="O186" i="7"/>
  <c r="P186" i="7" s="1"/>
  <c r="K186" i="7"/>
  <c r="L186" i="7" s="1"/>
  <c r="O185" i="7"/>
  <c r="P185" i="7" s="1"/>
  <c r="K185" i="7"/>
  <c r="L185" i="7" s="1"/>
  <c r="O184" i="7"/>
  <c r="P184" i="7" s="1"/>
  <c r="K184" i="7"/>
  <c r="L184" i="7" s="1"/>
  <c r="O181" i="7"/>
  <c r="P181" i="7" s="1"/>
  <c r="K181" i="7"/>
  <c r="L181" i="7" s="1"/>
  <c r="O180" i="7"/>
  <c r="P180" i="7" s="1"/>
  <c r="K180" i="7"/>
  <c r="L180" i="7" s="1"/>
  <c r="O179" i="7"/>
  <c r="P179" i="7" s="1"/>
  <c r="K179" i="7"/>
  <c r="L179" i="7" s="1"/>
  <c r="O178" i="7"/>
  <c r="P178" i="7" s="1"/>
  <c r="K178" i="7"/>
  <c r="L178" i="7" s="1"/>
  <c r="O177" i="7"/>
  <c r="P177" i="7" s="1"/>
  <c r="K177" i="7"/>
  <c r="L177" i="7" s="1"/>
  <c r="O176" i="7"/>
  <c r="P176" i="7" s="1"/>
  <c r="Q176" i="7" s="1"/>
  <c r="R176" i="7" s="1"/>
  <c r="K176" i="7"/>
  <c r="L176" i="7" s="1"/>
  <c r="O175" i="7"/>
  <c r="P175" i="7" s="1"/>
  <c r="K175" i="7"/>
  <c r="L175" i="7" s="1"/>
  <c r="O174" i="7"/>
  <c r="P174" i="7" s="1"/>
  <c r="K174" i="7"/>
  <c r="L174" i="7" s="1"/>
  <c r="P173" i="7"/>
  <c r="O173" i="7"/>
  <c r="K173" i="7"/>
  <c r="L173" i="7" s="1"/>
  <c r="P172" i="7"/>
  <c r="O172" i="7"/>
  <c r="K172" i="7"/>
  <c r="L172" i="7" s="1"/>
  <c r="O171" i="7"/>
  <c r="P171" i="7" s="1"/>
  <c r="K171" i="7"/>
  <c r="L171" i="7" s="1"/>
  <c r="P170" i="7"/>
  <c r="O170" i="7"/>
  <c r="L170" i="7"/>
  <c r="M170" i="7" s="1"/>
  <c r="N170" i="7" s="1"/>
  <c r="S170" i="7" s="1"/>
  <c r="K170" i="7"/>
  <c r="O169" i="7"/>
  <c r="P169" i="7" s="1"/>
  <c r="K169" i="7"/>
  <c r="L169" i="7" s="1"/>
  <c r="O168" i="7"/>
  <c r="P168" i="7" s="1"/>
  <c r="K168" i="7"/>
  <c r="L168" i="7" s="1"/>
  <c r="O167" i="7"/>
  <c r="P167" i="7" s="1"/>
  <c r="K167" i="7"/>
  <c r="L167" i="7" s="1"/>
  <c r="O166" i="7"/>
  <c r="P166" i="7" s="1"/>
  <c r="K166" i="7"/>
  <c r="L166" i="7" s="1"/>
  <c r="O165" i="7"/>
  <c r="P165" i="7" s="1"/>
  <c r="K165" i="7"/>
  <c r="L165" i="7" s="1"/>
  <c r="O164" i="7"/>
  <c r="P164" i="7" s="1"/>
  <c r="Q164" i="7" s="1"/>
  <c r="R164" i="7" s="1"/>
  <c r="L164" i="7"/>
  <c r="K164" i="7"/>
  <c r="O163" i="7"/>
  <c r="P163" i="7" s="1"/>
  <c r="K163" i="7"/>
  <c r="L163" i="7" s="1"/>
  <c r="O162" i="7"/>
  <c r="P162" i="7" s="1"/>
  <c r="K162" i="7"/>
  <c r="L162" i="7" s="1"/>
  <c r="O161" i="7"/>
  <c r="P161" i="7" s="1"/>
  <c r="L161" i="7"/>
  <c r="K161" i="7"/>
  <c r="O160" i="7"/>
  <c r="P160" i="7" s="1"/>
  <c r="L160" i="7"/>
  <c r="K160" i="7"/>
  <c r="O159" i="7"/>
  <c r="P159" i="7" s="1"/>
  <c r="K159" i="7"/>
  <c r="L159" i="7" s="1"/>
  <c r="O158" i="7"/>
  <c r="P158" i="7" s="1"/>
  <c r="K158" i="7"/>
  <c r="L158" i="7" s="1"/>
  <c r="P157" i="7"/>
  <c r="O157" i="7"/>
  <c r="K157" i="7"/>
  <c r="L157" i="7" s="1"/>
  <c r="P156" i="7"/>
  <c r="O156" i="7"/>
  <c r="K156" i="7"/>
  <c r="L156" i="7" s="1"/>
  <c r="O155" i="7"/>
  <c r="P155" i="7" s="1"/>
  <c r="K155" i="7"/>
  <c r="L155" i="7" s="1"/>
  <c r="O154" i="7"/>
  <c r="P154" i="7" s="1"/>
  <c r="K154" i="7"/>
  <c r="L154" i="7" s="1"/>
  <c r="P153" i="7"/>
  <c r="O153" i="7"/>
  <c r="K153" i="7"/>
  <c r="L153" i="7" s="1"/>
  <c r="P152" i="7"/>
  <c r="O152" i="7"/>
  <c r="L152" i="7"/>
  <c r="K152" i="7"/>
  <c r="O151" i="7"/>
  <c r="P151" i="7" s="1"/>
  <c r="K151" i="7"/>
  <c r="L151" i="7" s="1"/>
  <c r="O150" i="7"/>
  <c r="P150" i="7" s="1"/>
  <c r="K150" i="7"/>
  <c r="L150" i="7" s="1"/>
  <c r="O149" i="7"/>
  <c r="P149" i="7" s="1"/>
  <c r="L149" i="7"/>
  <c r="K149" i="7"/>
  <c r="O148" i="7"/>
  <c r="P148" i="7" s="1"/>
  <c r="K148" i="7"/>
  <c r="L148" i="7" s="1"/>
  <c r="O145" i="7"/>
  <c r="P145" i="7" s="1"/>
  <c r="K145" i="7"/>
  <c r="L145" i="7" s="1"/>
  <c r="O144" i="7"/>
  <c r="P144" i="7" s="1"/>
  <c r="K144" i="7"/>
  <c r="L144" i="7" s="1"/>
  <c r="O143" i="7"/>
  <c r="P143" i="7" s="1"/>
  <c r="K143" i="7"/>
  <c r="L143" i="7" s="1"/>
  <c r="O142" i="7"/>
  <c r="P142" i="7" s="1"/>
  <c r="L142" i="7"/>
  <c r="K142" i="7"/>
  <c r="O141" i="7"/>
  <c r="P141" i="7" s="1"/>
  <c r="K141" i="7"/>
  <c r="L141" i="7" s="1"/>
  <c r="O140" i="7"/>
  <c r="P140" i="7" s="1"/>
  <c r="K140" i="7"/>
  <c r="L140" i="7" s="1"/>
  <c r="O139" i="7"/>
  <c r="P139" i="7" s="1"/>
  <c r="K139" i="7"/>
  <c r="L139" i="7" s="1"/>
  <c r="O138" i="7"/>
  <c r="P138" i="7" s="1"/>
  <c r="K138" i="7"/>
  <c r="L138" i="7" s="1"/>
  <c r="O137" i="7"/>
  <c r="P137" i="7" s="1"/>
  <c r="K137" i="7"/>
  <c r="L137" i="7" s="1"/>
  <c r="P136" i="7"/>
  <c r="O136" i="7"/>
  <c r="K136" i="7"/>
  <c r="L136" i="7" s="1"/>
  <c r="O135" i="7"/>
  <c r="P135" i="7" s="1"/>
  <c r="K135" i="7"/>
  <c r="L135" i="7" s="1"/>
  <c r="O134" i="7"/>
  <c r="P134" i="7" s="1"/>
  <c r="L134" i="7"/>
  <c r="K134" i="7"/>
  <c r="O133" i="7"/>
  <c r="P133" i="7" s="1"/>
  <c r="K133" i="7"/>
  <c r="L133" i="7" s="1"/>
  <c r="O132" i="7"/>
  <c r="P132" i="7" s="1"/>
  <c r="L132" i="7"/>
  <c r="K132" i="7"/>
  <c r="O131" i="7"/>
  <c r="P131" i="7" s="1"/>
  <c r="K131" i="7"/>
  <c r="L131" i="7" s="1"/>
  <c r="O130" i="7"/>
  <c r="P130" i="7" s="1"/>
  <c r="L130" i="7"/>
  <c r="K130" i="7"/>
  <c r="O129" i="7"/>
  <c r="P129" i="7" s="1"/>
  <c r="K129" i="7"/>
  <c r="L129" i="7" s="1"/>
  <c r="O128" i="7"/>
  <c r="P128" i="7" s="1"/>
  <c r="K128" i="7"/>
  <c r="L128" i="7" s="1"/>
  <c r="P127" i="7"/>
  <c r="O127" i="7"/>
  <c r="K127" i="7"/>
  <c r="L127" i="7" s="1"/>
  <c r="O126" i="7"/>
  <c r="P126" i="7" s="1"/>
  <c r="K126" i="7"/>
  <c r="L126" i="7" s="1"/>
  <c r="O125" i="7"/>
  <c r="P125" i="7" s="1"/>
  <c r="K125" i="7"/>
  <c r="L125" i="7" s="1"/>
  <c r="O124" i="7"/>
  <c r="P124" i="7" s="1"/>
  <c r="K124" i="7"/>
  <c r="L124" i="7" s="1"/>
  <c r="P123" i="7"/>
  <c r="O123" i="7"/>
  <c r="K123" i="7"/>
  <c r="L123" i="7" s="1"/>
  <c r="O122" i="7"/>
  <c r="P122" i="7" s="1"/>
  <c r="L122" i="7"/>
  <c r="K122" i="7"/>
  <c r="O121" i="7"/>
  <c r="P121" i="7" s="1"/>
  <c r="K121" i="7"/>
  <c r="L121" i="7" s="1"/>
  <c r="O120" i="7"/>
  <c r="P120" i="7" s="1"/>
  <c r="L120" i="7"/>
  <c r="K120" i="7"/>
  <c r="O119" i="7"/>
  <c r="P119" i="7" s="1"/>
  <c r="K119" i="7"/>
  <c r="L119" i="7" s="1"/>
  <c r="O118" i="7"/>
  <c r="P118" i="7" s="1"/>
  <c r="L118" i="7"/>
  <c r="K118" i="7"/>
  <c r="O117" i="7"/>
  <c r="P117" i="7" s="1"/>
  <c r="K117" i="7"/>
  <c r="L117" i="7" s="1"/>
  <c r="O116" i="7"/>
  <c r="P116" i="7" s="1"/>
  <c r="K116" i="7"/>
  <c r="L116" i="7" s="1"/>
  <c r="O115" i="7"/>
  <c r="P115" i="7" s="1"/>
  <c r="K115" i="7"/>
  <c r="L115" i="7" s="1"/>
  <c r="O114" i="7"/>
  <c r="P114" i="7" s="1"/>
  <c r="K114" i="7"/>
  <c r="L114" i="7" s="1"/>
  <c r="P113" i="7"/>
  <c r="O113" i="7"/>
  <c r="K113" i="7"/>
  <c r="L113" i="7" s="1"/>
  <c r="O112" i="7"/>
  <c r="P112" i="7" s="1"/>
  <c r="K112" i="7"/>
  <c r="L112" i="7" s="1"/>
  <c r="M112" i="7" s="1"/>
  <c r="N112" i="7" s="1"/>
  <c r="S112" i="7" s="1"/>
  <c r="O109" i="7"/>
  <c r="P109" i="7" s="1"/>
  <c r="K109" i="7"/>
  <c r="L109" i="7" s="1"/>
  <c r="P108" i="7"/>
  <c r="O108" i="7"/>
  <c r="L108" i="7"/>
  <c r="K108" i="7"/>
  <c r="P107" i="7"/>
  <c r="O107" i="7"/>
  <c r="L107" i="7"/>
  <c r="K107" i="7"/>
  <c r="P106" i="7"/>
  <c r="O106" i="7"/>
  <c r="L106" i="7"/>
  <c r="K106" i="7"/>
  <c r="P105" i="7"/>
  <c r="O105" i="7"/>
  <c r="L105" i="7"/>
  <c r="K105" i="7"/>
  <c r="P104" i="7"/>
  <c r="O104" i="7"/>
  <c r="L104" i="7"/>
  <c r="K104" i="7"/>
  <c r="P103" i="7"/>
  <c r="O103" i="7"/>
  <c r="L103" i="7"/>
  <c r="K103" i="7"/>
  <c r="P102" i="7"/>
  <c r="O102" i="7"/>
  <c r="L102" i="7"/>
  <c r="K102" i="7"/>
  <c r="P101" i="7"/>
  <c r="O101" i="7"/>
  <c r="L101" i="7"/>
  <c r="K101" i="7"/>
  <c r="P100" i="7"/>
  <c r="O100" i="7"/>
  <c r="L100" i="7"/>
  <c r="K100" i="7"/>
  <c r="P99" i="7"/>
  <c r="O99" i="7"/>
  <c r="L99" i="7"/>
  <c r="K99" i="7"/>
  <c r="P98" i="7"/>
  <c r="Q98" i="7" s="1"/>
  <c r="R98" i="7" s="1"/>
  <c r="O98" i="7"/>
  <c r="K98" i="7"/>
  <c r="L98" i="7" s="1"/>
  <c r="O97" i="7"/>
  <c r="P97" i="7" s="1"/>
  <c r="K97" i="7"/>
  <c r="L97" i="7" s="1"/>
  <c r="P96" i="7"/>
  <c r="O96" i="7"/>
  <c r="K96" i="7"/>
  <c r="L96" i="7" s="1"/>
  <c r="O95" i="7"/>
  <c r="P95" i="7" s="1"/>
  <c r="K95" i="7"/>
  <c r="L95" i="7" s="1"/>
  <c r="P94" i="7"/>
  <c r="O94" i="7"/>
  <c r="K94" i="7"/>
  <c r="L94" i="7" s="1"/>
  <c r="O93" i="7"/>
  <c r="P93" i="7" s="1"/>
  <c r="K93" i="7"/>
  <c r="L93" i="7" s="1"/>
  <c r="P92" i="7"/>
  <c r="O92" i="7"/>
  <c r="K92" i="7"/>
  <c r="L92" i="7" s="1"/>
  <c r="M92" i="7" s="1"/>
  <c r="N92" i="7" s="1"/>
  <c r="S92" i="7" s="1"/>
  <c r="O91" i="7"/>
  <c r="P91" i="7" s="1"/>
  <c r="K91" i="7"/>
  <c r="L91" i="7" s="1"/>
  <c r="P90" i="7"/>
  <c r="O90" i="7"/>
  <c r="K90" i="7"/>
  <c r="L90" i="7" s="1"/>
  <c r="O89" i="7"/>
  <c r="P89" i="7" s="1"/>
  <c r="K89" i="7"/>
  <c r="L89" i="7" s="1"/>
  <c r="P88" i="7"/>
  <c r="O88" i="7"/>
  <c r="K88" i="7"/>
  <c r="L88" i="7" s="1"/>
  <c r="O87" i="7"/>
  <c r="P87" i="7" s="1"/>
  <c r="K87" i="7"/>
  <c r="L87" i="7" s="1"/>
  <c r="P86" i="7"/>
  <c r="O86" i="7"/>
  <c r="L86" i="7"/>
  <c r="K86" i="7"/>
  <c r="P85" i="7"/>
  <c r="O85" i="7"/>
  <c r="L85" i="7"/>
  <c r="K85" i="7"/>
  <c r="P84" i="7"/>
  <c r="O84" i="7"/>
  <c r="L84" i="7"/>
  <c r="K84" i="7"/>
  <c r="P83" i="7"/>
  <c r="O83" i="7"/>
  <c r="L83" i="7"/>
  <c r="K83" i="7"/>
  <c r="P82" i="7"/>
  <c r="O82" i="7"/>
  <c r="L82" i="7"/>
  <c r="K82" i="7"/>
  <c r="P81" i="7"/>
  <c r="O81" i="7"/>
  <c r="L81" i="7"/>
  <c r="K81" i="7"/>
  <c r="P80" i="7"/>
  <c r="Q80" i="7" s="1"/>
  <c r="R80" i="7" s="1"/>
  <c r="O80" i="7"/>
  <c r="L80" i="7"/>
  <c r="M80" i="7" s="1"/>
  <c r="N80" i="7" s="1"/>
  <c r="S80" i="7" s="1"/>
  <c r="K80" i="7"/>
  <c r="P79" i="7"/>
  <c r="O79" i="7"/>
  <c r="L79" i="7"/>
  <c r="K79" i="7"/>
  <c r="P78" i="7"/>
  <c r="O78" i="7"/>
  <c r="L78" i="7"/>
  <c r="K78" i="7"/>
  <c r="P77" i="7"/>
  <c r="O77" i="7"/>
  <c r="L77" i="7"/>
  <c r="K77" i="7"/>
  <c r="P76" i="7"/>
  <c r="Q76" i="7" s="1"/>
  <c r="R76" i="7" s="1"/>
  <c r="O76" i="7"/>
  <c r="K76" i="7"/>
  <c r="L76" i="7" s="1"/>
  <c r="O73" i="7"/>
  <c r="P73" i="7" s="1"/>
  <c r="K73" i="7"/>
  <c r="L73" i="7" s="1"/>
  <c r="P72" i="7"/>
  <c r="O72" i="7"/>
  <c r="K72" i="7"/>
  <c r="L72" i="7" s="1"/>
  <c r="O71" i="7"/>
  <c r="P71" i="7" s="1"/>
  <c r="K71" i="7"/>
  <c r="L71" i="7" s="1"/>
  <c r="P70" i="7"/>
  <c r="O70" i="7"/>
  <c r="K70" i="7"/>
  <c r="L70" i="7" s="1"/>
  <c r="O69" i="7"/>
  <c r="P69" i="7" s="1"/>
  <c r="L69" i="7"/>
  <c r="K69" i="7"/>
  <c r="O68" i="7"/>
  <c r="P68" i="7" s="1"/>
  <c r="Q68" i="7" s="1"/>
  <c r="R68" i="7" s="1"/>
  <c r="K68" i="7"/>
  <c r="L68" i="7" s="1"/>
  <c r="P67" i="7"/>
  <c r="O67" i="7"/>
  <c r="K67" i="7"/>
  <c r="L67" i="7" s="1"/>
  <c r="O66" i="7"/>
  <c r="P66" i="7" s="1"/>
  <c r="K66" i="7"/>
  <c r="L66" i="7" s="1"/>
  <c r="P65" i="7"/>
  <c r="O65" i="7"/>
  <c r="K65" i="7"/>
  <c r="L65" i="7" s="1"/>
  <c r="O64" i="7"/>
  <c r="P64" i="7" s="1"/>
  <c r="K64" i="7"/>
  <c r="L64" i="7" s="1"/>
  <c r="P63" i="7"/>
  <c r="O63" i="7"/>
  <c r="K63" i="7"/>
  <c r="L63" i="7" s="1"/>
  <c r="O62" i="7"/>
  <c r="P62" i="7" s="1"/>
  <c r="K62" i="7"/>
  <c r="L62" i="7" s="1"/>
  <c r="M62" i="7" s="1"/>
  <c r="N62" i="7" s="1"/>
  <c r="S62" i="7" s="1"/>
  <c r="P61" i="7"/>
  <c r="O61" i="7"/>
  <c r="K61" i="7"/>
  <c r="L61" i="7" s="1"/>
  <c r="O60" i="7"/>
  <c r="P60" i="7" s="1"/>
  <c r="K60" i="7"/>
  <c r="L60" i="7" s="1"/>
  <c r="P59" i="7"/>
  <c r="O59" i="7"/>
  <c r="K59" i="7"/>
  <c r="L59" i="7" s="1"/>
  <c r="O58" i="7"/>
  <c r="P58" i="7" s="1"/>
  <c r="K58" i="7"/>
  <c r="L58" i="7" s="1"/>
  <c r="P57" i="7"/>
  <c r="O57" i="7"/>
  <c r="K57" i="7"/>
  <c r="L57" i="7" s="1"/>
  <c r="O56" i="7"/>
  <c r="P56" i="7" s="1"/>
  <c r="K56" i="7"/>
  <c r="L56" i="7" s="1"/>
  <c r="P55" i="7"/>
  <c r="O55" i="7"/>
  <c r="K55" i="7"/>
  <c r="L55" i="7" s="1"/>
  <c r="O54" i="7"/>
  <c r="P54" i="7" s="1"/>
  <c r="K54" i="7"/>
  <c r="L54" i="7" s="1"/>
  <c r="P53" i="7"/>
  <c r="O53" i="7"/>
  <c r="K53" i="7"/>
  <c r="L53" i="7" s="1"/>
  <c r="O52" i="7"/>
  <c r="P52" i="7" s="1"/>
  <c r="K52" i="7"/>
  <c r="L52" i="7" s="1"/>
  <c r="P51" i="7"/>
  <c r="O51" i="7"/>
  <c r="K51" i="7"/>
  <c r="L51" i="7" s="1"/>
  <c r="O50" i="7"/>
  <c r="P50" i="7" s="1"/>
  <c r="K50" i="7"/>
  <c r="L50" i="7" s="1"/>
  <c r="M50" i="7" s="1"/>
  <c r="N50" i="7" s="1"/>
  <c r="S50" i="7" s="1"/>
  <c r="P49" i="7"/>
  <c r="O49" i="7"/>
  <c r="K49" i="7"/>
  <c r="L49" i="7" s="1"/>
  <c r="O48" i="7"/>
  <c r="P48" i="7" s="1"/>
  <c r="K48" i="7"/>
  <c r="L48" i="7" s="1"/>
  <c r="P47" i="7"/>
  <c r="O47" i="7"/>
  <c r="K47" i="7"/>
  <c r="L47" i="7" s="1"/>
  <c r="O46" i="7"/>
  <c r="P46" i="7" s="1"/>
  <c r="K46" i="7"/>
  <c r="L46" i="7" s="1"/>
  <c r="P45" i="7"/>
  <c r="O45" i="7"/>
  <c r="K45" i="7"/>
  <c r="L45" i="7" s="1"/>
  <c r="O44" i="7"/>
  <c r="P44" i="7" s="1"/>
  <c r="Q44" i="7" s="1"/>
  <c r="R44" i="7" s="1"/>
  <c r="K44" i="7"/>
  <c r="L44" i="7" s="1"/>
  <c r="P43" i="7"/>
  <c r="O43" i="7"/>
  <c r="K43" i="7"/>
  <c r="L43" i="7" s="1"/>
  <c r="O42" i="7"/>
  <c r="P42" i="7" s="1"/>
  <c r="K42" i="7"/>
  <c r="L42" i="7" s="1"/>
  <c r="P41" i="7"/>
  <c r="O41" i="7"/>
  <c r="K41" i="7"/>
  <c r="L41" i="7" s="1"/>
  <c r="O40" i="7"/>
  <c r="P40" i="7" s="1"/>
  <c r="Q40" i="7" s="1"/>
  <c r="R40" i="7" s="1"/>
  <c r="K40" i="7"/>
  <c r="L40" i="7" s="1"/>
  <c r="O37" i="7"/>
  <c r="P37" i="7" s="1"/>
  <c r="K37" i="7"/>
  <c r="L37" i="7" s="1"/>
  <c r="O36" i="7"/>
  <c r="P36" i="7" s="1"/>
  <c r="K36" i="7"/>
  <c r="L36" i="7" s="1"/>
  <c r="O35" i="7"/>
  <c r="P35" i="7" s="1"/>
  <c r="K35" i="7"/>
  <c r="L35" i="7" s="1"/>
  <c r="O34" i="7"/>
  <c r="P34" i="7" s="1"/>
  <c r="K34" i="7"/>
  <c r="L34" i="7" s="1"/>
  <c r="P33" i="7"/>
  <c r="O33" i="7"/>
  <c r="K33" i="7"/>
  <c r="L33" i="7" s="1"/>
  <c r="O32" i="7"/>
  <c r="P32" i="7" s="1"/>
  <c r="K32" i="7"/>
  <c r="L32" i="7" s="1"/>
  <c r="O31" i="7"/>
  <c r="P31" i="7" s="1"/>
  <c r="K31" i="7"/>
  <c r="L31" i="7" s="1"/>
  <c r="O30" i="7"/>
  <c r="P30" i="7" s="1"/>
  <c r="K30" i="7"/>
  <c r="L30" i="7" s="1"/>
  <c r="P29" i="7"/>
  <c r="O29" i="7"/>
  <c r="K29" i="7"/>
  <c r="L29" i="7" s="1"/>
  <c r="O28" i="7"/>
  <c r="P28" i="7" s="1"/>
  <c r="K28" i="7"/>
  <c r="L28" i="7" s="1"/>
  <c r="O27" i="7"/>
  <c r="P27" i="7" s="1"/>
  <c r="K27" i="7"/>
  <c r="L27" i="7" s="1"/>
  <c r="O26" i="7"/>
  <c r="P26" i="7" s="1"/>
  <c r="Q26" i="7" s="1"/>
  <c r="R26" i="7" s="1"/>
  <c r="K26" i="7"/>
  <c r="L26" i="7" s="1"/>
  <c r="M26" i="7" s="1"/>
  <c r="N26" i="7" s="1"/>
  <c r="S26" i="7" s="1"/>
  <c r="P25" i="7"/>
  <c r="O25" i="7"/>
  <c r="K25" i="7"/>
  <c r="L25" i="7" s="1"/>
  <c r="O24" i="7"/>
  <c r="P24" i="7" s="1"/>
  <c r="K24" i="7"/>
  <c r="L24" i="7" s="1"/>
  <c r="O23" i="7"/>
  <c r="P23" i="7" s="1"/>
  <c r="K23" i="7"/>
  <c r="L23" i="7" s="1"/>
  <c r="O22" i="7"/>
  <c r="P22" i="7" s="1"/>
  <c r="K22" i="7"/>
  <c r="L22" i="7" s="1"/>
  <c r="P21" i="7"/>
  <c r="O21" i="7"/>
  <c r="K21" i="7"/>
  <c r="L21" i="7" s="1"/>
  <c r="O20" i="7"/>
  <c r="P20" i="7" s="1"/>
  <c r="K20" i="7"/>
  <c r="L20" i="7" s="1"/>
  <c r="O19" i="7"/>
  <c r="P19" i="7" s="1"/>
  <c r="K19" i="7"/>
  <c r="L19" i="7" s="1"/>
  <c r="O18" i="7"/>
  <c r="P18" i="7" s="1"/>
  <c r="K18" i="7"/>
  <c r="L18" i="7" s="1"/>
  <c r="P17" i="7"/>
  <c r="O17" i="7"/>
  <c r="K17" i="7"/>
  <c r="L17" i="7" s="1"/>
  <c r="O16" i="7"/>
  <c r="P16" i="7" s="1"/>
  <c r="K16" i="7"/>
  <c r="L16" i="7" s="1"/>
  <c r="O15" i="7"/>
  <c r="P15" i="7" s="1"/>
  <c r="K15" i="7"/>
  <c r="L15" i="7" s="1"/>
  <c r="O14" i="7"/>
  <c r="P14" i="7" s="1"/>
  <c r="K14" i="7"/>
  <c r="L14" i="7" s="1"/>
  <c r="P13" i="7"/>
  <c r="O13" i="7"/>
  <c r="K13" i="7"/>
  <c r="L13" i="7" s="1"/>
  <c r="O12" i="7"/>
  <c r="P12" i="7" s="1"/>
  <c r="K12" i="7"/>
  <c r="L12" i="7" s="1"/>
  <c r="P11" i="7"/>
  <c r="O11" i="7"/>
  <c r="K11" i="7"/>
  <c r="L11" i="7" s="1"/>
  <c r="O10" i="7"/>
  <c r="P10" i="7" s="1"/>
  <c r="K10" i="7"/>
  <c r="L10" i="7" s="1"/>
  <c r="P9" i="7"/>
  <c r="O9" i="7"/>
  <c r="K9" i="7"/>
  <c r="L9" i="7" s="1"/>
  <c r="O8" i="7"/>
  <c r="P8" i="7" s="1"/>
  <c r="K8" i="7"/>
  <c r="L8" i="7" s="1"/>
  <c r="M8" i="7" s="1"/>
  <c r="N8" i="7" s="1"/>
  <c r="S8" i="7" s="1"/>
  <c r="P7" i="7"/>
  <c r="O7" i="7"/>
  <c r="K7" i="7"/>
  <c r="L7" i="7" s="1"/>
  <c r="O6" i="7"/>
  <c r="P6" i="7" s="1"/>
  <c r="K6" i="7"/>
  <c r="L6" i="7" s="1"/>
  <c r="P5" i="7"/>
  <c r="O5" i="7"/>
  <c r="K5" i="7"/>
  <c r="L5" i="7" s="1"/>
  <c r="O4" i="7"/>
  <c r="P4" i="7" s="1"/>
  <c r="Q4" i="7" s="1"/>
  <c r="R4" i="7" s="1"/>
  <c r="K4" i="7"/>
  <c r="L4" i="7" s="1"/>
  <c r="M4" i="7" s="1"/>
  <c r="N4" i="7" s="1"/>
  <c r="S4" i="7" s="1"/>
  <c r="O721" i="6"/>
  <c r="P721" i="6" s="1"/>
  <c r="K721" i="6"/>
  <c r="L721" i="6" s="1"/>
  <c r="O720" i="6"/>
  <c r="P720" i="6" s="1"/>
  <c r="K720" i="6"/>
  <c r="L720" i="6" s="1"/>
  <c r="O719" i="6"/>
  <c r="P719" i="6" s="1"/>
  <c r="K719" i="6"/>
  <c r="L719" i="6" s="1"/>
  <c r="O718" i="6"/>
  <c r="P718" i="6" s="1"/>
  <c r="K718" i="6"/>
  <c r="L718" i="6" s="1"/>
  <c r="O717" i="6"/>
  <c r="P717" i="6" s="1"/>
  <c r="K717" i="6"/>
  <c r="L717" i="6" s="1"/>
  <c r="O716" i="6"/>
  <c r="P716" i="6" s="1"/>
  <c r="Q716" i="6" s="1"/>
  <c r="R716" i="6" s="1"/>
  <c r="K716" i="6"/>
  <c r="L716" i="6" s="1"/>
  <c r="O715" i="6"/>
  <c r="P715" i="6" s="1"/>
  <c r="K715" i="6"/>
  <c r="L715" i="6" s="1"/>
  <c r="O714" i="6"/>
  <c r="P714" i="6" s="1"/>
  <c r="K714" i="6"/>
  <c r="L714" i="6" s="1"/>
  <c r="O713" i="6"/>
  <c r="P713" i="6" s="1"/>
  <c r="K713" i="6"/>
  <c r="L713" i="6" s="1"/>
  <c r="O712" i="6"/>
  <c r="P712" i="6" s="1"/>
  <c r="K712" i="6"/>
  <c r="L712" i="6" s="1"/>
  <c r="O711" i="6"/>
  <c r="P711" i="6" s="1"/>
  <c r="K711" i="6"/>
  <c r="L711" i="6" s="1"/>
  <c r="O710" i="6"/>
  <c r="P710" i="6" s="1"/>
  <c r="Q710" i="6" s="1"/>
  <c r="R710" i="6" s="1"/>
  <c r="K710" i="6"/>
  <c r="L710" i="6" s="1"/>
  <c r="O709" i="6"/>
  <c r="P709" i="6" s="1"/>
  <c r="K709" i="6"/>
  <c r="L709" i="6" s="1"/>
  <c r="O708" i="6"/>
  <c r="P708" i="6" s="1"/>
  <c r="K708" i="6"/>
  <c r="L708" i="6" s="1"/>
  <c r="O707" i="6"/>
  <c r="P707" i="6" s="1"/>
  <c r="K707" i="6"/>
  <c r="L707" i="6" s="1"/>
  <c r="O706" i="6"/>
  <c r="P706" i="6" s="1"/>
  <c r="K706" i="6"/>
  <c r="L706" i="6" s="1"/>
  <c r="O705" i="6"/>
  <c r="P705" i="6" s="1"/>
  <c r="L705" i="6"/>
  <c r="K705" i="6"/>
  <c r="O704" i="6"/>
  <c r="P704" i="6" s="1"/>
  <c r="K704" i="6"/>
  <c r="L704" i="6" s="1"/>
  <c r="O703" i="6"/>
  <c r="P703" i="6" s="1"/>
  <c r="K703" i="6"/>
  <c r="L703" i="6" s="1"/>
  <c r="O702" i="6"/>
  <c r="P702" i="6" s="1"/>
  <c r="K702" i="6"/>
  <c r="L702" i="6" s="1"/>
  <c r="O701" i="6"/>
  <c r="P701" i="6" s="1"/>
  <c r="K701" i="6"/>
  <c r="L701" i="6" s="1"/>
  <c r="P700" i="6"/>
  <c r="O700" i="6"/>
  <c r="K700" i="6"/>
  <c r="L700" i="6" s="1"/>
  <c r="O699" i="6"/>
  <c r="P699" i="6" s="1"/>
  <c r="K699" i="6"/>
  <c r="L699" i="6" s="1"/>
  <c r="O698" i="6"/>
  <c r="P698" i="6" s="1"/>
  <c r="K698" i="6"/>
  <c r="L698" i="6" s="1"/>
  <c r="M698" i="6" s="1"/>
  <c r="N698" i="6" s="1"/>
  <c r="S698" i="6" s="1"/>
  <c r="O697" i="6"/>
  <c r="P697" i="6" s="1"/>
  <c r="K697" i="6"/>
  <c r="L697" i="6" s="1"/>
  <c r="O696" i="6"/>
  <c r="P696" i="6" s="1"/>
  <c r="L696" i="6"/>
  <c r="K696" i="6"/>
  <c r="O695" i="6"/>
  <c r="P695" i="6" s="1"/>
  <c r="K695" i="6"/>
  <c r="L695" i="6" s="1"/>
  <c r="O694" i="6"/>
  <c r="P694" i="6" s="1"/>
  <c r="K694" i="6"/>
  <c r="L694" i="6" s="1"/>
  <c r="O693" i="6"/>
  <c r="P693" i="6" s="1"/>
  <c r="K693" i="6"/>
  <c r="L693" i="6" s="1"/>
  <c r="M692" i="6" s="1"/>
  <c r="N692" i="6" s="1"/>
  <c r="S692" i="6" s="1"/>
  <c r="O692" i="6"/>
  <c r="P692" i="6" s="1"/>
  <c r="K692" i="6"/>
  <c r="L692" i="6" s="1"/>
  <c r="P691" i="6"/>
  <c r="O691" i="6"/>
  <c r="K691" i="6"/>
  <c r="L691" i="6" s="1"/>
  <c r="O690" i="6"/>
  <c r="P690" i="6" s="1"/>
  <c r="K690" i="6"/>
  <c r="L690" i="6" s="1"/>
  <c r="M688" i="6" s="1"/>
  <c r="N688" i="6" s="1"/>
  <c r="S688" i="6" s="1"/>
  <c r="O689" i="6"/>
  <c r="P689" i="6" s="1"/>
  <c r="K689" i="6"/>
  <c r="L689" i="6" s="1"/>
  <c r="P688" i="6"/>
  <c r="O688" i="6"/>
  <c r="K688" i="6"/>
  <c r="L688" i="6" s="1"/>
  <c r="P685" i="6"/>
  <c r="O685" i="6"/>
  <c r="K685" i="6"/>
  <c r="L685" i="6" s="1"/>
  <c r="O684" i="6"/>
  <c r="P684" i="6" s="1"/>
  <c r="K684" i="6"/>
  <c r="L684" i="6" s="1"/>
  <c r="P683" i="6"/>
  <c r="O683" i="6"/>
  <c r="K683" i="6"/>
  <c r="L683" i="6" s="1"/>
  <c r="O682" i="6"/>
  <c r="P682" i="6" s="1"/>
  <c r="K682" i="6"/>
  <c r="L682" i="6" s="1"/>
  <c r="O681" i="6"/>
  <c r="P681" i="6" s="1"/>
  <c r="K681" i="6"/>
  <c r="L681" i="6" s="1"/>
  <c r="P680" i="6"/>
  <c r="O680" i="6"/>
  <c r="K680" i="6"/>
  <c r="L680" i="6" s="1"/>
  <c r="M680" i="6" s="1"/>
  <c r="N680" i="6" s="1"/>
  <c r="S680" i="6" s="1"/>
  <c r="O679" i="6"/>
  <c r="P679" i="6" s="1"/>
  <c r="K679" i="6"/>
  <c r="L679" i="6" s="1"/>
  <c r="O678" i="6"/>
  <c r="P678" i="6" s="1"/>
  <c r="K678" i="6"/>
  <c r="L678" i="6" s="1"/>
  <c r="O677" i="6"/>
  <c r="P677" i="6" s="1"/>
  <c r="K677" i="6"/>
  <c r="L677" i="6" s="1"/>
  <c r="O676" i="6"/>
  <c r="P676" i="6" s="1"/>
  <c r="K676" i="6"/>
  <c r="L676" i="6" s="1"/>
  <c r="O675" i="6"/>
  <c r="P675" i="6" s="1"/>
  <c r="L675" i="6"/>
  <c r="K675" i="6"/>
  <c r="O674" i="6"/>
  <c r="P674" i="6" s="1"/>
  <c r="K674" i="6"/>
  <c r="L674" i="6" s="1"/>
  <c r="O673" i="6"/>
  <c r="P673" i="6" s="1"/>
  <c r="K673" i="6"/>
  <c r="L673" i="6" s="1"/>
  <c r="O672" i="6"/>
  <c r="P672" i="6" s="1"/>
  <c r="K672" i="6"/>
  <c r="L672" i="6" s="1"/>
  <c r="O671" i="6"/>
  <c r="P671" i="6" s="1"/>
  <c r="K671" i="6"/>
  <c r="L671" i="6" s="1"/>
  <c r="P670" i="6"/>
  <c r="O670" i="6"/>
  <c r="K670" i="6"/>
  <c r="L670" i="6" s="1"/>
  <c r="O669" i="6"/>
  <c r="P669" i="6" s="1"/>
  <c r="K669" i="6"/>
  <c r="L669" i="6" s="1"/>
  <c r="O668" i="6"/>
  <c r="P668" i="6" s="1"/>
  <c r="L668" i="6"/>
  <c r="K668" i="6"/>
  <c r="O667" i="6"/>
  <c r="P667" i="6" s="1"/>
  <c r="K667" i="6"/>
  <c r="L667" i="6" s="1"/>
  <c r="O666" i="6"/>
  <c r="P666" i="6" s="1"/>
  <c r="K666" i="6"/>
  <c r="L666" i="6" s="1"/>
  <c r="O665" i="6"/>
  <c r="P665" i="6" s="1"/>
  <c r="K665" i="6"/>
  <c r="L665" i="6" s="1"/>
  <c r="O664" i="6"/>
  <c r="P664" i="6" s="1"/>
  <c r="K664" i="6"/>
  <c r="L664" i="6" s="1"/>
  <c r="O663" i="6"/>
  <c r="P663" i="6" s="1"/>
  <c r="K663" i="6"/>
  <c r="L663" i="6" s="1"/>
  <c r="O662" i="6"/>
  <c r="P662" i="6" s="1"/>
  <c r="K662" i="6"/>
  <c r="L662" i="6" s="1"/>
  <c r="P661" i="6"/>
  <c r="O661" i="6"/>
  <c r="K661" i="6"/>
  <c r="L661" i="6" s="1"/>
  <c r="O660" i="6"/>
  <c r="P660" i="6" s="1"/>
  <c r="K660" i="6"/>
  <c r="L660" i="6" s="1"/>
  <c r="P659" i="6"/>
  <c r="O659" i="6"/>
  <c r="K659" i="6"/>
  <c r="L659" i="6" s="1"/>
  <c r="O658" i="6"/>
  <c r="P658" i="6" s="1"/>
  <c r="K658" i="6"/>
  <c r="L658" i="6" s="1"/>
  <c r="P657" i="6"/>
  <c r="O657" i="6"/>
  <c r="K657" i="6"/>
  <c r="L657" i="6" s="1"/>
  <c r="P656" i="6"/>
  <c r="O656" i="6"/>
  <c r="K656" i="6"/>
  <c r="L656" i="6" s="1"/>
  <c r="M656" i="6" s="1"/>
  <c r="N656" i="6" s="1"/>
  <c r="S656" i="6" s="1"/>
  <c r="O655" i="6"/>
  <c r="P655" i="6" s="1"/>
  <c r="L655" i="6"/>
  <c r="K655" i="6"/>
  <c r="O654" i="6"/>
  <c r="P654" i="6" s="1"/>
  <c r="K654" i="6"/>
  <c r="L654" i="6" s="1"/>
  <c r="O653" i="6"/>
  <c r="P653" i="6" s="1"/>
  <c r="K653" i="6"/>
  <c r="L653" i="6" s="1"/>
  <c r="O652" i="6"/>
  <c r="P652" i="6" s="1"/>
  <c r="K652" i="6"/>
  <c r="L652" i="6" s="1"/>
  <c r="O649" i="6"/>
  <c r="P649" i="6" s="1"/>
  <c r="K649" i="6"/>
  <c r="L649" i="6" s="1"/>
  <c r="O648" i="6"/>
  <c r="P648" i="6" s="1"/>
  <c r="K648" i="6"/>
  <c r="L648" i="6" s="1"/>
  <c r="O647" i="6"/>
  <c r="P647" i="6" s="1"/>
  <c r="K647" i="6"/>
  <c r="L647" i="6" s="1"/>
  <c r="O646" i="6"/>
  <c r="P646" i="6" s="1"/>
  <c r="K646" i="6"/>
  <c r="L646" i="6" s="1"/>
  <c r="O645" i="6"/>
  <c r="P645" i="6" s="1"/>
  <c r="K645" i="6"/>
  <c r="L645" i="6" s="1"/>
  <c r="O644" i="6"/>
  <c r="P644" i="6" s="1"/>
  <c r="K644" i="6"/>
  <c r="L644" i="6" s="1"/>
  <c r="M644" i="6" s="1"/>
  <c r="N644" i="6" s="1"/>
  <c r="S644" i="6" s="1"/>
  <c r="O643" i="6"/>
  <c r="P643" i="6" s="1"/>
  <c r="K643" i="6"/>
  <c r="L643" i="6" s="1"/>
  <c r="O642" i="6"/>
  <c r="P642" i="6" s="1"/>
  <c r="K642" i="6"/>
  <c r="L642" i="6" s="1"/>
  <c r="O641" i="6"/>
  <c r="P641" i="6" s="1"/>
  <c r="K641" i="6"/>
  <c r="L641" i="6" s="1"/>
  <c r="O640" i="6"/>
  <c r="P640" i="6" s="1"/>
  <c r="K640" i="6"/>
  <c r="L640" i="6" s="1"/>
  <c r="O639" i="6"/>
  <c r="P639" i="6" s="1"/>
  <c r="K639" i="6"/>
  <c r="L639" i="6" s="1"/>
  <c r="O638" i="6"/>
  <c r="P638" i="6" s="1"/>
  <c r="K638" i="6"/>
  <c r="L638" i="6" s="1"/>
  <c r="M638" i="6" s="1"/>
  <c r="N638" i="6" s="1"/>
  <c r="S638" i="6" s="1"/>
  <c r="O637" i="6"/>
  <c r="P637" i="6" s="1"/>
  <c r="K637" i="6"/>
  <c r="L637" i="6" s="1"/>
  <c r="O636" i="6"/>
  <c r="P636" i="6" s="1"/>
  <c r="K636" i="6"/>
  <c r="L636" i="6" s="1"/>
  <c r="O635" i="6"/>
  <c r="P635" i="6" s="1"/>
  <c r="K635" i="6"/>
  <c r="L635" i="6" s="1"/>
  <c r="O634" i="6"/>
  <c r="P634" i="6" s="1"/>
  <c r="K634" i="6"/>
  <c r="L634" i="6" s="1"/>
  <c r="O633" i="6"/>
  <c r="P633" i="6" s="1"/>
  <c r="K633" i="6"/>
  <c r="L633" i="6" s="1"/>
  <c r="O632" i="6"/>
  <c r="P632" i="6" s="1"/>
  <c r="K632" i="6"/>
  <c r="L632" i="6" s="1"/>
  <c r="O631" i="6"/>
  <c r="P631" i="6" s="1"/>
  <c r="K631" i="6"/>
  <c r="L631" i="6" s="1"/>
  <c r="O630" i="6"/>
  <c r="P630" i="6" s="1"/>
  <c r="K630" i="6"/>
  <c r="L630" i="6" s="1"/>
  <c r="O629" i="6"/>
  <c r="P629" i="6" s="1"/>
  <c r="K629" i="6"/>
  <c r="L629" i="6" s="1"/>
  <c r="O628" i="6"/>
  <c r="P628" i="6" s="1"/>
  <c r="K628" i="6"/>
  <c r="L628" i="6" s="1"/>
  <c r="O627" i="6"/>
  <c r="P627" i="6" s="1"/>
  <c r="K627" i="6"/>
  <c r="L627" i="6" s="1"/>
  <c r="O626" i="6"/>
  <c r="P626" i="6" s="1"/>
  <c r="K626" i="6"/>
  <c r="L626" i="6" s="1"/>
  <c r="O625" i="6"/>
  <c r="P625" i="6" s="1"/>
  <c r="K625" i="6"/>
  <c r="L625" i="6" s="1"/>
  <c r="O624" i="6"/>
  <c r="P624" i="6" s="1"/>
  <c r="K624" i="6"/>
  <c r="L624" i="6" s="1"/>
  <c r="O623" i="6"/>
  <c r="P623" i="6" s="1"/>
  <c r="K623" i="6"/>
  <c r="L623" i="6" s="1"/>
  <c r="O622" i="6"/>
  <c r="P622" i="6" s="1"/>
  <c r="K622" i="6"/>
  <c r="L622" i="6" s="1"/>
  <c r="O621" i="6"/>
  <c r="P621" i="6" s="1"/>
  <c r="K621" i="6"/>
  <c r="L621" i="6" s="1"/>
  <c r="O620" i="6"/>
  <c r="P620" i="6" s="1"/>
  <c r="K620" i="6"/>
  <c r="L620" i="6" s="1"/>
  <c r="O619" i="6"/>
  <c r="P619" i="6" s="1"/>
  <c r="K619" i="6"/>
  <c r="L619" i="6" s="1"/>
  <c r="O618" i="6"/>
  <c r="P618" i="6" s="1"/>
  <c r="K618" i="6"/>
  <c r="L618" i="6" s="1"/>
  <c r="O617" i="6"/>
  <c r="P617" i="6" s="1"/>
  <c r="Q616" i="6" s="1"/>
  <c r="R616" i="6" s="1"/>
  <c r="K617" i="6"/>
  <c r="L617" i="6" s="1"/>
  <c r="O616" i="6"/>
  <c r="P616" i="6" s="1"/>
  <c r="K616" i="6"/>
  <c r="L616" i="6" s="1"/>
  <c r="O613" i="6"/>
  <c r="P613" i="6" s="1"/>
  <c r="K613" i="6"/>
  <c r="L613" i="6" s="1"/>
  <c r="O612" i="6"/>
  <c r="P612" i="6" s="1"/>
  <c r="K612" i="6"/>
  <c r="L612" i="6" s="1"/>
  <c r="O611" i="6"/>
  <c r="P611" i="6" s="1"/>
  <c r="K611" i="6"/>
  <c r="L611" i="6" s="1"/>
  <c r="O610" i="6"/>
  <c r="P610" i="6" s="1"/>
  <c r="Q608" i="6" s="1"/>
  <c r="R608" i="6" s="1"/>
  <c r="K610" i="6"/>
  <c r="L610" i="6" s="1"/>
  <c r="O609" i="6"/>
  <c r="P609" i="6" s="1"/>
  <c r="K609" i="6"/>
  <c r="L609" i="6" s="1"/>
  <c r="O608" i="6"/>
  <c r="P608" i="6" s="1"/>
  <c r="K608" i="6"/>
  <c r="L608" i="6" s="1"/>
  <c r="O607" i="6"/>
  <c r="P607" i="6" s="1"/>
  <c r="K607" i="6"/>
  <c r="L607" i="6" s="1"/>
  <c r="O606" i="6"/>
  <c r="P606" i="6" s="1"/>
  <c r="K606" i="6"/>
  <c r="L606" i="6" s="1"/>
  <c r="O605" i="6"/>
  <c r="P605" i="6" s="1"/>
  <c r="K605" i="6"/>
  <c r="L605" i="6" s="1"/>
  <c r="O604" i="6"/>
  <c r="P604" i="6" s="1"/>
  <c r="K604" i="6"/>
  <c r="L604" i="6" s="1"/>
  <c r="O603" i="6"/>
  <c r="P603" i="6" s="1"/>
  <c r="K603" i="6"/>
  <c r="L603" i="6" s="1"/>
  <c r="P602" i="6"/>
  <c r="Q602" i="6" s="1"/>
  <c r="R602" i="6" s="1"/>
  <c r="O602" i="6"/>
  <c r="K602" i="6"/>
  <c r="L602" i="6" s="1"/>
  <c r="M602" i="6" s="1"/>
  <c r="N602" i="6" s="1"/>
  <c r="S602" i="6" s="1"/>
  <c r="O601" i="6"/>
  <c r="P601" i="6" s="1"/>
  <c r="L601" i="6"/>
  <c r="K601" i="6"/>
  <c r="O600" i="6"/>
  <c r="P600" i="6" s="1"/>
  <c r="K600" i="6"/>
  <c r="L600" i="6" s="1"/>
  <c r="O599" i="6"/>
  <c r="P599" i="6" s="1"/>
  <c r="K599" i="6"/>
  <c r="L599" i="6" s="1"/>
  <c r="O598" i="6"/>
  <c r="P598" i="6" s="1"/>
  <c r="Q596" i="6" s="1"/>
  <c r="R596" i="6" s="1"/>
  <c r="L598" i="6"/>
  <c r="K598" i="6"/>
  <c r="O597" i="6"/>
  <c r="P597" i="6" s="1"/>
  <c r="K597" i="6"/>
  <c r="L597" i="6" s="1"/>
  <c r="O596" i="6"/>
  <c r="P596" i="6" s="1"/>
  <c r="K596" i="6"/>
  <c r="L596" i="6" s="1"/>
  <c r="O595" i="6"/>
  <c r="P595" i="6" s="1"/>
  <c r="K595" i="6"/>
  <c r="L595" i="6" s="1"/>
  <c r="O594" i="6"/>
  <c r="P594" i="6" s="1"/>
  <c r="K594" i="6"/>
  <c r="L594" i="6" s="1"/>
  <c r="O593" i="6"/>
  <c r="P593" i="6" s="1"/>
  <c r="K593" i="6"/>
  <c r="L593" i="6" s="1"/>
  <c r="P592" i="6"/>
  <c r="O592" i="6"/>
  <c r="K592" i="6"/>
  <c r="L592" i="6" s="1"/>
  <c r="O591" i="6"/>
  <c r="P591" i="6" s="1"/>
  <c r="K591" i="6"/>
  <c r="L591" i="6" s="1"/>
  <c r="O590" i="6"/>
  <c r="P590" i="6" s="1"/>
  <c r="L590" i="6"/>
  <c r="K590" i="6"/>
  <c r="O589" i="6"/>
  <c r="P589" i="6" s="1"/>
  <c r="K589" i="6"/>
  <c r="L589" i="6" s="1"/>
  <c r="O588" i="6"/>
  <c r="P588" i="6" s="1"/>
  <c r="K588" i="6"/>
  <c r="L588" i="6" s="1"/>
  <c r="O587" i="6"/>
  <c r="P587" i="6" s="1"/>
  <c r="K587" i="6"/>
  <c r="L587" i="6" s="1"/>
  <c r="O586" i="6"/>
  <c r="P586" i="6" s="1"/>
  <c r="K586" i="6"/>
  <c r="L586" i="6" s="1"/>
  <c r="O585" i="6"/>
  <c r="P585" i="6" s="1"/>
  <c r="K585" i="6"/>
  <c r="L585" i="6" s="1"/>
  <c r="M584" i="6" s="1"/>
  <c r="N584" i="6" s="1"/>
  <c r="S584" i="6" s="1"/>
  <c r="O584" i="6"/>
  <c r="P584" i="6" s="1"/>
  <c r="K584" i="6"/>
  <c r="L584" i="6" s="1"/>
  <c r="O583" i="6"/>
  <c r="P583" i="6" s="1"/>
  <c r="Q580" i="6" s="1"/>
  <c r="R580" i="6" s="1"/>
  <c r="K583" i="6"/>
  <c r="L583" i="6" s="1"/>
  <c r="P582" i="6"/>
  <c r="O582" i="6"/>
  <c r="K582" i="6"/>
  <c r="L582" i="6" s="1"/>
  <c r="P581" i="6"/>
  <c r="O581" i="6"/>
  <c r="K581" i="6"/>
  <c r="L581" i="6" s="1"/>
  <c r="P580" i="6"/>
  <c r="O580" i="6"/>
  <c r="K580" i="6"/>
  <c r="L580" i="6" s="1"/>
  <c r="M580" i="6" s="1"/>
  <c r="N580" i="6" s="1"/>
  <c r="S580" i="6" s="1"/>
  <c r="O577" i="6"/>
  <c r="P577" i="6" s="1"/>
  <c r="K577" i="6"/>
  <c r="L577" i="6" s="1"/>
  <c r="O576" i="6"/>
  <c r="P576" i="6" s="1"/>
  <c r="K576" i="6"/>
  <c r="L576" i="6" s="1"/>
  <c r="O575" i="6"/>
  <c r="P575" i="6" s="1"/>
  <c r="K575" i="6"/>
  <c r="L575" i="6" s="1"/>
  <c r="P574" i="6"/>
  <c r="O574" i="6"/>
  <c r="K574" i="6"/>
  <c r="L574" i="6" s="1"/>
  <c r="O573" i="6"/>
  <c r="P573" i="6" s="1"/>
  <c r="K573" i="6"/>
  <c r="L573" i="6" s="1"/>
  <c r="O572" i="6"/>
  <c r="P572" i="6" s="1"/>
  <c r="K572" i="6"/>
  <c r="L572" i="6" s="1"/>
  <c r="O571" i="6"/>
  <c r="P571" i="6" s="1"/>
  <c r="L571" i="6"/>
  <c r="K571" i="6"/>
  <c r="O570" i="6"/>
  <c r="P570" i="6" s="1"/>
  <c r="K570" i="6"/>
  <c r="L570" i="6" s="1"/>
  <c r="O569" i="6"/>
  <c r="P569" i="6" s="1"/>
  <c r="K569" i="6"/>
  <c r="L569" i="6" s="1"/>
  <c r="O568" i="6"/>
  <c r="P568" i="6" s="1"/>
  <c r="L568" i="6"/>
  <c r="K568" i="6"/>
  <c r="O567" i="6"/>
  <c r="P567" i="6" s="1"/>
  <c r="K567" i="6"/>
  <c r="L567" i="6" s="1"/>
  <c r="O566" i="6"/>
  <c r="P566" i="6" s="1"/>
  <c r="K566" i="6"/>
  <c r="L566" i="6" s="1"/>
  <c r="P565" i="6"/>
  <c r="O565" i="6"/>
  <c r="K565" i="6"/>
  <c r="L565" i="6" s="1"/>
  <c r="O564" i="6"/>
  <c r="P564" i="6" s="1"/>
  <c r="K564" i="6"/>
  <c r="L564" i="6" s="1"/>
  <c r="O563" i="6"/>
  <c r="P563" i="6" s="1"/>
  <c r="K563" i="6"/>
  <c r="L563" i="6" s="1"/>
  <c r="P562" i="6"/>
  <c r="O562" i="6"/>
  <c r="K562" i="6"/>
  <c r="L562" i="6" s="1"/>
  <c r="O561" i="6"/>
  <c r="P561" i="6" s="1"/>
  <c r="K561" i="6"/>
  <c r="L561" i="6" s="1"/>
  <c r="O560" i="6"/>
  <c r="P560" i="6" s="1"/>
  <c r="L560" i="6"/>
  <c r="K560" i="6"/>
  <c r="O559" i="6"/>
  <c r="P559" i="6" s="1"/>
  <c r="K559" i="6"/>
  <c r="L559" i="6" s="1"/>
  <c r="O558" i="6"/>
  <c r="P558" i="6" s="1"/>
  <c r="L558" i="6"/>
  <c r="K558" i="6"/>
  <c r="O557" i="6"/>
  <c r="P557" i="6" s="1"/>
  <c r="K557" i="6"/>
  <c r="L557" i="6" s="1"/>
  <c r="O556" i="6"/>
  <c r="P556" i="6" s="1"/>
  <c r="K556" i="6"/>
  <c r="L556" i="6" s="1"/>
  <c r="O555" i="6"/>
  <c r="P555" i="6" s="1"/>
  <c r="Q554" i="6" s="1"/>
  <c r="R554" i="6" s="1"/>
  <c r="L555" i="6"/>
  <c r="K555" i="6"/>
  <c r="O554" i="6"/>
  <c r="P554" i="6" s="1"/>
  <c r="K554" i="6"/>
  <c r="L554" i="6" s="1"/>
  <c r="O553" i="6"/>
  <c r="P553" i="6" s="1"/>
  <c r="K553" i="6"/>
  <c r="L553" i="6" s="1"/>
  <c r="P552" i="6"/>
  <c r="O552" i="6"/>
  <c r="K552" i="6"/>
  <c r="L552" i="6" s="1"/>
  <c r="O551" i="6"/>
  <c r="P551" i="6" s="1"/>
  <c r="K551" i="6"/>
  <c r="L551" i="6" s="1"/>
  <c r="O550" i="6"/>
  <c r="P550" i="6" s="1"/>
  <c r="K550" i="6"/>
  <c r="L550" i="6" s="1"/>
  <c r="O549" i="6"/>
  <c r="P549" i="6" s="1"/>
  <c r="K549" i="6"/>
  <c r="L549" i="6" s="1"/>
  <c r="O548" i="6"/>
  <c r="P548" i="6" s="1"/>
  <c r="K548" i="6"/>
  <c r="L548" i="6" s="1"/>
  <c r="M548" i="6" s="1"/>
  <c r="N548" i="6" s="1"/>
  <c r="S548" i="6" s="1"/>
  <c r="O547" i="6"/>
  <c r="P547" i="6" s="1"/>
  <c r="L547" i="6"/>
  <c r="K547" i="6"/>
  <c r="O546" i="6"/>
  <c r="P546" i="6" s="1"/>
  <c r="K546" i="6"/>
  <c r="L546" i="6" s="1"/>
  <c r="O545" i="6"/>
  <c r="P545" i="6" s="1"/>
  <c r="L545" i="6"/>
  <c r="K545" i="6"/>
  <c r="O544" i="6"/>
  <c r="P544" i="6" s="1"/>
  <c r="Q544" i="6" s="1"/>
  <c r="R544" i="6" s="1"/>
  <c r="K544" i="6"/>
  <c r="L544" i="6" s="1"/>
  <c r="O541" i="6"/>
  <c r="P541" i="6" s="1"/>
  <c r="K541" i="6"/>
  <c r="L541" i="6" s="1"/>
  <c r="O540" i="6"/>
  <c r="P540" i="6" s="1"/>
  <c r="K540" i="6"/>
  <c r="L540" i="6" s="1"/>
  <c r="O539" i="6"/>
  <c r="P539" i="6" s="1"/>
  <c r="L539" i="6"/>
  <c r="K539" i="6"/>
  <c r="O538" i="6"/>
  <c r="P538" i="6" s="1"/>
  <c r="K538" i="6"/>
  <c r="L538" i="6" s="1"/>
  <c r="O537" i="6"/>
  <c r="P537" i="6" s="1"/>
  <c r="L537" i="6"/>
  <c r="K537" i="6"/>
  <c r="P536" i="6"/>
  <c r="O536" i="6"/>
  <c r="K536" i="6"/>
  <c r="L536" i="6" s="1"/>
  <c r="O535" i="6"/>
  <c r="P535" i="6" s="1"/>
  <c r="K535" i="6"/>
  <c r="L535" i="6" s="1"/>
  <c r="O534" i="6"/>
  <c r="P534" i="6" s="1"/>
  <c r="K534" i="6"/>
  <c r="L534" i="6" s="1"/>
  <c r="O533" i="6"/>
  <c r="P533" i="6" s="1"/>
  <c r="K533" i="6"/>
  <c r="L533" i="6" s="1"/>
  <c r="P532" i="6"/>
  <c r="O532" i="6"/>
  <c r="K532" i="6"/>
  <c r="L532" i="6" s="1"/>
  <c r="O531" i="6"/>
  <c r="P531" i="6" s="1"/>
  <c r="K531" i="6"/>
  <c r="L531" i="6" s="1"/>
  <c r="P530" i="6"/>
  <c r="O530" i="6"/>
  <c r="K530" i="6"/>
  <c r="L530" i="6" s="1"/>
  <c r="P529" i="6"/>
  <c r="O529" i="6"/>
  <c r="K529" i="6"/>
  <c r="L529" i="6" s="1"/>
  <c r="O528" i="6"/>
  <c r="P528" i="6" s="1"/>
  <c r="K528" i="6"/>
  <c r="L528" i="6" s="1"/>
  <c r="O527" i="6"/>
  <c r="P527" i="6" s="1"/>
  <c r="K527" i="6"/>
  <c r="L527" i="6" s="1"/>
  <c r="P526" i="6"/>
  <c r="O526" i="6"/>
  <c r="K526" i="6"/>
  <c r="L526" i="6" s="1"/>
  <c r="P525" i="6"/>
  <c r="O525" i="6"/>
  <c r="K525" i="6"/>
  <c r="L525" i="6" s="1"/>
  <c r="O524" i="6"/>
  <c r="P524" i="6" s="1"/>
  <c r="L524" i="6"/>
  <c r="K524" i="6"/>
  <c r="O523" i="6"/>
  <c r="P523" i="6" s="1"/>
  <c r="L523" i="6"/>
  <c r="K523" i="6"/>
  <c r="O522" i="6"/>
  <c r="P522" i="6" s="1"/>
  <c r="L522" i="6"/>
  <c r="K522" i="6"/>
  <c r="O521" i="6"/>
  <c r="P521" i="6" s="1"/>
  <c r="L521" i="6"/>
  <c r="K521" i="6"/>
  <c r="O520" i="6"/>
  <c r="P520" i="6" s="1"/>
  <c r="L520" i="6"/>
  <c r="K520" i="6"/>
  <c r="O519" i="6"/>
  <c r="P519" i="6" s="1"/>
  <c r="L519" i="6"/>
  <c r="K519" i="6"/>
  <c r="O518" i="6"/>
  <c r="P518" i="6" s="1"/>
  <c r="L518" i="6"/>
  <c r="M518" i="6" s="1"/>
  <c r="N518" i="6" s="1"/>
  <c r="S518" i="6" s="1"/>
  <c r="K518" i="6"/>
  <c r="O517" i="6"/>
  <c r="P517" i="6" s="1"/>
  <c r="K517" i="6"/>
  <c r="L517" i="6" s="1"/>
  <c r="O516" i="6"/>
  <c r="P516" i="6" s="1"/>
  <c r="L516" i="6"/>
  <c r="K516" i="6"/>
  <c r="O515" i="6"/>
  <c r="P515" i="6" s="1"/>
  <c r="K515" i="6"/>
  <c r="L515" i="6" s="1"/>
  <c r="O514" i="6"/>
  <c r="P514" i="6" s="1"/>
  <c r="L514" i="6"/>
  <c r="K514" i="6"/>
  <c r="O513" i="6"/>
  <c r="P513" i="6" s="1"/>
  <c r="K513" i="6"/>
  <c r="L513" i="6" s="1"/>
  <c r="O512" i="6"/>
  <c r="P512" i="6" s="1"/>
  <c r="K512" i="6"/>
  <c r="L512" i="6" s="1"/>
  <c r="O511" i="6"/>
  <c r="P511" i="6" s="1"/>
  <c r="K511" i="6"/>
  <c r="L511" i="6" s="1"/>
  <c r="O510" i="6"/>
  <c r="P510" i="6" s="1"/>
  <c r="K510" i="6"/>
  <c r="L510" i="6" s="1"/>
  <c r="P509" i="6"/>
  <c r="O509" i="6"/>
  <c r="K509" i="6"/>
  <c r="L509" i="6" s="1"/>
  <c r="O508" i="6"/>
  <c r="P508" i="6" s="1"/>
  <c r="K508" i="6"/>
  <c r="L508" i="6" s="1"/>
  <c r="O505" i="6"/>
  <c r="P505" i="6" s="1"/>
  <c r="K505" i="6"/>
  <c r="L505" i="6" s="1"/>
  <c r="P504" i="6"/>
  <c r="O504" i="6"/>
  <c r="K504" i="6"/>
  <c r="L504" i="6" s="1"/>
  <c r="O503" i="6"/>
  <c r="P503" i="6" s="1"/>
  <c r="K503" i="6"/>
  <c r="L503" i="6" s="1"/>
  <c r="O502" i="6"/>
  <c r="P502" i="6" s="1"/>
  <c r="Q500" i="6" s="1"/>
  <c r="R500" i="6" s="1"/>
  <c r="K502" i="6"/>
  <c r="L502" i="6" s="1"/>
  <c r="P501" i="6"/>
  <c r="O501" i="6"/>
  <c r="K501" i="6"/>
  <c r="L501" i="6" s="1"/>
  <c r="P500" i="6"/>
  <c r="O500" i="6"/>
  <c r="K500" i="6"/>
  <c r="L500" i="6" s="1"/>
  <c r="O499" i="6"/>
  <c r="P499" i="6" s="1"/>
  <c r="L499" i="6"/>
  <c r="K499" i="6"/>
  <c r="O498" i="6"/>
  <c r="P498" i="6" s="1"/>
  <c r="K498" i="6"/>
  <c r="L498" i="6" s="1"/>
  <c r="O497" i="6"/>
  <c r="P497" i="6" s="1"/>
  <c r="K497" i="6"/>
  <c r="L497" i="6" s="1"/>
  <c r="O496" i="6"/>
  <c r="P496" i="6" s="1"/>
  <c r="K496" i="6"/>
  <c r="L496" i="6" s="1"/>
  <c r="O495" i="6"/>
  <c r="P495" i="6" s="1"/>
  <c r="L495" i="6"/>
  <c r="K495" i="6"/>
  <c r="P494" i="6"/>
  <c r="O494" i="6"/>
  <c r="K494" i="6"/>
  <c r="L494" i="6" s="1"/>
  <c r="O493" i="6"/>
  <c r="P493" i="6" s="1"/>
  <c r="K493" i="6"/>
  <c r="L493" i="6" s="1"/>
  <c r="O492" i="6"/>
  <c r="P492" i="6" s="1"/>
  <c r="K492" i="6"/>
  <c r="L492" i="6" s="1"/>
  <c r="P491" i="6"/>
  <c r="O491" i="6"/>
  <c r="K491" i="6"/>
  <c r="L491" i="6" s="1"/>
  <c r="P490" i="6"/>
  <c r="O490" i="6"/>
  <c r="K490" i="6"/>
  <c r="L490" i="6" s="1"/>
  <c r="O489" i="6"/>
  <c r="P489" i="6" s="1"/>
  <c r="K489" i="6"/>
  <c r="L489" i="6" s="1"/>
  <c r="P488" i="6"/>
  <c r="Q488" i="6" s="1"/>
  <c r="R488" i="6" s="1"/>
  <c r="O488" i="6"/>
  <c r="L488" i="6"/>
  <c r="K488" i="6"/>
  <c r="P487" i="6"/>
  <c r="O487" i="6"/>
  <c r="L487" i="6"/>
  <c r="K487" i="6"/>
  <c r="P486" i="6"/>
  <c r="O486" i="6"/>
  <c r="L486" i="6"/>
  <c r="K486" i="6"/>
  <c r="P485" i="6"/>
  <c r="O485" i="6"/>
  <c r="L485" i="6"/>
  <c r="K485" i="6"/>
  <c r="P484" i="6"/>
  <c r="O484" i="6"/>
  <c r="L484" i="6"/>
  <c r="K484" i="6"/>
  <c r="P483" i="6"/>
  <c r="O483" i="6"/>
  <c r="L483" i="6"/>
  <c r="K483" i="6"/>
  <c r="O482" i="6"/>
  <c r="P482" i="6" s="1"/>
  <c r="Q482" i="6" s="1"/>
  <c r="R482" i="6" s="1"/>
  <c r="K482" i="6"/>
  <c r="L482" i="6" s="1"/>
  <c r="M482" i="6" s="1"/>
  <c r="N482" i="6" s="1"/>
  <c r="S482" i="6" s="1"/>
  <c r="O481" i="6"/>
  <c r="P481" i="6" s="1"/>
  <c r="K481" i="6"/>
  <c r="L481" i="6" s="1"/>
  <c r="P480" i="6"/>
  <c r="O480" i="6"/>
  <c r="K480" i="6"/>
  <c r="L480" i="6" s="1"/>
  <c r="P479" i="6"/>
  <c r="O479" i="6"/>
  <c r="K479" i="6"/>
  <c r="L479" i="6" s="1"/>
  <c r="O478" i="6"/>
  <c r="P478" i="6" s="1"/>
  <c r="K478" i="6"/>
  <c r="L478" i="6" s="1"/>
  <c r="O477" i="6"/>
  <c r="P477" i="6" s="1"/>
  <c r="K477" i="6"/>
  <c r="L477" i="6" s="1"/>
  <c r="O476" i="6"/>
  <c r="P476" i="6" s="1"/>
  <c r="K476" i="6"/>
  <c r="L476" i="6" s="1"/>
  <c r="M476" i="6" s="1"/>
  <c r="N476" i="6" s="1"/>
  <c r="S476" i="6" s="1"/>
  <c r="O475" i="6"/>
  <c r="P475" i="6" s="1"/>
  <c r="L475" i="6"/>
  <c r="K475" i="6"/>
  <c r="O474" i="6"/>
  <c r="P474" i="6" s="1"/>
  <c r="K474" i="6"/>
  <c r="L474" i="6" s="1"/>
  <c r="O473" i="6"/>
  <c r="P473" i="6" s="1"/>
  <c r="K473" i="6"/>
  <c r="L473" i="6" s="1"/>
  <c r="P472" i="6"/>
  <c r="O472" i="6"/>
  <c r="K472" i="6"/>
  <c r="L472" i="6" s="1"/>
  <c r="P469" i="6"/>
  <c r="O469" i="6"/>
  <c r="K469" i="6"/>
  <c r="L469" i="6" s="1"/>
  <c r="O468" i="6"/>
  <c r="P468" i="6" s="1"/>
  <c r="K468" i="6"/>
  <c r="L468" i="6" s="1"/>
  <c r="O467" i="6"/>
  <c r="P467" i="6" s="1"/>
  <c r="K467" i="6"/>
  <c r="L467" i="6" s="1"/>
  <c r="P466" i="6"/>
  <c r="O466" i="6"/>
  <c r="K466" i="6"/>
  <c r="L466" i="6" s="1"/>
  <c r="P465" i="6"/>
  <c r="O465" i="6"/>
  <c r="K465" i="6"/>
  <c r="L465" i="6" s="1"/>
  <c r="O464" i="6"/>
  <c r="P464" i="6" s="1"/>
  <c r="K464" i="6"/>
  <c r="L464" i="6" s="1"/>
  <c r="M464" i="6" s="1"/>
  <c r="N464" i="6" s="1"/>
  <c r="S464" i="6" s="1"/>
  <c r="P463" i="6"/>
  <c r="O463" i="6"/>
  <c r="K463" i="6"/>
  <c r="L463" i="6" s="1"/>
  <c r="P462" i="6"/>
  <c r="O462" i="6"/>
  <c r="K462" i="6"/>
  <c r="L462" i="6" s="1"/>
  <c r="O461" i="6"/>
  <c r="P461" i="6" s="1"/>
  <c r="K461" i="6"/>
  <c r="L461" i="6" s="1"/>
  <c r="O460" i="6"/>
  <c r="P460" i="6" s="1"/>
  <c r="K460" i="6"/>
  <c r="L460" i="6" s="1"/>
  <c r="P459" i="6"/>
  <c r="O459" i="6"/>
  <c r="K459" i="6"/>
  <c r="L459" i="6" s="1"/>
  <c r="P458" i="6"/>
  <c r="O458" i="6"/>
  <c r="K458" i="6"/>
  <c r="L458" i="6" s="1"/>
  <c r="O457" i="6"/>
  <c r="P457" i="6" s="1"/>
  <c r="L457" i="6"/>
  <c r="K457" i="6"/>
  <c r="O456" i="6"/>
  <c r="P456" i="6" s="1"/>
  <c r="K456" i="6"/>
  <c r="L456" i="6" s="1"/>
  <c r="O455" i="6"/>
  <c r="P455" i="6" s="1"/>
  <c r="L455" i="6"/>
  <c r="K455" i="6"/>
  <c r="O454" i="6"/>
  <c r="P454" i="6" s="1"/>
  <c r="K454" i="6"/>
  <c r="L454" i="6" s="1"/>
  <c r="O453" i="6"/>
  <c r="P453" i="6" s="1"/>
  <c r="L453" i="6"/>
  <c r="K453" i="6"/>
  <c r="P452" i="6"/>
  <c r="O452" i="6"/>
  <c r="K452" i="6"/>
  <c r="L452" i="6" s="1"/>
  <c r="P451" i="6"/>
  <c r="O451" i="6"/>
  <c r="K451" i="6"/>
  <c r="L451" i="6" s="1"/>
  <c r="O450" i="6"/>
  <c r="P450" i="6" s="1"/>
  <c r="K450" i="6"/>
  <c r="L450" i="6" s="1"/>
  <c r="O449" i="6"/>
  <c r="P449" i="6" s="1"/>
  <c r="Q446" i="6" s="1"/>
  <c r="R446" i="6" s="1"/>
  <c r="K449" i="6"/>
  <c r="L449" i="6" s="1"/>
  <c r="P448" i="6"/>
  <c r="O448" i="6"/>
  <c r="K448" i="6"/>
  <c r="L448" i="6" s="1"/>
  <c r="P447" i="6"/>
  <c r="O447" i="6"/>
  <c r="K447" i="6"/>
  <c r="L447" i="6" s="1"/>
  <c r="P446" i="6"/>
  <c r="O446" i="6"/>
  <c r="K446" i="6"/>
  <c r="L446" i="6" s="1"/>
  <c r="P445" i="6"/>
  <c r="O445" i="6"/>
  <c r="K445" i="6"/>
  <c r="L445" i="6" s="1"/>
  <c r="O444" i="6"/>
  <c r="P444" i="6" s="1"/>
  <c r="K444" i="6"/>
  <c r="L444" i="6" s="1"/>
  <c r="O443" i="6"/>
  <c r="P443" i="6" s="1"/>
  <c r="K443" i="6"/>
  <c r="L443" i="6" s="1"/>
  <c r="P442" i="6"/>
  <c r="O442" i="6"/>
  <c r="K442" i="6"/>
  <c r="L442" i="6" s="1"/>
  <c r="P441" i="6"/>
  <c r="O441" i="6"/>
  <c r="K441" i="6"/>
  <c r="L441" i="6" s="1"/>
  <c r="O440" i="6"/>
  <c r="P440" i="6" s="1"/>
  <c r="K440" i="6"/>
  <c r="L440" i="6" s="1"/>
  <c r="M440" i="6" s="1"/>
  <c r="N440" i="6" s="1"/>
  <c r="S440" i="6" s="1"/>
  <c r="P439" i="6"/>
  <c r="O439" i="6"/>
  <c r="K439" i="6"/>
  <c r="L439" i="6" s="1"/>
  <c r="P438" i="6"/>
  <c r="O438" i="6"/>
  <c r="L438" i="6"/>
  <c r="K438" i="6"/>
  <c r="P437" i="6"/>
  <c r="Q436" i="6" s="1"/>
  <c r="R436" i="6" s="1"/>
  <c r="O437" i="6"/>
  <c r="L437" i="6"/>
  <c r="K437" i="6"/>
  <c r="P436" i="6"/>
  <c r="O436" i="6"/>
  <c r="L436" i="6"/>
  <c r="M436" i="6" s="1"/>
  <c r="N436" i="6" s="1"/>
  <c r="S436" i="6" s="1"/>
  <c r="K436" i="6"/>
  <c r="O433" i="6"/>
  <c r="P433" i="6" s="1"/>
  <c r="K433" i="6"/>
  <c r="L433" i="6" s="1"/>
  <c r="O432" i="6"/>
  <c r="P432" i="6" s="1"/>
  <c r="K432" i="6"/>
  <c r="L432" i="6" s="1"/>
  <c r="P431" i="6"/>
  <c r="O431" i="6"/>
  <c r="K431" i="6"/>
  <c r="L431" i="6" s="1"/>
  <c r="O430" i="6"/>
  <c r="P430" i="6" s="1"/>
  <c r="K430" i="6"/>
  <c r="L430" i="6" s="1"/>
  <c r="O429" i="6"/>
  <c r="P429" i="6" s="1"/>
  <c r="K429" i="6"/>
  <c r="L429" i="6" s="1"/>
  <c r="O428" i="6"/>
  <c r="P428" i="6" s="1"/>
  <c r="K428" i="6"/>
  <c r="L428" i="6" s="1"/>
  <c r="O427" i="6"/>
  <c r="P427" i="6" s="1"/>
  <c r="L427" i="6"/>
  <c r="K427" i="6"/>
  <c r="O426" i="6"/>
  <c r="P426" i="6" s="1"/>
  <c r="L426" i="6"/>
  <c r="K426" i="6"/>
  <c r="O425" i="6"/>
  <c r="P425" i="6" s="1"/>
  <c r="L425" i="6"/>
  <c r="K425" i="6"/>
  <c r="O424" i="6"/>
  <c r="P424" i="6" s="1"/>
  <c r="L424" i="6"/>
  <c r="K424" i="6"/>
  <c r="O423" i="6"/>
  <c r="P423" i="6" s="1"/>
  <c r="L423" i="6"/>
  <c r="K423" i="6"/>
  <c r="O422" i="6"/>
  <c r="P422" i="6" s="1"/>
  <c r="K422" i="6"/>
  <c r="L422" i="6" s="1"/>
  <c r="M422" i="6" s="1"/>
  <c r="N422" i="6" s="1"/>
  <c r="S422" i="6" s="1"/>
  <c r="P421" i="6"/>
  <c r="O421" i="6"/>
  <c r="K421" i="6"/>
  <c r="L421" i="6" s="1"/>
  <c r="O420" i="6"/>
  <c r="P420" i="6" s="1"/>
  <c r="K420" i="6"/>
  <c r="L420" i="6" s="1"/>
  <c r="O419" i="6"/>
  <c r="P419" i="6" s="1"/>
  <c r="K419" i="6"/>
  <c r="L419" i="6" s="1"/>
  <c r="O418" i="6"/>
  <c r="P418" i="6" s="1"/>
  <c r="K418" i="6"/>
  <c r="L418" i="6" s="1"/>
  <c r="P417" i="6"/>
  <c r="O417" i="6"/>
  <c r="K417" i="6"/>
  <c r="L417" i="6" s="1"/>
  <c r="P416" i="6"/>
  <c r="Q416" i="6" s="1"/>
  <c r="R416" i="6" s="1"/>
  <c r="O416" i="6"/>
  <c r="K416" i="6"/>
  <c r="L416" i="6" s="1"/>
  <c r="O415" i="6"/>
  <c r="P415" i="6" s="1"/>
  <c r="L415" i="6"/>
  <c r="K415" i="6"/>
  <c r="O414" i="6"/>
  <c r="P414" i="6" s="1"/>
  <c r="K414" i="6"/>
  <c r="L414" i="6" s="1"/>
  <c r="O413" i="6"/>
  <c r="P413" i="6" s="1"/>
  <c r="L413" i="6"/>
  <c r="K413" i="6"/>
  <c r="O412" i="6"/>
  <c r="P412" i="6" s="1"/>
  <c r="K412" i="6"/>
  <c r="L412" i="6" s="1"/>
  <c r="O411" i="6"/>
  <c r="P411" i="6" s="1"/>
  <c r="L411" i="6"/>
  <c r="K411" i="6"/>
  <c r="P410" i="6"/>
  <c r="O410" i="6"/>
  <c r="K410" i="6"/>
  <c r="L410" i="6" s="1"/>
  <c r="O409" i="6"/>
  <c r="P409" i="6" s="1"/>
  <c r="K409" i="6"/>
  <c r="L409" i="6" s="1"/>
  <c r="O408" i="6"/>
  <c r="P408" i="6" s="1"/>
  <c r="K408" i="6"/>
  <c r="L408" i="6" s="1"/>
  <c r="O407" i="6"/>
  <c r="P407" i="6" s="1"/>
  <c r="K407" i="6"/>
  <c r="L407" i="6" s="1"/>
  <c r="P406" i="6"/>
  <c r="O406" i="6"/>
  <c r="K406" i="6"/>
  <c r="L406" i="6" s="1"/>
  <c r="O405" i="6"/>
  <c r="P405" i="6" s="1"/>
  <c r="K405" i="6"/>
  <c r="L405" i="6" s="1"/>
  <c r="P404" i="6"/>
  <c r="O404" i="6"/>
  <c r="K404" i="6"/>
  <c r="L404" i="6" s="1"/>
  <c r="O403" i="6"/>
  <c r="P403" i="6" s="1"/>
  <c r="K403" i="6"/>
  <c r="L403" i="6" s="1"/>
  <c r="O402" i="6"/>
  <c r="P402" i="6" s="1"/>
  <c r="K402" i="6"/>
  <c r="L402" i="6" s="1"/>
  <c r="O401" i="6"/>
  <c r="P401" i="6" s="1"/>
  <c r="K401" i="6"/>
  <c r="L401" i="6" s="1"/>
  <c r="O400" i="6"/>
  <c r="P400" i="6" s="1"/>
  <c r="K400" i="6"/>
  <c r="L400" i="6" s="1"/>
  <c r="O397" i="6"/>
  <c r="P397" i="6" s="1"/>
  <c r="K397" i="6"/>
  <c r="L397" i="6" s="1"/>
  <c r="O396" i="6"/>
  <c r="P396" i="6" s="1"/>
  <c r="K396" i="6"/>
  <c r="L396" i="6" s="1"/>
  <c r="O395" i="6"/>
  <c r="P395" i="6" s="1"/>
  <c r="L395" i="6"/>
  <c r="K395" i="6"/>
  <c r="O394" i="6"/>
  <c r="P394" i="6" s="1"/>
  <c r="L394" i="6"/>
  <c r="K394" i="6"/>
  <c r="O393" i="6"/>
  <c r="P393" i="6" s="1"/>
  <c r="K393" i="6"/>
  <c r="L393" i="6" s="1"/>
  <c r="O392" i="6"/>
  <c r="P392" i="6" s="1"/>
  <c r="K392" i="6"/>
  <c r="L392" i="6" s="1"/>
  <c r="O391" i="6"/>
  <c r="P391" i="6" s="1"/>
  <c r="K391" i="6"/>
  <c r="L391" i="6" s="1"/>
  <c r="O390" i="6"/>
  <c r="P390" i="6" s="1"/>
  <c r="K390" i="6"/>
  <c r="L390" i="6" s="1"/>
  <c r="P389" i="6"/>
  <c r="O389" i="6"/>
  <c r="K389" i="6"/>
  <c r="L389" i="6" s="1"/>
  <c r="O388" i="6"/>
  <c r="P388" i="6" s="1"/>
  <c r="K388" i="6"/>
  <c r="L388" i="6" s="1"/>
  <c r="O387" i="6"/>
  <c r="P387" i="6" s="1"/>
  <c r="K387" i="6"/>
  <c r="L387" i="6" s="1"/>
  <c r="O386" i="6"/>
  <c r="P386" i="6" s="1"/>
  <c r="Q386" i="6" s="1"/>
  <c r="R386" i="6" s="1"/>
  <c r="K386" i="6"/>
  <c r="L386" i="6" s="1"/>
  <c r="P385" i="6"/>
  <c r="O385" i="6"/>
  <c r="K385" i="6"/>
  <c r="L385" i="6" s="1"/>
  <c r="O384" i="6"/>
  <c r="P384" i="6" s="1"/>
  <c r="K384" i="6"/>
  <c r="L384" i="6" s="1"/>
  <c r="P383" i="6"/>
  <c r="O383" i="6"/>
  <c r="K383" i="6"/>
  <c r="L383" i="6" s="1"/>
  <c r="O382" i="6"/>
  <c r="P382" i="6" s="1"/>
  <c r="K382" i="6"/>
  <c r="L382" i="6" s="1"/>
  <c r="P381" i="6"/>
  <c r="O381" i="6"/>
  <c r="K381" i="6"/>
  <c r="L381" i="6" s="1"/>
  <c r="O380" i="6"/>
  <c r="P380" i="6" s="1"/>
  <c r="K380" i="6"/>
  <c r="L380" i="6" s="1"/>
  <c r="O379" i="6"/>
  <c r="P379" i="6" s="1"/>
  <c r="K379" i="6"/>
  <c r="L379" i="6" s="1"/>
  <c r="P378" i="6"/>
  <c r="O378" i="6"/>
  <c r="K378" i="6"/>
  <c r="L378" i="6" s="1"/>
  <c r="O377" i="6"/>
  <c r="P377" i="6" s="1"/>
  <c r="K377" i="6"/>
  <c r="L377" i="6" s="1"/>
  <c r="P376" i="6"/>
  <c r="O376" i="6"/>
  <c r="K376" i="6"/>
  <c r="L376" i="6" s="1"/>
  <c r="O375" i="6"/>
  <c r="P375" i="6" s="1"/>
  <c r="K375" i="6"/>
  <c r="L375" i="6" s="1"/>
  <c r="O374" i="6"/>
  <c r="P374" i="6" s="1"/>
  <c r="L374" i="6"/>
  <c r="K374" i="6"/>
  <c r="O373" i="6"/>
  <c r="P373" i="6" s="1"/>
  <c r="K373" i="6"/>
  <c r="L373" i="6" s="1"/>
  <c r="O372" i="6"/>
  <c r="P372" i="6" s="1"/>
  <c r="K372" i="6"/>
  <c r="L372" i="6" s="1"/>
  <c r="O371" i="6"/>
  <c r="P371" i="6" s="1"/>
  <c r="L371" i="6"/>
  <c r="K371" i="6"/>
  <c r="O370" i="6"/>
  <c r="P370" i="6" s="1"/>
  <c r="L370" i="6"/>
  <c r="K370" i="6"/>
  <c r="O369" i="6"/>
  <c r="P369" i="6" s="1"/>
  <c r="K369" i="6"/>
  <c r="L369" i="6" s="1"/>
  <c r="O368" i="6"/>
  <c r="P368" i="6" s="1"/>
  <c r="K368" i="6"/>
  <c r="L368" i="6" s="1"/>
  <c r="P367" i="6"/>
  <c r="O367" i="6"/>
  <c r="K367" i="6"/>
  <c r="L367" i="6" s="1"/>
  <c r="O366" i="6"/>
  <c r="P366" i="6" s="1"/>
  <c r="Q364" i="6" s="1"/>
  <c r="R364" i="6" s="1"/>
  <c r="K366" i="6"/>
  <c r="L366" i="6" s="1"/>
  <c r="P365" i="6"/>
  <c r="O365" i="6"/>
  <c r="K365" i="6"/>
  <c r="L365" i="6" s="1"/>
  <c r="P364" i="6"/>
  <c r="O364" i="6"/>
  <c r="K364" i="6"/>
  <c r="L364" i="6" s="1"/>
  <c r="O361" i="6"/>
  <c r="P361" i="6" s="1"/>
  <c r="K361" i="6"/>
  <c r="L361" i="6" s="1"/>
  <c r="P360" i="6"/>
  <c r="O360" i="6"/>
  <c r="K360" i="6"/>
  <c r="L360" i="6" s="1"/>
  <c r="O359" i="6"/>
  <c r="P359" i="6" s="1"/>
  <c r="K359" i="6"/>
  <c r="L359" i="6" s="1"/>
  <c r="P358" i="6"/>
  <c r="O358" i="6"/>
  <c r="K358" i="6"/>
  <c r="L358" i="6" s="1"/>
  <c r="O357" i="6"/>
  <c r="P357" i="6" s="1"/>
  <c r="K357" i="6"/>
  <c r="L357" i="6" s="1"/>
  <c r="O356" i="6"/>
  <c r="P356" i="6" s="1"/>
  <c r="L356" i="6"/>
  <c r="K356" i="6"/>
  <c r="O355" i="6"/>
  <c r="P355" i="6" s="1"/>
  <c r="L355" i="6"/>
  <c r="K355" i="6"/>
  <c r="O354" i="6"/>
  <c r="P354" i="6" s="1"/>
  <c r="K354" i="6"/>
  <c r="L354" i="6" s="1"/>
  <c r="O353" i="6"/>
  <c r="P353" i="6" s="1"/>
  <c r="K353" i="6"/>
  <c r="L353" i="6" s="1"/>
  <c r="O352" i="6"/>
  <c r="P352" i="6" s="1"/>
  <c r="L352" i="6"/>
  <c r="K352" i="6"/>
  <c r="O351" i="6"/>
  <c r="P351" i="6" s="1"/>
  <c r="L351" i="6"/>
  <c r="K351" i="6"/>
  <c r="P350" i="6"/>
  <c r="O350" i="6"/>
  <c r="K350" i="6"/>
  <c r="L350" i="6" s="1"/>
  <c r="O349" i="6"/>
  <c r="P349" i="6" s="1"/>
  <c r="K349" i="6"/>
  <c r="L349" i="6" s="1"/>
  <c r="P348" i="6"/>
  <c r="O348" i="6"/>
  <c r="K348" i="6"/>
  <c r="L348" i="6" s="1"/>
  <c r="O347" i="6"/>
  <c r="P347" i="6" s="1"/>
  <c r="K347" i="6"/>
  <c r="L347" i="6" s="1"/>
  <c r="P346" i="6"/>
  <c r="O346" i="6"/>
  <c r="K346" i="6"/>
  <c r="L346" i="6" s="1"/>
  <c r="O345" i="6"/>
  <c r="P345" i="6" s="1"/>
  <c r="K345" i="6"/>
  <c r="L345" i="6" s="1"/>
  <c r="M344" i="6" s="1"/>
  <c r="N344" i="6" s="1"/>
  <c r="S344" i="6" s="1"/>
  <c r="P344" i="6"/>
  <c r="O344" i="6"/>
  <c r="L344" i="6"/>
  <c r="K344" i="6"/>
  <c r="P343" i="6"/>
  <c r="O343" i="6"/>
  <c r="L343" i="6"/>
  <c r="K343" i="6"/>
  <c r="P342" i="6"/>
  <c r="O342" i="6"/>
  <c r="L342" i="6"/>
  <c r="K342" i="6"/>
  <c r="P341" i="6"/>
  <c r="O341" i="6"/>
  <c r="L341" i="6"/>
  <c r="K341" i="6"/>
  <c r="P340" i="6"/>
  <c r="O340" i="6"/>
  <c r="L340" i="6"/>
  <c r="K340" i="6"/>
  <c r="P339" i="6"/>
  <c r="O339" i="6"/>
  <c r="L339" i="6"/>
  <c r="K339" i="6"/>
  <c r="O338" i="6"/>
  <c r="P338" i="6" s="1"/>
  <c r="L338" i="6"/>
  <c r="M338" i="6" s="1"/>
  <c r="N338" i="6" s="1"/>
  <c r="S338" i="6" s="1"/>
  <c r="K338" i="6"/>
  <c r="O337" i="6"/>
  <c r="P337" i="6" s="1"/>
  <c r="L337" i="6"/>
  <c r="K337" i="6"/>
  <c r="O336" i="6"/>
  <c r="P336" i="6" s="1"/>
  <c r="L336" i="6"/>
  <c r="K336" i="6"/>
  <c r="O335" i="6"/>
  <c r="P335" i="6" s="1"/>
  <c r="L335" i="6"/>
  <c r="K335" i="6"/>
  <c r="O334" i="6"/>
  <c r="P334" i="6" s="1"/>
  <c r="L334" i="6"/>
  <c r="K334" i="6"/>
  <c r="O333" i="6"/>
  <c r="P333" i="6" s="1"/>
  <c r="L333" i="6"/>
  <c r="K333" i="6"/>
  <c r="P332" i="6"/>
  <c r="Q332" i="6" s="1"/>
  <c r="R332" i="6" s="1"/>
  <c r="O332" i="6"/>
  <c r="L332" i="6"/>
  <c r="K332" i="6"/>
  <c r="O331" i="6"/>
  <c r="P331" i="6" s="1"/>
  <c r="L331" i="6"/>
  <c r="K331" i="6"/>
  <c r="O330" i="6"/>
  <c r="P330" i="6" s="1"/>
  <c r="K330" i="6"/>
  <c r="L330" i="6" s="1"/>
  <c r="O329" i="6"/>
  <c r="P329" i="6" s="1"/>
  <c r="K329" i="6"/>
  <c r="L329" i="6" s="1"/>
  <c r="O328" i="6"/>
  <c r="P328" i="6" s="1"/>
  <c r="Q328" i="6" s="1"/>
  <c r="R328" i="6" s="1"/>
  <c r="K328" i="6"/>
  <c r="L328" i="6" s="1"/>
  <c r="O325" i="6"/>
  <c r="P325" i="6" s="1"/>
  <c r="K325" i="6"/>
  <c r="L325" i="6" s="1"/>
  <c r="P324" i="6"/>
  <c r="O324" i="6"/>
  <c r="K324" i="6"/>
  <c r="L324" i="6" s="1"/>
  <c r="O323" i="6"/>
  <c r="P323" i="6" s="1"/>
  <c r="K323" i="6"/>
  <c r="L323" i="6" s="1"/>
  <c r="O322" i="6"/>
  <c r="P322" i="6" s="1"/>
  <c r="K322" i="6"/>
  <c r="L322" i="6" s="1"/>
  <c r="P321" i="6"/>
  <c r="O321" i="6"/>
  <c r="K321" i="6"/>
  <c r="L321" i="6" s="1"/>
  <c r="O320" i="6"/>
  <c r="P320" i="6" s="1"/>
  <c r="L320" i="6"/>
  <c r="K320" i="6"/>
  <c r="O319" i="6"/>
  <c r="P319" i="6" s="1"/>
  <c r="L319" i="6"/>
  <c r="K319" i="6"/>
  <c r="O318" i="6"/>
  <c r="P318" i="6" s="1"/>
  <c r="L318" i="6"/>
  <c r="K318" i="6"/>
  <c r="O317" i="6"/>
  <c r="P317" i="6" s="1"/>
  <c r="L317" i="6"/>
  <c r="K317" i="6"/>
  <c r="O316" i="6"/>
  <c r="P316" i="6" s="1"/>
  <c r="L316" i="6"/>
  <c r="K316" i="6"/>
  <c r="O315" i="6"/>
  <c r="P315" i="6" s="1"/>
  <c r="L315" i="6"/>
  <c r="K315" i="6"/>
  <c r="P314" i="6"/>
  <c r="O314" i="6"/>
  <c r="K314" i="6"/>
  <c r="L314" i="6" s="1"/>
  <c r="M314" i="6" s="1"/>
  <c r="N314" i="6" s="1"/>
  <c r="S314" i="6" s="1"/>
  <c r="O313" i="6"/>
  <c r="P313" i="6" s="1"/>
  <c r="K313" i="6"/>
  <c r="L313" i="6" s="1"/>
  <c r="O312" i="6"/>
  <c r="P312" i="6" s="1"/>
  <c r="L312" i="6"/>
  <c r="K312" i="6"/>
  <c r="O311" i="6"/>
  <c r="P311" i="6" s="1"/>
  <c r="K311" i="6"/>
  <c r="L311" i="6" s="1"/>
  <c r="O310" i="6"/>
  <c r="P310" i="6" s="1"/>
  <c r="K310" i="6"/>
  <c r="L310" i="6" s="1"/>
  <c r="O309" i="6"/>
  <c r="P309" i="6" s="1"/>
  <c r="K309" i="6"/>
  <c r="L309" i="6" s="1"/>
  <c r="O308" i="6"/>
  <c r="P308" i="6" s="1"/>
  <c r="K308" i="6"/>
  <c r="L308" i="6" s="1"/>
  <c r="O307" i="6"/>
  <c r="P307" i="6" s="1"/>
  <c r="K307" i="6"/>
  <c r="L307" i="6" s="1"/>
  <c r="P306" i="6"/>
  <c r="O306" i="6"/>
  <c r="K306" i="6"/>
  <c r="L306" i="6" s="1"/>
  <c r="O305" i="6"/>
  <c r="P305" i="6" s="1"/>
  <c r="K305" i="6"/>
  <c r="L305" i="6" s="1"/>
  <c r="O304" i="6"/>
  <c r="P304" i="6" s="1"/>
  <c r="K304" i="6"/>
  <c r="L304" i="6" s="1"/>
  <c r="O303" i="6"/>
  <c r="P303" i="6" s="1"/>
  <c r="K303" i="6"/>
  <c r="L303" i="6" s="1"/>
  <c r="P302" i="6"/>
  <c r="O302" i="6"/>
  <c r="L302" i="6"/>
  <c r="M302" i="6" s="1"/>
  <c r="N302" i="6" s="1"/>
  <c r="S302" i="6" s="1"/>
  <c r="K302" i="6"/>
  <c r="O301" i="6"/>
  <c r="P301" i="6" s="1"/>
  <c r="K301" i="6"/>
  <c r="L301" i="6" s="1"/>
  <c r="O300" i="6"/>
  <c r="P300" i="6" s="1"/>
  <c r="K300" i="6"/>
  <c r="L300" i="6" s="1"/>
  <c r="O299" i="6"/>
  <c r="P299" i="6" s="1"/>
  <c r="K299" i="6"/>
  <c r="L299" i="6" s="1"/>
  <c r="O298" i="6"/>
  <c r="P298" i="6" s="1"/>
  <c r="L298" i="6"/>
  <c r="K298" i="6"/>
  <c r="O297" i="6"/>
  <c r="P297" i="6" s="1"/>
  <c r="K297" i="6"/>
  <c r="L297" i="6" s="1"/>
  <c r="O296" i="6"/>
  <c r="P296" i="6" s="1"/>
  <c r="K296" i="6"/>
  <c r="L296" i="6" s="1"/>
  <c r="O295" i="6"/>
  <c r="P295" i="6" s="1"/>
  <c r="K295" i="6"/>
  <c r="L295" i="6" s="1"/>
  <c r="P294" i="6"/>
  <c r="O294" i="6"/>
  <c r="K294" i="6"/>
  <c r="L294" i="6" s="1"/>
  <c r="O293" i="6"/>
  <c r="P293" i="6" s="1"/>
  <c r="K293" i="6"/>
  <c r="L293" i="6" s="1"/>
  <c r="P292" i="6"/>
  <c r="O292" i="6"/>
  <c r="K292" i="6"/>
  <c r="L292" i="6" s="1"/>
  <c r="O289" i="6"/>
  <c r="P289" i="6" s="1"/>
  <c r="K289" i="6"/>
  <c r="L289" i="6" s="1"/>
  <c r="O288" i="6"/>
  <c r="P288" i="6" s="1"/>
  <c r="K288" i="6"/>
  <c r="L288" i="6" s="1"/>
  <c r="O287" i="6"/>
  <c r="P287" i="6" s="1"/>
  <c r="K287" i="6"/>
  <c r="L287" i="6" s="1"/>
  <c r="P286" i="6"/>
  <c r="O286" i="6"/>
  <c r="K286" i="6"/>
  <c r="L286" i="6" s="1"/>
  <c r="O285" i="6"/>
  <c r="P285" i="6" s="1"/>
  <c r="K285" i="6"/>
  <c r="L285" i="6" s="1"/>
  <c r="O284" i="6"/>
  <c r="P284" i="6" s="1"/>
  <c r="L284" i="6"/>
  <c r="K284" i="6"/>
  <c r="O283" i="6"/>
  <c r="P283" i="6" s="1"/>
  <c r="K283" i="6"/>
  <c r="L283" i="6" s="1"/>
  <c r="O282" i="6"/>
  <c r="P282" i="6" s="1"/>
  <c r="L282" i="6"/>
  <c r="K282" i="6"/>
  <c r="O281" i="6"/>
  <c r="P281" i="6" s="1"/>
  <c r="K281" i="6"/>
  <c r="L281" i="6" s="1"/>
  <c r="O280" i="6"/>
  <c r="P280" i="6" s="1"/>
  <c r="L280" i="6"/>
  <c r="K280" i="6"/>
  <c r="O279" i="6"/>
  <c r="P279" i="6" s="1"/>
  <c r="K279" i="6"/>
  <c r="L279" i="6" s="1"/>
  <c r="O278" i="6"/>
  <c r="P278" i="6" s="1"/>
  <c r="K278" i="6"/>
  <c r="L278" i="6" s="1"/>
  <c r="M278" i="6" s="1"/>
  <c r="N278" i="6" s="1"/>
  <c r="S278" i="6" s="1"/>
  <c r="O277" i="6"/>
  <c r="P277" i="6" s="1"/>
  <c r="K277" i="6"/>
  <c r="L277" i="6" s="1"/>
  <c r="P276" i="6"/>
  <c r="O276" i="6"/>
  <c r="K276" i="6"/>
  <c r="L276" i="6" s="1"/>
  <c r="O275" i="6"/>
  <c r="P275" i="6" s="1"/>
  <c r="K275" i="6"/>
  <c r="L275" i="6" s="1"/>
  <c r="O274" i="6"/>
  <c r="P274" i="6" s="1"/>
  <c r="K274" i="6"/>
  <c r="L274" i="6" s="1"/>
  <c r="O273" i="6"/>
  <c r="P273" i="6" s="1"/>
  <c r="K273" i="6"/>
  <c r="L273" i="6" s="1"/>
  <c r="O272" i="6"/>
  <c r="P272" i="6" s="1"/>
  <c r="K272" i="6"/>
  <c r="L272" i="6" s="1"/>
  <c r="O271" i="6"/>
  <c r="P271" i="6" s="1"/>
  <c r="L271" i="6"/>
  <c r="K271" i="6"/>
  <c r="O270" i="6"/>
  <c r="P270" i="6" s="1"/>
  <c r="K270" i="6"/>
  <c r="L270" i="6" s="1"/>
  <c r="O269" i="6"/>
  <c r="P269" i="6" s="1"/>
  <c r="L269" i="6"/>
  <c r="K269" i="6"/>
  <c r="O268" i="6"/>
  <c r="P268" i="6" s="1"/>
  <c r="K268" i="6"/>
  <c r="L268" i="6" s="1"/>
  <c r="O267" i="6"/>
  <c r="P267" i="6" s="1"/>
  <c r="L267" i="6"/>
  <c r="K267" i="6"/>
  <c r="O266" i="6"/>
  <c r="P266" i="6" s="1"/>
  <c r="K266" i="6"/>
  <c r="L266" i="6" s="1"/>
  <c r="O265" i="6"/>
  <c r="P265" i="6" s="1"/>
  <c r="K265" i="6"/>
  <c r="L265" i="6" s="1"/>
  <c r="O264" i="6"/>
  <c r="P264" i="6" s="1"/>
  <c r="K264" i="6"/>
  <c r="L264" i="6" s="1"/>
  <c r="O263" i="6"/>
  <c r="P263" i="6" s="1"/>
  <c r="K263" i="6"/>
  <c r="L263" i="6" s="1"/>
  <c r="P262" i="6"/>
  <c r="O262" i="6"/>
  <c r="K262" i="6"/>
  <c r="L262" i="6" s="1"/>
  <c r="O261" i="6"/>
  <c r="P261" i="6" s="1"/>
  <c r="K261" i="6"/>
  <c r="L261" i="6" s="1"/>
  <c r="O260" i="6"/>
  <c r="P260" i="6" s="1"/>
  <c r="K260" i="6"/>
  <c r="L260" i="6" s="1"/>
  <c r="O259" i="6"/>
  <c r="P259" i="6" s="1"/>
  <c r="K259" i="6"/>
  <c r="L259" i="6" s="1"/>
  <c r="P258" i="6"/>
  <c r="O258" i="6"/>
  <c r="K258" i="6"/>
  <c r="L258" i="6" s="1"/>
  <c r="O257" i="6"/>
  <c r="P257" i="6" s="1"/>
  <c r="K257" i="6"/>
  <c r="L257" i="6" s="1"/>
  <c r="O256" i="6"/>
  <c r="P256" i="6" s="1"/>
  <c r="L256" i="6"/>
  <c r="K256" i="6"/>
  <c r="P253" i="6"/>
  <c r="O253" i="6"/>
  <c r="L253" i="6"/>
  <c r="K253" i="6"/>
  <c r="P252" i="6"/>
  <c r="O252" i="6"/>
  <c r="L252" i="6"/>
  <c r="K252" i="6"/>
  <c r="P251" i="6"/>
  <c r="O251" i="6"/>
  <c r="L251" i="6"/>
  <c r="K251" i="6"/>
  <c r="P250" i="6"/>
  <c r="O250" i="6"/>
  <c r="L250" i="6"/>
  <c r="K250" i="6"/>
  <c r="P249" i="6"/>
  <c r="O249" i="6"/>
  <c r="L249" i="6"/>
  <c r="K249" i="6"/>
  <c r="Q248" i="6"/>
  <c r="R248" i="6" s="1"/>
  <c r="P248" i="6"/>
  <c r="O248" i="6"/>
  <c r="K248" i="6"/>
  <c r="L248" i="6" s="1"/>
  <c r="O247" i="6"/>
  <c r="P247" i="6" s="1"/>
  <c r="L247" i="6"/>
  <c r="K247" i="6"/>
  <c r="O246" i="6"/>
  <c r="P246" i="6" s="1"/>
  <c r="L246" i="6"/>
  <c r="K246" i="6"/>
  <c r="O245" i="6"/>
  <c r="P245" i="6" s="1"/>
  <c r="L245" i="6"/>
  <c r="K245" i="6"/>
  <c r="O244" i="6"/>
  <c r="P244" i="6" s="1"/>
  <c r="K244" i="6"/>
  <c r="L244" i="6" s="1"/>
  <c r="O243" i="6"/>
  <c r="P243" i="6" s="1"/>
  <c r="L243" i="6"/>
  <c r="K243" i="6"/>
  <c r="O242" i="6"/>
  <c r="P242" i="6" s="1"/>
  <c r="K242" i="6"/>
  <c r="L242" i="6" s="1"/>
  <c r="O241" i="6"/>
  <c r="P241" i="6" s="1"/>
  <c r="K241" i="6"/>
  <c r="L241" i="6" s="1"/>
  <c r="P240" i="6"/>
  <c r="O240" i="6"/>
  <c r="K240" i="6"/>
  <c r="L240" i="6" s="1"/>
  <c r="O239" i="6"/>
  <c r="P239" i="6" s="1"/>
  <c r="K239" i="6"/>
  <c r="L239" i="6" s="1"/>
  <c r="O238" i="6"/>
  <c r="P238" i="6" s="1"/>
  <c r="K238" i="6"/>
  <c r="L238" i="6" s="1"/>
  <c r="P237" i="6"/>
  <c r="O237" i="6"/>
  <c r="K237" i="6"/>
  <c r="L237" i="6" s="1"/>
  <c r="P236" i="6"/>
  <c r="O236" i="6"/>
  <c r="L236" i="6"/>
  <c r="K236" i="6"/>
  <c r="P235" i="6"/>
  <c r="O235" i="6"/>
  <c r="L235" i="6"/>
  <c r="K235" i="6"/>
  <c r="P234" i="6"/>
  <c r="O234" i="6"/>
  <c r="L234" i="6"/>
  <c r="K234" i="6"/>
  <c r="P233" i="6"/>
  <c r="O233" i="6"/>
  <c r="L233" i="6"/>
  <c r="K233" i="6"/>
  <c r="P232" i="6"/>
  <c r="O232" i="6"/>
  <c r="L232" i="6"/>
  <c r="K232" i="6"/>
  <c r="P231" i="6"/>
  <c r="O231" i="6"/>
  <c r="L231" i="6"/>
  <c r="K231" i="6"/>
  <c r="O230" i="6"/>
  <c r="P230" i="6" s="1"/>
  <c r="L230" i="6"/>
  <c r="M230" i="6" s="1"/>
  <c r="N230" i="6" s="1"/>
  <c r="S230" i="6" s="1"/>
  <c r="K230" i="6"/>
  <c r="P229" i="6"/>
  <c r="O229" i="6"/>
  <c r="L229" i="6"/>
  <c r="K229" i="6"/>
  <c r="P228" i="6"/>
  <c r="O228" i="6"/>
  <c r="L228" i="6"/>
  <c r="K228" i="6"/>
  <c r="P227" i="6"/>
  <c r="O227" i="6"/>
  <c r="L227" i="6"/>
  <c r="K227" i="6"/>
  <c r="P226" i="6"/>
  <c r="O226" i="6"/>
  <c r="L226" i="6"/>
  <c r="K226" i="6"/>
  <c r="P225" i="6"/>
  <c r="O225" i="6"/>
  <c r="L225" i="6"/>
  <c r="K225" i="6"/>
  <c r="P224" i="6"/>
  <c r="O224" i="6"/>
  <c r="M224" i="6"/>
  <c r="N224" i="6" s="1"/>
  <c r="S224" i="6" s="1"/>
  <c r="L224" i="6"/>
  <c r="K224" i="6"/>
  <c r="O223" i="6"/>
  <c r="P223" i="6" s="1"/>
  <c r="L223" i="6"/>
  <c r="K223" i="6"/>
  <c r="O222" i="6"/>
  <c r="P222" i="6" s="1"/>
  <c r="L222" i="6"/>
  <c r="K222" i="6"/>
  <c r="O221" i="6"/>
  <c r="P221" i="6" s="1"/>
  <c r="K221" i="6"/>
  <c r="L221" i="6" s="1"/>
  <c r="P220" i="6"/>
  <c r="O220" i="6"/>
  <c r="K220" i="6"/>
  <c r="L220" i="6" s="1"/>
  <c r="P217" i="6"/>
  <c r="O217" i="6"/>
  <c r="K217" i="6"/>
  <c r="L217" i="6" s="1"/>
  <c r="O216" i="6"/>
  <c r="P216" i="6" s="1"/>
  <c r="L216" i="6"/>
  <c r="K216" i="6"/>
  <c r="O215" i="6"/>
  <c r="P215" i="6" s="1"/>
  <c r="L215" i="6"/>
  <c r="K215" i="6"/>
  <c r="O214" i="6"/>
  <c r="P214" i="6" s="1"/>
  <c r="L214" i="6"/>
  <c r="K214" i="6"/>
  <c r="O213" i="6"/>
  <c r="P213" i="6" s="1"/>
  <c r="L213" i="6"/>
  <c r="K213" i="6"/>
  <c r="O212" i="6"/>
  <c r="P212" i="6" s="1"/>
  <c r="L212" i="6"/>
  <c r="K212" i="6"/>
  <c r="P211" i="6"/>
  <c r="O211" i="6"/>
  <c r="L211" i="6"/>
  <c r="K211" i="6"/>
  <c r="P210" i="6"/>
  <c r="O210" i="6"/>
  <c r="L210" i="6"/>
  <c r="K210" i="6"/>
  <c r="P209" i="6"/>
  <c r="O209" i="6"/>
  <c r="L209" i="6"/>
  <c r="K209" i="6"/>
  <c r="P208" i="6"/>
  <c r="O208" i="6"/>
  <c r="L208" i="6"/>
  <c r="K208" i="6"/>
  <c r="P207" i="6"/>
  <c r="O207" i="6"/>
  <c r="L207" i="6"/>
  <c r="K207" i="6"/>
  <c r="P206" i="6"/>
  <c r="O206" i="6"/>
  <c r="L206" i="6"/>
  <c r="K206" i="6"/>
  <c r="O205" i="6"/>
  <c r="P205" i="6" s="1"/>
  <c r="L205" i="6"/>
  <c r="K205" i="6"/>
  <c r="O204" i="6"/>
  <c r="P204" i="6" s="1"/>
  <c r="K204" i="6"/>
  <c r="L204" i="6" s="1"/>
  <c r="O203" i="6"/>
  <c r="P203" i="6" s="1"/>
  <c r="L203" i="6"/>
  <c r="K203" i="6"/>
  <c r="O202" i="6"/>
  <c r="P202" i="6" s="1"/>
  <c r="L202" i="6"/>
  <c r="K202" i="6"/>
  <c r="O201" i="6"/>
  <c r="P201" i="6" s="1"/>
  <c r="L201" i="6"/>
  <c r="K201" i="6"/>
  <c r="O200" i="6"/>
  <c r="P200" i="6" s="1"/>
  <c r="Q200" i="6" s="1"/>
  <c r="R200" i="6" s="1"/>
  <c r="K200" i="6"/>
  <c r="L200" i="6" s="1"/>
  <c r="O199" i="6"/>
  <c r="P199" i="6" s="1"/>
  <c r="K199" i="6"/>
  <c r="L199" i="6" s="1"/>
  <c r="O198" i="6"/>
  <c r="P198" i="6" s="1"/>
  <c r="K198" i="6"/>
  <c r="L198" i="6" s="1"/>
  <c r="O197" i="6"/>
  <c r="P197" i="6" s="1"/>
  <c r="K197" i="6"/>
  <c r="L197" i="6" s="1"/>
  <c r="O196" i="6"/>
  <c r="P196" i="6" s="1"/>
  <c r="K196" i="6"/>
  <c r="L196" i="6" s="1"/>
  <c r="O195" i="6"/>
  <c r="P195" i="6" s="1"/>
  <c r="K195" i="6"/>
  <c r="L195" i="6" s="1"/>
  <c r="Q194" i="6"/>
  <c r="R194" i="6" s="1"/>
  <c r="O194" i="6"/>
  <c r="P194" i="6" s="1"/>
  <c r="K194" i="6"/>
  <c r="L194" i="6" s="1"/>
  <c r="O193" i="6"/>
  <c r="P193" i="6" s="1"/>
  <c r="K193" i="6"/>
  <c r="L193" i="6" s="1"/>
  <c r="O192" i="6"/>
  <c r="P192" i="6" s="1"/>
  <c r="K192" i="6"/>
  <c r="L192" i="6" s="1"/>
  <c r="O191" i="6"/>
  <c r="P191" i="6" s="1"/>
  <c r="K191" i="6"/>
  <c r="L191" i="6" s="1"/>
  <c r="O190" i="6"/>
  <c r="P190" i="6" s="1"/>
  <c r="K190" i="6"/>
  <c r="L190" i="6" s="1"/>
  <c r="O189" i="6"/>
  <c r="P189" i="6" s="1"/>
  <c r="K189" i="6"/>
  <c r="L189" i="6" s="1"/>
  <c r="O188" i="6"/>
  <c r="P188" i="6" s="1"/>
  <c r="Q188" i="6" s="1"/>
  <c r="R188" i="6" s="1"/>
  <c r="K188" i="6"/>
  <c r="L188" i="6" s="1"/>
  <c r="M188" i="6" s="1"/>
  <c r="N188" i="6" s="1"/>
  <c r="S188" i="6" s="1"/>
  <c r="U188" i="6" s="1"/>
  <c r="O187" i="6"/>
  <c r="P187" i="6" s="1"/>
  <c r="K187" i="6"/>
  <c r="L187" i="6" s="1"/>
  <c r="O186" i="6"/>
  <c r="P186" i="6" s="1"/>
  <c r="K186" i="6"/>
  <c r="L186" i="6" s="1"/>
  <c r="O185" i="6"/>
  <c r="P185" i="6" s="1"/>
  <c r="K185" i="6"/>
  <c r="L185" i="6" s="1"/>
  <c r="O184" i="6"/>
  <c r="P184" i="6" s="1"/>
  <c r="Q184" i="6" s="1"/>
  <c r="R184" i="6" s="1"/>
  <c r="K184" i="6"/>
  <c r="L184" i="6" s="1"/>
  <c r="O181" i="6"/>
  <c r="P181" i="6" s="1"/>
  <c r="K181" i="6"/>
  <c r="L181" i="6" s="1"/>
  <c r="O180" i="6"/>
  <c r="P180" i="6" s="1"/>
  <c r="K180" i="6"/>
  <c r="L180" i="6" s="1"/>
  <c r="O179" i="6"/>
  <c r="P179" i="6" s="1"/>
  <c r="K179" i="6"/>
  <c r="L179" i="6" s="1"/>
  <c r="O178" i="6"/>
  <c r="P178" i="6" s="1"/>
  <c r="K178" i="6"/>
  <c r="L178" i="6" s="1"/>
  <c r="O177" i="6"/>
  <c r="P177" i="6" s="1"/>
  <c r="Q176" i="6" s="1"/>
  <c r="R176" i="6" s="1"/>
  <c r="K177" i="6"/>
  <c r="L177" i="6" s="1"/>
  <c r="O176" i="6"/>
  <c r="P176" i="6" s="1"/>
  <c r="M176" i="6"/>
  <c r="N176" i="6" s="1"/>
  <c r="S176" i="6" s="1"/>
  <c r="K176" i="6"/>
  <c r="L176" i="6" s="1"/>
  <c r="O175" i="6"/>
  <c r="P175" i="6" s="1"/>
  <c r="K175" i="6"/>
  <c r="L175" i="6" s="1"/>
  <c r="O174" i="6"/>
  <c r="P174" i="6" s="1"/>
  <c r="K174" i="6"/>
  <c r="L174" i="6" s="1"/>
  <c r="O173" i="6"/>
  <c r="P173" i="6" s="1"/>
  <c r="K173" i="6"/>
  <c r="L173" i="6" s="1"/>
  <c r="O172" i="6"/>
  <c r="P172" i="6" s="1"/>
  <c r="K172" i="6"/>
  <c r="L172" i="6" s="1"/>
  <c r="O171" i="6"/>
  <c r="P171" i="6" s="1"/>
  <c r="K171" i="6"/>
  <c r="L171" i="6" s="1"/>
  <c r="O170" i="6"/>
  <c r="P170" i="6" s="1"/>
  <c r="Q170" i="6" s="1"/>
  <c r="R170" i="6" s="1"/>
  <c r="K170" i="6"/>
  <c r="L170" i="6" s="1"/>
  <c r="O169" i="6"/>
  <c r="P169" i="6" s="1"/>
  <c r="K169" i="6"/>
  <c r="L169" i="6" s="1"/>
  <c r="O168" i="6"/>
  <c r="P168" i="6" s="1"/>
  <c r="K168" i="6"/>
  <c r="L168" i="6" s="1"/>
  <c r="O167" i="6"/>
  <c r="P167" i="6" s="1"/>
  <c r="K167" i="6"/>
  <c r="L167" i="6" s="1"/>
  <c r="O166" i="6"/>
  <c r="P166" i="6" s="1"/>
  <c r="K166" i="6"/>
  <c r="L166" i="6" s="1"/>
  <c r="O165" i="6"/>
  <c r="P165" i="6" s="1"/>
  <c r="K165" i="6"/>
  <c r="L165" i="6" s="1"/>
  <c r="O164" i="6"/>
  <c r="P164" i="6" s="1"/>
  <c r="Q164" i="6" s="1"/>
  <c r="R164" i="6" s="1"/>
  <c r="K164" i="6"/>
  <c r="L164" i="6" s="1"/>
  <c r="O163" i="6"/>
  <c r="P163" i="6" s="1"/>
  <c r="K163" i="6"/>
  <c r="L163" i="6" s="1"/>
  <c r="O162" i="6"/>
  <c r="P162" i="6" s="1"/>
  <c r="K162" i="6"/>
  <c r="L162" i="6" s="1"/>
  <c r="O161" i="6"/>
  <c r="P161" i="6" s="1"/>
  <c r="K161" i="6"/>
  <c r="L161" i="6" s="1"/>
  <c r="O160" i="6"/>
  <c r="P160" i="6" s="1"/>
  <c r="K160" i="6"/>
  <c r="L160" i="6" s="1"/>
  <c r="O159" i="6"/>
  <c r="P159" i="6" s="1"/>
  <c r="K159" i="6"/>
  <c r="L159" i="6" s="1"/>
  <c r="O158" i="6"/>
  <c r="P158" i="6" s="1"/>
  <c r="Q158" i="6" s="1"/>
  <c r="R158" i="6" s="1"/>
  <c r="K158" i="6"/>
  <c r="L158" i="6" s="1"/>
  <c r="M158" i="6" s="1"/>
  <c r="N158" i="6" s="1"/>
  <c r="S158" i="6" s="1"/>
  <c r="O157" i="6"/>
  <c r="P157" i="6" s="1"/>
  <c r="K157" i="6"/>
  <c r="L157" i="6" s="1"/>
  <c r="O156" i="6"/>
  <c r="P156" i="6" s="1"/>
  <c r="K156" i="6"/>
  <c r="L156" i="6" s="1"/>
  <c r="O155" i="6"/>
  <c r="P155" i="6" s="1"/>
  <c r="K155" i="6"/>
  <c r="L155" i="6" s="1"/>
  <c r="O154" i="6"/>
  <c r="P154" i="6" s="1"/>
  <c r="K154" i="6"/>
  <c r="L154" i="6" s="1"/>
  <c r="O153" i="6"/>
  <c r="P153" i="6" s="1"/>
  <c r="K153" i="6"/>
  <c r="L153" i="6" s="1"/>
  <c r="Q152" i="6"/>
  <c r="R152" i="6" s="1"/>
  <c r="O152" i="6"/>
  <c r="P152" i="6" s="1"/>
  <c r="K152" i="6"/>
  <c r="L152" i="6" s="1"/>
  <c r="O151" i="6"/>
  <c r="P151" i="6" s="1"/>
  <c r="K151" i="6"/>
  <c r="L151" i="6" s="1"/>
  <c r="O150" i="6"/>
  <c r="P150" i="6" s="1"/>
  <c r="K150" i="6"/>
  <c r="L150" i="6" s="1"/>
  <c r="O149" i="6"/>
  <c r="P149" i="6" s="1"/>
  <c r="K149" i="6"/>
  <c r="L149" i="6" s="1"/>
  <c r="O148" i="6"/>
  <c r="P148" i="6" s="1"/>
  <c r="K148" i="6"/>
  <c r="L148" i="6" s="1"/>
  <c r="M148" i="6" s="1"/>
  <c r="N148" i="6" s="1"/>
  <c r="S148" i="6" s="1"/>
  <c r="O145" i="6"/>
  <c r="P145" i="6" s="1"/>
  <c r="K145" i="6"/>
  <c r="L145" i="6" s="1"/>
  <c r="O144" i="6"/>
  <c r="P144" i="6" s="1"/>
  <c r="K144" i="6"/>
  <c r="L144" i="6" s="1"/>
  <c r="O143" i="6"/>
  <c r="P143" i="6" s="1"/>
  <c r="K143" i="6"/>
  <c r="L143" i="6" s="1"/>
  <c r="O142" i="6"/>
  <c r="P142" i="6" s="1"/>
  <c r="K142" i="6"/>
  <c r="L142" i="6" s="1"/>
  <c r="O141" i="6"/>
  <c r="P141" i="6" s="1"/>
  <c r="K141" i="6"/>
  <c r="L141" i="6" s="1"/>
  <c r="O140" i="6"/>
  <c r="P140" i="6" s="1"/>
  <c r="Q140" i="6" s="1"/>
  <c r="R140" i="6" s="1"/>
  <c r="K140" i="6"/>
  <c r="L140" i="6" s="1"/>
  <c r="O139" i="6"/>
  <c r="P139" i="6" s="1"/>
  <c r="K139" i="6"/>
  <c r="L139" i="6" s="1"/>
  <c r="O138" i="6"/>
  <c r="P138" i="6" s="1"/>
  <c r="K138" i="6"/>
  <c r="L138" i="6" s="1"/>
  <c r="O137" i="6"/>
  <c r="P137" i="6" s="1"/>
  <c r="K137" i="6"/>
  <c r="L137" i="6" s="1"/>
  <c r="O136" i="6"/>
  <c r="P136" i="6" s="1"/>
  <c r="K136" i="6"/>
  <c r="L136" i="6" s="1"/>
  <c r="O135" i="6"/>
  <c r="P135" i="6" s="1"/>
  <c r="K135" i="6"/>
  <c r="L135" i="6" s="1"/>
  <c r="Q134" i="6"/>
  <c r="R134" i="6" s="1"/>
  <c r="O134" i="6"/>
  <c r="P134" i="6" s="1"/>
  <c r="K134" i="6"/>
  <c r="L134" i="6" s="1"/>
  <c r="O133" i="6"/>
  <c r="P133" i="6" s="1"/>
  <c r="K133" i="6"/>
  <c r="L133" i="6" s="1"/>
  <c r="O132" i="6"/>
  <c r="P132" i="6" s="1"/>
  <c r="K132" i="6"/>
  <c r="L132" i="6" s="1"/>
  <c r="O131" i="6"/>
  <c r="P131" i="6" s="1"/>
  <c r="K131" i="6"/>
  <c r="L131" i="6" s="1"/>
  <c r="O130" i="6"/>
  <c r="P130" i="6" s="1"/>
  <c r="K130" i="6"/>
  <c r="L130" i="6" s="1"/>
  <c r="O129" i="6"/>
  <c r="P129" i="6" s="1"/>
  <c r="K129" i="6"/>
  <c r="L129" i="6" s="1"/>
  <c r="O128" i="6"/>
  <c r="P128" i="6" s="1"/>
  <c r="Q128" i="6" s="1"/>
  <c r="R128" i="6" s="1"/>
  <c r="K128" i="6"/>
  <c r="L128" i="6" s="1"/>
  <c r="M128" i="6" s="1"/>
  <c r="N128" i="6" s="1"/>
  <c r="S128" i="6" s="1"/>
  <c r="O127" i="6"/>
  <c r="P127" i="6" s="1"/>
  <c r="K127" i="6"/>
  <c r="L127" i="6" s="1"/>
  <c r="O126" i="6"/>
  <c r="P126" i="6" s="1"/>
  <c r="K126" i="6"/>
  <c r="L126" i="6" s="1"/>
  <c r="O125" i="6"/>
  <c r="P125" i="6" s="1"/>
  <c r="K125" i="6"/>
  <c r="L125" i="6" s="1"/>
  <c r="O124" i="6"/>
  <c r="P124" i="6" s="1"/>
  <c r="K124" i="6"/>
  <c r="L124" i="6" s="1"/>
  <c r="O123" i="6"/>
  <c r="P123" i="6" s="1"/>
  <c r="K123" i="6"/>
  <c r="L123" i="6" s="1"/>
  <c r="Q122" i="6"/>
  <c r="R122" i="6" s="1"/>
  <c r="O122" i="6"/>
  <c r="P122" i="6" s="1"/>
  <c r="K122" i="6"/>
  <c r="L122" i="6" s="1"/>
  <c r="O121" i="6"/>
  <c r="P121" i="6" s="1"/>
  <c r="K121" i="6"/>
  <c r="L121" i="6" s="1"/>
  <c r="O120" i="6"/>
  <c r="P120" i="6" s="1"/>
  <c r="K120" i="6"/>
  <c r="L120" i="6" s="1"/>
  <c r="O119" i="6"/>
  <c r="P119" i="6" s="1"/>
  <c r="K119" i="6"/>
  <c r="L119" i="6" s="1"/>
  <c r="O118" i="6"/>
  <c r="P118" i="6" s="1"/>
  <c r="K118" i="6"/>
  <c r="L118" i="6" s="1"/>
  <c r="O117" i="6"/>
  <c r="P117" i="6" s="1"/>
  <c r="K117" i="6"/>
  <c r="L117" i="6" s="1"/>
  <c r="O116" i="6"/>
  <c r="P116" i="6" s="1"/>
  <c r="K116" i="6"/>
  <c r="L116" i="6" s="1"/>
  <c r="M116" i="6" s="1"/>
  <c r="N116" i="6" s="1"/>
  <c r="S116" i="6" s="1"/>
  <c r="O115" i="6"/>
  <c r="P115" i="6" s="1"/>
  <c r="K115" i="6"/>
  <c r="L115" i="6" s="1"/>
  <c r="O114" i="6"/>
  <c r="P114" i="6" s="1"/>
  <c r="K114" i="6"/>
  <c r="L114" i="6" s="1"/>
  <c r="M112" i="6" s="1"/>
  <c r="N112" i="6" s="1"/>
  <c r="S112" i="6" s="1"/>
  <c r="O113" i="6"/>
  <c r="P113" i="6" s="1"/>
  <c r="Q112" i="6" s="1"/>
  <c r="R112" i="6" s="1"/>
  <c r="K113" i="6"/>
  <c r="L113" i="6" s="1"/>
  <c r="O112" i="6"/>
  <c r="P112" i="6" s="1"/>
  <c r="K112" i="6"/>
  <c r="L112" i="6" s="1"/>
  <c r="O109" i="6"/>
  <c r="P109" i="6" s="1"/>
  <c r="K109" i="6"/>
  <c r="L109" i="6" s="1"/>
  <c r="O108" i="6"/>
  <c r="P108" i="6" s="1"/>
  <c r="K108" i="6"/>
  <c r="L108" i="6" s="1"/>
  <c r="O107" i="6"/>
  <c r="P107" i="6" s="1"/>
  <c r="K107" i="6"/>
  <c r="L107" i="6" s="1"/>
  <c r="O106" i="6"/>
  <c r="P106" i="6" s="1"/>
  <c r="K106" i="6"/>
  <c r="L106" i="6" s="1"/>
  <c r="O105" i="6"/>
  <c r="P105" i="6" s="1"/>
  <c r="K105" i="6"/>
  <c r="L105" i="6" s="1"/>
  <c r="O104" i="6"/>
  <c r="P104" i="6" s="1"/>
  <c r="Q104" i="6" s="1"/>
  <c r="R104" i="6" s="1"/>
  <c r="K104" i="6"/>
  <c r="L104" i="6" s="1"/>
  <c r="O103" i="6"/>
  <c r="P103" i="6" s="1"/>
  <c r="K103" i="6"/>
  <c r="L103" i="6" s="1"/>
  <c r="O102" i="6"/>
  <c r="P102" i="6" s="1"/>
  <c r="K102" i="6"/>
  <c r="L102" i="6" s="1"/>
  <c r="O101" i="6"/>
  <c r="P101" i="6" s="1"/>
  <c r="K101" i="6"/>
  <c r="L101" i="6" s="1"/>
  <c r="O100" i="6"/>
  <c r="P100" i="6" s="1"/>
  <c r="K100" i="6"/>
  <c r="L100" i="6" s="1"/>
  <c r="O99" i="6"/>
  <c r="P99" i="6" s="1"/>
  <c r="K99" i="6"/>
  <c r="L99" i="6" s="1"/>
  <c r="M98" i="6" s="1"/>
  <c r="N98" i="6" s="1"/>
  <c r="S98" i="6" s="1"/>
  <c r="O98" i="6"/>
  <c r="P98" i="6" s="1"/>
  <c r="Q98" i="6" s="1"/>
  <c r="R98" i="6" s="1"/>
  <c r="K98" i="6"/>
  <c r="L98" i="6" s="1"/>
  <c r="O97" i="6"/>
  <c r="P97" i="6" s="1"/>
  <c r="K97" i="6"/>
  <c r="L97" i="6" s="1"/>
  <c r="O96" i="6"/>
  <c r="P96" i="6" s="1"/>
  <c r="K96" i="6"/>
  <c r="L96" i="6" s="1"/>
  <c r="O95" i="6"/>
  <c r="P95" i="6" s="1"/>
  <c r="K95" i="6"/>
  <c r="L95" i="6" s="1"/>
  <c r="O94" i="6"/>
  <c r="P94" i="6" s="1"/>
  <c r="K94" i="6"/>
  <c r="L94" i="6" s="1"/>
  <c r="P93" i="6"/>
  <c r="O93" i="6"/>
  <c r="K93" i="6"/>
  <c r="L93" i="6" s="1"/>
  <c r="O92" i="6"/>
  <c r="P92" i="6" s="1"/>
  <c r="K92" i="6"/>
  <c r="L92" i="6" s="1"/>
  <c r="O91" i="6"/>
  <c r="P91" i="6" s="1"/>
  <c r="K91" i="6"/>
  <c r="L91" i="6" s="1"/>
  <c r="O90" i="6"/>
  <c r="P90" i="6" s="1"/>
  <c r="Q86" i="6" s="1"/>
  <c r="R86" i="6" s="1"/>
  <c r="K90" i="6"/>
  <c r="L90" i="6" s="1"/>
  <c r="O89" i="6"/>
  <c r="P89" i="6" s="1"/>
  <c r="L89" i="6"/>
  <c r="K89" i="6"/>
  <c r="O88" i="6"/>
  <c r="P88" i="6" s="1"/>
  <c r="K88" i="6"/>
  <c r="L88" i="6" s="1"/>
  <c r="O87" i="6"/>
  <c r="P87" i="6" s="1"/>
  <c r="L87" i="6"/>
  <c r="K87" i="6"/>
  <c r="O86" i="6"/>
  <c r="P86" i="6" s="1"/>
  <c r="K86" i="6"/>
  <c r="L86" i="6" s="1"/>
  <c r="O85" i="6"/>
  <c r="P85" i="6" s="1"/>
  <c r="K85" i="6"/>
  <c r="L85" i="6" s="1"/>
  <c r="O84" i="6"/>
  <c r="P84" i="6" s="1"/>
  <c r="K84" i="6"/>
  <c r="L84" i="6" s="1"/>
  <c r="O83" i="6"/>
  <c r="P83" i="6" s="1"/>
  <c r="K83" i="6"/>
  <c r="L83" i="6" s="1"/>
  <c r="O82" i="6"/>
  <c r="P82" i="6" s="1"/>
  <c r="K82" i="6"/>
  <c r="L82" i="6" s="1"/>
  <c r="O81" i="6"/>
  <c r="P81" i="6" s="1"/>
  <c r="K81" i="6"/>
  <c r="L81" i="6" s="1"/>
  <c r="O80" i="6"/>
  <c r="P80" i="6" s="1"/>
  <c r="K80" i="6"/>
  <c r="L80" i="6" s="1"/>
  <c r="M80" i="6" s="1"/>
  <c r="N80" i="6" s="1"/>
  <c r="S80" i="6" s="1"/>
  <c r="O79" i="6"/>
  <c r="P79" i="6" s="1"/>
  <c r="K79" i="6"/>
  <c r="L79" i="6" s="1"/>
  <c r="O78" i="6"/>
  <c r="P78" i="6" s="1"/>
  <c r="K78" i="6"/>
  <c r="L78" i="6" s="1"/>
  <c r="O77" i="6"/>
  <c r="P77" i="6" s="1"/>
  <c r="K77" i="6"/>
  <c r="L77" i="6" s="1"/>
  <c r="O76" i="6"/>
  <c r="P76" i="6" s="1"/>
  <c r="Q76" i="6" s="1"/>
  <c r="R76" i="6" s="1"/>
  <c r="K76" i="6"/>
  <c r="L76" i="6" s="1"/>
  <c r="O73" i="6"/>
  <c r="P73" i="6" s="1"/>
  <c r="K73" i="6"/>
  <c r="L73" i="6" s="1"/>
  <c r="O72" i="6"/>
  <c r="P72" i="6" s="1"/>
  <c r="L72" i="6"/>
  <c r="K72" i="6"/>
  <c r="O71" i="6"/>
  <c r="P71" i="6" s="1"/>
  <c r="K71" i="6"/>
  <c r="L71" i="6" s="1"/>
  <c r="O70" i="6"/>
  <c r="P70" i="6" s="1"/>
  <c r="K70" i="6"/>
  <c r="L70" i="6" s="1"/>
  <c r="O69" i="6"/>
  <c r="P69" i="6" s="1"/>
  <c r="K69" i="6"/>
  <c r="L69" i="6" s="1"/>
  <c r="O68" i="6"/>
  <c r="P68" i="6" s="1"/>
  <c r="Q68" i="6" s="1"/>
  <c r="R68" i="6" s="1"/>
  <c r="K68" i="6"/>
  <c r="L68" i="6" s="1"/>
  <c r="P67" i="6"/>
  <c r="O67" i="6"/>
  <c r="K67" i="6"/>
  <c r="L67" i="6" s="1"/>
  <c r="O66" i="6"/>
  <c r="P66" i="6" s="1"/>
  <c r="K66" i="6"/>
  <c r="L66" i="6" s="1"/>
  <c r="O65" i="6"/>
  <c r="P65" i="6" s="1"/>
  <c r="K65" i="6"/>
  <c r="L65" i="6" s="1"/>
  <c r="O64" i="6"/>
  <c r="P64" i="6" s="1"/>
  <c r="K64" i="6"/>
  <c r="L64" i="6" s="1"/>
  <c r="P63" i="6"/>
  <c r="O63" i="6"/>
  <c r="K63" i="6"/>
  <c r="L63" i="6" s="1"/>
  <c r="O62" i="6"/>
  <c r="P62" i="6" s="1"/>
  <c r="K62" i="6"/>
  <c r="L62" i="6" s="1"/>
  <c r="O61" i="6"/>
  <c r="P61" i="6" s="1"/>
  <c r="L61" i="6"/>
  <c r="K61" i="6"/>
  <c r="O60" i="6"/>
  <c r="P60" i="6" s="1"/>
  <c r="K60" i="6"/>
  <c r="L60" i="6" s="1"/>
  <c r="O59" i="6"/>
  <c r="P59" i="6" s="1"/>
  <c r="K59" i="6"/>
  <c r="L59" i="6" s="1"/>
  <c r="O58" i="6"/>
  <c r="P58" i="6" s="1"/>
  <c r="K58" i="6"/>
  <c r="L58" i="6" s="1"/>
  <c r="O57" i="6"/>
  <c r="P57" i="6" s="1"/>
  <c r="K57" i="6"/>
  <c r="L57" i="6" s="1"/>
  <c r="O56" i="6"/>
  <c r="P56" i="6" s="1"/>
  <c r="K56" i="6"/>
  <c r="L56" i="6" s="1"/>
  <c r="O55" i="6"/>
  <c r="P55" i="6" s="1"/>
  <c r="K55" i="6"/>
  <c r="L55" i="6" s="1"/>
  <c r="O54" i="6"/>
  <c r="P54" i="6" s="1"/>
  <c r="K54" i="6"/>
  <c r="L54" i="6" s="1"/>
  <c r="O53" i="6"/>
  <c r="P53" i="6" s="1"/>
  <c r="K53" i="6"/>
  <c r="L53" i="6" s="1"/>
  <c r="P52" i="6"/>
  <c r="O52" i="6"/>
  <c r="K52" i="6"/>
  <c r="L52" i="6" s="1"/>
  <c r="O51" i="6"/>
  <c r="P51" i="6" s="1"/>
  <c r="K51" i="6"/>
  <c r="L51" i="6" s="1"/>
  <c r="O50" i="6"/>
  <c r="P50" i="6" s="1"/>
  <c r="K50" i="6"/>
  <c r="L50" i="6" s="1"/>
  <c r="O49" i="6"/>
  <c r="P49" i="6" s="1"/>
  <c r="K49" i="6"/>
  <c r="L49" i="6" s="1"/>
  <c r="O48" i="6"/>
  <c r="P48" i="6" s="1"/>
  <c r="K48" i="6"/>
  <c r="L48" i="6" s="1"/>
  <c r="O47" i="6"/>
  <c r="P47" i="6" s="1"/>
  <c r="K47" i="6"/>
  <c r="L47" i="6" s="1"/>
  <c r="O46" i="6"/>
  <c r="P46" i="6" s="1"/>
  <c r="K46" i="6"/>
  <c r="L46" i="6" s="1"/>
  <c r="O45" i="6"/>
  <c r="P45" i="6" s="1"/>
  <c r="K45" i="6"/>
  <c r="L45" i="6" s="1"/>
  <c r="O44" i="6"/>
  <c r="P44" i="6" s="1"/>
  <c r="K44" i="6"/>
  <c r="L44" i="6" s="1"/>
  <c r="M44" i="6" s="1"/>
  <c r="N44" i="6" s="1"/>
  <c r="S44" i="6" s="1"/>
  <c r="O43" i="6"/>
  <c r="P43" i="6" s="1"/>
  <c r="K43" i="6"/>
  <c r="L43" i="6" s="1"/>
  <c r="O42" i="6"/>
  <c r="P42" i="6" s="1"/>
  <c r="K42" i="6"/>
  <c r="L42" i="6" s="1"/>
  <c r="O41" i="6"/>
  <c r="P41" i="6" s="1"/>
  <c r="K41" i="6"/>
  <c r="L41" i="6" s="1"/>
  <c r="O40" i="6"/>
  <c r="P40" i="6" s="1"/>
  <c r="K40" i="6"/>
  <c r="L40" i="6" s="1"/>
  <c r="M40" i="6" s="1"/>
  <c r="N40" i="6" s="1"/>
  <c r="S40" i="6" s="1"/>
  <c r="O37" i="6"/>
  <c r="P37" i="6" s="1"/>
  <c r="K37" i="6"/>
  <c r="L37" i="6" s="1"/>
  <c r="O36" i="6"/>
  <c r="P36" i="6" s="1"/>
  <c r="K36" i="6"/>
  <c r="L36" i="6" s="1"/>
  <c r="O35" i="6"/>
  <c r="P35" i="6" s="1"/>
  <c r="K35" i="6"/>
  <c r="L35" i="6" s="1"/>
  <c r="O34" i="6"/>
  <c r="P34" i="6" s="1"/>
  <c r="K34" i="6"/>
  <c r="L34" i="6" s="1"/>
  <c r="O33" i="6"/>
  <c r="P33" i="6" s="1"/>
  <c r="K33" i="6"/>
  <c r="L33" i="6" s="1"/>
  <c r="O32" i="6"/>
  <c r="P32" i="6" s="1"/>
  <c r="K32" i="6"/>
  <c r="L32" i="6" s="1"/>
  <c r="M32" i="6" s="1"/>
  <c r="N32" i="6" s="1"/>
  <c r="S32" i="6" s="1"/>
  <c r="O31" i="6"/>
  <c r="P31" i="6" s="1"/>
  <c r="K31" i="6"/>
  <c r="L31" i="6" s="1"/>
  <c r="O30" i="6"/>
  <c r="P30" i="6" s="1"/>
  <c r="K30" i="6"/>
  <c r="L30" i="6" s="1"/>
  <c r="O29" i="6"/>
  <c r="P29" i="6" s="1"/>
  <c r="K29" i="6"/>
  <c r="L29" i="6" s="1"/>
  <c r="O28" i="6"/>
  <c r="P28" i="6" s="1"/>
  <c r="K28" i="6"/>
  <c r="L28" i="6" s="1"/>
  <c r="O27" i="6"/>
  <c r="P27" i="6" s="1"/>
  <c r="K27" i="6"/>
  <c r="L27" i="6" s="1"/>
  <c r="O26" i="6"/>
  <c r="P26" i="6" s="1"/>
  <c r="K26" i="6"/>
  <c r="L26" i="6" s="1"/>
  <c r="M26" i="6" s="1"/>
  <c r="N26" i="6" s="1"/>
  <c r="S26" i="6" s="1"/>
  <c r="O25" i="6"/>
  <c r="P25" i="6" s="1"/>
  <c r="K25" i="6"/>
  <c r="L25" i="6" s="1"/>
  <c r="O24" i="6"/>
  <c r="P24" i="6" s="1"/>
  <c r="K24" i="6"/>
  <c r="L24" i="6" s="1"/>
  <c r="O23" i="6"/>
  <c r="P23" i="6" s="1"/>
  <c r="K23" i="6"/>
  <c r="L23" i="6" s="1"/>
  <c r="O22" i="6"/>
  <c r="P22" i="6" s="1"/>
  <c r="K22" i="6"/>
  <c r="L22" i="6" s="1"/>
  <c r="O21" i="6"/>
  <c r="P21" i="6" s="1"/>
  <c r="K21" i="6"/>
  <c r="L21" i="6" s="1"/>
  <c r="O20" i="6"/>
  <c r="P20" i="6" s="1"/>
  <c r="K20" i="6"/>
  <c r="L20" i="6" s="1"/>
  <c r="M20" i="6" s="1"/>
  <c r="N20" i="6" s="1"/>
  <c r="S20" i="6" s="1"/>
  <c r="O19" i="6"/>
  <c r="P19" i="6" s="1"/>
  <c r="K19" i="6"/>
  <c r="L19" i="6" s="1"/>
  <c r="O18" i="6"/>
  <c r="P18" i="6" s="1"/>
  <c r="K18" i="6"/>
  <c r="L18" i="6" s="1"/>
  <c r="O17" i="6"/>
  <c r="P17" i="6" s="1"/>
  <c r="K17" i="6"/>
  <c r="L17" i="6" s="1"/>
  <c r="O16" i="6"/>
  <c r="P16" i="6" s="1"/>
  <c r="K16" i="6"/>
  <c r="L16" i="6" s="1"/>
  <c r="O15" i="6"/>
  <c r="P15" i="6" s="1"/>
  <c r="K15" i="6"/>
  <c r="L15" i="6" s="1"/>
  <c r="O14" i="6"/>
  <c r="P14" i="6" s="1"/>
  <c r="K14" i="6"/>
  <c r="L14" i="6" s="1"/>
  <c r="M14" i="6" s="1"/>
  <c r="N14" i="6" s="1"/>
  <c r="S14" i="6" s="1"/>
  <c r="O13" i="6"/>
  <c r="P13" i="6" s="1"/>
  <c r="K13" i="6"/>
  <c r="L13" i="6" s="1"/>
  <c r="O12" i="6"/>
  <c r="P12" i="6" s="1"/>
  <c r="K12" i="6"/>
  <c r="L12" i="6" s="1"/>
  <c r="O11" i="6"/>
  <c r="P11" i="6" s="1"/>
  <c r="K11" i="6"/>
  <c r="L11" i="6" s="1"/>
  <c r="O10" i="6"/>
  <c r="P10" i="6" s="1"/>
  <c r="K10" i="6"/>
  <c r="L10" i="6" s="1"/>
  <c r="O9" i="6"/>
  <c r="P9" i="6" s="1"/>
  <c r="K9" i="6"/>
  <c r="L9" i="6" s="1"/>
  <c r="O8" i="6"/>
  <c r="P8" i="6" s="1"/>
  <c r="K8" i="6"/>
  <c r="L8" i="6" s="1"/>
  <c r="M8" i="6" s="1"/>
  <c r="N8" i="6" s="1"/>
  <c r="S8" i="6" s="1"/>
  <c r="O7" i="6"/>
  <c r="P7" i="6" s="1"/>
  <c r="K7" i="6"/>
  <c r="L7" i="6" s="1"/>
  <c r="O6" i="6"/>
  <c r="P6" i="6" s="1"/>
  <c r="K6" i="6"/>
  <c r="L6" i="6" s="1"/>
  <c r="O5" i="6"/>
  <c r="P5" i="6" s="1"/>
  <c r="K5" i="6"/>
  <c r="L5" i="6" s="1"/>
  <c r="O4" i="6"/>
  <c r="P4" i="6" s="1"/>
  <c r="K4" i="6"/>
  <c r="L4" i="6" s="1"/>
  <c r="M4" i="6" s="1"/>
  <c r="N4" i="6" s="1"/>
  <c r="S4" i="6" s="1"/>
  <c r="P721" i="5"/>
  <c r="O721" i="5"/>
  <c r="K721" i="5"/>
  <c r="L721" i="5" s="1"/>
  <c r="O720" i="5"/>
  <c r="P720" i="5" s="1"/>
  <c r="K720" i="5"/>
  <c r="L720" i="5" s="1"/>
  <c r="O719" i="5"/>
  <c r="P719" i="5" s="1"/>
  <c r="K719" i="5"/>
  <c r="L719" i="5" s="1"/>
  <c r="O718" i="5"/>
  <c r="P718" i="5" s="1"/>
  <c r="K718" i="5"/>
  <c r="L718" i="5" s="1"/>
  <c r="P717" i="5"/>
  <c r="O717" i="5"/>
  <c r="K717" i="5"/>
  <c r="L717" i="5" s="1"/>
  <c r="O716" i="5"/>
  <c r="P716" i="5" s="1"/>
  <c r="Q716" i="5" s="1"/>
  <c r="R716" i="5" s="1"/>
  <c r="K716" i="5"/>
  <c r="L716" i="5" s="1"/>
  <c r="O715" i="5"/>
  <c r="P715" i="5" s="1"/>
  <c r="K715" i="5"/>
  <c r="L715" i="5" s="1"/>
  <c r="O714" i="5"/>
  <c r="P714" i="5" s="1"/>
  <c r="K714" i="5"/>
  <c r="L714" i="5" s="1"/>
  <c r="P713" i="5"/>
  <c r="O713" i="5"/>
  <c r="K713" i="5"/>
  <c r="L713" i="5" s="1"/>
  <c r="O712" i="5"/>
  <c r="P712" i="5" s="1"/>
  <c r="K712" i="5"/>
  <c r="L712" i="5" s="1"/>
  <c r="O711" i="5"/>
  <c r="P711" i="5" s="1"/>
  <c r="K711" i="5"/>
  <c r="L711" i="5" s="1"/>
  <c r="O710" i="5"/>
  <c r="P710" i="5" s="1"/>
  <c r="K710" i="5"/>
  <c r="L710" i="5" s="1"/>
  <c r="O709" i="5"/>
  <c r="P709" i="5" s="1"/>
  <c r="K709" i="5"/>
  <c r="L709" i="5" s="1"/>
  <c r="O708" i="5"/>
  <c r="P708" i="5" s="1"/>
  <c r="K708" i="5"/>
  <c r="L708" i="5" s="1"/>
  <c r="P707" i="5"/>
  <c r="O707" i="5"/>
  <c r="K707" i="5"/>
  <c r="L707" i="5" s="1"/>
  <c r="O706" i="5"/>
  <c r="P706" i="5" s="1"/>
  <c r="K706" i="5"/>
  <c r="L706" i="5" s="1"/>
  <c r="O705" i="5"/>
  <c r="P705" i="5" s="1"/>
  <c r="K705" i="5"/>
  <c r="L705" i="5" s="1"/>
  <c r="O704" i="5"/>
  <c r="P704" i="5" s="1"/>
  <c r="K704" i="5"/>
  <c r="L704" i="5" s="1"/>
  <c r="P703" i="5"/>
  <c r="O703" i="5"/>
  <c r="K703" i="5"/>
  <c r="L703" i="5" s="1"/>
  <c r="O702" i="5"/>
  <c r="P702" i="5" s="1"/>
  <c r="K702" i="5"/>
  <c r="L702" i="5" s="1"/>
  <c r="O701" i="5"/>
  <c r="P701" i="5" s="1"/>
  <c r="K701" i="5"/>
  <c r="L701" i="5" s="1"/>
  <c r="O700" i="5"/>
  <c r="P700" i="5" s="1"/>
  <c r="K700" i="5"/>
  <c r="L700" i="5" s="1"/>
  <c r="P699" i="5"/>
  <c r="O699" i="5"/>
  <c r="K699" i="5"/>
  <c r="L699" i="5" s="1"/>
  <c r="O698" i="5"/>
  <c r="P698" i="5" s="1"/>
  <c r="Q698" i="5" s="1"/>
  <c r="R698" i="5" s="1"/>
  <c r="L698" i="5"/>
  <c r="K698" i="5"/>
  <c r="O697" i="5"/>
  <c r="P697" i="5" s="1"/>
  <c r="L697" i="5"/>
  <c r="K697" i="5"/>
  <c r="O696" i="5"/>
  <c r="P696" i="5" s="1"/>
  <c r="L696" i="5"/>
  <c r="K696" i="5"/>
  <c r="O695" i="5"/>
  <c r="P695" i="5" s="1"/>
  <c r="L695" i="5"/>
  <c r="K695" i="5"/>
  <c r="O694" i="5"/>
  <c r="P694" i="5" s="1"/>
  <c r="L694" i="5"/>
  <c r="K694" i="5"/>
  <c r="P693" i="5"/>
  <c r="O693" i="5"/>
  <c r="L693" i="5"/>
  <c r="K693" i="5"/>
  <c r="P692" i="5"/>
  <c r="O692" i="5"/>
  <c r="L692" i="5"/>
  <c r="M692" i="5" s="1"/>
  <c r="N692" i="5" s="1"/>
  <c r="S692" i="5" s="1"/>
  <c r="K692" i="5"/>
  <c r="P691" i="5"/>
  <c r="O691" i="5"/>
  <c r="L691" i="5"/>
  <c r="K691" i="5"/>
  <c r="P690" i="5"/>
  <c r="O690" i="5"/>
  <c r="L690" i="5"/>
  <c r="K690" i="5"/>
  <c r="P689" i="5"/>
  <c r="O689" i="5"/>
  <c r="L689" i="5"/>
  <c r="K689" i="5"/>
  <c r="O688" i="5"/>
  <c r="P688" i="5" s="1"/>
  <c r="Q688" i="5" s="1"/>
  <c r="R688" i="5" s="1"/>
  <c r="L688" i="5"/>
  <c r="M688" i="5" s="1"/>
  <c r="N688" i="5" s="1"/>
  <c r="S688" i="5" s="1"/>
  <c r="K688" i="5"/>
  <c r="O685" i="5"/>
  <c r="P685" i="5" s="1"/>
  <c r="L685" i="5"/>
  <c r="K685" i="5"/>
  <c r="P684" i="5"/>
  <c r="O684" i="5"/>
  <c r="L684" i="5"/>
  <c r="K684" i="5"/>
  <c r="P683" i="5"/>
  <c r="O683" i="5"/>
  <c r="L683" i="5"/>
  <c r="K683" i="5"/>
  <c r="P682" i="5"/>
  <c r="O682" i="5"/>
  <c r="L682" i="5"/>
  <c r="K682" i="5"/>
  <c r="P681" i="5"/>
  <c r="O681" i="5"/>
  <c r="L681" i="5"/>
  <c r="M680" i="5" s="1"/>
  <c r="N680" i="5" s="1"/>
  <c r="S680" i="5" s="1"/>
  <c r="K681" i="5"/>
  <c r="P680" i="5"/>
  <c r="Q680" i="5" s="1"/>
  <c r="R680" i="5" s="1"/>
  <c r="O680" i="5"/>
  <c r="L680" i="5"/>
  <c r="K680" i="5"/>
  <c r="P679" i="5"/>
  <c r="O679" i="5"/>
  <c r="L679" i="5"/>
  <c r="K679" i="5"/>
  <c r="P678" i="5"/>
  <c r="O678" i="5"/>
  <c r="L678" i="5"/>
  <c r="K678" i="5"/>
  <c r="P677" i="5"/>
  <c r="O677" i="5"/>
  <c r="L677" i="5"/>
  <c r="K677" i="5"/>
  <c r="P676" i="5"/>
  <c r="O676" i="5"/>
  <c r="L676" i="5"/>
  <c r="K676" i="5"/>
  <c r="P675" i="5"/>
  <c r="O675" i="5"/>
  <c r="L675" i="5"/>
  <c r="K675" i="5"/>
  <c r="P674" i="5"/>
  <c r="O674" i="5"/>
  <c r="L674" i="5"/>
  <c r="M674" i="5" s="1"/>
  <c r="N674" i="5" s="1"/>
  <c r="S674" i="5" s="1"/>
  <c r="K674" i="5"/>
  <c r="P673" i="5"/>
  <c r="O673" i="5"/>
  <c r="L673" i="5"/>
  <c r="K673" i="5"/>
  <c r="P672" i="5"/>
  <c r="O672" i="5"/>
  <c r="L672" i="5"/>
  <c r="K672" i="5"/>
  <c r="P671" i="5"/>
  <c r="O671" i="5"/>
  <c r="L671" i="5"/>
  <c r="K671" i="5"/>
  <c r="P670" i="5"/>
  <c r="O670" i="5"/>
  <c r="L670" i="5"/>
  <c r="K670" i="5"/>
  <c r="P669" i="5"/>
  <c r="O669" i="5"/>
  <c r="L669" i="5"/>
  <c r="K669" i="5"/>
  <c r="P668" i="5"/>
  <c r="Q668" i="5" s="1"/>
  <c r="R668" i="5" s="1"/>
  <c r="O668" i="5"/>
  <c r="N668" i="5"/>
  <c r="S668" i="5" s="1"/>
  <c r="M668" i="5"/>
  <c r="L668" i="5"/>
  <c r="K668" i="5"/>
  <c r="P667" i="5"/>
  <c r="O667" i="5"/>
  <c r="L667" i="5"/>
  <c r="K667" i="5"/>
  <c r="P666" i="5"/>
  <c r="O666" i="5"/>
  <c r="L666" i="5"/>
  <c r="K666" i="5"/>
  <c r="P665" i="5"/>
  <c r="O665" i="5"/>
  <c r="L665" i="5"/>
  <c r="K665" i="5"/>
  <c r="P664" i="5"/>
  <c r="O664" i="5"/>
  <c r="L664" i="5"/>
  <c r="K664" i="5"/>
  <c r="P663" i="5"/>
  <c r="O663" i="5"/>
  <c r="L663" i="5"/>
  <c r="K663" i="5"/>
  <c r="P662" i="5"/>
  <c r="O662" i="5"/>
  <c r="L662" i="5"/>
  <c r="M662" i="5" s="1"/>
  <c r="N662" i="5" s="1"/>
  <c r="S662" i="5" s="1"/>
  <c r="K662" i="5"/>
  <c r="P661" i="5"/>
  <c r="O661" i="5"/>
  <c r="L661" i="5"/>
  <c r="K661" i="5"/>
  <c r="P660" i="5"/>
  <c r="O660" i="5"/>
  <c r="L660" i="5"/>
  <c r="K660" i="5"/>
  <c r="P659" i="5"/>
  <c r="O659" i="5"/>
  <c r="L659" i="5"/>
  <c r="K659" i="5"/>
  <c r="P658" i="5"/>
  <c r="O658" i="5"/>
  <c r="L658" i="5"/>
  <c r="K658" i="5"/>
  <c r="P657" i="5"/>
  <c r="O657" i="5"/>
  <c r="L657" i="5"/>
  <c r="K657" i="5"/>
  <c r="P656" i="5"/>
  <c r="Q656" i="5" s="1"/>
  <c r="R656" i="5" s="1"/>
  <c r="O656" i="5"/>
  <c r="L656" i="5"/>
  <c r="K656" i="5"/>
  <c r="P655" i="5"/>
  <c r="O655" i="5"/>
  <c r="L655" i="5"/>
  <c r="K655" i="5"/>
  <c r="P654" i="5"/>
  <c r="O654" i="5"/>
  <c r="L654" i="5"/>
  <c r="K654" i="5"/>
  <c r="P653" i="5"/>
  <c r="O653" i="5"/>
  <c r="L653" i="5"/>
  <c r="K653" i="5"/>
  <c r="P652" i="5"/>
  <c r="Q652" i="5" s="1"/>
  <c r="R652" i="5" s="1"/>
  <c r="O652" i="5"/>
  <c r="L652" i="5"/>
  <c r="M652" i="5" s="1"/>
  <c r="N652" i="5" s="1"/>
  <c r="S652" i="5" s="1"/>
  <c r="U652" i="5" s="1"/>
  <c r="K652" i="5"/>
  <c r="P649" i="5"/>
  <c r="O649" i="5"/>
  <c r="L649" i="5"/>
  <c r="K649" i="5"/>
  <c r="P648" i="5"/>
  <c r="O648" i="5"/>
  <c r="L648" i="5"/>
  <c r="K648" i="5"/>
  <c r="P647" i="5"/>
  <c r="O647" i="5"/>
  <c r="L647" i="5"/>
  <c r="K647" i="5"/>
  <c r="P646" i="5"/>
  <c r="O646" i="5"/>
  <c r="L646" i="5"/>
  <c r="K646" i="5"/>
  <c r="P645" i="5"/>
  <c r="O645" i="5"/>
  <c r="L645" i="5"/>
  <c r="K645" i="5"/>
  <c r="P644" i="5"/>
  <c r="O644" i="5"/>
  <c r="L644" i="5"/>
  <c r="M644" i="5" s="1"/>
  <c r="N644" i="5" s="1"/>
  <c r="S644" i="5" s="1"/>
  <c r="K644" i="5"/>
  <c r="P643" i="5"/>
  <c r="O643" i="5"/>
  <c r="L643" i="5"/>
  <c r="K643" i="5"/>
  <c r="P642" i="5"/>
  <c r="O642" i="5"/>
  <c r="L642" i="5"/>
  <c r="K642" i="5"/>
  <c r="P641" i="5"/>
  <c r="O641" i="5"/>
  <c r="L641" i="5"/>
  <c r="K641" i="5"/>
  <c r="P640" i="5"/>
  <c r="O640" i="5"/>
  <c r="L640" i="5"/>
  <c r="K640" i="5"/>
  <c r="P639" i="5"/>
  <c r="O639" i="5"/>
  <c r="L639" i="5"/>
  <c r="K639" i="5"/>
  <c r="P638" i="5"/>
  <c r="Q638" i="5" s="1"/>
  <c r="R638" i="5" s="1"/>
  <c r="O638" i="5"/>
  <c r="K638" i="5"/>
  <c r="L638" i="5" s="1"/>
  <c r="O637" i="5"/>
  <c r="P637" i="5" s="1"/>
  <c r="K637" i="5"/>
  <c r="L637" i="5" s="1"/>
  <c r="P636" i="5"/>
  <c r="O636" i="5"/>
  <c r="K636" i="5"/>
  <c r="L636" i="5" s="1"/>
  <c r="O635" i="5"/>
  <c r="P635" i="5" s="1"/>
  <c r="K635" i="5"/>
  <c r="L635" i="5" s="1"/>
  <c r="P634" i="5"/>
  <c r="O634" i="5"/>
  <c r="K634" i="5"/>
  <c r="L634" i="5" s="1"/>
  <c r="O633" i="5"/>
  <c r="P633" i="5" s="1"/>
  <c r="K633" i="5"/>
  <c r="L633" i="5" s="1"/>
  <c r="P632" i="5"/>
  <c r="O632" i="5"/>
  <c r="K632" i="5"/>
  <c r="L632" i="5" s="1"/>
  <c r="M632" i="5" s="1"/>
  <c r="N632" i="5" s="1"/>
  <c r="S632" i="5" s="1"/>
  <c r="O631" i="5"/>
  <c r="P631" i="5" s="1"/>
  <c r="K631" i="5"/>
  <c r="L631" i="5" s="1"/>
  <c r="P630" i="5"/>
  <c r="O630" i="5"/>
  <c r="K630" i="5"/>
  <c r="L630" i="5" s="1"/>
  <c r="O629" i="5"/>
  <c r="P629" i="5" s="1"/>
  <c r="K629" i="5"/>
  <c r="L629" i="5" s="1"/>
  <c r="P628" i="5"/>
  <c r="O628" i="5"/>
  <c r="K628" i="5"/>
  <c r="L628" i="5" s="1"/>
  <c r="O627" i="5"/>
  <c r="P627" i="5" s="1"/>
  <c r="K627" i="5"/>
  <c r="L627" i="5" s="1"/>
  <c r="P626" i="5"/>
  <c r="O626" i="5"/>
  <c r="K626" i="5"/>
  <c r="L626" i="5" s="1"/>
  <c r="M626" i="5" s="1"/>
  <c r="N626" i="5" s="1"/>
  <c r="S626" i="5" s="1"/>
  <c r="O625" i="5"/>
  <c r="P625" i="5" s="1"/>
  <c r="K625" i="5"/>
  <c r="L625" i="5" s="1"/>
  <c r="P624" i="5"/>
  <c r="O624" i="5"/>
  <c r="K624" i="5"/>
  <c r="L624" i="5" s="1"/>
  <c r="O623" i="5"/>
  <c r="P623" i="5" s="1"/>
  <c r="K623" i="5"/>
  <c r="L623" i="5" s="1"/>
  <c r="P622" i="5"/>
  <c r="O622" i="5"/>
  <c r="K622" i="5"/>
  <c r="L622" i="5" s="1"/>
  <c r="O621" i="5"/>
  <c r="P621" i="5" s="1"/>
  <c r="K621" i="5"/>
  <c r="L621" i="5" s="1"/>
  <c r="P620" i="5"/>
  <c r="O620" i="5"/>
  <c r="K620" i="5"/>
  <c r="L620" i="5" s="1"/>
  <c r="O619" i="5"/>
  <c r="P619" i="5" s="1"/>
  <c r="K619" i="5"/>
  <c r="L619" i="5" s="1"/>
  <c r="P618" i="5"/>
  <c r="O618" i="5"/>
  <c r="K618" i="5"/>
  <c r="L618" i="5" s="1"/>
  <c r="O617" i="5"/>
  <c r="P617" i="5" s="1"/>
  <c r="K617" i="5"/>
  <c r="L617" i="5" s="1"/>
  <c r="P616" i="5"/>
  <c r="O616" i="5"/>
  <c r="L616" i="5"/>
  <c r="K616" i="5"/>
  <c r="O613" i="5"/>
  <c r="P613" i="5" s="1"/>
  <c r="K613" i="5"/>
  <c r="L613" i="5" s="1"/>
  <c r="O612" i="5"/>
  <c r="P612" i="5" s="1"/>
  <c r="L612" i="5"/>
  <c r="K612" i="5"/>
  <c r="O611" i="5"/>
  <c r="P611" i="5" s="1"/>
  <c r="L611" i="5"/>
  <c r="K611" i="5"/>
  <c r="O610" i="5"/>
  <c r="P610" i="5" s="1"/>
  <c r="L610" i="5"/>
  <c r="K610" i="5"/>
  <c r="O609" i="5"/>
  <c r="P609" i="5" s="1"/>
  <c r="L609" i="5"/>
  <c r="K609" i="5"/>
  <c r="O608" i="5"/>
  <c r="P608" i="5" s="1"/>
  <c r="L608" i="5"/>
  <c r="M608" i="5" s="1"/>
  <c r="N608" i="5" s="1"/>
  <c r="S608" i="5" s="1"/>
  <c r="K608" i="5"/>
  <c r="O607" i="5"/>
  <c r="P607" i="5" s="1"/>
  <c r="L607" i="5"/>
  <c r="K607" i="5"/>
  <c r="O606" i="5"/>
  <c r="P606" i="5" s="1"/>
  <c r="L606" i="5"/>
  <c r="K606" i="5"/>
  <c r="O605" i="5"/>
  <c r="P605" i="5" s="1"/>
  <c r="L605" i="5"/>
  <c r="K605" i="5"/>
  <c r="O604" i="5"/>
  <c r="P604" i="5" s="1"/>
  <c r="L604" i="5"/>
  <c r="K604" i="5"/>
  <c r="O603" i="5"/>
  <c r="P603" i="5" s="1"/>
  <c r="L603" i="5"/>
  <c r="K603" i="5"/>
  <c r="O602" i="5"/>
  <c r="P602" i="5" s="1"/>
  <c r="L602" i="5"/>
  <c r="M602" i="5" s="1"/>
  <c r="N602" i="5" s="1"/>
  <c r="S602" i="5" s="1"/>
  <c r="K602" i="5"/>
  <c r="O601" i="5"/>
  <c r="P601" i="5" s="1"/>
  <c r="L601" i="5"/>
  <c r="K601" i="5"/>
  <c r="O600" i="5"/>
  <c r="P600" i="5" s="1"/>
  <c r="L600" i="5"/>
  <c r="K600" i="5"/>
  <c r="O599" i="5"/>
  <c r="P599" i="5" s="1"/>
  <c r="L599" i="5"/>
  <c r="K599" i="5"/>
  <c r="O598" i="5"/>
  <c r="P598" i="5" s="1"/>
  <c r="L598" i="5"/>
  <c r="K598" i="5"/>
  <c r="O597" i="5"/>
  <c r="P597" i="5" s="1"/>
  <c r="L597" i="5"/>
  <c r="K597" i="5"/>
  <c r="O596" i="5"/>
  <c r="P596" i="5" s="1"/>
  <c r="K596" i="5"/>
  <c r="L596" i="5" s="1"/>
  <c r="P595" i="5"/>
  <c r="O595" i="5"/>
  <c r="K595" i="5"/>
  <c r="L595" i="5" s="1"/>
  <c r="O594" i="5"/>
  <c r="P594" i="5" s="1"/>
  <c r="K594" i="5"/>
  <c r="L594" i="5" s="1"/>
  <c r="O593" i="5"/>
  <c r="P593" i="5" s="1"/>
  <c r="K593" i="5"/>
  <c r="L593" i="5" s="1"/>
  <c r="O592" i="5"/>
  <c r="P592" i="5" s="1"/>
  <c r="K592" i="5"/>
  <c r="L592" i="5" s="1"/>
  <c r="P591" i="5"/>
  <c r="O591" i="5"/>
  <c r="K591" i="5"/>
  <c r="L591" i="5" s="1"/>
  <c r="O590" i="5"/>
  <c r="P590" i="5" s="1"/>
  <c r="K590" i="5"/>
  <c r="L590" i="5" s="1"/>
  <c r="M590" i="5" s="1"/>
  <c r="N590" i="5" s="1"/>
  <c r="S590" i="5" s="1"/>
  <c r="O589" i="5"/>
  <c r="P589" i="5" s="1"/>
  <c r="K589" i="5"/>
  <c r="L589" i="5" s="1"/>
  <c r="O588" i="5"/>
  <c r="P588" i="5" s="1"/>
  <c r="K588" i="5"/>
  <c r="L588" i="5" s="1"/>
  <c r="P587" i="5"/>
  <c r="O587" i="5"/>
  <c r="K587" i="5"/>
  <c r="L587" i="5" s="1"/>
  <c r="O586" i="5"/>
  <c r="P586" i="5" s="1"/>
  <c r="L586" i="5"/>
  <c r="K586" i="5"/>
  <c r="O585" i="5"/>
  <c r="P585" i="5" s="1"/>
  <c r="Q584" i="5" s="1"/>
  <c r="R584" i="5" s="1"/>
  <c r="L585" i="5"/>
  <c r="K585" i="5"/>
  <c r="P584" i="5"/>
  <c r="O584" i="5"/>
  <c r="L584" i="5"/>
  <c r="K584" i="5"/>
  <c r="P583" i="5"/>
  <c r="O583" i="5"/>
  <c r="L583" i="5"/>
  <c r="K583" i="5"/>
  <c r="P582" i="5"/>
  <c r="O582" i="5"/>
  <c r="L582" i="5"/>
  <c r="K582" i="5"/>
  <c r="P581" i="5"/>
  <c r="O581" i="5"/>
  <c r="L581" i="5"/>
  <c r="K581" i="5"/>
  <c r="P580" i="5"/>
  <c r="O580" i="5"/>
  <c r="L580" i="5"/>
  <c r="M580" i="5" s="1"/>
  <c r="N580" i="5" s="1"/>
  <c r="S580" i="5" s="1"/>
  <c r="K580" i="5"/>
  <c r="P577" i="5"/>
  <c r="O577" i="5"/>
  <c r="K577" i="5"/>
  <c r="L577" i="5" s="1"/>
  <c r="O576" i="5"/>
  <c r="P576" i="5" s="1"/>
  <c r="K576" i="5"/>
  <c r="L576" i="5" s="1"/>
  <c r="P575" i="5"/>
  <c r="O575" i="5"/>
  <c r="K575" i="5"/>
  <c r="L575" i="5" s="1"/>
  <c r="O574" i="5"/>
  <c r="P574" i="5" s="1"/>
  <c r="K574" i="5"/>
  <c r="L574" i="5" s="1"/>
  <c r="P573" i="5"/>
  <c r="O573" i="5"/>
  <c r="K573" i="5"/>
  <c r="L573" i="5" s="1"/>
  <c r="O572" i="5"/>
  <c r="P572" i="5" s="1"/>
  <c r="K572" i="5"/>
  <c r="L572" i="5" s="1"/>
  <c r="O571" i="5"/>
  <c r="P571" i="5" s="1"/>
  <c r="K571" i="5"/>
  <c r="L571" i="5" s="1"/>
  <c r="P570" i="5"/>
  <c r="O570" i="5"/>
  <c r="K570" i="5"/>
  <c r="L570" i="5" s="1"/>
  <c r="O569" i="5"/>
  <c r="P569" i="5" s="1"/>
  <c r="K569" i="5"/>
  <c r="L569" i="5" s="1"/>
  <c r="P568" i="5"/>
  <c r="O568" i="5"/>
  <c r="K568" i="5"/>
  <c r="L568" i="5" s="1"/>
  <c r="O567" i="5"/>
  <c r="P567" i="5" s="1"/>
  <c r="K567" i="5"/>
  <c r="L567" i="5" s="1"/>
  <c r="O566" i="5"/>
  <c r="P566" i="5" s="1"/>
  <c r="L566" i="5"/>
  <c r="K566" i="5"/>
  <c r="O565" i="5"/>
  <c r="P565" i="5" s="1"/>
  <c r="K565" i="5"/>
  <c r="L565" i="5" s="1"/>
  <c r="O564" i="5"/>
  <c r="P564" i="5" s="1"/>
  <c r="K564" i="5"/>
  <c r="L564" i="5" s="1"/>
  <c r="O563" i="5"/>
  <c r="P563" i="5" s="1"/>
  <c r="K563" i="5"/>
  <c r="L563" i="5" s="1"/>
  <c r="O562" i="5"/>
  <c r="P562" i="5" s="1"/>
  <c r="L562" i="5"/>
  <c r="K562" i="5"/>
  <c r="O561" i="5"/>
  <c r="P561" i="5" s="1"/>
  <c r="K561" i="5"/>
  <c r="L561" i="5" s="1"/>
  <c r="P560" i="5"/>
  <c r="O560" i="5"/>
  <c r="K560" i="5"/>
  <c r="L560" i="5" s="1"/>
  <c r="O559" i="5"/>
  <c r="P559" i="5" s="1"/>
  <c r="K559" i="5"/>
  <c r="L559" i="5" s="1"/>
  <c r="O558" i="5"/>
  <c r="P558" i="5" s="1"/>
  <c r="K558" i="5"/>
  <c r="L558" i="5" s="1"/>
  <c r="P557" i="5"/>
  <c r="O557" i="5"/>
  <c r="K557" i="5"/>
  <c r="L557" i="5" s="1"/>
  <c r="P556" i="5"/>
  <c r="O556" i="5"/>
  <c r="K556" i="5"/>
  <c r="L556" i="5" s="1"/>
  <c r="O555" i="5"/>
  <c r="P555" i="5" s="1"/>
  <c r="K555" i="5"/>
  <c r="L555" i="5" s="1"/>
  <c r="P554" i="5"/>
  <c r="Q554" i="5" s="1"/>
  <c r="R554" i="5" s="1"/>
  <c r="O554" i="5"/>
  <c r="L554" i="5"/>
  <c r="K554" i="5"/>
  <c r="P553" i="5"/>
  <c r="O553" i="5"/>
  <c r="L553" i="5"/>
  <c r="K553" i="5"/>
  <c r="P552" i="5"/>
  <c r="O552" i="5"/>
  <c r="L552" i="5"/>
  <c r="K552" i="5"/>
  <c r="P551" i="5"/>
  <c r="O551" i="5"/>
  <c r="L551" i="5"/>
  <c r="K551" i="5"/>
  <c r="P550" i="5"/>
  <c r="O550" i="5"/>
  <c r="K550" i="5"/>
  <c r="L550" i="5" s="1"/>
  <c r="O549" i="5"/>
  <c r="P549" i="5" s="1"/>
  <c r="L549" i="5"/>
  <c r="K549" i="5"/>
  <c r="O548" i="5"/>
  <c r="P548" i="5" s="1"/>
  <c r="K548" i="5"/>
  <c r="L548" i="5" s="1"/>
  <c r="M548" i="5" s="1"/>
  <c r="N548" i="5" s="1"/>
  <c r="S548" i="5" s="1"/>
  <c r="P547" i="5"/>
  <c r="O547" i="5"/>
  <c r="K547" i="5"/>
  <c r="L547" i="5" s="1"/>
  <c r="P546" i="5"/>
  <c r="O546" i="5"/>
  <c r="K546" i="5"/>
  <c r="L546" i="5" s="1"/>
  <c r="O545" i="5"/>
  <c r="P545" i="5" s="1"/>
  <c r="K545" i="5"/>
  <c r="L545" i="5" s="1"/>
  <c r="O544" i="5"/>
  <c r="P544" i="5" s="1"/>
  <c r="K544" i="5"/>
  <c r="L544" i="5" s="1"/>
  <c r="P541" i="5"/>
  <c r="O541" i="5"/>
  <c r="K541" i="5"/>
  <c r="L541" i="5" s="1"/>
  <c r="O540" i="5"/>
  <c r="P540" i="5" s="1"/>
  <c r="K540" i="5"/>
  <c r="L540" i="5" s="1"/>
  <c r="P539" i="5"/>
  <c r="O539" i="5"/>
  <c r="K539" i="5"/>
  <c r="L539" i="5" s="1"/>
  <c r="O538" i="5"/>
  <c r="P538" i="5" s="1"/>
  <c r="K538" i="5"/>
  <c r="L538" i="5" s="1"/>
  <c r="P537" i="5"/>
  <c r="O537" i="5"/>
  <c r="K537" i="5"/>
  <c r="L537" i="5" s="1"/>
  <c r="O536" i="5"/>
  <c r="P536" i="5" s="1"/>
  <c r="L536" i="5"/>
  <c r="K536" i="5"/>
  <c r="O535" i="5"/>
  <c r="P535" i="5" s="1"/>
  <c r="L535" i="5"/>
  <c r="K535" i="5"/>
  <c r="O534" i="5"/>
  <c r="P534" i="5" s="1"/>
  <c r="L534" i="5"/>
  <c r="K534" i="5"/>
  <c r="O533" i="5"/>
  <c r="P533" i="5" s="1"/>
  <c r="L533" i="5"/>
  <c r="K533" i="5"/>
  <c r="O532" i="5"/>
  <c r="P532" i="5" s="1"/>
  <c r="L532" i="5"/>
  <c r="K532" i="5"/>
  <c r="O531" i="5"/>
  <c r="P531" i="5" s="1"/>
  <c r="L531" i="5"/>
  <c r="K531" i="5"/>
  <c r="O530" i="5"/>
  <c r="P530" i="5" s="1"/>
  <c r="L530" i="5"/>
  <c r="M530" i="5" s="1"/>
  <c r="N530" i="5" s="1"/>
  <c r="S530" i="5" s="1"/>
  <c r="K530" i="5"/>
  <c r="P529" i="5"/>
  <c r="O529" i="5"/>
  <c r="L529" i="5"/>
  <c r="K529" i="5"/>
  <c r="P528" i="5"/>
  <c r="O528" i="5"/>
  <c r="L528" i="5"/>
  <c r="K528" i="5"/>
  <c r="P527" i="5"/>
  <c r="O527" i="5"/>
  <c r="L527" i="5"/>
  <c r="K527" i="5"/>
  <c r="P526" i="5"/>
  <c r="O526" i="5"/>
  <c r="L526" i="5"/>
  <c r="K526" i="5"/>
  <c r="P525" i="5"/>
  <c r="O525" i="5"/>
  <c r="L525" i="5"/>
  <c r="K525" i="5"/>
  <c r="O524" i="5"/>
  <c r="P524" i="5" s="1"/>
  <c r="K524" i="5"/>
  <c r="L524" i="5" s="1"/>
  <c r="M524" i="5" s="1"/>
  <c r="N524" i="5" s="1"/>
  <c r="S524" i="5" s="1"/>
  <c r="P523" i="5"/>
  <c r="O523" i="5"/>
  <c r="K523" i="5"/>
  <c r="L523" i="5" s="1"/>
  <c r="O522" i="5"/>
  <c r="P522" i="5" s="1"/>
  <c r="K522" i="5"/>
  <c r="L522" i="5" s="1"/>
  <c r="P521" i="5"/>
  <c r="O521" i="5"/>
  <c r="K521" i="5"/>
  <c r="L521" i="5" s="1"/>
  <c r="O520" i="5"/>
  <c r="P520" i="5" s="1"/>
  <c r="K520" i="5"/>
  <c r="L520" i="5" s="1"/>
  <c r="P519" i="5"/>
  <c r="O519" i="5"/>
  <c r="K519" i="5"/>
  <c r="L519" i="5" s="1"/>
  <c r="O518" i="5"/>
  <c r="P518" i="5" s="1"/>
  <c r="K518" i="5"/>
  <c r="L518" i="5" s="1"/>
  <c r="O517" i="5"/>
  <c r="P517" i="5" s="1"/>
  <c r="K517" i="5"/>
  <c r="L517" i="5" s="1"/>
  <c r="P516" i="5"/>
  <c r="O516" i="5"/>
  <c r="K516" i="5"/>
  <c r="L516" i="5" s="1"/>
  <c r="O515" i="5"/>
  <c r="P515" i="5" s="1"/>
  <c r="K515" i="5"/>
  <c r="L515" i="5" s="1"/>
  <c r="P514" i="5"/>
  <c r="O514" i="5"/>
  <c r="K514" i="5"/>
  <c r="L514" i="5" s="1"/>
  <c r="O513" i="5"/>
  <c r="P513" i="5" s="1"/>
  <c r="K513" i="5"/>
  <c r="L513" i="5" s="1"/>
  <c r="P512" i="5"/>
  <c r="O512" i="5"/>
  <c r="K512" i="5"/>
  <c r="L512" i="5" s="1"/>
  <c r="O511" i="5"/>
  <c r="P511" i="5" s="1"/>
  <c r="K511" i="5"/>
  <c r="L511" i="5" s="1"/>
  <c r="P510" i="5"/>
  <c r="O510" i="5"/>
  <c r="K510" i="5"/>
  <c r="L510" i="5" s="1"/>
  <c r="O509" i="5"/>
  <c r="P509" i="5" s="1"/>
  <c r="K509" i="5"/>
  <c r="L509" i="5" s="1"/>
  <c r="P508" i="5"/>
  <c r="O508" i="5"/>
  <c r="K508" i="5"/>
  <c r="L508" i="5" s="1"/>
  <c r="O505" i="5"/>
  <c r="P505" i="5" s="1"/>
  <c r="K505" i="5"/>
  <c r="L505" i="5" s="1"/>
  <c r="O504" i="5"/>
  <c r="P504" i="5" s="1"/>
  <c r="K504" i="5"/>
  <c r="L504" i="5" s="1"/>
  <c r="O503" i="5"/>
  <c r="P503" i="5" s="1"/>
  <c r="K503" i="5"/>
  <c r="L503" i="5" s="1"/>
  <c r="O502" i="5"/>
  <c r="P502" i="5" s="1"/>
  <c r="L502" i="5"/>
  <c r="K502" i="5"/>
  <c r="O501" i="5"/>
  <c r="P501" i="5" s="1"/>
  <c r="K501" i="5"/>
  <c r="L501" i="5" s="1"/>
  <c r="O500" i="5"/>
  <c r="P500" i="5" s="1"/>
  <c r="K500" i="5"/>
  <c r="L500" i="5" s="1"/>
  <c r="P499" i="5"/>
  <c r="O499" i="5"/>
  <c r="K499" i="5"/>
  <c r="L499" i="5" s="1"/>
  <c r="O498" i="5"/>
  <c r="P498" i="5" s="1"/>
  <c r="K498" i="5"/>
  <c r="L498" i="5" s="1"/>
  <c r="O497" i="5"/>
  <c r="P497" i="5" s="1"/>
  <c r="K497" i="5"/>
  <c r="L497" i="5" s="1"/>
  <c r="O496" i="5"/>
  <c r="P496" i="5" s="1"/>
  <c r="K496" i="5"/>
  <c r="L496" i="5" s="1"/>
  <c r="P495" i="5"/>
  <c r="O495" i="5"/>
  <c r="K495" i="5"/>
  <c r="L495" i="5" s="1"/>
  <c r="O494" i="5"/>
  <c r="P494" i="5" s="1"/>
  <c r="K494" i="5"/>
  <c r="L494" i="5" s="1"/>
  <c r="P493" i="5"/>
  <c r="O493" i="5"/>
  <c r="K493" i="5"/>
  <c r="L493" i="5" s="1"/>
  <c r="O492" i="5"/>
  <c r="P492" i="5" s="1"/>
  <c r="L492" i="5"/>
  <c r="K492" i="5"/>
  <c r="O491" i="5"/>
  <c r="P491" i="5" s="1"/>
  <c r="L491" i="5"/>
  <c r="K491" i="5"/>
  <c r="O490" i="5"/>
  <c r="P490" i="5" s="1"/>
  <c r="L490" i="5"/>
  <c r="K490" i="5"/>
  <c r="O489" i="5"/>
  <c r="P489" i="5" s="1"/>
  <c r="L489" i="5"/>
  <c r="K489" i="5"/>
  <c r="O488" i="5"/>
  <c r="P488" i="5" s="1"/>
  <c r="L488" i="5"/>
  <c r="K488" i="5"/>
  <c r="O487" i="5"/>
  <c r="P487" i="5" s="1"/>
  <c r="L487" i="5"/>
  <c r="K487" i="5"/>
  <c r="O486" i="5"/>
  <c r="P486" i="5" s="1"/>
  <c r="L486" i="5"/>
  <c r="K486" i="5"/>
  <c r="O485" i="5"/>
  <c r="P485" i="5" s="1"/>
  <c r="L485" i="5"/>
  <c r="K485" i="5"/>
  <c r="O484" i="5"/>
  <c r="P484" i="5" s="1"/>
  <c r="L484" i="5"/>
  <c r="K484" i="5"/>
  <c r="O483" i="5"/>
  <c r="P483" i="5" s="1"/>
  <c r="L483" i="5"/>
  <c r="K483" i="5"/>
  <c r="O482" i="5"/>
  <c r="P482" i="5" s="1"/>
  <c r="L482" i="5"/>
  <c r="M482" i="5" s="1"/>
  <c r="N482" i="5" s="1"/>
  <c r="S482" i="5" s="1"/>
  <c r="K482" i="5"/>
  <c r="O481" i="5"/>
  <c r="P481" i="5" s="1"/>
  <c r="L481" i="5"/>
  <c r="K481" i="5"/>
  <c r="O480" i="5"/>
  <c r="P480" i="5" s="1"/>
  <c r="L480" i="5"/>
  <c r="K480" i="5"/>
  <c r="O479" i="5"/>
  <c r="P479" i="5" s="1"/>
  <c r="L479" i="5"/>
  <c r="K479" i="5"/>
  <c r="O478" i="5"/>
  <c r="P478" i="5" s="1"/>
  <c r="L478" i="5"/>
  <c r="K478" i="5"/>
  <c r="O477" i="5"/>
  <c r="P477" i="5" s="1"/>
  <c r="L477" i="5"/>
  <c r="K477" i="5"/>
  <c r="O476" i="5"/>
  <c r="P476" i="5" s="1"/>
  <c r="K476" i="5"/>
  <c r="L476" i="5" s="1"/>
  <c r="M476" i="5" s="1"/>
  <c r="N476" i="5" s="1"/>
  <c r="S476" i="5" s="1"/>
  <c r="O475" i="5"/>
  <c r="P475" i="5" s="1"/>
  <c r="K475" i="5"/>
  <c r="L475" i="5" s="1"/>
  <c r="P474" i="5"/>
  <c r="O474" i="5"/>
  <c r="K474" i="5"/>
  <c r="L474" i="5" s="1"/>
  <c r="O473" i="5"/>
  <c r="P473" i="5" s="1"/>
  <c r="K473" i="5"/>
  <c r="L473" i="5" s="1"/>
  <c r="O472" i="5"/>
  <c r="P472" i="5" s="1"/>
  <c r="L472" i="5"/>
  <c r="K472" i="5"/>
  <c r="O469" i="5"/>
  <c r="P469" i="5" s="1"/>
  <c r="L469" i="5"/>
  <c r="K469" i="5"/>
  <c r="O468" i="5"/>
  <c r="P468" i="5" s="1"/>
  <c r="L468" i="5"/>
  <c r="K468" i="5"/>
  <c r="O467" i="5"/>
  <c r="P467" i="5" s="1"/>
  <c r="L467" i="5"/>
  <c r="K467" i="5"/>
  <c r="O466" i="5"/>
  <c r="P466" i="5" s="1"/>
  <c r="L466" i="5"/>
  <c r="K466" i="5"/>
  <c r="O465" i="5"/>
  <c r="P465" i="5" s="1"/>
  <c r="Q464" i="5" s="1"/>
  <c r="R464" i="5" s="1"/>
  <c r="L465" i="5"/>
  <c r="K465" i="5"/>
  <c r="O464" i="5"/>
  <c r="P464" i="5" s="1"/>
  <c r="K464" i="5"/>
  <c r="L464" i="5" s="1"/>
  <c r="M464" i="5" s="1"/>
  <c r="N464" i="5" s="1"/>
  <c r="S464" i="5" s="1"/>
  <c r="O463" i="5"/>
  <c r="P463" i="5" s="1"/>
  <c r="L463" i="5"/>
  <c r="K463" i="5"/>
  <c r="O462" i="5"/>
  <c r="P462" i="5" s="1"/>
  <c r="L462" i="5"/>
  <c r="K462" i="5"/>
  <c r="O461" i="5"/>
  <c r="P461" i="5" s="1"/>
  <c r="L461" i="5"/>
  <c r="K461" i="5"/>
  <c r="O460" i="5"/>
  <c r="P460" i="5" s="1"/>
  <c r="L460" i="5"/>
  <c r="K460" i="5"/>
  <c r="O459" i="5"/>
  <c r="P459" i="5" s="1"/>
  <c r="L459" i="5"/>
  <c r="K459" i="5"/>
  <c r="O458" i="5"/>
  <c r="P458" i="5" s="1"/>
  <c r="K458" i="5"/>
  <c r="L458" i="5" s="1"/>
  <c r="M458" i="5" s="1"/>
  <c r="N458" i="5" s="1"/>
  <c r="S458" i="5" s="1"/>
  <c r="O457" i="5"/>
  <c r="P457" i="5" s="1"/>
  <c r="K457" i="5"/>
  <c r="L457" i="5" s="1"/>
  <c r="O456" i="5"/>
  <c r="P456" i="5" s="1"/>
  <c r="K456" i="5"/>
  <c r="L456" i="5" s="1"/>
  <c r="P455" i="5"/>
  <c r="O455" i="5"/>
  <c r="K455" i="5"/>
  <c r="L455" i="5" s="1"/>
  <c r="P454" i="5"/>
  <c r="O454" i="5"/>
  <c r="K454" i="5"/>
  <c r="L454" i="5" s="1"/>
  <c r="O453" i="5"/>
  <c r="P453" i="5" s="1"/>
  <c r="K453" i="5"/>
  <c r="L453" i="5" s="1"/>
  <c r="O452" i="5"/>
  <c r="P452" i="5" s="1"/>
  <c r="L452" i="5"/>
  <c r="K452" i="5"/>
  <c r="O451" i="5"/>
  <c r="P451" i="5" s="1"/>
  <c r="L451" i="5"/>
  <c r="K451" i="5"/>
  <c r="O450" i="5"/>
  <c r="P450" i="5" s="1"/>
  <c r="L450" i="5"/>
  <c r="K450" i="5"/>
  <c r="O449" i="5"/>
  <c r="P449" i="5" s="1"/>
  <c r="L449" i="5"/>
  <c r="K449" i="5"/>
  <c r="O448" i="5"/>
  <c r="P448" i="5" s="1"/>
  <c r="L448" i="5"/>
  <c r="K448" i="5"/>
  <c r="O447" i="5"/>
  <c r="P447" i="5" s="1"/>
  <c r="L447" i="5"/>
  <c r="K447" i="5"/>
  <c r="O446" i="5"/>
  <c r="P446" i="5" s="1"/>
  <c r="K446" i="5"/>
  <c r="L446" i="5" s="1"/>
  <c r="M446" i="5" s="1"/>
  <c r="N446" i="5" s="1"/>
  <c r="S446" i="5" s="1"/>
  <c r="P445" i="5"/>
  <c r="O445" i="5"/>
  <c r="K445" i="5"/>
  <c r="L445" i="5" s="1"/>
  <c r="O444" i="5"/>
  <c r="P444" i="5" s="1"/>
  <c r="K444" i="5"/>
  <c r="L444" i="5" s="1"/>
  <c r="O443" i="5"/>
  <c r="P443" i="5" s="1"/>
  <c r="K443" i="5"/>
  <c r="L443" i="5" s="1"/>
  <c r="P442" i="5"/>
  <c r="O442" i="5"/>
  <c r="K442" i="5"/>
  <c r="L442" i="5" s="1"/>
  <c r="P441" i="5"/>
  <c r="O441" i="5"/>
  <c r="K441" i="5"/>
  <c r="L441" i="5" s="1"/>
  <c r="O440" i="5"/>
  <c r="P440" i="5" s="1"/>
  <c r="Q440" i="5" s="1"/>
  <c r="R440" i="5" s="1"/>
  <c r="K440" i="5"/>
  <c r="L440" i="5" s="1"/>
  <c r="O439" i="5"/>
  <c r="P439" i="5" s="1"/>
  <c r="L439" i="5"/>
  <c r="K439" i="5"/>
  <c r="O438" i="5"/>
  <c r="P438" i="5" s="1"/>
  <c r="L438" i="5"/>
  <c r="K438" i="5"/>
  <c r="O437" i="5"/>
  <c r="P437" i="5" s="1"/>
  <c r="L437" i="5"/>
  <c r="K437" i="5"/>
  <c r="O436" i="5"/>
  <c r="P436" i="5" s="1"/>
  <c r="K436" i="5"/>
  <c r="L436" i="5" s="1"/>
  <c r="M436" i="5" s="1"/>
  <c r="N436" i="5" s="1"/>
  <c r="S436" i="5" s="1"/>
  <c r="O433" i="5"/>
  <c r="P433" i="5" s="1"/>
  <c r="K433" i="5"/>
  <c r="L433" i="5" s="1"/>
  <c r="P432" i="5"/>
  <c r="O432" i="5"/>
  <c r="K432" i="5"/>
  <c r="L432" i="5" s="1"/>
  <c r="O431" i="5"/>
  <c r="P431" i="5" s="1"/>
  <c r="K431" i="5"/>
  <c r="L431" i="5" s="1"/>
  <c r="P430" i="5"/>
  <c r="O430" i="5"/>
  <c r="K430" i="5"/>
  <c r="L430" i="5" s="1"/>
  <c r="O429" i="5"/>
  <c r="P429" i="5" s="1"/>
  <c r="K429" i="5"/>
  <c r="L429" i="5" s="1"/>
  <c r="O428" i="5"/>
  <c r="P428" i="5" s="1"/>
  <c r="K428" i="5"/>
  <c r="L428" i="5" s="1"/>
  <c r="P427" i="5"/>
  <c r="O427" i="5"/>
  <c r="K427" i="5"/>
  <c r="L427" i="5" s="1"/>
  <c r="O426" i="5"/>
  <c r="P426" i="5" s="1"/>
  <c r="K426" i="5"/>
  <c r="L426" i="5" s="1"/>
  <c r="P425" i="5"/>
  <c r="O425" i="5"/>
  <c r="K425" i="5"/>
  <c r="L425" i="5" s="1"/>
  <c r="O424" i="5"/>
  <c r="P424" i="5" s="1"/>
  <c r="K424" i="5"/>
  <c r="L424" i="5" s="1"/>
  <c r="P423" i="5"/>
  <c r="O423" i="5"/>
  <c r="K423" i="5"/>
  <c r="L423" i="5" s="1"/>
  <c r="O422" i="5"/>
  <c r="P422" i="5" s="1"/>
  <c r="L422" i="5"/>
  <c r="K422" i="5"/>
  <c r="O421" i="5"/>
  <c r="P421" i="5" s="1"/>
  <c r="L421" i="5"/>
  <c r="K421" i="5"/>
  <c r="O420" i="5"/>
  <c r="P420" i="5" s="1"/>
  <c r="L420" i="5"/>
  <c r="K420" i="5"/>
  <c r="O419" i="5"/>
  <c r="P419" i="5" s="1"/>
  <c r="L419" i="5"/>
  <c r="K419" i="5"/>
  <c r="O418" i="5"/>
  <c r="P418" i="5" s="1"/>
  <c r="L418" i="5"/>
  <c r="K418" i="5"/>
  <c r="O417" i="5"/>
  <c r="P417" i="5" s="1"/>
  <c r="L417" i="5"/>
  <c r="K417" i="5"/>
  <c r="O416" i="5"/>
  <c r="P416" i="5" s="1"/>
  <c r="K416" i="5"/>
  <c r="L416" i="5" s="1"/>
  <c r="M416" i="5" s="1"/>
  <c r="N416" i="5" s="1"/>
  <c r="S416" i="5" s="1"/>
  <c r="O415" i="5"/>
  <c r="P415" i="5" s="1"/>
  <c r="K415" i="5"/>
  <c r="L415" i="5" s="1"/>
  <c r="P414" i="5"/>
  <c r="O414" i="5"/>
  <c r="K414" i="5"/>
  <c r="L414" i="5" s="1"/>
  <c r="O413" i="5"/>
  <c r="P413" i="5" s="1"/>
  <c r="K413" i="5"/>
  <c r="L413" i="5" s="1"/>
  <c r="P412" i="5"/>
  <c r="O412" i="5"/>
  <c r="K412" i="5"/>
  <c r="L412" i="5" s="1"/>
  <c r="O411" i="5"/>
  <c r="P411" i="5" s="1"/>
  <c r="K411" i="5"/>
  <c r="L411" i="5" s="1"/>
  <c r="P410" i="5"/>
  <c r="O410" i="5"/>
  <c r="K410" i="5"/>
  <c r="L410" i="5" s="1"/>
  <c r="O409" i="5"/>
  <c r="P409" i="5" s="1"/>
  <c r="K409" i="5"/>
  <c r="L409" i="5" s="1"/>
  <c r="P408" i="5"/>
  <c r="O408" i="5"/>
  <c r="K408" i="5"/>
  <c r="L408" i="5" s="1"/>
  <c r="O407" i="5"/>
  <c r="P407" i="5" s="1"/>
  <c r="K407" i="5"/>
  <c r="L407" i="5" s="1"/>
  <c r="P406" i="5"/>
  <c r="O406" i="5"/>
  <c r="K406" i="5"/>
  <c r="L406" i="5" s="1"/>
  <c r="O405" i="5"/>
  <c r="P405" i="5" s="1"/>
  <c r="K405" i="5"/>
  <c r="L405" i="5" s="1"/>
  <c r="O404" i="5"/>
  <c r="P404" i="5" s="1"/>
  <c r="L404" i="5"/>
  <c r="K404" i="5"/>
  <c r="O403" i="5"/>
  <c r="P403" i="5" s="1"/>
  <c r="L403" i="5"/>
  <c r="K403" i="5"/>
  <c r="O402" i="5"/>
  <c r="P402" i="5" s="1"/>
  <c r="L402" i="5"/>
  <c r="K402" i="5"/>
  <c r="O401" i="5"/>
  <c r="P401" i="5" s="1"/>
  <c r="L401" i="5"/>
  <c r="K401" i="5"/>
  <c r="P400" i="5"/>
  <c r="O400" i="5"/>
  <c r="L400" i="5"/>
  <c r="M400" i="5" s="1"/>
  <c r="N400" i="5" s="1"/>
  <c r="S400" i="5" s="1"/>
  <c r="K400" i="5"/>
  <c r="P397" i="5"/>
  <c r="O397" i="5"/>
  <c r="K397" i="5"/>
  <c r="L397" i="5" s="1"/>
  <c r="O396" i="5"/>
  <c r="P396" i="5" s="1"/>
  <c r="K396" i="5"/>
  <c r="L396" i="5" s="1"/>
  <c r="P395" i="5"/>
  <c r="O395" i="5"/>
  <c r="K395" i="5"/>
  <c r="L395" i="5" s="1"/>
  <c r="O394" i="5"/>
  <c r="P394" i="5" s="1"/>
  <c r="K394" i="5"/>
  <c r="L394" i="5" s="1"/>
  <c r="P393" i="5"/>
  <c r="O393" i="5"/>
  <c r="K393" i="5"/>
  <c r="L393" i="5" s="1"/>
  <c r="P392" i="5"/>
  <c r="O392" i="5"/>
  <c r="K392" i="5"/>
  <c r="L392" i="5" s="1"/>
  <c r="M392" i="5" s="1"/>
  <c r="N392" i="5" s="1"/>
  <c r="S392" i="5" s="1"/>
  <c r="O391" i="5"/>
  <c r="P391" i="5" s="1"/>
  <c r="L391" i="5"/>
  <c r="K391" i="5"/>
  <c r="O390" i="5"/>
  <c r="P390" i="5" s="1"/>
  <c r="K390" i="5"/>
  <c r="L390" i="5" s="1"/>
  <c r="O389" i="5"/>
  <c r="P389" i="5" s="1"/>
  <c r="K389" i="5"/>
  <c r="L389" i="5" s="1"/>
  <c r="O388" i="5"/>
  <c r="P388" i="5" s="1"/>
  <c r="L388" i="5"/>
  <c r="K388" i="5"/>
  <c r="O387" i="5"/>
  <c r="P387" i="5" s="1"/>
  <c r="L387" i="5"/>
  <c r="K387" i="5"/>
  <c r="O386" i="5"/>
  <c r="P386" i="5" s="1"/>
  <c r="L386" i="5"/>
  <c r="K386" i="5"/>
  <c r="O385" i="5"/>
  <c r="P385" i="5" s="1"/>
  <c r="L385" i="5"/>
  <c r="K385" i="5"/>
  <c r="O384" i="5"/>
  <c r="P384" i="5" s="1"/>
  <c r="L384" i="5"/>
  <c r="K384" i="5"/>
  <c r="O383" i="5"/>
  <c r="P383" i="5" s="1"/>
  <c r="L383" i="5"/>
  <c r="K383" i="5"/>
  <c r="O382" i="5"/>
  <c r="P382" i="5" s="1"/>
  <c r="L382" i="5"/>
  <c r="K382" i="5"/>
  <c r="O381" i="5"/>
  <c r="P381" i="5" s="1"/>
  <c r="L381" i="5"/>
  <c r="K381" i="5"/>
  <c r="P380" i="5"/>
  <c r="O380" i="5"/>
  <c r="K380" i="5"/>
  <c r="L380" i="5" s="1"/>
  <c r="M380" i="5" s="1"/>
  <c r="N380" i="5" s="1"/>
  <c r="S380" i="5" s="1"/>
  <c r="O379" i="5"/>
  <c r="P379" i="5" s="1"/>
  <c r="K379" i="5"/>
  <c r="L379" i="5" s="1"/>
  <c r="P378" i="5"/>
  <c r="O378" i="5"/>
  <c r="K378" i="5"/>
  <c r="L378" i="5" s="1"/>
  <c r="O377" i="5"/>
  <c r="P377" i="5" s="1"/>
  <c r="K377" i="5"/>
  <c r="L377" i="5" s="1"/>
  <c r="P376" i="5"/>
  <c r="O376" i="5"/>
  <c r="K376" i="5"/>
  <c r="L376" i="5" s="1"/>
  <c r="O375" i="5"/>
  <c r="P375" i="5" s="1"/>
  <c r="K375" i="5"/>
  <c r="L375" i="5" s="1"/>
  <c r="O374" i="5"/>
  <c r="P374" i="5" s="1"/>
  <c r="K374" i="5"/>
  <c r="L374" i="5" s="1"/>
  <c r="P373" i="5"/>
  <c r="O373" i="5"/>
  <c r="K373" i="5"/>
  <c r="L373" i="5" s="1"/>
  <c r="O372" i="5"/>
  <c r="P372" i="5" s="1"/>
  <c r="K372" i="5"/>
  <c r="L372" i="5" s="1"/>
  <c r="P371" i="5"/>
  <c r="O371" i="5"/>
  <c r="K371" i="5"/>
  <c r="L371" i="5" s="1"/>
  <c r="O370" i="5"/>
  <c r="P370" i="5" s="1"/>
  <c r="K370" i="5"/>
  <c r="L370" i="5" s="1"/>
  <c r="P369" i="5"/>
  <c r="O369" i="5"/>
  <c r="K369" i="5"/>
  <c r="L369" i="5" s="1"/>
  <c r="O368" i="5"/>
  <c r="P368" i="5" s="1"/>
  <c r="L368" i="5"/>
  <c r="K368" i="5"/>
  <c r="O367" i="5"/>
  <c r="P367" i="5" s="1"/>
  <c r="L367" i="5"/>
  <c r="K367" i="5"/>
  <c r="O366" i="5"/>
  <c r="P366" i="5" s="1"/>
  <c r="L366" i="5"/>
  <c r="K366" i="5"/>
  <c r="O365" i="5"/>
  <c r="P365" i="5" s="1"/>
  <c r="L365" i="5"/>
  <c r="K365" i="5"/>
  <c r="O364" i="5"/>
  <c r="P364" i="5" s="1"/>
  <c r="K364" i="5"/>
  <c r="L364" i="5" s="1"/>
  <c r="M364" i="5" s="1"/>
  <c r="N364" i="5" s="1"/>
  <c r="S364" i="5" s="1"/>
  <c r="O361" i="5"/>
  <c r="P361" i="5" s="1"/>
  <c r="K361" i="5"/>
  <c r="L361" i="5" s="1"/>
  <c r="O360" i="5"/>
  <c r="P360" i="5" s="1"/>
  <c r="K360" i="5"/>
  <c r="L360" i="5" s="1"/>
  <c r="O359" i="5"/>
  <c r="P359" i="5" s="1"/>
  <c r="K359" i="5"/>
  <c r="L359" i="5" s="1"/>
  <c r="O358" i="5"/>
  <c r="P358" i="5" s="1"/>
  <c r="L358" i="5"/>
  <c r="K358" i="5"/>
  <c r="O357" i="5"/>
  <c r="P357" i="5" s="1"/>
  <c r="K357" i="5"/>
  <c r="L357" i="5" s="1"/>
  <c r="O356" i="5"/>
  <c r="P356" i="5" s="1"/>
  <c r="K356" i="5"/>
  <c r="L356" i="5" s="1"/>
  <c r="P355" i="5"/>
  <c r="O355" i="5"/>
  <c r="K355" i="5"/>
  <c r="L355" i="5" s="1"/>
  <c r="O354" i="5"/>
  <c r="P354" i="5" s="1"/>
  <c r="K354" i="5"/>
  <c r="L354" i="5" s="1"/>
  <c r="O353" i="5"/>
  <c r="P353" i="5" s="1"/>
  <c r="K353" i="5"/>
  <c r="L353" i="5" s="1"/>
  <c r="O352" i="5"/>
  <c r="P352" i="5" s="1"/>
  <c r="K352" i="5"/>
  <c r="L352" i="5" s="1"/>
  <c r="P351" i="5"/>
  <c r="O351" i="5"/>
  <c r="K351" i="5"/>
  <c r="L351" i="5" s="1"/>
  <c r="P350" i="5"/>
  <c r="O350" i="5"/>
  <c r="L350" i="5"/>
  <c r="K350" i="5"/>
  <c r="O349" i="5"/>
  <c r="P349" i="5" s="1"/>
  <c r="K349" i="5"/>
  <c r="L349" i="5" s="1"/>
  <c r="O348" i="5"/>
  <c r="P348" i="5" s="1"/>
  <c r="K348" i="5"/>
  <c r="L348" i="5" s="1"/>
  <c r="O347" i="5"/>
  <c r="P347" i="5" s="1"/>
  <c r="K347" i="5"/>
  <c r="L347" i="5" s="1"/>
  <c r="O346" i="5"/>
  <c r="P346" i="5" s="1"/>
  <c r="L346" i="5"/>
  <c r="K346" i="5"/>
  <c r="O345" i="5"/>
  <c r="P345" i="5" s="1"/>
  <c r="K345" i="5"/>
  <c r="L345" i="5" s="1"/>
  <c r="O344" i="5"/>
  <c r="P344" i="5" s="1"/>
  <c r="L344" i="5"/>
  <c r="K344" i="5"/>
  <c r="O343" i="5"/>
  <c r="P343" i="5" s="1"/>
  <c r="L343" i="5"/>
  <c r="K343" i="5"/>
  <c r="O342" i="5"/>
  <c r="P342" i="5" s="1"/>
  <c r="L342" i="5"/>
  <c r="K342" i="5"/>
  <c r="O341" i="5"/>
  <c r="P341" i="5" s="1"/>
  <c r="L341" i="5"/>
  <c r="K341" i="5"/>
  <c r="O340" i="5"/>
  <c r="P340" i="5" s="1"/>
  <c r="L340" i="5"/>
  <c r="K340" i="5"/>
  <c r="O339" i="5"/>
  <c r="P339" i="5" s="1"/>
  <c r="L339" i="5"/>
  <c r="K339" i="5"/>
  <c r="O338" i="5"/>
  <c r="P338" i="5" s="1"/>
  <c r="K338" i="5"/>
  <c r="L338" i="5" s="1"/>
  <c r="M338" i="5" s="1"/>
  <c r="N338" i="5" s="1"/>
  <c r="S338" i="5" s="1"/>
  <c r="O337" i="5"/>
  <c r="P337" i="5" s="1"/>
  <c r="K337" i="5"/>
  <c r="L337" i="5" s="1"/>
  <c r="O336" i="5"/>
  <c r="P336" i="5" s="1"/>
  <c r="K336" i="5"/>
  <c r="L336" i="5" s="1"/>
  <c r="P335" i="5"/>
  <c r="O335" i="5"/>
  <c r="K335" i="5"/>
  <c r="L335" i="5" s="1"/>
  <c r="O334" i="5"/>
  <c r="P334" i="5" s="1"/>
  <c r="K334" i="5"/>
  <c r="L334" i="5" s="1"/>
  <c r="O333" i="5"/>
  <c r="P333" i="5" s="1"/>
  <c r="K333" i="5"/>
  <c r="L333" i="5" s="1"/>
  <c r="O332" i="5"/>
  <c r="P332" i="5" s="1"/>
  <c r="K332" i="5"/>
  <c r="L332" i="5" s="1"/>
  <c r="O331" i="5"/>
  <c r="P331" i="5" s="1"/>
  <c r="K331" i="5"/>
  <c r="L331" i="5" s="1"/>
  <c r="O330" i="5"/>
  <c r="P330" i="5" s="1"/>
  <c r="K330" i="5"/>
  <c r="L330" i="5" s="1"/>
  <c r="O329" i="5"/>
  <c r="P329" i="5" s="1"/>
  <c r="K329" i="5"/>
  <c r="L329" i="5" s="1"/>
  <c r="P328" i="5"/>
  <c r="O328" i="5"/>
  <c r="L328" i="5"/>
  <c r="K328" i="5"/>
  <c r="P325" i="5"/>
  <c r="O325" i="5"/>
  <c r="K325" i="5"/>
  <c r="L325" i="5" s="1"/>
  <c r="O324" i="5"/>
  <c r="P324" i="5" s="1"/>
  <c r="K324" i="5"/>
  <c r="L324" i="5" s="1"/>
  <c r="O323" i="5"/>
  <c r="P323" i="5" s="1"/>
  <c r="K323" i="5"/>
  <c r="L323" i="5" s="1"/>
  <c r="O322" i="5"/>
  <c r="P322" i="5" s="1"/>
  <c r="K322" i="5"/>
  <c r="L322" i="5" s="1"/>
  <c r="P321" i="5"/>
  <c r="O321" i="5"/>
  <c r="L321" i="5"/>
  <c r="K321" i="5"/>
  <c r="O320" i="5"/>
  <c r="P320" i="5" s="1"/>
  <c r="K320" i="5"/>
  <c r="L320" i="5" s="1"/>
  <c r="P319" i="5"/>
  <c r="O319" i="5"/>
  <c r="K319" i="5"/>
  <c r="L319" i="5" s="1"/>
  <c r="O318" i="5"/>
  <c r="P318" i="5" s="1"/>
  <c r="K318" i="5"/>
  <c r="L318" i="5" s="1"/>
  <c r="O317" i="5"/>
  <c r="P317" i="5" s="1"/>
  <c r="K317" i="5"/>
  <c r="L317" i="5" s="1"/>
  <c r="O316" i="5"/>
  <c r="P316" i="5" s="1"/>
  <c r="K316" i="5"/>
  <c r="L316" i="5" s="1"/>
  <c r="P315" i="5"/>
  <c r="O315" i="5"/>
  <c r="K315" i="5"/>
  <c r="L315" i="5" s="1"/>
  <c r="O314" i="5"/>
  <c r="P314" i="5" s="1"/>
  <c r="K314" i="5"/>
  <c r="L314" i="5" s="1"/>
  <c r="O313" i="5"/>
  <c r="P313" i="5" s="1"/>
  <c r="K313" i="5"/>
  <c r="L313" i="5" s="1"/>
  <c r="P312" i="5"/>
  <c r="O312" i="5"/>
  <c r="K312" i="5"/>
  <c r="L312" i="5" s="1"/>
  <c r="O311" i="5"/>
  <c r="P311" i="5" s="1"/>
  <c r="K311" i="5"/>
  <c r="L311" i="5" s="1"/>
  <c r="O310" i="5"/>
  <c r="P310" i="5" s="1"/>
  <c r="K310" i="5"/>
  <c r="L310" i="5" s="1"/>
  <c r="O309" i="5"/>
  <c r="P309" i="5" s="1"/>
  <c r="K309" i="5"/>
  <c r="L309" i="5" s="1"/>
  <c r="P308" i="5"/>
  <c r="O308" i="5"/>
  <c r="L308" i="5"/>
  <c r="K308" i="5"/>
  <c r="P307" i="5"/>
  <c r="O307" i="5"/>
  <c r="L307" i="5"/>
  <c r="K307" i="5"/>
  <c r="P306" i="5"/>
  <c r="O306" i="5"/>
  <c r="L306" i="5"/>
  <c r="K306" i="5"/>
  <c r="P305" i="5"/>
  <c r="O305" i="5"/>
  <c r="L305" i="5"/>
  <c r="K305" i="5"/>
  <c r="P304" i="5"/>
  <c r="O304" i="5"/>
  <c r="L304" i="5"/>
  <c r="K304" i="5"/>
  <c r="P303" i="5"/>
  <c r="O303" i="5"/>
  <c r="L303" i="5"/>
  <c r="K303" i="5"/>
  <c r="P302" i="5"/>
  <c r="Q302" i="5" s="1"/>
  <c r="R302" i="5" s="1"/>
  <c r="O302" i="5"/>
  <c r="K302" i="5"/>
  <c r="L302" i="5" s="1"/>
  <c r="M302" i="5" s="1"/>
  <c r="N302" i="5" s="1"/>
  <c r="S302" i="5" s="1"/>
  <c r="O301" i="5"/>
  <c r="P301" i="5" s="1"/>
  <c r="K301" i="5"/>
  <c r="L301" i="5" s="1"/>
  <c r="O300" i="5"/>
  <c r="P300" i="5" s="1"/>
  <c r="K300" i="5"/>
  <c r="L300" i="5" s="1"/>
  <c r="O299" i="5"/>
  <c r="P299" i="5" s="1"/>
  <c r="K299" i="5"/>
  <c r="L299" i="5" s="1"/>
  <c r="P298" i="5"/>
  <c r="O298" i="5"/>
  <c r="K298" i="5"/>
  <c r="L298" i="5" s="1"/>
  <c r="O297" i="5"/>
  <c r="P297" i="5" s="1"/>
  <c r="K297" i="5"/>
  <c r="L297" i="5" s="1"/>
  <c r="O296" i="5"/>
  <c r="P296" i="5" s="1"/>
  <c r="L296" i="5"/>
  <c r="K296" i="5"/>
  <c r="O295" i="5"/>
  <c r="P295" i="5" s="1"/>
  <c r="K295" i="5"/>
  <c r="L295" i="5" s="1"/>
  <c r="O294" i="5"/>
  <c r="P294" i="5" s="1"/>
  <c r="L294" i="5"/>
  <c r="K294" i="5"/>
  <c r="O293" i="5"/>
  <c r="P293" i="5" s="1"/>
  <c r="K293" i="5"/>
  <c r="L293" i="5" s="1"/>
  <c r="O292" i="5"/>
  <c r="P292" i="5" s="1"/>
  <c r="K292" i="5"/>
  <c r="L292" i="5" s="1"/>
  <c r="O289" i="5"/>
  <c r="P289" i="5" s="1"/>
  <c r="L289" i="5"/>
  <c r="K289" i="5"/>
  <c r="O288" i="5"/>
  <c r="P288" i="5" s="1"/>
  <c r="K288" i="5"/>
  <c r="L288" i="5" s="1"/>
  <c r="O287" i="5"/>
  <c r="P287" i="5" s="1"/>
  <c r="L287" i="5"/>
  <c r="K287" i="5"/>
  <c r="O286" i="5"/>
  <c r="P286" i="5" s="1"/>
  <c r="K286" i="5"/>
  <c r="L286" i="5" s="1"/>
  <c r="O285" i="5"/>
  <c r="P285" i="5" s="1"/>
  <c r="L285" i="5"/>
  <c r="K285" i="5"/>
  <c r="O284" i="5"/>
  <c r="P284" i="5" s="1"/>
  <c r="L284" i="5"/>
  <c r="K284" i="5"/>
  <c r="O283" i="5"/>
  <c r="P283" i="5" s="1"/>
  <c r="L283" i="5"/>
  <c r="K283" i="5"/>
  <c r="O282" i="5"/>
  <c r="P282" i="5" s="1"/>
  <c r="L282" i="5"/>
  <c r="K282" i="5"/>
  <c r="O281" i="5"/>
  <c r="P281" i="5" s="1"/>
  <c r="L281" i="5"/>
  <c r="K281" i="5"/>
  <c r="O280" i="5"/>
  <c r="P280" i="5" s="1"/>
  <c r="L280" i="5"/>
  <c r="K280" i="5"/>
  <c r="O279" i="5"/>
  <c r="P279" i="5" s="1"/>
  <c r="L279" i="5"/>
  <c r="K279" i="5"/>
  <c r="P278" i="5"/>
  <c r="O278" i="5"/>
  <c r="K278" i="5"/>
  <c r="L278" i="5" s="1"/>
  <c r="M278" i="5" s="1"/>
  <c r="N278" i="5" s="1"/>
  <c r="S278" i="5" s="1"/>
  <c r="O277" i="5"/>
  <c r="P277" i="5" s="1"/>
  <c r="K277" i="5"/>
  <c r="L277" i="5" s="1"/>
  <c r="P276" i="5"/>
  <c r="O276" i="5"/>
  <c r="K276" i="5"/>
  <c r="L276" i="5" s="1"/>
  <c r="O275" i="5"/>
  <c r="P275" i="5" s="1"/>
  <c r="K275" i="5"/>
  <c r="L275" i="5" s="1"/>
  <c r="P274" i="5"/>
  <c r="O274" i="5"/>
  <c r="K274" i="5"/>
  <c r="L274" i="5" s="1"/>
  <c r="O273" i="5"/>
  <c r="P273" i="5" s="1"/>
  <c r="K273" i="5"/>
  <c r="L273" i="5" s="1"/>
  <c r="O272" i="5"/>
  <c r="P272" i="5" s="1"/>
  <c r="K272" i="5"/>
  <c r="L272" i="5" s="1"/>
  <c r="P271" i="5"/>
  <c r="O271" i="5"/>
  <c r="K271" i="5"/>
  <c r="L271" i="5" s="1"/>
  <c r="O270" i="5"/>
  <c r="P270" i="5" s="1"/>
  <c r="K270" i="5"/>
  <c r="L270" i="5" s="1"/>
  <c r="P269" i="5"/>
  <c r="O269" i="5"/>
  <c r="K269" i="5"/>
  <c r="L269" i="5" s="1"/>
  <c r="O268" i="5"/>
  <c r="P268" i="5" s="1"/>
  <c r="K268" i="5"/>
  <c r="L268" i="5" s="1"/>
  <c r="P267" i="5"/>
  <c r="O267" i="5"/>
  <c r="K267" i="5"/>
  <c r="L267" i="5" s="1"/>
  <c r="O266" i="5"/>
  <c r="P266" i="5" s="1"/>
  <c r="L266" i="5"/>
  <c r="M266" i="5" s="1"/>
  <c r="N266" i="5" s="1"/>
  <c r="S266" i="5" s="1"/>
  <c r="K266" i="5"/>
  <c r="O265" i="5"/>
  <c r="P265" i="5" s="1"/>
  <c r="L265" i="5"/>
  <c r="K265" i="5"/>
  <c r="O264" i="5"/>
  <c r="P264" i="5" s="1"/>
  <c r="L264" i="5"/>
  <c r="K264" i="5"/>
  <c r="O263" i="5"/>
  <c r="P263" i="5" s="1"/>
  <c r="L263" i="5"/>
  <c r="K263" i="5"/>
  <c r="O262" i="5"/>
  <c r="P262" i="5" s="1"/>
  <c r="L262" i="5"/>
  <c r="K262" i="5"/>
  <c r="O261" i="5"/>
  <c r="P261" i="5" s="1"/>
  <c r="L261" i="5"/>
  <c r="K261" i="5"/>
  <c r="O260" i="5"/>
  <c r="P260" i="5" s="1"/>
  <c r="L260" i="5"/>
  <c r="K260" i="5"/>
  <c r="O259" i="5"/>
  <c r="P259" i="5" s="1"/>
  <c r="L259" i="5"/>
  <c r="K259" i="5"/>
  <c r="O258" i="5"/>
  <c r="P258" i="5" s="1"/>
  <c r="L258" i="5"/>
  <c r="K258" i="5"/>
  <c r="O257" i="5"/>
  <c r="P257" i="5" s="1"/>
  <c r="L257" i="5"/>
  <c r="K257" i="5"/>
  <c r="O256" i="5"/>
  <c r="P256" i="5" s="1"/>
  <c r="L256" i="5"/>
  <c r="M256" i="5" s="1"/>
  <c r="N256" i="5" s="1"/>
  <c r="S256" i="5" s="1"/>
  <c r="K256" i="5"/>
  <c r="O253" i="5"/>
  <c r="P253" i="5" s="1"/>
  <c r="K253" i="5"/>
  <c r="L253" i="5" s="1"/>
  <c r="O252" i="5"/>
  <c r="P252" i="5" s="1"/>
  <c r="K252" i="5"/>
  <c r="L252" i="5" s="1"/>
  <c r="P251" i="5"/>
  <c r="O251" i="5"/>
  <c r="K251" i="5"/>
  <c r="L251" i="5" s="1"/>
  <c r="O250" i="5"/>
  <c r="P250" i="5" s="1"/>
  <c r="K250" i="5"/>
  <c r="L250" i="5" s="1"/>
  <c r="P249" i="5"/>
  <c r="O249" i="5"/>
  <c r="K249" i="5"/>
  <c r="L249" i="5" s="1"/>
  <c r="O248" i="5"/>
  <c r="P248" i="5" s="1"/>
  <c r="K248" i="5"/>
  <c r="L248" i="5" s="1"/>
  <c r="M248" i="5" s="1"/>
  <c r="N248" i="5" s="1"/>
  <c r="S248" i="5" s="1"/>
  <c r="P247" i="5"/>
  <c r="O247" i="5"/>
  <c r="K247" i="5"/>
  <c r="L247" i="5" s="1"/>
  <c r="O246" i="5"/>
  <c r="P246" i="5" s="1"/>
  <c r="K246" i="5"/>
  <c r="L246" i="5" s="1"/>
  <c r="P245" i="5"/>
  <c r="O245" i="5"/>
  <c r="K245" i="5"/>
  <c r="L245" i="5" s="1"/>
  <c r="O244" i="5"/>
  <c r="P244" i="5" s="1"/>
  <c r="K244" i="5"/>
  <c r="L244" i="5" s="1"/>
  <c r="P243" i="5"/>
  <c r="O243" i="5"/>
  <c r="K243" i="5"/>
  <c r="L243" i="5" s="1"/>
  <c r="O242" i="5"/>
  <c r="P242" i="5" s="1"/>
  <c r="K242" i="5"/>
  <c r="L242" i="5" s="1"/>
  <c r="P241" i="5"/>
  <c r="O241" i="5"/>
  <c r="K241" i="5"/>
  <c r="L241" i="5" s="1"/>
  <c r="O240" i="5"/>
  <c r="P240" i="5" s="1"/>
  <c r="K240" i="5"/>
  <c r="L240" i="5" s="1"/>
  <c r="P239" i="5"/>
  <c r="O239" i="5"/>
  <c r="K239" i="5"/>
  <c r="L239" i="5" s="1"/>
  <c r="O238" i="5"/>
  <c r="P238" i="5" s="1"/>
  <c r="K238" i="5"/>
  <c r="L238" i="5" s="1"/>
  <c r="P237" i="5"/>
  <c r="O237" i="5"/>
  <c r="K237" i="5"/>
  <c r="L237" i="5" s="1"/>
  <c r="O236" i="5"/>
  <c r="P236" i="5" s="1"/>
  <c r="Q236" i="5" s="1"/>
  <c r="R236" i="5" s="1"/>
  <c r="K236" i="5"/>
  <c r="L236" i="5" s="1"/>
  <c r="O235" i="5"/>
  <c r="P235" i="5" s="1"/>
  <c r="K235" i="5"/>
  <c r="L235" i="5" s="1"/>
  <c r="O234" i="5"/>
  <c r="P234" i="5" s="1"/>
  <c r="L234" i="5"/>
  <c r="K234" i="5"/>
  <c r="O233" i="5"/>
  <c r="P233" i="5" s="1"/>
  <c r="L233" i="5"/>
  <c r="K233" i="5"/>
  <c r="O232" i="5"/>
  <c r="P232" i="5" s="1"/>
  <c r="K232" i="5"/>
  <c r="L232" i="5" s="1"/>
  <c r="O231" i="5"/>
  <c r="P231" i="5" s="1"/>
  <c r="K231" i="5"/>
  <c r="L231" i="5" s="1"/>
  <c r="P230" i="5"/>
  <c r="O230" i="5"/>
  <c r="K230" i="5"/>
  <c r="L230" i="5" s="1"/>
  <c r="O229" i="5"/>
  <c r="P229" i="5" s="1"/>
  <c r="K229" i="5"/>
  <c r="L229" i="5" s="1"/>
  <c r="P228" i="5"/>
  <c r="O228" i="5"/>
  <c r="K228" i="5"/>
  <c r="L228" i="5" s="1"/>
  <c r="O227" i="5"/>
  <c r="P227" i="5" s="1"/>
  <c r="K227" i="5"/>
  <c r="L227" i="5" s="1"/>
  <c r="P226" i="5"/>
  <c r="O226" i="5"/>
  <c r="K226" i="5"/>
  <c r="L226" i="5" s="1"/>
  <c r="O225" i="5"/>
  <c r="P225" i="5" s="1"/>
  <c r="K225" i="5"/>
  <c r="L225" i="5" s="1"/>
  <c r="O224" i="5"/>
  <c r="P224" i="5" s="1"/>
  <c r="L224" i="5"/>
  <c r="K224" i="5"/>
  <c r="O223" i="5"/>
  <c r="P223" i="5" s="1"/>
  <c r="K223" i="5"/>
  <c r="L223" i="5" s="1"/>
  <c r="O222" i="5"/>
  <c r="P222" i="5" s="1"/>
  <c r="K222" i="5"/>
  <c r="L222" i="5" s="1"/>
  <c r="O221" i="5"/>
  <c r="P221" i="5" s="1"/>
  <c r="L221" i="5"/>
  <c r="K221" i="5"/>
  <c r="O220" i="5"/>
  <c r="P220" i="5" s="1"/>
  <c r="K220" i="5"/>
  <c r="L220" i="5" s="1"/>
  <c r="P217" i="5"/>
  <c r="O217" i="5"/>
  <c r="K217" i="5"/>
  <c r="L217" i="5" s="1"/>
  <c r="O216" i="5"/>
  <c r="P216" i="5" s="1"/>
  <c r="L216" i="5"/>
  <c r="K216" i="5"/>
  <c r="O215" i="5"/>
  <c r="P215" i="5" s="1"/>
  <c r="L215" i="5"/>
  <c r="K215" i="5"/>
  <c r="O214" i="5"/>
  <c r="P214" i="5" s="1"/>
  <c r="L214" i="5"/>
  <c r="K214" i="5"/>
  <c r="O213" i="5"/>
  <c r="P213" i="5" s="1"/>
  <c r="L213" i="5"/>
  <c r="K213" i="5"/>
  <c r="O212" i="5"/>
  <c r="P212" i="5" s="1"/>
  <c r="K212" i="5"/>
  <c r="L212" i="5" s="1"/>
  <c r="P211" i="5"/>
  <c r="O211" i="5"/>
  <c r="K211" i="5"/>
  <c r="L211" i="5" s="1"/>
  <c r="P210" i="5"/>
  <c r="O210" i="5"/>
  <c r="K210" i="5"/>
  <c r="L210" i="5" s="1"/>
  <c r="O209" i="5"/>
  <c r="P209" i="5" s="1"/>
  <c r="K209" i="5"/>
  <c r="L209" i="5" s="1"/>
  <c r="O208" i="5"/>
  <c r="P208" i="5" s="1"/>
  <c r="K208" i="5"/>
  <c r="L208" i="5" s="1"/>
  <c r="P207" i="5"/>
  <c r="O207" i="5"/>
  <c r="K207" i="5"/>
  <c r="L207" i="5" s="1"/>
  <c r="P206" i="5"/>
  <c r="O206" i="5"/>
  <c r="K206" i="5"/>
  <c r="L206" i="5" s="1"/>
  <c r="O205" i="5"/>
  <c r="P205" i="5" s="1"/>
  <c r="K205" i="5"/>
  <c r="L205" i="5" s="1"/>
  <c r="O204" i="5"/>
  <c r="P204" i="5" s="1"/>
  <c r="K204" i="5"/>
  <c r="L204" i="5" s="1"/>
  <c r="P203" i="5"/>
  <c r="O203" i="5"/>
  <c r="K203" i="5"/>
  <c r="L203" i="5" s="1"/>
  <c r="P202" i="5"/>
  <c r="O202" i="5"/>
  <c r="K202" i="5"/>
  <c r="L202" i="5" s="1"/>
  <c r="O201" i="5"/>
  <c r="P201" i="5" s="1"/>
  <c r="K201" i="5"/>
  <c r="L201" i="5" s="1"/>
  <c r="O200" i="5"/>
  <c r="P200" i="5" s="1"/>
  <c r="K200" i="5"/>
  <c r="L200" i="5" s="1"/>
  <c r="P199" i="5"/>
  <c r="O199" i="5"/>
  <c r="K199" i="5"/>
  <c r="L199" i="5" s="1"/>
  <c r="P198" i="5"/>
  <c r="O198" i="5"/>
  <c r="K198" i="5"/>
  <c r="L198" i="5" s="1"/>
  <c r="O197" i="5"/>
  <c r="P197" i="5" s="1"/>
  <c r="K197" i="5"/>
  <c r="L197" i="5" s="1"/>
  <c r="O196" i="5"/>
  <c r="P196" i="5" s="1"/>
  <c r="K196" i="5"/>
  <c r="L196" i="5" s="1"/>
  <c r="P195" i="5"/>
  <c r="O195" i="5"/>
  <c r="K195" i="5"/>
  <c r="L195" i="5" s="1"/>
  <c r="P194" i="5"/>
  <c r="O194" i="5"/>
  <c r="K194" i="5"/>
  <c r="L194" i="5" s="1"/>
  <c r="O193" i="5"/>
  <c r="P193" i="5" s="1"/>
  <c r="K193" i="5"/>
  <c r="L193" i="5" s="1"/>
  <c r="O192" i="5"/>
  <c r="P192" i="5" s="1"/>
  <c r="L192" i="5"/>
  <c r="K192" i="5"/>
  <c r="O191" i="5"/>
  <c r="P191" i="5" s="1"/>
  <c r="L191" i="5"/>
  <c r="K191" i="5"/>
  <c r="O190" i="5"/>
  <c r="P190" i="5" s="1"/>
  <c r="K190" i="5"/>
  <c r="L190" i="5" s="1"/>
  <c r="O189" i="5"/>
  <c r="P189" i="5" s="1"/>
  <c r="K189" i="5"/>
  <c r="L189" i="5" s="1"/>
  <c r="O188" i="5"/>
  <c r="P188" i="5" s="1"/>
  <c r="K188" i="5"/>
  <c r="L188" i="5" s="1"/>
  <c r="O187" i="5"/>
  <c r="P187" i="5" s="1"/>
  <c r="K187" i="5"/>
  <c r="L187" i="5" s="1"/>
  <c r="P186" i="5"/>
  <c r="O186" i="5"/>
  <c r="L186" i="5"/>
  <c r="K186" i="5"/>
  <c r="P185" i="5"/>
  <c r="O185" i="5"/>
  <c r="L185" i="5"/>
  <c r="K185" i="5"/>
  <c r="O184" i="5"/>
  <c r="P184" i="5" s="1"/>
  <c r="Q184" i="5" s="1"/>
  <c r="R184" i="5" s="1"/>
  <c r="L184" i="5"/>
  <c r="M184" i="5" s="1"/>
  <c r="N184" i="5" s="1"/>
  <c r="S184" i="5" s="1"/>
  <c r="K184" i="5"/>
  <c r="O181" i="5"/>
  <c r="P181" i="5" s="1"/>
  <c r="K181" i="5"/>
  <c r="L181" i="5" s="1"/>
  <c r="O180" i="5"/>
  <c r="P180" i="5" s="1"/>
  <c r="K180" i="5"/>
  <c r="L180" i="5" s="1"/>
  <c r="P179" i="5"/>
  <c r="O179" i="5"/>
  <c r="K179" i="5"/>
  <c r="L179" i="5" s="1"/>
  <c r="O178" i="5"/>
  <c r="P178" i="5" s="1"/>
  <c r="K178" i="5"/>
  <c r="L178" i="5" s="1"/>
  <c r="O177" i="5"/>
  <c r="P177" i="5" s="1"/>
  <c r="K177" i="5"/>
  <c r="L177" i="5" s="1"/>
  <c r="O176" i="5"/>
  <c r="P176" i="5" s="1"/>
  <c r="L176" i="5"/>
  <c r="K176" i="5"/>
  <c r="O175" i="5"/>
  <c r="P175" i="5" s="1"/>
  <c r="K175" i="5"/>
  <c r="L175" i="5" s="1"/>
  <c r="O174" i="5"/>
  <c r="P174" i="5" s="1"/>
  <c r="K174" i="5"/>
  <c r="L174" i="5" s="1"/>
  <c r="O173" i="5"/>
  <c r="P173" i="5" s="1"/>
  <c r="K173" i="5"/>
  <c r="L173" i="5" s="1"/>
  <c r="O172" i="5"/>
  <c r="P172" i="5" s="1"/>
  <c r="L172" i="5"/>
  <c r="K172" i="5"/>
  <c r="O171" i="5"/>
  <c r="P171" i="5" s="1"/>
  <c r="K171" i="5"/>
  <c r="L171" i="5" s="1"/>
  <c r="O170" i="5"/>
  <c r="P170" i="5" s="1"/>
  <c r="K170" i="5"/>
  <c r="L170" i="5" s="1"/>
  <c r="P169" i="5"/>
  <c r="O169" i="5"/>
  <c r="K169" i="5"/>
  <c r="L169" i="5" s="1"/>
  <c r="O168" i="5"/>
  <c r="P168" i="5" s="1"/>
  <c r="K168" i="5"/>
  <c r="L168" i="5" s="1"/>
  <c r="O167" i="5"/>
  <c r="P167" i="5" s="1"/>
  <c r="K167" i="5"/>
  <c r="L167" i="5" s="1"/>
  <c r="O166" i="5"/>
  <c r="P166" i="5" s="1"/>
  <c r="K166" i="5"/>
  <c r="L166" i="5" s="1"/>
  <c r="P165" i="5"/>
  <c r="O165" i="5"/>
  <c r="K165" i="5"/>
  <c r="L165" i="5" s="1"/>
  <c r="O164" i="5"/>
  <c r="P164" i="5" s="1"/>
  <c r="K164" i="5"/>
  <c r="L164" i="5" s="1"/>
  <c r="P163" i="5"/>
  <c r="O163" i="5"/>
  <c r="K163" i="5"/>
  <c r="L163" i="5" s="1"/>
  <c r="O162" i="5"/>
  <c r="P162" i="5" s="1"/>
  <c r="K162" i="5"/>
  <c r="L162" i="5" s="1"/>
  <c r="O161" i="5"/>
  <c r="P161" i="5" s="1"/>
  <c r="L161" i="5"/>
  <c r="K161" i="5"/>
  <c r="O160" i="5"/>
  <c r="P160" i="5" s="1"/>
  <c r="L160" i="5"/>
  <c r="K160" i="5"/>
  <c r="O159" i="5"/>
  <c r="P159" i="5" s="1"/>
  <c r="L159" i="5"/>
  <c r="K159" i="5"/>
  <c r="O158" i="5"/>
  <c r="P158" i="5" s="1"/>
  <c r="L158" i="5"/>
  <c r="K158" i="5"/>
  <c r="O157" i="5"/>
  <c r="P157" i="5" s="1"/>
  <c r="L157" i="5"/>
  <c r="K157" i="5"/>
  <c r="O156" i="5"/>
  <c r="P156" i="5" s="1"/>
  <c r="L156" i="5"/>
  <c r="K156" i="5"/>
  <c r="O155" i="5"/>
  <c r="P155" i="5" s="1"/>
  <c r="L155" i="5"/>
  <c r="K155" i="5"/>
  <c r="O154" i="5"/>
  <c r="P154" i="5" s="1"/>
  <c r="L154" i="5"/>
  <c r="K154" i="5"/>
  <c r="O153" i="5"/>
  <c r="P153" i="5" s="1"/>
  <c r="Q152" i="5" s="1"/>
  <c r="R152" i="5" s="1"/>
  <c r="L153" i="5"/>
  <c r="K153" i="5"/>
  <c r="O152" i="5"/>
  <c r="P152" i="5" s="1"/>
  <c r="K152" i="5"/>
  <c r="L152" i="5" s="1"/>
  <c r="M152" i="5" s="1"/>
  <c r="N152" i="5" s="1"/>
  <c r="S152" i="5" s="1"/>
  <c r="O151" i="5"/>
  <c r="P151" i="5" s="1"/>
  <c r="K151" i="5"/>
  <c r="L151" i="5" s="1"/>
  <c r="P150" i="5"/>
  <c r="O150" i="5"/>
  <c r="K150" i="5"/>
  <c r="L150" i="5" s="1"/>
  <c r="O149" i="5"/>
  <c r="P149" i="5" s="1"/>
  <c r="K149" i="5"/>
  <c r="L149" i="5" s="1"/>
  <c r="O148" i="5"/>
  <c r="P148" i="5" s="1"/>
  <c r="Q148" i="5" s="1"/>
  <c r="R148" i="5" s="1"/>
  <c r="K148" i="5"/>
  <c r="L148" i="5" s="1"/>
  <c r="O145" i="5"/>
  <c r="P145" i="5" s="1"/>
  <c r="K145" i="5"/>
  <c r="L145" i="5" s="1"/>
  <c r="O144" i="5"/>
  <c r="P144" i="5" s="1"/>
  <c r="K144" i="5"/>
  <c r="L144" i="5" s="1"/>
  <c r="O143" i="5"/>
  <c r="P143" i="5" s="1"/>
  <c r="K143" i="5"/>
  <c r="L143" i="5" s="1"/>
  <c r="O142" i="5"/>
  <c r="P142" i="5" s="1"/>
  <c r="K142" i="5"/>
  <c r="L142" i="5" s="1"/>
  <c r="O141" i="5"/>
  <c r="P141" i="5" s="1"/>
  <c r="K141" i="5"/>
  <c r="L141" i="5" s="1"/>
  <c r="O140" i="5"/>
  <c r="P140" i="5" s="1"/>
  <c r="Q140" i="5" s="1"/>
  <c r="R140" i="5" s="1"/>
  <c r="K140" i="5"/>
  <c r="L140" i="5" s="1"/>
  <c r="O139" i="5"/>
  <c r="P139" i="5" s="1"/>
  <c r="K139" i="5"/>
  <c r="L139" i="5" s="1"/>
  <c r="O138" i="5"/>
  <c r="P138" i="5" s="1"/>
  <c r="K138" i="5"/>
  <c r="L138" i="5" s="1"/>
  <c r="O137" i="5"/>
  <c r="P137" i="5" s="1"/>
  <c r="K137" i="5"/>
  <c r="L137" i="5" s="1"/>
  <c r="O136" i="5"/>
  <c r="P136" i="5" s="1"/>
  <c r="K136" i="5"/>
  <c r="L136" i="5" s="1"/>
  <c r="O135" i="5"/>
  <c r="P135" i="5" s="1"/>
  <c r="K135" i="5"/>
  <c r="L135" i="5" s="1"/>
  <c r="P134" i="5"/>
  <c r="Q134" i="5" s="1"/>
  <c r="R134" i="5" s="1"/>
  <c r="O134" i="5"/>
  <c r="K134" i="5"/>
  <c r="L134" i="5" s="1"/>
  <c r="O133" i="5"/>
  <c r="P133" i="5" s="1"/>
  <c r="L133" i="5"/>
  <c r="K133" i="5"/>
  <c r="O132" i="5"/>
  <c r="P132" i="5" s="1"/>
  <c r="K132" i="5"/>
  <c r="L132" i="5" s="1"/>
  <c r="O131" i="5"/>
  <c r="P131" i="5" s="1"/>
  <c r="L131" i="5"/>
  <c r="K131" i="5"/>
  <c r="O130" i="5"/>
  <c r="P130" i="5" s="1"/>
  <c r="K130" i="5"/>
  <c r="L130" i="5" s="1"/>
  <c r="O129" i="5"/>
  <c r="P129" i="5" s="1"/>
  <c r="L129" i="5"/>
  <c r="K129" i="5"/>
  <c r="P128" i="5"/>
  <c r="Q128" i="5" s="1"/>
  <c r="R128" i="5" s="1"/>
  <c r="O128" i="5"/>
  <c r="K128" i="5"/>
  <c r="L128" i="5" s="1"/>
  <c r="O127" i="5"/>
  <c r="P127" i="5" s="1"/>
  <c r="K127" i="5"/>
  <c r="L127" i="5" s="1"/>
  <c r="O126" i="5"/>
  <c r="P126" i="5" s="1"/>
  <c r="K126" i="5"/>
  <c r="L126" i="5" s="1"/>
  <c r="O125" i="5"/>
  <c r="P125" i="5" s="1"/>
  <c r="K125" i="5"/>
  <c r="L125" i="5" s="1"/>
  <c r="P124" i="5"/>
  <c r="O124" i="5"/>
  <c r="K124" i="5"/>
  <c r="L124" i="5" s="1"/>
  <c r="O123" i="5"/>
  <c r="P123" i="5" s="1"/>
  <c r="K123" i="5"/>
  <c r="L123" i="5" s="1"/>
  <c r="O122" i="5"/>
  <c r="P122" i="5" s="1"/>
  <c r="L122" i="5"/>
  <c r="K122" i="5"/>
  <c r="O121" i="5"/>
  <c r="P121" i="5" s="1"/>
  <c r="L121" i="5"/>
  <c r="K121" i="5"/>
  <c r="O120" i="5"/>
  <c r="P120" i="5" s="1"/>
  <c r="L120" i="5"/>
  <c r="K120" i="5"/>
  <c r="O119" i="5"/>
  <c r="P119" i="5" s="1"/>
  <c r="L119" i="5"/>
  <c r="K119" i="5"/>
  <c r="O118" i="5"/>
  <c r="P118" i="5" s="1"/>
  <c r="L118" i="5"/>
  <c r="K118" i="5"/>
  <c r="O117" i="5"/>
  <c r="P117" i="5" s="1"/>
  <c r="L117" i="5"/>
  <c r="K117" i="5"/>
  <c r="O116" i="5"/>
  <c r="P116" i="5" s="1"/>
  <c r="K116" i="5"/>
  <c r="L116" i="5" s="1"/>
  <c r="P115" i="5"/>
  <c r="O115" i="5"/>
  <c r="K115" i="5"/>
  <c r="L115" i="5" s="1"/>
  <c r="O114" i="5"/>
  <c r="P114" i="5" s="1"/>
  <c r="K114" i="5"/>
  <c r="L114" i="5" s="1"/>
  <c r="P113" i="5"/>
  <c r="O113" i="5"/>
  <c r="K113" i="5"/>
  <c r="L113" i="5" s="1"/>
  <c r="O112" i="5"/>
  <c r="P112" i="5" s="1"/>
  <c r="K112" i="5"/>
  <c r="L112" i="5" s="1"/>
  <c r="O109" i="5"/>
  <c r="P109" i="5" s="1"/>
  <c r="K109" i="5"/>
  <c r="L109" i="5" s="1"/>
  <c r="O108" i="5"/>
  <c r="P108" i="5" s="1"/>
  <c r="K108" i="5"/>
  <c r="L108" i="5" s="1"/>
  <c r="O107" i="5"/>
  <c r="P107" i="5" s="1"/>
  <c r="K107" i="5"/>
  <c r="L107" i="5" s="1"/>
  <c r="P106" i="5"/>
  <c r="O106" i="5"/>
  <c r="K106" i="5"/>
  <c r="L106" i="5" s="1"/>
  <c r="O105" i="5"/>
  <c r="P105" i="5" s="1"/>
  <c r="K105" i="5"/>
  <c r="L105" i="5" s="1"/>
  <c r="O104" i="5"/>
  <c r="P104" i="5" s="1"/>
  <c r="K104" i="5"/>
  <c r="L104" i="5" s="1"/>
  <c r="O103" i="5"/>
  <c r="P103" i="5" s="1"/>
  <c r="K103" i="5"/>
  <c r="L103" i="5" s="1"/>
  <c r="O102" i="5"/>
  <c r="P102" i="5" s="1"/>
  <c r="K102" i="5"/>
  <c r="L102" i="5" s="1"/>
  <c r="O101" i="5"/>
  <c r="P101" i="5" s="1"/>
  <c r="L101" i="5"/>
  <c r="K101" i="5"/>
  <c r="O100" i="5"/>
  <c r="P100" i="5" s="1"/>
  <c r="K100" i="5"/>
  <c r="L100" i="5" s="1"/>
  <c r="O99" i="5"/>
  <c r="P99" i="5" s="1"/>
  <c r="K99" i="5"/>
  <c r="L99" i="5" s="1"/>
  <c r="O98" i="5"/>
  <c r="P98" i="5" s="1"/>
  <c r="K98" i="5"/>
  <c r="L98" i="5" s="1"/>
  <c r="O97" i="5"/>
  <c r="P97" i="5" s="1"/>
  <c r="K97" i="5"/>
  <c r="L97" i="5" s="1"/>
  <c r="P96" i="5"/>
  <c r="O96" i="5"/>
  <c r="K96" i="5"/>
  <c r="L96" i="5" s="1"/>
  <c r="O95" i="5"/>
  <c r="P95" i="5" s="1"/>
  <c r="K95" i="5"/>
  <c r="L95" i="5" s="1"/>
  <c r="P94" i="5"/>
  <c r="O94" i="5"/>
  <c r="K94" i="5"/>
  <c r="L94" i="5" s="1"/>
  <c r="O93" i="5"/>
  <c r="P93" i="5" s="1"/>
  <c r="K93" i="5"/>
  <c r="L93" i="5" s="1"/>
  <c r="O92" i="5"/>
  <c r="P92" i="5" s="1"/>
  <c r="K92" i="5"/>
  <c r="L92" i="5" s="1"/>
  <c r="O91" i="5"/>
  <c r="P91" i="5" s="1"/>
  <c r="K91" i="5"/>
  <c r="L91" i="5" s="1"/>
  <c r="O90" i="5"/>
  <c r="P90" i="5" s="1"/>
  <c r="K90" i="5"/>
  <c r="L90" i="5" s="1"/>
  <c r="O89" i="5"/>
  <c r="P89" i="5" s="1"/>
  <c r="L89" i="5"/>
  <c r="K89" i="5"/>
  <c r="O88" i="5"/>
  <c r="P88" i="5" s="1"/>
  <c r="K88" i="5"/>
  <c r="L88" i="5" s="1"/>
  <c r="O87" i="5"/>
  <c r="P87" i="5" s="1"/>
  <c r="K87" i="5"/>
  <c r="L87" i="5" s="1"/>
  <c r="O86" i="5"/>
  <c r="P86" i="5" s="1"/>
  <c r="K86" i="5"/>
  <c r="L86" i="5" s="1"/>
  <c r="P85" i="5"/>
  <c r="O85" i="5"/>
  <c r="K85" i="5"/>
  <c r="L85" i="5" s="1"/>
  <c r="O84" i="5"/>
  <c r="P84" i="5" s="1"/>
  <c r="K84" i="5"/>
  <c r="L84" i="5" s="1"/>
  <c r="P83" i="5"/>
  <c r="O83" i="5"/>
  <c r="K83" i="5"/>
  <c r="L83" i="5" s="1"/>
  <c r="O82" i="5"/>
  <c r="P82" i="5" s="1"/>
  <c r="K82" i="5"/>
  <c r="L82" i="5" s="1"/>
  <c r="P81" i="5"/>
  <c r="O81" i="5"/>
  <c r="K81" i="5"/>
  <c r="L81" i="5" s="1"/>
  <c r="O80" i="5"/>
  <c r="P80" i="5" s="1"/>
  <c r="L80" i="5"/>
  <c r="K80" i="5"/>
  <c r="O79" i="5"/>
  <c r="P79" i="5" s="1"/>
  <c r="L79" i="5"/>
  <c r="K79" i="5"/>
  <c r="O78" i="5"/>
  <c r="P78" i="5" s="1"/>
  <c r="L78" i="5"/>
  <c r="K78" i="5"/>
  <c r="O77" i="5"/>
  <c r="P77" i="5" s="1"/>
  <c r="L77" i="5"/>
  <c r="K77" i="5"/>
  <c r="O76" i="5"/>
  <c r="P76" i="5" s="1"/>
  <c r="K76" i="5"/>
  <c r="L76" i="5" s="1"/>
  <c r="M76" i="5" s="1"/>
  <c r="N76" i="5" s="1"/>
  <c r="S76" i="5" s="1"/>
  <c r="O73" i="5"/>
  <c r="P73" i="5" s="1"/>
  <c r="K73" i="5"/>
  <c r="L73" i="5" s="1"/>
  <c r="O72" i="5"/>
  <c r="P72" i="5" s="1"/>
  <c r="K72" i="5"/>
  <c r="L72" i="5" s="1"/>
  <c r="O71" i="5"/>
  <c r="P71" i="5" s="1"/>
  <c r="L71" i="5"/>
  <c r="K71" i="5"/>
  <c r="O70" i="5"/>
  <c r="P70" i="5" s="1"/>
  <c r="K70" i="5"/>
  <c r="L70" i="5" s="1"/>
  <c r="O69" i="5"/>
  <c r="P69" i="5" s="1"/>
  <c r="L69" i="5"/>
  <c r="K69" i="5"/>
  <c r="P68" i="5"/>
  <c r="O68" i="5"/>
  <c r="K68" i="5"/>
  <c r="L68" i="5" s="1"/>
  <c r="P67" i="5"/>
  <c r="O67" i="5"/>
  <c r="K67" i="5"/>
  <c r="L67" i="5" s="1"/>
  <c r="O66" i="5"/>
  <c r="P66" i="5" s="1"/>
  <c r="K66" i="5"/>
  <c r="L66" i="5" s="1"/>
  <c r="O65" i="5"/>
  <c r="P65" i="5" s="1"/>
  <c r="K65" i="5"/>
  <c r="L65" i="5" s="1"/>
  <c r="O64" i="5"/>
  <c r="P64" i="5" s="1"/>
  <c r="Q62" i="5" s="1"/>
  <c r="R62" i="5" s="1"/>
  <c r="K64" i="5"/>
  <c r="L64" i="5" s="1"/>
  <c r="P63" i="5"/>
  <c r="O63" i="5"/>
  <c r="K63" i="5"/>
  <c r="L63" i="5" s="1"/>
  <c r="P62" i="5"/>
  <c r="O62" i="5"/>
  <c r="L62" i="5"/>
  <c r="K62" i="5"/>
  <c r="P61" i="5"/>
  <c r="O61" i="5"/>
  <c r="L61" i="5"/>
  <c r="K61" i="5"/>
  <c r="P60" i="5"/>
  <c r="O60" i="5"/>
  <c r="L60" i="5"/>
  <c r="K60" i="5"/>
  <c r="P59" i="5"/>
  <c r="O59" i="5"/>
  <c r="L59" i="5"/>
  <c r="K59" i="5"/>
  <c r="P58" i="5"/>
  <c r="O58" i="5"/>
  <c r="L58" i="5"/>
  <c r="K58" i="5"/>
  <c r="P57" i="5"/>
  <c r="O57" i="5"/>
  <c r="L57" i="5"/>
  <c r="K57" i="5"/>
  <c r="O56" i="5"/>
  <c r="P56" i="5" s="1"/>
  <c r="L56" i="5"/>
  <c r="M56" i="5" s="1"/>
  <c r="N56" i="5" s="1"/>
  <c r="S56" i="5" s="1"/>
  <c r="K56" i="5"/>
  <c r="P55" i="5"/>
  <c r="O55" i="5"/>
  <c r="L55" i="5"/>
  <c r="K55" i="5"/>
  <c r="P54" i="5"/>
  <c r="O54" i="5"/>
  <c r="L54" i="5"/>
  <c r="K54" i="5"/>
  <c r="P53" i="5"/>
  <c r="O53" i="5"/>
  <c r="L53" i="5"/>
  <c r="K53" i="5"/>
  <c r="P52" i="5"/>
  <c r="O52" i="5"/>
  <c r="L52" i="5"/>
  <c r="K52" i="5"/>
  <c r="P51" i="5"/>
  <c r="O51" i="5"/>
  <c r="L51" i="5"/>
  <c r="K51" i="5"/>
  <c r="P50" i="5"/>
  <c r="O50" i="5"/>
  <c r="L50" i="5"/>
  <c r="M50" i="5" s="1"/>
  <c r="N50" i="5" s="1"/>
  <c r="S50" i="5" s="1"/>
  <c r="K50" i="5"/>
  <c r="P49" i="5"/>
  <c r="O49" i="5"/>
  <c r="L49" i="5"/>
  <c r="K49" i="5"/>
  <c r="P48" i="5"/>
  <c r="O48" i="5"/>
  <c r="L48" i="5"/>
  <c r="K48" i="5"/>
  <c r="P47" i="5"/>
  <c r="O47" i="5"/>
  <c r="L47" i="5"/>
  <c r="K47" i="5"/>
  <c r="P46" i="5"/>
  <c r="O46" i="5"/>
  <c r="L46" i="5"/>
  <c r="K46" i="5"/>
  <c r="P45" i="5"/>
  <c r="O45" i="5"/>
  <c r="L45" i="5"/>
  <c r="K45" i="5"/>
  <c r="O44" i="5"/>
  <c r="P44" i="5" s="1"/>
  <c r="Q44" i="5" s="1"/>
  <c r="R44" i="5" s="1"/>
  <c r="K44" i="5"/>
  <c r="L44" i="5" s="1"/>
  <c r="M44" i="5" s="1"/>
  <c r="N44" i="5" s="1"/>
  <c r="S44" i="5" s="1"/>
  <c r="O43" i="5"/>
  <c r="P43" i="5" s="1"/>
  <c r="K43" i="5"/>
  <c r="L43" i="5" s="1"/>
  <c r="P42" i="5"/>
  <c r="O42" i="5"/>
  <c r="K42" i="5"/>
  <c r="L42" i="5" s="1"/>
  <c r="O41" i="5"/>
  <c r="P41" i="5" s="1"/>
  <c r="K41" i="5"/>
  <c r="L41" i="5" s="1"/>
  <c r="O40" i="5"/>
  <c r="P40" i="5" s="1"/>
  <c r="K40" i="5"/>
  <c r="L40" i="5" s="1"/>
  <c r="M40" i="5" s="1"/>
  <c r="N40" i="5" s="1"/>
  <c r="S40" i="5" s="1"/>
  <c r="O37" i="5"/>
  <c r="P37" i="5" s="1"/>
  <c r="K37" i="5"/>
  <c r="L37" i="5" s="1"/>
  <c r="O36" i="5"/>
  <c r="P36" i="5" s="1"/>
  <c r="K36" i="5"/>
  <c r="L36" i="5" s="1"/>
  <c r="O35" i="5"/>
  <c r="P35" i="5" s="1"/>
  <c r="K35" i="5"/>
  <c r="L35" i="5" s="1"/>
  <c r="P34" i="5"/>
  <c r="O34" i="5"/>
  <c r="K34" i="5"/>
  <c r="L34" i="5" s="1"/>
  <c r="O33" i="5"/>
  <c r="P33" i="5" s="1"/>
  <c r="K33" i="5"/>
  <c r="L33" i="5" s="1"/>
  <c r="O32" i="5"/>
  <c r="P32" i="5" s="1"/>
  <c r="L32" i="5"/>
  <c r="M32" i="5" s="1"/>
  <c r="N32" i="5" s="1"/>
  <c r="S32" i="5" s="1"/>
  <c r="K32" i="5"/>
  <c r="O31" i="5"/>
  <c r="P31" i="5" s="1"/>
  <c r="K31" i="5"/>
  <c r="L31" i="5" s="1"/>
  <c r="O30" i="5"/>
  <c r="P30" i="5" s="1"/>
  <c r="K30" i="5"/>
  <c r="L30" i="5" s="1"/>
  <c r="O29" i="5"/>
  <c r="P29" i="5" s="1"/>
  <c r="K29" i="5"/>
  <c r="L29" i="5" s="1"/>
  <c r="O28" i="5"/>
  <c r="P28" i="5" s="1"/>
  <c r="L28" i="5"/>
  <c r="K28" i="5"/>
  <c r="O27" i="5"/>
  <c r="P27" i="5" s="1"/>
  <c r="Q26" i="5" s="1"/>
  <c r="R26" i="5" s="1"/>
  <c r="K27" i="5"/>
  <c r="L27" i="5" s="1"/>
  <c r="O26" i="5"/>
  <c r="P26" i="5" s="1"/>
  <c r="K26" i="5"/>
  <c r="L26" i="5" s="1"/>
  <c r="O25" i="5"/>
  <c r="P25" i="5" s="1"/>
  <c r="K25" i="5"/>
  <c r="L25" i="5" s="1"/>
  <c r="P24" i="5"/>
  <c r="O24" i="5"/>
  <c r="K24" i="5"/>
  <c r="L24" i="5" s="1"/>
  <c r="O23" i="5"/>
  <c r="P23" i="5" s="1"/>
  <c r="K23" i="5"/>
  <c r="L23" i="5" s="1"/>
  <c r="O22" i="5"/>
  <c r="P22" i="5" s="1"/>
  <c r="K22" i="5"/>
  <c r="L22" i="5" s="1"/>
  <c r="O21" i="5"/>
  <c r="P21" i="5" s="1"/>
  <c r="K21" i="5"/>
  <c r="L21" i="5" s="1"/>
  <c r="O20" i="5"/>
  <c r="P20" i="5" s="1"/>
  <c r="K20" i="5"/>
  <c r="L20" i="5" s="1"/>
  <c r="M20" i="5" s="1"/>
  <c r="N20" i="5" s="1"/>
  <c r="S20" i="5" s="1"/>
  <c r="O19" i="5"/>
  <c r="P19" i="5" s="1"/>
  <c r="L19" i="5"/>
  <c r="K19" i="5"/>
  <c r="O18" i="5"/>
  <c r="P18" i="5" s="1"/>
  <c r="L18" i="5"/>
  <c r="K18" i="5"/>
  <c r="O17" i="5"/>
  <c r="P17" i="5" s="1"/>
  <c r="K17" i="5"/>
  <c r="L17" i="5" s="1"/>
  <c r="O16" i="5"/>
  <c r="P16" i="5" s="1"/>
  <c r="K16" i="5"/>
  <c r="L16" i="5" s="1"/>
  <c r="O15" i="5"/>
  <c r="P15" i="5" s="1"/>
  <c r="L15" i="5"/>
  <c r="K15" i="5"/>
  <c r="O14" i="5"/>
  <c r="P14" i="5" s="1"/>
  <c r="K14" i="5"/>
  <c r="L14" i="5" s="1"/>
  <c r="O13" i="5"/>
  <c r="P13" i="5" s="1"/>
  <c r="K13" i="5"/>
  <c r="L13" i="5" s="1"/>
  <c r="O12" i="5"/>
  <c r="P12" i="5" s="1"/>
  <c r="K12" i="5"/>
  <c r="L12" i="5" s="1"/>
  <c r="P11" i="5"/>
  <c r="O11" i="5"/>
  <c r="K11" i="5"/>
  <c r="L11" i="5" s="1"/>
  <c r="O10" i="5"/>
  <c r="P10" i="5" s="1"/>
  <c r="K10" i="5"/>
  <c r="L10" i="5" s="1"/>
  <c r="O9" i="5"/>
  <c r="P9" i="5" s="1"/>
  <c r="K9" i="5"/>
  <c r="L9" i="5" s="1"/>
  <c r="O8" i="5"/>
  <c r="P8" i="5" s="1"/>
  <c r="K8" i="5"/>
  <c r="L8" i="5" s="1"/>
  <c r="O7" i="5"/>
  <c r="P7" i="5" s="1"/>
  <c r="K7" i="5"/>
  <c r="L7" i="5" s="1"/>
  <c r="O6" i="5"/>
  <c r="P6" i="5" s="1"/>
  <c r="L6" i="5"/>
  <c r="K6" i="5"/>
  <c r="O5" i="5"/>
  <c r="P5" i="5" s="1"/>
  <c r="K5" i="5"/>
  <c r="L5" i="5" s="1"/>
  <c r="O4" i="5"/>
  <c r="P4" i="5" s="1"/>
  <c r="Q4" i="5" s="1"/>
  <c r="R4" i="5" s="1"/>
  <c r="K4" i="5"/>
  <c r="L4" i="5" s="1"/>
  <c r="O721" i="3"/>
  <c r="P721" i="3" s="1"/>
  <c r="K721" i="3"/>
  <c r="L721" i="3" s="1"/>
  <c r="O720" i="3"/>
  <c r="P720" i="3" s="1"/>
  <c r="K720" i="3"/>
  <c r="L720" i="3" s="1"/>
  <c r="O719" i="3"/>
  <c r="P719" i="3" s="1"/>
  <c r="K719" i="3"/>
  <c r="L719" i="3" s="1"/>
  <c r="O718" i="3"/>
  <c r="P718" i="3" s="1"/>
  <c r="K718" i="3"/>
  <c r="L718" i="3" s="1"/>
  <c r="P717" i="3"/>
  <c r="O717" i="3"/>
  <c r="K717" i="3"/>
  <c r="L717" i="3" s="1"/>
  <c r="O716" i="3"/>
  <c r="P716" i="3" s="1"/>
  <c r="K716" i="3"/>
  <c r="L716" i="3" s="1"/>
  <c r="O715" i="3"/>
  <c r="P715" i="3" s="1"/>
  <c r="K715" i="3"/>
  <c r="L715" i="3" s="1"/>
  <c r="O714" i="3"/>
  <c r="P714" i="3" s="1"/>
  <c r="K714" i="3"/>
  <c r="L714" i="3" s="1"/>
  <c r="O713" i="3"/>
  <c r="P713" i="3" s="1"/>
  <c r="K713" i="3"/>
  <c r="L713" i="3" s="1"/>
  <c r="O712" i="3"/>
  <c r="P712" i="3" s="1"/>
  <c r="K712" i="3"/>
  <c r="L712" i="3" s="1"/>
  <c r="O711" i="3"/>
  <c r="P711" i="3" s="1"/>
  <c r="L711" i="3"/>
  <c r="K711" i="3"/>
  <c r="O710" i="3"/>
  <c r="P710" i="3" s="1"/>
  <c r="K710" i="3"/>
  <c r="L710" i="3" s="1"/>
  <c r="O709" i="3"/>
  <c r="P709" i="3" s="1"/>
  <c r="K709" i="3"/>
  <c r="L709" i="3" s="1"/>
  <c r="P708" i="3"/>
  <c r="O708" i="3"/>
  <c r="K708" i="3"/>
  <c r="L708" i="3" s="1"/>
  <c r="O707" i="3"/>
  <c r="P707" i="3" s="1"/>
  <c r="K707" i="3"/>
  <c r="L707" i="3" s="1"/>
  <c r="O706" i="3"/>
  <c r="P706" i="3" s="1"/>
  <c r="K706" i="3"/>
  <c r="L706" i="3" s="1"/>
  <c r="O705" i="3"/>
  <c r="P705" i="3" s="1"/>
  <c r="K705" i="3"/>
  <c r="L705" i="3" s="1"/>
  <c r="P704" i="3"/>
  <c r="O704" i="3"/>
  <c r="K704" i="3"/>
  <c r="L704" i="3" s="1"/>
  <c r="O703" i="3"/>
  <c r="P703" i="3" s="1"/>
  <c r="K703" i="3"/>
  <c r="L703" i="3" s="1"/>
  <c r="O702" i="3"/>
  <c r="P702" i="3" s="1"/>
  <c r="L702" i="3"/>
  <c r="K702" i="3"/>
  <c r="O701" i="3"/>
  <c r="P701" i="3" s="1"/>
  <c r="K701" i="3"/>
  <c r="L701" i="3" s="1"/>
  <c r="O700" i="3"/>
  <c r="P700" i="3" s="1"/>
  <c r="K700" i="3"/>
  <c r="L700" i="3" s="1"/>
  <c r="O699" i="3"/>
  <c r="P699" i="3" s="1"/>
  <c r="L699" i="3"/>
  <c r="K699" i="3"/>
  <c r="O698" i="3"/>
  <c r="P698" i="3" s="1"/>
  <c r="K698" i="3"/>
  <c r="L698" i="3" s="1"/>
  <c r="O697" i="3"/>
  <c r="P697" i="3" s="1"/>
  <c r="K697" i="3"/>
  <c r="L697" i="3" s="1"/>
  <c r="P696" i="3"/>
  <c r="O696" i="3"/>
  <c r="K696" i="3"/>
  <c r="L696" i="3" s="1"/>
  <c r="O695" i="3"/>
  <c r="P695" i="3" s="1"/>
  <c r="K695" i="3"/>
  <c r="L695" i="3" s="1"/>
  <c r="O694" i="3"/>
  <c r="P694" i="3" s="1"/>
  <c r="K694" i="3"/>
  <c r="L694" i="3" s="1"/>
  <c r="P693" i="3"/>
  <c r="O693" i="3"/>
  <c r="K693" i="3"/>
  <c r="L693" i="3" s="1"/>
  <c r="O692" i="3"/>
  <c r="P692" i="3" s="1"/>
  <c r="K692" i="3"/>
  <c r="L692" i="3" s="1"/>
  <c r="O691" i="3"/>
  <c r="P691" i="3" s="1"/>
  <c r="K691" i="3"/>
  <c r="L691" i="3" s="1"/>
  <c r="O690" i="3"/>
  <c r="P690" i="3" s="1"/>
  <c r="K690" i="3"/>
  <c r="L690" i="3" s="1"/>
  <c r="O689" i="3"/>
  <c r="P689" i="3" s="1"/>
  <c r="K689" i="3"/>
  <c r="L689" i="3" s="1"/>
  <c r="O688" i="3"/>
  <c r="P688" i="3" s="1"/>
  <c r="K688" i="3"/>
  <c r="L688" i="3" s="1"/>
  <c r="O685" i="3"/>
  <c r="P685" i="3" s="1"/>
  <c r="K685" i="3"/>
  <c r="L685" i="3" s="1"/>
  <c r="O684" i="3"/>
  <c r="P684" i="3" s="1"/>
  <c r="K684" i="3"/>
  <c r="L684" i="3" s="1"/>
  <c r="O683" i="3"/>
  <c r="P683" i="3" s="1"/>
  <c r="K683" i="3"/>
  <c r="L683" i="3" s="1"/>
  <c r="O682" i="3"/>
  <c r="P682" i="3" s="1"/>
  <c r="K682" i="3"/>
  <c r="L682" i="3" s="1"/>
  <c r="O681" i="3"/>
  <c r="P681" i="3" s="1"/>
  <c r="K681" i="3"/>
  <c r="L681" i="3" s="1"/>
  <c r="O680" i="3"/>
  <c r="P680" i="3" s="1"/>
  <c r="K680" i="3"/>
  <c r="L680" i="3" s="1"/>
  <c r="O679" i="3"/>
  <c r="P679" i="3" s="1"/>
  <c r="K679" i="3"/>
  <c r="L679" i="3" s="1"/>
  <c r="O678" i="3"/>
  <c r="P678" i="3" s="1"/>
  <c r="K678" i="3"/>
  <c r="L678" i="3" s="1"/>
  <c r="O677" i="3"/>
  <c r="P677" i="3" s="1"/>
  <c r="K677" i="3"/>
  <c r="L677" i="3" s="1"/>
  <c r="O676" i="3"/>
  <c r="P676" i="3" s="1"/>
  <c r="K676" i="3"/>
  <c r="L676" i="3" s="1"/>
  <c r="O675" i="3"/>
  <c r="P675" i="3" s="1"/>
  <c r="K675" i="3"/>
  <c r="L675" i="3" s="1"/>
  <c r="O674" i="3"/>
  <c r="P674" i="3" s="1"/>
  <c r="K674" i="3"/>
  <c r="L674" i="3" s="1"/>
  <c r="O673" i="3"/>
  <c r="P673" i="3" s="1"/>
  <c r="K673" i="3"/>
  <c r="L673" i="3" s="1"/>
  <c r="O672" i="3"/>
  <c r="P672" i="3" s="1"/>
  <c r="K672" i="3"/>
  <c r="L672" i="3" s="1"/>
  <c r="O671" i="3"/>
  <c r="P671" i="3" s="1"/>
  <c r="K671" i="3"/>
  <c r="L671" i="3" s="1"/>
  <c r="O670" i="3"/>
  <c r="P670" i="3" s="1"/>
  <c r="K670" i="3"/>
  <c r="L670" i="3" s="1"/>
  <c r="O669" i="3"/>
  <c r="P669" i="3" s="1"/>
  <c r="K669" i="3"/>
  <c r="L669" i="3" s="1"/>
  <c r="O668" i="3"/>
  <c r="P668" i="3" s="1"/>
  <c r="K668" i="3"/>
  <c r="L668" i="3" s="1"/>
  <c r="O667" i="3"/>
  <c r="P667" i="3" s="1"/>
  <c r="K667" i="3"/>
  <c r="L667" i="3" s="1"/>
  <c r="O666" i="3"/>
  <c r="P666" i="3" s="1"/>
  <c r="K666" i="3"/>
  <c r="L666" i="3" s="1"/>
  <c r="O665" i="3"/>
  <c r="P665" i="3" s="1"/>
  <c r="K665" i="3"/>
  <c r="L665" i="3" s="1"/>
  <c r="O664" i="3"/>
  <c r="P664" i="3" s="1"/>
  <c r="K664" i="3"/>
  <c r="L664" i="3" s="1"/>
  <c r="O663" i="3"/>
  <c r="P663" i="3" s="1"/>
  <c r="K663" i="3"/>
  <c r="L663" i="3" s="1"/>
  <c r="O662" i="3"/>
  <c r="P662" i="3" s="1"/>
  <c r="K662" i="3"/>
  <c r="L662" i="3" s="1"/>
  <c r="O661" i="3"/>
  <c r="P661" i="3" s="1"/>
  <c r="K661" i="3"/>
  <c r="L661" i="3" s="1"/>
  <c r="O660" i="3"/>
  <c r="P660" i="3" s="1"/>
  <c r="K660" i="3"/>
  <c r="L660" i="3" s="1"/>
  <c r="O659" i="3"/>
  <c r="P659" i="3" s="1"/>
  <c r="K659" i="3"/>
  <c r="L659" i="3" s="1"/>
  <c r="O658" i="3"/>
  <c r="P658" i="3" s="1"/>
  <c r="K658" i="3"/>
  <c r="L658" i="3" s="1"/>
  <c r="O657" i="3"/>
  <c r="P657" i="3" s="1"/>
  <c r="K657" i="3"/>
  <c r="L657" i="3" s="1"/>
  <c r="O656" i="3"/>
  <c r="P656" i="3" s="1"/>
  <c r="K656" i="3"/>
  <c r="L656" i="3" s="1"/>
  <c r="O655" i="3"/>
  <c r="P655" i="3" s="1"/>
  <c r="K655" i="3"/>
  <c r="L655" i="3" s="1"/>
  <c r="O654" i="3"/>
  <c r="P654" i="3" s="1"/>
  <c r="K654" i="3"/>
  <c r="L654" i="3" s="1"/>
  <c r="O653" i="3"/>
  <c r="P653" i="3" s="1"/>
  <c r="K653" i="3"/>
  <c r="L653" i="3" s="1"/>
  <c r="O652" i="3"/>
  <c r="P652" i="3" s="1"/>
  <c r="K652" i="3"/>
  <c r="L652" i="3" s="1"/>
  <c r="O649" i="3"/>
  <c r="P649" i="3" s="1"/>
  <c r="K649" i="3"/>
  <c r="L649" i="3" s="1"/>
  <c r="O648" i="3"/>
  <c r="P648" i="3" s="1"/>
  <c r="K648" i="3"/>
  <c r="L648" i="3" s="1"/>
  <c r="O647" i="3"/>
  <c r="P647" i="3" s="1"/>
  <c r="K647" i="3"/>
  <c r="L647" i="3" s="1"/>
  <c r="O646" i="3"/>
  <c r="P646" i="3" s="1"/>
  <c r="K646" i="3"/>
  <c r="L646" i="3" s="1"/>
  <c r="O645" i="3"/>
  <c r="P645" i="3" s="1"/>
  <c r="K645" i="3"/>
  <c r="L645" i="3" s="1"/>
  <c r="O644" i="3"/>
  <c r="P644" i="3" s="1"/>
  <c r="K644" i="3"/>
  <c r="L644" i="3" s="1"/>
  <c r="O643" i="3"/>
  <c r="P643" i="3" s="1"/>
  <c r="K643" i="3"/>
  <c r="L643" i="3" s="1"/>
  <c r="O642" i="3"/>
  <c r="P642" i="3" s="1"/>
  <c r="K642" i="3"/>
  <c r="L642" i="3" s="1"/>
  <c r="O641" i="3"/>
  <c r="P641" i="3" s="1"/>
  <c r="K641" i="3"/>
  <c r="L641" i="3" s="1"/>
  <c r="O640" i="3"/>
  <c r="P640" i="3" s="1"/>
  <c r="L640" i="3"/>
  <c r="K640" i="3"/>
  <c r="O639" i="3"/>
  <c r="P639" i="3" s="1"/>
  <c r="K639" i="3"/>
  <c r="L639" i="3" s="1"/>
  <c r="O638" i="3"/>
  <c r="P638" i="3" s="1"/>
  <c r="K638" i="3"/>
  <c r="L638" i="3" s="1"/>
  <c r="O637" i="3"/>
  <c r="P637" i="3" s="1"/>
  <c r="K637" i="3"/>
  <c r="L637" i="3" s="1"/>
  <c r="O636" i="3"/>
  <c r="P636" i="3" s="1"/>
  <c r="K636" i="3"/>
  <c r="L636" i="3" s="1"/>
  <c r="O635" i="3"/>
  <c r="P635" i="3" s="1"/>
  <c r="K635" i="3"/>
  <c r="L635" i="3" s="1"/>
  <c r="O634" i="3"/>
  <c r="P634" i="3" s="1"/>
  <c r="K634" i="3"/>
  <c r="L634" i="3" s="1"/>
  <c r="O633" i="3"/>
  <c r="P633" i="3" s="1"/>
  <c r="K633" i="3"/>
  <c r="L633" i="3" s="1"/>
  <c r="P632" i="3"/>
  <c r="O632" i="3"/>
  <c r="K632" i="3"/>
  <c r="L632" i="3" s="1"/>
  <c r="O631" i="3"/>
  <c r="P631" i="3" s="1"/>
  <c r="K631" i="3"/>
  <c r="L631" i="3" s="1"/>
  <c r="O630" i="3"/>
  <c r="P630" i="3" s="1"/>
  <c r="K630" i="3"/>
  <c r="L630" i="3" s="1"/>
  <c r="O629" i="3"/>
  <c r="P629" i="3" s="1"/>
  <c r="K629" i="3"/>
  <c r="L629" i="3" s="1"/>
  <c r="O628" i="3"/>
  <c r="P628" i="3" s="1"/>
  <c r="K628" i="3"/>
  <c r="L628" i="3" s="1"/>
  <c r="O627" i="3"/>
  <c r="P627" i="3" s="1"/>
  <c r="K627" i="3"/>
  <c r="L627" i="3" s="1"/>
  <c r="O626" i="3"/>
  <c r="P626" i="3" s="1"/>
  <c r="K626" i="3"/>
  <c r="L626" i="3" s="1"/>
  <c r="O625" i="3"/>
  <c r="P625" i="3" s="1"/>
  <c r="K625" i="3"/>
  <c r="L625" i="3" s="1"/>
  <c r="O624" i="3"/>
  <c r="P624" i="3" s="1"/>
  <c r="K624" i="3"/>
  <c r="L624" i="3" s="1"/>
  <c r="O623" i="3"/>
  <c r="P623" i="3" s="1"/>
  <c r="K623" i="3"/>
  <c r="L623" i="3" s="1"/>
  <c r="O622" i="3"/>
  <c r="P622" i="3" s="1"/>
  <c r="K622" i="3"/>
  <c r="L622" i="3" s="1"/>
  <c r="O621" i="3"/>
  <c r="P621" i="3" s="1"/>
  <c r="K621" i="3"/>
  <c r="L621" i="3" s="1"/>
  <c r="O620" i="3"/>
  <c r="P620" i="3" s="1"/>
  <c r="L620" i="3"/>
  <c r="M620" i="3" s="1"/>
  <c r="N620" i="3" s="1"/>
  <c r="S620" i="3" s="1"/>
  <c r="K620" i="3"/>
  <c r="O619" i="3"/>
  <c r="P619" i="3" s="1"/>
  <c r="K619" i="3"/>
  <c r="L619" i="3" s="1"/>
  <c r="O618" i="3"/>
  <c r="P618" i="3" s="1"/>
  <c r="K618" i="3"/>
  <c r="L618" i="3" s="1"/>
  <c r="O617" i="3"/>
  <c r="P617" i="3" s="1"/>
  <c r="K617" i="3"/>
  <c r="L617" i="3" s="1"/>
  <c r="Q616" i="3"/>
  <c r="R616" i="3" s="1"/>
  <c r="O616" i="3"/>
  <c r="P616" i="3" s="1"/>
  <c r="K616" i="3"/>
  <c r="L616" i="3" s="1"/>
  <c r="O613" i="3"/>
  <c r="P613" i="3" s="1"/>
  <c r="L613" i="3"/>
  <c r="K613" i="3"/>
  <c r="O612" i="3"/>
  <c r="P612" i="3" s="1"/>
  <c r="K612" i="3"/>
  <c r="L612" i="3" s="1"/>
  <c r="O611" i="3"/>
  <c r="P611" i="3" s="1"/>
  <c r="K611" i="3"/>
  <c r="L611" i="3" s="1"/>
  <c r="O610" i="3"/>
  <c r="P610" i="3" s="1"/>
  <c r="K610" i="3"/>
  <c r="L610" i="3" s="1"/>
  <c r="O609" i="3"/>
  <c r="P609" i="3" s="1"/>
  <c r="K609" i="3"/>
  <c r="L609" i="3" s="1"/>
  <c r="O608" i="3"/>
  <c r="P608" i="3" s="1"/>
  <c r="K608" i="3"/>
  <c r="L608" i="3" s="1"/>
  <c r="P607" i="3"/>
  <c r="O607" i="3"/>
  <c r="K607" i="3"/>
  <c r="L607" i="3" s="1"/>
  <c r="O606" i="3"/>
  <c r="P606" i="3" s="1"/>
  <c r="K606" i="3"/>
  <c r="L606" i="3" s="1"/>
  <c r="O605" i="3"/>
  <c r="P605" i="3" s="1"/>
  <c r="K605" i="3"/>
  <c r="L605" i="3" s="1"/>
  <c r="O604" i="3"/>
  <c r="P604" i="3" s="1"/>
  <c r="K604" i="3"/>
  <c r="L604" i="3" s="1"/>
  <c r="O603" i="3"/>
  <c r="P603" i="3" s="1"/>
  <c r="K603" i="3"/>
  <c r="L603" i="3" s="1"/>
  <c r="O602" i="3"/>
  <c r="P602" i="3" s="1"/>
  <c r="K602" i="3"/>
  <c r="L602" i="3" s="1"/>
  <c r="O601" i="3"/>
  <c r="P601" i="3" s="1"/>
  <c r="K601" i="3"/>
  <c r="L601" i="3" s="1"/>
  <c r="O600" i="3"/>
  <c r="P600" i="3" s="1"/>
  <c r="K600" i="3"/>
  <c r="L600" i="3" s="1"/>
  <c r="O599" i="3"/>
  <c r="P599" i="3" s="1"/>
  <c r="L599" i="3"/>
  <c r="K599" i="3"/>
  <c r="O598" i="3"/>
  <c r="P598" i="3" s="1"/>
  <c r="K598" i="3"/>
  <c r="L598" i="3" s="1"/>
  <c r="O597" i="3"/>
  <c r="P597" i="3" s="1"/>
  <c r="K597" i="3"/>
  <c r="L597" i="3" s="1"/>
  <c r="O596" i="3"/>
  <c r="P596" i="3" s="1"/>
  <c r="Q596" i="3" s="1"/>
  <c r="R596" i="3" s="1"/>
  <c r="K596" i="3"/>
  <c r="L596" i="3" s="1"/>
  <c r="O595" i="3"/>
  <c r="P595" i="3" s="1"/>
  <c r="K595" i="3"/>
  <c r="L595" i="3" s="1"/>
  <c r="O594" i="3"/>
  <c r="P594" i="3" s="1"/>
  <c r="K594" i="3"/>
  <c r="L594" i="3" s="1"/>
  <c r="P593" i="3"/>
  <c r="O593" i="3"/>
  <c r="K593" i="3"/>
  <c r="L593" i="3" s="1"/>
  <c r="O592" i="3"/>
  <c r="P592" i="3" s="1"/>
  <c r="K592" i="3"/>
  <c r="L592" i="3" s="1"/>
  <c r="O591" i="3"/>
  <c r="P591" i="3" s="1"/>
  <c r="K591" i="3"/>
  <c r="L591" i="3" s="1"/>
  <c r="O590" i="3"/>
  <c r="P590" i="3" s="1"/>
  <c r="K590" i="3"/>
  <c r="L590" i="3" s="1"/>
  <c r="O589" i="3"/>
  <c r="P589" i="3" s="1"/>
  <c r="K589" i="3"/>
  <c r="L589" i="3" s="1"/>
  <c r="O588" i="3"/>
  <c r="P588" i="3" s="1"/>
  <c r="K588" i="3"/>
  <c r="L588" i="3" s="1"/>
  <c r="P587" i="3"/>
  <c r="O587" i="3"/>
  <c r="K587" i="3"/>
  <c r="L587" i="3" s="1"/>
  <c r="O586" i="3"/>
  <c r="P586" i="3" s="1"/>
  <c r="K586" i="3"/>
  <c r="L586" i="3" s="1"/>
  <c r="O585" i="3"/>
  <c r="P585" i="3" s="1"/>
  <c r="K585" i="3"/>
  <c r="L585" i="3" s="1"/>
  <c r="O584" i="3"/>
  <c r="P584" i="3" s="1"/>
  <c r="L584" i="3"/>
  <c r="K584" i="3"/>
  <c r="O583" i="3"/>
  <c r="P583" i="3" s="1"/>
  <c r="L583" i="3"/>
  <c r="K583" i="3"/>
  <c r="O582" i="3"/>
  <c r="P582" i="3" s="1"/>
  <c r="K582" i="3"/>
  <c r="L582" i="3" s="1"/>
  <c r="O581" i="3"/>
  <c r="P581" i="3" s="1"/>
  <c r="K581" i="3"/>
  <c r="L581" i="3" s="1"/>
  <c r="O580" i="3"/>
  <c r="P580" i="3" s="1"/>
  <c r="K580" i="3"/>
  <c r="L580" i="3" s="1"/>
  <c r="O577" i="3"/>
  <c r="P577" i="3" s="1"/>
  <c r="K577" i="3"/>
  <c r="L577" i="3" s="1"/>
  <c r="O576" i="3"/>
  <c r="P576" i="3" s="1"/>
  <c r="K576" i="3"/>
  <c r="L576" i="3" s="1"/>
  <c r="O575" i="3"/>
  <c r="P575" i="3" s="1"/>
  <c r="K575" i="3"/>
  <c r="L575" i="3" s="1"/>
  <c r="O574" i="3"/>
  <c r="P574" i="3" s="1"/>
  <c r="L574" i="3"/>
  <c r="K574" i="3"/>
  <c r="O573" i="3"/>
  <c r="P573" i="3" s="1"/>
  <c r="K573" i="3"/>
  <c r="L573" i="3" s="1"/>
  <c r="O572" i="3"/>
  <c r="P572" i="3" s="1"/>
  <c r="K572" i="3"/>
  <c r="L572" i="3" s="1"/>
  <c r="O571" i="3"/>
  <c r="P571" i="3" s="1"/>
  <c r="K571" i="3"/>
  <c r="L571" i="3" s="1"/>
  <c r="O570" i="3"/>
  <c r="P570" i="3" s="1"/>
  <c r="K570" i="3"/>
  <c r="L570" i="3" s="1"/>
  <c r="O569" i="3"/>
  <c r="P569" i="3" s="1"/>
  <c r="K569" i="3"/>
  <c r="L569" i="3" s="1"/>
  <c r="O568" i="3"/>
  <c r="P568" i="3" s="1"/>
  <c r="K568" i="3"/>
  <c r="L568" i="3" s="1"/>
  <c r="O567" i="3"/>
  <c r="P567" i="3" s="1"/>
  <c r="K567" i="3"/>
  <c r="L567" i="3" s="1"/>
  <c r="O566" i="3"/>
  <c r="P566" i="3" s="1"/>
  <c r="L566" i="3"/>
  <c r="K566" i="3"/>
  <c r="O565" i="3"/>
  <c r="P565" i="3" s="1"/>
  <c r="L565" i="3"/>
  <c r="K565" i="3"/>
  <c r="O564" i="3"/>
  <c r="P564" i="3" s="1"/>
  <c r="K564" i="3"/>
  <c r="L564" i="3" s="1"/>
  <c r="O563" i="3"/>
  <c r="P563" i="3" s="1"/>
  <c r="L563" i="3"/>
  <c r="K563" i="3"/>
  <c r="O562" i="3"/>
  <c r="P562" i="3" s="1"/>
  <c r="L562" i="3"/>
  <c r="K562" i="3"/>
  <c r="O561" i="3"/>
  <c r="P561" i="3" s="1"/>
  <c r="K561" i="3"/>
  <c r="L561" i="3" s="1"/>
  <c r="O560" i="3"/>
  <c r="P560" i="3" s="1"/>
  <c r="K560" i="3"/>
  <c r="L560" i="3" s="1"/>
  <c r="P559" i="3"/>
  <c r="O559" i="3"/>
  <c r="K559" i="3"/>
  <c r="L559" i="3" s="1"/>
  <c r="O558" i="3"/>
  <c r="P558" i="3" s="1"/>
  <c r="K558" i="3"/>
  <c r="L558" i="3" s="1"/>
  <c r="P557" i="3"/>
  <c r="O557" i="3"/>
  <c r="K557" i="3"/>
  <c r="L557" i="3" s="1"/>
  <c r="P556" i="3"/>
  <c r="O556" i="3"/>
  <c r="K556" i="3"/>
  <c r="L556" i="3" s="1"/>
  <c r="O555" i="3"/>
  <c r="P555" i="3" s="1"/>
  <c r="K555" i="3"/>
  <c r="L555" i="3" s="1"/>
  <c r="O554" i="3"/>
  <c r="P554" i="3" s="1"/>
  <c r="K554" i="3"/>
  <c r="L554" i="3" s="1"/>
  <c r="O553" i="3"/>
  <c r="P553" i="3" s="1"/>
  <c r="K553" i="3"/>
  <c r="L553" i="3" s="1"/>
  <c r="O552" i="3"/>
  <c r="P552" i="3" s="1"/>
  <c r="L552" i="3"/>
  <c r="K552" i="3"/>
  <c r="O551" i="3"/>
  <c r="P551" i="3" s="1"/>
  <c r="K551" i="3"/>
  <c r="L551" i="3" s="1"/>
  <c r="O550" i="3"/>
  <c r="P550" i="3" s="1"/>
  <c r="K550" i="3"/>
  <c r="L550" i="3" s="1"/>
  <c r="O549" i="3"/>
  <c r="P549" i="3" s="1"/>
  <c r="L549" i="3"/>
  <c r="K549" i="3"/>
  <c r="O548" i="3"/>
  <c r="P548" i="3" s="1"/>
  <c r="K548" i="3"/>
  <c r="L548" i="3" s="1"/>
  <c r="O547" i="3"/>
  <c r="P547" i="3" s="1"/>
  <c r="K547" i="3"/>
  <c r="L547" i="3" s="1"/>
  <c r="O546" i="3"/>
  <c r="P546" i="3" s="1"/>
  <c r="K546" i="3"/>
  <c r="L546" i="3" s="1"/>
  <c r="O545" i="3"/>
  <c r="P545" i="3" s="1"/>
  <c r="K545" i="3"/>
  <c r="L545" i="3" s="1"/>
  <c r="O544" i="3"/>
  <c r="P544" i="3" s="1"/>
  <c r="K544" i="3"/>
  <c r="L544" i="3" s="1"/>
  <c r="O541" i="3"/>
  <c r="P541" i="3" s="1"/>
  <c r="K541" i="3"/>
  <c r="L541" i="3" s="1"/>
  <c r="P540" i="3"/>
  <c r="O540" i="3"/>
  <c r="K540" i="3"/>
  <c r="L540" i="3" s="1"/>
  <c r="O539" i="3"/>
  <c r="P539" i="3" s="1"/>
  <c r="K539" i="3"/>
  <c r="L539" i="3" s="1"/>
  <c r="O538" i="3"/>
  <c r="P538" i="3" s="1"/>
  <c r="K538" i="3"/>
  <c r="L538" i="3" s="1"/>
  <c r="P537" i="3"/>
  <c r="O537" i="3"/>
  <c r="K537" i="3"/>
  <c r="L537" i="3" s="1"/>
  <c r="O536" i="3"/>
  <c r="P536" i="3" s="1"/>
  <c r="K536" i="3"/>
  <c r="L536" i="3" s="1"/>
  <c r="O535" i="3"/>
  <c r="P535" i="3" s="1"/>
  <c r="K535" i="3"/>
  <c r="L535" i="3" s="1"/>
  <c r="O534" i="3"/>
  <c r="P534" i="3" s="1"/>
  <c r="K534" i="3"/>
  <c r="L534" i="3" s="1"/>
  <c r="P533" i="3"/>
  <c r="O533" i="3"/>
  <c r="K533" i="3"/>
  <c r="L533" i="3" s="1"/>
  <c r="O532" i="3"/>
  <c r="P532" i="3" s="1"/>
  <c r="K532" i="3"/>
  <c r="L532" i="3" s="1"/>
  <c r="O531" i="3"/>
  <c r="P531" i="3" s="1"/>
  <c r="K531" i="3"/>
  <c r="L531" i="3" s="1"/>
  <c r="O530" i="3"/>
  <c r="P530" i="3" s="1"/>
  <c r="K530" i="3"/>
  <c r="L530" i="3" s="1"/>
  <c r="O529" i="3"/>
  <c r="P529" i="3" s="1"/>
  <c r="K529" i="3"/>
  <c r="L529" i="3" s="1"/>
  <c r="O528" i="3"/>
  <c r="P528" i="3" s="1"/>
  <c r="K528" i="3"/>
  <c r="L528" i="3" s="1"/>
  <c r="P527" i="3"/>
  <c r="O527" i="3"/>
  <c r="K527" i="3"/>
  <c r="L527" i="3" s="1"/>
  <c r="O526" i="3"/>
  <c r="P526" i="3" s="1"/>
  <c r="K526" i="3"/>
  <c r="L526" i="3" s="1"/>
  <c r="O525" i="3"/>
  <c r="P525" i="3" s="1"/>
  <c r="K525" i="3"/>
  <c r="L525" i="3" s="1"/>
  <c r="P524" i="3"/>
  <c r="O524" i="3"/>
  <c r="K524" i="3"/>
  <c r="L524" i="3" s="1"/>
  <c r="O523" i="3"/>
  <c r="P523" i="3" s="1"/>
  <c r="K523" i="3"/>
  <c r="L523" i="3" s="1"/>
  <c r="O522" i="3"/>
  <c r="P522" i="3" s="1"/>
  <c r="K522" i="3"/>
  <c r="L522" i="3" s="1"/>
  <c r="O521" i="3"/>
  <c r="P521" i="3" s="1"/>
  <c r="K521" i="3"/>
  <c r="L521" i="3" s="1"/>
  <c r="O520" i="3"/>
  <c r="P520" i="3" s="1"/>
  <c r="K520" i="3"/>
  <c r="L520" i="3" s="1"/>
  <c r="O519" i="3"/>
  <c r="P519" i="3" s="1"/>
  <c r="K519" i="3"/>
  <c r="L519" i="3" s="1"/>
  <c r="O518" i="3"/>
  <c r="P518" i="3" s="1"/>
  <c r="K518" i="3"/>
  <c r="L518" i="3" s="1"/>
  <c r="P517" i="3"/>
  <c r="O517" i="3"/>
  <c r="K517" i="3"/>
  <c r="L517" i="3" s="1"/>
  <c r="O516" i="3"/>
  <c r="P516" i="3" s="1"/>
  <c r="K516" i="3"/>
  <c r="L516" i="3" s="1"/>
  <c r="O515" i="3"/>
  <c r="P515" i="3" s="1"/>
  <c r="K515" i="3"/>
  <c r="L515" i="3" s="1"/>
  <c r="P514" i="3"/>
  <c r="O514" i="3"/>
  <c r="K514" i="3"/>
  <c r="L514" i="3" s="1"/>
  <c r="O513" i="3"/>
  <c r="P513" i="3" s="1"/>
  <c r="K513" i="3"/>
  <c r="L513" i="3" s="1"/>
  <c r="O512" i="3"/>
  <c r="P512" i="3" s="1"/>
  <c r="K512" i="3"/>
  <c r="L512" i="3" s="1"/>
  <c r="O511" i="3"/>
  <c r="P511" i="3" s="1"/>
  <c r="K511" i="3"/>
  <c r="L511" i="3" s="1"/>
  <c r="O510" i="3"/>
  <c r="P510" i="3" s="1"/>
  <c r="K510" i="3"/>
  <c r="L510" i="3" s="1"/>
  <c r="O509" i="3"/>
  <c r="P509" i="3" s="1"/>
  <c r="K509" i="3"/>
  <c r="L509" i="3" s="1"/>
  <c r="O508" i="3"/>
  <c r="P508" i="3" s="1"/>
  <c r="K508" i="3"/>
  <c r="L508" i="3" s="1"/>
  <c r="O505" i="3"/>
  <c r="P505" i="3" s="1"/>
  <c r="K505" i="3"/>
  <c r="L505" i="3" s="1"/>
  <c r="O504" i="3"/>
  <c r="P504" i="3" s="1"/>
  <c r="K504" i="3"/>
  <c r="L504" i="3" s="1"/>
  <c r="O503" i="3"/>
  <c r="P503" i="3" s="1"/>
  <c r="K503" i="3"/>
  <c r="L503" i="3" s="1"/>
  <c r="O502" i="3"/>
  <c r="P502" i="3" s="1"/>
  <c r="K502" i="3"/>
  <c r="L502" i="3" s="1"/>
  <c r="O501" i="3"/>
  <c r="P501" i="3" s="1"/>
  <c r="K501" i="3"/>
  <c r="L501" i="3" s="1"/>
  <c r="O500" i="3"/>
  <c r="P500" i="3" s="1"/>
  <c r="K500" i="3"/>
  <c r="L500" i="3" s="1"/>
  <c r="O499" i="3"/>
  <c r="P499" i="3" s="1"/>
  <c r="K499" i="3"/>
  <c r="L499" i="3" s="1"/>
  <c r="O498" i="3"/>
  <c r="P498" i="3" s="1"/>
  <c r="K498" i="3"/>
  <c r="L498" i="3" s="1"/>
  <c r="O497" i="3"/>
  <c r="P497" i="3" s="1"/>
  <c r="K497" i="3"/>
  <c r="L497" i="3" s="1"/>
  <c r="O496" i="3"/>
  <c r="P496" i="3" s="1"/>
  <c r="K496" i="3"/>
  <c r="L496" i="3" s="1"/>
  <c r="P495" i="3"/>
  <c r="O495" i="3"/>
  <c r="K495" i="3"/>
  <c r="L495" i="3" s="1"/>
  <c r="O494" i="3"/>
  <c r="P494" i="3" s="1"/>
  <c r="K494" i="3"/>
  <c r="L494" i="3" s="1"/>
  <c r="O493" i="3"/>
  <c r="P493" i="3" s="1"/>
  <c r="K493" i="3"/>
  <c r="L493" i="3" s="1"/>
  <c r="O492" i="3"/>
  <c r="P492" i="3" s="1"/>
  <c r="L492" i="3"/>
  <c r="K492" i="3"/>
  <c r="O491" i="3"/>
  <c r="P491" i="3" s="1"/>
  <c r="K491" i="3"/>
  <c r="L491" i="3" s="1"/>
  <c r="O490" i="3"/>
  <c r="P490" i="3" s="1"/>
  <c r="L490" i="3"/>
  <c r="K490" i="3"/>
  <c r="O489" i="3"/>
  <c r="P489" i="3" s="1"/>
  <c r="K489" i="3"/>
  <c r="L489" i="3" s="1"/>
  <c r="P488" i="3"/>
  <c r="O488" i="3"/>
  <c r="K488" i="3"/>
  <c r="L488" i="3" s="1"/>
  <c r="P487" i="3"/>
  <c r="O487" i="3"/>
  <c r="K487" i="3"/>
  <c r="L487" i="3" s="1"/>
  <c r="O486" i="3"/>
  <c r="P486" i="3" s="1"/>
  <c r="K486" i="3"/>
  <c r="L486" i="3" s="1"/>
  <c r="P485" i="3"/>
  <c r="O485" i="3"/>
  <c r="K485" i="3"/>
  <c r="L485" i="3" s="1"/>
  <c r="P484" i="3"/>
  <c r="O484" i="3"/>
  <c r="K484" i="3"/>
  <c r="L484" i="3" s="1"/>
  <c r="P483" i="3"/>
  <c r="O483" i="3"/>
  <c r="K483" i="3"/>
  <c r="L483" i="3" s="1"/>
  <c r="P482" i="3"/>
  <c r="Q482" i="3" s="1"/>
  <c r="R482" i="3" s="1"/>
  <c r="O482" i="3"/>
  <c r="K482" i="3"/>
  <c r="L482" i="3" s="1"/>
  <c r="O481" i="3"/>
  <c r="P481" i="3" s="1"/>
  <c r="K481" i="3"/>
  <c r="L481" i="3" s="1"/>
  <c r="P480" i="3"/>
  <c r="O480" i="3"/>
  <c r="K480" i="3"/>
  <c r="L480" i="3" s="1"/>
  <c r="P479" i="3"/>
  <c r="O479" i="3"/>
  <c r="K479" i="3"/>
  <c r="L479" i="3" s="1"/>
  <c r="P478" i="3"/>
  <c r="O478" i="3"/>
  <c r="K478" i="3"/>
  <c r="L478" i="3" s="1"/>
  <c r="O477" i="3"/>
  <c r="P477" i="3" s="1"/>
  <c r="K477" i="3"/>
  <c r="L477" i="3" s="1"/>
  <c r="O476" i="3"/>
  <c r="P476" i="3" s="1"/>
  <c r="K476" i="3"/>
  <c r="L476" i="3" s="1"/>
  <c r="P475" i="3"/>
  <c r="O475" i="3"/>
  <c r="L475" i="3"/>
  <c r="K475" i="3"/>
  <c r="P474" i="3"/>
  <c r="O474" i="3"/>
  <c r="L474" i="3"/>
  <c r="K474" i="3"/>
  <c r="P473" i="3"/>
  <c r="O473" i="3"/>
  <c r="L473" i="3"/>
  <c r="K473" i="3"/>
  <c r="Q472" i="3"/>
  <c r="R472" i="3" s="1"/>
  <c r="P472" i="3"/>
  <c r="O472" i="3"/>
  <c r="K472" i="3"/>
  <c r="L472" i="3" s="1"/>
  <c r="O469" i="3"/>
  <c r="P469" i="3" s="1"/>
  <c r="K469" i="3"/>
  <c r="L469" i="3" s="1"/>
  <c r="O468" i="3"/>
  <c r="P468" i="3" s="1"/>
  <c r="K468" i="3"/>
  <c r="L468" i="3" s="1"/>
  <c r="O467" i="3"/>
  <c r="P467" i="3" s="1"/>
  <c r="K467" i="3"/>
  <c r="L467" i="3" s="1"/>
  <c r="P466" i="3"/>
  <c r="O466" i="3"/>
  <c r="K466" i="3"/>
  <c r="L466" i="3" s="1"/>
  <c r="O465" i="3"/>
  <c r="P465" i="3" s="1"/>
  <c r="K465" i="3"/>
  <c r="L465" i="3" s="1"/>
  <c r="O464" i="3"/>
  <c r="P464" i="3" s="1"/>
  <c r="L464" i="3"/>
  <c r="K464" i="3"/>
  <c r="O463" i="3"/>
  <c r="P463" i="3" s="1"/>
  <c r="L463" i="3"/>
  <c r="K463" i="3"/>
  <c r="O462" i="3"/>
  <c r="P462" i="3" s="1"/>
  <c r="L462" i="3"/>
  <c r="K462" i="3"/>
  <c r="O461" i="3"/>
  <c r="P461" i="3" s="1"/>
  <c r="L461" i="3"/>
  <c r="K461" i="3"/>
  <c r="O460" i="3"/>
  <c r="P460" i="3" s="1"/>
  <c r="L460" i="3"/>
  <c r="K460" i="3"/>
  <c r="O459" i="3"/>
  <c r="P459" i="3" s="1"/>
  <c r="L459" i="3"/>
  <c r="K459" i="3"/>
  <c r="O458" i="3"/>
  <c r="P458" i="3" s="1"/>
  <c r="K458" i="3"/>
  <c r="L458" i="3" s="1"/>
  <c r="O457" i="3"/>
  <c r="P457" i="3" s="1"/>
  <c r="K457" i="3"/>
  <c r="L457" i="3" s="1"/>
  <c r="P456" i="3"/>
  <c r="O456" i="3"/>
  <c r="K456" i="3"/>
  <c r="L456" i="3" s="1"/>
  <c r="P455" i="3"/>
  <c r="O455" i="3"/>
  <c r="K455" i="3"/>
  <c r="L455" i="3" s="1"/>
  <c r="O454" i="3"/>
  <c r="P454" i="3" s="1"/>
  <c r="K454" i="3"/>
  <c r="L454" i="3" s="1"/>
  <c r="O453" i="3"/>
  <c r="P453" i="3" s="1"/>
  <c r="K453" i="3"/>
  <c r="L453" i="3" s="1"/>
  <c r="O452" i="3"/>
  <c r="P452" i="3" s="1"/>
  <c r="Q452" i="3" s="1"/>
  <c r="R452" i="3" s="1"/>
  <c r="K452" i="3"/>
  <c r="L452" i="3" s="1"/>
  <c r="O451" i="3"/>
  <c r="P451" i="3" s="1"/>
  <c r="K451" i="3"/>
  <c r="L451" i="3" s="1"/>
  <c r="O450" i="3"/>
  <c r="P450" i="3" s="1"/>
  <c r="K450" i="3"/>
  <c r="L450" i="3" s="1"/>
  <c r="O449" i="3"/>
  <c r="P449" i="3" s="1"/>
  <c r="K449" i="3"/>
  <c r="L449" i="3" s="1"/>
  <c r="O448" i="3"/>
  <c r="P448" i="3" s="1"/>
  <c r="L448" i="3"/>
  <c r="K448" i="3"/>
  <c r="O447" i="3"/>
  <c r="P447" i="3" s="1"/>
  <c r="K447" i="3"/>
  <c r="L447" i="3" s="1"/>
  <c r="P446" i="3"/>
  <c r="O446" i="3"/>
  <c r="K446" i="3"/>
  <c r="L446" i="3" s="1"/>
  <c r="O445" i="3"/>
  <c r="P445" i="3" s="1"/>
  <c r="K445" i="3"/>
  <c r="L445" i="3" s="1"/>
  <c r="O444" i="3"/>
  <c r="P444" i="3" s="1"/>
  <c r="K444" i="3"/>
  <c r="L444" i="3" s="1"/>
  <c r="P443" i="3"/>
  <c r="O443" i="3"/>
  <c r="K443" i="3"/>
  <c r="L443" i="3" s="1"/>
  <c r="O442" i="3"/>
  <c r="P442" i="3" s="1"/>
  <c r="K442" i="3"/>
  <c r="L442" i="3" s="1"/>
  <c r="O441" i="3"/>
  <c r="P441" i="3" s="1"/>
  <c r="K441" i="3"/>
  <c r="L441" i="3" s="1"/>
  <c r="P440" i="3"/>
  <c r="O440" i="3"/>
  <c r="K440" i="3"/>
  <c r="L440" i="3" s="1"/>
  <c r="P439" i="3"/>
  <c r="O439" i="3"/>
  <c r="K439" i="3"/>
  <c r="L439" i="3" s="1"/>
  <c r="O438" i="3"/>
  <c r="P438" i="3" s="1"/>
  <c r="K438" i="3"/>
  <c r="L438" i="3" s="1"/>
  <c r="O437" i="3"/>
  <c r="P437" i="3" s="1"/>
  <c r="K437" i="3"/>
  <c r="L437" i="3" s="1"/>
  <c r="O436" i="3"/>
  <c r="P436" i="3" s="1"/>
  <c r="K436" i="3"/>
  <c r="L436" i="3" s="1"/>
  <c r="O433" i="3"/>
  <c r="P433" i="3" s="1"/>
  <c r="K433" i="3"/>
  <c r="L433" i="3" s="1"/>
  <c r="O432" i="3"/>
  <c r="P432" i="3" s="1"/>
  <c r="K432" i="3"/>
  <c r="L432" i="3" s="1"/>
  <c r="O431" i="3"/>
  <c r="P431" i="3" s="1"/>
  <c r="K431" i="3"/>
  <c r="L431" i="3" s="1"/>
  <c r="O430" i="3"/>
  <c r="P430" i="3" s="1"/>
  <c r="K430" i="3"/>
  <c r="L430" i="3" s="1"/>
  <c r="O429" i="3"/>
  <c r="P429" i="3" s="1"/>
  <c r="K429" i="3"/>
  <c r="L429" i="3" s="1"/>
  <c r="O428" i="3"/>
  <c r="P428" i="3" s="1"/>
  <c r="K428" i="3"/>
  <c r="L428" i="3" s="1"/>
  <c r="O427" i="3"/>
  <c r="P427" i="3" s="1"/>
  <c r="K427" i="3"/>
  <c r="L427" i="3" s="1"/>
  <c r="O426" i="3"/>
  <c r="P426" i="3" s="1"/>
  <c r="K426" i="3"/>
  <c r="L426" i="3" s="1"/>
  <c r="O425" i="3"/>
  <c r="P425" i="3" s="1"/>
  <c r="K425" i="3"/>
  <c r="L425" i="3" s="1"/>
  <c r="O424" i="3"/>
  <c r="P424" i="3" s="1"/>
  <c r="K424" i="3"/>
  <c r="L424" i="3" s="1"/>
  <c r="O423" i="3"/>
  <c r="P423" i="3" s="1"/>
  <c r="Q422" i="3" s="1"/>
  <c r="R422" i="3" s="1"/>
  <c r="K423" i="3"/>
  <c r="L423" i="3" s="1"/>
  <c r="M422" i="3" s="1"/>
  <c r="N422" i="3" s="1"/>
  <c r="S422" i="3" s="1"/>
  <c r="O422" i="3"/>
  <c r="P422" i="3" s="1"/>
  <c r="K422" i="3"/>
  <c r="L422" i="3" s="1"/>
  <c r="O421" i="3"/>
  <c r="P421" i="3" s="1"/>
  <c r="K421" i="3"/>
  <c r="L421" i="3" s="1"/>
  <c r="O420" i="3"/>
  <c r="P420" i="3" s="1"/>
  <c r="K420" i="3"/>
  <c r="L420" i="3" s="1"/>
  <c r="O419" i="3"/>
  <c r="P419" i="3" s="1"/>
  <c r="K419" i="3"/>
  <c r="L419" i="3" s="1"/>
  <c r="O418" i="3"/>
  <c r="P418" i="3" s="1"/>
  <c r="K418" i="3"/>
  <c r="L418" i="3" s="1"/>
  <c r="O417" i="3"/>
  <c r="P417" i="3" s="1"/>
  <c r="K417" i="3"/>
  <c r="L417" i="3" s="1"/>
  <c r="O416" i="3"/>
  <c r="P416" i="3" s="1"/>
  <c r="K416" i="3"/>
  <c r="L416" i="3" s="1"/>
  <c r="M416" i="3" s="1"/>
  <c r="N416" i="3" s="1"/>
  <c r="S416" i="3" s="1"/>
  <c r="O415" i="3"/>
  <c r="P415" i="3" s="1"/>
  <c r="K415" i="3"/>
  <c r="L415" i="3" s="1"/>
  <c r="O414" i="3"/>
  <c r="P414" i="3" s="1"/>
  <c r="K414" i="3"/>
  <c r="L414" i="3" s="1"/>
  <c r="O413" i="3"/>
  <c r="P413" i="3" s="1"/>
  <c r="K413" i="3"/>
  <c r="L413" i="3" s="1"/>
  <c r="O412" i="3"/>
  <c r="P412" i="3" s="1"/>
  <c r="K412" i="3"/>
  <c r="L412" i="3" s="1"/>
  <c r="O411" i="3"/>
  <c r="P411" i="3" s="1"/>
  <c r="K411" i="3"/>
  <c r="L411" i="3" s="1"/>
  <c r="O410" i="3"/>
  <c r="P410" i="3" s="1"/>
  <c r="K410" i="3"/>
  <c r="L410" i="3" s="1"/>
  <c r="M410" i="3" s="1"/>
  <c r="N410" i="3" s="1"/>
  <c r="S410" i="3" s="1"/>
  <c r="O409" i="3"/>
  <c r="P409" i="3" s="1"/>
  <c r="K409" i="3"/>
  <c r="L409" i="3" s="1"/>
  <c r="O408" i="3"/>
  <c r="P408" i="3" s="1"/>
  <c r="K408" i="3"/>
  <c r="L408" i="3" s="1"/>
  <c r="O407" i="3"/>
  <c r="P407" i="3" s="1"/>
  <c r="K407" i="3"/>
  <c r="L407" i="3" s="1"/>
  <c r="O406" i="3"/>
  <c r="P406" i="3" s="1"/>
  <c r="K406" i="3"/>
  <c r="L406" i="3" s="1"/>
  <c r="O405" i="3"/>
  <c r="P405" i="3" s="1"/>
  <c r="K405" i="3"/>
  <c r="L405" i="3" s="1"/>
  <c r="O404" i="3"/>
  <c r="P404" i="3" s="1"/>
  <c r="Q404" i="3" s="1"/>
  <c r="R404" i="3" s="1"/>
  <c r="K404" i="3"/>
  <c r="L404" i="3" s="1"/>
  <c r="O403" i="3"/>
  <c r="P403" i="3" s="1"/>
  <c r="K403" i="3"/>
  <c r="L403" i="3" s="1"/>
  <c r="O402" i="3"/>
  <c r="P402" i="3" s="1"/>
  <c r="K402" i="3"/>
  <c r="L402" i="3" s="1"/>
  <c r="O401" i="3"/>
  <c r="P401" i="3" s="1"/>
  <c r="K401" i="3"/>
  <c r="L401" i="3" s="1"/>
  <c r="O400" i="3"/>
  <c r="P400" i="3" s="1"/>
  <c r="M400" i="3"/>
  <c r="N400" i="3" s="1"/>
  <c r="S400" i="3" s="1"/>
  <c r="K400" i="3"/>
  <c r="L400" i="3" s="1"/>
  <c r="O397" i="3"/>
  <c r="P397" i="3" s="1"/>
  <c r="K397" i="3"/>
  <c r="L397" i="3" s="1"/>
  <c r="O396" i="3"/>
  <c r="P396" i="3" s="1"/>
  <c r="K396" i="3"/>
  <c r="L396" i="3" s="1"/>
  <c r="O395" i="3"/>
  <c r="P395" i="3" s="1"/>
  <c r="K395" i="3"/>
  <c r="L395" i="3" s="1"/>
  <c r="O394" i="3"/>
  <c r="P394" i="3" s="1"/>
  <c r="K394" i="3"/>
  <c r="L394" i="3" s="1"/>
  <c r="O393" i="3"/>
  <c r="P393" i="3" s="1"/>
  <c r="K393" i="3"/>
  <c r="L393" i="3" s="1"/>
  <c r="O392" i="3"/>
  <c r="P392" i="3" s="1"/>
  <c r="Q392" i="3" s="1"/>
  <c r="R392" i="3" s="1"/>
  <c r="K392" i="3"/>
  <c r="L392" i="3" s="1"/>
  <c r="O391" i="3"/>
  <c r="P391" i="3" s="1"/>
  <c r="K391" i="3"/>
  <c r="L391" i="3" s="1"/>
  <c r="O390" i="3"/>
  <c r="P390" i="3" s="1"/>
  <c r="K390" i="3"/>
  <c r="L390" i="3" s="1"/>
  <c r="O389" i="3"/>
  <c r="P389" i="3" s="1"/>
  <c r="K389" i="3"/>
  <c r="L389" i="3" s="1"/>
  <c r="O388" i="3"/>
  <c r="P388" i="3" s="1"/>
  <c r="K388" i="3"/>
  <c r="L388" i="3" s="1"/>
  <c r="O387" i="3"/>
  <c r="P387" i="3" s="1"/>
  <c r="K387" i="3"/>
  <c r="L387" i="3" s="1"/>
  <c r="O386" i="3"/>
  <c r="P386" i="3" s="1"/>
  <c r="Q386" i="3" s="1"/>
  <c r="R386" i="3" s="1"/>
  <c r="K386" i="3"/>
  <c r="L386" i="3" s="1"/>
  <c r="O385" i="3"/>
  <c r="P385" i="3" s="1"/>
  <c r="K385" i="3"/>
  <c r="L385" i="3" s="1"/>
  <c r="P384" i="3"/>
  <c r="O384" i="3"/>
  <c r="K384" i="3"/>
  <c r="L384" i="3" s="1"/>
  <c r="P383" i="3"/>
  <c r="O383" i="3"/>
  <c r="K383" i="3"/>
  <c r="L383" i="3" s="1"/>
  <c r="O382" i="3"/>
  <c r="P382" i="3" s="1"/>
  <c r="K382" i="3"/>
  <c r="L382" i="3" s="1"/>
  <c r="O381" i="3"/>
  <c r="P381" i="3" s="1"/>
  <c r="K381" i="3"/>
  <c r="L381" i="3" s="1"/>
  <c r="O380" i="3"/>
  <c r="P380" i="3" s="1"/>
  <c r="L380" i="3"/>
  <c r="M380" i="3" s="1"/>
  <c r="N380" i="3" s="1"/>
  <c r="S380" i="3" s="1"/>
  <c r="K380" i="3"/>
  <c r="O379" i="3"/>
  <c r="P379" i="3" s="1"/>
  <c r="K379" i="3"/>
  <c r="L379" i="3" s="1"/>
  <c r="O378" i="3"/>
  <c r="P378" i="3" s="1"/>
  <c r="L378" i="3"/>
  <c r="K378" i="3"/>
  <c r="O377" i="3"/>
  <c r="P377" i="3" s="1"/>
  <c r="K377" i="3"/>
  <c r="L377" i="3" s="1"/>
  <c r="O376" i="3"/>
  <c r="P376" i="3" s="1"/>
  <c r="K376" i="3"/>
  <c r="L376" i="3" s="1"/>
  <c r="O375" i="3"/>
  <c r="P375" i="3" s="1"/>
  <c r="L375" i="3"/>
  <c r="K375" i="3"/>
  <c r="O374" i="3"/>
  <c r="P374" i="3" s="1"/>
  <c r="K374" i="3"/>
  <c r="L374" i="3" s="1"/>
  <c r="P373" i="3"/>
  <c r="O373" i="3"/>
  <c r="K373" i="3"/>
  <c r="L373" i="3" s="1"/>
  <c r="O372" i="3"/>
  <c r="P372" i="3" s="1"/>
  <c r="K372" i="3"/>
  <c r="L372" i="3" s="1"/>
  <c r="O371" i="3"/>
  <c r="P371" i="3" s="1"/>
  <c r="K371" i="3"/>
  <c r="L371" i="3" s="1"/>
  <c r="P370" i="3"/>
  <c r="O370" i="3"/>
  <c r="K370" i="3"/>
  <c r="L370" i="3" s="1"/>
  <c r="O369" i="3"/>
  <c r="P369" i="3" s="1"/>
  <c r="K369" i="3"/>
  <c r="L369" i="3" s="1"/>
  <c r="O368" i="3"/>
  <c r="P368" i="3" s="1"/>
  <c r="K368" i="3"/>
  <c r="L368" i="3" s="1"/>
  <c r="O367" i="3"/>
  <c r="P367" i="3" s="1"/>
  <c r="K367" i="3"/>
  <c r="L367" i="3" s="1"/>
  <c r="O366" i="3"/>
  <c r="P366" i="3" s="1"/>
  <c r="K366" i="3"/>
  <c r="L366" i="3" s="1"/>
  <c r="O365" i="3"/>
  <c r="P365" i="3" s="1"/>
  <c r="K365" i="3"/>
  <c r="L365" i="3" s="1"/>
  <c r="O364" i="3"/>
  <c r="P364" i="3" s="1"/>
  <c r="Q364" i="3" s="1"/>
  <c r="R364" i="3" s="1"/>
  <c r="K364" i="3"/>
  <c r="L364" i="3" s="1"/>
  <c r="O361" i="3"/>
  <c r="P361" i="3" s="1"/>
  <c r="K361" i="3"/>
  <c r="L361" i="3" s="1"/>
  <c r="O360" i="3"/>
  <c r="P360" i="3" s="1"/>
  <c r="K360" i="3"/>
  <c r="L360" i="3" s="1"/>
  <c r="O359" i="3"/>
  <c r="P359" i="3" s="1"/>
  <c r="K359" i="3"/>
  <c r="L359" i="3" s="1"/>
  <c r="P358" i="3"/>
  <c r="O358" i="3"/>
  <c r="K358" i="3"/>
  <c r="L358" i="3" s="1"/>
  <c r="O357" i="3"/>
  <c r="P357" i="3" s="1"/>
  <c r="K357" i="3"/>
  <c r="L357" i="3" s="1"/>
  <c r="O356" i="3"/>
  <c r="P356" i="3" s="1"/>
  <c r="K356" i="3"/>
  <c r="L356" i="3" s="1"/>
  <c r="O355" i="3"/>
  <c r="P355" i="3" s="1"/>
  <c r="K355" i="3"/>
  <c r="L355" i="3" s="1"/>
  <c r="P354" i="3"/>
  <c r="O354" i="3"/>
  <c r="K354" i="3"/>
  <c r="L354" i="3" s="1"/>
  <c r="O353" i="3"/>
  <c r="P353" i="3" s="1"/>
  <c r="L353" i="3"/>
  <c r="K353" i="3"/>
  <c r="O352" i="3"/>
  <c r="P352" i="3" s="1"/>
  <c r="L352" i="3"/>
  <c r="K352" i="3"/>
  <c r="O351" i="3"/>
  <c r="P351" i="3" s="1"/>
  <c r="L351" i="3"/>
  <c r="K351" i="3"/>
  <c r="O350" i="3"/>
  <c r="P350" i="3" s="1"/>
  <c r="L350" i="3"/>
  <c r="K350" i="3"/>
  <c r="O349" i="3"/>
  <c r="P349" i="3" s="1"/>
  <c r="L349" i="3"/>
  <c r="K349" i="3"/>
  <c r="O348" i="3"/>
  <c r="P348" i="3" s="1"/>
  <c r="L348" i="3"/>
  <c r="K348" i="3"/>
  <c r="O347" i="3"/>
  <c r="P347" i="3" s="1"/>
  <c r="L347" i="3"/>
  <c r="K347" i="3"/>
  <c r="O346" i="3"/>
  <c r="P346" i="3" s="1"/>
  <c r="L346" i="3"/>
  <c r="K346" i="3"/>
  <c r="O345" i="3"/>
  <c r="P345" i="3" s="1"/>
  <c r="L345" i="3"/>
  <c r="K345" i="3"/>
  <c r="O344" i="3"/>
  <c r="P344" i="3" s="1"/>
  <c r="L344" i="3"/>
  <c r="M344" i="3" s="1"/>
  <c r="N344" i="3" s="1"/>
  <c r="S344" i="3" s="1"/>
  <c r="K344" i="3"/>
  <c r="O343" i="3"/>
  <c r="P343" i="3" s="1"/>
  <c r="L343" i="3"/>
  <c r="K343" i="3"/>
  <c r="O342" i="3"/>
  <c r="P342" i="3" s="1"/>
  <c r="L342" i="3"/>
  <c r="K342" i="3"/>
  <c r="O341" i="3"/>
  <c r="P341" i="3" s="1"/>
  <c r="L341" i="3"/>
  <c r="K341" i="3"/>
  <c r="O340" i="3"/>
  <c r="P340" i="3" s="1"/>
  <c r="L340" i="3"/>
  <c r="K340" i="3"/>
  <c r="O339" i="3"/>
  <c r="P339" i="3" s="1"/>
  <c r="L339" i="3"/>
  <c r="K339" i="3"/>
  <c r="O338" i="3"/>
  <c r="P338" i="3" s="1"/>
  <c r="L338" i="3"/>
  <c r="M338" i="3" s="1"/>
  <c r="N338" i="3" s="1"/>
  <c r="S338" i="3" s="1"/>
  <c r="K338" i="3"/>
  <c r="O337" i="3"/>
  <c r="P337" i="3" s="1"/>
  <c r="L337" i="3"/>
  <c r="K337" i="3"/>
  <c r="O336" i="3"/>
  <c r="P336" i="3" s="1"/>
  <c r="L336" i="3"/>
  <c r="K336" i="3"/>
  <c r="O335" i="3"/>
  <c r="P335" i="3" s="1"/>
  <c r="L335" i="3"/>
  <c r="K335" i="3"/>
  <c r="O334" i="3"/>
  <c r="P334" i="3" s="1"/>
  <c r="L334" i="3"/>
  <c r="K334" i="3"/>
  <c r="O333" i="3"/>
  <c r="P333" i="3" s="1"/>
  <c r="L333" i="3"/>
  <c r="K333" i="3"/>
  <c r="O332" i="3"/>
  <c r="P332" i="3" s="1"/>
  <c r="L332" i="3"/>
  <c r="M332" i="3" s="1"/>
  <c r="N332" i="3" s="1"/>
  <c r="S332" i="3" s="1"/>
  <c r="K332" i="3"/>
  <c r="O331" i="3"/>
  <c r="P331" i="3" s="1"/>
  <c r="L331" i="3"/>
  <c r="K331" i="3"/>
  <c r="O330" i="3"/>
  <c r="P330" i="3" s="1"/>
  <c r="L330" i="3"/>
  <c r="K330" i="3"/>
  <c r="O329" i="3"/>
  <c r="P329" i="3" s="1"/>
  <c r="L329" i="3"/>
  <c r="K329" i="3"/>
  <c r="O328" i="3"/>
  <c r="P328" i="3" s="1"/>
  <c r="L328" i="3"/>
  <c r="M328" i="3" s="1"/>
  <c r="N328" i="3" s="1"/>
  <c r="S328" i="3" s="1"/>
  <c r="K328" i="3"/>
  <c r="O325" i="3"/>
  <c r="P325" i="3" s="1"/>
  <c r="K325" i="3"/>
  <c r="L325" i="3" s="1"/>
  <c r="O324" i="3"/>
  <c r="P324" i="3" s="1"/>
  <c r="L324" i="3"/>
  <c r="K324" i="3"/>
  <c r="O323" i="3"/>
  <c r="P323" i="3" s="1"/>
  <c r="L323" i="3"/>
  <c r="K323" i="3"/>
  <c r="O322" i="3"/>
  <c r="P322" i="3" s="1"/>
  <c r="L322" i="3"/>
  <c r="K322" i="3"/>
  <c r="O321" i="3"/>
  <c r="P321" i="3" s="1"/>
  <c r="L321" i="3"/>
  <c r="K321" i="3"/>
  <c r="O320" i="3"/>
  <c r="P320" i="3" s="1"/>
  <c r="Q320" i="3" s="1"/>
  <c r="R320" i="3" s="1"/>
  <c r="L320" i="3"/>
  <c r="K320" i="3"/>
  <c r="O319" i="3"/>
  <c r="P319" i="3" s="1"/>
  <c r="L319" i="3"/>
  <c r="K319" i="3"/>
  <c r="P318" i="3"/>
  <c r="O318" i="3"/>
  <c r="L318" i="3"/>
  <c r="K318" i="3"/>
  <c r="P317" i="3"/>
  <c r="O317" i="3"/>
  <c r="L317" i="3"/>
  <c r="K317" i="3"/>
  <c r="P316" i="3"/>
  <c r="O316" i="3"/>
  <c r="L316" i="3"/>
  <c r="K316" i="3"/>
  <c r="P315" i="3"/>
  <c r="O315" i="3"/>
  <c r="L315" i="3"/>
  <c r="K315" i="3"/>
  <c r="P314" i="3"/>
  <c r="O314" i="3"/>
  <c r="L314" i="3"/>
  <c r="M314" i="3" s="1"/>
  <c r="N314" i="3" s="1"/>
  <c r="S314" i="3" s="1"/>
  <c r="K314" i="3"/>
  <c r="P313" i="3"/>
  <c r="O313" i="3"/>
  <c r="L313" i="3"/>
  <c r="K313" i="3"/>
  <c r="P312" i="3"/>
  <c r="O312" i="3"/>
  <c r="L312" i="3"/>
  <c r="K312" i="3"/>
  <c r="P311" i="3"/>
  <c r="O311" i="3"/>
  <c r="L311" i="3"/>
  <c r="K311" i="3"/>
  <c r="P310" i="3"/>
  <c r="O310" i="3"/>
  <c r="L310" i="3"/>
  <c r="K310" i="3"/>
  <c r="P309" i="3"/>
  <c r="O309" i="3"/>
  <c r="L309" i="3"/>
  <c r="K309" i="3"/>
  <c r="P308" i="3"/>
  <c r="Q308" i="3" s="1"/>
  <c r="R308" i="3" s="1"/>
  <c r="O308" i="3"/>
  <c r="L308" i="3"/>
  <c r="M308" i="3" s="1"/>
  <c r="N308" i="3" s="1"/>
  <c r="S308" i="3" s="1"/>
  <c r="K308" i="3"/>
  <c r="P307" i="3"/>
  <c r="O307" i="3"/>
  <c r="L307" i="3"/>
  <c r="K307" i="3"/>
  <c r="P306" i="3"/>
  <c r="O306" i="3"/>
  <c r="L306" i="3"/>
  <c r="K306" i="3"/>
  <c r="P305" i="3"/>
  <c r="O305" i="3"/>
  <c r="L305" i="3"/>
  <c r="K305" i="3"/>
  <c r="P304" i="3"/>
  <c r="O304" i="3"/>
  <c r="L304" i="3"/>
  <c r="K304" i="3"/>
  <c r="P303" i="3"/>
  <c r="O303" i="3"/>
  <c r="L303" i="3"/>
  <c r="K303" i="3"/>
  <c r="P302" i="3"/>
  <c r="Q302" i="3" s="1"/>
  <c r="R302" i="3" s="1"/>
  <c r="O302" i="3"/>
  <c r="L302" i="3"/>
  <c r="M302" i="3" s="1"/>
  <c r="N302" i="3" s="1"/>
  <c r="S302" i="3" s="1"/>
  <c r="K302" i="3"/>
  <c r="P301" i="3"/>
  <c r="O301" i="3"/>
  <c r="L301" i="3"/>
  <c r="K301" i="3"/>
  <c r="P300" i="3"/>
  <c r="O300" i="3"/>
  <c r="L300" i="3"/>
  <c r="K300" i="3"/>
  <c r="P299" i="3"/>
  <c r="O299" i="3"/>
  <c r="L299" i="3"/>
  <c r="K299" i="3"/>
  <c r="P298" i="3"/>
  <c r="O298" i="3"/>
  <c r="L298" i="3"/>
  <c r="K298" i="3"/>
  <c r="P297" i="3"/>
  <c r="O297" i="3"/>
  <c r="L297" i="3"/>
  <c r="K297" i="3"/>
  <c r="P296" i="3"/>
  <c r="Q296" i="3" s="1"/>
  <c r="R296" i="3" s="1"/>
  <c r="O296" i="3"/>
  <c r="L296" i="3"/>
  <c r="M296" i="3" s="1"/>
  <c r="N296" i="3" s="1"/>
  <c r="S296" i="3" s="1"/>
  <c r="K296" i="3"/>
  <c r="P295" i="3"/>
  <c r="O295" i="3"/>
  <c r="L295" i="3"/>
  <c r="K295" i="3"/>
  <c r="P294" i="3"/>
  <c r="O294" i="3"/>
  <c r="L294" i="3"/>
  <c r="K294" i="3"/>
  <c r="P293" i="3"/>
  <c r="O293" i="3"/>
  <c r="L293" i="3"/>
  <c r="K293" i="3"/>
  <c r="P292" i="3"/>
  <c r="Q292" i="3" s="1"/>
  <c r="R292" i="3" s="1"/>
  <c r="O292" i="3"/>
  <c r="L292" i="3"/>
  <c r="M292" i="3" s="1"/>
  <c r="N292" i="3" s="1"/>
  <c r="S292" i="3" s="1"/>
  <c r="K292" i="3"/>
  <c r="O289" i="3"/>
  <c r="P289" i="3" s="1"/>
  <c r="L289" i="3"/>
  <c r="K289" i="3"/>
  <c r="P288" i="3"/>
  <c r="O288" i="3"/>
  <c r="L288" i="3"/>
  <c r="K288" i="3"/>
  <c r="P287" i="3"/>
  <c r="O287" i="3"/>
  <c r="L287" i="3"/>
  <c r="K287" i="3"/>
  <c r="P286" i="3"/>
  <c r="O286" i="3"/>
  <c r="L286" i="3"/>
  <c r="K286" i="3"/>
  <c r="P285" i="3"/>
  <c r="O285" i="3"/>
  <c r="L285" i="3"/>
  <c r="K285" i="3"/>
  <c r="P284" i="3"/>
  <c r="O284" i="3"/>
  <c r="L284" i="3"/>
  <c r="M284" i="3" s="1"/>
  <c r="N284" i="3" s="1"/>
  <c r="S284" i="3" s="1"/>
  <c r="K284" i="3"/>
  <c r="P283" i="3"/>
  <c r="O283" i="3"/>
  <c r="L283" i="3"/>
  <c r="K283" i="3"/>
  <c r="P282" i="3"/>
  <c r="O282" i="3"/>
  <c r="L282" i="3"/>
  <c r="K282" i="3"/>
  <c r="P281" i="3"/>
  <c r="O281" i="3"/>
  <c r="L281" i="3"/>
  <c r="K281" i="3"/>
  <c r="P280" i="3"/>
  <c r="O280" i="3"/>
  <c r="L280" i="3"/>
  <c r="K280" i="3"/>
  <c r="P279" i="3"/>
  <c r="O279" i="3"/>
  <c r="L279" i="3"/>
  <c r="K279" i="3"/>
  <c r="P278" i="3"/>
  <c r="Q278" i="3" s="1"/>
  <c r="R278" i="3" s="1"/>
  <c r="O278" i="3"/>
  <c r="L278" i="3"/>
  <c r="M278" i="3" s="1"/>
  <c r="N278" i="3" s="1"/>
  <c r="S278" i="3" s="1"/>
  <c r="K278" i="3"/>
  <c r="P277" i="3"/>
  <c r="O277" i="3"/>
  <c r="L277" i="3"/>
  <c r="K277" i="3"/>
  <c r="P276" i="3"/>
  <c r="O276" i="3"/>
  <c r="L276" i="3"/>
  <c r="K276" i="3"/>
  <c r="P275" i="3"/>
  <c r="O275" i="3"/>
  <c r="L275" i="3"/>
  <c r="K275" i="3"/>
  <c r="P274" i="3"/>
  <c r="O274" i="3"/>
  <c r="L274" i="3"/>
  <c r="K274" i="3"/>
  <c r="P273" i="3"/>
  <c r="O273" i="3"/>
  <c r="L273" i="3"/>
  <c r="K273" i="3"/>
  <c r="P272" i="3"/>
  <c r="O272" i="3"/>
  <c r="L272" i="3"/>
  <c r="M272" i="3" s="1"/>
  <c r="N272" i="3" s="1"/>
  <c r="S272" i="3" s="1"/>
  <c r="K272" i="3"/>
  <c r="P271" i="3"/>
  <c r="O271" i="3"/>
  <c r="L271" i="3"/>
  <c r="K271" i="3"/>
  <c r="P270" i="3"/>
  <c r="O270" i="3"/>
  <c r="L270" i="3"/>
  <c r="K270" i="3"/>
  <c r="P269" i="3"/>
  <c r="O269" i="3"/>
  <c r="L269" i="3"/>
  <c r="K269" i="3"/>
  <c r="P268" i="3"/>
  <c r="O268" i="3"/>
  <c r="L268" i="3"/>
  <c r="K268" i="3"/>
  <c r="P267" i="3"/>
  <c r="O267" i="3"/>
  <c r="L267" i="3"/>
  <c r="K267" i="3"/>
  <c r="P266" i="3"/>
  <c r="Q266" i="3" s="1"/>
  <c r="R266" i="3" s="1"/>
  <c r="O266" i="3"/>
  <c r="L266" i="3"/>
  <c r="M266" i="3" s="1"/>
  <c r="N266" i="3" s="1"/>
  <c r="S266" i="3" s="1"/>
  <c r="K266" i="3"/>
  <c r="P265" i="3"/>
  <c r="O265" i="3"/>
  <c r="L265" i="3"/>
  <c r="K265" i="3"/>
  <c r="P264" i="3"/>
  <c r="O264" i="3"/>
  <c r="L264" i="3"/>
  <c r="K264" i="3"/>
  <c r="P263" i="3"/>
  <c r="O263" i="3"/>
  <c r="L263" i="3"/>
  <c r="K263" i="3"/>
  <c r="P262" i="3"/>
  <c r="O262" i="3"/>
  <c r="L262" i="3"/>
  <c r="K262" i="3"/>
  <c r="P261" i="3"/>
  <c r="O261" i="3"/>
  <c r="L261" i="3"/>
  <c r="K261" i="3"/>
  <c r="P260" i="3"/>
  <c r="Q260" i="3" s="1"/>
  <c r="R260" i="3" s="1"/>
  <c r="O260" i="3"/>
  <c r="L260" i="3"/>
  <c r="M260" i="3" s="1"/>
  <c r="N260" i="3" s="1"/>
  <c r="S260" i="3" s="1"/>
  <c r="K260" i="3"/>
  <c r="P259" i="3"/>
  <c r="O259" i="3"/>
  <c r="L259" i="3"/>
  <c r="K259" i="3"/>
  <c r="P258" i="3"/>
  <c r="O258" i="3"/>
  <c r="L258" i="3"/>
  <c r="K258" i="3"/>
  <c r="P257" i="3"/>
  <c r="O257" i="3"/>
  <c r="L257" i="3"/>
  <c r="K257" i="3"/>
  <c r="P256" i="3"/>
  <c r="Q256" i="3" s="1"/>
  <c r="R256" i="3" s="1"/>
  <c r="O256" i="3"/>
  <c r="L256" i="3"/>
  <c r="M256" i="3" s="1"/>
  <c r="N256" i="3" s="1"/>
  <c r="S256" i="3" s="1"/>
  <c r="K256" i="3"/>
  <c r="O253" i="3"/>
  <c r="P253" i="3" s="1"/>
  <c r="K253" i="3"/>
  <c r="L253" i="3" s="1"/>
  <c r="O252" i="3"/>
  <c r="P252" i="3" s="1"/>
  <c r="K252" i="3"/>
  <c r="L252" i="3" s="1"/>
  <c r="P251" i="3"/>
  <c r="O251" i="3"/>
  <c r="K251" i="3"/>
  <c r="L251" i="3" s="1"/>
  <c r="O250" i="3"/>
  <c r="P250" i="3" s="1"/>
  <c r="K250" i="3"/>
  <c r="L250" i="3" s="1"/>
  <c r="P249" i="3"/>
  <c r="O249" i="3"/>
  <c r="K249" i="3"/>
  <c r="L249" i="3" s="1"/>
  <c r="O248" i="3"/>
  <c r="P248" i="3" s="1"/>
  <c r="K248" i="3"/>
  <c r="L248" i="3" s="1"/>
  <c r="M248" i="3" s="1"/>
  <c r="N248" i="3" s="1"/>
  <c r="S248" i="3" s="1"/>
  <c r="P247" i="3"/>
  <c r="O247" i="3"/>
  <c r="K247" i="3"/>
  <c r="L247" i="3" s="1"/>
  <c r="O246" i="3"/>
  <c r="P246" i="3" s="1"/>
  <c r="K246" i="3"/>
  <c r="L246" i="3" s="1"/>
  <c r="P245" i="3"/>
  <c r="O245" i="3"/>
  <c r="K245" i="3"/>
  <c r="L245" i="3" s="1"/>
  <c r="O244" i="3"/>
  <c r="P244" i="3" s="1"/>
  <c r="K244" i="3"/>
  <c r="L244" i="3" s="1"/>
  <c r="P243" i="3"/>
  <c r="O243" i="3"/>
  <c r="K243" i="3"/>
  <c r="L243" i="3" s="1"/>
  <c r="O242" i="3"/>
  <c r="P242" i="3" s="1"/>
  <c r="K242" i="3"/>
  <c r="L242" i="3" s="1"/>
  <c r="P241" i="3"/>
  <c r="O241" i="3"/>
  <c r="L241" i="3"/>
  <c r="K241" i="3"/>
  <c r="P240" i="3"/>
  <c r="O240" i="3"/>
  <c r="L240" i="3"/>
  <c r="K240" i="3"/>
  <c r="P239" i="3"/>
  <c r="O239" i="3"/>
  <c r="L239" i="3"/>
  <c r="K239" i="3"/>
  <c r="P238" i="3"/>
  <c r="O238" i="3"/>
  <c r="L238" i="3"/>
  <c r="K238" i="3"/>
  <c r="P237" i="3"/>
  <c r="O237" i="3"/>
  <c r="L237" i="3"/>
  <c r="K237" i="3"/>
  <c r="P236" i="3"/>
  <c r="Q236" i="3" s="1"/>
  <c r="R236" i="3" s="1"/>
  <c r="O236" i="3"/>
  <c r="L236" i="3"/>
  <c r="M236" i="3" s="1"/>
  <c r="N236" i="3" s="1"/>
  <c r="S236" i="3" s="1"/>
  <c r="K236" i="3"/>
  <c r="P235" i="3"/>
  <c r="O235" i="3"/>
  <c r="L235" i="3"/>
  <c r="K235" i="3"/>
  <c r="P234" i="3"/>
  <c r="O234" i="3"/>
  <c r="L234" i="3"/>
  <c r="K234" i="3"/>
  <c r="P233" i="3"/>
  <c r="O233" i="3"/>
  <c r="L233" i="3"/>
  <c r="K233" i="3"/>
  <c r="P232" i="3"/>
  <c r="O232" i="3"/>
  <c r="L232" i="3"/>
  <c r="K232" i="3"/>
  <c r="P231" i="3"/>
  <c r="O231" i="3"/>
  <c r="L231" i="3"/>
  <c r="K231" i="3"/>
  <c r="P230" i="3"/>
  <c r="Q230" i="3" s="1"/>
  <c r="R230" i="3" s="1"/>
  <c r="O230" i="3"/>
  <c r="L230" i="3"/>
  <c r="M230" i="3" s="1"/>
  <c r="N230" i="3" s="1"/>
  <c r="S230" i="3" s="1"/>
  <c r="K230" i="3"/>
  <c r="P229" i="3"/>
  <c r="O229" i="3"/>
  <c r="L229" i="3"/>
  <c r="K229" i="3"/>
  <c r="P228" i="3"/>
  <c r="O228" i="3"/>
  <c r="L228" i="3"/>
  <c r="K228" i="3"/>
  <c r="P227" i="3"/>
  <c r="O227" i="3"/>
  <c r="L227" i="3"/>
  <c r="K227" i="3"/>
  <c r="P226" i="3"/>
  <c r="O226" i="3"/>
  <c r="L226" i="3"/>
  <c r="K226" i="3"/>
  <c r="P225" i="3"/>
  <c r="O225" i="3"/>
  <c r="L225" i="3"/>
  <c r="K225" i="3"/>
  <c r="P224" i="3"/>
  <c r="Q224" i="3" s="1"/>
  <c r="R224" i="3" s="1"/>
  <c r="O224" i="3"/>
  <c r="L224" i="3"/>
  <c r="M224" i="3" s="1"/>
  <c r="N224" i="3" s="1"/>
  <c r="S224" i="3" s="1"/>
  <c r="K224" i="3"/>
  <c r="P223" i="3"/>
  <c r="O223" i="3"/>
  <c r="L223" i="3"/>
  <c r="K223" i="3"/>
  <c r="P222" i="3"/>
  <c r="O222" i="3"/>
  <c r="L222" i="3"/>
  <c r="K222" i="3"/>
  <c r="P221" i="3"/>
  <c r="O221" i="3"/>
  <c r="L221" i="3"/>
  <c r="K221" i="3"/>
  <c r="P220" i="3"/>
  <c r="O220" i="3"/>
  <c r="L220" i="3"/>
  <c r="M220" i="3" s="1"/>
  <c r="N220" i="3" s="1"/>
  <c r="S220" i="3" s="1"/>
  <c r="K220" i="3"/>
  <c r="O217" i="3"/>
  <c r="P217" i="3" s="1"/>
  <c r="K217" i="3"/>
  <c r="L217" i="3" s="1"/>
  <c r="O216" i="3"/>
  <c r="P216" i="3" s="1"/>
  <c r="K216" i="3"/>
  <c r="L216" i="3" s="1"/>
  <c r="O215" i="3"/>
  <c r="P215" i="3" s="1"/>
  <c r="K215" i="3"/>
  <c r="L215" i="3" s="1"/>
  <c r="O214" i="3"/>
  <c r="P214" i="3" s="1"/>
  <c r="K214" i="3"/>
  <c r="L214" i="3" s="1"/>
  <c r="O213" i="3"/>
  <c r="P213" i="3" s="1"/>
  <c r="K213" i="3"/>
  <c r="L213" i="3" s="1"/>
  <c r="O212" i="3"/>
  <c r="P212" i="3" s="1"/>
  <c r="K212" i="3"/>
  <c r="L212" i="3" s="1"/>
  <c r="P211" i="3"/>
  <c r="O211" i="3"/>
  <c r="K211" i="3"/>
  <c r="L211" i="3" s="1"/>
  <c r="O210" i="3"/>
  <c r="P210" i="3" s="1"/>
  <c r="K210" i="3"/>
  <c r="L210" i="3" s="1"/>
  <c r="O209" i="3"/>
  <c r="P209" i="3" s="1"/>
  <c r="K209" i="3"/>
  <c r="L209" i="3" s="1"/>
  <c r="O208" i="3"/>
  <c r="P208" i="3" s="1"/>
  <c r="K208" i="3"/>
  <c r="L208" i="3" s="1"/>
  <c r="P207" i="3"/>
  <c r="O207" i="3"/>
  <c r="K207" i="3"/>
  <c r="L207" i="3" s="1"/>
  <c r="O206" i="3"/>
  <c r="P206" i="3" s="1"/>
  <c r="Q206" i="3" s="1"/>
  <c r="R206" i="3" s="1"/>
  <c r="K206" i="3"/>
  <c r="L206" i="3" s="1"/>
  <c r="O205" i="3"/>
  <c r="P205" i="3" s="1"/>
  <c r="K205" i="3"/>
  <c r="L205" i="3" s="1"/>
  <c r="O204" i="3"/>
  <c r="P204" i="3" s="1"/>
  <c r="L204" i="3"/>
  <c r="K204" i="3"/>
  <c r="O203" i="3"/>
  <c r="P203" i="3" s="1"/>
  <c r="K203" i="3"/>
  <c r="L203" i="3" s="1"/>
  <c r="O202" i="3"/>
  <c r="P202" i="3" s="1"/>
  <c r="L202" i="3"/>
  <c r="K202" i="3"/>
  <c r="O201" i="3"/>
  <c r="P201" i="3" s="1"/>
  <c r="K201" i="3"/>
  <c r="L201" i="3" s="1"/>
  <c r="O200" i="3"/>
  <c r="P200" i="3" s="1"/>
  <c r="K200" i="3"/>
  <c r="L200" i="3" s="1"/>
  <c r="P199" i="3"/>
  <c r="O199" i="3"/>
  <c r="K199" i="3"/>
  <c r="L199" i="3" s="1"/>
  <c r="O198" i="3"/>
  <c r="P198" i="3" s="1"/>
  <c r="K198" i="3"/>
  <c r="L198" i="3" s="1"/>
  <c r="O197" i="3"/>
  <c r="P197" i="3" s="1"/>
  <c r="K197" i="3"/>
  <c r="L197" i="3" s="1"/>
  <c r="O196" i="3"/>
  <c r="P196" i="3" s="1"/>
  <c r="K196" i="3"/>
  <c r="L196" i="3" s="1"/>
  <c r="P195" i="3"/>
  <c r="O195" i="3"/>
  <c r="K195" i="3"/>
  <c r="L195" i="3" s="1"/>
  <c r="O194" i="3"/>
  <c r="P194" i="3" s="1"/>
  <c r="K194" i="3"/>
  <c r="L194" i="3" s="1"/>
  <c r="O193" i="3"/>
  <c r="P193" i="3" s="1"/>
  <c r="L193" i="3"/>
  <c r="K193" i="3"/>
  <c r="O192" i="3"/>
  <c r="P192" i="3" s="1"/>
  <c r="K192" i="3"/>
  <c r="L192" i="3" s="1"/>
  <c r="O191" i="3"/>
  <c r="P191" i="3" s="1"/>
  <c r="K191" i="3"/>
  <c r="L191" i="3" s="1"/>
  <c r="O190" i="3"/>
  <c r="P190" i="3" s="1"/>
  <c r="K190" i="3"/>
  <c r="L190" i="3" s="1"/>
  <c r="O189" i="3"/>
  <c r="P189" i="3" s="1"/>
  <c r="L189" i="3"/>
  <c r="K189" i="3"/>
  <c r="O188" i="3"/>
  <c r="P188" i="3" s="1"/>
  <c r="K188" i="3"/>
  <c r="L188" i="3" s="1"/>
  <c r="O187" i="3"/>
  <c r="P187" i="3" s="1"/>
  <c r="K187" i="3"/>
  <c r="L187" i="3" s="1"/>
  <c r="M184" i="3" s="1"/>
  <c r="N184" i="3" s="1"/>
  <c r="S184" i="3" s="1"/>
  <c r="O186" i="3"/>
  <c r="P186" i="3" s="1"/>
  <c r="K186" i="3"/>
  <c r="L186" i="3" s="1"/>
  <c r="O185" i="3"/>
  <c r="P185" i="3" s="1"/>
  <c r="K185" i="3"/>
  <c r="L185" i="3" s="1"/>
  <c r="P184" i="3"/>
  <c r="O184" i="3"/>
  <c r="L184" i="3"/>
  <c r="K184" i="3"/>
  <c r="O181" i="3"/>
  <c r="P181" i="3" s="1"/>
  <c r="K181" i="3"/>
  <c r="L181" i="3" s="1"/>
  <c r="O180" i="3"/>
  <c r="P180" i="3" s="1"/>
  <c r="K180" i="3"/>
  <c r="L180" i="3" s="1"/>
  <c r="O179" i="3"/>
  <c r="P179" i="3" s="1"/>
  <c r="K179" i="3"/>
  <c r="L179" i="3" s="1"/>
  <c r="O178" i="3"/>
  <c r="P178" i="3" s="1"/>
  <c r="K178" i="3"/>
  <c r="L178" i="3" s="1"/>
  <c r="P177" i="3"/>
  <c r="O177" i="3"/>
  <c r="K177" i="3"/>
  <c r="L177" i="3" s="1"/>
  <c r="O176" i="3"/>
  <c r="P176" i="3" s="1"/>
  <c r="K176" i="3"/>
  <c r="L176" i="3" s="1"/>
  <c r="O175" i="3"/>
  <c r="P175" i="3" s="1"/>
  <c r="K175" i="3"/>
  <c r="L175" i="3" s="1"/>
  <c r="O174" i="3"/>
  <c r="P174" i="3" s="1"/>
  <c r="K174" i="3"/>
  <c r="L174" i="3" s="1"/>
  <c r="O173" i="3"/>
  <c r="P173" i="3" s="1"/>
  <c r="K173" i="3"/>
  <c r="L173" i="3" s="1"/>
  <c r="O172" i="3"/>
  <c r="P172" i="3" s="1"/>
  <c r="K172" i="3"/>
  <c r="L172" i="3" s="1"/>
  <c r="O171" i="3"/>
  <c r="P171" i="3" s="1"/>
  <c r="K171" i="3"/>
  <c r="L171" i="3" s="1"/>
  <c r="O170" i="3"/>
  <c r="P170" i="3" s="1"/>
  <c r="K170" i="3"/>
  <c r="L170" i="3" s="1"/>
  <c r="O169" i="3"/>
  <c r="P169" i="3" s="1"/>
  <c r="K169" i="3"/>
  <c r="L169" i="3" s="1"/>
  <c r="P168" i="3"/>
  <c r="O168" i="3"/>
  <c r="K168" i="3"/>
  <c r="L168" i="3" s="1"/>
  <c r="O167" i="3"/>
  <c r="P167" i="3" s="1"/>
  <c r="K167" i="3"/>
  <c r="L167" i="3" s="1"/>
  <c r="O166" i="3"/>
  <c r="P166" i="3" s="1"/>
  <c r="K166" i="3"/>
  <c r="L166" i="3" s="1"/>
  <c r="O165" i="3"/>
  <c r="P165" i="3" s="1"/>
  <c r="K165" i="3"/>
  <c r="L165" i="3" s="1"/>
  <c r="O164" i="3"/>
  <c r="P164" i="3" s="1"/>
  <c r="K164" i="3"/>
  <c r="L164" i="3" s="1"/>
  <c r="O163" i="3"/>
  <c r="P163" i="3" s="1"/>
  <c r="L163" i="3"/>
  <c r="K163" i="3"/>
  <c r="O162" i="3"/>
  <c r="P162" i="3" s="1"/>
  <c r="K162" i="3"/>
  <c r="L162" i="3" s="1"/>
  <c r="O161" i="3"/>
  <c r="P161" i="3" s="1"/>
  <c r="K161" i="3"/>
  <c r="L161" i="3" s="1"/>
  <c r="O160" i="3"/>
  <c r="P160" i="3" s="1"/>
  <c r="K160" i="3"/>
  <c r="L160" i="3" s="1"/>
  <c r="O159" i="3"/>
  <c r="P159" i="3" s="1"/>
  <c r="K159" i="3"/>
  <c r="L159" i="3" s="1"/>
  <c r="O158" i="3"/>
  <c r="P158" i="3" s="1"/>
  <c r="K158" i="3"/>
  <c r="L158" i="3" s="1"/>
  <c r="O157" i="3"/>
  <c r="P157" i="3" s="1"/>
  <c r="K157" i="3"/>
  <c r="L157" i="3" s="1"/>
  <c r="O156" i="3"/>
  <c r="P156" i="3" s="1"/>
  <c r="K156" i="3"/>
  <c r="L156" i="3" s="1"/>
  <c r="O155" i="3"/>
  <c r="P155" i="3" s="1"/>
  <c r="K155" i="3"/>
  <c r="L155" i="3" s="1"/>
  <c r="O154" i="3"/>
  <c r="P154" i="3" s="1"/>
  <c r="K154" i="3"/>
  <c r="L154" i="3" s="1"/>
  <c r="O153" i="3"/>
  <c r="P153" i="3" s="1"/>
  <c r="K153" i="3"/>
  <c r="L153" i="3" s="1"/>
  <c r="O152" i="3"/>
  <c r="P152" i="3" s="1"/>
  <c r="K152" i="3"/>
  <c r="L152" i="3" s="1"/>
  <c r="O151" i="3"/>
  <c r="P151" i="3" s="1"/>
  <c r="L151" i="3"/>
  <c r="K151" i="3"/>
  <c r="O150" i="3"/>
  <c r="P150" i="3" s="1"/>
  <c r="K150" i="3"/>
  <c r="L150" i="3" s="1"/>
  <c r="O149" i="3"/>
  <c r="P149" i="3" s="1"/>
  <c r="K149" i="3"/>
  <c r="L149" i="3" s="1"/>
  <c r="O148" i="3"/>
  <c r="P148" i="3" s="1"/>
  <c r="K148" i="3"/>
  <c r="L148" i="3" s="1"/>
  <c r="O145" i="3"/>
  <c r="P145" i="3" s="1"/>
  <c r="K145" i="3"/>
  <c r="L145" i="3" s="1"/>
  <c r="O144" i="3"/>
  <c r="P144" i="3" s="1"/>
  <c r="K144" i="3"/>
  <c r="L144" i="3" s="1"/>
  <c r="O143" i="3"/>
  <c r="P143" i="3" s="1"/>
  <c r="K143" i="3"/>
  <c r="L143" i="3" s="1"/>
  <c r="O142" i="3"/>
  <c r="P142" i="3" s="1"/>
  <c r="K142" i="3"/>
  <c r="L142" i="3" s="1"/>
  <c r="O141" i="3"/>
  <c r="P141" i="3" s="1"/>
  <c r="K141" i="3"/>
  <c r="L141" i="3" s="1"/>
  <c r="O140" i="3"/>
  <c r="P140" i="3" s="1"/>
  <c r="L140" i="3"/>
  <c r="K140" i="3"/>
  <c r="O139" i="3"/>
  <c r="P139" i="3" s="1"/>
  <c r="L139" i="3"/>
  <c r="K139" i="3"/>
  <c r="O138" i="3"/>
  <c r="P138" i="3" s="1"/>
  <c r="K138" i="3"/>
  <c r="L138" i="3" s="1"/>
  <c r="O137" i="3"/>
  <c r="P137" i="3" s="1"/>
  <c r="L137" i="3"/>
  <c r="K137" i="3"/>
  <c r="O136" i="3"/>
  <c r="P136" i="3" s="1"/>
  <c r="L136" i="3"/>
  <c r="K136" i="3"/>
  <c r="O135" i="3"/>
  <c r="P135" i="3" s="1"/>
  <c r="K135" i="3"/>
  <c r="L135" i="3" s="1"/>
  <c r="O134" i="3"/>
  <c r="P134" i="3" s="1"/>
  <c r="K134" i="3"/>
  <c r="L134" i="3" s="1"/>
  <c r="O133" i="3"/>
  <c r="P133" i="3" s="1"/>
  <c r="K133" i="3"/>
  <c r="L133" i="3" s="1"/>
  <c r="O132" i="3"/>
  <c r="P132" i="3" s="1"/>
  <c r="K132" i="3"/>
  <c r="L132" i="3" s="1"/>
  <c r="O131" i="3"/>
  <c r="P131" i="3" s="1"/>
  <c r="K131" i="3"/>
  <c r="L131" i="3" s="1"/>
  <c r="O130" i="3"/>
  <c r="P130" i="3" s="1"/>
  <c r="K130" i="3"/>
  <c r="L130" i="3" s="1"/>
  <c r="O129" i="3"/>
  <c r="P129" i="3" s="1"/>
  <c r="K129" i="3"/>
  <c r="L129" i="3" s="1"/>
  <c r="O128" i="3"/>
  <c r="P128" i="3" s="1"/>
  <c r="K128" i="3"/>
  <c r="L128" i="3" s="1"/>
  <c r="O127" i="3"/>
  <c r="P127" i="3" s="1"/>
  <c r="K127" i="3"/>
  <c r="L127" i="3" s="1"/>
  <c r="O126" i="3"/>
  <c r="P126" i="3" s="1"/>
  <c r="K126" i="3"/>
  <c r="L126" i="3" s="1"/>
  <c r="P125" i="3"/>
  <c r="O125" i="3"/>
  <c r="K125" i="3"/>
  <c r="L125" i="3" s="1"/>
  <c r="O124" i="3"/>
  <c r="P124" i="3" s="1"/>
  <c r="K124" i="3"/>
  <c r="L124" i="3" s="1"/>
  <c r="O123" i="3"/>
  <c r="P123" i="3" s="1"/>
  <c r="K123" i="3"/>
  <c r="L123" i="3" s="1"/>
  <c r="O122" i="3"/>
  <c r="P122" i="3" s="1"/>
  <c r="K122" i="3"/>
  <c r="L122" i="3" s="1"/>
  <c r="O121" i="3"/>
  <c r="P121" i="3" s="1"/>
  <c r="K121" i="3"/>
  <c r="L121" i="3" s="1"/>
  <c r="O120" i="3"/>
  <c r="P120" i="3" s="1"/>
  <c r="K120" i="3"/>
  <c r="L120" i="3" s="1"/>
  <c r="O119" i="3"/>
  <c r="P119" i="3" s="1"/>
  <c r="K119" i="3"/>
  <c r="L119" i="3" s="1"/>
  <c r="O118" i="3"/>
  <c r="P118" i="3" s="1"/>
  <c r="K118" i="3"/>
  <c r="L118" i="3" s="1"/>
  <c r="O117" i="3"/>
  <c r="P117" i="3" s="1"/>
  <c r="K117" i="3"/>
  <c r="L117" i="3" s="1"/>
  <c r="O116" i="3"/>
  <c r="P116" i="3" s="1"/>
  <c r="K116" i="3"/>
  <c r="L116" i="3" s="1"/>
  <c r="O115" i="3"/>
  <c r="P115" i="3" s="1"/>
  <c r="K115" i="3"/>
  <c r="L115" i="3" s="1"/>
  <c r="O114" i="3"/>
  <c r="P114" i="3" s="1"/>
  <c r="K114" i="3"/>
  <c r="L114" i="3" s="1"/>
  <c r="O113" i="3"/>
  <c r="P113" i="3" s="1"/>
  <c r="K113" i="3"/>
  <c r="L113" i="3" s="1"/>
  <c r="O112" i="3"/>
  <c r="P112" i="3" s="1"/>
  <c r="K112" i="3"/>
  <c r="L112" i="3" s="1"/>
  <c r="O109" i="3"/>
  <c r="P109" i="3" s="1"/>
  <c r="K109" i="3"/>
  <c r="L109" i="3" s="1"/>
  <c r="O108" i="3"/>
  <c r="P108" i="3" s="1"/>
  <c r="K108" i="3"/>
  <c r="L108" i="3" s="1"/>
  <c r="O107" i="3"/>
  <c r="P107" i="3" s="1"/>
  <c r="K107" i="3"/>
  <c r="L107" i="3" s="1"/>
  <c r="O106" i="3"/>
  <c r="P106" i="3" s="1"/>
  <c r="K106" i="3"/>
  <c r="L106" i="3" s="1"/>
  <c r="O105" i="3"/>
  <c r="P105" i="3" s="1"/>
  <c r="K105" i="3"/>
  <c r="L105" i="3" s="1"/>
  <c r="O104" i="3"/>
  <c r="P104" i="3" s="1"/>
  <c r="K104" i="3"/>
  <c r="L104" i="3" s="1"/>
  <c r="O103" i="3"/>
  <c r="P103" i="3" s="1"/>
  <c r="K103" i="3"/>
  <c r="L103" i="3" s="1"/>
  <c r="O102" i="3"/>
  <c r="P102" i="3" s="1"/>
  <c r="K102" i="3"/>
  <c r="L102" i="3" s="1"/>
  <c r="O101" i="3"/>
  <c r="P101" i="3" s="1"/>
  <c r="K101" i="3"/>
  <c r="L101" i="3" s="1"/>
  <c r="O100" i="3"/>
  <c r="P100" i="3" s="1"/>
  <c r="K100" i="3"/>
  <c r="L100" i="3" s="1"/>
  <c r="O99" i="3"/>
  <c r="P99" i="3" s="1"/>
  <c r="K99" i="3"/>
  <c r="L99" i="3" s="1"/>
  <c r="O98" i="3"/>
  <c r="P98" i="3" s="1"/>
  <c r="K98" i="3"/>
  <c r="L98" i="3" s="1"/>
  <c r="O97" i="3"/>
  <c r="P97" i="3" s="1"/>
  <c r="K97" i="3"/>
  <c r="L97" i="3" s="1"/>
  <c r="O96" i="3"/>
  <c r="P96" i="3" s="1"/>
  <c r="K96" i="3"/>
  <c r="L96" i="3" s="1"/>
  <c r="O95" i="3"/>
  <c r="P95" i="3" s="1"/>
  <c r="K95" i="3"/>
  <c r="L95" i="3" s="1"/>
  <c r="O94" i="3"/>
  <c r="P94" i="3" s="1"/>
  <c r="K94" i="3"/>
  <c r="L94" i="3" s="1"/>
  <c r="O93" i="3"/>
  <c r="P93" i="3" s="1"/>
  <c r="K93" i="3"/>
  <c r="L93" i="3" s="1"/>
  <c r="O92" i="3"/>
  <c r="P92" i="3" s="1"/>
  <c r="K92" i="3"/>
  <c r="L92" i="3" s="1"/>
  <c r="O91" i="3"/>
  <c r="P91" i="3" s="1"/>
  <c r="K91" i="3"/>
  <c r="L91" i="3" s="1"/>
  <c r="O90" i="3"/>
  <c r="P90" i="3" s="1"/>
  <c r="K90" i="3"/>
  <c r="L90" i="3" s="1"/>
  <c r="O89" i="3"/>
  <c r="P89" i="3" s="1"/>
  <c r="K89" i="3"/>
  <c r="L89" i="3" s="1"/>
  <c r="O88" i="3"/>
  <c r="P88" i="3" s="1"/>
  <c r="K88" i="3"/>
  <c r="L88" i="3" s="1"/>
  <c r="O87" i="3"/>
  <c r="P87" i="3" s="1"/>
  <c r="K87" i="3"/>
  <c r="L87" i="3" s="1"/>
  <c r="O86" i="3"/>
  <c r="P86" i="3" s="1"/>
  <c r="K86" i="3"/>
  <c r="L86" i="3" s="1"/>
  <c r="O85" i="3"/>
  <c r="P85" i="3" s="1"/>
  <c r="K85" i="3"/>
  <c r="L85" i="3" s="1"/>
  <c r="O84" i="3"/>
  <c r="P84" i="3" s="1"/>
  <c r="K84" i="3"/>
  <c r="L84" i="3" s="1"/>
  <c r="O83" i="3"/>
  <c r="P83" i="3" s="1"/>
  <c r="K83" i="3"/>
  <c r="L83" i="3" s="1"/>
  <c r="O82" i="3"/>
  <c r="P82" i="3" s="1"/>
  <c r="K82" i="3"/>
  <c r="L82" i="3" s="1"/>
  <c r="O81" i="3"/>
  <c r="P81" i="3" s="1"/>
  <c r="K81" i="3"/>
  <c r="L81" i="3" s="1"/>
  <c r="O80" i="3"/>
  <c r="P80" i="3" s="1"/>
  <c r="K80" i="3"/>
  <c r="L80" i="3" s="1"/>
  <c r="O79" i="3"/>
  <c r="P79" i="3" s="1"/>
  <c r="K79" i="3"/>
  <c r="L79" i="3" s="1"/>
  <c r="O78" i="3"/>
  <c r="P78" i="3" s="1"/>
  <c r="K78" i="3"/>
  <c r="L78" i="3" s="1"/>
  <c r="O77" i="3"/>
  <c r="P77" i="3" s="1"/>
  <c r="K77" i="3"/>
  <c r="L77" i="3" s="1"/>
  <c r="O76" i="3"/>
  <c r="P76" i="3" s="1"/>
  <c r="K76" i="3"/>
  <c r="L76" i="3" s="1"/>
  <c r="O73" i="3"/>
  <c r="P73" i="3" s="1"/>
  <c r="K73" i="3"/>
  <c r="L73" i="3" s="1"/>
  <c r="O72" i="3"/>
  <c r="P72" i="3" s="1"/>
  <c r="K72" i="3"/>
  <c r="L72" i="3" s="1"/>
  <c r="O71" i="3"/>
  <c r="P71" i="3" s="1"/>
  <c r="K71" i="3"/>
  <c r="L71" i="3" s="1"/>
  <c r="O70" i="3"/>
  <c r="P70" i="3" s="1"/>
  <c r="K70" i="3"/>
  <c r="L70" i="3" s="1"/>
  <c r="O69" i="3"/>
  <c r="P69" i="3" s="1"/>
  <c r="K69" i="3"/>
  <c r="L69" i="3" s="1"/>
  <c r="O68" i="3"/>
  <c r="P68" i="3" s="1"/>
  <c r="K68" i="3"/>
  <c r="L68" i="3" s="1"/>
  <c r="O67" i="3"/>
  <c r="P67" i="3" s="1"/>
  <c r="K67" i="3"/>
  <c r="L67" i="3" s="1"/>
  <c r="O66" i="3"/>
  <c r="P66" i="3" s="1"/>
  <c r="K66" i="3"/>
  <c r="L66" i="3" s="1"/>
  <c r="O65" i="3"/>
  <c r="P65" i="3" s="1"/>
  <c r="K65" i="3"/>
  <c r="L65" i="3" s="1"/>
  <c r="O64" i="3"/>
  <c r="P64" i="3" s="1"/>
  <c r="K64" i="3"/>
  <c r="L64" i="3" s="1"/>
  <c r="O63" i="3"/>
  <c r="P63" i="3" s="1"/>
  <c r="K63" i="3"/>
  <c r="L63" i="3" s="1"/>
  <c r="O62" i="3"/>
  <c r="P62" i="3" s="1"/>
  <c r="K62" i="3"/>
  <c r="L62" i="3" s="1"/>
  <c r="O61" i="3"/>
  <c r="P61" i="3" s="1"/>
  <c r="K61" i="3"/>
  <c r="L61" i="3" s="1"/>
  <c r="O60" i="3"/>
  <c r="P60" i="3" s="1"/>
  <c r="K60" i="3"/>
  <c r="L60" i="3" s="1"/>
  <c r="O59" i="3"/>
  <c r="P59" i="3" s="1"/>
  <c r="K59" i="3"/>
  <c r="L59" i="3" s="1"/>
  <c r="O58" i="3"/>
  <c r="P58" i="3" s="1"/>
  <c r="K58" i="3"/>
  <c r="L58" i="3" s="1"/>
  <c r="O57" i="3"/>
  <c r="P57" i="3" s="1"/>
  <c r="K57" i="3"/>
  <c r="L57" i="3" s="1"/>
  <c r="O56" i="3"/>
  <c r="P56" i="3" s="1"/>
  <c r="K56" i="3"/>
  <c r="L56" i="3" s="1"/>
  <c r="O55" i="3"/>
  <c r="P55" i="3" s="1"/>
  <c r="K55" i="3"/>
  <c r="L55" i="3" s="1"/>
  <c r="O54" i="3"/>
  <c r="P54" i="3" s="1"/>
  <c r="K54" i="3"/>
  <c r="L54" i="3" s="1"/>
  <c r="O53" i="3"/>
  <c r="P53" i="3" s="1"/>
  <c r="K53" i="3"/>
  <c r="L53" i="3" s="1"/>
  <c r="O52" i="3"/>
  <c r="P52" i="3" s="1"/>
  <c r="K52" i="3"/>
  <c r="L52" i="3" s="1"/>
  <c r="P51" i="3"/>
  <c r="O51" i="3"/>
  <c r="K51" i="3"/>
  <c r="L51" i="3" s="1"/>
  <c r="O50" i="3"/>
  <c r="P50" i="3" s="1"/>
  <c r="K50" i="3"/>
  <c r="L50" i="3" s="1"/>
  <c r="O49" i="3"/>
  <c r="P49" i="3" s="1"/>
  <c r="K49" i="3"/>
  <c r="L49" i="3" s="1"/>
  <c r="O48" i="3"/>
  <c r="P48" i="3" s="1"/>
  <c r="K48" i="3"/>
  <c r="L48" i="3" s="1"/>
  <c r="O47" i="3"/>
  <c r="P47" i="3" s="1"/>
  <c r="K47" i="3"/>
  <c r="L47" i="3" s="1"/>
  <c r="O46" i="3"/>
  <c r="P46" i="3" s="1"/>
  <c r="K46" i="3"/>
  <c r="L46" i="3" s="1"/>
  <c r="O45" i="3"/>
  <c r="P45" i="3" s="1"/>
  <c r="K45" i="3"/>
  <c r="L45" i="3" s="1"/>
  <c r="O44" i="3"/>
  <c r="P44" i="3" s="1"/>
  <c r="K44" i="3"/>
  <c r="L44" i="3" s="1"/>
  <c r="O43" i="3"/>
  <c r="P43" i="3" s="1"/>
  <c r="K43" i="3"/>
  <c r="L43" i="3" s="1"/>
  <c r="O42" i="3"/>
  <c r="P42" i="3" s="1"/>
  <c r="K42" i="3"/>
  <c r="L42" i="3" s="1"/>
  <c r="O41" i="3"/>
  <c r="P41" i="3" s="1"/>
  <c r="K41" i="3"/>
  <c r="L41" i="3" s="1"/>
  <c r="O40" i="3"/>
  <c r="P40" i="3" s="1"/>
  <c r="K40" i="3"/>
  <c r="L40" i="3" s="1"/>
  <c r="Q692" i="7" l="1"/>
  <c r="R692" i="7" s="1"/>
  <c r="U716" i="7"/>
  <c r="U704" i="7"/>
  <c r="Q688" i="7"/>
  <c r="R688" i="7" s="1"/>
  <c r="U688" i="7" s="1"/>
  <c r="Q656" i="7"/>
  <c r="R656" i="7" s="1"/>
  <c r="U656" i="7"/>
  <c r="Q662" i="7"/>
  <c r="R662" i="7" s="1"/>
  <c r="M652" i="7"/>
  <c r="N652" i="7" s="1"/>
  <c r="S652" i="7" s="1"/>
  <c r="U652" i="7" s="1"/>
  <c r="M680" i="7"/>
  <c r="N680" i="7" s="1"/>
  <c r="S680" i="7" s="1"/>
  <c r="Q620" i="7"/>
  <c r="R620" i="7" s="1"/>
  <c r="U626" i="7"/>
  <c r="U638" i="7"/>
  <c r="U644" i="7"/>
  <c r="M616" i="7"/>
  <c r="N616" i="7" s="1"/>
  <c r="S616" i="7" s="1"/>
  <c r="U616" i="7" s="1"/>
  <c r="M620" i="7"/>
  <c r="N620" i="7" s="1"/>
  <c r="S620" i="7" s="1"/>
  <c r="U620" i="7" s="1"/>
  <c r="M632" i="7"/>
  <c r="N632" i="7" s="1"/>
  <c r="S632" i="7" s="1"/>
  <c r="Q590" i="7"/>
  <c r="R590" i="7" s="1"/>
  <c r="M596" i="7"/>
  <c r="N596" i="7" s="1"/>
  <c r="S596" i="7" s="1"/>
  <c r="Q560" i="7"/>
  <c r="R560" i="7" s="1"/>
  <c r="Q572" i="7"/>
  <c r="R572" i="7" s="1"/>
  <c r="M560" i="7"/>
  <c r="N560" i="7" s="1"/>
  <c r="S560" i="7" s="1"/>
  <c r="U560" i="7" s="1"/>
  <c r="M548" i="7"/>
  <c r="N548" i="7" s="1"/>
  <c r="S548" i="7" s="1"/>
  <c r="M554" i="7"/>
  <c r="N554" i="7" s="1"/>
  <c r="S554" i="7" s="1"/>
  <c r="Q524" i="7"/>
  <c r="R524" i="7" s="1"/>
  <c r="Q536" i="7"/>
  <c r="R536" i="7" s="1"/>
  <c r="Q508" i="7"/>
  <c r="R508" i="7" s="1"/>
  <c r="Q512" i="7"/>
  <c r="R512" i="7" s="1"/>
  <c r="M508" i="7"/>
  <c r="N508" i="7" s="1"/>
  <c r="S508" i="7" s="1"/>
  <c r="U508" i="7" s="1"/>
  <c r="M512" i="7"/>
  <c r="N512" i="7" s="1"/>
  <c r="S512" i="7" s="1"/>
  <c r="M536" i="7"/>
  <c r="N536" i="7" s="1"/>
  <c r="S536" i="7" s="1"/>
  <c r="U536" i="7" s="1"/>
  <c r="Q500" i="7"/>
  <c r="R500" i="7" s="1"/>
  <c r="Q482" i="7"/>
  <c r="R482" i="7" s="1"/>
  <c r="Q476" i="7"/>
  <c r="R476" i="7" s="1"/>
  <c r="Q494" i="7"/>
  <c r="R494" i="7" s="1"/>
  <c r="M500" i="7"/>
  <c r="N500" i="7" s="1"/>
  <c r="S500" i="7" s="1"/>
  <c r="U500" i="7" s="1"/>
  <c r="M494" i="7"/>
  <c r="N494" i="7" s="1"/>
  <c r="S494" i="7" s="1"/>
  <c r="U494" i="7" s="1"/>
  <c r="U488" i="7"/>
  <c r="Q458" i="7"/>
  <c r="R458" i="7" s="1"/>
  <c r="Q452" i="7"/>
  <c r="R452" i="7" s="1"/>
  <c r="U458" i="7"/>
  <c r="M410" i="7"/>
  <c r="N410" i="7" s="1"/>
  <c r="S410" i="7" s="1"/>
  <c r="M400" i="7"/>
  <c r="N400" i="7" s="1"/>
  <c r="S400" i="7" s="1"/>
  <c r="U410" i="7"/>
  <c r="M422" i="7"/>
  <c r="N422" i="7" s="1"/>
  <c r="S422" i="7" s="1"/>
  <c r="Q386" i="7"/>
  <c r="R386" i="7" s="1"/>
  <c r="M392" i="7"/>
  <c r="N392" i="7" s="1"/>
  <c r="S392" i="7" s="1"/>
  <c r="Q332" i="7"/>
  <c r="R332" i="7" s="1"/>
  <c r="U332" i="7" s="1"/>
  <c r="Q344" i="7"/>
  <c r="R344" i="7" s="1"/>
  <c r="M344" i="7"/>
  <c r="N344" i="7" s="1"/>
  <c r="S344" i="7" s="1"/>
  <c r="M350" i="7"/>
  <c r="N350" i="7" s="1"/>
  <c r="S350" i="7" s="1"/>
  <c r="Q302" i="7"/>
  <c r="R302" i="7" s="1"/>
  <c r="Q292" i="7"/>
  <c r="R292" i="7" s="1"/>
  <c r="U292" i="7"/>
  <c r="M296" i="7"/>
  <c r="N296" i="7" s="1"/>
  <c r="S296" i="7" s="1"/>
  <c r="U296" i="7" s="1"/>
  <c r="M302" i="7"/>
  <c r="N302" i="7" s="1"/>
  <c r="S302" i="7" s="1"/>
  <c r="U302" i="7" s="1"/>
  <c r="U260" i="7"/>
  <c r="Q272" i="7"/>
  <c r="R272" i="7" s="1"/>
  <c r="Q278" i="7"/>
  <c r="R278" i="7" s="1"/>
  <c r="U278" i="7" s="1"/>
  <c r="Q284" i="7"/>
  <c r="R284" i="7" s="1"/>
  <c r="U284" i="7" s="1"/>
  <c r="M266" i="7"/>
  <c r="N266" i="7" s="1"/>
  <c r="S266" i="7" s="1"/>
  <c r="U266" i="7" s="1"/>
  <c r="Q242" i="7"/>
  <c r="R242" i="7" s="1"/>
  <c r="U242" i="7" s="1"/>
  <c r="Q248" i="7"/>
  <c r="R248" i="7" s="1"/>
  <c r="Q224" i="7"/>
  <c r="R224" i="7" s="1"/>
  <c r="M220" i="7"/>
  <c r="N220" i="7" s="1"/>
  <c r="S220" i="7" s="1"/>
  <c r="Q188" i="7"/>
  <c r="R188" i="7" s="1"/>
  <c r="Q200" i="7"/>
  <c r="R200" i="7" s="1"/>
  <c r="U200" i="7" s="1"/>
  <c r="Q206" i="7"/>
  <c r="R206" i="7" s="1"/>
  <c r="Q212" i="7"/>
  <c r="R212" i="7" s="1"/>
  <c r="Q184" i="7"/>
  <c r="R184" i="7" s="1"/>
  <c r="M212" i="7"/>
  <c r="N212" i="7" s="1"/>
  <c r="S212" i="7" s="1"/>
  <c r="U212" i="7" s="1"/>
  <c r="Q152" i="7"/>
  <c r="R152" i="7" s="1"/>
  <c r="M176" i="7"/>
  <c r="N176" i="7" s="1"/>
  <c r="S176" i="7" s="1"/>
  <c r="U176" i="7" s="1"/>
  <c r="M158" i="7"/>
  <c r="N158" i="7" s="1"/>
  <c r="S158" i="7" s="1"/>
  <c r="M148" i="7"/>
  <c r="N148" i="7" s="1"/>
  <c r="S148" i="7" s="1"/>
  <c r="Q112" i="7"/>
  <c r="R112" i="7" s="1"/>
  <c r="Q122" i="7"/>
  <c r="R122" i="7" s="1"/>
  <c r="Q134" i="7"/>
  <c r="R134" i="7" s="1"/>
  <c r="U112" i="7"/>
  <c r="M116" i="7"/>
  <c r="N116" i="7" s="1"/>
  <c r="S116" i="7" s="1"/>
  <c r="M128" i="7"/>
  <c r="N128" i="7" s="1"/>
  <c r="S128" i="7" s="1"/>
  <c r="M140" i="7"/>
  <c r="N140" i="7" s="1"/>
  <c r="S140" i="7" s="1"/>
  <c r="Q86" i="7"/>
  <c r="R86" i="7" s="1"/>
  <c r="Q92" i="7"/>
  <c r="R92" i="7" s="1"/>
  <c r="Q104" i="7"/>
  <c r="R104" i="7" s="1"/>
  <c r="U80" i="7"/>
  <c r="M86" i="7"/>
  <c r="N86" i="7" s="1"/>
  <c r="S86" i="7" s="1"/>
  <c r="U86" i="7" s="1"/>
  <c r="M76" i="7"/>
  <c r="N76" i="7" s="1"/>
  <c r="S76" i="7" s="1"/>
  <c r="U76" i="7" s="1"/>
  <c r="M98" i="7"/>
  <c r="N98" i="7" s="1"/>
  <c r="S98" i="7" s="1"/>
  <c r="U98" i="7" s="1"/>
  <c r="M104" i="7"/>
  <c r="N104" i="7" s="1"/>
  <c r="S104" i="7" s="1"/>
  <c r="Q62" i="7"/>
  <c r="R62" i="7" s="1"/>
  <c r="Q56" i="7"/>
  <c r="R56" i="7" s="1"/>
  <c r="Q50" i="7"/>
  <c r="R50" i="7" s="1"/>
  <c r="U50" i="7"/>
  <c r="U62" i="7"/>
  <c r="M40" i="7"/>
  <c r="N40" i="7" s="1"/>
  <c r="S40" i="7" s="1"/>
  <c r="U40" i="7" s="1"/>
  <c r="M44" i="7"/>
  <c r="N44" i="7" s="1"/>
  <c r="S44" i="7" s="1"/>
  <c r="U44" i="7" s="1"/>
  <c r="M56" i="7"/>
  <c r="N56" i="7" s="1"/>
  <c r="S56" i="7" s="1"/>
  <c r="U56" i="7" s="1"/>
  <c r="M68" i="7"/>
  <c r="N68" i="7" s="1"/>
  <c r="S68" i="7" s="1"/>
  <c r="U68" i="7" s="1"/>
  <c r="Q14" i="7"/>
  <c r="R14" i="7" s="1"/>
  <c r="Q32" i="7"/>
  <c r="R32" i="7" s="1"/>
  <c r="Q8" i="7"/>
  <c r="R8" i="7" s="1"/>
  <c r="Q20" i="7"/>
  <c r="R20" i="7" s="1"/>
  <c r="U26" i="7"/>
  <c r="M20" i="7"/>
  <c r="N20" i="7" s="1"/>
  <c r="S20" i="7" s="1"/>
  <c r="M32" i="7"/>
  <c r="N32" i="7" s="1"/>
  <c r="S32" i="7" s="1"/>
  <c r="U32" i="7" s="1"/>
  <c r="M14" i="7"/>
  <c r="N14" i="7" s="1"/>
  <c r="S14" i="7" s="1"/>
  <c r="Q704" i="6"/>
  <c r="R704" i="6" s="1"/>
  <c r="M710" i="6"/>
  <c r="N710" i="6" s="1"/>
  <c r="S710" i="6" s="1"/>
  <c r="U710" i="6" s="1"/>
  <c r="M716" i="6"/>
  <c r="N716" i="6" s="1"/>
  <c r="S716" i="6" s="1"/>
  <c r="U716" i="6" s="1"/>
  <c r="Q652" i="6"/>
  <c r="R652" i="6" s="1"/>
  <c r="Q674" i="6"/>
  <c r="R674" i="6" s="1"/>
  <c r="Q680" i="6"/>
  <c r="R680" i="6" s="1"/>
  <c r="M652" i="6"/>
  <c r="N652" i="6" s="1"/>
  <c r="S652" i="6" s="1"/>
  <c r="U652" i="6" s="1"/>
  <c r="M662" i="6"/>
  <c r="N662" i="6" s="1"/>
  <c r="S662" i="6" s="1"/>
  <c r="U638" i="6"/>
  <c r="Q620" i="6"/>
  <c r="R620" i="6" s="1"/>
  <c r="Q626" i="6"/>
  <c r="R626" i="6" s="1"/>
  <c r="Q632" i="6"/>
  <c r="R632" i="6" s="1"/>
  <c r="Q638" i="6"/>
  <c r="R638" i="6" s="1"/>
  <c r="Q644" i="6"/>
  <c r="R644" i="6" s="1"/>
  <c r="U644" i="6" s="1"/>
  <c r="M632" i="6"/>
  <c r="N632" i="6" s="1"/>
  <c r="S632" i="6" s="1"/>
  <c r="U632" i="6" s="1"/>
  <c r="M626" i="6"/>
  <c r="N626" i="6" s="1"/>
  <c r="S626" i="6" s="1"/>
  <c r="U580" i="6"/>
  <c r="U602" i="6"/>
  <c r="U584" i="6"/>
  <c r="Q584" i="6"/>
  <c r="R584" i="6" s="1"/>
  <c r="M590" i="6"/>
  <c r="N590" i="6" s="1"/>
  <c r="S590" i="6" s="1"/>
  <c r="M566" i="6"/>
  <c r="N566" i="6" s="1"/>
  <c r="S566" i="6" s="1"/>
  <c r="M544" i="6"/>
  <c r="N544" i="6" s="1"/>
  <c r="S544" i="6" s="1"/>
  <c r="M572" i="6"/>
  <c r="N572" i="6" s="1"/>
  <c r="S572" i="6" s="1"/>
  <c r="Q508" i="6"/>
  <c r="R508" i="6" s="1"/>
  <c r="Q518" i="6"/>
  <c r="R518" i="6" s="1"/>
  <c r="Q530" i="6"/>
  <c r="R530" i="6" s="1"/>
  <c r="Q524" i="6"/>
  <c r="R524" i="6" s="1"/>
  <c r="M524" i="6"/>
  <c r="N524" i="6" s="1"/>
  <c r="S524" i="6" s="1"/>
  <c r="M512" i="6"/>
  <c r="N512" i="6" s="1"/>
  <c r="S512" i="6" s="1"/>
  <c r="M536" i="6"/>
  <c r="N536" i="6" s="1"/>
  <c r="S536" i="6" s="1"/>
  <c r="Q476" i="6"/>
  <c r="R476" i="6" s="1"/>
  <c r="U476" i="6"/>
  <c r="M500" i="6"/>
  <c r="N500" i="6" s="1"/>
  <c r="S500" i="6" s="1"/>
  <c r="M494" i="6"/>
  <c r="N494" i="6" s="1"/>
  <c r="S494" i="6" s="1"/>
  <c r="M472" i="6"/>
  <c r="N472" i="6" s="1"/>
  <c r="S472" i="6" s="1"/>
  <c r="Q458" i="6"/>
  <c r="R458" i="6" s="1"/>
  <c r="Q440" i="6"/>
  <c r="R440" i="6" s="1"/>
  <c r="U440" i="6" s="1"/>
  <c r="Q464" i="6"/>
  <c r="R464" i="6" s="1"/>
  <c r="M458" i="6"/>
  <c r="N458" i="6" s="1"/>
  <c r="S458" i="6" s="1"/>
  <c r="U458" i="6" s="1"/>
  <c r="M452" i="6"/>
  <c r="N452" i="6" s="1"/>
  <c r="S452" i="6" s="1"/>
  <c r="Q404" i="6"/>
  <c r="R404" i="6" s="1"/>
  <c r="Q428" i="6"/>
  <c r="R428" i="6" s="1"/>
  <c r="Q400" i="6"/>
  <c r="R400" i="6" s="1"/>
  <c r="Q422" i="6"/>
  <c r="R422" i="6" s="1"/>
  <c r="M416" i="6"/>
  <c r="N416" i="6" s="1"/>
  <c r="S416" i="6" s="1"/>
  <c r="U416" i="6" s="1"/>
  <c r="M400" i="6"/>
  <c r="N400" i="6" s="1"/>
  <c r="S400" i="6" s="1"/>
  <c r="U400" i="6" s="1"/>
  <c r="M410" i="6"/>
  <c r="N410" i="6" s="1"/>
  <c r="S410" i="6" s="1"/>
  <c r="Q374" i="6"/>
  <c r="R374" i="6" s="1"/>
  <c r="Q380" i="6"/>
  <c r="R380" i="6" s="1"/>
  <c r="M380" i="6"/>
  <c r="N380" i="6" s="1"/>
  <c r="S380" i="6" s="1"/>
  <c r="M374" i="6"/>
  <c r="N374" i="6" s="1"/>
  <c r="S374" i="6" s="1"/>
  <c r="U374" i="6" s="1"/>
  <c r="M368" i="6"/>
  <c r="N368" i="6" s="1"/>
  <c r="S368" i="6" s="1"/>
  <c r="M392" i="6"/>
  <c r="N392" i="6" s="1"/>
  <c r="S392" i="6" s="1"/>
  <c r="M364" i="6"/>
  <c r="N364" i="6" s="1"/>
  <c r="S364" i="6" s="1"/>
  <c r="U364" i="6" s="1"/>
  <c r="Q344" i="6"/>
  <c r="R344" i="6" s="1"/>
  <c r="Q356" i="6"/>
  <c r="R356" i="6" s="1"/>
  <c r="U344" i="6"/>
  <c r="M356" i="6"/>
  <c r="N356" i="6" s="1"/>
  <c r="S356" i="6" s="1"/>
  <c r="M332" i="6"/>
  <c r="N332" i="6" s="1"/>
  <c r="S332" i="6" s="1"/>
  <c r="U332" i="6" s="1"/>
  <c r="M328" i="6"/>
  <c r="N328" i="6" s="1"/>
  <c r="S328" i="6" s="1"/>
  <c r="U328" i="6" s="1"/>
  <c r="M350" i="6"/>
  <c r="N350" i="6" s="1"/>
  <c r="S350" i="6" s="1"/>
  <c r="U350" i="6" s="1"/>
  <c r="Q292" i="6"/>
  <c r="R292" i="6" s="1"/>
  <c r="Q314" i="6"/>
  <c r="R314" i="6" s="1"/>
  <c r="U314" i="6" s="1"/>
  <c r="Q302" i="6"/>
  <c r="R302" i="6" s="1"/>
  <c r="U302" i="6" s="1"/>
  <c r="Q320" i="6"/>
  <c r="R320" i="6" s="1"/>
  <c r="M292" i="6"/>
  <c r="N292" i="6" s="1"/>
  <c r="S292" i="6" s="1"/>
  <c r="U292" i="6" s="1"/>
  <c r="M320" i="6"/>
  <c r="N320" i="6" s="1"/>
  <c r="S320" i="6" s="1"/>
  <c r="M308" i="6"/>
  <c r="N308" i="6" s="1"/>
  <c r="S308" i="6" s="1"/>
  <c r="Q256" i="6"/>
  <c r="R256" i="6" s="1"/>
  <c r="Q272" i="6"/>
  <c r="R272" i="6" s="1"/>
  <c r="Q284" i="6"/>
  <c r="R284" i="6" s="1"/>
  <c r="M272" i="6"/>
  <c r="N272" i="6" s="1"/>
  <c r="S272" i="6" s="1"/>
  <c r="M256" i="6"/>
  <c r="N256" i="6" s="1"/>
  <c r="S256" i="6" s="1"/>
  <c r="M284" i="6"/>
  <c r="N284" i="6" s="1"/>
  <c r="S284" i="6" s="1"/>
  <c r="U284" i="6" s="1"/>
  <c r="M266" i="6"/>
  <c r="N266" i="6" s="1"/>
  <c r="S266" i="6" s="1"/>
  <c r="Q224" i="6"/>
  <c r="R224" i="6" s="1"/>
  <c r="U224" i="6" s="1"/>
  <c r="Q236" i="6"/>
  <c r="R236" i="6" s="1"/>
  <c r="U230" i="6"/>
  <c r="Q230" i="6"/>
  <c r="R230" i="6" s="1"/>
  <c r="M220" i="6"/>
  <c r="N220" i="6" s="1"/>
  <c r="S220" i="6" s="1"/>
  <c r="M242" i="6"/>
  <c r="N242" i="6" s="1"/>
  <c r="S242" i="6" s="1"/>
  <c r="M248" i="6"/>
  <c r="N248" i="6" s="1"/>
  <c r="S248" i="6" s="1"/>
  <c r="U248" i="6" s="1"/>
  <c r="Q206" i="6"/>
  <c r="R206" i="6" s="1"/>
  <c r="M194" i="6"/>
  <c r="N194" i="6" s="1"/>
  <c r="S194" i="6" s="1"/>
  <c r="U194" i="6" s="1"/>
  <c r="M200" i="6"/>
  <c r="N200" i="6" s="1"/>
  <c r="S200" i="6" s="1"/>
  <c r="M184" i="6"/>
  <c r="N184" i="6" s="1"/>
  <c r="S184" i="6" s="1"/>
  <c r="U184" i="6" s="1"/>
  <c r="M206" i="6"/>
  <c r="N206" i="6" s="1"/>
  <c r="S206" i="6" s="1"/>
  <c r="M212" i="6"/>
  <c r="N212" i="6" s="1"/>
  <c r="S212" i="6" s="1"/>
  <c r="Q148" i="6"/>
  <c r="R148" i="6" s="1"/>
  <c r="U158" i="6"/>
  <c r="U176" i="6"/>
  <c r="M164" i="6"/>
  <c r="N164" i="6" s="1"/>
  <c r="S164" i="6" s="1"/>
  <c r="U164" i="6" s="1"/>
  <c r="M170" i="6"/>
  <c r="N170" i="6" s="1"/>
  <c r="S170" i="6" s="1"/>
  <c r="M152" i="6"/>
  <c r="N152" i="6" s="1"/>
  <c r="S152" i="6" s="1"/>
  <c r="U152" i="6" s="1"/>
  <c r="U112" i="6"/>
  <c r="Q116" i="6"/>
  <c r="R116" i="6" s="1"/>
  <c r="U128" i="6"/>
  <c r="M134" i="6"/>
  <c r="N134" i="6" s="1"/>
  <c r="S134" i="6" s="1"/>
  <c r="U134" i="6" s="1"/>
  <c r="M140" i="6"/>
  <c r="N140" i="6" s="1"/>
  <c r="S140" i="6" s="1"/>
  <c r="M122" i="6"/>
  <c r="N122" i="6" s="1"/>
  <c r="S122" i="6" s="1"/>
  <c r="U122" i="6" s="1"/>
  <c r="M76" i="6"/>
  <c r="N76" i="6" s="1"/>
  <c r="S76" i="6" s="1"/>
  <c r="U76" i="6" s="1"/>
  <c r="M104" i="6"/>
  <c r="N104" i="6" s="1"/>
  <c r="S104" i="6" s="1"/>
  <c r="U104" i="6" s="1"/>
  <c r="M92" i="6"/>
  <c r="N92" i="6" s="1"/>
  <c r="S92" i="6" s="1"/>
  <c r="Q40" i="6"/>
  <c r="R40" i="6" s="1"/>
  <c r="Q44" i="6"/>
  <c r="R44" i="6" s="1"/>
  <c r="Q50" i="6"/>
  <c r="R50" i="6" s="1"/>
  <c r="Q56" i="6"/>
  <c r="R56" i="6" s="1"/>
  <c r="M50" i="6"/>
  <c r="N50" i="6" s="1"/>
  <c r="S50" i="6" s="1"/>
  <c r="M62" i="6"/>
  <c r="N62" i="6" s="1"/>
  <c r="S62" i="6" s="1"/>
  <c r="Q4" i="6"/>
  <c r="R4" i="6" s="1"/>
  <c r="Q8" i="6"/>
  <c r="R8" i="6" s="1"/>
  <c r="Q14" i="6"/>
  <c r="R14" i="6" s="1"/>
  <c r="Q20" i="6"/>
  <c r="R20" i="6" s="1"/>
  <c r="U20" i="6" s="1"/>
  <c r="Q26" i="6"/>
  <c r="R26" i="6" s="1"/>
  <c r="Q32" i="6"/>
  <c r="R32" i="6" s="1"/>
  <c r="Q710" i="5"/>
  <c r="R710" i="5" s="1"/>
  <c r="U688" i="5"/>
  <c r="Q692" i="5"/>
  <c r="R692" i="5" s="1"/>
  <c r="U692" i="5" s="1"/>
  <c r="M704" i="5"/>
  <c r="N704" i="5" s="1"/>
  <c r="S704" i="5" s="1"/>
  <c r="M698" i="5"/>
  <c r="N698" i="5" s="1"/>
  <c r="S698" i="5" s="1"/>
  <c r="U698" i="5" s="1"/>
  <c r="M710" i="5"/>
  <c r="N710" i="5" s="1"/>
  <c r="S710" i="5" s="1"/>
  <c r="M716" i="5"/>
  <c r="N716" i="5" s="1"/>
  <c r="S716" i="5" s="1"/>
  <c r="U716" i="5" s="1"/>
  <c r="U680" i="5"/>
  <c r="Q674" i="5"/>
  <c r="R674" i="5" s="1"/>
  <c r="U674" i="5"/>
  <c r="U668" i="5"/>
  <c r="M656" i="5"/>
  <c r="N656" i="5" s="1"/>
  <c r="S656" i="5" s="1"/>
  <c r="U656" i="5" s="1"/>
  <c r="Q626" i="5"/>
  <c r="R626" i="5" s="1"/>
  <c r="Q616" i="5"/>
  <c r="R616" i="5" s="1"/>
  <c r="Q632" i="5"/>
  <c r="R632" i="5" s="1"/>
  <c r="U632" i="5" s="1"/>
  <c r="U626" i="5"/>
  <c r="M616" i="5"/>
  <c r="N616" i="5" s="1"/>
  <c r="S616" i="5" s="1"/>
  <c r="U616" i="5" s="1"/>
  <c r="M620" i="5"/>
  <c r="N620" i="5" s="1"/>
  <c r="S620" i="5" s="1"/>
  <c r="M638" i="5"/>
  <c r="N638" i="5" s="1"/>
  <c r="S638" i="5" s="1"/>
  <c r="U638" i="5" s="1"/>
  <c r="Q596" i="5"/>
  <c r="R596" i="5" s="1"/>
  <c r="Q608" i="5"/>
  <c r="R608" i="5" s="1"/>
  <c r="Q590" i="5"/>
  <c r="R590" i="5" s="1"/>
  <c r="U590" i="5"/>
  <c r="U608" i="5"/>
  <c r="M584" i="5"/>
  <c r="N584" i="5" s="1"/>
  <c r="S584" i="5" s="1"/>
  <c r="U584" i="5" s="1"/>
  <c r="M596" i="5"/>
  <c r="N596" i="5" s="1"/>
  <c r="S596" i="5" s="1"/>
  <c r="Q566" i="5"/>
  <c r="R566" i="5" s="1"/>
  <c r="Q544" i="5"/>
  <c r="R544" i="5" s="1"/>
  <c r="Q548" i="5"/>
  <c r="R548" i="5" s="1"/>
  <c r="U548" i="5" s="1"/>
  <c r="Q572" i="5"/>
  <c r="R572" i="5" s="1"/>
  <c r="U572" i="5" s="1"/>
  <c r="M572" i="5"/>
  <c r="N572" i="5" s="1"/>
  <c r="S572" i="5" s="1"/>
  <c r="M544" i="5"/>
  <c r="N544" i="5" s="1"/>
  <c r="S544" i="5" s="1"/>
  <c r="M566" i="5"/>
  <c r="N566" i="5" s="1"/>
  <c r="S566" i="5" s="1"/>
  <c r="M560" i="5"/>
  <c r="N560" i="5" s="1"/>
  <c r="S560" i="5" s="1"/>
  <c r="Q536" i="5"/>
  <c r="R536" i="5" s="1"/>
  <c r="Q508" i="5"/>
  <c r="R508" i="5" s="1"/>
  <c r="Q524" i="5"/>
  <c r="R524" i="5" s="1"/>
  <c r="Q518" i="5"/>
  <c r="R518" i="5" s="1"/>
  <c r="U524" i="5"/>
  <c r="M536" i="5"/>
  <c r="N536" i="5" s="1"/>
  <c r="S536" i="5" s="1"/>
  <c r="U536" i="5" s="1"/>
  <c r="M518" i="5"/>
  <c r="N518" i="5" s="1"/>
  <c r="S518" i="5" s="1"/>
  <c r="Q494" i="5"/>
  <c r="R494" i="5" s="1"/>
  <c r="Q482" i="5"/>
  <c r="R482" i="5" s="1"/>
  <c r="Q488" i="5"/>
  <c r="R488" i="5" s="1"/>
  <c r="U482" i="5"/>
  <c r="M494" i="5"/>
  <c r="N494" i="5" s="1"/>
  <c r="S494" i="5" s="1"/>
  <c r="U494" i="5" s="1"/>
  <c r="M488" i="5"/>
  <c r="N488" i="5" s="1"/>
  <c r="S488" i="5" s="1"/>
  <c r="Q458" i="5"/>
  <c r="R458" i="5" s="1"/>
  <c r="U458" i="5" s="1"/>
  <c r="Q400" i="5"/>
  <c r="R400" i="5" s="1"/>
  <c r="Q428" i="5"/>
  <c r="R428" i="5" s="1"/>
  <c r="Q404" i="5"/>
  <c r="R404" i="5" s="1"/>
  <c r="Q422" i="5"/>
  <c r="R422" i="5" s="1"/>
  <c r="U422" i="5" s="1"/>
  <c r="Q416" i="5"/>
  <c r="R416" i="5" s="1"/>
  <c r="U416" i="5" s="1"/>
  <c r="M422" i="5"/>
  <c r="N422" i="5" s="1"/>
  <c r="S422" i="5" s="1"/>
  <c r="Q364" i="5"/>
  <c r="R364" i="5" s="1"/>
  <c r="Q392" i="5"/>
  <c r="R392" i="5" s="1"/>
  <c r="Q380" i="5"/>
  <c r="R380" i="5" s="1"/>
  <c r="U380" i="5" s="1"/>
  <c r="M386" i="5"/>
  <c r="N386" i="5" s="1"/>
  <c r="S386" i="5" s="1"/>
  <c r="M374" i="5"/>
  <c r="N374" i="5" s="1"/>
  <c r="S374" i="5" s="1"/>
  <c r="Q350" i="5"/>
  <c r="R350" i="5" s="1"/>
  <c r="Q338" i="5"/>
  <c r="R338" i="5" s="1"/>
  <c r="U338" i="5"/>
  <c r="M350" i="5"/>
  <c r="N350" i="5" s="1"/>
  <c r="S350" i="5" s="1"/>
  <c r="U350" i="5" s="1"/>
  <c r="M344" i="5"/>
  <c r="N344" i="5" s="1"/>
  <c r="S344" i="5" s="1"/>
  <c r="M332" i="5"/>
  <c r="N332" i="5" s="1"/>
  <c r="S332" i="5" s="1"/>
  <c r="Q296" i="5"/>
  <c r="R296" i="5" s="1"/>
  <c r="Q320" i="5"/>
  <c r="R320" i="5" s="1"/>
  <c r="M320" i="5"/>
  <c r="N320" i="5" s="1"/>
  <c r="S320" i="5" s="1"/>
  <c r="U320" i="5" s="1"/>
  <c r="M314" i="5"/>
  <c r="N314" i="5" s="1"/>
  <c r="S314" i="5" s="1"/>
  <c r="Q278" i="5"/>
  <c r="R278" i="5" s="1"/>
  <c r="Q256" i="5"/>
  <c r="R256" i="5" s="1"/>
  <c r="U256" i="5" s="1"/>
  <c r="Q260" i="5"/>
  <c r="R260" i="5" s="1"/>
  <c r="Q272" i="5"/>
  <c r="R272" i="5" s="1"/>
  <c r="M272" i="5"/>
  <c r="N272" i="5" s="1"/>
  <c r="S272" i="5" s="1"/>
  <c r="U272" i="5" s="1"/>
  <c r="M284" i="5"/>
  <c r="N284" i="5" s="1"/>
  <c r="S284" i="5" s="1"/>
  <c r="Q224" i="5"/>
  <c r="R224" i="5" s="1"/>
  <c r="Q242" i="5"/>
  <c r="R242" i="5" s="1"/>
  <c r="M220" i="5"/>
  <c r="N220" i="5" s="1"/>
  <c r="S220" i="5" s="1"/>
  <c r="M236" i="5"/>
  <c r="N236" i="5" s="1"/>
  <c r="S236" i="5" s="1"/>
  <c r="U236" i="5" s="1"/>
  <c r="M224" i="5"/>
  <c r="N224" i="5" s="1"/>
  <c r="S224" i="5" s="1"/>
  <c r="U224" i="5" s="1"/>
  <c r="Q200" i="5"/>
  <c r="R200" i="5" s="1"/>
  <c r="Q212" i="5"/>
  <c r="R212" i="5" s="1"/>
  <c r="Q194" i="5"/>
  <c r="R194" i="5" s="1"/>
  <c r="U184" i="5"/>
  <c r="M194" i="5"/>
  <c r="N194" i="5" s="1"/>
  <c r="S194" i="5" s="1"/>
  <c r="M212" i="5"/>
  <c r="N212" i="5" s="1"/>
  <c r="S212" i="5" s="1"/>
  <c r="U212" i="5" s="1"/>
  <c r="Q164" i="5"/>
  <c r="R164" i="5" s="1"/>
  <c r="Q176" i="5"/>
  <c r="R176" i="5" s="1"/>
  <c r="Q158" i="5"/>
  <c r="R158" i="5" s="1"/>
  <c r="U152" i="5"/>
  <c r="M164" i="5"/>
  <c r="N164" i="5" s="1"/>
  <c r="S164" i="5" s="1"/>
  <c r="U164" i="5" s="1"/>
  <c r="M148" i="5"/>
  <c r="N148" i="5" s="1"/>
  <c r="S148" i="5" s="1"/>
  <c r="U148" i="5" s="1"/>
  <c r="M158" i="5"/>
  <c r="N158" i="5" s="1"/>
  <c r="S158" i="5" s="1"/>
  <c r="U158" i="5" s="1"/>
  <c r="Q122" i="5"/>
  <c r="R122" i="5" s="1"/>
  <c r="Q112" i="5"/>
  <c r="R112" i="5" s="1"/>
  <c r="U112" i="5" s="1"/>
  <c r="Q116" i="5"/>
  <c r="R116" i="5" s="1"/>
  <c r="M112" i="5"/>
  <c r="N112" i="5" s="1"/>
  <c r="S112" i="5" s="1"/>
  <c r="M134" i="5"/>
  <c r="N134" i="5" s="1"/>
  <c r="S134" i="5" s="1"/>
  <c r="U134" i="5" s="1"/>
  <c r="M140" i="5"/>
  <c r="N140" i="5" s="1"/>
  <c r="S140" i="5" s="1"/>
  <c r="U140" i="5" s="1"/>
  <c r="M128" i="5"/>
  <c r="N128" i="5" s="1"/>
  <c r="S128" i="5" s="1"/>
  <c r="U128" i="5" s="1"/>
  <c r="Q104" i="5"/>
  <c r="R104" i="5" s="1"/>
  <c r="U104" i="5" s="1"/>
  <c r="Q92" i="5"/>
  <c r="R92" i="5" s="1"/>
  <c r="M98" i="5"/>
  <c r="N98" i="5" s="1"/>
  <c r="S98" i="5" s="1"/>
  <c r="M92" i="5"/>
  <c r="N92" i="5" s="1"/>
  <c r="S92" i="5" s="1"/>
  <c r="M104" i="5"/>
  <c r="N104" i="5" s="1"/>
  <c r="S104" i="5" s="1"/>
  <c r="M86" i="5"/>
  <c r="N86" i="5" s="1"/>
  <c r="S86" i="5" s="1"/>
  <c r="Q50" i="5"/>
  <c r="R50" i="5" s="1"/>
  <c r="Q40" i="5"/>
  <c r="R40" i="5" s="1"/>
  <c r="U40" i="5" s="1"/>
  <c r="U50" i="5"/>
  <c r="U44" i="5"/>
  <c r="M68" i="5"/>
  <c r="N68" i="5" s="1"/>
  <c r="S68" i="5" s="1"/>
  <c r="Q14" i="5"/>
  <c r="R14" i="5" s="1"/>
  <c r="Q20" i="5"/>
  <c r="R20" i="5" s="1"/>
  <c r="Q32" i="5"/>
  <c r="R32" i="5" s="1"/>
  <c r="U32" i="5" s="1"/>
  <c r="M8" i="5"/>
  <c r="N8" i="5" s="1"/>
  <c r="S8" i="5" s="1"/>
  <c r="M14" i="5"/>
  <c r="N14" i="5" s="1"/>
  <c r="S14" i="5" s="1"/>
  <c r="M716" i="3"/>
  <c r="N716" i="3" s="1"/>
  <c r="S716" i="3" s="1"/>
  <c r="Q626" i="3"/>
  <c r="R626" i="3" s="1"/>
  <c r="Q554" i="3"/>
  <c r="R554" i="3" s="1"/>
  <c r="M508" i="3"/>
  <c r="N508" i="3" s="1"/>
  <c r="S508" i="3" s="1"/>
  <c r="Q494" i="3"/>
  <c r="R494" i="3" s="1"/>
  <c r="Q476" i="3"/>
  <c r="R476" i="3" s="1"/>
  <c r="Q440" i="3"/>
  <c r="R440" i="3" s="1"/>
  <c r="Q436" i="3"/>
  <c r="R436" i="3" s="1"/>
  <c r="Q458" i="3"/>
  <c r="R458" i="3" s="1"/>
  <c r="Q464" i="3"/>
  <c r="R464" i="3" s="1"/>
  <c r="M458" i="3"/>
  <c r="N458" i="3" s="1"/>
  <c r="S458" i="3" s="1"/>
  <c r="Q410" i="3"/>
  <c r="R410" i="3" s="1"/>
  <c r="Q380" i="3"/>
  <c r="R380" i="3" s="1"/>
  <c r="Q328" i="3"/>
  <c r="R328" i="3" s="1"/>
  <c r="U328" i="3" s="1"/>
  <c r="Q332" i="3"/>
  <c r="R332" i="3" s="1"/>
  <c r="U332" i="3" s="1"/>
  <c r="Q344" i="3"/>
  <c r="R344" i="3" s="1"/>
  <c r="Q338" i="3"/>
  <c r="R338" i="3" s="1"/>
  <c r="Q350" i="3"/>
  <c r="R350" i="3" s="1"/>
  <c r="U350" i="3" s="1"/>
  <c r="Q314" i="3"/>
  <c r="R314" i="3" s="1"/>
  <c r="M320" i="3"/>
  <c r="N320" i="3" s="1"/>
  <c r="S320" i="3" s="1"/>
  <c r="U320" i="3" s="1"/>
  <c r="Q272" i="3"/>
  <c r="R272" i="3" s="1"/>
  <c r="Q284" i="3"/>
  <c r="R284" i="3" s="1"/>
  <c r="Q248" i="3"/>
  <c r="R248" i="3" s="1"/>
  <c r="Q242" i="3"/>
  <c r="R242" i="3" s="1"/>
  <c r="Q220" i="3"/>
  <c r="R220" i="3" s="1"/>
  <c r="U220" i="3" s="1"/>
  <c r="M242" i="3"/>
  <c r="N242" i="3" s="1"/>
  <c r="S242" i="3" s="1"/>
  <c r="U242" i="3" s="1"/>
  <c r="M194" i="3"/>
  <c r="N194" i="3" s="1"/>
  <c r="S194" i="3" s="1"/>
  <c r="Q164" i="3"/>
  <c r="R164" i="3" s="1"/>
  <c r="M134" i="3"/>
  <c r="N134" i="3" s="1"/>
  <c r="S134" i="3" s="1"/>
  <c r="M112" i="3"/>
  <c r="N112" i="3" s="1"/>
  <c r="S112" i="3" s="1"/>
  <c r="Q80" i="3"/>
  <c r="R80" i="3" s="1"/>
  <c r="Q92" i="3"/>
  <c r="R92" i="3" s="1"/>
  <c r="Q98" i="3"/>
  <c r="R98" i="3" s="1"/>
  <c r="Q104" i="3"/>
  <c r="R104" i="3" s="1"/>
  <c r="Q112" i="3"/>
  <c r="R112" i="3" s="1"/>
  <c r="Q134" i="3"/>
  <c r="R134" i="3" s="1"/>
  <c r="M80" i="3"/>
  <c r="N80" i="3" s="1"/>
  <c r="S80" i="3" s="1"/>
  <c r="M86" i="3"/>
  <c r="N86" i="3" s="1"/>
  <c r="S86" i="3" s="1"/>
  <c r="M92" i="3"/>
  <c r="N92" i="3" s="1"/>
  <c r="S92" i="3" s="1"/>
  <c r="M76" i="3"/>
  <c r="N76" i="3" s="1"/>
  <c r="S76" i="3" s="1"/>
  <c r="M98" i="3"/>
  <c r="N98" i="3" s="1"/>
  <c r="S98" i="3" s="1"/>
  <c r="U98" i="3" s="1"/>
  <c r="Q62" i="3"/>
  <c r="R62" i="3" s="1"/>
  <c r="M40" i="3"/>
  <c r="N40" i="3" s="1"/>
  <c r="S40" i="3" s="1"/>
  <c r="M122" i="7"/>
  <c r="N122" i="7" s="1"/>
  <c r="S122" i="7" s="1"/>
  <c r="U122" i="7" s="1"/>
  <c r="M134" i="7"/>
  <c r="N134" i="7" s="1"/>
  <c r="S134" i="7" s="1"/>
  <c r="U134" i="7" s="1"/>
  <c r="Q148" i="7"/>
  <c r="R148" i="7" s="1"/>
  <c r="U148" i="7" s="1"/>
  <c r="U248" i="7"/>
  <c r="Q116" i="7"/>
  <c r="R116" i="7" s="1"/>
  <c r="U116" i="7" s="1"/>
  <c r="Q158" i="7"/>
  <c r="R158" i="7" s="1"/>
  <c r="M184" i="7"/>
  <c r="N184" i="7" s="1"/>
  <c r="S184" i="7" s="1"/>
  <c r="U184" i="7" s="1"/>
  <c r="M194" i="7"/>
  <c r="N194" i="7" s="1"/>
  <c r="S194" i="7" s="1"/>
  <c r="U194" i="7" s="1"/>
  <c r="M206" i="7"/>
  <c r="N206" i="7" s="1"/>
  <c r="S206" i="7" s="1"/>
  <c r="U206" i="7" s="1"/>
  <c r="Q230" i="7"/>
  <c r="R230" i="7" s="1"/>
  <c r="U230" i="7" s="1"/>
  <c r="U4" i="7"/>
  <c r="U8" i="7"/>
  <c r="U92" i="7"/>
  <c r="Q128" i="7"/>
  <c r="R128" i="7" s="1"/>
  <c r="Q140" i="7"/>
  <c r="R140" i="7" s="1"/>
  <c r="U140" i="7" s="1"/>
  <c r="M152" i="7"/>
  <c r="N152" i="7" s="1"/>
  <c r="S152" i="7" s="1"/>
  <c r="U152" i="7" s="1"/>
  <c r="M164" i="7"/>
  <c r="N164" i="7" s="1"/>
  <c r="S164" i="7" s="1"/>
  <c r="U164" i="7" s="1"/>
  <c r="U170" i="7"/>
  <c r="Q170" i="7"/>
  <c r="R170" i="7" s="1"/>
  <c r="U188" i="7"/>
  <c r="Q220" i="7"/>
  <c r="R220" i="7" s="1"/>
  <c r="M224" i="7"/>
  <c r="N224" i="7" s="1"/>
  <c r="S224" i="7" s="1"/>
  <c r="U224" i="7" s="1"/>
  <c r="M236" i="7"/>
  <c r="N236" i="7" s="1"/>
  <c r="S236" i="7" s="1"/>
  <c r="U236" i="7" s="1"/>
  <c r="U272" i="7"/>
  <c r="M320" i="7"/>
  <c r="N320" i="7" s="1"/>
  <c r="S320" i="7" s="1"/>
  <c r="M338" i="7"/>
  <c r="N338" i="7" s="1"/>
  <c r="S338" i="7" s="1"/>
  <c r="Q350" i="7"/>
  <c r="R350" i="7" s="1"/>
  <c r="M368" i="7"/>
  <c r="N368" i="7" s="1"/>
  <c r="S368" i="7" s="1"/>
  <c r="U386" i="7"/>
  <c r="M404" i="7"/>
  <c r="N404" i="7" s="1"/>
  <c r="S404" i="7" s="1"/>
  <c r="Q320" i="7"/>
  <c r="R320" i="7" s="1"/>
  <c r="M328" i="7"/>
  <c r="N328" i="7" s="1"/>
  <c r="S328" i="7" s="1"/>
  <c r="Q338" i="7"/>
  <c r="R338" i="7" s="1"/>
  <c r="M356" i="7"/>
  <c r="N356" i="7" s="1"/>
  <c r="S356" i="7" s="1"/>
  <c r="U356" i="7" s="1"/>
  <c r="M364" i="7"/>
  <c r="N364" i="7" s="1"/>
  <c r="S364" i="7" s="1"/>
  <c r="U364" i="7" s="1"/>
  <c r="M380" i="7"/>
  <c r="N380" i="7" s="1"/>
  <c r="S380" i="7" s="1"/>
  <c r="Q400" i="7"/>
  <c r="R400" i="7" s="1"/>
  <c r="M416" i="7"/>
  <c r="N416" i="7" s="1"/>
  <c r="S416" i="7" s="1"/>
  <c r="U428" i="7"/>
  <c r="Q328" i="7"/>
  <c r="R328" i="7" s="1"/>
  <c r="Q368" i="7"/>
  <c r="R368" i="7" s="1"/>
  <c r="Q374" i="7"/>
  <c r="R374" i="7" s="1"/>
  <c r="U374" i="7" s="1"/>
  <c r="Q380" i="7"/>
  <c r="R380" i="7" s="1"/>
  <c r="Q440" i="7"/>
  <c r="R440" i="7" s="1"/>
  <c r="Q518" i="7"/>
  <c r="R518" i="7" s="1"/>
  <c r="U518" i="7" s="1"/>
  <c r="Q392" i="7"/>
  <c r="R392" i="7" s="1"/>
  <c r="Q404" i="7"/>
  <c r="R404" i="7" s="1"/>
  <c r="Q446" i="7"/>
  <c r="R446" i="7" s="1"/>
  <c r="U446" i="7" s="1"/>
  <c r="M464" i="7"/>
  <c r="N464" i="7" s="1"/>
  <c r="S464" i="7" s="1"/>
  <c r="U482" i="7"/>
  <c r="M530" i="7"/>
  <c r="N530" i="7" s="1"/>
  <c r="S530" i="7" s="1"/>
  <c r="U530" i="7" s="1"/>
  <c r="Q416" i="7"/>
  <c r="R416" i="7" s="1"/>
  <c r="Q422" i="7"/>
  <c r="R422" i="7" s="1"/>
  <c r="U422" i="7" s="1"/>
  <c r="Q436" i="7"/>
  <c r="R436" i="7" s="1"/>
  <c r="U436" i="7" s="1"/>
  <c r="M440" i="7"/>
  <c r="N440" i="7" s="1"/>
  <c r="S440" i="7" s="1"/>
  <c r="Q472" i="7"/>
  <c r="R472" i="7" s="1"/>
  <c r="M476" i="7"/>
  <c r="N476" i="7" s="1"/>
  <c r="S476" i="7" s="1"/>
  <c r="U476" i="7" s="1"/>
  <c r="M572" i="7"/>
  <c r="N572" i="7" s="1"/>
  <c r="S572" i="7" s="1"/>
  <c r="U572" i="7" s="1"/>
  <c r="Q584" i="7"/>
  <c r="R584" i="7" s="1"/>
  <c r="Q596" i="7"/>
  <c r="R596" i="7" s="1"/>
  <c r="U596" i="7" s="1"/>
  <c r="M472" i="7"/>
  <c r="N472" i="7" s="1"/>
  <c r="S472" i="7" s="1"/>
  <c r="Q544" i="7"/>
  <c r="R544" i="7" s="1"/>
  <c r="U544" i="7" s="1"/>
  <c r="Q548" i="7"/>
  <c r="R548" i="7" s="1"/>
  <c r="U548" i="7" s="1"/>
  <c r="Q554" i="7"/>
  <c r="R554" i="7" s="1"/>
  <c r="U554" i="7" s="1"/>
  <c r="Q580" i="7"/>
  <c r="R580" i="7" s="1"/>
  <c r="M590" i="7"/>
  <c r="N590" i="7" s="1"/>
  <c r="S590" i="7" s="1"/>
  <c r="U590" i="7" s="1"/>
  <c r="Q602" i="7"/>
  <c r="R602" i="7" s="1"/>
  <c r="U602" i="7" s="1"/>
  <c r="U608" i="7"/>
  <c r="M452" i="7"/>
  <c r="N452" i="7" s="1"/>
  <c r="S452" i="7" s="1"/>
  <c r="U452" i="7" s="1"/>
  <c r="Q464" i="7"/>
  <c r="R464" i="7" s="1"/>
  <c r="M524" i="7"/>
  <c r="N524" i="7" s="1"/>
  <c r="S524" i="7" s="1"/>
  <c r="Q566" i="7"/>
  <c r="R566" i="7" s="1"/>
  <c r="U566" i="7" s="1"/>
  <c r="M580" i="7"/>
  <c r="N580" i="7" s="1"/>
  <c r="S580" i="7" s="1"/>
  <c r="U580" i="7" s="1"/>
  <c r="M584" i="7"/>
  <c r="N584" i="7" s="1"/>
  <c r="S584" i="7" s="1"/>
  <c r="U584" i="7" s="1"/>
  <c r="U632" i="7"/>
  <c r="M662" i="7"/>
  <c r="N662" i="7" s="1"/>
  <c r="S662" i="7" s="1"/>
  <c r="U662" i="7" s="1"/>
  <c r="M674" i="7"/>
  <c r="N674" i="7" s="1"/>
  <c r="S674" i="7" s="1"/>
  <c r="U674" i="7" s="1"/>
  <c r="Q698" i="7"/>
  <c r="R698" i="7" s="1"/>
  <c r="U698" i="7" s="1"/>
  <c r="M668" i="7"/>
  <c r="N668" i="7" s="1"/>
  <c r="S668" i="7" s="1"/>
  <c r="U668" i="7" s="1"/>
  <c r="U680" i="7"/>
  <c r="M692" i="7"/>
  <c r="N692" i="7" s="1"/>
  <c r="S692" i="7" s="1"/>
  <c r="U692" i="7" s="1"/>
  <c r="U710" i="7"/>
  <c r="U80" i="6"/>
  <c r="M56" i="6"/>
  <c r="N56" i="6" s="1"/>
  <c r="S56" i="6" s="1"/>
  <c r="U56" i="6" s="1"/>
  <c r="Q80" i="6"/>
  <c r="R80" i="6" s="1"/>
  <c r="U140" i="6"/>
  <c r="U148" i="6"/>
  <c r="Q62" i="6"/>
  <c r="R62" i="6" s="1"/>
  <c r="U62" i="6" s="1"/>
  <c r="M68" i="6"/>
  <c r="N68" i="6" s="1"/>
  <c r="S68" i="6" s="1"/>
  <c r="U68" i="6" s="1"/>
  <c r="M86" i="6"/>
  <c r="N86" i="6" s="1"/>
  <c r="S86" i="6" s="1"/>
  <c r="U86" i="6" s="1"/>
  <c r="U4" i="6"/>
  <c r="U8" i="6"/>
  <c r="U14" i="6"/>
  <c r="U26" i="6"/>
  <c r="U32" i="6"/>
  <c r="U40" i="6"/>
  <c r="U44" i="6"/>
  <c r="U50" i="6"/>
  <c r="Q92" i="6"/>
  <c r="R92" i="6" s="1"/>
  <c r="U98" i="6"/>
  <c r="U116" i="6"/>
  <c r="U146" i="6" s="1"/>
  <c r="S146" i="6" s="1"/>
  <c r="U170" i="6"/>
  <c r="U200" i="6"/>
  <c r="U692" i="6"/>
  <c r="Q212" i="6"/>
  <c r="R212" i="6" s="1"/>
  <c r="U212" i="6" s="1"/>
  <c r="Q266" i="6"/>
  <c r="R266" i="6" s="1"/>
  <c r="Q242" i="6"/>
  <c r="R242" i="6" s="1"/>
  <c r="U242" i="6" s="1"/>
  <c r="Q296" i="6"/>
  <c r="R296" i="6" s="1"/>
  <c r="Q220" i="6"/>
  <c r="R220" i="6" s="1"/>
  <c r="U220" i="6" s="1"/>
  <c r="M236" i="6"/>
  <c r="N236" i="6" s="1"/>
  <c r="S236" i="6" s="1"/>
  <c r="U236" i="6" s="1"/>
  <c r="Q350" i="6"/>
  <c r="R350" i="6" s="1"/>
  <c r="U436" i="6"/>
  <c r="U482" i="6"/>
  <c r="M488" i="6"/>
  <c r="N488" i="6" s="1"/>
  <c r="S488" i="6" s="1"/>
  <c r="U488" i="6" s="1"/>
  <c r="U500" i="6"/>
  <c r="U518" i="6"/>
  <c r="M554" i="6"/>
  <c r="N554" i="6" s="1"/>
  <c r="S554" i="6" s="1"/>
  <c r="U554" i="6" s="1"/>
  <c r="M560" i="6"/>
  <c r="N560" i="6" s="1"/>
  <c r="S560" i="6" s="1"/>
  <c r="Q566" i="6"/>
  <c r="R566" i="6" s="1"/>
  <c r="Q572" i="6"/>
  <c r="R572" i="6" s="1"/>
  <c r="U572" i="6" s="1"/>
  <c r="Q260" i="6"/>
  <c r="R260" i="6" s="1"/>
  <c r="Q278" i="6"/>
  <c r="R278" i="6" s="1"/>
  <c r="U278" i="6" s="1"/>
  <c r="M296" i="6"/>
  <c r="N296" i="6" s="1"/>
  <c r="S296" i="6" s="1"/>
  <c r="M404" i="6"/>
  <c r="N404" i="6" s="1"/>
  <c r="S404" i="6" s="1"/>
  <c r="M446" i="6"/>
  <c r="N446" i="6" s="1"/>
  <c r="S446" i="6" s="1"/>
  <c r="U446" i="6" s="1"/>
  <c r="M530" i="6"/>
  <c r="N530" i="6" s="1"/>
  <c r="S530" i="6" s="1"/>
  <c r="Q590" i="6"/>
  <c r="R590" i="6" s="1"/>
  <c r="U590" i="6" s="1"/>
  <c r="M620" i="6"/>
  <c r="N620" i="6" s="1"/>
  <c r="S620" i="6" s="1"/>
  <c r="U620" i="6" s="1"/>
  <c r="U656" i="6"/>
  <c r="M260" i="6"/>
  <c r="N260" i="6" s="1"/>
  <c r="S260" i="6" s="1"/>
  <c r="Q308" i="6"/>
  <c r="R308" i="6" s="1"/>
  <c r="U308" i="6" s="1"/>
  <c r="Q338" i="6"/>
  <c r="R338" i="6" s="1"/>
  <c r="U338" i="6" s="1"/>
  <c r="Q368" i="6"/>
  <c r="R368" i="6" s="1"/>
  <c r="U368" i="6" s="1"/>
  <c r="U380" i="6"/>
  <c r="M386" i="6"/>
  <c r="N386" i="6" s="1"/>
  <c r="S386" i="6" s="1"/>
  <c r="U386" i="6" s="1"/>
  <c r="U422" i="6"/>
  <c r="M428" i="6"/>
  <c r="N428" i="6" s="1"/>
  <c r="S428" i="6" s="1"/>
  <c r="U428" i="6" s="1"/>
  <c r="U464" i="6"/>
  <c r="M508" i="6"/>
  <c r="N508" i="6" s="1"/>
  <c r="S508" i="6" s="1"/>
  <c r="U508" i="6" s="1"/>
  <c r="Q548" i="6"/>
  <c r="R548" i="6" s="1"/>
  <c r="U548" i="6" s="1"/>
  <c r="M596" i="6"/>
  <c r="N596" i="6" s="1"/>
  <c r="S596" i="6" s="1"/>
  <c r="U596" i="6" s="1"/>
  <c r="U680" i="6"/>
  <c r="M704" i="6"/>
  <c r="N704" i="6" s="1"/>
  <c r="S704" i="6" s="1"/>
  <c r="U704" i="6" s="1"/>
  <c r="M616" i="6"/>
  <c r="N616" i="6" s="1"/>
  <c r="S616" i="6" s="1"/>
  <c r="U616" i="6" s="1"/>
  <c r="Q392" i="6"/>
  <c r="R392" i="6" s="1"/>
  <c r="U392" i="6" s="1"/>
  <c r="Q410" i="6"/>
  <c r="R410" i="6" s="1"/>
  <c r="U410" i="6" s="1"/>
  <c r="Q452" i="6"/>
  <c r="R452" i="6" s="1"/>
  <c r="U452" i="6" s="1"/>
  <c r="Q472" i="6"/>
  <c r="R472" i="6" s="1"/>
  <c r="U472" i="6" s="1"/>
  <c r="Q494" i="6"/>
  <c r="R494" i="6" s="1"/>
  <c r="Q512" i="6"/>
  <c r="R512" i="6" s="1"/>
  <c r="U512" i="6" s="1"/>
  <c r="Q536" i="6"/>
  <c r="R536" i="6" s="1"/>
  <c r="U536" i="6" s="1"/>
  <c r="U544" i="6"/>
  <c r="Q560" i="6"/>
  <c r="R560" i="6" s="1"/>
  <c r="M608" i="6"/>
  <c r="N608" i="6" s="1"/>
  <c r="S608" i="6" s="1"/>
  <c r="U608" i="6" s="1"/>
  <c r="M674" i="6"/>
  <c r="N674" i="6" s="1"/>
  <c r="S674" i="6" s="1"/>
  <c r="U674" i="6" s="1"/>
  <c r="M668" i="6"/>
  <c r="N668" i="6" s="1"/>
  <c r="S668" i="6" s="1"/>
  <c r="U668" i="6" s="1"/>
  <c r="Q688" i="6"/>
  <c r="R688" i="6" s="1"/>
  <c r="U688" i="6" s="1"/>
  <c r="Q692" i="6"/>
  <c r="R692" i="6" s="1"/>
  <c r="Q698" i="6"/>
  <c r="R698" i="6" s="1"/>
  <c r="U698" i="6" s="1"/>
  <c r="Q656" i="6"/>
  <c r="R656" i="6" s="1"/>
  <c r="Q662" i="6"/>
  <c r="R662" i="6" s="1"/>
  <c r="Q668" i="6"/>
  <c r="R668" i="6" s="1"/>
  <c r="U14" i="5"/>
  <c r="U92" i="5"/>
  <c r="M4" i="5"/>
  <c r="N4" i="5" s="1"/>
  <c r="S4" i="5" s="1"/>
  <c r="U4" i="5" s="1"/>
  <c r="M26" i="5"/>
  <c r="N26" i="5" s="1"/>
  <c r="S26" i="5" s="1"/>
  <c r="U26" i="5" s="1"/>
  <c r="M62" i="5"/>
  <c r="N62" i="5" s="1"/>
  <c r="S62" i="5" s="1"/>
  <c r="U62" i="5" s="1"/>
  <c r="U374" i="5"/>
  <c r="Q8" i="5"/>
  <c r="R8" i="5" s="1"/>
  <c r="U20" i="5"/>
  <c r="M122" i="5"/>
  <c r="N122" i="5" s="1"/>
  <c r="S122" i="5" s="1"/>
  <c r="M176" i="5"/>
  <c r="N176" i="5" s="1"/>
  <c r="S176" i="5" s="1"/>
  <c r="U176" i="5" s="1"/>
  <c r="M206" i="5"/>
  <c r="N206" i="5" s="1"/>
  <c r="S206" i="5" s="1"/>
  <c r="Q368" i="5"/>
  <c r="R368" i="5" s="1"/>
  <c r="Q68" i="5"/>
  <c r="R68" i="5" s="1"/>
  <c r="U68" i="5" s="1"/>
  <c r="Q308" i="5"/>
  <c r="R308" i="5" s="1"/>
  <c r="U392" i="5"/>
  <c r="M554" i="5"/>
  <c r="N554" i="5" s="1"/>
  <c r="S554" i="5" s="1"/>
  <c r="U554" i="5" s="1"/>
  <c r="U566" i="5"/>
  <c r="U662" i="5"/>
  <c r="Q80" i="5"/>
  <c r="R80" i="5" s="1"/>
  <c r="Q98" i="5"/>
  <c r="R98" i="5" s="1"/>
  <c r="U98" i="5" s="1"/>
  <c r="M116" i="5"/>
  <c r="N116" i="5" s="1"/>
  <c r="S116" i="5" s="1"/>
  <c r="U116" i="5" s="1"/>
  <c r="Q206" i="5"/>
  <c r="R206" i="5" s="1"/>
  <c r="Q248" i="5"/>
  <c r="R248" i="5" s="1"/>
  <c r="U248" i="5" s="1"/>
  <c r="Q266" i="5"/>
  <c r="R266" i="5" s="1"/>
  <c r="U266" i="5" s="1"/>
  <c r="U278" i="5"/>
  <c r="U364" i="5"/>
  <c r="M368" i="5"/>
  <c r="N368" i="5" s="1"/>
  <c r="S368" i="5" s="1"/>
  <c r="U368" i="5" s="1"/>
  <c r="Q374" i="5"/>
  <c r="R374" i="5" s="1"/>
  <c r="Q386" i="5"/>
  <c r="R386" i="5" s="1"/>
  <c r="U386" i="5" s="1"/>
  <c r="Q436" i="5"/>
  <c r="R436" i="5" s="1"/>
  <c r="U436" i="5" s="1"/>
  <c r="Q446" i="5"/>
  <c r="R446" i="5" s="1"/>
  <c r="U446" i="5" s="1"/>
  <c r="U464" i="5"/>
  <c r="Q476" i="5"/>
  <c r="R476" i="5" s="1"/>
  <c r="U476" i="5" s="1"/>
  <c r="Q56" i="5"/>
  <c r="R56" i="5" s="1"/>
  <c r="U56" i="5" s="1"/>
  <c r="M170" i="5"/>
  <c r="N170" i="5" s="1"/>
  <c r="S170" i="5" s="1"/>
  <c r="Q284" i="5"/>
  <c r="R284" i="5" s="1"/>
  <c r="M296" i="5"/>
  <c r="N296" i="5" s="1"/>
  <c r="S296" i="5" s="1"/>
  <c r="U296" i="5" s="1"/>
  <c r="M328" i="5"/>
  <c r="N328" i="5" s="1"/>
  <c r="S328" i="5" s="1"/>
  <c r="U400" i="5"/>
  <c r="M440" i="5"/>
  <c r="N440" i="5" s="1"/>
  <c r="S440" i="5" s="1"/>
  <c r="U440" i="5" s="1"/>
  <c r="M512" i="5"/>
  <c r="N512" i="5" s="1"/>
  <c r="S512" i="5" s="1"/>
  <c r="U704" i="5"/>
  <c r="Q76" i="5"/>
  <c r="R76" i="5" s="1"/>
  <c r="U76" i="5" s="1"/>
  <c r="M80" i="5"/>
  <c r="N80" i="5" s="1"/>
  <c r="S80" i="5" s="1"/>
  <c r="Q86" i="5"/>
  <c r="R86" i="5" s="1"/>
  <c r="M188" i="5"/>
  <c r="N188" i="5" s="1"/>
  <c r="S188" i="5" s="1"/>
  <c r="M200" i="5"/>
  <c r="N200" i="5" s="1"/>
  <c r="S200" i="5" s="1"/>
  <c r="U200" i="5" s="1"/>
  <c r="Q220" i="5"/>
  <c r="R220" i="5" s="1"/>
  <c r="U220" i="5" s="1"/>
  <c r="M230" i="5"/>
  <c r="N230" i="5" s="1"/>
  <c r="S230" i="5" s="1"/>
  <c r="U230" i="5" s="1"/>
  <c r="M242" i="5"/>
  <c r="N242" i="5" s="1"/>
  <c r="S242" i="5" s="1"/>
  <c r="M260" i="5"/>
  <c r="N260" i="5" s="1"/>
  <c r="S260" i="5" s="1"/>
  <c r="U260" i="5" s="1"/>
  <c r="M292" i="5"/>
  <c r="N292" i="5" s="1"/>
  <c r="S292" i="5" s="1"/>
  <c r="U302" i="5"/>
  <c r="M308" i="5"/>
  <c r="N308" i="5" s="1"/>
  <c r="S308" i="5" s="1"/>
  <c r="U308" i="5" s="1"/>
  <c r="Q314" i="5"/>
  <c r="R314" i="5" s="1"/>
  <c r="U314" i="5" s="1"/>
  <c r="Q328" i="5"/>
  <c r="R328" i="5" s="1"/>
  <c r="Q332" i="5"/>
  <c r="R332" i="5" s="1"/>
  <c r="Q344" i="5"/>
  <c r="R344" i="5" s="1"/>
  <c r="U344" i="5" s="1"/>
  <c r="M356" i="5"/>
  <c r="N356" i="5" s="1"/>
  <c r="S356" i="5" s="1"/>
  <c r="Q410" i="5"/>
  <c r="R410" i="5" s="1"/>
  <c r="M472" i="5"/>
  <c r="N472" i="5" s="1"/>
  <c r="S472" i="5" s="1"/>
  <c r="U518" i="5"/>
  <c r="M410" i="5"/>
  <c r="N410" i="5" s="1"/>
  <c r="S410" i="5" s="1"/>
  <c r="Q452" i="5"/>
  <c r="R452" i="5" s="1"/>
  <c r="M500" i="5"/>
  <c r="N500" i="5" s="1"/>
  <c r="S500" i="5" s="1"/>
  <c r="M428" i="5"/>
  <c r="N428" i="5" s="1"/>
  <c r="S428" i="5" s="1"/>
  <c r="U428" i="5" s="1"/>
  <c r="M452" i="5"/>
  <c r="N452" i="5" s="1"/>
  <c r="S452" i="5" s="1"/>
  <c r="U452" i="5" s="1"/>
  <c r="Q512" i="5"/>
  <c r="R512" i="5" s="1"/>
  <c r="Q530" i="5"/>
  <c r="R530" i="5" s="1"/>
  <c r="U530" i="5" s="1"/>
  <c r="Q170" i="5"/>
  <c r="R170" i="5" s="1"/>
  <c r="Q188" i="5"/>
  <c r="R188" i="5" s="1"/>
  <c r="Q230" i="5"/>
  <c r="R230" i="5" s="1"/>
  <c r="Q292" i="5"/>
  <c r="R292" i="5" s="1"/>
  <c r="Q356" i="5"/>
  <c r="R356" i="5" s="1"/>
  <c r="M404" i="5"/>
  <c r="N404" i="5" s="1"/>
  <c r="S404" i="5" s="1"/>
  <c r="U404" i="5" s="1"/>
  <c r="Q472" i="5"/>
  <c r="R472" i="5" s="1"/>
  <c r="M508" i="5"/>
  <c r="N508" i="5" s="1"/>
  <c r="S508" i="5" s="1"/>
  <c r="Q500" i="5"/>
  <c r="R500" i="5" s="1"/>
  <c r="Q560" i="5"/>
  <c r="R560" i="5" s="1"/>
  <c r="U560" i="5" s="1"/>
  <c r="Q580" i="5"/>
  <c r="R580" i="5" s="1"/>
  <c r="U580" i="5" s="1"/>
  <c r="Q602" i="5"/>
  <c r="R602" i="5" s="1"/>
  <c r="U602" i="5" s="1"/>
  <c r="Q620" i="5"/>
  <c r="R620" i="5" s="1"/>
  <c r="U620" i="5" s="1"/>
  <c r="Q644" i="5"/>
  <c r="R644" i="5" s="1"/>
  <c r="U644" i="5" s="1"/>
  <c r="Q662" i="5"/>
  <c r="R662" i="5" s="1"/>
  <c r="Q704" i="5"/>
  <c r="R704" i="5" s="1"/>
  <c r="Q122" i="3"/>
  <c r="R122" i="3" s="1"/>
  <c r="Q40" i="3"/>
  <c r="R40" i="3" s="1"/>
  <c r="Q152" i="3"/>
  <c r="R152" i="3" s="1"/>
  <c r="Q194" i="3"/>
  <c r="R194" i="3" s="1"/>
  <c r="Q176" i="3"/>
  <c r="R176" i="3" s="1"/>
  <c r="Q50" i="3"/>
  <c r="R50" i="3" s="1"/>
  <c r="M152" i="3"/>
  <c r="N152" i="3" s="1"/>
  <c r="S152" i="3" s="1"/>
  <c r="Q184" i="3"/>
  <c r="R184" i="3" s="1"/>
  <c r="U184" i="3" s="1"/>
  <c r="Q86" i="3"/>
  <c r="R86" i="3" s="1"/>
  <c r="M164" i="3"/>
  <c r="N164" i="3" s="1"/>
  <c r="S164" i="3" s="1"/>
  <c r="M170" i="3"/>
  <c r="N170" i="3" s="1"/>
  <c r="S170" i="3" s="1"/>
  <c r="M44" i="3"/>
  <c r="N44" i="3" s="1"/>
  <c r="S44" i="3" s="1"/>
  <c r="M56" i="3"/>
  <c r="N56" i="3" s="1"/>
  <c r="S56" i="3" s="1"/>
  <c r="M128" i="3"/>
  <c r="N128" i="3" s="1"/>
  <c r="S128" i="3" s="1"/>
  <c r="M176" i="3"/>
  <c r="N176" i="3" s="1"/>
  <c r="S176" i="3" s="1"/>
  <c r="M200" i="3"/>
  <c r="N200" i="3" s="1"/>
  <c r="S200" i="3" s="1"/>
  <c r="Q356" i="3"/>
  <c r="R356" i="3" s="1"/>
  <c r="M364" i="3"/>
  <c r="N364" i="3" s="1"/>
  <c r="S364" i="3" s="1"/>
  <c r="U364" i="3" s="1"/>
  <c r="M374" i="3"/>
  <c r="N374" i="3" s="1"/>
  <c r="S374" i="3" s="1"/>
  <c r="U374" i="3" s="1"/>
  <c r="M548" i="3"/>
  <c r="N548" i="3" s="1"/>
  <c r="S548" i="3" s="1"/>
  <c r="Q566" i="3"/>
  <c r="R566" i="3" s="1"/>
  <c r="Q584" i="3"/>
  <c r="R584" i="3" s="1"/>
  <c r="M602" i="3"/>
  <c r="N602" i="3" s="1"/>
  <c r="S602" i="3" s="1"/>
  <c r="M704" i="3"/>
  <c r="N704" i="3" s="1"/>
  <c r="S704" i="3" s="1"/>
  <c r="M68" i="3"/>
  <c r="N68" i="3" s="1"/>
  <c r="S68" i="3" s="1"/>
  <c r="M140" i="3"/>
  <c r="N140" i="3" s="1"/>
  <c r="S140" i="3" s="1"/>
  <c r="M158" i="3"/>
  <c r="N158" i="3" s="1"/>
  <c r="S158" i="3" s="1"/>
  <c r="Q200" i="3"/>
  <c r="R200" i="3" s="1"/>
  <c r="M206" i="3"/>
  <c r="N206" i="3" s="1"/>
  <c r="S206" i="3" s="1"/>
  <c r="U206" i="3" s="1"/>
  <c r="U224" i="3"/>
  <c r="U230" i="3"/>
  <c r="U236" i="3"/>
  <c r="U248" i="3"/>
  <c r="U256" i="3"/>
  <c r="U260" i="3"/>
  <c r="U266" i="3"/>
  <c r="U272" i="3"/>
  <c r="U278" i="3"/>
  <c r="M350" i="3"/>
  <c r="N350" i="3" s="1"/>
  <c r="S350" i="3" s="1"/>
  <c r="Q368" i="3"/>
  <c r="R368" i="3" s="1"/>
  <c r="Q704" i="3"/>
  <c r="R704" i="3" s="1"/>
  <c r="M148" i="3"/>
  <c r="N148" i="3" s="1"/>
  <c r="S148" i="3" s="1"/>
  <c r="M116" i="3"/>
  <c r="N116" i="3" s="1"/>
  <c r="S116" i="3" s="1"/>
  <c r="U92" i="3"/>
  <c r="Q116" i="3"/>
  <c r="R116" i="3" s="1"/>
  <c r="Q140" i="3"/>
  <c r="R140" i="3" s="1"/>
  <c r="M188" i="3"/>
  <c r="N188" i="3" s="1"/>
  <c r="S188" i="3" s="1"/>
  <c r="M212" i="3"/>
  <c r="N212" i="3" s="1"/>
  <c r="S212" i="3" s="1"/>
  <c r="M356" i="3"/>
  <c r="N356" i="3" s="1"/>
  <c r="S356" i="3" s="1"/>
  <c r="U380" i="3"/>
  <c r="M452" i="3"/>
  <c r="N452" i="3" s="1"/>
  <c r="S452" i="3" s="1"/>
  <c r="U452" i="3" s="1"/>
  <c r="Q692" i="3"/>
  <c r="R692" i="3" s="1"/>
  <c r="Q374" i="3"/>
  <c r="R374" i="3" s="1"/>
  <c r="M446" i="3"/>
  <c r="N446" i="3" s="1"/>
  <c r="S446" i="3" s="1"/>
  <c r="M488" i="3"/>
  <c r="N488" i="3" s="1"/>
  <c r="S488" i="3" s="1"/>
  <c r="M512" i="3"/>
  <c r="N512" i="3" s="1"/>
  <c r="S512" i="3" s="1"/>
  <c r="U512" i="3" s="1"/>
  <c r="M518" i="3"/>
  <c r="N518" i="3" s="1"/>
  <c r="S518" i="3" s="1"/>
  <c r="M560" i="3"/>
  <c r="N560" i="3" s="1"/>
  <c r="S560" i="3" s="1"/>
  <c r="M584" i="3"/>
  <c r="N584" i="3" s="1"/>
  <c r="S584" i="3" s="1"/>
  <c r="U584" i="3" s="1"/>
  <c r="M632" i="3"/>
  <c r="N632" i="3" s="1"/>
  <c r="S632" i="3" s="1"/>
  <c r="M368" i="3"/>
  <c r="N368" i="3" s="1"/>
  <c r="S368" i="3" s="1"/>
  <c r="M392" i="3"/>
  <c r="N392" i="3" s="1"/>
  <c r="S392" i="3" s="1"/>
  <c r="U392" i="3" s="1"/>
  <c r="Q400" i="3"/>
  <c r="R400" i="3" s="1"/>
  <c r="Q428" i="3"/>
  <c r="R428" i="3" s="1"/>
  <c r="M436" i="3"/>
  <c r="N436" i="3" s="1"/>
  <c r="S436" i="3" s="1"/>
  <c r="U436" i="3" s="1"/>
  <c r="M440" i="3"/>
  <c r="N440" i="3" s="1"/>
  <c r="S440" i="3" s="1"/>
  <c r="U440" i="3" s="1"/>
  <c r="M472" i="3"/>
  <c r="N472" i="3" s="1"/>
  <c r="S472" i="3" s="1"/>
  <c r="U472" i="3" s="1"/>
  <c r="M476" i="3"/>
  <c r="N476" i="3" s="1"/>
  <c r="S476" i="3" s="1"/>
  <c r="U476" i="3" s="1"/>
  <c r="M482" i="3"/>
  <c r="N482" i="3" s="1"/>
  <c r="S482" i="3" s="1"/>
  <c r="U482" i="3" s="1"/>
  <c r="M500" i="3"/>
  <c r="N500" i="3" s="1"/>
  <c r="S500" i="3" s="1"/>
  <c r="U500" i="3" s="1"/>
  <c r="Q512" i="3"/>
  <c r="R512" i="3" s="1"/>
  <c r="M530" i="3"/>
  <c r="N530" i="3" s="1"/>
  <c r="S530" i="3" s="1"/>
  <c r="M566" i="3"/>
  <c r="N566" i="3" s="1"/>
  <c r="S566" i="3" s="1"/>
  <c r="M572" i="3"/>
  <c r="N572" i="3" s="1"/>
  <c r="S572" i="3" s="1"/>
  <c r="M596" i="3"/>
  <c r="N596" i="3" s="1"/>
  <c r="S596" i="3" s="1"/>
  <c r="U596" i="3" s="1"/>
  <c r="M656" i="3"/>
  <c r="N656" i="3" s="1"/>
  <c r="S656" i="3" s="1"/>
  <c r="M662" i="3"/>
  <c r="N662" i="3" s="1"/>
  <c r="S662" i="3" s="1"/>
  <c r="M668" i="3"/>
  <c r="N668" i="3" s="1"/>
  <c r="S668" i="3" s="1"/>
  <c r="M674" i="3"/>
  <c r="N674" i="3" s="1"/>
  <c r="S674" i="3" s="1"/>
  <c r="M680" i="3"/>
  <c r="N680" i="3" s="1"/>
  <c r="S680" i="3" s="1"/>
  <c r="M688" i="3"/>
  <c r="N688" i="3" s="1"/>
  <c r="S688" i="3" s="1"/>
  <c r="U410" i="3"/>
  <c r="Q536" i="3"/>
  <c r="R536" i="3" s="1"/>
  <c r="M580" i="3"/>
  <c r="N580" i="3" s="1"/>
  <c r="S580" i="3" s="1"/>
  <c r="M692" i="3"/>
  <c r="N692" i="3" s="1"/>
  <c r="S692" i="3" s="1"/>
  <c r="U692" i="3" s="1"/>
  <c r="Q716" i="3"/>
  <c r="R716" i="3" s="1"/>
  <c r="U716" i="3" s="1"/>
  <c r="M652" i="3"/>
  <c r="N652" i="3" s="1"/>
  <c r="S652" i="3" s="1"/>
  <c r="U704" i="3"/>
  <c r="Q652" i="3"/>
  <c r="R652" i="3" s="1"/>
  <c r="Q656" i="3"/>
  <c r="R656" i="3" s="1"/>
  <c r="Q662" i="3"/>
  <c r="R662" i="3" s="1"/>
  <c r="U662" i="3" s="1"/>
  <c r="Q668" i="3"/>
  <c r="R668" i="3" s="1"/>
  <c r="Q674" i="3"/>
  <c r="R674" i="3" s="1"/>
  <c r="Q680" i="3"/>
  <c r="R680" i="3" s="1"/>
  <c r="Q688" i="3"/>
  <c r="R688" i="3" s="1"/>
  <c r="U688" i="3" s="1"/>
  <c r="M698" i="3"/>
  <c r="N698" i="3" s="1"/>
  <c r="S698" i="3" s="1"/>
  <c r="Q710" i="3"/>
  <c r="R710" i="3" s="1"/>
  <c r="Q698" i="3"/>
  <c r="R698" i="3" s="1"/>
  <c r="M710" i="3"/>
  <c r="N710" i="3" s="1"/>
  <c r="S710" i="3" s="1"/>
  <c r="Q500" i="3"/>
  <c r="R500" i="3" s="1"/>
  <c r="M494" i="3"/>
  <c r="N494" i="3" s="1"/>
  <c r="S494" i="3" s="1"/>
  <c r="U494" i="3" s="1"/>
  <c r="U458" i="3"/>
  <c r="M464" i="3"/>
  <c r="N464" i="3" s="1"/>
  <c r="S464" i="3" s="1"/>
  <c r="U464" i="3" s="1"/>
  <c r="Q508" i="3"/>
  <c r="R508" i="3" s="1"/>
  <c r="U508" i="3" s="1"/>
  <c r="Q446" i="3"/>
  <c r="R446" i="3" s="1"/>
  <c r="Q488" i="3"/>
  <c r="R488" i="3" s="1"/>
  <c r="U488" i="3" s="1"/>
  <c r="Q524" i="3"/>
  <c r="R524" i="3" s="1"/>
  <c r="Q544" i="3"/>
  <c r="R544" i="3" s="1"/>
  <c r="Q548" i="3"/>
  <c r="R548" i="3" s="1"/>
  <c r="Q572" i="3"/>
  <c r="R572" i="3" s="1"/>
  <c r="M608" i="3"/>
  <c r="N608" i="3" s="1"/>
  <c r="S608" i="3" s="1"/>
  <c r="Q638" i="3"/>
  <c r="R638" i="3" s="1"/>
  <c r="Q518" i="3"/>
  <c r="R518" i="3" s="1"/>
  <c r="U518" i="3" s="1"/>
  <c r="M536" i="3"/>
  <c r="N536" i="3" s="1"/>
  <c r="S536" i="3" s="1"/>
  <c r="U536" i="3" s="1"/>
  <c r="M554" i="3"/>
  <c r="N554" i="3" s="1"/>
  <c r="S554" i="3" s="1"/>
  <c r="Q560" i="3"/>
  <c r="R560" i="3" s="1"/>
  <c r="U560" i="3" s="1"/>
  <c r="Q580" i="3"/>
  <c r="R580" i="3" s="1"/>
  <c r="M590" i="3"/>
  <c r="N590" i="3" s="1"/>
  <c r="S590" i="3" s="1"/>
  <c r="Q608" i="3"/>
  <c r="R608" i="3" s="1"/>
  <c r="Q620" i="3"/>
  <c r="R620" i="3" s="1"/>
  <c r="U620" i="3" s="1"/>
  <c r="M644" i="3"/>
  <c r="N644" i="3" s="1"/>
  <c r="S644" i="3" s="1"/>
  <c r="M524" i="3"/>
  <c r="N524" i="3" s="1"/>
  <c r="S524" i="3" s="1"/>
  <c r="U524" i="3" s="1"/>
  <c r="Q530" i="3"/>
  <c r="R530" i="3" s="1"/>
  <c r="M544" i="3"/>
  <c r="N544" i="3" s="1"/>
  <c r="S544" i="3" s="1"/>
  <c r="Q590" i="3"/>
  <c r="R590" i="3" s="1"/>
  <c r="Q602" i="3"/>
  <c r="R602" i="3" s="1"/>
  <c r="U602" i="3" s="1"/>
  <c r="M616" i="3"/>
  <c r="N616" i="3" s="1"/>
  <c r="S616" i="3" s="1"/>
  <c r="U616" i="3" s="1"/>
  <c r="M626" i="3"/>
  <c r="N626" i="3" s="1"/>
  <c r="S626" i="3" s="1"/>
  <c r="U626" i="3" s="1"/>
  <c r="Q632" i="3"/>
  <c r="R632" i="3" s="1"/>
  <c r="M638" i="3"/>
  <c r="N638" i="3" s="1"/>
  <c r="S638" i="3" s="1"/>
  <c r="Q644" i="3"/>
  <c r="R644" i="3" s="1"/>
  <c r="U284" i="3"/>
  <c r="U292" i="3"/>
  <c r="U296" i="3"/>
  <c r="U302" i="3"/>
  <c r="U308" i="3"/>
  <c r="U314" i="3"/>
  <c r="U338" i="3"/>
  <c r="U344" i="3"/>
  <c r="U368" i="3"/>
  <c r="U400" i="3"/>
  <c r="M404" i="3"/>
  <c r="N404" i="3" s="1"/>
  <c r="S404" i="3" s="1"/>
  <c r="U404" i="3" s="1"/>
  <c r="Q416" i="3"/>
  <c r="R416" i="3" s="1"/>
  <c r="U416" i="3" s="1"/>
  <c r="U422" i="3"/>
  <c r="M386" i="3"/>
  <c r="N386" i="3" s="1"/>
  <c r="S386" i="3" s="1"/>
  <c r="U386" i="3" s="1"/>
  <c r="M428" i="3"/>
  <c r="N428" i="3" s="1"/>
  <c r="S428" i="3" s="1"/>
  <c r="M122" i="3"/>
  <c r="N122" i="3" s="1"/>
  <c r="S122" i="3" s="1"/>
  <c r="U122" i="3" s="1"/>
  <c r="U152" i="3"/>
  <c r="Q188" i="3"/>
  <c r="R188" i="3" s="1"/>
  <c r="U188" i="3" s="1"/>
  <c r="U200" i="3"/>
  <c r="Q170" i="3"/>
  <c r="R170" i="3" s="1"/>
  <c r="U170" i="3" s="1"/>
  <c r="Q128" i="3"/>
  <c r="R128" i="3" s="1"/>
  <c r="Q148" i="3"/>
  <c r="R148" i="3" s="1"/>
  <c r="Q158" i="3"/>
  <c r="R158" i="3" s="1"/>
  <c r="U158" i="3" s="1"/>
  <c r="Q212" i="3"/>
  <c r="R212" i="3" s="1"/>
  <c r="U212" i="3" s="1"/>
  <c r="M104" i="3"/>
  <c r="N104" i="3" s="1"/>
  <c r="S104" i="3" s="1"/>
  <c r="Q76" i="3"/>
  <c r="R76" i="3" s="1"/>
  <c r="Q44" i="3"/>
  <c r="R44" i="3" s="1"/>
  <c r="Q56" i="3"/>
  <c r="R56" i="3" s="1"/>
  <c r="M50" i="3"/>
  <c r="N50" i="3" s="1"/>
  <c r="S50" i="3" s="1"/>
  <c r="M62" i="3"/>
  <c r="N62" i="3" s="1"/>
  <c r="S62" i="3" s="1"/>
  <c r="Q68" i="3"/>
  <c r="R68" i="3" s="1"/>
  <c r="O37" i="3"/>
  <c r="P37" i="3" s="1"/>
  <c r="K37" i="3"/>
  <c r="L37" i="3" s="1"/>
  <c r="O36" i="3"/>
  <c r="P36" i="3" s="1"/>
  <c r="K36" i="3"/>
  <c r="L36" i="3" s="1"/>
  <c r="O35" i="3"/>
  <c r="P35" i="3" s="1"/>
  <c r="K35" i="3"/>
  <c r="L35" i="3" s="1"/>
  <c r="O34" i="3"/>
  <c r="P34" i="3" s="1"/>
  <c r="K34" i="3"/>
  <c r="L34" i="3" s="1"/>
  <c r="O33" i="3"/>
  <c r="P33" i="3" s="1"/>
  <c r="K33" i="3"/>
  <c r="L33" i="3" s="1"/>
  <c r="O32" i="3"/>
  <c r="P32" i="3" s="1"/>
  <c r="K32" i="3"/>
  <c r="L32" i="3" s="1"/>
  <c r="O31" i="3"/>
  <c r="P31" i="3" s="1"/>
  <c r="K31" i="3"/>
  <c r="L31" i="3" s="1"/>
  <c r="O30" i="3"/>
  <c r="P30" i="3" s="1"/>
  <c r="K30" i="3"/>
  <c r="L30" i="3" s="1"/>
  <c r="O29" i="3"/>
  <c r="P29" i="3" s="1"/>
  <c r="K29" i="3"/>
  <c r="L29" i="3" s="1"/>
  <c r="O28" i="3"/>
  <c r="P28" i="3" s="1"/>
  <c r="K28" i="3"/>
  <c r="L28" i="3" s="1"/>
  <c r="O27" i="3"/>
  <c r="P27" i="3" s="1"/>
  <c r="K27" i="3"/>
  <c r="L27" i="3" s="1"/>
  <c r="O26" i="3"/>
  <c r="P26" i="3" s="1"/>
  <c r="K26" i="3"/>
  <c r="L26" i="3" s="1"/>
  <c r="O25" i="3"/>
  <c r="P25" i="3" s="1"/>
  <c r="K25" i="3"/>
  <c r="L25" i="3" s="1"/>
  <c r="O24" i="3"/>
  <c r="P24" i="3" s="1"/>
  <c r="K24" i="3"/>
  <c r="L24" i="3" s="1"/>
  <c r="O23" i="3"/>
  <c r="P23" i="3" s="1"/>
  <c r="K23" i="3"/>
  <c r="L23" i="3" s="1"/>
  <c r="O22" i="3"/>
  <c r="P22" i="3" s="1"/>
  <c r="K22" i="3"/>
  <c r="L22" i="3" s="1"/>
  <c r="O21" i="3"/>
  <c r="P21" i="3" s="1"/>
  <c r="K21" i="3"/>
  <c r="L21" i="3" s="1"/>
  <c r="O20" i="3"/>
  <c r="P20" i="3" s="1"/>
  <c r="K20" i="3"/>
  <c r="L20" i="3" s="1"/>
  <c r="O19" i="3"/>
  <c r="P19" i="3" s="1"/>
  <c r="K19" i="3"/>
  <c r="L19" i="3" s="1"/>
  <c r="O18" i="3"/>
  <c r="P18" i="3" s="1"/>
  <c r="K18" i="3"/>
  <c r="L18" i="3" s="1"/>
  <c r="O17" i="3"/>
  <c r="P17" i="3" s="1"/>
  <c r="K17" i="3"/>
  <c r="L17" i="3" s="1"/>
  <c r="O16" i="3"/>
  <c r="P16" i="3" s="1"/>
  <c r="K16" i="3"/>
  <c r="L16" i="3" s="1"/>
  <c r="O15" i="3"/>
  <c r="P15" i="3" s="1"/>
  <c r="K15" i="3"/>
  <c r="L15" i="3" s="1"/>
  <c r="O14" i="3"/>
  <c r="K14" i="3"/>
  <c r="L14" i="3" s="1"/>
  <c r="O13" i="3"/>
  <c r="P13" i="3" s="1"/>
  <c r="K13" i="3"/>
  <c r="L13" i="3" s="1"/>
  <c r="O12" i="3"/>
  <c r="P12" i="3" s="1"/>
  <c r="K12" i="3"/>
  <c r="L12" i="3" s="1"/>
  <c r="O11" i="3"/>
  <c r="P11" i="3" s="1"/>
  <c r="K11" i="3"/>
  <c r="L11" i="3" s="1"/>
  <c r="O10" i="3"/>
  <c r="P10" i="3" s="1"/>
  <c r="K10" i="3"/>
  <c r="L10" i="3" s="1"/>
  <c r="O9" i="3"/>
  <c r="P9" i="3" s="1"/>
  <c r="K9" i="3"/>
  <c r="L9" i="3" s="1"/>
  <c r="O8" i="3"/>
  <c r="P8" i="3" s="1"/>
  <c r="K8" i="3"/>
  <c r="L8" i="3" s="1"/>
  <c r="O7" i="3"/>
  <c r="P7" i="3" s="1"/>
  <c r="K7" i="3"/>
  <c r="L7" i="3" s="1"/>
  <c r="O6" i="3"/>
  <c r="P6" i="3" s="1"/>
  <c r="K6" i="3"/>
  <c r="L6" i="3" s="1"/>
  <c r="O5" i="3"/>
  <c r="P5" i="3" s="1"/>
  <c r="K5" i="3"/>
  <c r="L5" i="3" s="1"/>
  <c r="O4" i="3"/>
  <c r="P4" i="3" s="1"/>
  <c r="K4" i="3"/>
  <c r="L4" i="3" s="1"/>
  <c r="U686" i="7" l="1"/>
  <c r="S686" i="7" s="1"/>
  <c r="U650" i="7"/>
  <c r="S650" i="7" s="1"/>
  <c r="U524" i="7"/>
  <c r="U542" i="7" s="1"/>
  <c r="S542" i="7" s="1"/>
  <c r="U512" i="7"/>
  <c r="U472" i="7"/>
  <c r="U506" i="7"/>
  <c r="S506" i="7" s="1"/>
  <c r="U464" i="7"/>
  <c r="U400" i="7"/>
  <c r="U392" i="7"/>
  <c r="U328" i="7"/>
  <c r="U344" i="7"/>
  <c r="U350" i="7"/>
  <c r="U320" i="7"/>
  <c r="U326" i="7"/>
  <c r="S326" i="7" s="1"/>
  <c r="U290" i="7"/>
  <c r="S290" i="7" s="1"/>
  <c r="U220" i="7"/>
  <c r="U254" i="7" s="1"/>
  <c r="S254" i="7" s="1"/>
  <c r="U158" i="7"/>
  <c r="U182" i="7" s="1"/>
  <c r="S182" i="7" s="1"/>
  <c r="U128" i="7"/>
  <c r="U146" i="7" s="1"/>
  <c r="S146" i="7" s="1"/>
  <c r="U104" i="7"/>
  <c r="U110" i="7"/>
  <c r="S110" i="7" s="1"/>
  <c r="U74" i="7"/>
  <c r="S74" i="7" s="1"/>
  <c r="U14" i="7"/>
  <c r="U20" i="7"/>
  <c r="U38" i="7"/>
  <c r="S38" i="7" s="1"/>
  <c r="U662" i="6"/>
  <c r="U686" i="6" s="1"/>
  <c r="S686" i="6" s="1"/>
  <c r="U626" i="6"/>
  <c r="U650" i="6" s="1"/>
  <c r="S650" i="6" s="1"/>
  <c r="U614" i="6"/>
  <c r="S614" i="6" s="1"/>
  <c r="U566" i="6"/>
  <c r="U530" i="6"/>
  <c r="U524" i="6"/>
  <c r="U542" i="6" s="1"/>
  <c r="S542" i="6" s="1"/>
  <c r="U494" i="6"/>
  <c r="U404" i="6"/>
  <c r="U434" i="6" s="1"/>
  <c r="S434" i="6" s="1"/>
  <c r="U356" i="6"/>
  <c r="U362" i="6" s="1"/>
  <c r="S362" i="6" s="1"/>
  <c r="U320" i="6"/>
  <c r="U260" i="6"/>
  <c r="U272" i="6"/>
  <c r="U266" i="6"/>
  <c r="U256" i="6"/>
  <c r="U290" i="6"/>
  <c r="S290" i="6" s="1"/>
  <c r="U254" i="6"/>
  <c r="S254" i="6" s="1"/>
  <c r="U206" i="6"/>
  <c r="U218" i="6"/>
  <c r="S218" i="6" s="1"/>
  <c r="U182" i="6"/>
  <c r="S182" i="6" s="1"/>
  <c r="U92" i="6"/>
  <c r="U110" i="6"/>
  <c r="S110" i="6" s="1"/>
  <c r="U710" i="5"/>
  <c r="U722" i="5" s="1"/>
  <c r="S722" i="5" s="1"/>
  <c r="U686" i="5"/>
  <c r="S686" i="5" s="1"/>
  <c r="U596" i="5"/>
  <c r="U614" i="5"/>
  <c r="S614" i="5" s="1"/>
  <c r="U544" i="5"/>
  <c r="U578" i="5"/>
  <c r="S578" i="5" s="1"/>
  <c r="U508" i="5"/>
  <c r="U488" i="5"/>
  <c r="U472" i="5"/>
  <c r="U470" i="5"/>
  <c r="S470" i="5" s="1"/>
  <c r="U410" i="5"/>
  <c r="U332" i="5"/>
  <c r="U284" i="5"/>
  <c r="U290" i="5" s="1"/>
  <c r="S290" i="5" s="1"/>
  <c r="U242" i="5"/>
  <c r="U254" i="5" s="1"/>
  <c r="S254" i="5" s="1"/>
  <c r="U194" i="5"/>
  <c r="U122" i="5"/>
  <c r="U146" i="5"/>
  <c r="S146" i="5" s="1"/>
  <c r="U80" i="5"/>
  <c r="U86" i="5"/>
  <c r="U110" i="5" s="1"/>
  <c r="S110" i="5" s="1"/>
  <c r="U74" i="5"/>
  <c r="S74" i="5" s="1"/>
  <c r="U8" i="5"/>
  <c r="U38" i="5" s="1"/>
  <c r="S38" i="5" s="1"/>
  <c r="U652" i="3"/>
  <c r="U680" i="3"/>
  <c r="U656" i="3"/>
  <c r="U638" i="3"/>
  <c r="U632" i="3"/>
  <c r="U580" i="3"/>
  <c r="U548" i="3"/>
  <c r="U554" i="3"/>
  <c r="U572" i="3"/>
  <c r="U530" i="3"/>
  <c r="U446" i="3"/>
  <c r="U428" i="3"/>
  <c r="U434" i="3" s="1"/>
  <c r="S434" i="3" s="1"/>
  <c r="U356" i="3"/>
  <c r="U362" i="3" s="1"/>
  <c r="S362" i="3" s="1"/>
  <c r="U194" i="3"/>
  <c r="U164" i="3"/>
  <c r="U176" i="3"/>
  <c r="U148" i="3"/>
  <c r="U182" i="3" s="1"/>
  <c r="S182" i="3" s="1"/>
  <c r="U134" i="3"/>
  <c r="U128" i="3"/>
  <c r="U86" i="3"/>
  <c r="U80" i="3"/>
  <c r="U76" i="3"/>
  <c r="U44" i="3"/>
  <c r="U112" i="3"/>
  <c r="U104" i="3"/>
  <c r="U68" i="3"/>
  <c r="U62" i="3"/>
  <c r="U40" i="3"/>
  <c r="U116" i="3"/>
  <c r="U50" i="3"/>
  <c r="U380" i="7"/>
  <c r="U218" i="7"/>
  <c r="S218" i="7" s="1"/>
  <c r="U368" i="7"/>
  <c r="U416" i="7"/>
  <c r="U722" i="7"/>
  <c r="S722" i="7" s="1"/>
  <c r="U614" i="7"/>
  <c r="S614" i="7" s="1"/>
  <c r="U578" i="7"/>
  <c r="S578" i="7" s="1"/>
  <c r="U440" i="7"/>
  <c r="U470" i="7" s="1"/>
  <c r="S470" i="7" s="1"/>
  <c r="U404" i="7"/>
  <c r="U434" i="7" s="1"/>
  <c r="S434" i="7" s="1"/>
  <c r="U338" i="7"/>
  <c r="U722" i="6"/>
  <c r="S722" i="6" s="1"/>
  <c r="U398" i="6"/>
  <c r="S398" i="6" s="1"/>
  <c r="U506" i="6"/>
  <c r="S506" i="6" s="1"/>
  <c r="U74" i="6"/>
  <c r="S74" i="6" s="1"/>
  <c r="U296" i="6"/>
  <c r="U326" i="6" s="1"/>
  <c r="S326" i="6" s="1"/>
  <c r="U470" i="6"/>
  <c r="S470" i="6" s="1"/>
  <c r="U38" i="6"/>
  <c r="S38" i="6" s="1"/>
  <c r="U560" i="6"/>
  <c r="U650" i="5"/>
  <c r="S650" i="5" s="1"/>
  <c r="U434" i="5"/>
  <c r="S434" i="5" s="1"/>
  <c r="U500" i="5"/>
  <c r="U506" i="5" s="1"/>
  <c r="S506" i="5" s="1"/>
  <c r="U292" i="5"/>
  <c r="U326" i="5" s="1"/>
  <c r="S326" i="5" s="1"/>
  <c r="U328" i="5"/>
  <c r="U188" i="5"/>
  <c r="U398" i="5"/>
  <c r="S398" i="5" s="1"/>
  <c r="U206" i="5"/>
  <c r="U170" i="5"/>
  <c r="U182" i="5" s="1"/>
  <c r="S182" i="5" s="1"/>
  <c r="U356" i="5"/>
  <c r="U512" i="5"/>
  <c r="U218" i="3"/>
  <c r="S218" i="3" s="1"/>
  <c r="U56" i="3"/>
  <c r="U290" i="3"/>
  <c r="S290" i="3" s="1"/>
  <c r="U698" i="3"/>
  <c r="U674" i="3"/>
  <c r="U566" i="3"/>
  <c r="U254" i="3"/>
  <c r="S254" i="3" s="1"/>
  <c r="U140" i="3"/>
  <c r="U506" i="3"/>
  <c r="S506" i="3" s="1"/>
  <c r="U542" i="3"/>
  <c r="S542" i="3" s="1"/>
  <c r="U710" i="3"/>
  <c r="U668" i="3"/>
  <c r="U590" i="3"/>
  <c r="U470" i="3"/>
  <c r="S470" i="3" s="1"/>
  <c r="U608" i="3"/>
  <c r="U644" i="3"/>
  <c r="U650" i="3" s="1"/>
  <c r="S650" i="3" s="1"/>
  <c r="U544" i="3"/>
  <c r="U398" i="3"/>
  <c r="S398" i="3" s="1"/>
  <c r="U326" i="3"/>
  <c r="S326" i="3" s="1"/>
  <c r="P14" i="3"/>
  <c r="Q14" i="3" s="1"/>
  <c r="R14" i="3" s="1"/>
  <c r="Q8" i="3"/>
  <c r="R8" i="3" s="1"/>
  <c r="Q20" i="3"/>
  <c r="R20" i="3" s="1"/>
  <c r="Q32" i="3"/>
  <c r="R32" i="3" s="1"/>
  <c r="M8" i="3"/>
  <c r="N8" i="3" s="1"/>
  <c r="S8" i="3" s="1"/>
  <c r="M14" i="3"/>
  <c r="N14" i="3" s="1"/>
  <c r="S14" i="3" s="1"/>
  <c r="M4" i="3"/>
  <c r="N4" i="3" s="1"/>
  <c r="S4" i="3" s="1"/>
  <c r="M20" i="3"/>
  <c r="N20" i="3" s="1"/>
  <c r="S20" i="3" s="1"/>
  <c r="M26" i="3"/>
  <c r="N26" i="3" s="1"/>
  <c r="S26" i="3" s="1"/>
  <c r="M32" i="3"/>
  <c r="N32" i="3" s="1"/>
  <c r="S32" i="3" s="1"/>
  <c r="Q26" i="3"/>
  <c r="R26" i="3" s="1"/>
  <c r="Q4" i="3"/>
  <c r="R4" i="3" s="1"/>
  <c r="U398" i="7" l="1"/>
  <c r="S398" i="7" s="1"/>
  <c r="U362" i="7"/>
  <c r="S362" i="7" s="1"/>
  <c r="U578" i="6"/>
  <c r="S578" i="6" s="1"/>
  <c r="U542" i="5"/>
  <c r="S542" i="5" s="1"/>
  <c r="U362" i="5"/>
  <c r="S362" i="5" s="1"/>
  <c r="U722" i="3"/>
  <c r="S722" i="3" s="1"/>
  <c r="U686" i="3"/>
  <c r="S686" i="3" s="1"/>
  <c r="U614" i="3"/>
  <c r="S614" i="3" s="1"/>
  <c r="U146" i="3"/>
  <c r="S146" i="3" s="1"/>
  <c r="U110" i="3"/>
  <c r="S110" i="3" s="1"/>
  <c r="U74" i="3"/>
  <c r="S74" i="3" s="1"/>
  <c r="U218" i="5"/>
  <c r="S218" i="5" s="1"/>
  <c r="U578" i="3"/>
  <c r="S578" i="3" s="1"/>
  <c r="U26" i="3"/>
  <c r="U14" i="3"/>
  <c r="U4" i="3"/>
  <c r="U32" i="3"/>
  <c r="U8" i="3"/>
  <c r="U20" i="3"/>
  <c r="U38" i="3" l="1"/>
  <c r="S38" i="3" s="1"/>
  <c r="B8" i="4" l="1"/>
</calcChain>
</file>

<file path=xl/sharedStrings.xml><?xml version="1.0" encoding="utf-8"?>
<sst xmlns="http://schemas.openxmlformats.org/spreadsheetml/2006/main" count="254" uniqueCount="112">
  <si>
    <t>Fi, Гц</t>
  </si>
  <si>
    <t>DeltaFp, Гц</t>
  </si>
  <si>
    <t>d, м</t>
  </si>
  <si>
    <t>DF</t>
  </si>
  <si>
    <t>M</t>
  </si>
  <si>
    <t>L, дБ</t>
  </si>
  <si>
    <t>fj, Гц</t>
  </si>
  <si>
    <t>Rij, дБ</t>
  </si>
  <si>
    <t>Uij' дБмкВ</t>
  </si>
  <si>
    <t>Sj', дБмкВ</t>
  </si>
  <si>
    <t>Промеж. Расчет K</t>
  </si>
  <si>
    <t>Сумма для K</t>
  </si>
  <si>
    <t>Ki, дБ</t>
  </si>
  <si>
    <t>Sj, дБ</t>
  </si>
  <si>
    <t>Промеж. Расчет S</t>
  </si>
  <si>
    <t>Сумм для S</t>
  </si>
  <si>
    <t>Si, дБ</t>
  </si>
  <si>
    <t>Ui, дБ</t>
  </si>
  <si>
    <t>Bi</t>
  </si>
  <si>
    <t>Для расч. 
Дельты</t>
  </si>
  <si>
    <t>Величина отношения сигнал/помеха</t>
  </si>
  <si>
    <t>Rизм</t>
  </si>
  <si>
    <t>Rтс</t>
  </si>
  <si>
    <t>H</t>
  </si>
  <si>
    <t>Параметр</t>
  </si>
  <si>
    <t>Значение</t>
  </si>
  <si>
    <t>Примечание</t>
  </si>
  <si>
    <t>R, Mom</t>
  </si>
  <si>
    <t>delta</t>
  </si>
  <si>
    <t>rmax</t>
  </si>
  <si>
    <t>Kzt</t>
  </si>
  <si>
    <t>Uij, дБ</t>
  </si>
  <si>
    <t>СП № 3648, LAN, зел. пара, режим ВЫКЛ</t>
  </si>
  <si>
    <t>СП № 3649, LAN, зел. пара, режим ВЫКЛ</t>
  </si>
  <si>
    <t>СП № 3651, LAN, зел. пара, режим ВЫКЛ</t>
  </si>
  <si>
    <t>СП № 3652, LAN, зел. пара, режим ВЫКЛ</t>
  </si>
  <si>
    <t>СП № 3653, LAN, зел. пара, режим ВЫКЛ</t>
  </si>
  <si>
    <t>СП № 3654, LAN, зел. пара, режим ВЫКЛ</t>
  </si>
  <si>
    <t>СП № 3655, LAN, зел. пара, режим ВЫКЛ</t>
  </si>
  <si>
    <t>СП № 3656, LAN, зел. пара, режим ВЫКЛ</t>
  </si>
  <si>
    <t>СП № 3657, LAN, зел. пара, режим ВЫКЛ</t>
  </si>
  <si>
    <t>СП № 3658, LAN, зел. пара, режим ВЫКЛ</t>
  </si>
  <si>
    <t>СП № 3659, LAN, зел. пара, режим ВЫКЛ</t>
  </si>
  <si>
    <t>СП № 3660, LAN, зел. пара, режим ВЫКЛ</t>
  </si>
  <si>
    <t>СП № 3661, LAN, зел. пара, режим ВЫКЛ</t>
  </si>
  <si>
    <t>СП № 3662, LAN, зел. пара, режим ВЫКЛ</t>
  </si>
  <si>
    <t>СП № 3663, LAN, зел. пара, режим ВЫКЛ</t>
  </si>
  <si>
    <t>СП № 3664, LAN, зел. пара, режим ВЫКЛ</t>
  </si>
  <si>
    <t>СП № 3665, LAN, зел. пара, режим ВЫКЛ</t>
  </si>
  <si>
    <t>СП № 3666, LAN, зел. пара, режим ВЫКЛ</t>
  </si>
  <si>
    <t>СП № 3667, LAN, зел. пара, режим ВЫКЛ</t>
  </si>
  <si>
    <t>СП № 3668, LAN, зел. пара, режим ВЫКЛ</t>
  </si>
  <si>
    <t>СП № 3648, LAN, кор. пара, режим ВЫКЛ</t>
  </si>
  <si>
    <t>СП № 3649, LAN, кор. пара, режим ВЫКЛ</t>
  </si>
  <si>
    <t>СП № 3651, LAN, кор. пара, режим ВЫКЛ</t>
  </si>
  <si>
    <t>СП № 3652, LAN, кор. пара, режим ВЫКЛ</t>
  </si>
  <si>
    <t>СП № 3653, LAN, кор. пара, режим ВЫКЛ</t>
  </si>
  <si>
    <t>СП № 3654, LAN, кор. пара, режим ВЫКЛ</t>
  </si>
  <si>
    <t>СП № 3655, LAN, кор. пара, режим ВЫКЛ</t>
  </si>
  <si>
    <t>СП № 3656, LAN, кор. пара, режим ВЫКЛ</t>
  </si>
  <si>
    <t>СП № 3657, LAN, кор. пара, режим ВЫКЛ</t>
  </si>
  <si>
    <t>СП № 3658, LAN, кор. пара, режим ВЫКЛ</t>
  </si>
  <si>
    <t>СП № 3659, LAN, кор. пара, режим ВЫКЛ</t>
  </si>
  <si>
    <t>СП № 3660, LAN, кор. пара, режим ВЫКЛ</t>
  </si>
  <si>
    <t>СП № 3661, LAN, кор. пара, режим ВЫКЛ</t>
  </si>
  <si>
    <t>СП № 3662, LAN, кор. пара, режим ВЫКЛ</t>
  </si>
  <si>
    <t>СП № 3663, LAN, кор. пара, режим ВЫКЛ</t>
  </si>
  <si>
    <t>СП № 3664, LAN, кор. пара, режим ВЫКЛ</t>
  </si>
  <si>
    <t>СП № 3665, LAN, кор. пара, режим ВЫКЛ</t>
  </si>
  <si>
    <t>СП № 3666, LAN, кор. пара, режим ВЫКЛ</t>
  </si>
  <si>
    <t>СП № 3667, LAN, кор. пара, режим ВЫКЛ</t>
  </si>
  <si>
    <t>СП № 3668, LAN, кор. пара, режим ВЫКЛ</t>
  </si>
  <si>
    <t>СП № 3648, LAN, оранж. пара, режим ВЫКЛ</t>
  </si>
  <si>
    <t>СП № 3649, LAN, оранж. пара, режим ВЫКЛ</t>
  </si>
  <si>
    <t>СП № 3651, LAN, оранж. пара, режим ВЫКЛ</t>
  </si>
  <si>
    <t>СП № 3652, LAN, оранж. пара, режим ВЫКЛ</t>
  </si>
  <si>
    <t>СП № 3653, LAN, оранж. пара, режим ВЫКЛ</t>
  </si>
  <si>
    <t>СП № 3654, LAN, оранж. пара, режим ВЫКЛ</t>
  </si>
  <si>
    <t>СП № 3655, LAN, оранж. пара, режим ВЫКЛ</t>
  </si>
  <si>
    <t>СП № 3656, LAN, оранж. пара, режим ВЫКЛ</t>
  </si>
  <si>
    <t>СП № 3657, LAN, оранж. пара, режим ВЫКЛ</t>
  </si>
  <si>
    <t>СП № 3658, LAN, оранж. пара, режим ВЫКЛ</t>
  </si>
  <si>
    <t>СП № 3659, LAN, оранж. пара, режим ВЫКЛ</t>
  </si>
  <si>
    <t>СП № 3660, LAN, оранж. пара, режим ВЫКЛ</t>
  </si>
  <si>
    <t>СП № 3661, LAN, оранж. пара, режим ВЫКЛ</t>
  </si>
  <si>
    <t>СП № 3662, LAN, оранж. пара, режим ВЫКЛ</t>
  </si>
  <si>
    <t>СП № 3663, LAN, оранж. пара, режим ВЫКЛ</t>
  </si>
  <si>
    <t>СП № 3664, LAN, оранж. пара, режим ВЫКЛ</t>
  </si>
  <si>
    <t>СП № 3665, LAN, оранж. пара, режим ВЫКЛ</t>
  </si>
  <si>
    <t>СП № 3666, LAN, оранж. пара, режим ВЫКЛ</t>
  </si>
  <si>
    <t>СП № 3667, LAN, оранж. пара, режим ВЫКЛ</t>
  </si>
  <si>
    <t>СП № 3668, LAN, оранж. пара, режим ВЫКЛ</t>
  </si>
  <si>
    <t>СП № 3648, LAN, син. пара, режим ВЫКЛ</t>
  </si>
  <si>
    <t>СП № 3649, LAN, син. пара, режим ВЫКЛ</t>
  </si>
  <si>
    <t>СП № 3651, LAN, син. пара, режим ВЫКЛ</t>
  </si>
  <si>
    <t>СП № 3652, LAN, син. пара, режим ВЫКЛ</t>
  </si>
  <si>
    <t>СП № 3653, LAN, син. пара, режим ВЫКЛ</t>
  </si>
  <si>
    <t>СП № 3654, LAN, син. пара, режим ВЫКЛ</t>
  </si>
  <si>
    <t>СП № 3655, LAN, син. пара, режим ВЫКЛ</t>
  </si>
  <si>
    <t>СП № 3656, LAN, син. пара, режим ВЫКЛ</t>
  </si>
  <si>
    <t>СП № 3657, LAN, син. пара, режим ВЫКЛ</t>
  </si>
  <si>
    <t>СП № 3658, LAN, син. пара, режим ВЫКЛ</t>
  </si>
  <si>
    <t>СП № 3659, LAN, син. пара, режим ВЫКЛ</t>
  </si>
  <si>
    <t>СП № 3660, LAN, син. пара, режим ВЫКЛ</t>
  </si>
  <si>
    <t>СП № 3661, LAN, син. пара, режим ВЫКЛ</t>
  </si>
  <si>
    <t>СП № 3662, LAN, син. пара, режим ВЫКЛ</t>
  </si>
  <si>
    <t>СП № 3663, LAN, син. пара, режим ВЫКЛ</t>
  </si>
  <si>
    <t>СП № 3664, LAN, син. пара, режим ВЫКЛ</t>
  </si>
  <si>
    <t>СП № 3665, LAN, син. пара, режим ВЫКЛ</t>
  </si>
  <si>
    <t>СП № 3666, LAN, син. пара, режим ВЫКЛ</t>
  </si>
  <si>
    <t>СП № 3667, LAN, син. пара, режим ВЫКЛ</t>
  </si>
  <si>
    <t>СП № 3668, LAN, син. пара, режим ВЫКЛ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</si>
</sst>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1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" fontId="1" fillId="0" borderId="1" xfId="0" applyNumberFormat="1" applyFont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1" fontId="0" fillId="0" borderId="1" xfId="0" applyNumberFormat="1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1" fontId="0" fillId="0" borderId="0" xfId="0" applyNumberFormat="1" applyFont="1" applyAlignment="1">
      <alignment vertical="center"/>
    </xf>
    <xf numFmtId="0" fontId="0" fillId="0" borderId="0" xfId="0" applyFont="1"/>
    <xf numFmtId="165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1" fontId="0" fillId="0" borderId="4" xfId="0" applyNumberFormat="1" applyBorder="1" applyAlignment="1">
      <alignment horizontal="center" vertical="center"/>
    </xf>
    <xf numFmtId="11" fontId="0" fillId="0" borderId="5" xfId="0" applyNumberFormat="1" applyBorder="1" applyAlignment="1">
      <alignment horizontal="center" vertical="center"/>
    </xf>
    <xf numFmtId="11" fontId="0" fillId="0" borderId="3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 wrapText="1"/>
    </xf>
    <xf numFmtId="1" fontId="1" fillId="0" borderId="7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A1:U722"/>
  <sheetViews>
    <sheetView zoomScaleNormal="100" workbookViewId="0">
      <pane ySplit="1" topLeftCell="A471" activePane="bottomLeft" state="frozen"/>
      <selection pane="bottomLeft" activeCell="V13" sqref="V13"/>
    </sheetView>
  </sheetViews>
  <sheetFormatPr defaultRowHeight="15" x14ac:dyDescent="0.25"/>
  <cols>
    <col min="1" max="1" width="9.140625" style="16"/>
    <col min="2" max="5" width="9.140625" style="16" hidden="1" customWidth="1"/>
    <col min="6" max="8" width="9.140625" style="16"/>
    <col min="9" max="10" width="9.140625" style="16" hidden="1" customWidth="1"/>
    <col min="11" max="11" width="9.140625" style="16"/>
    <col min="12" max="13" width="9.140625" style="16" hidden="1" customWidth="1"/>
    <col min="14" max="15" width="9.140625" style="16"/>
    <col min="16" max="17" width="9.140625" style="16" hidden="1" customWidth="1"/>
    <col min="18" max="19" width="9.140625" style="16"/>
    <col min="20" max="21" width="9.140625" style="16" hidden="1" customWidth="1"/>
  </cols>
  <sheetData>
    <row r="1" spans="1:21" ht="45" x14ac:dyDescent="0.25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3" t="s">
        <v>5</v>
      </c>
      <c r="G1" s="13" t="s">
        <v>6</v>
      </c>
      <c r="H1" s="13" t="s">
        <v>7</v>
      </c>
      <c r="I1" s="15" t="s">
        <v>8</v>
      </c>
      <c r="J1" s="15" t="s">
        <v>9</v>
      </c>
      <c r="K1" s="13" t="s">
        <v>31</v>
      </c>
      <c r="L1" s="14" t="s">
        <v>10</v>
      </c>
      <c r="M1" s="14" t="s">
        <v>11</v>
      </c>
      <c r="N1" s="13" t="s">
        <v>12</v>
      </c>
      <c r="O1" s="13" t="s">
        <v>13</v>
      </c>
      <c r="P1" s="14" t="s">
        <v>14</v>
      </c>
      <c r="Q1" s="14" t="s">
        <v>15</v>
      </c>
      <c r="R1" s="13" t="s">
        <v>16</v>
      </c>
      <c r="S1" s="13" t="s">
        <v>17</v>
      </c>
      <c r="T1" s="14" t="s">
        <v>18</v>
      </c>
      <c r="U1" s="14" t="s">
        <v>19</v>
      </c>
    </row>
    <row r="2" spans="1:21" x14ac:dyDescent="0.25">
      <c r="A2" s="3">
        <v>1</v>
      </c>
      <c r="B2" s="4"/>
      <c r="C2" s="4"/>
      <c r="D2" s="4"/>
      <c r="E2" s="4"/>
      <c r="F2" s="3">
        <v>2</v>
      </c>
      <c r="G2" s="3">
        <v>3</v>
      </c>
      <c r="H2" s="3">
        <v>4</v>
      </c>
      <c r="I2" s="5"/>
      <c r="J2" s="6"/>
      <c r="K2" s="3">
        <v>5</v>
      </c>
      <c r="L2" s="4"/>
      <c r="M2" s="5"/>
      <c r="N2" s="3">
        <v>6</v>
      </c>
      <c r="O2" s="3">
        <v>7</v>
      </c>
      <c r="P2" s="4"/>
      <c r="Q2" s="5"/>
      <c r="R2" s="7">
        <v>8</v>
      </c>
      <c r="S2" s="7">
        <v>9</v>
      </c>
      <c r="T2" s="4"/>
      <c r="U2" s="4"/>
    </row>
    <row r="3" spans="1:21" x14ac:dyDescent="0.25">
      <c r="A3" s="27" t="s">
        <v>32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9"/>
    </row>
    <row r="4" spans="1:21" x14ac:dyDescent="0.25">
      <c r="A4" s="24">
        <v>250</v>
      </c>
      <c r="B4" s="24">
        <v>3</v>
      </c>
      <c r="C4" s="17">
        <v>0.5</v>
      </c>
      <c r="D4" s="24">
        <v>38</v>
      </c>
      <c r="E4" s="24">
        <v>4</v>
      </c>
      <c r="F4" s="25">
        <v>84</v>
      </c>
      <c r="G4" s="1">
        <v>175</v>
      </c>
      <c r="H4" s="2">
        <v>84.8</v>
      </c>
      <c r="I4" s="2">
        <v>-22.4</v>
      </c>
      <c r="J4" s="2">
        <v>-29.9</v>
      </c>
      <c r="K4" s="2">
        <f>I4</f>
        <v>-22.4</v>
      </c>
      <c r="L4" s="8">
        <f>10^((K4-H4)/10)</f>
        <v>1.905460717963246E-11</v>
      </c>
      <c r="M4" s="26">
        <f>SUM(L4:L7)</f>
        <v>3.7358741159327934E-11</v>
      </c>
      <c r="N4" s="17">
        <f>10*LOG10(M4/E4)</f>
        <v>-110.29667757516381</v>
      </c>
      <c r="O4" s="9">
        <f>J4</f>
        <v>-29.9</v>
      </c>
      <c r="P4" s="8">
        <f>D4/B4*10^(O4/10)</f>
        <v>1.2961711235556219E-2</v>
      </c>
      <c r="Q4" s="26">
        <f>SUM(P4:P7)</f>
        <v>0.10331320049005474</v>
      </c>
      <c r="R4" s="17">
        <f>10*LOG10(Q4)</f>
        <v>-9.8584418444627708</v>
      </c>
      <c r="S4" s="18">
        <f>F4+N4-Kzt-H</f>
        <v>-26.296677575163812</v>
      </c>
      <c r="T4" s="17">
        <v>0.2</v>
      </c>
      <c r="U4" s="21">
        <f>T4*10^((S4-R4)/10)</f>
        <v>4.5415742892133031E-3</v>
      </c>
    </row>
    <row r="5" spans="1:21" x14ac:dyDescent="0.25">
      <c r="A5" s="24"/>
      <c r="B5" s="24"/>
      <c r="C5" s="17"/>
      <c r="D5" s="24"/>
      <c r="E5" s="24"/>
      <c r="F5" s="25"/>
      <c r="G5" s="1">
        <v>225</v>
      </c>
      <c r="H5" s="2">
        <v>90</v>
      </c>
      <c r="I5" s="2">
        <v>-23.9</v>
      </c>
      <c r="J5" s="2">
        <v>-28</v>
      </c>
      <c r="K5" s="2">
        <f t="shared" ref="K5:K37" si="0">I5</f>
        <v>-23.9</v>
      </c>
      <c r="L5" s="8">
        <f t="shared" ref="L5:L37" si="1">10^((K5-H5)/10)</f>
        <v>4.0738027780411076E-12</v>
      </c>
      <c r="M5" s="26"/>
      <c r="N5" s="17"/>
      <c r="O5" s="9">
        <f t="shared" ref="O5:O37" si="2">J5</f>
        <v>-28</v>
      </c>
      <c r="P5" s="8">
        <f>D4/B4*10^(O5/10)</f>
        <v>2.0075313771174101E-2</v>
      </c>
      <c r="Q5" s="26"/>
      <c r="R5" s="17"/>
      <c r="S5" s="19"/>
      <c r="T5" s="17"/>
      <c r="U5" s="22"/>
    </row>
    <row r="6" spans="1:21" x14ac:dyDescent="0.25">
      <c r="A6" s="24"/>
      <c r="B6" s="24"/>
      <c r="C6" s="17"/>
      <c r="D6" s="24"/>
      <c r="E6" s="24"/>
      <c r="F6" s="25"/>
      <c r="G6" s="1">
        <v>275</v>
      </c>
      <c r="H6" s="2">
        <v>92.2</v>
      </c>
      <c r="I6" s="2">
        <v>-20.9</v>
      </c>
      <c r="J6" s="2">
        <v>-30.1</v>
      </c>
      <c r="K6" s="2">
        <f t="shared" si="0"/>
        <v>-20.9</v>
      </c>
      <c r="L6" s="8">
        <f t="shared" si="1"/>
        <v>4.8977881936844688E-12</v>
      </c>
      <c r="M6" s="26"/>
      <c r="N6" s="17"/>
      <c r="O6" s="9">
        <f t="shared" si="2"/>
        <v>-30.1</v>
      </c>
      <c r="P6" s="8">
        <f>D4/B4*10^(O6/10)</f>
        <v>1.2378338132106918E-2</v>
      </c>
      <c r="Q6" s="26"/>
      <c r="R6" s="17"/>
      <c r="S6" s="19"/>
      <c r="T6" s="17"/>
      <c r="U6" s="22"/>
    </row>
    <row r="7" spans="1:21" x14ac:dyDescent="0.25">
      <c r="A7" s="24"/>
      <c r="B7" s="24"/>
      <c r="C7" s="17"/>
      <c r="D7" s="24"/>
      <c r="E7" s="24"/>
      <c r="F7" s="25"/>
      <c r="G7" s="1">
        <v>325</v>
      </c>
      <c r="H7" s="2">
        <v>93.3</v>
      </c>
      <c r="I7" s="2">
        <v>-17</v>
      </c>
      <c r="J7" s="2">
        <v>-23.4</v>
      </c>
      <c r="K7" s="2">
        <f t="shared" si="0"/>
        <v>-17</v>
      </c>
      <c r="L7" s="8">
        <f>10^((K7-H7)/10)</f>
        <v>9.3325430079698992E-12</v>
      </c>
      <c r="M7" s="26"/>
      <c r="N7" s="17"/>
      <c r="O7" s="9">
        <f t="shared" si="2"/>
        <v>-23.4</v>
      </c>
      <c r="P7" s="8">
        <f>D4/B4*10^(O7/10)</f>
        <v>5.78978373512175E-2</v>
      </c>
      <c r="Q7" s="26"/>
      <c r="R7" s="17"/>
      <c r="S7" s="20"/>
      <c r="T7" s="17"/>
      <c r="U7" s="23"/>
    </row>
    <row r="8" spans="1:21" x14ac:dyDescent="0.25">
      <c r="A8" s="24">
        <v>500</v>
      </c>
      <c r="B8" s="24">
        <v>3</v>
      </c>
      <c r="C8" s="17">
        <v>0.5</v>
      </c>
      <c r="D8" s="24">
        <v>59</v>
      </c>
      <c r="E8" s="24">
        <v>6</v>
      </c>
      <c r="F8" s="25">
        <v>84</v>
      </c>
      <c r="G8" s="1">
        <v>375</v>
      </c>
      <c r="H8" s="2">
        <v>91.9</v>
      </c>
      <c r="I8" s="2">
        <v>-17.2</v>
      </c>
      <c r="J8" s="2">
        <v>-29.8</v>
      </c>
      <c r="K8" s="2">
        <f t="shared" si="0"/>
        <v>-17.2</v>
      </c>
      <c r="L8" s="8">
        <f t="shared" si="1"/>
        <v>1.2302687708123787E-11</v>
      </c>
      <c r="M8" s="26">
        <f>SUM(L8:L13)</f>
        <v>3.7024019681478621E-11</v>
      </c>
      <c r="N8" s="17">
        <f>10*LOG10(M8/E8)</f>
        <v>-112.09667682246732</v>
      </c>
      <c r="O8" s="9">
        <f t="shared" si="2"/>
        <v>-29.8</v>
      </c>
      <c r="P8" s="8">
        <f>D8/B8*10^(O8/10)</f>
        <v>2.0593528111667678E-2</v>
      </c>
      <c r="Q8" s="26">
        <f>SUM(P8:P13)</f>
        <v>0.25179646712394543</v>
      </c>
      <c r="R8" s="17">
        <f>10*LOG10(Q8)</f>
        <v>-5.9895036763299894</v>
      </c>
      <c r="S8" s="18">
        <f>F8+N8-Kzt-H</f>
        <v>-28.096676822467316</v>
      </c>
      <c r="T8" s="17">
        <v>0.5</v>
      </c>
      <c r="U8" s="21">
        <f>T8*10^((S8-R8)/10)</f>
        <v>3.0778871304308498E-3</v>
      </c>
    </row>
    <row r="9" spans="1:21" x14ac:dyDescent="0.25">
      <c r="A9" s="24"/>
      <c r="B9" s="24"/>
      <c r="C9" s="17"/>
      <c r="D9" s="24"/>
      <c r="E9" s="24"/>
      <c r="F9" s="25"/>
      <c r="G9" s="1">
        <v>425</v>
      </c>
      <c r="H9" s="2">
        <v>88.1</v>
      </c>
      <c r="I9" s="2">
        <v>-20.9</v>
      </c>
      <c r="J9" s="2">
        <v>-25.7</v>
      </c>
      <c r="K9" s="2">
        <f t="shared" si="0"/>
        <v>-20.9</v>
      </c>
      <c r="L9" s="8">
        <f t="shared" si="1"/>
        <v>1.2589254117941641E-11</v>
      </c>
      <c r="M9" s="26"/>
      <c r="N9" s="17"/>
      <c r="O9" s="9">
        <f t="shared" si="2"/>
        <v>-25.7</v>
      </c>
      <c r="P9" s="8">
        <f>D8/B8*10^(O9/10)</f>
        <v>5.2933517810562658E-2</v>
      </c>
      <c r="Q9" s="26"/>
      <c r="R9" s="17"/>
      <c r="S9" s="19"/>
      <c r="T9" s="17"/>
      <c r="U9" s="22"/>
    </row>
    <row r="10" spans="1:21" x14ac:dyDescent="0.25">
      <c r="A10" s="24"/>
      <c r="B10" s="24"/>
      <c r="C10" s="17"/>
      <c r="D10" s="24"/>
      <c r="E10" s="24"/>
      <c r="F10" s="25"/>
      <c r="G10" s="1">
        <v>475</v>
      </c>
      <c r="H10" s="2">
        <v>90</v>
      </c>
      <c r="I10" s="2">
        <v>-22.5</v>
      </c>
      <c r="J10" s="2">
        <v>-27.9</v>
      </c>
      <c r="K10" s="2">
        <f t="shared" si="0"/>
        <v>-22.5</v>
      </c>
      <c r="L10" s="8">
        <f>10^((K10-H10)/10)</f>
        <v>5.6234132519034759E-12</v>
      </c>
      <c r="M10" s="26"/>
      <c r="N10" s="17"/>
      <c r="O10" s="9">
        <f t="shared" si="2"/>
        <v>-27.9</v>
      </c>
      <c r="P10" s="8">
        <f>D8/B8*10^(O10/10)</f>
        <v>3.1895598581392258E-2</v>
      </c>
      <c r="Q10" s="26"/>
      <c r="R10" s="17"/>
      <c r="S10" s="19"/>
      <c r="T10" s="17"/>
      <c r="U10" s="22"/>
    </row>
    <row r="11" spans="1:21" x14ac:dyDescent="0.25">
      <c r="A11" s="24"/>
      <c r="B11" s="24"/>
      <c r="C11" s="17"/>
      <c r="D11" s="24"/>
      <c r="E11" s="24"/>
      <c r="F11" s="25"/>
      <c r="G11" s="1">
        <v>575</v>
      </c>
      <c r="H11" s="2">
        <v>97</v>
      </c>
      <c r="I11" s="2">
        <v>-24.9</v>
      </c>
      <c r="J11" s="2">
        <v>-26.5</v>
      </c>
      <c r="K11" s="2">
        <f t="shared" si="0"/>
        <v>-24.9</v>
      </c>
      <c r="L11" s="8">
        <f t="shared" si="1"/>
        <v>6.456542290346527E-13</v>
      </c>
      <c r="M11" s="26"/>
      <c r="N11" s="17"/>
      <c r="O11" s="9">
        <f t="shared" si="2"/>
        <v>-26.5</v>
      </c>
      <c r="P11" s="8">
        <f>D8/B8*10^(O11/10)</f>
        <v>4.4028182391843994E-2</v>
      </c>
      <c r="Q11" s="26"/>
      <c r="R11" s="17"/>
      <c r="S11" s="19"/>
      <c r="T11" s="17"/>
      <c r="U11" s="22"/>
    </row>
    <row r="12" spans="1:21" x14ac:dyDescent="0.25">
      <c r="A12" s="24"/>
      <c r="B12" s="24"/>
      <c r="C12" s="17"/>
      <c r="D12" s="24"/>
      <c r="E12" s="24"/>
      <c r="F12" s="25"/>
      <c r="G12" s="1">
        <v>625</v>
      </c>
      <c r="H12" s="2">
        <v>92</v>
      </c>
      <c r="I12" s="2">
        <v>-21</v>
      </c>
      <c r="J12" s="2">
        <v>-25</v>
      </c>
      <c r="K12" s="2">
        <f t="shared" si="0"/>
        <v>-21</v>
      </c>
      <c r="L12" s="8">
        <f t="shared" si="1"/>
        <v>5.0118723362726945E-12</v>
      </c>
      <c r="M12" s="26"/>
      <c r="N12" s="17"/>
      <c r="O12" s="9">
        <f t="shared" si="2"/>
        <v>-25</v>
      </c>
      <c r="P12" s="8">
        <f>D8/B8*10^(O12/10)</f>
        <v>6.2191460649978075E-2</v>
      </c>
      <c r="Q12" s="26"/>
      <c r="R12" s="17"/>
      <c r="S12" s="19"/>
      <c r="T12" s="17"/>
      <c r="U12" s="22"/>
    </row>
    <row r="13" spans="1:21" x14ac:dyDescent="0.25">
      <c r="A13" s="24"/>
      <c r="B13" s="24"/>
      <c r="C13" s="17"/>
      <c r="D13" s="24"/>
      <c r="E13" s="24"/>
      <c r="F13" s="25"/>
      <c r="G13" s="1">
        <v>675</v>
      </c>
      <c r="H13" s="2">
        <v>94.5</v>
      </c>
      <c r="I13" s="2">
        <v>-26.2</v>
      </c>
      <c r="J13" s="2">
        <v>-26.9</v>
      </c>
      <c r="K13" s="2">
        <f t="shared" si="0"/>
        <v>-26.2</v>
      </c>
      <c r="L13" s="8">
        <f t="shared" si="1"/>
        <v>8.5113803820237492E-13</v>
      </c>
      <c r="M13" s="26"/>
      <c r="N13" s="17"/>
      <c r="O13" s="9">
        <f t="shared" si="2"/>
        <v>-26.9</v>
      </c>
      <c r="P13" s="8">
        <f>D8/B8*10^(O13/10)</f>
        <v>4.0154179578500745E-2</v>
      </c>
      <c r="Q13" s="26"/>
      <c r="R13" s="17"/>
      <c r="S13" s="20"/>
      <c r="T13" s="17"/>
      <c r="U13" s="23"/>
    </row>
    <row r="14" spans="1:21" x14ac:dyDescent="0.25">
      <c r="A14" s="24">
        <v>1000</v>
      </c>
      <c r="B14" s="24">
        <v>3</v>
      </c>
      <c r="C14" s="17">
        <v>0.5</v>
      </c>
      <c r="D14" s="24">
        <v>117</v>
      </c>
      <c r="E14" s="24">
        <v>6</v>
      </c>
      <c r="F14" s="25">
        <v>76</v>
      </c>
      <c r="G14" s="1">
        <v>875</v>
      </c>
      <c r="H14" s="2">
        <v>91.1</v>
      </c>
      <c r="I14" s="2">
        <v>-20.2</v>
      </c>
      <c r="J14" s="2">
        <v>-25.6</v>
      </c>
      <c r="K14" s="2">
        <f t="shared" si="0"/>
        <v>-20.2</v>
      </c>
      <c r="L14" s="8">
        <f t="shared" si="1"/>
        <v>7.4131024130091739E-12</v>
      </c>
      <c r="M14" s="26">
        <f>SUM(L14:L19)</f>
        <v>1.1534156092671853E-11</v>
      </c>
      <c r="N14" s="17">
        <f>10*LOG10(M14/E14)</f>
        <v>-117.16165425926475</v>
      </c>
      <c r="O14" s="9">
        <f t="shared" si="2"/>
        <v>-25.6</v>
      </c>
      <c r="P14" s="8">
        <f>D14/B14*10^(O14/10)</f>
        <v>0.10741491943018844</v>
      </c>
      <c r="Q14" s="26">
        <f>SUM(P14:P19)</f>
        <v>0.52364112207655356</v>
      </c>
      <c r="R14" s="17">
        <f>10*LOG10(Q14)</f>
        <v>-2.8096625518914498</v>
      </c>
      <c r="S14" s="18">
        <f>F14+N14-Kzt-H</f>
        <v>-41.161654259264751</v>
      </c>
      <c r="T14" s="17">
        <v>0.8</v>
      </c>
      <c r="U14" s="21">
        <f>T14*10^((S14-R14)/10)</f>
        <v>1.1692054101395699E-4</v>
      </c>
    </row>
    <row r="15" spans="1:21" x14ac:dyDescent="0.25">
      <c r="A15" s="24"/>
      <c r="B15" s="24"/>
      <c r="C15" s="17"/>
      <c r="D15" s="24"/>
      <c r="E15" s="24"/>
      <c r="F15" s="25"/>
      <c r="G15" s="1">
        <v>975</v>
      </c>
      <c r="H15" s="2">
        <v>96.5</v>
      </c>
      <c r="I15" s="2">
        <v>-23.7</v>
      </c>
      <c r="J15" s="2">
        <v>-29.2</v>
      </c>
      <c r="K15" s="2">
        <f t="shared" si="0"/>
        <v>-23.7</v>
      </c>
      <c r="L15" s="8">
        <f t="shared" si="1"/>
        <v>9.5499258602143367E-13</v>
      </c>
      <c r="M15" s="26"/>
      <c r="N15" s="17"/>
      <c r="O15" s="9">
        <f t="shared" si="2"/>
        <v>-29.2</v>
      </c>
      <c r="P15" s="8">
        <f>D14/B14*10^(O15/10)</f>
        <v>4.6888312950079079E-2</v>
      </c>
      <c r="Q15" s="26"/>
      <c r="R15" s="17"/>
      <c r="S15" s="19"/>
      <c r="T15" s="17"/>
      <c r="U15" s="22"/>
    </row>
    <row r="16" spans="1:21" x14ac:dyDescent="0.25">
      <c r="A16" s="24"/>
      <c r="B16" s="24"/>
      <c r="C16" s="17"/>
      <c r="D16" s="24"/>
      <c r="E16" s="24"/>
      <c r="F16" s="25"/>
      <c r="G16" s="1">
        <v>1075</v>
      </c>
      <c r="H16" s="2">
        <v>94.6</v>
      </c>
      <c r="I16" s="2">
        <v>-23.2</v>
      </c>
      <c r="J16" s="2">
        <v>-24.5</v>
      </c>
      <c r="K16" s="2">
        <f t="shared" si="0"/>
        <v>-23.2</v>
      </c>
      <c r="L16" s="8">
        <f t="shared" si="1"/>
        <v>1.6595869074375588E-12</v>
      </c>
      <c r="M16" s="26"/>
      <c r="N16" s="17"/>
      <c r="O16" s="9">
        <f t="shared" si="2"/>
        <v>-24.5</v>
      </c>
      <c r="P16" s="8">
        <f>D14/B14*10^(O16/10)</f>
        <v>0.13837722180109435</v>
      </c>
      <c r="Q16" s="26"/>
      <c r="R16" s="17"/>
      <c r="S16" s="19"/>
      <c r="T16" s="17"/>
      <c r="U16" s="22"/>
    </row>
    <row r="17" spans="1:21" x14ac:dyDescent="0.25">
      <c r="A17" s="24"/>
      <c r="B17" s="24"/>
      <c r="C17" s="17"/>
      <c r="D17" s="24"/>
      <c r="E17" s="24"/>
      <c r="F17" s="25"/>
      <c r="G17" s="1">
        <v>1175</v>
      </c>
      <c r="H17" s="2">
        <v>97.8</v>
      </c>
      <c r="I17" s="2">
        <v>-23.9</v>
      </c>
      <c r="J17" s="2">
        <v>-28</v>
      </c>
      <c r="K17" s="2">
        <f t="shared" si="0"/>
        <v>-23.9</v>
      </c>
      <c r="L17" s="8">
        <f t="shared" si="1"/>
        <v>6.7608297539198353E-13</v>
      </c>
      <c r="M17" s="26"/>
      <c r="N17" s="17"/>
      <c r="O17" s="9">
        <f t="shared" si="2"/>
        <v>-28</v>
      </c>
      <c r="P17" s="8">
        <f>D14/B14*10^(O17/10)</f>
        <v>6.1810834505983424E-2</v>
      </c>
      <c r="Q17" s="26"/>
      <c r="R17" s="17"/>
      <c r="S17" s="19"/>
      <c r="T17" s="17"/>
      <c r="U17" s="22"/>
    </row>
    <row r="18" spans="1:21" x14ac:dyDescent="0.25">
      <c r="A18" s="24"/>
      <c r="B18" s="24"/>
      <c r="C18" s="17"/>
      <c r="D18" s="24"/>
      <c r="E18" s="24"/>
      <c r="F18" s="25"/>
      <c r="G18" s="1">
        <v>1275</v>
      </c>
      <c r="H18" s="2">
        <v>100.1</v>
      </c>
      <c r="I18" s="2">
        <v>-22</v>
      </c>
      <c r="J18" s="2">
        <v>-29.3</v>
      </c>
      <c r="K18" s="2">
        <f t="shared" si="0"/>
        <v>-22</v>
      </c>
      <c r="L18" s="8">
        <f t="shared" si="1"/>
        <v>6.1659500186148178E-13</v>
      </c>
      <c r="M18" s="26"/>
      <c r="N18" s="17"/>
      <c r="O18" s="9">
        <f t="shared" si="2"/>
        <v>-29.3</v>
      </c>
      <c r="P18" s="8">
        <f>D14/B14*10^(O18/10)</f>
        <v>4.5821004642641591E-2</v>
      </c>
      <c r="Q18" s="26"/>
      <c r="R18" s="17"/>
      <c r="S18" s="19"/>
      <c r="T18" s="17"/>
      <c r="U18" s="22"/>
    </row>
    <row r="19" spans="1:21" x14ac:dyDescent="0.25">
      <c r="A19" s="24"/>
      <c r="B19" s="24"/>
      <c r="C19" s="17"/>
      <c r="D19" s="24"/>
      <c r="E19" s="24"/>
      <c r="F19" s="25"/>
      <c r="G19" s="1">
        <v>1375</v>
      </c>
      <c r="H19" s="2">
        <v>103</v>
      </c>
      <c r="I19" s="2">
        <v>-23.7</v>
      </c>
      <c r="J19" s="2">
        <v>-25</v>
      </c>
      <c r="K19" s="2">
        <f t="shared" si="0"/>
        <v>-23.7</v>
      </c>
      <c r="L19" s="8">
        <f t="shared" si="1"/>
        <v>2.1379620895022253E-13</v>
      </c>
      <c r="M19" s="26"/>
      <c r="N19" s="17"/>
      <c r="O19" s="9">
        <f t="shared" si="2"/>
        <v>-25</v>
      </c>
      <c r="P19" s="8">
        <f>D14/B14*10^(O19/10)</f>
        <v>0.12332882874656667</v>
      </c>
      <c r="Q19" s="26"/>
      <c r="R19" s="17"/>
      <c r="S19" s="20"/>
      <c r="T19" s="17"/>
      <c r="U19" s="23"/>
    </row>
    <row r="20" spans="1:21" x14ac:dyDescent="0.25">
      <c r="A20" s="24">
        <v>2000</v>
      </c>
      <c r="B20" s="24">
        <v>3</v>
      </c>
      <c r="C20" s="17">
        <v>0.5</v>
      </c>
      <c r="D20" s="24">
        <v>234</v>
      </c>
      <c r="E20" s="24">
        <v>6</v>
      </c>
      <c r="F20" s="25">
        <v>68</v>
      </c>
      <c r="G20" s="1">
        <v>1425</v>
      </c>
      <c r="H20" s="2">
        <v>102.8</v>
      </c>
      <c r="I20" s="2">
        <v>-24.5</v>
      </c>
      <c r="J20" s="2">
        <v>-27.3</v>
      </c>
      <c r="K20" s="2">
        <f t="shared" si="0"/>
        <v>-24.5</v>
      </c>
      <c r="L20" s="8">
        <f t="shared" si="1"/>
        <v>1.8620871366628623E-13</v>
      </c>
      <c r="M20" s="26">
        <f>SUM(L20:L25)</f>
        <v>4.059120613958843E-12</v>
      </c>
      <c r="N20" s="17">
        <f>10*LOG10(M20/E20)</f>
        <v>-121.69719294114768</v>
      </c>
      <c r="O20" s="9">
        <f t="shared" si="2"/>
        <v>-27.3</v>
      </c>
      <c r="P20" s="8">
        <f>D20/B20*10^(O20/10)</f>
        <v>0.14524279665970358</v>
      </c>
      <c r="Q20" s="26">
        <f>SUM(P20:P25)</f>
        <v>1.0603148908569688</v>
      </c>
      <c r="R20" s="17">
        <f>10*LOG10(Q20)</f>
        <v>0.25434860597660147</v>
      </c>
      <c r="S20" s="18">
        <f>F20+N20-Kzt-H</f>
        <v>-53.697192941147676</v>
      </c>
      <c r="T20" s="17">
        <v>1</v>
      </c>
      <c r="U20" s="21">
        <f>T20*10^((S20-R20)/10)</f>
        <v>4.0257411353186369E-6</v>
      </c>
    </row>
    <row r="21" spans="1:21" x14ac:dyDescent="0.25">
      <c r="A21" s="24"/>
      <c r="B21" s="24"/>
      <c r="C21" s="17"/>
      <c r="D21" s="24"/>
      <c r="E21" s="24"/>
      <c r="F21" s="25"/>
      <c r="G21" s="1">
        <v>1625</v>
      </c>
      <c r="H21" s="2">
        <v>104.1</v>
      </c>
      <c r="I21" s="2">
        <v>-21.1</v>
      </c>
      <c r="J21" s="2">
        <v>-27.5</v>
      </c>
      <c r="K21" s="2">
        <f t="shared" si="0"/>
        <v>-21.1</v>
      </c>
      <c r="L21" s="8">
        <f t="shared" si="1"/>
        <v>3.0199517204020122E-13</v>
      </c>
      <c r="M21" s="26"/>
      <c r="N21" s="17"/>
      <c r="O21" s="9">
        <f t="shared" si="2"/>
        <v>-27.5</v>
      </c>
      <c r="P21" s="8">
        <f>D20/B20*10^(O21/10)</f>
        <v>0.13870579398303595</v>
      </c>
      <c r="Q21" s="26"/>
      <c r="R21" s="17"/>
      <c r="S21" s="19"/>
      <c r="T21" s="17"/>
      <c r="U21" s="22"/>
    </row>
    <row r="22" spans="1:21" x14ac:dyDescent="0.25">
      <c r="A22" s="24"/>
      <c r="B22" s="24"/>
      <c r="C22" s="17"/>
      <c r="D22" s="24"/>
      <c r="E22" s="24"/>
      <c r="F22" s="25"/>
      <c r="G22" s="1">
        <v>1825</v>
      </c>
      <c r="H22" s="2">
        <v>107.6</v>
      </c>
      <c r="I22" s="2">
        <v>-23.1</v>
      </c>
      <c r="J22" s="2">
        <v>-24.1</v>
      </c>
      <c r="K22" s="2">
        <f t="shared" si="0"/>
        <v>-23.1</v>
      </c>
      <c r="L22" s="8">
        <f t="shared" si="1"/>
        <v>8.5113803820237696E-14</v>
      </c>
      <c r="M22" s="26"/>
      <c r="N22" s="17"/>
      <c r="O22" s="9">
        <f t="shared" si="2"/>
        <v>-24.1</v>
      </c>
      <c r="P22" s="8">
        <f>D20/B20*10^(O22/10)</f>
        <v>0.30345521309553858</v>
      </c>
      <c r="Q22" s="26"/>
      <c r="R22" s="17"/>
      <c r="S22" s="19"/>
      <c r="T22" s="17"/>
      <c r="U22" s="22"/>
    </row>
    <row r="23" spans="1:21" x14ac:dyDescent="0.25">
      <c r="A23" s="24"/>
      <c r="B23" s="24"/>
      <c r="C23" s="17"/>
      <c r="D23" s="24"/>
      <c r="E23" s="24"/>
      <c r="F23" s="25"/>
      <c r="G23" s="1">
        <v>2125</v>
      </c>
      <c r="H23" s="2">
        <v>104.2</v>
      </c>
      <c r="I23" s="2">
        <v>-22.5</v>
      </c>
      <c r="J23" s="2">
        <v>-27</v>
      </c>
      <c r="K23" s="2">
        <f t="shared" si="0"/>
        <v>-22.5</v>
      </c>
      <c r="L23" s="8">
        <f t="shared" si="1"/>
        <v>2.1379620895022253E-13</v>
      </c>
      <c r="M23" s="26"/>
      <c r="N23" s="17"/>
      <c r="O23" s="9">
        <f t="shared" si="2"/>
        <v>-27</v>
      </c>
      <c r="P23" s="8">
        <f>D20/B20*10^(O23/10)</f>
        <v>0.15563046056757249</v>
      </c>
      <c r="Q23" s="26"/>
      <c r="R23" s="17"/>
      <c r="S23" s="19"/>
      <c r="T23" s="17"/>
      <c r="U23" s="22"/>
    </row>
    <row r="24" spans="1:21" x14ac:dyDescent="0.25">
      <c r="A24" s="24"/>
      <c r="B24" s="24"/>
      <c r="C24" s="17"/>
      <c r="D24" s="24"/>
      <c r="E24" s="24"/>
      <c r="F24" s="25"/>
      <c r="G24" s="1">
        <v>2425</v>
      </c>
      <c r="H24" s="2">
        <v>93.7</v>
      </c>
      <c r="I24" s="2">
        <v>-23.2</v>
      </c>
      <c r="J24" s="2">
        <v>-24.9</v>
      </c>
      <c r="K24" s="2">
        <f t="shared" si="0"/>
        <v>-23.2</v>
      </c>
      <c r="L24" s="8">
        <f t="shared" si="1"/>
        <v>2.0417379446695178E-12</v>
      </c>
      <c r="M24" s="26"/>
      <c r="N24" s="17"/>
      <c r="O24" s="9">
        <f t="shared" si="2"/>
        <v>-24.9</v>
      </c>
      <c r="P24" s="8">
        <f>D20/B20*10^(O24/10)</f>
        <v>0.25240305240511002</v>
      </c>
      <c r="Q24" s="26"/>
      <c r="R24" s="17"/>
      <c r="S24" s="19"/>
      <c r="T24" s="17"/>
      <c r="U24" s="22"/>
    </row>
    <row r="25" spans="1:21" x14ac:dyDescent="0.25">
      <c r="A25" s="24"/>
      <c r="B25" s="24"/>
      <c r="C25" s="17"/>
      <c r="D25" s="24"/>
      <c r="E25" s="24"/>
      <c r="F25" s="25"/>
      <c r="G25" s="1">
        <v>2775</v>
      </c>
      <c r="H25" s="2">
        <v>100.2</v>
      </c>
      <c r="I25" s="2">
        <v>-18.899999999999999</v>
      </c>
      <c r="J25" s="2">
        <v>-30.8</v>
      </c>
      <c r="K25" s="2">
        <f t="shared" si="0"/>
        <v>-18.899999999999999</v>
      </c>
      <c r="L25" s="8">
        <f t="shared" si="1"/>
        <v>1.2302687708123772E-12</v>
      </c>
      <c r="M25" s="26"/>
      <c r="N25" s="17"/>
      <c r="O25" s="9">
        <f t="shared" si="2"/>
        <v>-30.8</v>
      </c>
      <c r="P25" s="8">
        <f>D20/B20*10^(O25/10)</f>
        <v>6.4877574146008282E-2</v>
      </c>
      <c r="Q25" s="26"/>
      <c r="R25" s="17"/>
      <c r="S25" s="20"/>
      <c r="T25" s="17"/>
      <c r="U25" s="23"/>
    </row>
    <row r="26" spans="1:21" x14ac:dyDescent="0.25">
      <c r="A26" s="24">
        <v>4000</v>
      </c>
      <c r="B26" s="24">
        <v>3</v>
      </c>
      <c r="C26" s="17">
        <v>0.5</v>
      </c>
      <c r="D26" s="24">
        <v>470</v>
      </c>
      <c r="E26" s="24">
        <v>6</v>
      </c>
      <c r="F26" s="25">
        <v>62</v>
      </c>
      <c r="G26" s="1">
        <v>2825</v>
      </c>
      <c r="H26" s="2">
        <v>99.4</v>
      </c>
      <c r="I26" s="2">
        <v>-23</v>
      </c>
      <c r="J26" s="2">
        <v>-28</v>
      </c>
      <c r="K26" s="2">
        <f t="shared" si="0"/>
        <v>-23</v>
      </c>
      <c r="L26" s="8">
        <f t="shared" si="1"/>
        <v>5.7543993733715476E-13</v>
      </c>
      <c r="M26" s="26">
        <f>SUM(L26:L31)</f>
        <v>2.3078742513931066E-12</v>
      </c>
      <c r="N26" s="17">
        <f>10*LOG10(M26/E26)</f>
        <v>-124.14939108557604</v>
      </c>
      <c r="O26" s="9">
        <f t="shared" si="2"/>
        <v>-28</v>
      </c>
      <c r="P26" s="8">
        <f>D26/B26*10^(O26/10)</f>
        <v>0.24829993348557441</v>
      </c>
      <c r="Q26" s="26">
        <f>SUM(P26:P31)</f>
        <v>2.2326395125153411</v>
      </c>
      <c r="R26" s="17">
        <f>10*LOG10(Q26)</f>
        <v>3.48818606473229</v>
      </c>
      <c r="S26" s="18">
        <f>F26+N26-Kzt-H</f>
        <v>-62.149391085576042</v>
      </c>
      <c r="T26" s="17">
        <v>0.9</v>
      </c>
      <c r="U26" s="21">
        <f>T26*10^((S26-R26)/10)</f>
        <v>2.457450589035084E-7</v>
      </c>
    </row>
    <row r="27" spans="1:21" x14ac:dyDescent="0.25">
      <c r="A27" s="24"/>
      <c r="B27" s="24"/>
      <c r="C27" s="17"/>
      <c r="D27" s="24"/>
      <c r="E27" s="24"/>
      <c r="F27" s="25"/>
      <c r="G27" s="1">
        <v>3425</v>
      </c>
      <c r="H27" s="2">
        <v>103.5</v>
      </c>
      <c r="I27" s="2">
        <v>-22.7</v>
      </c>
      <c r="J27" s="2">
        <v>-26.2</v>
      </c>
      <c r="K27" s="2">
        <f t="shared" si="0"/>
        <v>-22.7</v>
      </c>
      <c r="L27" s="8">
        <f t="shared" si="1"/>
        <v>2.3988329190194817E-13</v>
      </c>
      <c r="M27" s="26"/>
      <c r="N27" s="17"/>
      <c r="O27" s="9">
        <f t="shared" si="2"/>
        <v>-26.2</v>
      </c>
      <c r="P27" s="8">
        <f>D26/B26*10^(O27/10)</f>
        <v>0.37581715731305321</v>
      </c>
      <c r="Q27" s="26"/>
      <c r="R27" s="17"/>
      <c r="S27" s="19"/>
      <c r="T27" s="17"/>
      <c r="U27" s="22"/>
    </row>
    <row r="28" spans="1:21" x14ac:dyDescent="0.25">
      <c r="A28" s="24"/>
      <c r="B28" s="24"/>
      <c r="C28" s="17"/>
      <c r="D28" s="24"/>
      <c r="E28" s="24"/>
      <c r="F28" s="25"/>
      <c r="G28" s="1">
        <v>4025</v>
      </c>
      <c r="H28" s="2">
        <v>103.6</v>
      </c>
      <c r="I28" s="2">
        <v>-22.7</v>
      </c>
      <c r="J28" s="2">
        <v>-25.5</v>
      </c>
      <c r="K28" s="2">
        <f t="shared" si="0"/>
        <v>-22.7</v>
      </c>
      <c r="L28" s="8">
        <f t="shared" si="1"/>
        <v>2.3442288153199217E-13</v>
      </c>
      <c r="M28" s="26"/>
      <c r="N28" s="17"/>
      <c r="O28" s="9">
        <f t="shared" si="2"/>
        <v>-25.5</v>
      </c>
      <c r="P28" s="8">
        <f>D26/B26*10^(O28/10)</f>
        <v>0.44154665923143083</v>
      </c>
      <c r="Q28" s="26"/>
      <c r="R28" s="17"/>
      <c r="S28" s="19"/>
      <c r="T28" s="17"/>
      <c r="U28" s="22"/>
    </row>
    <row r="29" spans="1:21" x14ac:dyDescent="0.25">
      <c r="A29" s="24"/>
      <c r="B29" s="24"/>
      <c r="C29" s="17"/>
      <c r="D29" s="24"/>
      <c r="E29" s="24"/>
      <c r="F29" s="25"/>
      <c r="G29" s="1">
        <v>4625</v>
      </c>
      <c r="H29" s="2">
        <v>105.6</v>
      </c>
      <c r="I29" s="2">
        <v>-24.5</v>
      </c>
      <c r="J29" s="2">
        <v>-26.7</v>
      </c>
      <c r="K29" s="2">
        <f t="shared" si="0"/>
        <v>-24.5</v>
      </c>
      <c r="L29" s="8">
        <f t="shared" si="1"/>
        <v>9.772372209558072E-14</v>
      </c>
      <c r="M29" s="26"/>
      <c r="N29" s="17"/>
      <c r="O29" s="9">
        <f t="shared" si="2"/>
        <v>-26.7</v>
      </c>
      <c r="P29" s="8">
        <f>D26/B26*10^(O29/10)</f>
        <v>0.33494739402201629</v>
      </c>
      <c r="Q29" s="26"/>
      <c r="R29" s="17"/>
      <c r="S29" s="19"/>
      <c r="T29" s="17"/>
      <c r="U29" s="22"/>
    </row>
    <row r="30" spans="1:21" x14ac:dyDescent="0.25">
      <c r="A30" s="24"/>
      <c r="B30" s="24"/>
      <c r="C30" s="17"/>
      <c r="D30" s="24"/>
      <c r="E30" s="24"/>
      <c r="F30" s="25"/>
      <c r="G30" s="1">
        <v>5225</v>
      </c>
      <c r="H30" s="2">
        <v>103.5</v>
      </c>
      <c r="I30" s="2">
        <v>-17</v>
      </c>
      <c r="J30" s="2">
        <v>-25.2</v>
      </c>
      <c r="K30" s="2">
        <f t="shared" si="0"/>
        <v>-17</v>
      </c>
      <c r="L30" s="8">
        <f t="shared" si="1"/>
        <v>8.9125093813374051E-13</v>
      </c>
      <c r="M30" s="26"/>
      <c r="N30" s="17"/>
      <c r="O30" s="9">
        <f t="shared" si="2"/>
        <v>-25.2</v>
      </c>
      <c r="P30" s="8">
        <f>D26/B26*10^(O30/10)</f>
        <v>0.47312576952964874</v>
      </c>
      <c r="Q30" s="26"/>
      <c r="R30" s="17"/>
      <c r="S30" s="19"/>
      <c r="T30" s="17"/>
      <c r="U30" s="22"/>
    </row>
    <row r="31" spans="1:21" x14ac:dyDescent="0.25">
      <c r="A31" s="24"/>
      <c r="B31" s="24"/>
      <c r="C31" s="17"/>
      <c r="D31" s="24"/>
      <c r="E31" s="24"/>
      <c r="F31" s="25"/>
      <c r="G31" s="1">
        <v>5625</v>
      </c>
      <c r="H31" s="2">
        <v>99.5</v>
      </c>
      <c r="I31" s="2">
        <v>-26.2</v>
      </c>
      <c r="J31" s="2">
        <v>-26.4</v>
      </c>
      <c r="K31" s="2">
        <f t="shared" si="0"/>
        <v>-26.2</v>
      </c>
      <c r="L31" s="8">
        <f t="shared" si="1"/>
        <v>2.6915348039269041E-13</v>
      </c>
      <c r="M31" s="26"/>
      <c r="N31" s="17"/>
      <c r="O31" s="9">
        <f t="shared" si="2"/>
        <v>-26.4</v>
      </c>
      <c r="P31" s="8">
        <f>D26/B26*10^(O31/10)</f>
        <v>0.35890259893361787</v>
      </c>
      <c r="Q31" s="26"/>
      <c r="R31" s="17"/>
      <c r="S31" s="20"/>
      <c r="T31" s="17"/>
      <c r="U31" s="23"/>
    </row>
    <row r="32" spans="1:21" x14ac:dyDescent="0.25">
      <c r="A32" s="24">
        <v>8000</v>
      </c>
      <c r="B32" s="24">
        <v>3</v>
      </c>
      <c r="C32" s="17">
        <v>0.5</v>
      </c>
      <c r="D32" s="24">
        <v>943</v>
      </c>
      <c r="E32" s="24">
        <v>6</v>
      </c>
      <c r="F32" s="25">
        <v>54</v>
      </c>
      <c r="G32" s="1">
        <v>6025</v>
      </c>
      <c r="H32" s="2">
        <v>95</v>
      </c>
      <c r="I32" s="2">
        <v>-19.8</v>
      </c>
      <c r="J32" s="2">
        <v>-29.8</v>
      </c>
      <c r="K32" s="2">
        <f t="shared" si="0"/>
        <v>-19.8</v>
      </c>
      <c r="L32" s="8">
        <f t="shared" si="1"/>
        <v>3.3113112148258976E-12</v>
      </c>
      <c r="M32" s="26">
        <f>SUM(L32:L37)</f>
        <v>2.843760314163126E-11</v>
      </c>
      <c r="N32" s="17">
        <f>10*LOG10(M32/E32)</f>
        <v>-113.24258261217267</v>
      </c>
      <c r="O32" s="9">
        <f t="shared" si="2"/>
        <v>-29.8</v>
      </c>
      <c r="P32" s="8">
        <f>D32/B32*10^(O32/10)</f>
        <v>0.32914740693733247</v>
      </c>
      <c r="Q32" s="26">
        <f>SUM(P32:P37)</f>
        <v>3.4518839461697306</v>
      </c>
      <c r="R32" s="17">
        <f>10*LOG10(Q32)</f>
        <v>5.380561861204197</v>
      </c>
      <c r="S32" s="18">
        <f>F32+N32-Kzt-H</f>
        <v>-59.242582612172669</v>
      </c>
      <c r="T32" s="17">
        <v>0.7</v>
      </c>
      <c r="U32" s="21">
        <f>T32*10^((S32-R32)/10)</f>
        <v>2.414257519132696E-7</v>
      </c>
    </row>
    <row r="33" spans="1:21" x14ac:dyDescent="0.25">
      <c r="A33" s="24"/>
      <c r="B33" s="24"/>
      <c r="C33" s="17"/>
      <c r="D33" s="24"/>
      <c r="E33" s="24"/>
      <c r="F33" s="25"/>
      <c r="G33" s="1">
        <v>7025</v>
      </c>
      <c r="H33" s="2">
        <v>94.8</v>
      </c>
      <c r="I33" s="2">
        <v>-23.5</v>
      </c>
      <c r="J33" s="2">
        <v>-23.7</v>
      </c>
      <c r="K33" s="2">
        <f t="shared" si="0"/>
        <v>-23.5</v>
      </c>
      <c r="L33" s="8">
        <f t="shared" si="1"/>
        <v>1.4791083881682012E-12</v>
      </c>
      <c r="M33" s="26"/>
      <c r="N33" s="17"/>
      <c r="O33" s="9">
        <f t="shared" si="2"/>
        <v>-23.7</v>
      </c>
      <c r="P33" s="8">
        <f>D32/B32*10^(O33/10)</f>
        <v>1.340881620766339</v>
      </c>
      <c r="Q33" s="26"/>
      <c r="R33" s="17"/>
      <c r="S33" s="19"/>
      <c r="T33" s="17"/>
      <c r="U33" s="22"/>
    </row>
    <row r="34" spans="1:21" x14ac:dyDescent="0.25">
      <c r="A34" s="24"/>
      <c r="B34" s="24"/>
      <c r="C34" s="17"/>
      <c r="D34" s="24"/>
      <c r="E34" s="24"/>
      <c r="F34" s="25"/>
      <c r="G34" s="1">
        <v>8025</v>
      </c>
      <c r="H34" s="2">
        <v>101.9</v>
      </c>
      <c r="I34" s="2">
        <v>-27.2</v>
      </c>
      <c r="J34" s="2">
        <v>-31</v>
      </c>
      <c r="K34" s="2">
        <f t="shared" si="0"/>
        <v>-27.2</v>
      </c>
      <c r="L34" s="8">
        <f t="shared" si="1"/>
        <v>1.2302687708123759E-13</v>
      </c>
      <c r="M34" s="26"/>
      <c r="N34" s="17"/>
      <c r="O34" s="9">
        <f t="shared" si="2"/>
        <v>-31</v>
      </c>
      <c r="P34" s="8">
        <f>D32/B32*10^(O34/10)</f>
        <v>0.24968384178166564</v>
      </c>
      <c r="Q34" s="26"/>
      <c r="R34" s="17"/>
      <c r="S34" s="19"/>
      <c r="T34" s="17"/>
      <c r="U34" s="22"/>
    </row>
    <row r="35" spans="1:21" x14ac:dyDescent="0.25">
      <c r="A35" s="24"/>
      <c r="B35" s="24"/>
      <c r="C35" s="17"/>
      <c r="D35" s="24"/>
      <c r="E35" s="24"/>
      <c r="F35" s="25"/>
      <c r="G35" s="1">
        <v>9025</v>
      </c>
      <c r="H35" s="2">
        <v>93.2</v>
      </c>
      <c r="I35" s="2">
        <v>-26.3</v>
      </c>
      <c r="J35" s="2">
        <v>-28.7</v>
      </c>
      <c r="K35" s="2">
        <f t="shared" si="0"/>
        <v>-26.3</v>
      </c>
      <c r="L35" s="8">
        <f t="shared" si="1"/>
        <v>1.122018454301964E-12</v>
      </c>
      <c r="M35" s="26"/>
      <c r="N35" s="17"/>
      <c r="O35" s="9">
        <f t="shared" si="2"/>
        <v>-28.7</v>
      </c>
      <c r="P35" s="8">
        <f>D32/B32*10^(O35/10)</f>
        <v>0.42402399942797603</v>
      </c>
      <c r="Q35" s="26"/>
      <c r="R35" s="17"/>
      <c r="S35" s="19"/>
      <c r="T35" s="17"/>
      <c r="U35" s="22"/>
    </row>
    <row r="36" spans="1:21" x14ac:dyDescent="0.25">
      <c r="A36" s="24"/>
      <c r="B36" s="24"/>
      <c r="C36" s="17"/>
      <c r="D36" s="24"/>
      <c r="E36" s="24"/>
      <c r="F36" s="25"/>
      <c r="G36" s="1">
        <v>10025</v>
      </c>
      <c r="H36" s="2">
        <v>88.3</v>
      </c>
      <c r="I36" s="2">
        <v>-20.399999999999999</v>
      </c>
      <c r="J36" s="2">
        <v>-25.9</v>
      </c>
      <c r="K36" s="2">
        <f t="shared" si="0"/>
        <v>-20.399999999999999</v>
      </c>
      <c r="L36" s="8">
        <f t="shared" si="1"/>
        <v>1.3489628825916547E-11</v>
      </c>
      <c r="M36" s="26"/>
      <c r="N36" s="17"/>
      <c r="O36" s="9">
        <f t="shared" si="2"/>
        <v>-25.9</v>
      </c>
      <c r="P36" s="8">
        <f>D32/B32*10^(O36/10)</f>
        <v>0.80796107438367948</v>
      </c>
      <c r="Q36" s="26"/>
      <c r="R36" s="17"/>
      <c r="S36" s="19"/>
      <c r="T36" s="17"/>
      <c r="U36" s="22"/>
    </row>
    <row r="37" spans="1:21" x14ac:dyDescent="0.25">
      <c r="A37" s="24"/>
      <c r="B37" s="24"/>
      <c r="C37" s="17"/>
      <c r="D37" s="24"/>
      <c r="E37" s="24"/>
      <c r="F37" s="25"/>
      <c r="G37" s="1">
        <v>11025</v>
      </c>
      <c r="H37" s="2">
        <v>86</v>
      </c>
      <c r="I37" s="2">
        <v>-24.5</v>
      </c>
      <c r="J37" s="2">
        <v>-30.2</v>
      </c>
      <c r="K37" s="2">
        <f t="shared" si="0"/>
        <v>-24.5</v>
      </c>
      <c r="L37" s="8">
        <f t="shared" si="1"/>
        <v>8.9125093813374152E-12</v>
      </c>
      <c r="M37" s="26"/>
      <c r="N37" s="17"/>
      <c r="O37" s="9">
        <f t="shared" si="2"/>
        <v>-30.2</v>
      </c>
      <c r="P37" s="8">
        <f>D32/B32*10^(O37/10)</f>
        <v>0.30018600287273789</v>
      </c>
      <c r="Q37" s="26"/>
      <c r="R37" s="17"/>
      <c r="S37" s="20"/>
      <c r="T37" s="17"/>
      <c r="U37" s="23"/>
    </row>
    <row r="38" spans="1:21" x14ac:dyDescent="0.25">
      <c r="A38" s="24" t="s">
        <v>20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12">
        <f>U38</f>
        <v>7.0385884369429622E-2</v>
      </c>
      <c r="T38" s="2"/>
      <c r="U38" s="8">
        <f>0.8*SQRT(SUM(U4:U37))</f>
        <v>7.0385884369429622E-2</v>
      </c>
    </row>
    <row r="39" spans="1:21" x14ac:dyDescent="0.25">
      <c r="A39" s="27" t="s">
        <v>33</v>
      </c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9"/>
    </row>
    <row r="40" spans="1:21" x14ac:dyDescent="0.25">
      <c r="A40" s="24">
        <v>250</v>
      </c>
      <c r="B40" s="24">
        <v>3</v>
      </c>
      <c r="C40" s="17">
        <v>0.5</v>
      </c>
      <c r="D40" s="24">
        <v>38</v>
      </c>
      <c r="E40" s="24">
        <v>4</v>
      </c>
      <c r="F40" s="25">
        <v>84</v>
      </c>
      <c r="G40" s="1">
        <v>175</v>
      </c>
      <c r="H40" s="2">
        <v>84.8</v>
      </c>
      <c r="I40" s="2">
        <v>-24.5</v>
      </c>
      <c r="J40" s="2">
        <v>-27.4</v>
      </c>
      <c r="K40" s="2">
        <f>I40</f>
        <v>-24.5</v>
      </c>
      <c r="L40" s="8">
        <f>10^((K40-H40)/10)</f>
        <v>1.1748975549395269E-11</v>
      </c>
      <c r="M40" s="26">
        <f>SUM(L40:L43)</f>
        <v>2.7406916636938124E-11</v>
      </c>
      <c r="N40" s="17">
        <f>10*LOG10(M40/E40)</f>
        <v>-111.6419981251544</v>
      </c>
      <c r="O40" s="9">
        <f>J40</f>
        <v>-27.4</v>
      </c>
      <c r="P40" s="8">
        <f>D40/B40*10^(O40/10)</f>
        <v>2.3049544209059778E-2</v>
      </c>
      <c r="Q40" s="26">
        <f>SUM(P40:P43)</f>
        <v>0.13099324722055761</v>
      </c>
      <c r="R40" s="17">
        <f>10*LOG10(Q40)</f>
        <v>-8.8275109190483967</v>
      </c>
      <c r="S40" s="18">
        <f>F40+N40-Kzt-H</f>
        <v>-27.641998125154402</v>
      </c>
      <c r="T40" s="17">
        <v>0.2</v>
      </c>
      <c r="U40" s="21">
        <f>T40*10^((S40-R40)/10)</f>
        <v>2.6277332416199143E-3</v>
      </c>
    </row>
    <row r="41" spans="1:21" x14ac:dyDescent="0.25">
      <c r="A41" s="24"/>
      <c r="B41" s="24"/>
      <c r="C41" s="17"/>
      <c r="D41" s="24"/>
      <c r="E41" s="24"/>
      <c r="F41" s="25"/>
      <c r="G41" s="1">
        <v>225</v>
      </c>
      <c r="H41" s="2">
        <v>90</v>
      </c>
      <c r="I41" s="2">
        <v>-20.5</v>
      </c>
      <c r="J41" s="2">
        <v>-24.5</v>
      </c>
      <c r="K41" s="2">
        <f t="shared" ref="K41:K73" si="3">I41</f>
        <v>-20.5</v>
      </c>
      <c r="L41" s="8">
        <f t="shared" ref="L41:L42" si="4">10^((K41-H41)/10)</f>
        <v>8.9125093813374152E-12</v>
      </c>
      <c r="M41" s="26"/>
      <c r="N41" s="17"/>
      <c r="O41" s="9">
        <f t="shared" ref="O41:O73" si="5">J41</f>
        <v>-24.5</v>
      </c>
      <c r="P41" s="8">
        <f>D40/B40*10^(O41/10)</f>
        <v>4.4943029302919532E-2</v>
      </c>
      <c r="Q41" s="26"/>
      <c r="R41" s="17"/>
      <c r="S41" s="19"/>
      <c r="T41" s="17"/>
      <c r="U41" s="22"/>
    </row>
    <row r="42" spans="1:21" x14ac:dyDescent="0.25">
      <c r="A42" s="24"/>
      <c r="B42" s="24"/>
      <c r="C42" s="17"/>
      <c r="D42" s="24"/>
      <c r="E42" s="24"/>
      <c r="F42" s="25"/>
      <c r="G42" s="1">
        <v>275</v>
      </c>
      <c r="H42" s="2">
        <v>92.2</v>
      </c>
      <c r="I42" s="2">
        <v>-20.3</v>
      </c>
      <c r="J42" s="2">
        <v>-24.9</v>
      </c>
      <c r="K42" s="2">
        <f t="shared" si="3"/>
        <v>-20.3</v>
      </c>
      <c r="L42" s="8">
        <f t="shared" si="4"/>
        <v>5.6234132519034759E-12</v>
      </c>
      <c r="M42" s="26"/>
      <c r="N42" s="17"/>
      <c r="O42" s="9">
        <f t="shared" si="5"/>
        <v>-24.9</v>
      </c>
      <c r="P42" s="8">
        <f>D40/B40*10^(O42/10)</f>
        <v>4.0988529877752908E-2</v>
      </c>
      <c r="Q42" s="26"/>
      <c r="R42" s="17"/>
      <c r="S42" s="19"/>
      <c r="T42" s="17"/>
      <c r="U42" s="22"/>
    </row>
    <row r="43" spans="1:21" x14ac:dyDescent="0.25">
      <c r="A43" s="24"/>
      <c r="B43" s="24"/>
      <c r="C43" s="17"/>
      <c r="D43" s="24"/>
      <c r="E43" s="24"/>
      <c r="F43" s="25"/>
      <c r="G43" s="1">
        <v>325</v>
      </c>
      <c r="H43" s="2">
        <v>93.3</v>
      </c>
      <c r="I43" s="2">
        <v>-26.2</v>
      </c>
      <c r="J43" s="2">
        <v>-27.6</v>
      </c>
      <c r="K43" s="2">
        <f t="shared" si="3"/>
        <v>-26.2</v>
      </c>
      <c r="L43" s="8">
        <f>10^((K43-H43)/10)</f>
        <v>1.122018454301964E-12</v>
      </c>
      <c r="M43" s="26"/>
      <c r="N43" s="17"/>
      <c r="O43" s="9">
        <f t="shared" si="5"/>
        <v>-27.6</v>
      </c>
      <c r="P43" s="8">
        <f>D40/B40*10^(O43/10)</f>
        <v>2.2012143830825396E-2</v>
      </c>
      <c r="Q43" s="26"/>
      <c r="R43" s="17"/>
      <c r="S43" s="20"/>
      <c r="T43" s="17"/>
      <c r="U43" s="23"/>
    </row>
    <row r="44" spans="1:21" x14ac:dyDescent="0.25">
      <c r="A44" s="24">
        <v>500</v>
      </c>
      <c r="B44" s="24">
        <v>3</v>
      </c>
      <c r="C44" s="17">
        <v>0.5</v>
      </c>
      <c r="D44" s="24">
        <v>59</v>
      </c>
      <c r="E44" s="24">
        <v>6</v>
      </c>
      <c r="F44" s="25">
        <v>84</v>
      </c>
      <c r="G44" s="1">
        <v>375</v>
      </c>
      <c r="H44" s="2">
        <v>91.9</v>
      </c>
      <c r="I44" s="2">
        <v>-20.6</v>
      </c>
      <c r="J44" s="2">
        <v>-23.3</v>
      </c>
      <c r="K44" s="2">
        <f t="shared" si="3"/>
        <v>-20.6</v>
      </c>
      <c r="L44" s="8">
        <f t="shared" ref="L44:L45" si="6">10^((K44-H44)/10)</f>
        <v>5.6234132519034759E-12</v>
      </c>
      <c r="M44" s="26">
        <f>SUM(L44:L49)</f>
        <v>2.9841435993914308E-11</v>
      </c>
      <c r="N44" s="17">
        <f>10*LOG10(M44/E44)</f>
        <v>-113.03331532480209</v>
      </c>
      <c r="O44" s="9">
        <f t="shared" si="5"/>
        <v>-23.3</v>
      </c>
      <c r="P44" s="8">
        <f>D44/B44*10^(O44/10)</f>
        <v>9.1987911119815566E-2</v>
      </c>
      <c r="Q44" s="26">
        <f>SUM(P44:P49)</f>
        <v>0.26677604729273813</v>
      </c>
      <c r="R44" s="17">
        <f>10*LOG10(Q44)</f>
        <v>-5.73853166493031</v>
      </c>
      <c r="S44" s="18">
        <f>F44+N44-Kzt-H</f>
        <v>-29.033315324802089</v>
      </c>
      <c r="T44" s="17">
        <v>0.5</v>
      </c>
      <c r="U44" s="21">
        <f>T44*10^((S44-R44)/10)</f>
        <v>2.3414863931300236E-3</v>
      </c>
    </row>
    <row r="45" spans="1:21" x14ac:dyDescent="0.25">
      <c r="A45" s="24"/>
      <c r="B45" s="24"/>
      <c r="C45" s="17"/>
      <c r="D45" s="24"/>
      <c r="E45" s="24"/>
      <c r="F45" s="25"/>
      <c r="G45" s="1">
        <v>425</v>
      </c>
      <c r="H45" s="2">
        <v>88.1</v>
      </c>
      <c r="I45" s="2">
        <v>-21.9</v>
      </c>
      <c r="J45" s="2">
        <v>-28.8</v>
      </c>
      <c r="K45" s="2">
        <f t="shared" si="3"/>
        <v>-21.9</v>
      </c>
      <c r="L45" s="8">
        <f t="shared" si="6"/>
        <v>9.9999999999999994E-12</v>
      </c>
      <c r="M45" s="26"/>
      <c r="N45" s="17"/>
      <c r="O45" s="9">
        <f t="shared" si="5"/>
        <v>-28.8</v>
      </c>
      <c r="P45" s="8">
        <f>D44/B44*10^(O45/10)</f>
        <v>2.5925715858276008E-2</v>
      </c>
      <c r="Q45" s="26"/>
      <c r="R45" s="17"/>
      <c r="S45" s="19"/>
      <c r="T45" s="17"/>
      <c r="U45" s="22"/>
    </row>
    <row r="46" spans="1:21" x14ac:dyDescent="0.25">
      <c r="A46" s="24"/>
      <c r="B46" s="24"/>
      <c r="C46" s="17"/>
      <c r="D46" s="24"/>
      <c r="E46" s="24"/>
      <c r="F46" s="25"/>
      <c r="G46" s="1">
        <v>475</v>
      </c>
      <c r="H46" s="2">
        <v>90</v>
      </c>
      <c r="I46" s="2">
        <v>-21.1</v>
      </c>
      <c r="J46" s="2">
        <v>-31.1</v>
      </c>
      <c r="K46" s="2">
        <f t="shared" si="3"/>
        <v>-21.1</v>
      </c>
      <c r="L46" s="8">
        <f>10^((K46-H46)/10)</f>
        <v>7.762471166286914E-12</v>
      </c>
      <c r="M46" s="26"/>
      <c r="N46" s="17"/>
      <c r="O46" s="9">
        <f t="shared" si="5"/>
        <v>-31.1</v>
      </c>
      <c r="P46" s="8">
        <f>D44/B44*10^(O46/10)</f>
        <v>1.5266193293697583E-2</v>
      </c>
      <c r="Q46" s="26"/>
      <c r="R46" s="17"/>
      <c r="S46" s="19"/>
      <c r="T46" s="17"/>
      <c r="U46" s="22"/>
    </row>
    <row r="47" spans="1:21" x14ac:dyDescent="0.25">
      <c r="A47" s="24"/>
      <c r="B47" s="24"/>
      <c r="C47" s="17"/>
      <c r="D47" s="24"/>
      <c r="E47" s="24"/>
      <c r="F47" s="25"/>
      <c r="G47" s="1">
        <v>575</v>
      </c>
      <c r="H47" s="2">
        <v>97</v>
      </c>
      <c r="I47" s="2">
        <v>-18.600000000000001</v>
      </c>
      <c r="J47" s="2">
        <v>-25.4</v>
      </c>
      <c r="K47" s="2">
        <f t="shared" si="3"/>
        <v>-18.600000000000001</v>
      </c>
      <c r="L47" s="8">
        <f t="shared" ref="L47:L73" si="7">10^((K47-H47)/10)</f>
        <v>2.7542287033381671E-12</v>
      </c>
      <c r="M47" s="26"/>
      <c r="N47" s="17"/>
      <c r="O47" s="9">
        <f t="shared" si="5"/>
        <v>-25.4</v>
      </c>
      <c r="P47" s="8">
        <f>D44/B44*10^(O47/10)</f>
        <v>5.671928622815655E-2</v>
      </c>
      <c r="Q47" s="26"/>
      <c r="R47" s="17"/>
      <c r="S47" s="19"/>
      <c r="T47" s="17"/>
      <c r="U47" s="22"/>
    </row>
    <row r="48" spans="1:21" x14ac:dyDescent="0.25">
      <c r="A48" s="24"/>
      <c r="B48" s="24"/>
      <c r="C48" s="17"/>
      <c r="D48" s="24"/>
      <c r="E48" s="24"/>
      <c r="F48" s="25"/>
      <c r="G48" s="1">
        <v>625</v>
      </c>
      <c r="H48" s="2">
        <v>92</v>
      </c>
      <c r="I48" s="2">
        <v>-26.2</v>
      </c>
      <c r="J48" s="2">
        <v>-27.4</v>
      </c>
      <c r="K48" s="2">
        <f t="shared" si="3"/>
        <v>-26.2</v>
      </c>
      <c r="L48" s="8">
        <f t="shared" si="7"/>
        <v>1.5135612484362015E-12</v>
      </c>
      <c r="M48" s="26"/>
      <c r="N48" s="17"/>
      <c r="O48" s="9">
        <f t="shared" si="5"/>
        <v>-27.4</v>
      </c>
      <c r="P48" s="8">
        <f>D44/B44*10^(O48/10)</f>
        <v>3.5787450219329664E-2</v>
      </c>
      <c r="Q48" s="26"/>
      <c r="R48" s="17"/>
      <c r="S48" s="19"/>
      <c r="T48" s="17"/>
      <c r="U48" s="22"/>
    </row>
    <row r="49" spans="1:21" x14ac:dyDescent="0.25">
      <c r="A49" s="24"/>
      <c r="B49" s="24"/>
      <c r="C49" s="17"/>
      <c r="D49" s="24"/>
      <c r="E49" s="24"/>
      <c r="F49" s="25"/>
      <c r="G49" s="1">
        <v>675</v>
      </c>
      <c r="H49" s="2">
        <v>94.5</v>
      </c>
      <c r="I49" s="2">
        <v>-22.1</v>
      </c>
      <c r="J49" s="2">
        <v>-26.8</v>
      </c>
      <c r="K49" s="2">
        <f t="shared" si="3"/>
        <v>-22.1</v>
      </c>
      <c r="L49" s="8">
        <f t="shared" si="7"/>
        <v>2.1877616239495474E-12</v>
      </c>
      <c r="M49" s="26"/>
      <c r="N49" s="17"/>
      <c r="O49" s="9">
        <f t="shared" si="5"/>
        <v>-26.8</v>
      </c>
      <c r="P49" s="8">
        <f>D44/B44*10^(O49/10)</f>
        <v>4.1089490573462735E-2</v>
      </c>
      <c r="Q49" s="26"/>
      <c r="R49" s="17"/>
      <c r="S49" s="20"/>
      <c r="T49" s="17"/>
      <c r="U49" s="23"/>
    </row>
    <row r="50" spans="1:21" x14ac:dyDescent="0.25">
      <c r="A50" s="24">
        <v>1000</v>
      </c>
      <c r="B50" s="24">
        <v>3</v>
      </c>
      <c r="C50" s="17">
        <v>0.5</v>
      </c>
      <c r="D50" s="24">
        <v>117</v>
      </c>
      <c r="E50" s="24">
        <v>6</v>
      </c>
      <c r="F50" s="25">
        <v>76</v>
      </c>
      <c r="G50" s="1">
        <v>875</v>
      </c>
      <c r="H50" s="2">
        <v>91.1</v>
      </c>
      <c r="I50" s="2">
        <v>-19.5</v>
      </c>
      <c r="J50" s="2">
        <v>-24.2</v>
      </c>
      <c r="K50" s="2">
        <f t="shared" si="3"/>
        <v>-19.5</v>
      </c>
      <c r="L50" s="8">
        <f t="shared" si="7"/>
        <v>8.7096358995607975E-12</v>
      </c>
      <c r="M50" s="26">
        <f>SUM(L50:L55)</f>
        <v>1.536320626463836E-11</v>
      </c>
      <c r="N50" s="17">
        <f>10*LOG10(M50/E50)</f>
        <v>-115.91669389002735</v>
      </c>
      <c r="O50" s="9">
        <f t="shared" si="5"/>
        <v>-24.2</v>
      </c>
      <c r="P50" s="8">
        <f>D50/B50*10^(O50/10)</f>
        <v>0.14827386456501887</v>
      </c>
      <c r="Q50" s="26">
        <f>SUM(P50:P55)</f>
        <v>0.53239213417698972</v>
      </c>
      <c r="R50" s="17">
        <f>10*LOG10(Q50)</f>
        <v>-2.737683696300528</v>
      </c>
      <c r="S50" s="18">
        <f>F50+N50-Kzt-H</f>
        <v>-39.916693890027346</v>
      </c>
      <c r="T50" s="17">
        <v>0.8</v>
      </c>
      <c r="U50" s="21">
        <f>T50*10^((S50-R50)/10)</f>
        <v>1.5317538042642972E-4</v>
      </c>
    </row>
    <row r="51" spans="1:21" x14ac:dyDescent="0.25">
      <c r="A51" s="24"/>
      <c r="B51" s="24"/>
      <c r="C51" s="17"/>
      <c r="D51" s="24"/>
      <c r="E51" s="24"/>
      <c r="F51" s="25"/>
      <c r="G51" s="1">
        <v>975</v>
      </c>
      <c r="H51" s="2">
        <v>96.5</v>
      </c>
      <c r="I51" s="2">
        <v>-23.099999999999998</v>
      </c>
      <c r="J51" s="2">
        <v>-23.9</v>
      </c>
      <c r="K51" s="2">
        <f t="shared" si="3"/>
        <v>-23.099999999999998</v>
      </c>
      <c r="L51" s="8">
        <f t="shared" si="7"/>
        <v>1.0964781961431857E-12</v>
      </c>
      <c r="M51" s="26"/>
      <c r="N51" s="17"/>
      <c r="O51" s="9">
        <f t="shared" si="5"/>
        <v>-23.9</v>
      </c>
      <c r="P51" s="8">
        <f>D50/B50*10^(O51/10)</f>
        <v>0.15887830834360409</v>
      </c>
      <c r="Q51" s="26"/>
      <c r="R51" s="17"/>
      <c r="S51" s="19"/>
      <c r="T51" s="17"/>
      <c r="U51" s="22"/>
    </row>
    <row r="52" spans="1:21" x14ac:dyDescent="0.25">
      <c r="A52" s="24"/>
      <c r="B52" s="24"/>
      <c r="C52" s="17"/>
      <c r="D52" s="24"/>
      <c r="E52" s="24"/>
      <c r="F52" s="25"/>
      <c r="G52" s="1">
        <v>1075</v>
      </c>
      <c r="H52" s="2">
        <v>94.6</v>
      </c>
      <c r="I52" s="2">
        <v>-19.8</v>
      </c>
      <c r="J52" s="2">
        <v>-29.4</v>
      </c>
      <c r="K52" s="2">
        <f t="shared" si="3"/>
        <v>-19.8</v>
      </c>
      <c r="L52" s="8">
        <f t="shared" si="7"/>
        <v>3.6307805477010101E-12</v>
      </c>
      <c r="M52" s="26"/>
      <c r="N52" s="17"/>
      <c r="O52" s="9">
        <f t="shared" si="5"/>
        <v>-29.4</v>
      </c>
      <c r="P52" s="8">
        <f>D50/B50*10^(O52/10)</f>
        <v>4.4777991238378417E-2</v>
      </c>
      <c r="Q52" s="26"/>
      <c r="R52" s="17"/>
      <c r="S52" s="19"/>
      <c r="T52" s="17"/>
      <c r="U52" s="22"/>
    </row>
    <row r="53" spans="1:21" x14ac:dyDescent="0.25">
      <c r="A53" s="24"/>
      <c r="B53" s="24"/>
      <c r="C53" s="17"/>
      <c r="D53" s="24"/>
      <c r="E53" s="24"/>
      <c r="F53" s="25"/>
      <c r="G53" s="1">
        <v>1175</v>
      </c>
      <c r="H53" s="2">
        <v>97.8</v>
      </c>
      <c r="I53" s="2">
        <v>-23.1</v>
      </c>
      <c r="J53" s="2">
        <v>-31.8</v>
      </c>
      <c r="K53" s="2">
        <f t="shared" si="3"/>
        <v>-23.1</v>
      </c>
      <c r="L53" s="8">
        <f t="shared" si="7"/>
        <v>8.1283051616409777E-13</v>
      </c>
      <c r="M53" s="26"/>
      <c r="N53" s="17"/>
      <c r="O53" s="9">
        <f t="shared" si="5"/>
        <v>-31.8</v>
      </c>
      <c r="P53" s="8">
        <f>D50/B50*10^(O53/10)</f>
        <v>2.5767044472296226E-2</v>
      </c>
      <c r="Q53" s="26"/>
      <c r="R53" s="17"/>
      <c r="S53" s="19"/>
      <c r="T53" s="17"/>
      <c r="U53" s="22"/>
    </row>
    <row r="54" spans="1:21" x14ac:dyDescent="0.25">
      <c r="A54" s="24"/>
      <c r="B54" s="24"/>
      <c r="C54" s="17"/>
      <c r="D54" s="24"/>
      <c r="E54" s="24"/>
      <c r="F54" s="25"/>
      <c r="G54" s="1">
        <v>1275</v>
      </c>
      <c r="H54" s="2">
        <v>100.1</v>
      </c>
      <c r="I54" s="2">
        <v>-21.3</v>
      </c>
      <c r="J54" s="2">
        <v>-25.5</v>
      </c>
      <c r="K54" s="2">
        <f t="shared" si="3"/>
        <v>-21.3</v>
      </c>
      <c r="L54" s="8">
        <f t="shared" si="7"/>
        <v>7.2443596007498915E-13</v>
      </c>
      <c r="M54" s="26"/>
      <c r="N54" s="17"/>
      <c r="O54" s="9">
        <f t="shared" si="5"/>
        <v>-25.5</v>
      </c>
      <c r="P54" s="8">
        <f>D50/B50*10^(O54/10)</f>
        <v>0.10991693431931364</v>
      </c>
      <c r="Q54" s="26"/>
      <c r="R54" s="17"/>
      <c r="S54" s="19"/>
      <c r="T54" s="17"/>
      <c r="U54" s="22"/>
    </row>
    <row r="55" spans="1:21" x14ac:dyDescent="0.25">
      <c r="A55" s="24"/>
      <c r="B55" s="24"/>
      <c r="C55" s="17"/>
      <c r="D55" s="24"/>
      <c r="E55" s="24"/>
      <c r="F55" s="25"/>
      <c r="G55" s="1">
        <v>1375</v>
      </c>
      <c r="H55" s="2">
        <v>103</v>
      </c>
      <c r="I55" s="2">
        <v>-21.1</v>
      </c>
      <c r="J55" s="2">
        <v>-29.4</v>
      </c>
      <c r="K55" s="2">
        <f t="shared" si="3"/>
        <v>-21.1</v>
      </c>
      <c r="L55" s="8">
        <f t="shared" si="7"/>
        <v>3.8904514499427974E-13</v>
      </c>
      <c r="M55" s="26"/>
      <c r="N55" s="17"/>
      <c r="O55" s="9">
        <f t="shared" si="5"/>
        <v>-29.4</v>
      </c>
      <c r="P55" s="8">
        <f>D50/B50*10^(O55/10)</f>
        <v>4.4777991238378417E-2</v>
      </c>
      <c r="Q55" s="26"/>
      <c r="R55" s="17"/>
      <c r="S55" s="20"/>
      <c r="T55" s="17"/>
      <c r="U55" s="23"/>
    </row>
    <row r="56" spans="1:21" x14ac:dyDescent="0.25">
      <c r="A56" s="24">
        <v>2000</v>
      </c>
      <c r="B56" s="24">
        <v>3</v>
      </c>
      <c r="C56" s="17">
        <v>0.5</v>
      </c>
      <c r="D56" s="24">
        <v>234</v>
      </c>
      <c r="E56" s="24">
        <v>6</v>
      </c>
      <c r="F56" s="25">
        <v>68</v>
      </c>
      <c r="G56" s="1">
        <v>1425</v>
      </c>
      <c r="H56" s="2">
        <v>102.8</v>
      </c>
      <c r="I56" s="2">
        <v>-26.8</v>
      </c>
      <c r="J56" s="2">
        <v>-28.7</v>
      </c>
      <c r="K56" s="2">
        <f t="shared" si="3"/>
        <v>-26.8</v>
      </c>
      <c r="L56" s="8">
        <f t="shared" si="7"/>
        <v>1.0964781961431845E-13</v>
      </c>
      <c r="M56" s="26">
        <f>SUM(L56:L61)</f>
        <v>3.819673283493732E-12</v>
      </c>
      <c r="N56" s="17">
        <f>10*LOG10(M56/E56)</f>
        <v>-121.96125033347326</v>
      </c>
      <c r="O56" s="9">
        <f t="shared" si="5"/>
        <v>-28.7</v>
      </c>
      <c r="P56" s="8">
        <f>D56/B56*10^(O56/10)</f>
        <v>0.10521910484214889</v>
      </c>
      <c r="Q56" s="26">
        <f>SUM(P56:P61)</f>
        <v>0.95077576999601088</v>
      </c>
      <c r="R56" s="17">
        <f>10*LOG10(Q56)</f>
        <v>-0.21921894561772517</v>
      </c>
      <c r="S56" s="18">
        <f>F56+N56-Kzt-H</f>
        <v>-53.961250333473259</v>
      </c>
      <c r="T56" s="17">
        <v>1</v>
      </c>
      <c r="U56" s="21">
        <f>T56*10^((S56-R56)/10)</f>
        <v>4.2247095964334641E-6</v>
      </c>
    </row>
    <row r="57" spans="1:21" x14ac:dyDescent="0.25">
      <c r="A57" s="24"/>
      <c r="B57" s="24"/>
      <c r="C57" s="17"/>
      <c r="D57" s="24"/>
      <c r="E57" s="24"/>
      <c r="F57" s="25"/>
      <c r="G57" s="1">
        <v>1625</v>
      </c>
      <c r="H57" s="2">
        <v>104.1</v>
      </c>
      <c r="I57" s="2">
        <v>-23.5</v>
      </c>
      <c r="J57" s="2">
        <v>-30.3</v>
      </c>
      <c r="K57" s="2">
        <f t="shared" si="3"/>
        <v>-23.5</v>
      </c>
      <c r="L57" s="8">
        <f t="shared" si="7"/>
        <v>1.7378008287493713E-13</v>
      </c>
      <c r="M57" s="26"/>
      <c r="N57" s="17"/>
      <c r="O57" s="9">
        <f t="shared" si="5"/>
        <v>-30.3</v>
      </c>
      <c r="P57" s="8">
        <f>D56/B56*10^(O57/10)</f>
        <v>7.279383546216521E-2</v>
      </c>
      <c r="Q57" s="26"/>
      <c r="R57" s="17"/>
      <c r="S57" s="19"/>
      <c r="T57" s="17"/>
      <c r="U57" s="22"/>
    </row>
    <row r="58" spans="1:21" x14ac:dyDescent="0.25">
      <c r="A58" s="24"/>
      <c r="B58" s="24"/>
      <c r="C58" s="17"/>
      <c r="D58" s="24"/>
      <c r="E58" s="24"/>
      <c r="F58" s="25"/>
      <c r="G58" s="1">
        <v>1825</v>
      </c>
      <c r="H58" s="2">
        <v>107.6</v>
      </c>
      <c r="I58" s="2">
        <v>-22.2</v>
      </c>
      <c r="J58" s="2">
        <v>-29.3</v>
      </c>
      <c r="K58" s="2">
        <f t="shared" si="3"/>
        <v>-22.2</v>
      </c>
      <c r="L58" s="8">
        <f t="shared" si="7"/>
        <v>1.0471285480508991E-13</v>
      </c>
      <c r="M58" s="26"/>
      <c r="N58" s="17"/>
      <c r="O58" s="9">
        <f t="shared" si="5"/>
        <v>-29.3</v>
      </c>
      <c r="P58" s="8">
        <f>D56/B56*10^(O58/10)</f>
        <v>9.1642009285283182E-2</v>
      </c>
      <c r="Q58" s="26"/>
      <c r="R58" s="17"/>
      <c r="S58" s="19"/>
      <c r="T58" s="17"/>
      <c r="U58" s="22"/>
    </row>
    <row r="59" spans="1:21" x14ac:dyDescent="0.25">
      <c r="A59" s="24"/>
      <c r="B59" s="24"/>
      <c r="C59" s="17"/>
      <c r="D59" s="24"/>
      <c r="E59" s="24"/>
      <c r="F59" s="25"/>
      <c r="G59" s="1">
        <v>2125</v>
      </c>
      <c r="H59" s="2">
        <v>104.2</v>
      </c>
      <c r="I59" s="2">
        <v>-21.2</v>
      </c>
      <c r="J59" s="2">
        <v>-27.7</v>
      </c>
      <c r="K59" s="2">
        <f t="shared" si="3"/>
        <v>-21.2</v>
      </c>
      <c r="L59" s="8">
        <f t="shared" si="7"/>
        <v>2.8840315031265929E-13</v>
      </c>
      <c r="M59" s="26"/>
      <c r="N59" s="17"/>
      <c r="O59" s="9">
        <f t="shared" si="5"/>
        <v>-27.7</v>
      </c>
      <c r="P59" s="8">
        <f>D56/B56*10^(O59/10)</f>
        <v>0.13246300489201593</v>
      </c>
      <c r="Q59" s="26"/>
      <c r="R59" s="17"/>
      <c r="S59" s="19"/>
      <c r="T59" s="17"/>
      <c r="U59" s="22"/>
    </row>
    <row r="60" spans="1:21" x14ac:dyDescent="0.25">
      <c r="A60" s="24"/>
      <c r="B60" s="24"/>
      <c r="C60" s="17"/>
      <c r="D60" s="24"/>
      <c r="E60" s="24"/>
      <c r="F60" s="25"/>
      <c r="G60" s="1">
        <v>2425</v>
      </c>
      <c r="H60" s="2">
        <v>93.7</v>
      </c>
      <c r="I60" s="2">
        <v>-22.1</v>
      </c>
      <c r="J60" s="2">
        <v>-27.2</v>
      </c>
      <c r="K60" s="2">
        <f t="shared" si="3"/>
        <v>-22.1</v>
      </c>
      <c r="L60" s="8">
        <f t="shared" si="7"/>
        <v>2.6302679918953646E-12</v>
      </c>
      <c r="M60" s="26"/>
      <c r="N60" s="17"/>
      <c r="O60" s="9">
        <f t="shared" si="5"/>
        <v>-27.2</v>
      </c>
      <c r="P60" s="8">
        <f>D56/B56*10^(O60/10)</f>
        <v>0.1486259360011333</v>
      </c>
      <c r="Q60" s="26"/>
      <c r="R60" s="17"/>
      <c r="S60" s="19"/>
      <c r="T60" s="17"/>
      <c r="U60" s="22"/>
    </row>
    <row r="61" spans="1:21" x14ac:dyDescent="0.25">
      <c r="A61" s="24"/>
      <c r="B61" s="24"/>
      <c r="C61" s="17"/>
      <c r="D61" s="24"/>
      <c r="E61" s="24"/>
      <c r="F61" s="25"/>
      <c r="G61" s="1">
        <v>2775</v>
      </c>
      <c r="H61" s="2">
        <v>100.2</v>
      </c>
      <c r="I61" s="2">
        <v>-22.7</v>
      </c>
      <c r="J61" s="2">
        <v>-22.9</v>
      </c>
      <c r="K61" s="2">
        <f t="shared" si="3"/>
        <v>-22.7</v>
      </c>
      <c r="L61" s="8">
        <f t="shared" si="7"/>
        <v>5.1286138399136307E-13</v>
      </c>
      <c r="M61" s="26"/>
      <c r="N61" s="17"/>
      <c r="O61" s="9">
        <f t="shared" si="5"/>
        <v>-22.9</v>
      </c>
      <c r="P61" s="8">
        <f>D56/B56*10^(O61/10)</f>
        <v>0.40003187951326447</v>
      </c>
      <c r="Q61" s="26"/>
      <c r="R61" s="17"/>
      <c r="S61" s="20"/>
      <c r="T61" s="17"/>
      <c r="U61" s="23"/>
    </row>
    <row r="62" spans="1:21" x14ac:dyDescent="0.25">
      <c r="A62" s="24">
        <v>4000</v>
      </c>
      <c r="B62" s="24">
        <v>3</v>
      </c>
      <c r="C62" s="17">
        <v>0.5</v>
      </c>
      <c r="D62" s="24">
        <v>470</v>
      </c>
      <c r="E62" s="24">
        <v>6</v>
      </c>
      <c r="F62" s="25">
        <v>62</v>
      </c>
      <c r="G62" s="1">
        <v>2825</v>
      </c>
      <c r="H62" s="2">
        <v>99.4</v>
      </c>
      <c r="I62" s="2">
        <v>-20.6</v>
      </c>
      <c r="J62" s="2">
        <v>-22.4</v>
      </c>
      <c r="K62" s="2">
        <f t="shared" si="3"/>
        <v>-20.6</v>
      </c>
      <c r="L62" s="8">
        <f t="shared" si="7"/>
        <v>9.9999999999999998E-13</v>
      </c>
      <c r="M62" s="26">
        <f>SUM(L62:L67)</f>
        <v>3.0440821791134582E-12</v>
      </c>
      <c r="N62" s="17">
        <f>10*LOG10(M62/E62)</f>
        <v>-122.94694877760223</v>
      </c>
      <c r="O62" s="9">
        <f t="shared" si="5"/>
        <v>-22.4</v>
      </c>
      <c r="P62" s="8">
        <f>D62/B62*10^(O62/10)</f>
        <v>0.90152256849487922</v>
      </c>
      <c r="Q62" s="26">
        <f>SUM(P62:P67)</f>
        <v>1.8414345391641473</v>
      </c>
      <c r="R62" s="17">
        <f>10*LOG10(Q62)</f>
        <v>2.6515628480640863</v>
      </c>
      <c r="S62" s="18">
        <f>F62+N62-Kzt-H</f>
        <v>-60.946948777602231</v>
      </c>
      <c r="T62" s="17">
        <v>0.9</v>
      </c>
      <c r="U62" s="21">
        <f>T62*10^((S62-R62)/10)</f>
        <v>3.9299891093269916E-7</v>
      </c>
    </row>
    <row r="63" spans="1:21" x14ac:dyDescent="0.25">
      <c r="A63" s="24"/>
      <c r="B63" s="24"/>
      <c r="C63" s="17"/>
      <c r="D63" s="24"/>
      <c r="E63" s="24"/>
      <c r="F63" s="25"/>
      <c r="G63" s="1">
        <v>3425</v>
      </c>
      <c r="H63" s="2">
        <v>103.5</v>
      </c>
      <c r="I63" s="2">
        <v>-24.1</v>
      </c>
      <c r="J63" s="2">
        <v>-29.3</v>
      </c>
      <c r="K63" s="2">
        <f t="shared" si="3"/>
        <v>-24.1</v>
      </c>
      <c r="L63" s="8">
        <f t="shared" si="7"/>
        <v>1.7378008287493713E-13</v>
      </c>
      <c r="M63" s="26"/>
      <c r="N63" s="17"/>
      <c r="O63" s="9">
        <f t="shared" si="5"/>
        <v>-29.3</v>
      </c>
      <c r="P63" s="8">
        <f>D62/B62*10^(O63/10)</f>
        <v>0.18406728360719271</v>
      </c>
      <c r="Q63" s="26"/>
      <c r="R63" s="17"/>
      <c r="S63" s="19"/>
      <c r="T63" s="17"/>
      <c r="U63" s="22"/>
    </row>
    <row r="64" spans="1:21" x14ac:dyDescent="0.25">
      <c r="A64" s="24"/>
      <c r="B64" s="24"/>
      <c r="C64" s="17"/>
      <c r="D64" s="24"/>
      <c r="E64" s="24"/>
      <c r="F64" s="25"/>
      <c r="G64" s="1">
        <v>4025</v>
      </c>
      <c r="H64" s="2">
        <v>103.6</v>
      </c>
      <c r="I64" s="2">
        <v>-24.1</v>
      </c>
      <c r="J64" s="2">
        <v>-25.2</v>
      </c>
      <c r="K64" s="2">
        <f t="shared" si="3"/>
        <v>-24.1</v>
      </c>
      <c r="L64" s="8">
        <f t="shared" si="7"/>
        <v>1.6982436524617405E-13</v>
      </c>
      <c r="M64" s="26"/>
      <c r="N64" s="17"/>
      <c r="O64" s="9">
        <f t="shared" si="5"/>
        <v>-25.2</v>
      </c>
      <c r="P64" s="8">
        <f>D62/B62*10^(O64/10)</f>
        <v>0.47312576952964874</v>
      </c>
      <c r="Q64" s="26"/>
      <c r="R64" s="17"/>
      <c r="S64" s="19"/>
      <c r="T64" s="17"/>
      <c r="U64" s="22"/>
    </row>
    <row r="65" spans="1:21" x14ac:dyDescent="0.25">
      <c r="A65" s="24"/>
      <c r="B65" s="24"/>
      <c r="C65" s="17"/>
      <c r="D65" s="24"/>
      <c r="E65" s="24"/>
      <c r="F65" s="25"/>
      <c r="G65" s="1">
        <v>4625</v>
      </c>
      <c r="H65" s="2">
        <v>105.6</v>
      </c>
      <c r="I65" s="2">
        <v>-21.7</v>
      </c>
      <c r="J65" s="2">
        <v>-32.1</v>
      </c>
      <c r="K65" s="2">
        <f t="shared" si="3"/>
        <v>-21.7</v>
      </c>
      <c r="L65" s="8">
        <f t="shared" si="7"/>
        <v>1.8620871366628623E-13</v>
      </c>
      <c r="M65" s="26"/>
      <c r="N65" s="17"/>
      <c r="O65" s="9">
        <f t="shared" si="5"/>
        <v>-32.1</v>
      </c>
      <c r="P65" s="8">
        <f>D62/B62*10^(O65/10)</f>
        <v>9.659988362496548E-2</v>
      </c>
      <c r="Q65" s="26"/>
      <c r="R65" s="17"/>
      <c r="S65" s="19"/>
      <c r="T65" s="17"/>
      <c r="U65" s="22"/>
    </row>
    <row r="66" spans="1:21" x14ac:dyDescent="0.25">
      <c r="A66" s="24"/>
      <c r="B66" s="24"/>
      <c r="C66" s="17"/>
      <c r="D66" s="24"/>
      <c r="E66" s="24"/>
      <c r="F66" s="25"/>
      <c r="G66" s="1">
        <v>5225</v>
      </c>
      <c r="H66" s="2">
        <v>103.5</v>
      </c>
      <c r="I66" s="2">
        <v>-19.2</v>
      </c>
      <c r="J66" s="2">
        <v>-33.5</v>
      </c>
      <c r="K66" s="2">
        <f t="shared" si="3"/>
        <v>-19.2</v>
      </c>
      <c r="L66" s="8">
        <f t="shared" si="7"/>
        <v>5.3703179637025273E-13</v>
      </c>
      <c r="M66" s="26"/>
      <c r="N66" s="17"/>
      <c r="O66" s="9">
        <f t="shared" si="5"/>
        <v>-33.5</v>
      </c>
      <c r="P66" s="8">
        <f>D62/B62*10^(O66/10)</f>
        <v>6.9980429436984154E-2</v>
      </c>
      <c r="Q66" s="26"/>
      <c r="R66" s="17"/>
      <c r="S66" s="19"/>
      <c r="T66" s="17"/>
      <c r="U66" s="22"/>
    </row>
    <row r="67" spans="1:21" x14ac:dyDescent="0.25">
      <c r="A67" s="24"/>
      <c r="B67" s="24"/>
      <c r="C67" s="17"/>
      <c r="D67" s="24"/>
      <c r="E67" s="24"/>
      <c r="F67" s="25"/>
      <c r="G67" s="1">
        <v>5625</v>
      </c>
      <c r="H67" s="2">
        <v>99.5</v>
      </c>
      <c r="I67" s="2">
        <v>-20.6</v>
      </c>
      <c r="J67" s="2">
        <v>-31.3</v>
      </c>
      <c r="K67" s="2">
        <f t="shared" si="3"/>
        <v>-20.6</v>
      </c>
      <c r="L67" s="8">
        <f t="shared" si="7"/>
        <v>9.7723722095580816E-13</v>
      </c>
      <c r="M67" s="26"/>
      <c r="N67" s="17"/>
      <c r="O67" s="9">
        <f t="shared" si="5"/>
        <v>-31.3</v>
      </c>
      <c r="P67" s="8">
        <f>D62/B62*10^(O67/10)</f>
        <v>0.11613860447047704</v>
      </c>
      <c r="Q67" s="26"/>
      <c r="R67" s="17"/>
      <c r="S67" s="20"/>
      <c r="T67" s="17"/>
      <c r="U67" s="23"/>
    </row>
    <row r="68" spans="1:21" x14ac:dyDescent="0.25">
      <c r="A68" s="24">
        <v>8000</v>
      </c>
      <c r="B68" s="24">
        <v>3</v>
      </c>
      <c r="C68" s="17">
        <v>0.5</v>
      </c>
      <c r="D68" s="24">
        <v>943</v>
      </c>
      <c r="E68" s="24">
        <v>6</v>
      </c>
      <c r="F68" s="25">
        <v>54</v>
      </c>
      <c r="G68" s="1">
        <v>6025</v>
      </c>
      <c r="H68" s="2">
        <v>95</v>
      </c>
      <c r="I68" s="2">
        <v>-19.100000000000001</v>
      </c>
      <c r="J68" s="2">
        <v>-29.2</v>
      </c>
      <c r="K68" s="2">
        <f t="shared" si="3"/>
        <v>-19.100000000000001</v>
      </c>
      <c r="L68" s="8">
        <f t="shared" si="7"/>
        <v>3.890451449942802E-12</v>
      </c>
      <c r="M68" s="26">
        <f>SUM(L68:L73)</f>
        <v>5.4963979760474234E-11</v>
      </c>
      <c r="N68" s="17">
        <f>10*LOG10(M68/E68)</f>
        <v>-110.38073079362748</v>
      </c>
      <c r="O68" s="9">
        <f t="shared" si="5"/>
        <v>-29.2</v>
      </c>
      <c r="P68" s="8">
        <f>D68/B68*10^(O68/10)</f>
        <v>0.37791178728140662</v>
      </c>
      <c r="Q68" s="26">
        <f>SUM(P68:P73)</f>
        <v>3.156426665881976</v>
      </c>
      <c r="R68" s="17">
        <f>10*LOG10(Q68)</f>
        <v>4.991957036989298</v>
      </c>
      <c r="S68" s="18">
        <f>F68+N68-Kzt-H</f>
        <v>-56.380730793627478</v>
      </c>
      <c r="T68" s="17">
        <v>0.7</v>
      </c>
      <c r="U68" s="21">
        <f>T68*10^((S68-R68)/10)</f>
        <v>5.103043341811496E-7</v>
      </c>
    </row>
    <row r="69" spans="1:21" x14ac:dyDescent="0.25">
      <c r="A69" s="24"/>
      <c r="B69" s="24"/>
      <c r="C69" s="17"/>
      <c r="D69" s="24"/>
      <c r="E69" s="24"/>
      <c r="F69" s="25"/>
      <c r="G69" s="1">
        <v>7025</v>
      </c>
      <c r="H69" s="2">
        <v>94.8</v>
      </c>
      <c r="I69" s="2">
        <v>-25.6</v>
      </c>
      <c r="J69" s="2">
        <v>-29.9</v>
      </c>
      <c r="K69" s="2">
        <f t="shared" si="3"/>
        <v>-25.6</v>
      </c>
      <c r="L69" s="8">
        <f t="shared" si="7"/>
        <v>9.1201083935590446E-13</v>
      </c>
      <c r="M69" s="26"/>
      <c r="N69" s="17"/>
      <c r="O69" s="9">
        <f t="shared" si="5"/>
        <v>-29.9</v>
      </c>
      <c r="P69" s="8">
        <f>D68/B68*10^(O69/10)</f>
        <v>0.32165509724025038</v>
      </c>
      <c r="Q69" s="26"/>
      <c r="R69" s="17"/>
      <c r="S69" s="19"/>
      <c r="T69" s="17"/>
      <c r="U69" s="22"/>
    </row>
    <row r="70" spans="1:21" x14ac:dyDescent="0.25">
      <c r="A70" s="24"/>
      <c r="B70" s="24"/>
      <c r="C70" s="17"/>
      <c r="D70" s="24"/>
      <c r="E70" s="24"/>
      <c r="F70" s="25"/>
      <c r="G70" s="1">
        <v>8025</v>
      </c>
      <c r="H70" s="2">
        <v>101.9</v>
      </c>
      <c r="I70" s="2">
        <v>-12.9</v>
      </c>
      <c r="J70" s="2">
        <v>-30.2</v>
      </c>
      <c r="K70" s="2">
        <f t="shared" si="3"/>
        <v>-12.9</v>
      </c>
      <c r="L70" s="8">
        <f t="shared" si="7"/>
        <v>3.3113112148258976E-12</v>
      </c>
      <c r="M70" s="26"/>
      <c r="N70" s="17"/>
      <c r="O70" s="9">
        <f t="shared" si="5"/>
        <v>-30.2</v>
      </c>
      <c r="P70" s="8">
        <f>D68/B68*10^(O70/10)</f>
        <v>0.30018600287273789</v>
      </c>
      <c r="Q70" s="26"/>
      <c r="R70" s="17"/>
      <c r="S70" s="19"/>
      <c r="T70" s="17"/>
      <c r="U70" s="22"/>
    </row>
    <row r="71" spans="1:21" x14ac:dyDescent="0.25">
      <c r="A71" s="24"/>
      <c r="B71" s="24"/>
      <c r="C71" s="17"/>
      <c r="D71" s="24"/>
      <c r="E71" s="24"/>
      <c r="F71" s="25"/>
      <c r="G71" s="1">
        <v>9025</v>
      </c>
      <c r="H71" s="2">
        <v>93.2</v>
      </c>
      <c r="I71" s="2">
        <v>-24.4</v>
      </c>
      <c r="J71" s="2">
        <v>-24.8</v>
      </c>
      <c r="K71" s="2">
        <f t="shared" si="3"/>
        <v>-24.4</v>
      </c>
      <c r="L71" s="8">
        <f t="shared" si="7"/>
        <v>1.737800828749373E-12</v>
      </c>
      <c r="M71" s="26"/>
      <c r="N71" s="17"/>
      <c r="O71" s="9">
        <f t="shared" si="5"/>
        <v>-24.8</v>
      </c>
      <c r="P71" s="8">
        <f>D68/B68*10^(O71/10)</f>
        <v>1.0408554918602777</v>
      </c>
      <c r="Q71" s="26"/>
      <c r="R71" s="17"/>
      <c r="S71" s="19"/>
      <c r="T71" s="17"/>
      <c r="U71" s="22"/>
    </row>
    <row r="72" spans="1:21" x14ac:dyDescent="0.25">
      <c r="A72" s="24"/>
      <c r="B72" s="24"/>
      <c r="C72" s="17"/>
      <c r="D72" s="24"/>
      <c r="E72" s="24"/>
      <c r="F72" s="25"/>
      <c r="G72" s="1">
        <v>10025</v>
      </c>
      <c r="H72" s="2">
        <v>88.3</v>
      </c>
      <c r="I72" s="2">
        <v>-20.399999999999999</v>
      </c>
      <c r="J72" s="2">
        <v>-29</v>
      </c>
      <c r="K72" s="2">
        <f t="shared" si="3"/>
        <v>-20.399999999999999</v>
      </c>
      <c r="L72" s="8">
        <f t="shared" si="7"/>
        <v>1.3489628825916547E-11</v>
      </c>
      <c r="M72" s="26"/>
      <c r="N72" s="17"/>
      <c r="O72" s="9">
        <f t="shared" si="5"/>
        <v>-29</v>
      </c>
      <c r="P72" s="8">
        <f>D68/B68*10^(O72/10)</f>
        <v>0.39572222110729954</v>
      </c>
      <c r="Q72" s="26"/>
      <c r="R72" s="17"/>
      <c r="S72" s="19"/>
      <c r="T72" s="17"/>
      <c r="U72" s="22"/>
    </row>
    <row r="73" spans="1:21" x14ac:dyDescent="0.25">
      <c r="A73" s="24"/>
      <c r="B73" s="24"/>
      <c r="C73" s="17"/>
      <c r="D73" s="24"/>
      <c r="E73" s="24"/>
      <c r="F73" s="25"/>
      <c r="G73" s="1">
        <v>11025</v>
      </c>
      <c r="H73" s="2">
        <v>86</v>
      </c>
      <c r="I73" s="2">
        <v>-19</v>
      </c>
      <c r="J73" s="2">
        <v>-26.4</v>
      </c>
      <c r="K73" s="2">
        <f t="shared" si="3"/>
        <v>-19</v>
      </c>
      <c r="L73" s="8">
        <f t="shared" si="7"/>
        <v>3.162277660168371E-11</v>
      </c>
      <c r="M73" s="26"/>
      <c r="N73" s="17"/>
      <c r="O73" s="9">
        <f t="shared" si="5"/>
        <v>-26.4</v>
      </c>
      <c r="P73" s="8">
        <f>D68/B68*10^(O73/10)</f>
        <v>0.72009606552000349</v>
      </c>
      <c r="Q73" s="26"/>
      <c r="R73" s="17"/>
      <c r="S73" s="20"/>
      <c r="T73" s="17"/>
      <c r="U73" s="23"/>
    </row>
    <row r="74" spans="1:21" x14ac:dyDescent="0.25">
      <c r="A74" s="24" t="s">
        <v>20</v>
      </c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12">
        <f>U74</f>
        <v>5.7285379792155228E-2</v>
      </c>
      <c r="T74" s="2"/>
      <c r="U74" s="8">
        <f>0.8*SQRT(SUM(U40:U73))</f>
        <v>5.7285379792155228E-2</v>
      </c>
    </row>
    <row r="75" spans="1:21" x14ac:dyDescent="0.25">
      <c r="A75" s="27" t="s">
        <v>34</v>
      </c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9"/>
    </row>
    <row r="76" spans="1:21" x14ac:dyDescent="0.25">
      <c r="A76" s="24">
        <v>250</v>
      </c>
      <c r="B76" s="24">
        <v>3</v>
      </c>
      <c r="C76" s="17">
        <v>0.5</v>
      </c>
      <c r="D76" s="24">
        <v>38</v>
      </c>
      <c r="E76" s="24">
        <v>4</v>
      </c>
      <c r="F76" s="25">
        <v>84</v>
      </c>
      <c r="G76" s="1">
        <v>175</v>
      </c>
      <c r="H76" s="2">
        <v>84.8</v>
      </c>
      <c r="I76" s="2">
        <v>-23.7</v>
      </c>
      <c r="J76" s="2">
        <v>-30.6</v>
      </c>
      <c r="K76" s="2">
        <f>I76</f>
        <v>-23.7</v>
      </c>
      <c r="L76" s="8">
        <f>10^((K76-H76)/10)</f>
        <v>1.4125375446227501E-11</v>
      </c>
      <c r="M76" s="26">
        <f>SUM(L76:L79)</f>
        <v>3.5871222982348156E-11</v>
      </c>
      <c r="N76" s="17">
        <f>10*LOG10(M76/E76)</f>
        <v>-110.47313807698247</v>
      </c>
      <c r="O76" s="9">
        <f>J76</f>
        <v>-30.6</v>
      </c>
      <c r="P76" s="8">
        <f>D76/B76*10^(O76/10)</f>
        <v>1.103220547277701E-2</v>
      </c>
      <c r="Q76" s="26">
        <f>SUM(P76:P79)</f>
        <v>0.13543140273583604</v>
      </c>
      <c r="R76" s="17">
        <f>10*LOG10(Q76)</f>
        <v>-8.6828062329024274</v>
      </c>
      <c r="S76" s="18">
        <f>F76+N76-Kzt-H</f>
        <v>-26.473138076982465</v>
      </c>
      <c r="T76" s="17">
        <v>0.2</v>
      </c>
      <c r="U76" s="21">
        <f>T76*10^((S76-R76)/10)</f>
        <v>3.326571107986192E-3</v>
      </c>
    </row>
    <row r="77" spans="1:21" x14ac:dyDescent="0.25">
      <c r="A77" s="24"/>
      <c r="B77" s="24"/>
      <c r="C77" s="17"/>
      <c r="D77" s="24"/>
      <c r="E77" s="24"/>
      <c r="F77" s="25"/>
      <c r="G77" s="1">
        <v>225</v>
      </c>
      <c r="H77" s="2">
        <v>90</v>
      </c>
      <c r="I77" s="2">
        <v>-19.399999999999999</v>
      </c>
      <c r="J77" s="2">
        <v>-23</v>
      </c>
      <c r="K77" s="2">
        <f t="shared" ref="K77:K109" si="8">I77</f>
        <v>-19.399999999999999</v>
      </c>
      <c r="L77" s="8">
        <f t="shared" ref="L77:L78" si="9">10^((K77-H77)/10)</f>
        <v>1.1481536214968764E-11</v>
      </c>
      <c r="M77" s="26"/>
      <c r="N77" s="17"/>
      <c r="O77" s="9">
        <f t="shared" ref="O77:O109" si="10">J77</f>
        <v>-23</v>
      </c>
      <c r="P77" s="8">
        <f>D76/B76*10^(O77/10)</f>
        <v>6.3483716259454467E-2</v>
      </c>
      <c r="Q77" s="26"/>
      <c r="R77" s="17"/>
      <c r="S77" s="19"/>
      <c r="T77" s="17"/>
      <c r="U77" s="22"/>
    </row>
    <row r="78" spans="1:21" x14ac:dyDescent="0.25">
      <c r="A78" s="24"/>
      <c r="B78" s="24"/>
      <c r="C78" s="17"/>
      <c r="D78" s="24"/>
      <c r="E78" s="24"/>
      <c r="F78" s="25"/>
      <c r="G78" s="1">
        <v>275</v>
      </c>
      <c r="H78" s="2">
        <v>92.2</v>
      </c>
      <c r="I78" s="2">
        <v>-23</v>
      </c>
      <c r="J78" s="2">
        <v>-25.9</v>
      </c>
      <c r="K78" s="2">
        <f t="shared" si="8"/>
        <v>-23</v>
      </c>
      <c r="L78" s="8">
        <f t="shared" si="9"/>
        <v>3.0199517204020161E-12</v>
      </c>
      <c r="M78" s="26"/>
      <c r="N78" s="17"/>
      <c r="O78" s="9">
        <f t="shared" si="10"/>
        <v>-25.9</v>
      </c>
      <c r="P78" s="8">
        <f>D76/B76*10^(O78/10)</f>
        <v>3.2558346581738937E-2</v>
      </c>
      <c r="Q78" s="26"/>
      <c r="R78" s="17"/>
      <c r="S78" s="19"/>
      <c r="T78" s="17"/>
      <c r="U78" s="22"/>
    </row>
    <row r="79" spans="1:21" x14ac:dyDescent="0.25">
      <c r="A79" s="24"/>
      <c r="B79" s="24"/>
      <c r="C79" s="17"/>
      <c r="D79" s="24"/>
      <c r="E79" s="24"/>
      <c r="F79" s="25"/>
      <c r="G79" s="1">
        <v>325</v>
      </c>
      <c r="H79" s="2">
        <v>93.3</v>
      </c>
      <c r="I79" s="2">
        <v>-18.100000000000001</v>
      </c>
      <c r="J79" s="2">
        <v>-26.5</v>
      </c>
      <c r="K79" s="2">
        <f t="shared" si="8"/>
        <v>-18.100000000000001</v>
      </c>
      <c r="L79" s="8">
        <f>10^((K79-H79)/10)</f>
        <v>7.2443596007498734E-12</v>
      </c>
      <c r="M79" s="26"/>
      <c r="N79" s="17"/>
      <c r="O79" s="9">
        <f t="shared" si="10"/>
        <v>-26.5</v>
      </c>
      <c r="P79" s="8">
        <f>D76/B76*10^(O79/10)</f>
        <v>2.8357134421865621E-2</v>
      </c>
      <c r="Q79" s="26"/>
      <c r="R79" s="17"/>
      <c r="S79" s="20"/>
      <c r="T79" s="17"/>
      <c r="U79" s="23"/>
    </row>
    <row r="80" spans="1:21" x14ac:dyDescent="0.25">
      <c r="A80" s="24">
        <v>500</v>
      </c>
      <c r="B80" s="24">
        <v>3</v>
      </c>
      <c r="C80" s="17">
        <v>0.5</v>
      </c>
      <c r="D80" s="24">
        <v>59</v>
      </c>
      <c r="E80" s="24">
        <v>6</v>
      </c>
      <c r="F80" s="25">
        <v>84</v>
      </c>
      <c r="G80" s="1">
        <v>375</v>
      </c>
      <c r="H80" s="2">
        <v>91.9</v>
      </c>
      <c r="I80" s="2">
        <v>-23</v>
      </c>
      <c r="J80" s="2">
        <v>-27</v>
      </c>
      <c r="K80" s="2">
        <f t="shared" si="8"/>
        <v>-23</v>
      </c>
      <c r="L80" s="8">
        <f t="shared" ref="L80:L81" si="11">10^((K80-H80)/10)</f>
        <v>3.2359365692962695E-12</v>
      </c>
      <c r="M80" s="26">
        <f>SUM(L80:L85)</f>
        <v>2.3745931909673295E-11</v>
      </c>
      <c r="N80" s="17">
        <f>10*LOG10(M80/E80)</f>
        <v>-114.02562032233686</v>
      </c>
      <c r="O80" s="9">
        <f t="shared" si="10"/>
        <v>-27</v>
      </c>
      <c r="P80" s="8">
        <f>D80/B80*10^(O80/10)</f>
        <v>3.9240158861054607E-2</v>
      </c>
      <c r="Q80" s="26">
        <f>SUM(P80:P85)</f>
        <v>0.32085668249664112</v>
      </c>
      <c r="R80" s="17">
        <f>10*LOG10(Q80)</f>
        <v>-4.9368891120777745</v>
      </c>
      <c r="S80" s="18">
        <f>F80+N80-Kzt-H</f>
        <v>-30.025620322336863</v>
      </c>
      <c r="T80" s="17">
        <v>0.5</v>
      </c>
      <c r="U80" s="21">
        <f>T80*10^((S80-R80)/10)</f>
        <v>1.5491621706648592E-3</v>
      </c>
    </row>
    <row r="81" spans="1:21" x14ac:dyDescent="0.25">
      <c r="A81" s="24"/>
      <c r="B81" s="24"/>
      <c r="C81" s="17"/>
      <c r="D81" s="24"/>
      <c r="E81" s="24"/>
      <c r="F81" s="25"/>
      <c r="G81" s="1">
        <v>425</v>
      </c>
      <c r="H81" s="2">
        <v>88.1</v>
      </c>
      <c r="I81" s="2">
        <v>-21.7</v>
      </c>
      <c r="J81" s="2">
        <v>-22.6</v>
      </c>
      <c r="K81" s="2">
        <f t="shared" si="8"/>
        <v>-21.7</v>
      </c>
      <c r="L81" s="8">
        <f t="shared" si="11"/>
        <v>1.0471285480508978E-11</v>
      </c>
      <c r="M81" s="26"/>
      <c r="N81" s="17"/>
      <c r="O81" s="9">
        <f t="shared" si="10"/>
        <v>-22.6</v>
      </c>
      <c r="P81" s="8">
        <f>D80/B80*10^(O81/10)</f>
        <v>0.1080763718586661</v>
      </c>
      <c r="Q81" s="26"/>
      <c r="R81" s="17"/>
      <c r="S81" s="19"/>
      <c r="T81" s="17"/>
      <c r="U81" s="22"/>
    </row>
    <row r="82" spans="1:21" x14ac:dyDescent="0.25">
      <c r="A82" s="24"/>
      <c r="B82" s="24"/>
      <c r="C82" s="17"/>
      <c r="D82" s="24"/>
      <c r="E82" s="24"/>
      <c r="F82" s="25"/>
      <c r="G82" s="1">
        <v>475</v>
      </c>
      <c r="H82" s="2">
        <v>90</v>
      </c>
      <c r="I82" s="2">
        <v>-23.5</v>
      </c>
      <c r="J82" s="2">
        <v>-26.5</v>
      </c>
      <c r="K82" s="2">
        <f t="shared" si="8"/>
        <v>-23.5</v>
      </c>
      <c r="L82" s="8">
        <f>10^((K82-H82)/10)</f>
        <v>4.4668359215096234E-12</v>
      </c>
      <c r="M82" s="26"/>
      <c r="N82" s="17"/>
      <c r="O82" s="9">
        <f t="shared" si="10"/>
        <v>-26.5</v>
      </c>
      <c r="P82" s="8">
        <f>D80/B80*10^(O82/10)</f>
        <v>4.4028182391843994E-2</v>
      </c>
      <c r="Q82" s="26"/>
      <c r="R82" s="17"/>
      <c r="S82" s="19"/>
      <c r="T82" s="17"/>
      <c r="U82" s="22"/>
    </row>
    <row r="83" spans="1:21" x14ac:dyDescent="0.25">
      <c r="A83" s="24"/>
      <c r="B83" s="24"/>
      <c r="C83" s="17"/>
      <c r="D83" s="24"/>
      <c r="E83" s="24"/>
      <c r="F83" s="25"/>
      <c r="G83" s="1">
        <v>575</v>
      </c>
      <c r="H83" s="2">
        <v>97</v>
      </c>
      <c r="I83" s="2">
        <v>-24.2</v>
      </c>
      <c r="J83" s="2">
        <v>-28.2</v>
      </c>
      <c r="K83" s="2">
        <f t="shared" si="8"/>
        <v>-24.2</v>
      </c>
      <c r="L83" s="8">
        <f t="shared" ref="L83:L109" si="12">10^((K83-H83)/10)</f>
        <v>7.5857757502917993E-13</v>
      </c>
      <c r="M83" s="26"/>
      <c r="N83" s="17"/>
      <c r="O83" s="9">
        <f t="shared" si="10"/>
        <v>-28.2</v>
      </c>
      <c r="P83" s="8">
        <f>D80/B80*10^(O83/10)</f>
        <v>2.9766704552578745E-2</v>
      </c>
      <c r="Q83" s="26"/>
      <c r="R83" s="17"/>
      <c r="S83" s="19"/>
      <c r="T83" s="17"/>
      <c r="U83" s="22"/>
    </row>
    <row r="84" spans="1:21" x14ac:dyDescent="0.25">
      <c r="A84" s="24"/>
      <c r="B84" s="24"/>
      <c r="C84" s="17"/>
      <c r="D84" s="24"/>
      <c r="E84" s="24"/>
      <c r="F84" s="25"/>
      <c r="G84" s="1">
        <v>625</v>
      </c>
      <c r="H84" s="2">
        <v>92</v>
      </c>
      <c r="I84" s="2">
        <v>-25.3</v>
      </c>
      <c r="J84" s="2">
        <v>-26.6</v>
      </c>
      <c r="K84" s="2">
        <f t="shared" si="8"/>
        <v>-25.3</v>
      </c>
      <c r="L84" s="8">
        <f t="shared" si="12"/>
        <v>1.8620871366628578E-12</v>
      </c>
      <c r="M84" s="26"/>
      <c r="N84" s="17"/>
      <c r="O84" s="9">
        <f t="shared" si="10"/>
        <v>-26.6</v>
      </c>
      <c r="P84" s="8">
        <f>D80/B80*10^(O84/10)</f>
        <v>4.3025978604341153E-2</v>
      </c>
      <c r="Q84" s="26"/>
      <c r="R84" s="17"/>
      <c r="S84" s="19"/>
      <c r="T84" s="17"/>
      <c r="U84" s="22"/>
    </row>
    <row r="85" spans="1:21" x14ac:dyDescent="0.25">
      <c r="A85" s="24"/>
      <c r="B85" s="24"/>
      <c r="C85" s="17"/>
      <c r="D85" s="24"/>
      <c r="E85" s="24"/>
      <c r="F85" s="25"/>
      <c r="G85" s="1">
        <v>675</v>
      </c>
      <c r="H85" s="2">
        <v>94.5</v>
      </c>
      <c r="I85" s="2">
        <v>-20.8</v>
      </c>
      <c r="J85" s="2">
        <v>-25.4</v>
      </c>
      <c r="K85" s="2">
        <f t="shared" si="8"/>
        <v>-20.8</v>
      </c>
      <c r="L85" s="8">
        <f t="shared" si="12"/>
        <v>2.9512092266663859E-12</v>
      </c>
      <c r="M85" s="26"/>
      <c r="N85" s="17"/>
      <c r="O85" s="9">
        <f t="shared" si="10"/>
        <v>-25.4</v>
      </c>
      <c r="P85" s="8">
        <f>D80/B80*10^(O85/10)</f>
        <v>5.671928622815655E-2</v>
      </c>
      <c r="Q85" s="26"/>
      <c r="R85" s="17"/>
      <c r="S85" s="20"/>
      <c r="T85" s="17"/>
      <c r="U85" s="23"/>
    </row>
    <row r="86" spans="1:21" x14ac:dyDescent="0.25">
      <c r="A86" s="24">
        <v>1000</v>
      </c>
      <c r="B86" s="24">
        <v>3</v>
      </c>
      <c r="C86" s="17">
        <v>0.5</v>
      </c>
      <c r="D86" s="24">
        <v>117</v>
      </c>
      <c r="E86" s="24">
        <v>6</v>
      </c>
      <c r="F86" s="25">
        <v>76</v>
      </c>
      <c r="G86" s="1">
        <v>875</v>
      </c>
      <c r="H86" s="2">
        <v>91.1</v>
      </c>
      <c r="I86" s="2">
        <v>-26.5</v>
      </c>
      <c r="J86" s="2">
        <v>-33.799999999999997</v>
      </c>
      <c r="K86" s="2">
        <f t="shared" si="8"/>
        <v>-26.5</v>
      </c>
      <c r="L86" s="8">
        <f t="shared" si="12"/>
        <v>1.737800828749373E-12</v>
      </c>
      <c r="M86" s="26">
        <f>SUM(L86:L91)</f>
        <v>6.2467010794770584E-12</v>
      </c>
      <c r="N86" s="17">
        <f>10*LOG10(M86/E86)</f>
        <v>-119.82500526035139</v>
      </c>
      <c r="O86" s="9">
        <f t="shared" si="10"/>
        <v>-33.799999999999997</v>
      </c>
      <c r="P86" s="8">
        <f>D86/B86*10^(O86/10)</f>
        <v>1.6257905955343072E-2</v>
      </c>
      <c r="Q86" s="26">
        <f>SUM(P86:P91)</f>
        <v>0.45098925720326033</v>
      </c>
      <c r="R86" s="17">
        <f>10*LOG10(Q86)</f>
        <v>-3.4583380311740881</v>
      </c>
      <c r="S86" s="18">
        <f>F86+N86-Kzt-H</f>
        <v>-43.825005260351389</v>
      </c>
      <c r="T86" s="17">
        <v>0.8</v>
      </c>
      <c r="U86" s="21">
        <f>T86*10^((S86-R86)/10)</f>
        <v>7.3523007546149802E-5</v>
      </c>
    </row>
    <row r="87" spans="1:21" x14ac:dyDescent="0.25">
      <c r="A87" s="24"/>
      <c r="B87" s="24"/>
      <c r="C87" s="17"/>
      <c r="D87" s="24"/>
      <c r="E87" s="24"/>
      <c r="F87" s="25"/>
      <c r="G87" s="1">
        <v>975</v>
      </c>
      <c r="H87" s="2">
        <v>96.5</v>
      </c>
      <c r="I87" s="2">
        <v>-21.5</v>
      </c>
      <c r="J87" s="2">
        <v>-25</v>
      </c>
      <c r="K87" s="2">
        <f t="shared" si="8"/>
        <v>-21.5</v>
      </c>
      <c r="L87" s="8">
        <f t="shared" si="12"/>
        <v>1.5848931924611065E-12</v>
      </c>
      <c r="M87" s="26"/>
      <c r="N87" s="17"/>
      <c r="O87" s="9">
        <f t="shared" si="10"/>
        <v>-25</v>
      </c>
      <c r="P87" s="8">
        <f>D86/B86*10^(O87/10)</f>
        <v>0.12332882874656667</v>
      </c>
      <c r="Q87" s="26"/>
      <c r="R87" s="17"/>
      <c r="S87" s="19"/>
      <c r="T87" s="17"/>
      <c r="U87" s="22"/>
    </row>
    <row r="88" spans="1:21" x14ac:dyDescent="0.25">
      <c r="A88" s="24"/>
      <c r="B88" s="24"/>
      <c r="C88" s="17"/>
      <c r="D88" s="24"/>
      <c r="E88" s="24"/>
      <c r="F88" s="25"/>
      <c r="G88" s="1">
        <v>1075</v>
      </c>
      <c r="H88" s="2">
        <v>94.6</v>
      </c>
      <c r="I88" s="2">
        <v>-23.4</v>
      </c>
      <c r="J88" s="2">
        <v>-27</v>
      </c>
      <c r="K88" s="2">
        <f t="shared" si="8"/>
        <v>-23.4</v>
      </c>
      <c r="L88" s="8">
        <f t="shared" si="12"/>
        <v>1.5848931924611065E-12</v>
      </c>
      <c r="M88" s="26"/>
      <c r="N88" s="17"/>
      <c r="O88" s="9">
        <f t="shared" si="10"/>
        <v>-27</v>
      </c>
      <c r="P88" s="8">
        <f>D86/B86*10^(O88/10)</f>
        <v>7.7815230283786244E-2</v>
      </c>
      <c r="Q88" s="26"/>
      <c r="R88" s="17"/>
      <c r="S88" s="19"/>
      <c r="T88" s="17"/>
      <c r="U88" s="22"/>
    </row>
    <row r="89" spans="1:21" x14ac:dyDescent="0.25">
      <c r="A89" s="24"/>
      <c r="B89" s="24"/>
      <c r="C89" s="17"/>
      <c r="D89" s="24"/>
      <c r="E89" s="24"/>
      <c r="F89" s="25"/>
      <c r="G89" s="1">
        <v>1175</v>
      </c>
      <c r="H89" s="2">
        <v>97.8</v>
      </c>
      <c r="I89" s="2">
        <v>-22.7</v>
      </c>
      <c r="J89" s="2">
        <v>-28.2</v>
      </c>
      <c r="K89" s="2">
        <f t="shared" si="8"/>
        <v>-22.7</v>
      </c>
      <c r="L89" s="8">
        <f t="shared" si="12"/>
        <v>8.9125093813374051E-13</v>
      </c>
      <c r="M89" s="26"/>
      <c r="N89" s="17"/>
      <c r="O89" s="9">
        <f t="shared" si="10"/>
        <v>-28.2</v>
      </c>
      <c r="P89" s="8">
        <f>D86/B86*10^(O89/10)</f>
        <v>5.9028888689012085E-2</v>
      </c>
      <c r="Q89" s="26"/>
      <c r="R89" s="17"/>
      <c r="S89" s="19"/>
      <c r="T89" s="17"/>
      <c r="U89" s="22"/>
    </row>
    <row r="90" spans="1:21" x14ac:dyDescent="0.25">
      <c r="A90" s="24"/>
      <c r="B90" s="24"/>
      <c r="C90" s="17"/>
      <c r="D90" s="24"/>
      <c r="E90" s="24"/>
      <c r="F90" s="25"/>
      <c r="G90" s="1">
        <v>1275</v>
      </c>
      <c r="H90" s="2">
        <v>100.1</v>
      </c>
      <c r="I90" s="2">
        <v>-26.3</v>
      </c>
      <c r="J90" s="2">
        <v>-27.2</v>
      </c>
      <c r="K90" s="2">
        <f t="shared" si="8"/>
        <v>-26.3</v>
      </c>
      <c r="L90" s="8">
        <f t="shared" si="12"/>
        <v>2.290867652767773E-13</v>
      </c>
      <c r="M90" s="26"/>
      <c r="N90" s="17"/>
      <c r="O90" s="9">
        <f t="shared" si="10"/>
        <v>-27.2</v>
      </c>
      <c r="P90" s="8">
        <f>D86/B86*10^(O90/10)</f>
        <v>7.4312968000566651E-2</v>
      </c>
      <c r="Q90" s="26"/>
      <c r="R90" s="17"/>
      <c r="S90" s="19"/>
      <c r="T90" s="17"/>
      <c r="U90" s="22"/>
    </row>
    <row r="91" spans="1:21" x14ac:dyDescent="0.25">
      <c r="A91" s="24"/>
      <c r="B91" s="24"/>
      <c r="C91" s="17"/>
      <c r="D91" s="24"/>
      <c r="E91" s="24"/>
      <c r="F91" s="25"/>
      <c r="G91" s="1">
        <v>1375</v>
      </c>
      <c r="H91" s="2">
        <v>103</v>
      </c>
      <c r="I91" s="2">
        <v>-23.6</v>
      </c>
      <c r="J91" s="2">
        <v>-25.9</v>
      </c>
      <c r="K91" s="2">
        <f t="shared" si="8"/>
        <v>-23.6</v>
      </c>
      <c r="L91" s="8">
        <f t="shared" si="12"/>
        <v>2.1877616239495453E-13</v>
      </c>
      <c r="M91" s="26"/>
      <c r="N91" s="17"/>
      <c r="O91" s="9">
        <f t="shared" si="10"/>
        <v>-25.9</v>
      </c>
      <c r="P91" s="8">
        <f>D86/B86*10^(O91/10)</f>
        <v>0.10024543552798568</v>
      </c>
      <c r="Q91" s="26"/>
      <c r="R91" s="17"/>
      <c r="S91" s="20"/>
      <c r="T91" s="17"/>
      <c r="U91" s="23"/>
    </row>
    <row r="92" spans="1:21" x14ac:dyDescent="0.25">
      <c r="A92" s="24">
        <v>2000</v>
      </c>
      <c r="B92" s="24">
        <v>3</v>
      </c>
      <c r="C92" s="17">
        <v>0.5</v>
      </c>
      <c r="D92" s="24">
        <v>234</v>
      </c>
      <c r="E92" s="24">
        <v>6</v>
      </c>
      <c r="F92" s="25">
        <v>68</v>
      </c>
      <c r="G92" s="1">
        <v>1425</v>
      </c>
      <c r="H92" s="2">
        <v>102.8</v>
      </c>
      <c r="I92" s="2">
        <v>-22.8</v>
      </c>
      <c r="J92" s="2">
        <v>-26.2</v>
      </c>
      <c r="K92" s="2">
        <f t="shared" si="8"/>
        <v>-22.8</v>
      </c>
      <c r="L92" s="8">
        <f t="shared" si="12"/>
        <v>2.754228703338164E-13</v>
      </c>
      <c r="M92" s="26">
        <f>SUM(L92:L97)</f>
        <v>3.5000586928273343E-12</v>
      </c>
      <c r="N92" s="17">
        <f>10*LOG10(M92/E92)</f>
        <v>-122.34075923245564</v>
      </c>
      <c r="O92" s="9">
        <f t="shared" si="10"/>
        <v>-26.2</v>
      </c>
      <c r="P92" s="8">
        <f>D92/B92*10^(O92/10)</f>
        <v>0.18710896768352012</v>
      </c>
      <c r="Q92" s="26">
        <f>SUM(P92:P97)</f>
        <v>0.87055509554808097</v>
      </c>
      <c r="R92" s="17">
        <f>10*LOG10(Q92)</f>
        <v>-0.60203738118933636</v>
      </c>
      <c r="S92" s="18">
        <f>F92+N92-Kzt-H</f>
        <v>-54.340759232455639</v>
      </c>
      <c r="T92" s="17">
        <v>1</v>
      </c>
      <c r="U92" s="21">
        <f>T92*10^((S92-R92)/10)</f>
        <v>4.2279302589895141E-6</v>
      </c>
    </row>
    <row r="93" spans="1:21" x14ac:dyDescent="0.25">
      <c r="A93" s="24"/>
      <c r="B93" s="24"/>
      <c r="C93" s="17"/>
      <c r="D93" s="24"/>
      <c r="E93" s="24"/>
      <c r="F93" s="25"/>
      <c r="G93" s="1">
        <v>1625</v>
      </c>
      <c r="H93" s="2">
        <v>104.1</v>
      </c>
      <c r="I93" s="2">
        <v>-23.9</v>
      </c>
      <c r="J93" s="2">
        <v>-31.3</v>
      </c>
      <c r="K93" s="2">
        <f t="shared" si="8"/>
        <v>-23.9</v>
      </c>
      <c r="L93" s="8">
        <f t="shared" si="12"/>
        <v>1.5848931924611046E-13</v>
      </c>
      <c r="M93" s="26"/>
      <c r="N93" s="17"/>
      <c r="O93" s="9">
        <f t="shared" si="10"/>
        <v>-31.3</v>
      </c>
      <c r="P93" s="8">
        <f>D92/B92*10^(O93/10)</f>
        <v>5.7822198821471549E-2</v>
      </c>
      <c r="Q93" s="26"/>
      <c r="R93" s="17"/>
      <c r="S93" s="19"/>
      <c r="T93" s="17"/>
      <c r="U93" s="22"/>
    </row>
    <row r="94" spans="1:21" x14ac:dyDescent="0.25">
      <c r="A94" s="24"/>
      <c r="B94" s="24"/>
      <c r="C94" s="17"/>
      <c r="D94" s="24"/>
      <c r="E94" s="24"/>
      <c r="F94" s="25"/>
      <c r="G94" s="1">
        <v>1825</v>
      </c>
      <c r="H94" s="2">
        <v>107.6</v>
      </c>
      <c r="I94" s="2">
        <v>-24.6</v>
      </c>
      <c r="J94" s="2">
        <v>-25.8</v>
      </c>
      <c r="K94" s="2">
        <f t="shared" si="8"/>
        <v>-24.6</v>
      </c>
      <c r="L94" s="8">
        <f t="shared" si="12"/>
        <v>6.0255958607435679E-14</v>
      </c>
      <c r="M94" s="26"/>
      <c r="N94" s="17"/>
      <c r="O94" s="9">
        <f t="shared" si="10"/>
        <v>-25.8</v>
      </c>
      <c r="P94" s="8">
        <f>D92/B92*10^(O94/10)</f>
        <v>0.20516090336783957</v>
      </c>
      <c r="Q94" s="26"/>
      <c r="R94" s="17"/>
      <c r="S94" s="19"/>
      <c r="T94" s="17"/>
      <c r="U94" s="22"/>
    </row>
    <row r="95" spans="1:21" x14ac:dyDescent="0.25">
      <c r="A95" s="24"/>
      <c r="B95" s="24"/>
      <c r="C95" s="17"/>
      <c r="D95" s="24"/>
      <c r="E95" s="24"/>
      <c r="F95" s="25"/>
      <c r="G95" s="1">
        <v>2125</v>
      </c>
      <c r="H95" s="2">
        <v>104.2</v>
      </c>
      <c r="I95" s="2">
        <v>-23.5</v>
      </c>
      <c r="J95" s="2">
        <v>-27.1</v>
      </c>
      <c r="K95" s="2">
        <f t="shared" si="8"/>
        <v>-23.5</v>
      </c>
      <c r="L95" s="8">
        <f t="shared" si="12"/>
        <v>1.6982436524617405E-13</v>
      </c>
      <c r="M95" s="26"/>
      <c r="N95" s="17"/>
      <c r="O95" s="9">
        <f t="shared" si="10"/>
        <v>-27.1</v>
      </c>
      <c r="P95" s="8">
        <f>D92/B92*10^(O95/10)</f>
        <v>0.15208787878112745</v>
      </c>
      <c r="Q95" s="26"/>
      <c r="R95" s="17"/>
      <c r="S95" s="19"/>
      <c r="T95" s="17"/>
      <c r="U95" s="22"/>
    </row>
    <row r="96" spans="1:21" x14ac:dyDescent="0.25">
      <c r="A96" s="24"/>
      <c r="B96" s="24"/>
      <c r="C96" s="17"/>
      <c r="D96" s="24"/>
      <c r="E96" s="24"/>
      <c r="F96" s="25"/>
      <c r="G96" s="1">
        <v>2425</v>
      </c>
      <c r="H96" s="2">
        <v>93.7</v>
      </c>
      <c r="I96" s="2">
        <v>-23.2</v>
      </c>
      <c r="J96" s="2">
        <v>-29.6</v>
      </c>
      <c r="K96" s="2">
        <f t="shared" si="8"/>
        <v>-23.2</v>
      </c>
      <c r="L96" s="8">
        <f t="shared" si="12"/>
        <v>2.0417379446695178E-12</v>
      </c>
      <c r="M96" s="26"/>
      <c r="N96" s="17"/>
      <c r="O96" s="9">
        <f t="shared" si="10"/>
        <v>-29.6</v>
      </c>
      <c r="P96" s="8">
        <f>D92/B92*10^(O96/10)</f>
        <v>8.5525299299168425E-2</v>
      </c>
      <c r="Q96" s="26"/>
      <c r="R96" s="17"/>
      <c r="S96" s="19"/>
      <c r="T96" s="17"/>
      <c r="U96" s="22"/>
    </row>
    <row r="97" spans="1:21" x14ac:dyDescent="0.25">
      <c r="A97" s="24"/>
      <c r="B97" s="24"/>
      <c r="C97" s="17"/>
      <c r="D97" s="24"/>
      <c r="E97" s="24"/>
      <c r="F97" s="25"/>
      <c r="G97" s="1">
        <v>2775</v>
      </c>
      <c r="H97" s="2">
        <v>100.2</v>
      </c>
      <c r="I97" s="2">
        <v>-20.8</v>
      </c>
      <c r="J97" s="2">
        <v>-26.3</v>
      </c>
      <c r="K97" s="2">
        <f t="shared" si="8"/>
        <v>-20.8</v>
      </c>
      <c r="L97" s="8">
        <f t="shared" si="12"/>
        <v>7.9432823472428024E-13</v>
      </c>
      <c r="M97" s="26"/>
      <c r="N97" s="17"/>
      <c r="O97" s="9">
        <f t="shared" si="10"/>
        <v>-26.3</v>
      </c>
      <c r="P97" s="8">
        <f>D92/B92*10^(O97/10)</f>
        <v>0.18284984759495379</v>
      </c>
      <c r="Q97" s="26"/>
      <c r="R97" s="17"/>
      <c r="S97" s="20"/>
      <c r="T97" s="17"/>
      <c r="U97" s="23"/>
    </row>
    <row r="98" spans="1:21" x14ac:dyDescent="0.25">
      <c r="A98" s="24">
        <v>4000</v>
      </c>
      <c r="B98" s="24">
        <v>3</v>
      </c>
      <c r="C98" s="17">
        <v>0.5</v>
      </c>
      <c r="D98" s="24">
        <v>470</v>
      </c>
      <c r="E98" s="24">
        <v>6</v>
      </c>
      <c r="F98" s="25">
        <v>62</v>
      </c>
      <c r="G98" s="1">
        <v>2825</v>
      </c>
      <c r="H98" s="2">
        <v>99.4</v>
      </c>
      <c r="I98" s="2">
        <v>-20.7</v>
      </c>
      <c r="J98" s="2">
        <v>-29</v>
      </c>
      <c r="K98" s="2">
        <f t="shared" si="8"/>
        <v>-20.7</v>
      </c>
      <c r="L98" s="8">
        <f t="shared" si="12"/>
        <v>9.7723722095580473E-13</v>
      </c>
      <c r="M98" s="26">
        <f>SUM(L98:L103)</f>
        <v>2.7024801985716026E-12</v>
      </c>
      <c r="N98" s="17">
        <f>10*LOG10(M98/E98)</f>
        <v>-123.46388729879514</v>
      </c>
      <c r="O98" s="9">
        <f t="shared" si="10"/>
        <v>-29</v>
      </c>
      <c r="P98" s="8">
        <f>D98/B98*10^(O98/10)</f>
        <v>0.19723164784775268</v>
      </c>
      <c r="Q98" s="26">
        <f>SUM(P98:P103)</f>
        <v>1.898116726801899</v>
      </c>
      <c r="R98" s="17">
        <f>10*LOG10(Q98)</f>
        <v>2.7832291633531336</v>
      </c>
      <c r="S98" s="18">
        <f>F98+N98-Kzt-H</f>
        <v>-61.463887298795143</v>
      </c>
      <c r="T98" s="17">
        <v>0.9</v>
      </c>
      <c r="U98" s="21">
        <f>T98*10^((S98-R98)/10)</f>
        <v>3.3847832504171204E-7</v>
      </c>
    </row>
    <row r="99" spans="1:21" x14ac:dyDescent="0.25">
      <c r="A99" s="24"/>
      <c r="B99" s="24"/>
      <c r="C99" s="17"/>
      <c r="D99" s="24"/>
      <c r="E99" s="24"/>
      <c r="F99" s="25"/>
      <c r="G99" s="1">
        <v>3425</v>
      </c>
      <c r="H99" s="2">
        <v>103.5</v>
      </c>
      <c r="I99" s="2">
        <v>-25.4</v>
      </c>
      <c r="J99" s="2">
        <v>-25.7</v>
      </c>
      <c r="K99" s="2">
        <f t="shared" si="8"/>
        <v>-25.4</v>
      </c>
      <c r="L99" s="8">
        <f t="shared" si="12"/>
        <v>1.288249551693128E-13</v>
      </c>
      <c r="M99" s="26"/>
      <c r="N99" s="17"/>
      <c r="O99" s="9">
        <f t="shared" si="10"/>
        <v>-25.7</v>
      </c>
      <c r="P99" s="8">
        <f>D98/B98*10^(O99/10)</f>
        <v>0.42167378594854998</v>
      </c>
      <c r="Q99" s="26"/>
      <c r="R99" s="17"/>
      <c r="S99" s="19"/>
      <c r="T99" s="17"/>
      <c r="U99" s="22"/>
    </row>
    <row r="100" spans="1:21" x14ac:dyDescent="0.25">
      <c r="A100" s="24"/>
      <c r="B100" s="24"/>
      <c r="C100" s="17"/>
      <c r="D100" s="24"/>
      <c r="E100" s="24"/>
      <c r="F100" s="25"/>
      <c r="G100" s="1">
        <v>4025</v>
      </c>
      <c r="H100" s="2">
        <v>103.6</v>
      </c>
      <c r="I100" s="2">
        <v>-21.8</v>
      </c>
      <c r="J100" s="2">
        <v>-24.3</v>
      </c>
      <c r="K100" s="2">
        <f t="shared" si="8"/>
        <v>-21.8</v>
      </c>
      <c r="L100" s="8">
        <f t="shared" si="12"/>
        <v>2.884031503126603E-13</v>
      </c>
      <c r="M100" s="26"/>
      <c r="N100" s="17"/>
      <c r="O100" s="9">
        <f t="shared" si="10"/>
        <v>-24.3</v>
      </c>
      <c r="P100" s="8">
        <f>D98/B98*10^(O100/10)</f>
        <v>0.58207185891890312</v>
      </c>
      <c r="Q100" s="26"/>
      <c r="R100" s="17"/>
      <c r="S100" s="19"/>
      <c r="T100" s="17"/>
      <c r="U100" s="22"/>
    </row>
    <row r="101" spans="1:21" x14ac:dyDescent="0.25">
      <c r="A101" s="24"/>
      <c r="B101" s="24"/>
      <c r="C101" s="17"/>
      <c r="D101" s="24"/>
      <c r="E101" s="24"/>
      <c r="F101" s="25"/>
      <c r="G101" s="1">
        <v>4625</v>
      </c>
      <c r="H101" s="2">
        <v>105.6</v>
      </c>
      <c r="I101" s="2">
        <v>-22.5</v>
      </c>
      <c r="J101" s="2">
        <v>-26.5</v>
      </c>
      <c r="K101" s="2">
        <f t="shared" si="8"/>
        <v>-22.5</v>
      </c>
      <c r="L101" s="8">
        <f t="shared" si="12"/>
        <v>1.5488166189124838E-13</v>
      </c>
      <c r="M101" s="26"/>
      <c r="N101" s="17"/>
      <c r="O101" s="9">
        <f t="shared" si="10"/>
        <v>-26.5</v>
      </c>
      <c r="P101" s="8">
        <f>D98/B98*10^(O101/10)</f>
        <v>0.35073297837570638</v>
      </c>
      <c r="Q101" s="26"/>
      <c r="R101" s="17"/>
      <c r="S101" s="19"/>
      <c r="T101" s="17"/>
      <c r="U101" s="22"/>
    </row>
    <row r="102" spans="1:21" x14ac:dyDescent="0.25">
      <c r="A102" s="24"/>
      <c r="B102" s="24"/>
      <c r="C102" s="17"/>
      <c r="D102" s="24"/>
      <c r="E102" s="24"/>
      <c r="F102" s="25"/>
      <c r="G102" s="1">
        <v>5225</v>
      </c>
      <c r="H102" s="2">
        <v>103.5</v>
      </c>
      <c r="I102" s="2">
        <v>-21.7</v>
      </c>
      <c r="J102" s="2">
        <v>-32.9</v>
      </c>
      <c r="K102" s="2">
        <f t="shared" si="8"/>
        <v>-21.7</v>
      </c>
      <c r="L102" s="8">
        <f t="shared" si="12"/>
        <v>3.0199517204020122E-13</v>
      </c>
      <c r="M102" s="26"/>
      <c r="N102" s="17"/>
      <c r="O102" s="9">
        <f t="shared" si="10"/>
        <v>-32.9</v>
      </c>
      <c r="P102" s="8">
        <f>D98/B98*10^(O102/10)</f>
        <v>8.0348283491980449E-2</v>
      </c>
      <c r="Q102" s="26"/>
      <c r="R102" s="17"/>
      <c r="S102" s="19"/>
      <c r="T102" s="17"/>
      <c r="U102" s="22"/>
    </row>
    <row r="103" spans="1:21" x14ac:dyDescent="0.25">
      <c r="A103" s="24"/>
      <c r="B103" s="24"/>
      <c r="C103" s="17"/>
      <c r="D103" s="24"/>
      <c r="E103" s="24"/>
      <c r="F103" s="25"/>
      <c r="G103" s="1">
        <v>5625</v>
      </c>
      <c r="H103" s="2">
        <v>99.5</v>
      </c>
      <c r="I103" s="2">
        <v>-21.2</v>
      </c>
      <c r="J103" s="2">
        <v>-27.7</v>
      </c>
      <c r="K103" s="2">
        <f t="shared" si="8"/>
        <v>-21.2</v>
      </c>
      <c r="L103" s="8">
        <f t="shared" si="12"/>
        <v>8.5113803820237492E-13</v>
      </c>
      <c r="M103" s="26"/>
      <c r="N103" s="17"/>
      <c r="O103" s="9">
        <f t="shared" si="10"/>
        <v>-27.7</v>
      </c>
      <c r="P103" s="8">
        <f>D98/B98*10^(O103/10)</f>
        <v>0.26605817221900629</v>
      </c>
      <c r="Q103" s="26"/>
      <c r="R103" s="17"/>
      <c r="S103" s="20"/>
      <c r="T103" s="17"/>
      <c r="U103" s="23"/>
    </row>
    <row r="104" spans="1:21" x14ac:dyDescent="0.25">
      <c r="A104" s="24">
        <v>8000</v>
      </c>
      <c r="B104" s="24">
        <v>3</v>
      </c>
      <c r="C104" s="17">
        <v>0.5</v>
      </c>
      <c r="D104" s="24">
        <v>943</v>
      </c>
      <c r="E104" s="24">
        <v>6</v>
      </c>
      <c r="F104" s="25">
        <v>54</v>
      </c>
      <c r="G104" s="1">
        <v>6025</v>
      </c>
      <c r="H104" s="2">
        <v>95</v>
      </c>
      <c r="I104" s="2">
        <v>-21.4</v>
      </c>
      <c r="J104" s="2">
        <v>-25.6</v>
      </c>
      <c r="K104" s="2">
        <f t="shared" si="8"/>
        <v>-21.4</v>
      </c>
      <c r="L104" s="8">
        <f t="shared" si="12"/>
        <v>2.2908676527677675E-12</v>
      </c>
      <c r="M104" s="26">
        <f>SUM(L104:L109)</f>
        <v>2.500615862335914E-11</v>
      </c>
      <c r="N104" s="17">
        <f>10*LOG10(M104/E104)</f>
        <v>-113.80104268641561</v>
      </c>
      <c r="O104" s="9">
        <f t="shared" si="10"/>
        <v>-25.6</v>
      </c>
      <c r="P104" s="8">
        <f>D104/B104*10^(O104/10)</f>
        <v>0.86574588908262984</v>
      </c>
      <c r="Q104" s="26">
        <f>SUM(P104:P109)</f>
        <v>3.7089311933507458</v>
      </c>
      <c r="R104" s="17">
        <f>10*LOG10(Q104)</f>
        <v>5.6924877654099335</v>
      </c>
      <c r="S104" s="18">
        <f>F104+N104-Kzt-H</f>
        <v>-59.801042686415613</v>
      </c>
      <c r="T104" s="17">
        <v>0.7</v>
      </c>
      <c r="U104" s="21">
        <f>T104*10^((S104-R104)/10)</f>
        <v>1.975809161408388E-7</v>
      </c>
    </row>
    <row r="105" spans="1:21" x14ac:dyDescent="0.25">
      <c r="A105" s="24"/>
      <c r="B105" s="24"/>
      <c r="C105" s="17"/>
      <c r="D105" s="24"/>
      <c r="E105" s="24"/>
      <c r="F105" s="25"/>
      <c r="G105" s="1">
        <v>7025</v>
      </c>
      <c r="H105" s="2">
        <v>94.8</v>
      </c>
      <c r="I105" s="2">
        <v>-25.4</v>
      </c>
      <c r="J105" s="2">
        <v>-26.9</v>
      </c>
      <c r="K105" s="2">
        <f t="shared" si="8"/>
        <v>-25.4</v>
      </c>
      <c r="L105" s="8">
        <f t="shared" si="12"/>
        <v>9.5499258602143367E-13</v>
      </c>
      <c r="M105" s="26"/>
      <c r="N105" s="17"/>
      <c r="O105" s="9">
        <f t="shared" si="10"/>
        <v>-26.9</v>
      </c>
      <c r="P105" s="8">
        <f>D104/B104*10^(O105/10)</f>
        <v>0.64178629394112197</v>
      </c>
      <c r="Q105" s="26"/>
      <c r="R105" s="17"/>
      <c r="S105" s="19"/>
      <c r="T105" s="17"/>
      <c r="U105" s="22"/>
    </row>
    <row r="106" spans="1:21" x14ac:dyDescent="0.25">
      <c r="A106" s="24"/>
      <c r="B106" s="24"/>
      <c r="C106" s="17"/>
      <c r="D106" s="24"/>
      <c r="E106" s="24"/>
      <c r="F106" s="25"/>
      <c r="G106" s="1">
        <v>8025</v>
      </c>
      <c r="H106" s="2">
        <v>101.9</v>
      </c>
      <c r="I106" s="2">
        <v>-23.6</v>
      </c>
      <c r="J106" s="2">
        <v>-29.9</v>
      </c>
      <c r="K106" s="2">
        <f t="shared" si="8"/>
        <v>-23.6</v>
      </c>
      <c r="L106" s="8">
        <f t="shared" si="12"/>
        <v>2.8183829312644412E-13</v>
      </c>
      <c r="M106" s="26"/>
      <c r="N106" s="17"/>
      <c r="O106" s="9">
        <f t="shared" si="10"/>
        <v>-29.9</v>
      </c>
      <c r="P106" s="8">
        <f>D104/B104*10^(O106/10)</f>
        <v>0.32165509724025038</v>
      </c>
      <c r="Q106" s="26"/>
      <c r="R106" s="17"/>
      <c r="S106" s="19"/>
      <c r="T106" s="17"/>
      <c r="U106" s="22"/>
    </row>
    <row r="107" spans="1:21" x14ac:dyDescent="0.25">
      <c r="A107" s="24"/>
      <c r="B107" s="24"/>
      <c r="C107" s="17"/>
      <c r="D107" s="24"/>
      <c r="E107" s="24"/>
      <c r="F107" s="25"/>
      <c r="G107" s="1">
        <v>9025</v>
      </c>
      <c r="H107" s="2">
        <v>93.2</v>
      </c>
      <c r="I107" s="2">
        <v>-22.7</v>
      </c>
      <c r="J107" s="2">
        <v>-30.2</v>
      </c>
      <c r="K107" s="2">
        <f t="shared" si="8"/>
        <v>-22.7</v>
      </c>
      <c r="L107" s="8">
        <f t="shared" si="12"/>
        <v>2.5703957827688561E-12</v>
      </c>
      <c r="M107" s="26"/>
      <c r="N107" s="17"/>
      <c r="O107" s="9">
        <f t="shared" si="10"/>
        <v>-30.2</v>
      </c>
      <c r="P107" s="8">
        <f>D104/B104*10^(O107/10)</f>
        <v>0.30018600287273789</v>
      </c>
      <c r="Q107" s="26"/>
      <c r="R107" s="17"/>
      <c r="S107" s="19"/>
      <c r="T107" s="17"/>
      <c r="U107" s="22"/>
    </row>
    <row r="108" spans="1:21" x14ac:dyDescent="0.25">
      <c r="A108" s="24"/>
      <c r="B108" s="24"/>
      <c r="C108" s="17"/>
      <c r="D108" s="24"/>
      <c r="E108" s="24"/>
      <c r="F108" s="25"/>
      <c r="G108" s="1">
        <v>10025</v>
      </c>
      <c r="H108" s="2">
        <v>88.3</v>
      </c>
      <c r="I108" s="2">
        <v>-21.3</v>
      </c>
      <c r="J108" s="2">
        <v>-26.1</v>
      </c>
      <c r="K108" s="2">
        <f t="shared" si="8"/>
        <v>-21.3</v>
      </c>
      <c r="L108" s="8">
        <f t="shared" si="12"/>
        <v>1.096478196143183E-11</v>
      </c>
      <c r="M108" s="26"/>
      <c r="N108" s="17"/>
      <c r="O108" s="9">
        <f t="shared" si="10"/>
        <v>-26.1</v>
      </c>
      <c r="P108" s="8">
        <f>D104/B104*10^(O108/10)</f>
        <v>0.77159683583032657</v>
      </c>
      <c r="Q108" s="26"/>
      <c r="R108" s="17"/>
      <c r="S108" s="19"/>
      <c r="T108" s="17"/>
      <c r="U108" s="22"/>
    </row>
    <row r="109" spans="1:21" x14ac:dyDescent="0.25">
      <c r="A109" s="24"/>
      <c r="B109" s="24"/>
      <c r="C109" s="17"/>
      <c r="D109" s="24"/>
      <c r="E109" s="24"/>
      <c r="F109" s="25"/>
      <c r="G109" s="1">
        <v>11025</v>
      </c>
      <c r="H109" s="2">
        <v>86</v>
      </c>
      <c r="I109" s="2">
        <v>-25</v>
      </c>
      <c r="J109" s="2">
        <v>-25.9</v>
      </c>
      <c r="K109" s="2">
        <f t="shared" si="8"/>
        <v>-25</v>
      </c>
      <c r="L109" s="8">
        <f t="shared" si="12"/>
        <v>7.9432823472428101E-12</v>
      </c>
      <c r="M109" s="26"/>
      <c r="N109" s="17"/>
      <c r="O109" s="9">
        <f t="shared" si="10"/>
        <v>-25.9</v>
      </c>
      <c r="P109" s="8">
        <f>D104/B104*10^(O109/10)</f>
        <v>0.80796107438367948</v>
      </c>
      <c r="Q109" s="26"/>
      <c r="R109" s="17"/>
      <c r="S109" s="20"/>
      <c r="T109" s="17"/>
      <c r="U109" s="23"/>
    </row>
    <row r="110" spans="1:21" x14ac:dyDescent="0.25">
      <c r="A110" s="24" t="s">
        <v>20</v>
      </c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12">
        <f>U110</f>
        <v>5.6307841163077105E-2</v>
      </c>
      <c r="T110" s="2"/>
      <c r="U110" s="8">
        <f>0.8*SQRT(SUM(U76:U109))</f>
        <v>5.6307841163077105E-2</v>
      </c>
    </row>
    <row r="111" spans="1:21" x14ac:dyDescent="0.25">
      <c r="A111" s="27" t="s">
        <v>35</v>
      </c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9"/>
    </row>
    <row r="112" spans="1:21" x14ac:dyDescent="0.25">
      <c r="A112" s="24">
        <v>250</v>
      </c>
      <c r="B112" s="24">
        <v>3</v>
      </c>
      <c r="C112" s="17">
        <v>0.5</v>
      </c>
      <c r="D112" s="24">
        <v>38</v>
      </c>
      <c r="E112" s="24">
        <v>4</v>
      </c>
      <c r="F112" s="25">
        <v>84</v>
      </c>
      <c r="G112" s="1">
        <v>175</v>
      </c>
      <c r="H112" s="2">
        <v>84.8</v>
      </c>
      <c r="I112" s="2">
        <v>-19.2</v>
      </c>
      <c r="J112" s="2">
        <v>-23.9</v>
      </c>
      <c r="K112" s="2">
        <f>I112</f>
        <v>-19.2</v>
      </c>
      <c r="L112" s="8">
        <f>10^((K112-H112)/10)</f>
        <v>3.9810717055349579E-11</v>
      </c>
      <c r="M112" s="26">
        <f>SUM(L112:L115)</f>
        <v>5.7523844541186193E-11</v>
      </c>
      <c r="N112" s="17">
        <f>10*LOG10(M112/E112)</f>
        <v>-108.42212087401913</v>
      </c>
      <c r="O112" s="9">
        <f>J112</f>
        <v>-23.9</v>
      </c>
      <c r="P112" s="8">
        <f>D112/B112*10^(O112/10)</f>
        <v>5.1601501855187651E-2</v>
      </c>
      <c r="Q112" s="26">
        <f>SUM(P112:P115)</f>
        <v>0.13124983527616874</v>
      </c>
      <c r="R112" s="17">
        <f>10*LOG10(Q112)</f>
        <v>-8.8190123297873573</v>
      </c>
      <c r="S112" s="18">
        <f>F112+N112-Kzt-H</f>
        <v>-24.422120874019129</v>
      </c>
      <c r="T112" s="17">
        <v>0.2</v>
      </c>
      <c r="U112" s="21">
        <f>T112*10^((S112-R112)/10)</f>
        <v>5.5045160356672826E-3</v>
      </c>
    </row>
    <row r="113" spans="1:21" x14ac:dyDescent="0.25">
      <c r="A113" s="24"/>
      <c r="B113" s="24"/>
      <c r="C113" s="17"/>
      <c r="D113" s="24"/>
      <c r="E113" s="24"/>
      <c r="F113" s="25"/>
      <c r="G113" s="1">
        <v>225</v>
      </c>
      <c r="H113" s="2">
        <v>90</v>
      </c>
      <c r="I113" s="2">
        <v>-21.5</v>
      </c>
      <c r="J113" s="2">
        <v>-29</v>
      </c>
      <c r="K113" s="2">
        <f t="shared" ref="K113:K145" si="13">I113</f>
        <v>-21.5</v>
      </c>
      <c r="L113" s="8">
        <f t="shared" ref="L113:L114" si="14">10^((K113-H113)/10)</f>
        <v>7.0794578438413538E-12</v>
      </c>
      <c r="M113" s="26"/>
      <c r="N113" s="17"/>
      <c r="O113" s="9">
        <f t="shared" ref="O113:O145" si="15">J113</f>
        <v>-29</v>
      </c>
      <c r="P113" s="8">
        <f>D112/B112*10^(O113/10)</f>
        <v>1.594638854939277E-2</v>
      </c>
      <c r="Q113" s="26"/>
      <c r="R113" s="17"/>
      <c r="S113" s="19"/>
      <c r="T113" s="17"/>
      <c r="U113" s="22"/>
    </row>
    <row r="114" spans="1:21" x14ac:dyDescent="0.25">
      <c r="A114" s="24"/>
      <c r="B114" s="24"/>
      <c r="C114" s="17"/>
      <c r="D114" s="24"/>
      <c r="E114" s="24"/>
      <c r="F114" s="25"/>
      <c r="G114" s="1">
        <v>275</v>
      </c>
      <c r="H114" s="2">
        <v>92.2</v>
      </c>
      <c r="I114" s="2">
        <v>-18.2</v>
      </c>
      <c r="J114" s="2">
        <v>-26.2</v>
      </c>
      <c r="K114" s="2">
        <f t="shared" si="13"/>
        <v>-18.2</v>
      </c>
      <c r="L114" s="8">
        <f t="shared" si="14"/>
        <v>9.1201083935590542E-12</v>
      </c>
      <c r="M114" s="26"/>
      <c r="N114" s="17"/>
      <c r="O114" s="9">
        <f t="shared" si="15"/>
        <v>-26.2</v>
      </c>
      <c r="P114" s="8">
        <f>D112/B112*10^(O114/10)</f>
        <v>3.0385216974246853E-2</v>
      </c>
      <c r="Q114" s="26"/>
      <c r="R114" s="17"/>
      <c r="S114" s="19"/>
      <c r="T114" s="17"/>
      <c r="U114" s="22"/>
    </row>
    <row r="115" spans="1:21" x14ac:dyDescent="0.25">
      <c r="A115" s="24"/>
      <c r="B115" s="24"/>
      <c r="C115" s="17"/>
      <c r="D115" s="24"/>
      <c r="E115" s="24"/>
      <c r="F115" s="25"/>
      <c r="G115" s="1">
        <v>325</v>
      </c>
      <c r="H115" s="2">
        <v>93.3</v>
      </c>
      <c r="I115" s="2">
        <v>-24.900000000000002</v>
      </c>
      <c r="J115" s="2">
        <v>-25.8</v>
      </c>
      <c r="K115" s="2">
        <f t="shared" si="13"/>
        <v>-24.900000000000002</v>
      </c>
      <c r="L115" s="8">
        <f>10^((K115-H115)/10)</f>
        <v>1.5135612484362015E-12</v>
      </c>
      <c r="M115" s="26"/>
      <c r="N115" s="17"/>
      <c r="O115" s="9">
        <f t="shared" si="15"/>
        <v>-25.8</v>
      </c>
      <c r="P115" s="8">
        <f>D112/B112*10^(O115/10)</f>
        <v>3.3316727897341469E-2</v>
      </c>
      <c r="Q115" s="26"/>
      <c r="R115" s="17"/>
      <c r="S115" s="20"/>
      <c r="T115" s="17"/>
      <c r="U115" s="23"/>
    </row>
    <row r="116" spans="1:21" x14ac:dyDescent="0.25">
      <c r="A116" s="24">
        <v>500</v>
      </c>
      <c r="B116" s="24">
        <v>3</v>
      </c>
      <c r="C116" s="17">
        <v>0.5</v>
      </c>
      <c r="D116" s="24">
        <v>59</v>
      </c>
      <c r="E116" s="24">
        <v>6</v>
      </c>
      <c r="F116" s="25">
        <v>84</v>
      </c>
      <c r="G116" s="1">
        <v>375</v>
      </c>
      <c r="H116" s="2">
        <v>91.9</v>
      </c>
      <c r="I116" s="2">
        <v>-19.7</v>
      </c>
      <c r="J116" s="2">
        <v>-24.5</v>
      </c>
      <c r="K116" s="2">
        <f t="shared" si="13"/>
        <v>-19.7</v>
      </c>
      <c r="L116" s="8">
        <f t="shared" ref="L116:L117" si="16">10^((K116-H116)/10)</f>
        <v>6.9183097091893405E-12</v>
      </c>
      <c r="M116" s="26">
        <f>SUM(L116:L121)</f>
        <v>3.5032950222114626E-11</v>
      </c>
      <c r="N116" s="17">
        <f>10*LOG10(M116/E116)</f>
        <v>-112.3367453838043</v>
      </c>
      <c r="O116" s="9">
        <f t="shared" si="15"/>
        <v>-24.5</v>
      </c>
      <c r="P116" s="8">
        <f>D116/B116*10^(O116/10)</f>
        <v>6.9779966549269809E-2</v>
      </c>
      <c r="Q116" s="26">
        <f>SUM(P116:P121)</f>
        <v>0.27863670143038199</v>
      </c>
      <c r="R116" s="17">
        <f>10*LOG10(Q116)</f>
        <v>-5.5496167980399278</v>
      </c>
      <c r="S116" s="18">
        <f>F116+N116-Kzt-H</f>
        <v>-28.336745383804299</v>
      </c>
      <c r="T116" s="17">
        <v>0.5</v>
      </c>
      <c r="U116" s="21">
        <f>T116*10^((S116-R116)/10)</f>
        <v>2.6318258347081303E-3</v>
      </c>
    </row>
    <row r="117" spans="1:21" x14ac:dyDescent="0.25">
      <c r="A117" s="24"/>
      <c r="B117" s="24"/>
      <c r="C117" s="17"/>
      <c r="D117" s="24"/>
      <c r="E117" s="24"/>
      <c r="F117" s="25"/>
      <c r="G117" s="1">
        <v>425</v>
      </c>
      <c r="H117" s="2">
        <v>88.1</v>
      </c>
      <c r="I117" s="2">
        <v>-21</v>
      </c>
      <c r="J117" s="2">
        <v>-29.6</v>
      </c>
      <c r="K117" s="2">
        <f t="shared" si="13"/>
        <v>-21</v>
      </c>
      <c r="L117" s="8">
        <f t="shared" si="16"/>
        <v>1.2302687708123787E-11</v>
      </c>
      <c r="M117" s="26"/>
      <c r="N117" s="17"/>
      <c r="O117" s="9">
        <f t="shared" si="15"/>
        <v>-29.6</v>
      </c>
      <c r="P117" s="8">
        <f>D116/B116*10^(O117/10)</f>
        <v>2.1564071190815971E-2</v>
      </c>
      <c r="Q117" s="26"/>
      <c r="R117" s="17"/>
      <c r="S117" s="19"/>
      <c r="T117" s="17"/>
      <c r="U117" s="22"/>
    </row>
    <row r="118" spans="1:21" x14ac:dyDescent="0.25">
      <c r="A118" s="24"/>
      <c r="B118" s="24"/>
      <c r="C118" s="17"/>
      <c r="D118" s="24"/>
      <c r="E118" s="24"/>
      <c r="F118" s="25"/>
      <c r="G118" s="1">
        <v>475</v>
      </c>
      <c r="H118" s="2">
        <v>90</v>
      </c>
      <c r="I118" s="2">
        <v>-20.8</v>
      </c>
      <c r="J118" s="2">
        <v>-26.1</v>
      </c>
      <c r="K118" s="2">
        <f t="shared" si="13"/>
        <v>-20.8</v>
      </c>
      <c r="L118" s="8">
        <f>10^((K118-H118)/10)</f>
        <v>8.3176377110266746E-12</v>
      </c>
      <c r="M118" s="26"/>
      <c r="N118" s="17"/>
      <c r="O118" s="9">
        <f t="shared" si="15"/>
        <v>-26.1</v>
      </c>
      <c r="P118" s="8">
        <f>D116/B116*10^(O118/10)</f>
        <v>4.827594200847219E-2</v>
      </c>
      <c r="Q118" s="26"/>
      <c r="R118" s="17"/>
      <c r="S118" s="19"/>
      <c r="T118" s="17"/>
      <c r="U118" s="22"/>
    </row>
    <row r="119" spans="1:21" x14ac:dyDescent="0.25">
      <c r="A119" s="24"/>
      <c r="B119" s="24"/>
      <c r="C119" s="17"/>
      <c r="D119" s="24"/>
      <c r="E119" s="24"/>
      <c r="F119" s="25"/>
      <c r="G119" s="1">
        <v>575</v>
      </c>
      <c r="H119" s="2">
        <v>97</v>
      </c>
      <c r="I119" s="2">
        <v>-22.5</v>
      </c>
      <c r="J119" s="2">
        <v>-24.4</v>
      </c>
      <c r="K119" s="2">
        <f t="shared" si="13"/>
        <v>-22.5</v>
      </c>
      <c r="L119" s="8">
        <f t="shared" ref="L119:L145" si="17">10^((K119-H119)/10)</f>
        <v>1.122018454301964E-12</v>
      </c>
      <c r="M119" s="26"/>
      <c r="N119" s="17"/>
      <c r="O119" s="9">
        <f t="shared" si="15"/>
        <v>-24.4</v>
      </c>
      <c r="P119" s="8">
        <f>D116/B116*10^(O119/10)</f>
        <v>7.1405350771453213E-2</v>
      </c>
      <c r="Q119" s="26"/>
      <c r="R119" s="17"/>
      <c r="S119" s="19"/>
      <c r="T119" s="17"/>
      <c r="U119" s="22"/>
    </row>
    <row r="120" spans="1:21" x14ac:dyDescent="0.25">
      <c r="A120" s="24"/>
      <c r="B120" s="24"/>
      <c r="C120" s="17"/>
      <c r="D120" s="24"/>
      <c r="E120" s="24"/>
      <c r="F120" s="25"/>
      <c r="G120" s="1">
        <v>625</v>
      </c>
      <c r="H120" s="2">
        <v>92</v>
      </c>
      <c r="I120" s="2">
        <v>-21.5</v>
      </c>
      <c r="J120" s="2">
        <v>-27.5</v>
      </c>
      <c r="K120" s="2">
        <f t="shared" si="13"/>
        <v>-21.5</v>
      </c>
      <c r="L120" s="8">
        <f t="shared" si="17"/>
        <v>4.4668359215096234E-12</v>
      </c>
      <c r="M120" s="26"/>
      <c r="N120" s="17"/>
      <c r="O120" s="9">
        <f t="shared" si="15"/>
        <v>-27.5</v>
      </c>
      <c r="P120" s="8">
        <f>D116/B116*10^(O120/10)</f>
        <v>3.497282839743214E-2</v>
      </c>
      <c r="Q120" s="26"/>
      <c r="R120" s="17"/>
      <c r="S120" s="19"/>
      <c r="T120" s="17"/>
      <c r="U120" s="22"/>
    </row>
    <row r="121" spans="1:21" x14ac:dyDescent="0.25">
      <c r="A121" s="24"/>
      <c r="B121" s="24"/>
      <c r="C121" s="17"/>
      <c r="D121" s="24"/>
      <c r="E121" s="24"/>
      <c r="F121" s="25"/>
      <c r="G121" s="1">
        <v>675</v>
      </c>
      <c r="H121" s="2">
        <v>94.5</v>
      </c>
      <c r="I121" s="2">
        <v>-22.7</v>
      </c>
      <c r="J121" s="2">
        <v>-27.8</v>
      </c>
      <c r="K121" s="2">
        <f t="shared" si="13"/>
        <v>-22.7</v>
      </c>
      <c r="L121" s="8">
        <f t="shared" si="17"/>
        <v>1.905460717963237E-12</v>
      </c>
      <c r="M121" s="26"/>
      <c r="N121" s="17"/>
      <c r="O121" s="9">
        <f t="shared" si="15"/>
        <v>-27.8</v>
      </c>
      <c r="P121" s="8">
        <f>D116/B116*10^(O121/10)</f>
        <v>3.2638542512938663E-2</v>
      </c>
      <c r="Q121" s="26"/>
      <c r="R121" s="17"/>
      <c r="S121" s="20"/>
      <c r="T121" s="17"/>
      <c r="U121" s="23"/>
    </row>
    <row r="122" spans="1:21" x14ac:dyDescent="0.25">
      <c r="A122" s="24">
        <v>1000</v>
      </c>
      <c r="B122" s="24">
        <v>3</v>
      </c>
      <c r="C122" s="17">
        <v>0.5</v>
      </c>
      <c r="D122" s="24">
        <v>117</v>
      </c>
      <c r="E122" s="24">
        <v>6</v>
      </c>
      <c r="F122" s="25">
        <v>76</v>
      </c>
      <c r="G122" s="1">
        <v>875</v>
      </c>
      <c r="H122" s="2">
        <v>91.1</v>
      </c>
      <c r="I122" s="2">
        <v>-22.400000000000002</v>
      </c>
      <c r="J122" s="2">
        <v>-23.1</v>
      </c>
      <c r="K122" s="2">
        <f t="shared" si="13"/>
        <v>-22.400000000000002</v>
      </c>
      <c r="L122" s="8">
        <f t="shared" si="17"/>
        <v>4.4668359215096234E-12</v>
      </c>
      <c r="M122" s="26">
        <f>SUM(L122:L127)</f>
        <v>9.9490163939702276E-12</v>
      </c>
      <c r="N122" s="17">
        <f>10*LOG10(M122/E122)</f>
        <v>-117.80371103887832</v>
      </c>
      <c r="O122" s="9">
        <f t="shared" si="15"/>
        <v>-23.1</v>
      </c>
      <c r="P122" s="8">
        <f>D122/B122*10^(O122/10)</f>
        <v>0.1910137395536938</v>
      </c>
      <c r="Q122" s="26">
        <f>SUM(P122:P127)</f>
        <v>0.65674133231263987</v>
      </c>
      <c r="R122" s="17">
        <f>10*LOG10(Q122)</f>
        <v>-1.8260565033272895</v>
      </c>
      <c r="S122" s="18">
        <f>F122+N122-Kzt-H</f>
        <v>-41.803711038878319</v>
      </c>
      <c r="T122" s="17">
        <v>0.8</v>
      </c>
      <c r="U122" s="21">
        <f>T122*10^((S122-R122)/10)</f>
        <v>8.041267942223004E-5</v>
      </c>
    </row>
    <row r="123" spans="1:21" x14ac:dyDescent="0.25">
      <c r="A123" s="24"/>
      <c r="B123" s="24"/>
      <c r="C123" s="17"/>
      <c r="D123" s="24"/>
      <c r="E123" s="24"/>
      <c r="F123" s="25"/>
      <c r="G123" s="1">
        <v>975</v>
      </c>
      <c r="H123" s="2">
        <v>96.5</v>
      </c>
      <c r="I123" s="2">
        <v>-20.7</v>
      </c>
      <c r="J123" s="2">
        <v>-27.7</v>
      </c>
      <c r="K123" s="2">
        <f t="shared" si="13"/>
        <v>-20.7</v>
      </c>
      <c r="L123" s="8">
        <f t="shared" si="17"/>
        <v>1.905460717963237E-12</v>
      </c>
      <c r="M123" s="26"/>
      <c r="N123" s="17"/>
      <c r="O123" s="9">
        <f t="shared" si="15"/>
        <v>-27.7</v>
      </c>
      <c r="P123" s="8">
        <f>D122/B122*10^(O123/10)</f>
        <v>6.6231502446007964E-2</v>
      </c>
      <c r="Q123" s="26"/>
      <c r="R123" s="17"/>
      <c r="S123" s="19"/>
      <c r="T123" s="17"/>
      <c r="U123" s="22"/>
    </row>
    <row r="124" spans="1:21" x14ac:dyDescent="0.25">
      <c r="A124" s="24"/>
      <c r="B124" s="24"/>
      <c r="C124" s="17"/>
      <c r="D124" s="24"/>
      <c r="E124" s="24"/>
      <c r="F124" s="25"/>
      <c r="G124" s="1">
        <v>1075</v>
      </c>
      <c r="H124" s="2">
        <v>94.6</v>
      </c>
      <c r="I124" s="2">
        <v>-24.4</v>
      </c>
      <c r="J124" s="2">
        <v>-29.7</v>
      </c>
      <c r="K124" s="2">
        <f t="shared" si="13"/>
        <v>-24.4</v>
      </c>
      <c r="L124" s="8">
        <f t="shared" si="17"/>
        <v>1.2589254117941629E-12</v>
      </c>
      <c r="M124" s="26"/>
      <c r="N124" s="17"/>
      <c r="O124" s="9">
        <f t="shared" si="15"/>
        <v>-29.7</v>
      </c>
      <c r="P124" s="8">
        <f>D122/B122*10^(O124/10)</f>
        <v>4.1789252904266647E-2</v>
      </c>
      <c r="Q124" s="26"/>
      <c r="R124" s="17"/>
      <c r="S124" s="19"/>
      <c r="T124" s="17"/>
      <c r="U124" s="22"/>
    </row>
    <row r="125" spans="1:21" x14ac:dyDescent="0.25">
      <c r="A125" s="24"/>
      <c r="B125" s="24"/>
      <c r="C125" s="17"/>
      <c r="D125" s="24"/>
      <c r="E125" s="24"/>
      <c r="F125" s="25"/>
      <c r="G125" s="1">
        <v>1175</v>
      </c>
      <c r="H125" s="2">
        <v>97.8</v>
      </c>
      <c r="I125" s="2">
        <v>-21</v>
      </c>
      <c r="J125" s="2">
        <v>-31</v>
      </c>
      <c r="K125" s="2">
        <f t="shared" si="13"/>
        <v>-21</v>
      </c>
      <c r="L125" s="8">
        <f t="shared" si="17"/>
        <v>1.3182567385564068E-12</v>
      </c>
      <c r="M125" s="26"/>
      <c r="N125" s="17"/>
      <c r="O125" s="9">
        <f t="shared" si="15"/>
        <v>-31</v>
      </c>
      <c r="P125" s="8">
        <f>D122/B122*10^(O125/10)</f>
        <v>3.0978801154246959E-2</v>
      </c>
      <c r="Q125" s="26"/>
      <c r="R125" s="17"/>
      <c r="S125" s="19"/>
      <c r="T125" s="17"/>
      <c r="U125" s="22"/>
    </row>
    <row r="126" spans="1:21" x14ac:dyDescent="0.25">
      <c r="A126" s="24"/>
      <c r="B126" s="24"/>
      <c r="C126" s="17"/>
      <c r="D126" s="24"/>
      <c r="E126" s="24"/>
      <c r="F126" s="25"/>
      <c r="G126" s="1">
        <v>1275</v>
      </c>
      <c r="H126" s="2">
        <v>100.1</v>
      </c>
      <c r="I126" s="2">
        <v>-21.7</v>
      </c>
      <c r="J126" s="2">
        <v>-25.6</v>
      </c>
      <c r="K126" s="2">
        <f t="shared" si="13"/>
        <v>-21.7</v>
      </c>
      <c r="L126" s="8">
        <f t="shared" si="17"/>
        <v>6.606934480075954E-13</v>
      </c>
      <c r="M126" s="26"/>
      <c r="N126" s="17"/>
      <c r="O126" s="9">
        <f t="shared" si="15"/>
        <v>-25.6</v>
      </c>
      <c r="P126" s="8">
        <f>D122/B122*10^(O126/10)</f>
        <v>0.10741491943018844</v>
      </c>
      <c r="Q126" s="26"/>
      <c r="R126" s="17"/>
      <c r="S126" s="19"/>
      <c r="T126" s="17"/>
      <c r="U126" s="22"/>
    </row>
    <row r="127" spans="1:21" x14ac:dyDescent="0.25">
      <c r="A127" s="24"/>
      <c r="B127" s="24"/>
      <c r="C127" s="17"/>
      <c r="D127" s="24"/>
      <c r="E127" s="24"/>
      <c r="F127" s="25"/>
      <c r="G127" s="1">
        <v>1375</v>
      </c>
      <c r="H127" s="2">
        <v>103</v>
      </c>
      <c r="I127" s="2">
        <v>-21.7</v>
      </c>
      <c r="J127" s="2">
        <v>-22.5</v>
      </c>
      <c r="K127" s="2">
        <f t="shared" si="13"/>
        <v>-21.7</v>
      </c>
      <c r="L127" s="8">
        <f t="shared" si="17"/>
        <v>3.3884415613920079E-13</v>
      </c>
      <c r="M127" s="26"/>
      <c r="N127" s="17"/>
      <c r="O127" s="9">
        <f t="shared" si="15"/>
        <v>-22.5</v>
      </c>
      <c r="P127" s="8">
        <f>D122/B122*10^(O127/10)</f>
        <v>0.21931311682423599</v>
      </c>
      <c r="Q127" s="26"/>
      <c r="R127" s="17"/>
      <c r="S127" s="20"/>
      <c r="T127" s="17"/>
      <c r="U127" s="23"/>
    </row>
    <row r="128" spans="1:21" x14ac:dyDescent="0.25">
      <c r="A128" s="24">
        <v>2000</v>
      </c>
      <c r="B128" s="24">
        <v>3</v>
      </c>
      <c r="C128" s="17">
        <v>0.5</v>
      </c>
      <c r="D128" s="24">
        <v>234</v>
      </c>
      <c r="E128" s="24">
        <v>6</v>
      </c>
      <c r="F128" s="25">
        <v>68</v>
      </c>
      <c r="G128" s="1">
        <v>1425</v>
      </c>
      <c r="H128" s="2">
        <v>102.8</v>
      </c>
      <c r="I128" s="2">
        <v>-26.1</v>
      </c>
      <c r="J128" s="2">
        <v>-26.7</v>
      </c>
      <c r="K128" s="2">
        <f t="shared" si="13"/>
        <v>-26.1</v>
      </c>
      <c r="L128" s="8">
        <f t="shared" si="17"/>
        <v>1.288249551693128E-13</v>
      </c>
      <c r="M128" s="26">
        <f>SUM(L128:L133)</f>
        <v>3.0170935946355872E-12</v>
      </c>
      <c r="N128" s="17">
        <f>10*LOG10(M128/E128)</f>
        <v>-122.98562467552608</v>
      </c>
      <c r="O128" s="9">
        <f t="shared" si="15"/>
        <v>-26.7</v>
      </c>
      <c r="P128" s="8">
        <f>D128/B128*10^(O128/10)</f>
        <v>0.16676104298117408</v>
      </c>
      <c r="Q128" s="26">
        <f>SUM(P128:P133)</f>
        <v>0.89769219265687261</v>
      </c>
      <c r="R128" s="17">
        <f>10*LOG10(Q128)</f>
        <v>-0.46872551914453098</v>
      </c>
      <c r="S128" s="18">
        <f>F128+N128-Kzt-H</f>
        <v>-54.985624675526083</v>
      </c>
      <c r="T128" s="17">
        <v>1</v>
      </c>
      <c r="U128" s="21">
        <f>T128*10^((S128-R128)/10)</f>
        <v>3.5343543107748967E-6</v>
      </c>
    </row>
    <row r="129" spans="1:21" x14ac:dyDescent="0.25">
      <c r="A129" s="24"/>
      <c r="B129" s="24"/>
      <c r="C129" s="17"/>
      <c r="D129" s="24"/>
      <c r="E129" s="24"/>
      <c r="F129" s="25"/>
      <c r="G129" s="1">
        <v>1625</v>
      </c>
      <c r="H129" s="2">
        <v>104.1</v>
      </c>
      <c r="I129" s="2">
        <v>-23</v>
      </c>
      <c r="J129" s="2">
        <v>-24.7</v>
      </c>
      <c r="K129" s="2">
        <f t="shared" si="13"/>
        <v>-23</v>
      </c>
      <c r="L129" s="8">
        <f t="shared" si="17"/>
        <v>1.9498445997580464E-13</v>
      </c>
      <c r="M129" s="26"/>
      <c r="N129" s="17"/>
      <c r="O129" s="9">
        <f t="shared" si="15"/>
        <v>-24.7</v>
      </c>
      <c r="P129" s="8">
        <f>D128/B128*10^(O129/10)</f>
        <v>0.26429844178857786</v>
      </c>
      <c r="Q129" s="26"/>
      <c r="R129" s="17"/>
      <c r="S129" s="19"/>
      <c r="T129" s="17"/>
      <c r="U129" s="22"/>
    </row>
    <row r="130" spans="1:21" x14ac:dyDescent="0.25">
      <c r="A130" s="24"/>
      <c r="B130" s="24"/>
      <c r="C130" s="17"/>
      <c r="D130" s="24"/>
      <c r="E130" s="24"/>
      <c r="F130" s="25"/>
      <c r="G130" s="1">
        <v>1825</v>
      </c>
      <c r="H130" s="2">
        <v>107.6</v>
      </c>
      <c r="I130" s="2">
        <v>-20.9</v>
      </c>
      <c r="J130" s="2">
        <v>-28.8</v>
      </c>
      <c r="K130" s="2">
        <f t="shared" si="13"/>
        <v>-20.9</v>
      </c>
      <c r="L130" s="8">
        <f t="shared" si="17"/>
        <v>1.4125375446227519E-13</v>
      </c>
      <c r="M130" s="26"/>
      <c r="N130" s="17"/>
      <c r="O130" s="9">
        <f t="shared" si="15"/>
        <v>-28.8</v>
      </c>
      <c r="P130" s="8">
        <f>D128/B128*10^(O130/10)</f>
        <v>0.10282402560739975</v>
      </c>
      <c r="Q130" s="26"/>
      <c r="R130" s="17"/>
      <c r="S130" s="19"/>
      <c r="T130" s="17"/>
      <c r="U130" s="22"/>
    </row>
    <row r="131" spans="1:21" x14ac:dyDescent="0.25">
      <c r="A131" s="24"/>
      <c r="B131" s="24"/>
      <c r="C131" s="17"/>
      <c r="D131" s="24"/>
      <c r="E131" s="24"/>
      <c r="F131" s="25"/>
      <c r="G131" s="1">
        <v>2125</v>
      </c>
      <c r="H131" s="2">
        <v>104.2</v>
      </c>
      <c r="I131" s="2">
        <v>-21.1</v>
      </c>
      <c r="J131" s="2">
        <v>-30.2</v>
      </c>
      <c r="K131" s="2">
        <f t="shared" si="13"/>
        <v>-21.1</v>
      </c>
      <c r="L131" s="8">
        <f t="shared" si="17"/>
        <v>2.9512092266663723E-13</v>
      </c>
      <c r="M131" s="26"/>
      <c r="N131" s="17"/>
      <c r="O131" s="9">
        <f t="shared" si="15"/>
        <v>-30.2</v>
      </c>
      <c r="P131" s="8">
        <f>D128/B128*10^(O131/10)</f>
        <v>7.448942170967196E-2</v>
      </c>
      <c r="Q131" s="26"/>
      <c r="R131" s="17"/>
      <c r="S131" s="19"/>
      <c r="T131" s="17"/>
      <c r="U131" s="22"/>
    </row>
    <row r="132" spans="1:21" x14ac:dyDescent="0.25">
      <c r="A132" s="24"/>
      <c r="B132" s="24"/>
      <c r="C132" s="17"/>
      <c r="D132" s="24"/>
      <c r="E132" s="24"/>
      <c r="F132" s="25"/>
      <c r="G132" s="1">
        <v>2425</v>
      </c>
      <c r="H132" s="2">
        <v>93.7</v>
      </c>
      <c r="I132" s="2">
        <v>-23.8</v>
      </c>
      <c r="J132" s="2">
        <v>-30.2</v>
      </c>
      <c r="K132" s="2">
        <f t="shared" si="13"/>
        <v>-23.8</v>
      </c>
      <c r="L132" s="8">
        <f t="shared" si="17"/>
        <v>1.7782794100389204E-12</v>
      </c>
      <c r="M132" s="26"/>
      <c r="N132" s="17"/>
      <c r="O132" s="9">
        <f t="shared" si="15"/>
        <v>-30.2</v>
      </c>
      <c r="P132" s="8">
        <f>D128/B128*10^(O132/10)</f>
        <v>7.448942170967196E-2</v>
      </c>
      <c r="Q132" s="26"/>
      <c r="R132" s="17"/>
      <c r="S132" s="19"/>
      <c r="T132" s="17"/>
      <c r="U132" s="22"/>
    </row>
    <row r="133" spans="1:21" x14ac:dyDescent="0.25">
      <c r="A133" s="24"/>
      <c r="B133" s="24"/>
      <c r="C133" s="17"/>
      <c r="D133" s="24"/>
      <c r="E133" s="24"/>
      <c r="F133" s="25"/>
      <c r="G133" s="1">
        <v>2775</v>
      </c>
      <c r="H133" s="2">
        <v>100.2</v>
      </c>
      <c r="I133" s="2">
        <v>-23</v>
      </c>
      <c r="J133" s="2">
        <v>-25.6</v>
      </c>
      <c r="K133" s="2">
        <f t="shared" si="13"/>
        <v>-23</v>
      </c>
      <c r="L133" s="8">
        <f t="shared" si="17"/>
        <v>4.7863009232263685E-13</v>
      </c>
      <c r="M133" s="26"/>
      <c r="N133" s="17"/>
      <c r="O133" s="9">
        <f t="shared" si="15"/>
        <v>-25.6</v>
      </c>
      <c r="P133" s="8">
        <f>D128/B128*10^(O133/10)</f>
        <v>0.21482983886037688</v>
      </c>
      <c r="Q133" s="26"/>
      <c r="R133" s="17"/>
      <c r="S133" s="20"/>
      <c r="T133" s="17"/>
      <c r="U133" s="23"/>
    </row>
    <row r="134" spans="1:21" x14ac:dyDescent="0.25">
      <c r="A134" s="24">
        <v>4000</v>
      </c>
      <c r="B134" s="24">
        <v>3</v>
      </c>
      <c r="C134" s="17">
        <v>0.5</v>
      </c>
      <c r="D134" s="24">
        <v>470</v>
      </c>
      <c r="E134" s="24">
        <v>6</v>
      </c>
      <c r="F134" s="25">
        <v>62</v>
      </c>
      <c r="G134" s="1">
        <v>2825</v>
      </c>
      <c r="H134" s="2">
        <v>99.4</v>
      </c>
      <c r="I134" s="2">
        <v>-23.3</v>
      </c>
      <c r="J134" s="2">
        <v>-26.9</v>
      </c>
      <c r="K134" s="2">
        <f t="shared" si="13"/>
        <v>-23.3</v>
      </c>
      <c r="L134" s="8">
        <f t="shared" si="17"/>
        <v>5.3703179637025273E-13</v>
      </c>
      <c r="M134" s="26">
        <f>SUM(L134:L139)</f>
        <v>1.8217702934651532E-12</v>
      </c>
      <c r="N134" s="17">
        <f>10*LOG10(M134/E134)</f>
        <v>-125.17657634371061</v>
      </c>
      <c r="O134" s="9">
        <f t="shared" si="15"/>
        <v>-26.9</v>
      </c>
      <c r="P134" s="8">
        <f>D134/B134*10^(O134/10)</f>
        <v>0.31987227799822626</v>
      </c>
      <c r="Q134" s="26">
        <f>SUM(P134:P139)</f>
        <v>1.8457365585716055</v>
      </c>
      <c r="R134" s="17">
        <f>10*LOG10(Q134)</f>
        <v>2.6616971439129995</v>
      </c>
      <c r="S134" s="18">
        <f>F134+N134-Kzt-H</f>
        <v>-63.176576343710607</v>
      </c>
      <c r="T134" s="17">
        <v>0.9</v>
      </c>
      <c r="U134" s="21">
        <f>T134*10^((S134-R134)/10)</f>
        <v>2.3464708353953209E-7</v>
      </c>
    </row>
    <row r="135" spans="1:21" x14ac:dyDescent="0.25">
      <c r="A135" s="24"/>
      <c r="B135" s="24"/>
      <c r="C135" s="17"/>
      <c r="D135" s="24"/>
      <c r="E135" s="24"/>
      <c r="F135" s="25"/>
      <c r="G135" s="1">
        <v>3425</v>
      </c>
      <c r="H135" s="2">
        <v>103.5</v>
      </c>
      <c r="I135" s="2">
        <v>-23.7</v>
      </c>
      <c r="J135" s="2">
        <v>-27.7</v>
      </c>
      <c r="K135" s="2">
        <f t="shared" si="13"/>
        <v>-23.7</v>
      </c>
      <c r="L135" s="8">
        <f t="shared" si="17"/>
        <v>1.9054607179632417E-13</v>
      </c>
      <c r="M135" s="26"/>
      <c r="N135" s="17"/>
      <c r="O135" s="9">
        <f t="shared" si="15"/>
        <v>-27.7</v>
      </c>
      <c r="P135" s="8">
        <f>D134/B134*10^(O135/10)</f>
        <v>0.26605817221900629</v>
      </c>
      <c r="Q135" s="26"/>
      <c r="R135" s="17"/>
      <c r="S135" s="19"/>
      <c r="T135" s="17"/>
      <c r="U135" s="22"/>
    </row>
    <row r="136" spans="1:21" x14ac:dyDescent="0.25">
      <c r="A136" s="24"/>
      <c r="B136" s="24"/>
      <c r="C136" s="17"/>
      <c r="D136" s="24"/>
      <c r="E136" s="24"/>
      <c r="F136" s="25"/>
      <c r="G136" s="1">
        <v>4025</v>
      </c>
      <c r="H136" s="2">
        <v>103.6</v>
      </c>
      <c r="I136" s="2">
        <v>-24.9</v>
      </c>
      <c r="J136" s="2">
        <v>-25.4</v>
      </c>
      <c r="K136" s="2">
        <f t="shared" si="13"/>
        <v>-24.9</v>
      </c>
      <c r="L136" s="8">
        <f t="shared" si="17"/>
        <v>1.4125375446227519E-13</v>
      </c>
      <c r="M136" s="26"/>
      <c r="N136" s="17"/>
      <c r="O136" s="9">
        <f t="shared" si="15"/>
        <v>-25.4</v>
      </c>
      <c r="P136" s="8">
        <f>D134/B134*10^(O136/10)</f>
        <v>0.45183160215650131</v>
      </c>
      <c r="Q136" s="26"/>
      <c r="R136" s="17"/>
      <c r="S136" s="19"/>
      <c r="T136" s="17"/>
      <c r="U136" s="22"/>
    </row>
    <row r="137" spans="1:21" x14ac:dyDescent="0.25">
      <c r="A137" s="24"/>
      <c r="B137" s="24"/>
      <c r="C137" s="17"/>
      <c r="D137" s="24"/>
      <c r="E137" s="24"/>
      <c r="F137" s="25"/>
      <c r="G137" s="1">
        <v>4625</v>
      </c>
      <c r="H137" s="2">
        <v>105.6</v>
      </c>
      <c r="I137" s="2">
        <v>-25</v>
      </c>
      <c r="J137" s="2">
        <v>-25.4</v>
      </c>
      <c r="K137" s="2">
        <f t="shared" si="13"/>
        <v>-25</v>
      </c>
      <c r="L137" s="8">
        <f t="shared" si="17"/>
        <v>8.7096358995608097E-14</v>
      </c>
      <c r="M137" s="26"/>
      <c r="N137" s="17"/>
      <c r="O137" s="9">
        <f t="shared" si="15"/>
        <v>-25.4</v>
      </c>
      <c r="P137" s="8">
        <f>D134/B134*10^(O137/10)</f>
        <v>0.45183160215650131</v>
      </c>
      <c r="Q137" s="26"/>
      <c r="R137" s="17"/>
      <c r="S137" s="19"/>
      <c r="T137" s="17"/>
      <c r="U137" s="22"/>
    </row>
    <row r="138" spans="1:21" x14ac:dyDescent="0.25">
      <c r="A138" s="24"/>
      <c r="B138" s="24"/>
      <c r="C138" s="17"/>
      <c r="D138" s="24"/>
      <c r="E138" s="24"/>
      <c r="F138" s="25"/>
      <c r="G138" s="1">
        <v>5225</v>
      </c>
      <c r="H138" s="2">
        <v>103.5</v>
      </c>
      <c r="I138" s="2">
        <v>-19.8</v>
      </c>
      <c r="J138" s="2">
        <v>-28.1</v>
      </c>
      <c r="K138" s="2">
        <f t="shared" si="13"/>
        <v>-19.8</v>
      </c>
      <c r="L138" s="8">
        <f t="shared" si="17"/>
        <v>4.6773514128719676E-13</v>
      </c>
      <c r="M138" s="26"/>
      <c r="N138" s="17"/>
      <c r="O138" s="9">
        <f t="shared" si="15"/>
        <v>-28.1</v>
      </c>
      <c r="P138" s="8">
        <f>D134/B134*10^(O138/10)</f>
        <v>0.24264793696295522</v>
      </c>
      <c r="Q138" s="26"/>
      <c r="R138" s="17"/>
      <c r="S138" s="19"/>
      <c r="T138" s="17"/>
      <c r="U138" s="22"/>
    </row>
    <row r="139" spans="1:21" x14ac:dyDescent="0.25">
      <c r="A139" s="24"/>
      <c r="B139" s="24"/>
      <c r="C139" s="17"/>
      <c r="D139" s="24"/>
      <c r="E139" s="24"/>
      <c r="F139" s="25"/>
      <c r="G139" s="1">
        <v>5625</v>
      </c>
      <c r="H139" s="2">
        <v>99.5</v>
      </c>
      <c r="I139" s="2">
        <v>-24.5</v>
      </c>
      <c r="J139" s="2">
        <v>-31.4</v>
      </c>
      <c r="K139" s="2">
        <f t="shared" si="13"/>
        <v>-24.5</v>
      </c>
      <c r="L139" s="8">
        <f t="shared" si="17"/>
        <v>3.9810717055349631E-13</v>
      </c>
      <c r="M139" s="26"/>
      <c r="N139" s="17"/>
      <c r="O139" s="9">
        <f t="shared" si="15"/>
        <v>-31.4</v>
      </c>
      <c r="P139" s="8">
        <f>D134/B134*10^(O139/10)</f>
        <v>0.11349496707841507</v>
      </c>
      <c r="Q139" s="26"/>
      <c r="R139" s="17"/>
      <c r="S139" s="20"/>
      <c r="T139" s="17"/>
      <c r="U139" s="23"/>
    </row>
    <row r="140" spans="1:21" x14ac:dyDescent="0.25">
      <c r="A140" s="24">
        <v>8000</v>
      </c>
      <c r="B140" s="24">
        <v>3</v>
      </c>
      <c r="C140" s="17">
        <v>0.5</v>
      </c>
      <c r="D140" s="24">
        <v>943</v>
      </c>
      <c r="E140" s="24">
        <v>6</v>
      </c>
      <c r="F140" s="25">
        <v>54</v>
      </c>
      <c r="G140" s="1">
        <v>6025</v>
      </c>
      <c r="H140" s="2">
        <v>95</v>
      </c>
      <c r="I140" s="2">
        <v>-21.7</v>
      </c>
      <c r="J140" s="2">
        <v>-27.7</v>
      </c>
      <c r="K140" s="2">
        <f t="shared" si="13"/>
        <v>-21.7</v>
      </c>
      <c r="L140" s="8">
        <f t="shared" si="17"/>
        <v>2.1379620895022273E-12</v>
      </c>
      <c r="M140" s="26">
        <f>SUM(L140:L145)</f>
        <v>3.203607094383284E-11</v>
      </c>
      <c r="N140" s="17">
        <f>10*LOG10(M140/E140)</f>
        <v>-112.72512003647059</v>
      </c>
      <c r="O140" s="9">
        <f t="shared" si="15"/>
        <v>-27.7</v>
      </c>
      <c r="P140" s="8">
        <f>D140/B140*10^(O140/10)</f>
        <v>0.53381458809047433</v>
      </c>
      <c r="Q140" s="26">
        <f>SUM(P140:P145)</f>
        <v>3.7678201884371951</v>
      </c>
      <c r="R140" s="17">
        <f>10*LOG10(Q140)</f>
        <v>5.7609016879365029</v>
      </c>
      <c r="S140" s="18">
        <f>F140+N140-Kzt-H</f>
        <v>-58.725120036470585</v>
      </c>
      <c r="T140" s="17">
        <v>0.7</v>
      </c>
      <c r="U140" s="21">
        <f>T140*10^((S140-R140)/10)</f>
        <v>2.4917006619526119E-7</v>
      </c>
    </row>
    <row r="141" spans="1:21" x14ac:dyDescent="0.25">
      <c r="A141" s="24"/>
      <c r="B141" s="24"/>
      <c r="C141" s="17"/>
      <c r="D141" s="24"/>
      <c r="E141" s="24"/>
      <c r="F141" s="25"/>
      <c r="G141" s="1">
        <v>7025</v>
      </c>
      <c r="H141" s="2">
        <v>94.8</v>
      </c>
      <c r="I141" s="2">
        <v>-22.8</v>
      </c>
      <c r="J141" s="2">
        <v>-26.8</v>
      </c>
      <c r="K141" s="2">
        <f t="shared" si="13"/>
        <v>-22.8</v>
      </c>
      <c r="L141" s="8">
        <f t="shared" si="17"/>
        <v>1.737800828749373E-12</v>
      </c>
      <c r="M141" s="26"/>
      <c r="N141" s="17"/>
      <c r="O141" s="9">
        <f t="shared" si="15"/>
        <v>-26.8</v>
      </c>
      <c r="P141" s="8">
        <f>D140/B140*10^(O141/10)</f>
        <v>0.65673541713178563</v>
      </c>
      <c r="Q141" s="26"/>
      <c r="R141" s="17"/>
      <c r="S141" s="19"/>
      <c r="T141" s="17"/>
      <c r="U141" s="22"/>
    </row>
    <row r="142" spans="1:21" x14ac:dyDescent="0.25">
      <c r="A142" s="24"/>
      <c r="B142" s="24"/>
      <c r="C142" s="17"/>
      <c r="D142" s="24"/>
      <c r="E142" s="24"/>
      <c r="F142" s="25"/>
      <c r="G142" s="1">
        <v>8025</v>
      </c>
      <c r="H142" s="2">
        <v>101.9</v>
      </c>
      <c r="I142" s="2">
        <v>-20.2</v>
      </c>
      <c r="J142" s="2">
        <v>-26</v>
      </c>
      <c r="K142" s="2">
        <f t="shared" si="13"/>
        <v>-20.2</v>
      </c>
      <c r="L142" s="8">
        <f t="shared" si="17"/>
        <v>6.1659500186147956E-13</v>
      </c>
      <c r="M142" s="26"/>
      <c r="N142" s="17"/>
      <c r="O142" s="9">
        <f t="shared" si="15"/>
        <v>-26</v>
      </c>
      <c r="P142" s="8">
        <f>D140/B140*10^(O142/10)</f>
        <v>0.78956963497117716</v>
      </c>
      <c r="Q142" s="26"/>
      <c r="R142" s="17"/>
      <c r="S142" s="19"/>
      <c r="T142" s="17"/>
      <c r="U142" s="22"/>
    </row>
    <row r="143" spans="1:21" x14ac:dyDescent="0.25">
      <c r="A143" s="24"/>
      <c r="B143" s="24"/>
      <c r="C143" s="17"/>
      <c r="D143" s="24"/>
      <c r="E143" s="24"/>
      <c r="F143" s="25"/>
      <c r="G143" s="1">
        <v>9025</v>
      </c>
      <c r="H143" s="2">
        <v>93.2</v>
      </c>
      <c r="I143" s="2">
        <v>-23.2</v>
      </c>
      <c r="J143" s="2">
        <v>-27.4</v>
      </c>
      <c r="K143" s="2">
        <f t="shared" si="13"/>
        <v>-23.2</v>
      </c>
      <c r="L143" s="8">
        <f t="shared" si="17"/>
        <v>2.2908676527677675E-12</v>
      </c>
      <c r="M143" s="26"/>
      <c r="N143" s="17"/>
      <c r="O143" s="9">
        <f t="shared" si="15"/>
        <v>-27.4</v>
      </c>
      <c r="P143" s="8">
        <f>D140/B140*10^(O143/10)</f>
        <v>0.57199263655640453</v>
      </c>
      <c r="Q143" s="26"/>
      <c r="R143" s="17"/>
      <c r="S143" s="19"/>
      <c r="T143" s="17"/>
      <c r="U143" s="22"/>
    </row>
    <row r="144" spans="1:21" x14ac:dyDescent="0.25">
      <c r="A144" s="24"/>
      <c r="B144" s="24"/>
      <c r="C144" s="17"/>
      <c r="D144" s="24"/>
      <c r="E144" s="24"/>
      <c r="F144" s="25"/>
      <c r="G144" s="1">
        <v>10025</v>
      </c>
      <c r="H144" s="2">
        <v>88.3</v>
      </c>
      <c r="I144" s="2">
        <v>-24.1</v>
      </c>
      <c r="J144" s="2">
        <v>-27.5</v>
      </c>
      <c r="K144" s="2">
        <f t="shared" si="13"/>
        <v>-24.1</v>
      </c>
      <c r="L144" s="8">
        <f t="shared" si="17"/>
        <v>5.7543993733715538E-12</v>
      </c>
      <c r="M144" s="26"/>
      <c r="N144" s="17"/>
      <c r="O144" s="9">
        <f t="shared" si="15"/>
        <v>-27.5</v>
      </c>
      <c r="P144" s="8">
        <f>D140/B140*10^(O144/10)</f>
        <v>0.55897249455556786</v>
      </c>
      <c r="Q144" s="26"/>
      <c r="R144" s="17"/>
      <c r="S144" s="19"/>
      <c r="T144" s="17"/>
      <c r="U144" s="22"/>
    </row>
    <row r="145" spans="1:21" x14ac:dyDescent="0.25">
      <c r="A145" s="24"/>
      <c r="B145" s="24"/>
      <c r="C145" s="17"/>
      <c r="D145" s="24"/>
      <c r="E145" s="24"/>
      <c r="F145" s="25"/>
      <c r="G145" s="1">
        <v>11025</v>
      </c>
      <c r="H145" s="2">
        <v>86</v>
      </c>
      <c r="I145" s="2">
        <v>-21.1</v>
      </c>
      <c r="J145" s="2">
        <v>-26.8</v>
      </c>
      <c r="K145" s="2">
        <f t="shared" si="13"/>
        <v>-21.1</v>
      </c>
      <c r="L145" s="8">
        <f t="shared" si="17"/>
        <v>1.949844599758044E-11</v>
      </c>
      <c r="M145" s="26"/>
      <c r="N145" s="17"/>
      <c r="O145" s="9">
        <f t="shared" si="15"/>
        <v>-26.8</v>
      </c>
      <c r="P145" s="8">
        <f>D140/B140*10^(O145/10)</f>
        <v>0.65673541713178563</v>
      </c>
      <c r="Q145" s="26"/>
      <c r="R145" s="17"/>
      <c r="S145" s="20"/>
      <c r="T145" s="17"/>
      <c r="U145" s="23"/>
    </row>
    <row r="146" spans="1:21" x14ac:dyDescent="0.25">
      <c r="A146" s="24" t="s">
        <v>20</v>
      </c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12">
        <f>U146</f>
        <v>7.2534781598935116E-2</v>
      </c>
      <c r="T146" s="2"/>
      <c r="U146" s="8">
        <f>0.8*SQRT(SUM(U112:U145))</f>
        <v>7.2534781598935116E-2</v>
      </c>
    </row>
    <row r="147" spans="1:21" x14ac:dyDescent="0.25">
      <c r="A147" s="27" t="s">
        <v>36</v>
      </c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9"/>
    </row>
    <row r="148" spans="1:21" x14ac:dyDescent="0.25">
      <c r="A148" s="24">
        <v>250</v>
      </c>
      <c r="B148" s="24">
        <v>3</v>
      </c>
      <c r="C148" s="17">
        <v>0.5</v>
      </c>
      <c r="D148" s="24">
        <v>38</v>
      </c>
      <c r="E148" s="24">
        <v>4</v>
      </c>
      <c r="F148" s="25">
        <v>84</v>
      </c>
      <c r="G148" s="1">
        <v>175</v>
      </c>
      <c r="H148" s="2">
        <v>84.8</v>
      </c>
      <c r="I148" s="2">
        <v>-24.3</v>
      </c>
      <c r="J148" s="2">
        <v>-27</v>
      </c>
      <c r="K148" s="2">
        <f>I148</f>
        <v>-24.3</v>
      </c>
      <c r="L148" s="8">
        <f>10^((K148-H148)/10)</f>
        <v>1.2302687708123787E-11</v>
      </c>
      <c r="M148" s="26">
        <f>SUM(L148:L151)</f>
        <v>2.9275919903958655E-11</v>
      </c>
      <c r="N148" s="17">
        <f>10*LOG10(M148/E148)</f>
        <v>-111.35549441027237</v>
      </c>
      <c r="O148" s="9">
        <f>J148</f>
        <v>-27</v>
      </c>
      <c r="P148" s="8">
        <f>D148/B148*10^(O148/10)</f>
        <v>2.5273322656272454E-2</v>
      </c>
      <c r="Q148" s="26">
        <f>SUM(P148:P151)</f>
        <v>9.8875445565156581E-2</v>
      </c>
      <c r="R148" s="17">
        <f>10*LOG10(Q148)</f>
        <v>-10.049115464166151</v>
      </c>
      <c r="S148" s="18">
        <f>F148+N148-Kzt-H</f>
        <v>-27.355494410272371</v>
      </c>
      <c r="T148" s="17">
        <v>0.2</v>
      </c>
      <c r="U148" s="21">
        <f>T148*10^((S148-R148)/10)</f>
        <v>3.7187081967815401E-3</v>
      </c>
    </row>
    <row r="149" spans="1:21" x14ac:dyDescent="0.25">
      <c r="A149" s="24"/>
      <c r="B149" s="24"/>
      <c r="C149" s="17"/>
      <c r="D149" s="24"/>
      <c r="E149" s="24"/>
      <c r="F149" s="25"/>
      <c r="G149" s="1">
        <v>225</v>
      </c>
      <c r="H149" s="2">
        <v>90</v>
      </c>
      <c r="I149" s="2">
        <v>-21.1</v>
      </c>
      <c r="J149" s="2">
        <v>-28.7</v>
      </c>
      <c r="K149" s="2">
        <f t="shared" ref="K149:K181" si="18">I149</f>
        <v>-21.1</v>
      </c>
      <c r="L149" s="8">
        <f t="shared" ref="L149:L150" si="19">10^((K149-H149)/10)</f>
        <v>7.762471166286914E-12</v>
      </c>
      <c r="M149" s="26"/>
      <c r="N149" s="17"/>
      <c r="O149" s="9">
        <f t="shared" ref="O149:O181" si="20">J149</f>
        <v>-28.7</v>
      </c>
      <c r="P149" s="8">
        <f>D148/B148*10^(O149/10)</f>
        <v>1.708686317949426E-2</v>
      </c>
      <c r="Q149" s="26"/>
      <c r="R149" s="17"/>
      <c r="S149" s="19"/>
      <c r="T149" s="17"/>
      <c r="U149" s="22"/>
    </row>
    <row r="150" spans="1:21" x14ac:dyDescent="0.25">
      <c r="A150" s="24"/>
      <c r="B150" s="24"/>
      <c r="C150" s="17"/>
      <c r="D150" s="24"/>
      <c r="E150" s="24"/>
      <c r="F150" s="25"/>
      <c r="G150" s="1">
        <v>275</v>
      </c>
      <c r="H150" s="2">
        <v>92.2</v>
      </c>
      <c r="I150" s="2">
        <v>-20.399999999999999</v>
      </c>
      <c r="J150" s="2">
        <v>-27.1</v>
      </c>
      <c r="K150" s="2">
        <f t="shared" si="18"/>
        <v>-20.399999999999999</v>
      </c>
      <c r="L150" s="8">
        <f t="shared" si="19"/>
        <v>5.4954087385762314E-12</v>
      </c>
      <c r="M150" s="26"/>
      <c r="N150" s="17"/>
      <c r="O150" s="9">
        <f t="shared" si="20"/>
        <v>-27.1</v>
      </c>
      <c r="P150" s="8">
        <f>D148/B148*10^(O150/10)</f>
        <v>2.4698031596935222E-2</v>
      </c>
      <c r="Q150" s="26"/>
      <c r="R150" s="17"/>
      <c r="S150" s="19"/>
      <c r="T150" s="17"/>
      <c r="U150" s="22"/>
    </row>
    <row r="151" spans="1:21" x14ac:dyDescent="0.25">
      <c r="A151" s="24"/>
      <c r="B151" s="24"/>
      <c r="C151" s="17"/>
      <c r="D151" s="24"/>
      <c r="E151" s="24"/>
      <c r="F151" s="25"/>
      <c r="G151" s="1">
        <v>325</v>
      </c>
      <c r="H151" s="2">
        <v>93.3</v>
      </c>
      <c r="I151" s="2">
        <v>-21</v>
      </c>
      <c r="J151" s="2">
        <v>-26</v>
      </c>
      <c r="K151" s="2">
        <f t="shared" si="18"/>
        <v>-21</v>
      </c>
      <c r="L151" s="8">
        <f>10^((K151-H151)/10)</f>
        <v>3.7153522909717219E-12</v>
      </c>
      <c r="M151" s="26"/>
      <c r="N151" s="17"/>
      <c r="O151" s="9">
        <f t="shared" si="20"/>
        <v>-26</v>
      </c>
      <c r="P151" s="8">
        <f>D148/B148*10^(O151/10)</f>
        <v>3.1817228132454647E-2</v>
      </c>
      <c r="Q151" s="26"/>
      <c r="R151" s="17"/>
      <c r="S151" s="20"/>
      <c r="T151" s="17"/>
      <c r="U151" s="23"/>
    </row>
    <row r="152" spans="1:21" x14ac:dyDescent="0.25">
      <c r="A152" s="24">
        <v>500</v>
      </c>
      <c r="B152" s="24">
        <v>3</v>
      </c>
      <c r="C152" s="17">
        <v>0.5</v>
      </c>
      <c r="D152" s="24">
        <v>59</v>
      </c>
      <c r="E152" s="24">
        <v>6</v>
      </c>
      <c r="F152" s="25">
        <v>84</v>
      </c>
      <c r="G152" s="1">
        <v>375</v>
      </c>
      <c r="H152" s="2">
        <v>91.9</v>
      </c>
      <c r="I152" s="2">
        <v>-21.4</v>
      </c>
      <c r="J152" s="2">
        <v>-24.3</v>
      </c>
      <c r="K152" s="2">
        <f t="shared" si="18"/>
        <v>-21.4</v>
      </c>
      <c r="L152" s="8">
        <f t="shared" ref="L152:L153" si="21">10^((K152-H152)/10)</f>
        <v>4.6773514128719567E-12</v>
      </c>
      <c r="M152" s="26">
        <f>SUM(L152:L157)</f>
        <v>4.2306199105743574E-11</v>
      </c>
      <c r="N152" s="17">
        <f>10*LOG10(M152/E152)</f>
        <v>-111.51747241397219</v>
      </c>
      <c r="O152" s="9">
        <f t="shared" si="20"/>
        <v>-24.3</v>
      </c>
      <c r="P152" s="8">
        <f>D152/B152*10^(O152/10)</f>
        <v>7.3068595055777216E-2</v>
      </c>
      <c r="Q152" s="26">
        <f>SUM(P152:P157)</f>
        <v>0.24202720059762761</v>
      </c>
      <c r="R152" s="17">
        <f>10*LOG10(Q152)</f>
        <v>-6.1613582242612104</v>
      </c>
      <c r="S152" s="18">
        <f>F152+N152-Kzt-H</f>
        <v>-27.517472413972186</v>
      </c>
      <c r="T152" s="17">
        <v>0.5</v>
      </c>
      <c r="U152" s="21">
        <f>T152*10^((S152-R152)/10)</f>
        <v>3.6589677813091584E-3</v>
      </c>
    </row>
    <row r="153" spans="1:21" x14ac:dyDescent="0.25">
      <c r="A153" s="24"/>
      <c r="B153" s="24"/>
      <c r="C153" s="17"/>
      <c r="D153" s="24"/>
      <c r="E153" s="24"/>
      <c r="F153" s="25"/>
      <c r="G153" s="1">
        <v>425</v>
      </c>
      <c r="H153" s="2">
        <v>88.1</v>
      </c>
      <c r="I153" s="2">
        <v>-21.6</v>
      </c>
      <c r="J153" s="2">
        <v>-30.3</v>
      </c>
      <c r="K153" s="2">
        <f t="shared" si="18"/>
        <v>-21.6</v>
      </c>
      <c r="L153" s="8">
        <f t="shared" si="21"/>
        <v>1.0715193052376083E-11</v>
      </c>
      <c r="M153" s="26"/>
      <c r="N153" s="17"/>
      <c r="O153" s="9">
        <f t="shared" si="20"/>
        <v>-30.3</v>
      </c>
      <c r="P153" s="8">
        <f>D152/B152*10^(O153/10)</f>
        <v>1.8354001249007469E-2</v>
      </c>
      <c r="Q153" s="26"/>
      <c r="R153" s="17"/>
      <c r="S153" s="19"/>
      <c r="T153" s="17"/>
      <c r="U153" s="22"/>
    </row>
    <row r="154" spans="1:21" x14ac:dyDescent="0.25">
      <c r="A154" s="24"/>
      <c r="B154" s="24"/>
      <c r="C154" s="17"/>
      <c r="D154" s="24"/>
      <c r="E154" s="24"/>
      <c r="F154" s="25"/>
      <c r="G154" s="1">
        <v>475</v>
      </c>
      <c r="H154" s="2">
        <v>90</v>
      </c>
      <c r="I154" s="2">
        <v>-18.3</v>
      </c>
      <c r="J154" s="2">
        <v>-30.1</v>
      </c>
      <c r="K154" s="2">
        <f t="shared" si="18"/>
        <v>-18.3</v>
      </c>
      <c r="L154" s="8">
        <f>10^((K154-H154)/10)</f>
        <v>1.4791083881682027E-11</v>
      </c>
      <c r="M154" s="26"/>
      <c r="N154" s="17"/>
      <c r="O154" s="9">
        <f t="shared" si="20"/>
        <v>-30.1</v>
      </c>
      <c r="P154" s="8">
        <f>D152/B152*10^(O154/10)</f>
        <v>1.9218998678797585E-2</v>
      </c>
      <c r="Q154" s="26"/>
      <c r="R154" s="17"/>
      <c r="S154" s="19"/>
      <c r="T154" s="17"/>
      <c r="U154" s="22"/>
    </row>
    <row r="155" spans="1:21" x14ac:dyDescent="0.25">
      <c r="A155" s="24"/>
      <c r="B155" s="24"/>
      <c r="C155" s="17"/>
      <c r="D155" s="24"/>
      <c r="E155" s="24"/>
      <c r="F155" s="25"/>
      <c r="G155" s="1">
        <v>575</v>
      </c>
      <c r="H155" s="2">
        <v>97</v>
      </c>
      <c r="I155" s="2">
        <v>-19.7</v>
      </c>
      <c r="J155" s="2">
        <v>-25</v>
      </c>
      <c r="K155" s="2">
        <f t="shared" si="18"/>
        <v>-19.7</v>
      </c>
      <c r="L155" s="8">
        <f t="shared" ref="L155:L181" si="22">10^((K155-H155)/10)</f>
        <v>2.1379620895022273E-12</v>
      </c>
      <c r="M155" s="26"/>
      <c r="N155" s="17"/>
      <c r="O155" s="9">
        <f t="shared" si="20"/>
        <v>-25</v>
      </c>
      <c r="P155" s="8">
        <f>D152/B152*10^(O155/10)</f>
        <v>6.2191460649978075E-2</v>
      </c>
      <c r="Q155" s="26"/>
      <c r="R155" s="17"/>
      <c r="S155" s="19"/>
      <c r="T155" s="17"/>
      <c r="U155" s="22"/>
    </row>
    <row r="156" spans="1:21" x14ac:dyDescent="0.25">
      <c r="A156" s="24"/>
      <c r="B156" s="24"/>
      <c r="C156" s="17"/>
      <c r="D156" s="24"/>
      <c r="E156" s="24"/>
      <c r="F156" s="25"/>
      <c r="G156" s="1">
        <v>625</v>
      </c>
      <c r="H156" s="2">
        <v>92</v>
      </c>
      <c r="I156" s="2">
        <v>-19.2</v>
      </c>
      <c r="J156" s="2">
        <v>-26.7</v>
      </c>
      <c r="K156" s="2">
        <f t="shared" si="18"/>
        <v>-19.2</v>
      </c>
      <c r="L156" s="8">
        <f t="shared" si="22"/>
        <v>7.5857757502918081E-12</v>
      </c>
      <c r="M156" s="26"/>
      <c r="N156" s="17"/>
      <c r="O156" s="9">
        <f t="shared" si="20"/>
        <v>-26.7</v>
      </c>
      <c r="P156" s="8">
        <f>D152/B152*10^(O156/10)</f>
        <v>4.2046587760210558E-2</v>
      </c>
      <c r="Q156" s="26"/>
      <c r="R156" s="17"/>
      <c r="S156" s="19"/>
      <c r="T156" s="17"/>
      <c r="U156" s="22"/>
    </row>
    <row r="157" spans="1:21" x14ac:dyDescent="0.25">
      <c r="A157" s="24"/>
      <c r="B157" s="24"/>
      <c r="C157" s="17"/>
      <c r="D157" s="24"/>
      <c r="E157" s="24"/>
      <c r="F157" s="25"/>
      <c r="G157" s="1">
        <v>675</v>
      </c>
      <c r="H157" s="2">
        <v>94.5</v>
      </c>
      <c r="I157" s="2">
        <v>-21.7</v>
      </c>
      <c r="J157" s="2">
        <v>-28.6</v>
      </c>
      <c r="K157" s="2">
        <f t="shared" si="18"/>
        <v>-21.7</v>
      </c>
      <c r="L157" s="8">
        <f t="shared" si="22"/>
        <v>2.3988329190194755E-12</v>
      </c>
      <c r="M157" s="26"/>
      <c r="N157" s="17"/>
      <c r="O157" s="9">
        <f t="shared" si="20"/>
        <v>-28.6</v>
      </c>
      <c r="P157" s="8">
        <f>D152/B152*10^(O157/10)</f>
        <v>2.7147557203856709E-2</v>
      </c>
      <c r="Q157" s="26"/>
      <c r="R157" s="17"/>
      <c r="S157" s="20"/>
      <c r="T157" s="17"/>
      <c r="U157" s="23"/>
    </row>
    <row r="158" spans="1:21" x14ac:dyDescent="0.25">
      <c r="A158" s="24">
        <v>1000</v>
      </c>
      <c r="B158" s="24">
        <v>3</v>
      </c>
      <c r="C158" s="17">
        <v>0.5</v>
      </c>
      <c r="D158" s="24">
        <v>117</v>
      </c>
      <c r="E158" s="24">
        <v>6</v>
      </c>
      <c r="F158" s="25">
        <v>76</v>
      </c>
      <c r="G158" s="1">
        <v>875</v>
      </c>
      <c r="H158" s="2">
        <v>91.1</v>
      </c>
      <c r="I158" s="2">
        <v>-27.8</v>
      </c>
      <c r="J158" s="2">
        <v>-30.1</v>
      </c>
      <c r="K158" s="2">
        <f t="shared" si="18"/>
        <v>-27.8</v>
      </c>
      <c r="L158" s="8">
        <f t="shared" si="22"/>
        <v>1.2882495516931339E-12</v>
      </c>
      <c r="M158" s="26">
        <f>SUM(L158:L163)</f>
        <v>6.7868299674490087E-12</v>
      </c>
      <c r="N158" s="17">
        <f>10*LOG10(M158/E158)</f>
        <v>-119.46484281569907</v>
      </c>
      <c r="O158" s="9">
        <f t="shared" si="20"/>
        <v>-30.1</v>
      </c>
      <c r="P158" s="8">
        <f>D158/B158*10^(O158/10)</f>
        <v>3.8112251617276563E-2</v>
      </c>
      <c r="Q158" s="26">
        <f>SUM(P158:P163)</f>
        <v>0.508720153963646</v>
      </c>
      <c r="R158" s="17">
        <f>10*LOG10(Q158)</f>
        <v>-2.9352105658563228</v>
      </c>
      <c r="S158" s="18">
        <f>F158+N158-Kzt-H</f>
        <v>-43.464842815699072</v>
      </c>
      <c r="T158" s="17">
        <v>0.8</v>
      </c>
      <c r="U158" s="21">
        <f>T158*10^((S158-R158)/10)</f>
        <v>7.0815244997793244E-5</v>
      </c>
    </row>
    <row r="159" spans="1:21" x14ac:dyDescent="0.25">
      <c r="A159" s="24"/>
      <c r="B159" s="24"/>
      <c r="C159" s="17"/>
      <c r="D159" s="24"/>
      <c r="E159" s="24"/>
      <c r="F159" s="25"/>
      <c r="G159" s="1">
        <v>975</v>
      </c>
      <c r="H159" s="2">
        <v>96.5</v>
      </c>
      <c r="I159" s="2">
        <v>-24.3</v>
      </c>
      <c r="J159" s="2">
        <v>-25.1</v>
      </c>
      <c r="K159" s="2">
        <f t="shared" si="18"/>
        <v>-24.3</v>
      </c>
      <c r="L159" s="8">
        <f t="shared" si="22"/>
        <v>8.3176377110266952E-13</v>
      </c>
      <c r="M159" s="26"/>
      <c r="N159" s="17"/>
      <c r="O159" s="9">
        <f t="shared" si="20"/>
        <v>-25.1</v>
      </c>
      <c r="P159" s="8">
        <f>D158/B158*10^(O159/10)</f>
        <v>0.12052152186802992</v>
      </c>
      <c r="Q159" s="26"/>
      <c r="R159" s="17"/>
      <c r="S159" s="19"/>
      <c r="T159" s="17"/>
      <c r="U159" s="22"/>
    </row>
    <row r="160" spans="1:21" x14ac:dyDescent="0.25">
      <c r="A160" s="24"/>
      <c r="B160" s="24"/>
      <c r="C160" s="17"/>
      <c r="D160" s="24"/>
      <c r="E160" s="24"/>
      <c r="F160" s="25"/>
      <c r="G160" s="1">
        <v>1075</v>
      </c>
      <c r="H160" s="2">
        <v>94.6</v>
      </c>
      <c r="I160" s="2">
        <v>-20.399999999999999</v>
      </c>
      <c r="J160" s="2">
        <v>-29.4</v>
      </c>
      <c r="K160" s="2">
        <f t="shared" si="18"/>
        <v>-20.399999999999999</v>
      </c>
      <c r="L160" s="8">
        <f t="shared" si="22"/>
        <v>3.1622776601683669E-12</v>
      </c>
      <c r="M160" s="26"/>
      <c r="N160" s="17"/>
      <c r="O160" s="9">
        <f t="shared" si="20"/>
        <v>-29.4</v>
      </c>
      <c r="P160" s="8">
        <f>D158/B158*10^(O160/10)</f>
        <v>4.4777991238378417E-2</v>
      </c>
      <c r="Q160" s="26"/>
      <c r="R160" s="17"/>
      <c r="S160" s="19"/>
      <c r="T160" s="17"/>
      <c r="U160" s="22"/>
    </row>
    <row r="161" spans="1:21" x14ac:dyDescent="0.25">
      <c r="A161" s="24"/>
      <c r="B161" s="24"/>
      <c r="C161" s="17"/>
      <c r="D161" s="24"/>
      <c r="E161" s="24"/>
      <c r="F161" s="25"/>
      <c r="G161" s="1">
        <v>1175</v>
      </c>
      <c r="H161" s="2">
        <v>97.8</v>
      </c>
      <c r="I161" s="2">
        <v>-24.9</v>
      </c>
      <c r="J161" s="2">
        <v>-26.6</v>
      </c>
      <c r="K161" s="2">
        <f t="shared" si="18"/>
        <v>-24.9</v>
      </c>
      <c r="L161" s="8">
        <f t="shared" si="22"/>
        <v>5.3703179637025273E-13</v>
      </c>
      <c r="M161" s="26"/>
      <c r="N161" s="17"/>
      <c r="O161" s="9">
        <f t="shared" si="20"/>
        <v>-26.6</v>
      </c>
      <c r="P161" s="8">
        <f>D158/B158*10^(O161/10)</f>
        <v>8.532270333403244E-2</v>
      </c>
      <c r="Q161" s="26"/>
      <c r="R161" s="17"/>
      <c r="S161" s="19"/>
      <c r="T161" s="17"/>
      <c r="U161" s="22"/>
    </row>
    <row r="162" spans="1:21" x14ac:dyDescent="0.25">
      <c r="A162" s="24"/>
      <c r="B162" s="24"/>
      <c r="C162" s="17"/>
      <c r="D162" s="24"/>
      <c r="E162" s="24"/>
      <c r="F162" s="25"/>
      <c r="G162" s="1">
        <v>1275</v>
      </c>
      <c r="H162" s="2">
        <v>100.1</v>
      </c>
      <c r="I162" s="2">
        <v>-21.1</v>
      </c>
      <c r="J162" s="2">
        <v>-24</v>
      </c>
      <c r="K162" s="2">
        <f t="shared" si="18"/>
        <v>-21.1</v>
      </c>
      <c r="L162" s="8">
        <f t="shared" si="22"/>
        <v>7.5857757502918275E-13</v>
      </c>
      <c r="M162" s="26"/>
      <c r="N162" s="17"/>
      <c r="O162" s="9">
        <f t="shared" si="20"/>
        <v>-24</v>
      </c>
      <c r="P162" s="8">
        <f>D158/B158*10^(O162/10)</f>
        <v>0.15526179651586389</v>
      </c>
      <c r="Q162" s="26"/>
      <c r="R162" s="17"/>
      <c r="S162" s="19"/>
      <c r="T162" s="17"/>
      <c r="U162" s="22"/>
    </row>
    <row r="163" spans="1:21" x14ac:dyDescent="0.25">
      <c r="A163" s="24"/>
      <c r="B163" s="24"/>
      <c r="C163" s="17"/>
      <c r="D163" s="24"/>
      <c r="E163" s="24"/>
      <c r="F163" s="25"/>
      <c r="G163" s="1">
        <v>1375</v>
      </c>
      <c r="H163" s="2">
        <v>103</v>
      </c>
      <c r="I163" s="2">
        <v>-23.8</v>
      </c>
      <c r="J163" s="2">
        <v>-27.8</v>
      </c>
      <c r="K163" s="2">
        <f t="shared" si="18"/>
        <v>-23.8</v>
      </c>
      <c r="L163" s="8">
        <f t="shared" si="22"/>
        <v>2.0892961308540331E-13</v>
      </c>
      <c r="M163" s="26"/>
      <c r="N163" s="17"/>
      <c r="O163" s="9">
        <f t="shared" si="20"/>
        <v>-27.8</v>
      </c>
      <c r="P163" s="8">
        <f>D158/B158*10^(O163/10)</f>
        <v>6.4723889390064807E-2</v>
      </c>
      <c r="Q163" s="26"/>
      <c r="R163" s="17"/>
      <c r="S163" s="20"/>
      <c r="T163" s="17"/>
      <c r="U163" s="23"/>
    </row>
    <row r="164" spans="1:21" x14ac:dyDescent="0.25">
      <c r="A164" s="24">
        <v>2000</v>
      </c>
      <c r="B164" s="24">
        <v>3</v>
      </c>
      <c r="C164" s="17">
        <v>0.5</v>
      </c>
      <c r="D164" s="24">
        <v>234</v>
      </c>
      <c r="E164" s="24">
        <v>6</v>
      </c>
      <c r="F164" s="25">
        <v>68</v>
      </c>
      <c r="G164" s="1">
        <v>1425</v>
      </c>
      <c r="H164" s="2">
        <v>102.8</v>
      </c>
      <c r="I164" s="2">
        <v>-19.399999999999999</v>
      </c>
      <c r="J164" s="2">
        <v>-26.9</v>
      </c>
      <c r="K164" s="2">
        <f t="shared" si="18"/>
        <v>-19.399999999999999</v>
      </c>
      <c r="L164" s="8">
        <f t="shared" si="22"/>
        <v>6.0255958607435742E-13</v>
      </c>
      <c r="M164" s="26">
        <f>SUM(L164:L169)</f>
        <v>2.728269727992369E-12</v>
      </c>
      <c r="N164" s="17">
        <f>10*LOG10(M164/E164)</f>
        <v>-123.42263946133818</v>
      </c>
      <c r="O164" s="9">
        <f t="shared" si="20"/>
        <v>-26.9</v>
      </c>
      <c r="P164" s="8">
        <f>D164/B164*10^(O164/10)</f>
        <v>0.15925555968422328</v>
      </c>
      <c r="Q164" s="26">
        <f>SUM(P164:P169)</f>
        <v>0.73311385924251871</v>
      </c>
      <c r="R164" s="17">
        <f>10*LOG10(Q164)</f>
        <v>-1.348285702420307</v>
      </c>
      <c r="S164" s="18">
        <f>F164+N164-Kzt-H</f>
        <v>-55.422639461338179</v>
      </c>
      <c r="T164" s="17">
        <v>1</v>
      </c>
      <c r="U164" s="21">
        <f>T164*10^((S164-R164)/10)</f>
        <v>3.913493565602482E-6</v>
      </c>
    </row>
    <row r="165" spans="1:21" x14ac:dyDescent="0.25">
      <c r="A165" s="24"/>
      <c r="B165" s="24"/>
      <c r="C165" s="17"/>
      <c r="D165" s="24"/>
      <c r="E165" s="24"/>
      <c r="F165" s="25"/>
      <c r="G165" s="1">
        <v>1625</v>
      </c>
      <c r="H165" s="2">
        <v>104.1</v>
      </c>
      <c r="I165" s="2">
        <v>-22.4</v>
      </c>
      <c r="J165" s="2">
        <v>-27</v>
      </c>
      <c r="K165" s="2">
        <f t="shared" si="18"/>
        <v>-22.4</v>
      </c>
      <c r="L165" s="8">
        <f t="shared" si="22"/>
        <v>2.238721138568332E-13</v>
      </c>
      <c r="M165" s="26"/>
      <c r="N165" s="17"/>
      <c r="O165" s="9">
        <f t="shared" si="20"/>
        <v>-27</v>
      </c>
      <c r="P165" s="8">
        <f>D164/B164*10^(O165/10)</f>
        <v>0.15563046056757249</v>
      </c>
      <c r="Q165" s="26"/>
      <c r="R165" s="17"/>
      <c r="S165" s="19"/>
      <c r="T165" s="17"/>
      <c r="U165" s="22"/>
    </row>
    <row r="166" spans="1:21" x14ac:dyDescent="0.25">
      <c r="A166" s="24"/>
      <c r="B166" s="24"/>
      <c r="C166" s="17"/>
      <c r="D166" s="24"/>
      <c r="E166" s="24"/>
      <c r="F166" s="25"/>
      <c r="G166" s="1">
        <v>1825</v>
      </c>
      <c r="H166" s="2">
        <v>107.6</v>
      </c>
      <c r="I166" s="2">
        <v>-21</v>
      </c>
      <c r="J166" s="2">
        <v>-28.6</v>
      </c>
      <c r="K166" s="2">
        <f t="shared" si="18"/>
        <v>-21</v>
      </c>
      <c r="L166" s="8">
        <f t="shared" si="22"/>
        <v>1.3803842646028828E-13</v>
      </c>
      <c r="M166" s="26"/>
      <c r="N166" s="17"/>
      <c r="O166" s="9">
        <f t="shared" si="20"/>
        <v>-28.6</v>
      </c>
      <c r="P166" s="8">
        <f>D164/B164*10^(O166/10)</f>
        <v>0.10766997263902491</v>
      </c>
      <c r="Q166" s="26"/>
      <c r="R166" s="17"/>
      <c r="S166" s="19"/>
      <c r="T166" s="17"/>
      <c r="U166" s="22"/>
    </row>
    <row r="167" spans="1:21" x14ac:dyDescent="0.25">
      <c r="A167" s="24"/>
      <c r="B167" s="24"/>
      <c r="C167" s="17"/>
      <c r="D167" s="24"/>
      <c r="E167" s="24"/>
      <c r="F167" s="25"/>
      <c r="G167" s="1">
        <v>2125</v>
      </c>
      <c r="H167" s="2">
        <v>104.2</v>
      </c>
      <c r="I167" s="2">
        <v>-24.1</v>
      </c>
      <c r="J167" s="2">
        <v>-28.3</v>
      </c>
      <c r="K167" s="2">
        <f t="shared" si="18"/>
        <v>-24.1</v>
      </c>
      <c r="L167" s="8">
        <f t="shared" si="22"/>
        <v>1.4791083881681996E-13</v>
      </c>
      <c r="M167" s="26"/>
      <c r="N167" s="17"/>
      <c r="O167" s="9">
        <f t="shared" si="20"/>
        <v>-28.3</v>
      </c>
      <c r="P167" s="8">
        <f>D164/B164*10^(O167/10)</f>
        <v>0.11537045427712012</v>
      </c>
      <c r="Q167" s="26"/>
      <c r="R167" s="17"/>
      <c r="S167" s="19"/>
      <c r="T167" s="17"/>
      <c r="U167" s="22"/>
    </row>
    <row r="168" spans="1:21" x14ac:dyDescent="0.25">
      <c r="A168" s="24"/>
      <c r="B168" s="24"/>
      <c r="C168" s="17"/>
      <c r="D168" s="24"/>
      <c r="E168" s="24"/>
      <c r="F168" s="25"/>
      <c r="G168" s="1">
        <v>2425</v>
      </c>
      <c r="H168" s="2">
        <v>93.7</v>
      </c>
      <c r="I168" s="2">
        <v>-25.7</v>
      </c>
      <c r="J168" s="2">
        <v>-28.6</v>
      </c>
      <c r="K168" s="2">
        <f t="shared" si="18"/>
        <v>-25.7</v>
      </c>
      <c r="L168" s="8">
        <f t="shared" si="22"/>
        <v>1.1481536214968749E-12</v>
      </c>
      <c r="M168" s="26"/>
      <c r="N168" s="17"/>
      <c r="O168" s="9">
        <f t="shared" si="20"/>
        <v>-28.6</v>
      </c>
      <c r="P168" s="8">
        <f>D164/B164*10^(O168/10)</f>
        <v>0.10766997263902491</v>
      </c>
      <c r="Q168" s="26"/>
      <c r="R168" s="17"/>
      <c r="S168" s="19"/>
      <c r="T168" s="17"/>
      <c r="U168" s="22"/>
    </row>
    <row r="169" spans="1:21" x14ac:dyDescent="0.25">
      <c r="A169" s="24"/>
      <c r="B169" s="24"/>
      <c r="C169" s="17"/>
      <c r="D169" s="24"/>
      <c r="E169" s="24"/>
      <c r="F169" s="25"/>
      <c r="G169" s="1">
        <v>2775</v>
      </c>
      <c r="H169" s="2">
        <v>100.2</v>
      </c>
      <c r="I169" s="2">
        <v>-23.1</v>
      </c>
      <c r="J169" s="2">
        <v>-29.5</v>
      </c>
      <c r="K169" s="2">
        <f t="shared" si="18"/>
        <v>-23.1</v>
      </c>
      <c r="L169" s="8">
        <f t="shared" si="22"/>
        <v>4.6773514128719514E-13</v>
      </c>
      <c r="M169" s="26"/>
      <c r="N169" s="17"/>
      <c r="O169" s="9">
        <f t="shared" si="20"/>
        <v>-29.5</v>
      </c>
      <c r="P169" s="8">
        <f>D164/B164*10^(O169/10)</f>
        <v>8.7517439435553054E-2</v>
      </c>
      <c r="Q169" s="26"/>
      <c r="R169" s="17"/>
      <c r="S169" s="20"/>
      <c r="T169" s="17"/>
      <c r="U169" s="23"/>
    </row>
    <row r="170" spans="1:21" x14ac:dyDescent="0.25">
      <c r="A170" s="24">
        <v>4000</v>
      </c>
      <c r="B170" s="24">
        <v>3</v>
      </c>
      <c r="C170" s="17">
        <v>0.5</v>
      </c>
      <c r="D170" s="24">
        <v>470</v>
      </c>
      <c r="E170" s="24">
        <v>6</v>
      </c>
      <c r="F170" s="25">
        <v>62</v>
      </c>
      <c r="G170" s="1">
        <v>2825</v>
      </c>
      <c r="H170" s="2">
        <v>99.4</v>
      </c>
      <c r="I170" s="2">
        <v>-22</v>
      </c>
      <c r="J170" s="2">
        <v>-23.9</v>
      </c>
      <c r="K170" s="2">
        <f t="shared" si="18"/>
        <v>-22</v>
      </c>
      <c r="L170" s="8">
        <f t="shared" si="22"/>
        <v>7.2443596007498653E-13</v>
      </c>
      <c r="M170" s="26">
        <f>SUM(L170:L175)</f>
        <v>2.8717444773245554E-12</v>
      </c>
      <c r="N170" s="17">
        <f>10*LOG10(M170/E170)</f>
        <v>-123.20005455838746</v>
      </c>
      <c r="O170" s="9">
        <f t="shared" si="20"/>
        <v>-23.9</v>
      </c>
      <c r="P170" s="8">
        <f>D170/B170*10^(O170/10)</f>
        <v>0.63822910189311033</v>
      </c>
      <c r="Q170" s="26">
        <f>SUM(P170:P175)</f>
        <v>2.2464475021846662</v>
      </c>
      <c r="R170" s="17">
        <f>10*LOG10(Q170)</f>
        <v>3.5149627390704854</v>
      </c>
      <c r="S170" s="18">
        <f>F170+N170-Kzt-H</f>
        <v>-61.200054558387464</v>
      </c>
      <c r="T170" s="17">
        <v>0.9</v>
      </c>
      <c r="U170" s="21">
        <f>T170*10^((S170-R170)/10)</f>
        <v>3.0390705334800262E-7</v>
      </c>
    </row>
    <row r="171" spans="1:21" x14ac:dyDescent="0.25">
      <c r="A171" s="24"/>
      <c r="B171" s="24"/>
      <c r="C171" s="17"/>
      <c r="D171" s="24"/>
      <c r="E171" s="24"/>
      <c r="F171" s="25"/>
      <c r="G171" s="1">
        <v>3425</v>
      </c>
      <c r="H171" s="2">
        <v>103.5</v>
      </c>
      <c r="I171" s="2">
        <v>-23.5</v>
      </c>
      <c r="J171" s="2">
        <v>-29.2</v>
      </c>
      <c r="K171" s="2">
        <f t="shared" si="18"/>
        <v>-23.5</v>
      </c>
      <c r="L171" s="8">
        <f t="shared" si="22"/>
        <v>1.9952623149688807E-13</v>
      </c>
      <c r="M171" s="26"/>
      <c r="N171" s="17"/>
      <c r="O171" s="9">
        <f t="shared" si="20"/>
        <v>-29.2</v>
      </c>
      <c r="P171" s="8">
        <f>D170/B170*10^(O171/10)</f>
        <v>0.18835476142339458</v>
      </c>
      <c r="Q171" s="26"/>
      <c r="R171" s="17"/>
      <c r="S171" s="19"/>
      <c r="T171" s="17"/>
      <c r="U171" s="22"/>
    </row>
    <row r="172" spans="1:21" x14ac:dyDescent="0.25">
      <c r="A172" s="24"/>
      <c r="B172" s="24"/>
      <c r="C172" s="17"/>
      <c r="D172" s="24"/>
      <c r="E172" s="24"/>
      <c r="F172" s="25"/>
      <c r="G172" s="1">
        <v>4025</v>
      </c>
      <c r="H172" s="2">
        <v>103.6</v>
      </c>
      <c r="I172" s="2">
        <v>-17.600000000000001</v>
      </c>
      <c r="J172" s="2">
        <v>-28.2</v>
      </c>
      <c r="K172" s="2">
        <f t="shared" si="18"/>
        <v>-17.600000000000001</v>
      </c>
      <c r="L172" s="8">
        <f t="shared" si="22"/>
        <v>7.5857757502918275E-13</v>
      </c>
      <c r="M172" s="26"/>
      <c r="N172" s="17"/>
      <c r="O172" s="9">
        <f t="shared" si="20"/>
        <v>-28.2</v>
      </c>
      <c r="P172" s="8">
        <f>D170/B170*10^(O172/10)</f>
        <v>0.23712459558833912</v>
      </c>
      <c r="Q172" s="26"/>
      <c r="R172" s="17"/>
      <c r="S172" s="19"/>
      <c r="T172" s="17"/>
      <c r="U172" s="22"/>
    </row>
    <row r="173" spans="1:21" x14ac:dyDescent="0.25">
      <c r="A173" s="24"/>
      <c r="B173" s="24"/>
      <c r="C173" s="17"/>
      <c r="D173" s="24"/>
      <c r="E173" s="24"/>
      <c r="F173" s="25"/>
      <c r="G173" s="1">
        <v>4625</v>
      </c>
      <c r="H173" s="2">
        <v>105.6</v>
      </c>
      <c r="I173" s="2">
        <v>-22</v>
      </c>
      <c r="J173" s="2">
        <v>-27.6</v>
      </c>
      <c r="K173" s="2">
        <f t="shared" si="18"/>
        <v>-22</v>
      </c>
      <c r="L173" s="8">
        <f t="shared" si="22"/>
        <v>1.7378008287493713E-13</v>
      </c>
      <c r="M173" s="26"/>
      <c r="N173" s="17"/>
      <c r="O173" s="9">
        <f t="shared" si="20"/>
        <v>-27.6</v>
      </c>
      <c r="P173" s="8">
        <f>D170/B170*10^(O173/10)</f>
        <v>0.27225546317073518</v>
      </c>
      <c r="Q173" s="26"/>
      <c r="R173" s="17"/>
      <c r="S173" s="19"/>
      <c r="T173" s="17"/>
      <c r="U173" s="22"/>
    </row>
    <row r="174" spans="1:21" x14ac:dyDescent="0.25">
      <c r="A174" s="24"/>
      <c r="B174" s="24"/>
      <c r="C174" s="17"/>
      <c r="D174" s="24"/>
      <c r="E174" s="24"/>
      <c r="F174" s="25"/>
      <c r="G174" s="1">
        <v>5225</v>
      </c>
      <c r="H174" s="2">
        <v>103.5</v>
      </c>
      <c r="I174" s="2">
        <v>-18.100000000000001</v>
      </c>
      <c r="J174" s="2">
        <v>-24.6</v>
      </c>
      <c r="K174" s="2">
        <f t="shared" si="18"/>
        <v>-18.100000000000001</v>
      </c>
      <c r="L174" s="8">
        <f t="shared" si="22"/>
        <v>6.9183097091893335E-13</v>
      </c>
      <c r="M174" s="26"/>
      <c r="N174" s="17"/>
      <c r="O174" s="9">
        <f t="shared" si="20"/>
        <v>-24.6</v>
      </c>
      <c r="P174" s="8">
        <f>D170/B170*10^(O174/10)</f>
        <v>0.543221065708966</v>
      </c>
      <c r="Q174" s="26"/>
      <c r="R174" s="17"/>
      <c r="S174" s="19"/>
      <c r="T174" s="17"/>
      <c r="U174" s="22"/>
    </row>
    <row r="175" spans="1:21" x14ac:dyDescent="0.25">
      <c r="A175" s="24"/>
      <c r="B175" s="24"/>
      <c r="C175" s="17"/>
      <c r="D175" s="24"/>
      <c r="E175" s="24"/>
      <c r="F175" s="25"/>
      <c r="G175" s="1">
        <v>5625</v>
      </c>
      <c r="H175" s="2">
        <v>99.5</v>
      </c>
      <c r="I175" s="2">
        <v>-25.4</v>
      </c>
      <c r="J175" s="2">
        <v>-26.3</v>
      </c>
      <c r="K175" s="2">
        <f t="shared" si="18"/>
        <v>-25.4</v>
      </c>
      <c r="L175" s="8">
        <f t="shared" si="22"/>
        <v>3.2359365692962775E-13</v>
      </c>
      <c r="M175" s="26"/>
      <c r="N175" s="17"/>
      <c r="O175" s="9">
        <f t="shared" si="20"/>
        <v>-26.3</v>
      </c>
      <c r="P175" s="8">
        <f>D170/B170*10^(O175/10)</f>
        <v>0.36726251440012081</v>
      </c>
      <c r="Q175" s="26"/>
      <c r="R175" s="17"/>
      <c r="S175" s="20"/>
      <c r="T175" s="17"/>
      <c r="U175" s="23"/>
    </row>
    <row r="176" spans="1:21" x14ac:dyDescent="0.25">
      <c r="A176" s="24">
        <v>8000</v>
      </c>
      <c r="B176" s="24">
        <v>3</v>
      </c>
      <c r="C176" s="17">
        <v>0.5</v>
      </c>
      <c r="D176" s="24">
        <v>943</v>
      </c>
      <c r="E176" s="24">
        <v>6</v>
      </c>
      <c r="F176" s="25">
        <v>54</v>
      </c>
      <c r="G176" s="1">
        <v>6025</v>
      </c>
      <c r="H176" s="2">
        <v>95</v>
      </c>
      <c r="I176" s="2">
        <v>-24.6</v>
      </c>
      <c r="J176" s="2">
        <v>-26.8</v>
      </c>
      <c r="K176" s="2">
        <f t="shared" si="18"/>
        <v>-24.6</v>
      </c>
      <c r="L176" s="8">
        <f t="shared" si="22"/>
        <v>1.0964781961431857E-12</v>
      </c>
      <c r="M176" s="26">
        <f>SUM(L176:L181)</f>
        <v>2.8823656205197435E-11</v>
      </c>
      <c r="N176" s="17">
        <f>10*LOG10(M176/E176)</f>
        <v>-113.18402181295363</v>
      </c>
      <c r="O176" s="9">
        <f t="shared" si="20"/>
        <v>-26.8</v>
      </c>
      <c r="P176" s="8">
        <f>D176/B176*10^(O176/10)</f>
        <v>0.65673541713178563</v>
      </c>
      <c r="Q176" s="26">
        <f>SUM(P176:P181)</f>
        <v>3.8512925920769998</v>
      </c>
      <c r="R176" s="17">
        <f>10*LOG10(Q176)</f>
        <v>5.8560651428552415</v>
      </c>
      <c r="S176" s="18">
        <f>F176+N176-Kzt-H</f>
        <v>-59.184021812953631</v>
      </c>
      <c r="T176" s="17">
        <v>0.7</v>
      </c>
      <c r="U176" s="21">
        <f>T176*10^((S176-R176)/10)</f>
        <v>2.1932560925170725E-7</v>
      </c>
    </row>
    <row r="177" spans="1:21" x14ac:dyDescent="0.25">
      <c r="A177" s="24"/>
      <c r="B177" s="24"/>
      <c r="C177" s="17"/>
      <c r="D177" s="24"/>
      <c r="E177" s="24"/>
      <c r="F177" s="25"/>
      <c r="G177" s="1">
        <v>7025</v>
      </c>
      <c r="H177" s="2">
        <v>94.8</v>
      </c>
      <c r="I177" s="2">
        <v>-24.6</v>
      </c>
      <c r="J177" s="2">
        <v>-27.7</v>
      </c>
      <c r="K177" s="2">
        <f t="shared" si="18"/>
        <v>-24.6</v>
      </c>
      <c r="L177" s="8">
        <f t="shared" si="22"/>
        <v>1.1481536214968749E-12</v>
      </c>
      <c r="M177" s="26"/>
      <c r="N177" s="17"/>
      <c r="O177" s="9">
        <f t="shared" si="20"/>
        <v>-27.7</v>
      </c>
      <c r="P177" s="8">
        <f>D176/B176*10^(O177/10)</f>
        <v>0.53381458809047433</v>
      </c>
      <c r="Q177" s="26"/>
      <c r="R177" s="17"/>
      <c r="S177" s="19"/>
      <c r="T177" s="17"/>
      <c r="U177" s="22"/>
    </row>
    <row r="178" spans="1:21" x14ac:dyDescent="0.25">
      <c r="A178" s="24"/>
      <c r="B178" s="24"/>
      <c r="C178" s="17"/>
      <c r="D178" s="24"/>
      <c r="E178" s="24"/>
      <c r="F178" s="25"/>
      <c r="G178" s="1">
        <v>8025</v>
      </c>
      <c r="H178" s="2">
        <v>101.9</v>
      </c>
      <c r="I178" s="2">
        <v>-20.100000000000001</v>
      </c>
      <c r="J178" s="2">
        <v>-28.3</v>
      </c>
      <c r="K178" s="2">
        <f t="shared" si="18"/>
        <v>-20.100000000000001</v>
      </c>
      <c r="L178" s="8">
        <f t="shared" si="22"/>
        <v>6.3095734448019283E-13</v>
      </c>
      <c r="M178" s="26"/>
      <c r="N178" s="17"/>
      <c r="O178" s="9">
        <f t="shared" si="20"/>
        <v>-28.3</v>
      </c>
      <c r="P178" s="8">
        <f>D176/B176*10^(O178/10)</f>
        <v>0.46493307001420625</v>
      </c>
      <c r="Q178" s="26"/>
      <c r="R178" s="17"/>
      <c r="S178" s="19"/>
      <c r="T178" s="17"/>
      <c r="U178" s="22"/>
    </row>
    <row r="179" spans="1:21" x14ac:dyDescent="0.25">
      <c r="A179" s="24"/>
      <c r="B179" s="24"/>
      <c r="C179" s="17"/>
      <c r="D179" s="24"/>
      <c r="E179" s="24"/>
      <c r="F179" s="25"/>
      <c r="G179" s="1">
        <v>9025</v>
      </c>
      <c r="H179" s="2">
        <v>93.2</v>
      </c>
      <c r="I179" s="2">
        <v>-21.6</v>
      </c>
      <c r="J179" s="2">
        <v>-27.1</v>
      </c>
      <c r="K179" s="2">
        <f t="shared" si="18"/>
        <v>-21.6</v>
      </c>
      <c r="L179" s="8">
        <f t="shared" si="22"/>
        <v>3.3113112148258976E-12</v>
      </c>
      <c r="M179" s="26"/>
      <c r="N179" s="17"/>
      <c r="O179" s="9">
        <f t="shared" si="20"/>
        <v>-27.1</v>
      </c>
      <c r="P179" s="8">
        <f>D176/B176*10^(O179/10)</f>
        <v>0.61290115252394517</v>
      </c>
      <c r="Q179" s="26"/>
      <c r="R179" s="17"/>
      <c r="S179" s="19"/>
      <c r="T179" s="17"/>
      <c r="U179" s="22"/>
    </row>
    <row r="180" spans="1:21" x14ac:dyDescent="0.25">
      <c r="A180" s="24"/>
      <c r="B180" s="24"/>
      <c r="C180" s="17"/>
      <c r="D180" s="24"/>
      <c r="E180" s="24"/>
      <c r="F180" s="25"/>
      <c r="G180" s="1">
        <v>10025</v>
      </c>
      <c r="H180" s="2">
        <v>88.3</v>
      </c>
      <c r="I180" s="2">
        <v>-22.4</v>
      </c>
      <c r="J180" s="2">
        <v>-25.7</v>
      </c>
      <c r="K180" s="2">
        <f t="shared" si="18"/>
        <v>-22.4</v>
      </c>
      <c r="L180" s="8">
        <f t="shared" si="22"/>
        <v>8.5113803820237871E-12</v>
      </c>
      <c r="M180" s="26"/>
      <c r="N180" s="17"/>
      <c r="O180" s="9">
        <f t="shared" si="20"/>
        <v>-25.7</v>
      </c>
      <c r="P180" s="8">
        <f>D176/B176*10^(O180/10)</f>
        <v>0.84603910670102689</v>
      </c>
      <c r="Q180" s="26"/>
      <c r="R180" s="17"/>
      <c r="S180" s="19"/>
      <c r="T180" s="17"/>
      <c r="U180" s="22"/>
    </row>
    <row r="181" spans="1:21" x14ac:dyDescent="0.25">
      <c r="A181" s="24"/>
      <c r="B181" s="24"/>
      <c r="C181" s="17"/>
      <c r="D181" s="24"/>
      <c r="E181" s="24"/>
      <c r="F181" s="25"/>
      <c r="G181" s="1">
        <v>11025</v>
      </c>
      <c r="H181" s="2">
        <v>86</v>
      </c>
      <c r="I181" s="2">
        <v>-22.5</v>
      </c>
      <c r="J181" s="2">
        <v>-26.3</v>
      </c>
      <c r="K181" s="2">
        <f t="shared" si="18"/>
        <v>-22.5</v>
      </c>
      <c r="L181" s="8">
        <f t="shared" si="22"/>
        <v>1.4125375446227501E-11</v>
      </c>
      <c r="M181" s="26"/>
      <c r="N181" s="17"/>
      <c r="O181" s="9">
        <f t="shared" si="20"/>
        <v>-26.3</v>
      </c>
      <c r="P181" s="8">
        <f>D176/B176*10^(O181/10)</f>
        <v>0.73686925761556155</v>
      </c>
      <c r="Q181" s="26"/>
      <c r="R181" s="17"/>
      <c r="S181" s="20"/>
      <c r="T181" s="17"/>
      <c r="U181" s="23"/>
    </row>
    <row r="182" spans="1:21" x14ac:dyDescent="0.25">
      <c r="A182" s="24" t="s">
        <v>20</v>
      </c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12">
        <f>U182</f>
        <v>6.9064273597589404E-2</v>
      </c>
      <c r="T182" s="2"/>
      <c r="U182" s="8">
        <f>0.8*SQRT(SUM(U148:U181))</f>
        <v>6.9064273597589404E-2</v>
      </c>
    </row>
    <row r="183" spans="1:21" x14ac:dyDescent="0.25">
      <c r="A183" s="27" t="s">
        <v>37</v>
      </c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9"/>
    </row>
    <row r="184" spans="1:21" x14ac:dyDescent="0.25">
      <c r="A184" s="24">
        <v>250</v>
      </c>
      <c r="B184" s="24">
        <v>3</v>
      </c>
      <c r="C184" s="17">
        <v>0.5</v>
      </c>
      <c r="D184" s="24">
        <v>38</v>
      </c>
      <c r="E184" s="24">
        <v>4</v>
      </c>
      <c r="F184" s="25">
        <v>84</v>
      </c>
      <c r="G184" s="1">
        <v>175</v>
      </c>
      <c r="H184" s="2">
        <v>84.8</v>
      </c>
      <c r="I184" s="2">
        <v>-16.399999999999999</v>
      </c>
      <c r="J184" s="2">
        <v>-23.3</v>
      </c>
      <c r="K184" s="2">
        <f>I184</f>
        <v>-16.399999999999999</v>
      </c>
      <c r="L184" s="8">
        <f>10^((K184-H184)/10)</f>
        <v>7.5857757502918434E-11</v>
      </c>
      <c r="M184" s="26">
        <f>SUM(L184:L187)</f>
        <v>1.5729125115995169E-10</v>
      </c>
      <c r="N184" s="17">
        <f>10*LOG10(M184/E184)</f>
        <v>-104.05355424322119</v>
      </c>
      <c r="O184" s="9">
        <f>J184</f>
        <v>-23.3</v>
      </c>
      <c r="P184" s="8">
        <f>D184/B184*10^(O184/10)</f>
        <v>5.9246451229711714E-2</v>
      </c>
      <c r="Q184" s="26">
        <f>SUM(P184:P187)</f>
        <v>0.44372026784256102</v>
      </c>
      <c r="R184" s="17">
        <f>10*LOG10(Q184)</f>
        <v>-3.5289073353011711</v>
      </c>
      <c r="S184" s="18">
        <f>F184+N184-Kzt-H</f>
        <v>-20.053554243221186</v>
      </c>
      <c r="T184" s="17">
        <v>0.2</v>
      </c>
      <c r="U184" s="21">
        <f>T184*10^((S184-R184)/10)</f>
        <v>4.4521040418648988E-3</v>
      </c>
    </row>
    <row r="185" spans="1:21" x14ac:dyDescent="0.25">
      <c r="A185" s="24"/>
      <c r="B185" s="24"/>
      <c r="C185" s="17"/>
      <c r="D185" s="24"/>
      <c r="E185" s="24"/>
      <c r="F185" s="25"/>
      <c r="G185" s="1">
        <v>225</v>
      </c>
      <c r="H185" s="2">
        <v>90</v>
      </c>
      <c r="I185" s="2">
        <v>-14</v>
      </c>
      <c r="J185" s="2">
        <v>-18.899999999999999</v>
      </c>
      <c r="K185" s="2">
        <f t="shared" ref="K185:K217" si="23">I185</f>
        <v>-14</v>
      </c>
      <c r="L185" s="8">
        <f t="shared" ref="L185:L186" si="24">10^((K185-H185)/10)</f>
        <v>3.9810717055349579E-11</v>
      </c>
      <c r="M185" s="26"/>
      <c r="N185" s="17"/>
      <c r="O185" s="9">
        <f t="shared" ref="O185:O217" si="25">J185</f>
        <v>-18.899999999999999</v>
      </c>
      <c r="P185" s="8">
        <f>D184/B184*10^(O185/10)</f>
        <v>0.16317827654779687</v>
      </c>
      <c r="Q185" s="26"/>
      <c r="R185" s="17"/>
      <c r="S185" s="19"/>
      <c r="T185" s="17"/>
      <c r="U185" s="22"/>
    </row>
    <row r="186" spans="1:21" x14ac:dyDescent="0.25">
      <c r="A186" s="24"/>
      <c r="B186" s="24"/>
      <c r="C186" s="17"/>
      <c r="D186" s="24"/>
      <c r="E186" s="24"/>
      <c r="F186" s="25"/>
      <c r="G186" s="1">
        <v>275</v>
      </c>
      <c r="H186" s="2">
        <v>92.2</v>
      </c>
      <c r="I186" s="2">
        <v>-12.8</v>
      </c>
      <c r="J186" s="2">
        <v>-18.7</v>
      </c>
      <c r="K186" s="2">
        <f t="shared" si="23"/>
        <v>-12.8</v>
      </c>
      <c r="L186" s="8">
        <f t="shared" si="24"/>
        <v>3.162277660168371E-11</v>
      </c>
      <c r="M186" s="26"/>
      <c r="N186" s="17"/>
      <c r="O186" s="9">
        <f t="shared" si="25"/>
        <v>-18.7</v>
      </c>
      <c r="P186" s="8">
        <f>D184/B184*10^(O186/10)</f>
        <v>0.1708686317949428</v>
      </c>
      <c r="Q186" s="26"/>
      <c r="R186" s="17"/>
      <c r="S186" s="19"/>
      <c r="T186" s="17"/>
      <c r="U186" s="22"/>
    </row>
    <row r="187" spans="1:21" x14ac:dyDescent="0.25">
      <c r="A187" s="24"/>
      <c r="B187" s="24"/>
      <c r="C187" s="17"/>
      <c r="D187" s="24"/>
      <c r="E187" s="24"/>
      <c r="F187" s="25"/>
      <c r="G187" s="1">
        <v>325</v>
      </c>
      <c r="H187" s="2">
        <v>93.3</v>
      </c>
      <c r="I187" s="2">
        <v>-16.7</v>
      </c>
      <c r="J187" s="2">
        <v>-24</v>
      </c>
      <c r="K187" s="2">
        <f t="shared" si="23"/>
        <v>-16.7</v>
      </c>
      <c r="L187" s="8">
        <f>10^((K187-H187)/10)</f>
        <v>9.9999999999999994E-12</v>
      </c>
      <c r="M187" s="26"/>
      <c r="N187" s="17"/>
      <c r="O187" s="9">
        <f t="shared" si="25"/>
        <v>-24</v>
      </c>
      <c r="P187" s="8">
        <f>D184/B184*10^(O187/10)</f>
        <v>5.0426908270109636E-2</v>
      </c>
      <c r="Q187" s="26"/>
      <c r="R187" s="17"/>
      <c r="S187" s="20"/>
      <c r="T187" s="17"/>
      <c r="U187" s="23"/>
    </row>
    <row r="188" spans="1:21" x14ac:dyDescent="0.25">
      <c r="A188" s="24">
        <v>500</v>
      </c>
      <c r="B188" s="24">
        <v>3</v>
      </c>
      <c r="C188" s="17">
        <v>0.5</v>
      </c>
      <c r="D188" s="24">
        <v>59</v>
      </c>
      <c r="E188" s="24">
        <v>6</v>
      </c>
      <c r="F188" s="25">
        <v>84</v>
      </c>
      <c r="G188" s="1">
        <v>375</v>
      </c>
      <c r="H188" s="2">
        <v>91.9</v>
      </c>
      <c r="I188" s="2">
        <v>-10.6</v>
      </c>
      <c r="J188" s="2">
        <v>-24.9</v>
      </c>
      <c r="K188" s="2">
        <f t="shared" si="23"/>
        <v>-10.6</v>
      </c>
      <c r="L188" s="8">
        <f t="shared" ref="L188:L189" si="26">10^((K188-H188)/10)</f>
        <v>5.6234132519034822E-11</v>
      </c>
      <c r="M188" s="26">
        <f>SUM(L188:L193)</f>
        <v>1.8801386083449807E-10</v>
      </c>
      <c r="N188" s="17">
        <f>10*LOG10(M188/E188)</f>
        <v>-105.03961382704864</v>
      </c>
      <c r="O188" s="9">
        <f t="shared" si="25"/>
        <v>-24.9</v>
      </c>
      <c r="P188" s="8">
        <f>D188/B188*10^(O188/10)</f>
        <v>6.3640085862826892E-2</v>
      </c>
      <c r="Q188" s="26">
        <f>SUM(P188:P193)</f>
        <v>1.3312138180404689</v>
      </c>
      <c r="R188" s="17">
        <f>10*LOG10(Q188)</f>
        <v>1.2424781696015568</v>
      </c>
      <c r="S188" s="18">
        <f>F188+N188-Kzt-H</f>
        <v>-21.03961382704864</v>
      </c>
      <c r="T188" s="17">
        <v>0.5</v>
      </c>
      <c r="U188" s="21">
        <f>T188*10^((S188-R188)/10)</f>
        <v>2.9563837376946228E-3</v>
      </c>
    </row>
    <row r="189" spans="1:21" x14ac:dyDescent="0.25">
      <c r="A189" s="24"/>
      <c r="B189" s="24"/>
      <c r="C189" s="17"/>
      <c r="D189" s="24"/>
      <c r="E189" s="24"/>
      <c r="F189" s="25"/>
      <c r="G189" s="1">
        <v>425</v>
      </c>
      <c r="H189" s="2">
        <v>88.1</v>
      </c>
      <c r="I189" s="2">
        <v>-13.3</v>
      </c>
      <c r="J189" s="2">
        <v>-17.899999999999999</v>
      </c>
      <c r="K189" s="2">
        <f t="shared" si="23"/>
        <v>-13.3</v>
      </c>
      <c r="L189" s="8">
        <f t="shared" si="26"/>
        <v>7.244359600749907E-11</v>
      </c>
      <c r="M189" s="26"/>
      <c r="N189" s="17"/>
      <c r="O189" s="9">
        <f t="shared" si="25"/>
        <v>-17.899999999999999</v>
      </c>
      <c r="P189" s="8">
        <f>D188/B188*10^(O189/10)</f>
        <v>0.31895598581392304</v>
      </c>
      <c r="Q189" s="26"/>
      <c r="R189" s="17"/>
      <c r="S189" s="19"/>
      <c r="T189" s="17"/>
      <c r="U189" s="22"/>
    </row>
    <row r="190" spans="1:21" x14ac:dyDescent="0.25">
      <c r="A190" s="24"/>
      <c r="B190" s="24"/>
      <c r="C190" s="17"/>
      <c r="D190" s="24"/>
      <c r="E190" s="24"/>
      <c r="F190" s="25"/>
      <c r="G190" s="1">
        <v>475</v>
      </c>
      <c r="H190" s="2">
        <v>90</v>
      </c>
      <c r="I190" s="2">
        <v>-15.8</v>
      </c>
      <c r="J190" s="2">
        <v>-17</v>
      </c>
      <c r="K190" s="2">
        <f t="shared" si="23"/>
        <v>-15.8</v>
      </c>
      <c r="L190" s="8">
        <f>10^((K190-H190)/10)</f>
        <v>2.6302679918953769E-11</v>
      </c>
      <c r="M190" s="26"/>
      <c r="N190" s="17"/>
      <c r="O190" s="9">
        <f t="shared" si="25"/>
        <v>-17</v>
      </c>
      <c r="P190" s="8">
        <f>D188/B188*10^(O190/10)</f>
        <v>0.39240158861054625</v>
      </c>
      <c r="Q190" s="26"/>
      <c r="R190" s="17"/>
      <c r="S190" s="19"/>
      <c r="T190" s="17"/>
      <c r="U190" s="22"/>
    </row>
    <row r="191" spans="1:21" x14ac:dyDescent="0.25">
      <c r="A191" s="24"/>
      <c r="B191" s="24"/>
      <c r="C191" s="17"/>
      <c r="D191" s="24"/>
      <c r="E191" s="24"/>
      <c r="F191" s="25"/>
      <c r="G191" s="1">
        <v>575</v>
      </c>
      <c r="H191" s="2">
        <v>97</v>
      </c>
      <c r="I191" s="2">
        <v>-16.600000000000001</v>
      </c>
      <c r="J191" s="2">
        <v>-21.7</v>
      </c>
      <c r="K191" s="2">
        <f t="shared" si="23"/>
        <v>-16.600000000000001</v>
      </c>
      <c r="L191" s="8">
        <f t="shared" ref="L191:L217" si="27">10^((K191-H191)/10)</f>
        <v>4.3651583224016522E-12</v>
      </c>
      <c r="M191" s="26"/>
      <c r="N191" s="17"/>
      <c r="O191" s="9">
        <f t="shared" si="25"/>
        <v>-21.7</v>
      </c>
      <c r="P191" s="8">
        <f>D188/B188*10^(O191/10)</f>
        <v>0.13296298516042301</v>
      </c>
      <c r="Q191" s="26"/>
      <c r="R191" s="17"/>
      <c r="S191" s="19"/>
      <c r="T191" s="17"/>
      <c r="U191" s="22"/>
    </row>
    <row r="192" spans="1:21" x14ac:dyDescent="0.25">
      <c r="A192" s="24"/>
      <c r="B192" s="24"/>
      <c r="C192" s="17"/>
      <c r="D192" s="24"/>
      <c r="E192" s="24"/>
      <c r="F192" s="25"/>
      <c r="G192" s="1">
        <v>625</v>
      </c>
      <c r="H192" s="2">
        <v>92</v>
      </c>
      <c r="I192" s="2">
        <v>-15.4</v>
      </c>
      <c r="J192" s="2">
        <v>-19.3</v>
      </c>
      <c r="K192" s="2">
        <f t="shared" si="23"/>
        <v>-15.4</v>
      </c>
      <c r="L192" s="8">
        <f t="shared" si="27"/>
        <v>1.8197008586099764E-11</v>
      </c>
      <c r="M192" s="26"/>
      <c r="N192" s="17"/>
      <c r="O192" s="9">
        <f t="shared" si="25"/>
        <v>-19.3</v>
      </c>
      <c r="P192" s="8">
        <f>D188/B188*10^(O192/10)</f>
        <v>0.23106318580477392</v>
      </c>
      <c r="Q192" s="26"/>
      <c r="R192" s="17"/>
      <c r="S192" s="19"/>
      <c r="T192" s="17"/>
      <c r="U192" s="22"/>
    </row>
    <row r="193" spans="1:21" x14ac:dyDescent="0.25">
      <c r="A193" s="24"/>
      <c r="B193" s="24"/>
      <c r="C193" s="17"/>
      <c r="D193" s="24"/>
      <c r="E193" s="24"/>
      <c r="F193" s="25"/>
      <c r="G193" s="1">
        <v>675</v>
      </c>
      <c r="H193" s="2">
        <v>94.5</v>
      </c>
      <c r="I193" s="2">
        <v>-15.3</v>
      </c>
      <c r="J193" s="2">
        <v>-20.100000000000001</v>
      </c>
      <c r="K193" s="2">
        <f t="shared" si="23"/>
        <v>-15.3</v>
      </c>
      <c r="L193" s="8">
        <f t="shared" si="27"/>
        <v>1.0471285480508978E-11</v>
      </c>
      <c r="M193" s="26"/>
      <c r="N193" s="17"/>
      <c r="O193" s="9">
        <f t="shared" si="25"/>
        <v>-20.100000000000001</v>
      </c>
      <c r="P193" s="8">
        <f>D188/B188*10^(O193/10)</f>
        <v>0.19218998678797586</v>
      </c>
      <c r="Q193" s="26"/>
      <c r="R193" s="17"/>
      <c r="S193" s="20"/>
      <c r="T193" s="17"/>
      <c r="U193" s="23"/>
    </row>
    <row r="194" spans="1:21" x14ac:dyDescent="0.25">
      <c r="A194" s="24">
        <v>1000</v>
      </c>
      <c r="B194" s="24">
        <v>3</v>
      </c>
      <c r="C194" s="17">
        <v>0.5</v>
      </c>
      <c r="D194" s="24">
        <v>117</v>
      </c>
      <c r="E194" s="24">
        <v>6</v>
      </c>
      <c r="F194" s="25">
        <v>76</v>
      </c>
      <c r="G194" s="1">
        <v>875</v>
      </c>
      <c r="H194" s="2">
        <v>91.1</v>
      </c>
      <c r="I194" s="2">
        <v>-19.3</v>
      </c>
      <c r="J194" s="2">
        <v>-21.4</v>
      </c>
      <c r="K194" s="2">
        <f t="shared" si="23"/>
        <v>-19.3</v>
      </c>
      <c r="L194" s="8">
        <f t="shared" si="27"/>
        <v>9.1201083935590882E-12</v>
      </c>
      <c r="M194" s="26">
        <f>SUM(L194:L199)</f>
        <v>3.0275575540122783E-11</v>
      </c>
      <c r="N194" s="17">
        <f>10*LOG10(M194/E194)</f>
        <v>-112.9705884253144</v>
      </c>
      <c r="O194" s="9">
        <f t="shared" si="25"/>
        <v>-21.4</v>
      </c>
      <c r="P194" s="8">
        <f>D194/B194*10^(O194/10)</f>
        <v>0.28253002442924613</v>
      </c>
      <c r="Q194" s="26">
        <f>SUM(P194:P199)</f>
        <v>2.4900210247303005</v>
      </c>
      <c r="R194" s="17">
        <f>10*LOG10(Q194)</f>
        <v>3.9620301411814758</v>
      </c>
      <c r="S194" s="18">
        <f>F194+N194-Kzt-H</f>
        <v>-36.970588425314403</v>
      </c>
      <c r="T194" s="17">
        <v>0.8</v>
      </c>
      <c r="U194" s="21">
        <f>T194*10^((S194-R194)/10)</f>
        <v>6.4539876546959026E-5</v>
      </c>
    </row>
    <row r="195" spans="1:21" x14ac:dyDescent="0.25">
      <c r="A195" s="24"/>
      <c r="B195" s="24"/>
      <c r="C195" s="17"/>
      <c r="D195" s="24"/>
      <c r="E195" s="24"/>
      <c r="F195" s="25"/>
      <c r="G195" s="1">
        <v>975</v>
      </c>
      <c r="H195" s="2">
        <v>96.5</v>
      </c>
      <c r="I195" s="2">
        <v>-17.8</v>
      </c>
      <c r="J195" s="2">
        <v>-20.5</v>
      </c>
      <c r="K195" s="2">
        <f t="shared" si="23"/>
        <v>-17.8</v>
      </c>
      <c r="L195" s="8">
        <f t="shared" si="27"/>
        <v>3.7153522909717219E-12</v>
      </c>
      <c r="M195" s="26"/>
      <c r="N195" s="17"/>
      <c r="O195" s="9">
        <f t="shared" si="25"/>
        <v>-20.5</v>
      </c>
      <c r="P195" s="8">
        <f>D194/B194*10^(O195/10)</f>
        <v>0.34758786587216078</v>
      </c>
      <c r="Q195" s="26"/>
      <c r="R195" s="17"/>
      <c r="S195" s="19"/>
      <c r="T195" s="17"/>
      <c r="U195" s="22"/>
    </row>
    <row r="196" spans="1:21" x14ac:dyDescent="0.25">
      <c r="A196" s="24"/>
      <c r="B196" s="24"/>
      <c r="C196" s="17"/>
      <c r="D196" s="24"/>
      <c r="E196" s="24"/>
      <c r="F196" s="25"/>
      <c r="G196" s="1">
        <v>1075</v>
      </c>
      <c r="H196" s="2">
        <v>94.6</v>
      </c>
      <c r="I196" s="2">
        <v>-16.2</v>
      </c>
      <c r="J196" s="2">
        <v>-17.899999999999999</v>
      </c>
      <c r="K196" s="2">
        <f t="shared" si="23"/>
        <v>-16.2</v>
      </c>
      <c r="L196" s="8">
        <f t="shared" si="27"/>
        <v>8.3176377110266746E-12</v>
      </c>
      <c r="M196" s="26"/>
      <c r="N196" s="17"/>
      <c r="O196" s="9">
        <f t="shared" si="25"/>
        <v>-17.899999999999999</v>
      </c>
      <c r="P196" s="8">
        <f>D194/B194*10^(O196/10)</f>
        <v>0.63250593796998289</v>
      </c>
      <c r="Q196" s="26"/>
      <c r="R196" s="17"/>
      <c r="S196" s="19"/>
      <c r="T196" s="17"/>
      <c r="U196" s="22"/>
    </row>
    <row r="197" spans="1:21" x14ac:dyDescent="0.25">
      <c r="A197" s="24"/>
      <c r="B197" s="24"/>
      <c r="C197" s="17"/>
      <c r="D197" s="24"/>
      <c r="E197" s="24"/>
      <c r="F197" s="25"/>
      <c r="G197" s="1">
        <v>1175</v>
      </c>
      <c r="H197" s="2">
        <v>97.8</v>
      </c>
      <c r="I197" s="2">
        <v>-16.2</v>
      </c>
      <c r="J197" s="2">
        <v>-19</v>
      </c>
      <c r="K197" s="2">
        <f t="shared" si="23"/>
        <v>-16.2</v>
      </c>
      <c r="L197" s="8">
        <f t="shared" si="27"/>
        <v>3.9810717055349533E-12</v>
      </c>
      <c r="M197" s="26"/>
      <c r="N197" s="17"/>
      <c r="O197" s="9">
        <f t="shared" si="25"/>
        <v>-19</v>
      </c>
      <c r="P197" s="8">
        <f>D194/B194*10^(O197/10)</f>
        <v>0.49098091059972493</v>
      </c>
      <c r="Q197" s="26"/>
      <c r="R197" s="17"/>
      <c r="S197" s="19"/>
      <c r="T197" s="17"/>
      <c r="U197" s="22"/>
    </row>
    <row r="198" spans="1:21" x14ac:dyDescent="0.25">
      <c r="A198" s="24"/>
      <c r="B198" s="24"/>
      <c r="C198" s="17"/>
      <c r="D198" s="24"/>
      <c r="E198" s="24"/>
      <c r="F198" s="25"/>
      <c r="G198" s="1">
        <v>1275</v>
      </c>
      <c r="H198" s="2">
        <v>100.1</v>
      </c>
      <c r="I198" s="2">
        <v>-13.5</v>
      </c>
      <c r="J198" s="2">
        <v>-20.3</v>
      </c>
      <c r="K198" s="2">
        <f t="shared" si="23"/>
        <v>-13.5</v>
      </c>
      <c r="L198" s="8">
        <f t="shared" si="27"/>
        <v>4.3651583224016522E-12</v>
      </c>
      <c r="M198" s="26"/>
      <c r="N198" s="17"/>
      <c r="O198" s="9">
        <f t="shared" si="25"/>
        <v>-20.3</v>
      </c>
      <c r="P198" s="8">
        <f>D194/B194*10^(O198/10)</f>
        <v>0.36396917731082612</v>
      </c>
      <c r="Q198" s="26"/>
      <c r="R198" s="17"/>
      <c r="S198" s="19"/>
      <c r="T198" s="17"/>
      <c r="U198" s="22"/>
    </row>
    <row r="199" spans="1:21" x14ac:dyDescent="0.25">
      <c r="A199" s="24"/>
      <c r="B199" s="24"/>
      <c r="C199" s="17"/>
      <c r="D199" s="24"/>
      <c r="E199" s="24"/>
      <c r="F199" s="25"/>
      <c r="G199" s="1">
        <v>1375</v>
      </c>
      <c r="H199" s="2">
        <v>103</v>
      </c>
      <c r="I199" s="2">
        <v>-18.100000000000001</v>
      </c>
      <c r="J199" s="2">
        <v>-20.2</v>
      </c>
      <c r="K199" s="2">
        <f t="shared" si="23"/>
        <v>-18.100000000000001</v>
      </c>
      <c r="L199" s="8">
        <f t="shared" si="27"/>
        <v>7.7624711662869047E-13</v>
      </c>
      <c r="M199" s="26"/>
      <c r="N199" s="17"/>
      <c r="O199" s="9">
        <f t="shared" si="25"/>
        <v>-20.2</v>
      </c>
      <c r="P199" s="8">
        <f>D194/B194*10^(O199/10)</f>
        <v>0.37244710854835994</v>
      </c>
      <c r="Q199" s="26"/>
      <c r="R199" s="17"/>
      <c r="S199" s="20"/>
      <c r="T199" s="17"/>
      <c r="U199" s="23"/>
    </row>
    <row r="200" spans="1:21" x14ac:dyDescent="0.25">
      <c r="A200" s="24">
        <v>2000</v>
      </c>
      <c r="B200" s="24">
        <v>3</v>
      </c>
      <c r="C200" s="17">
        <v>0.5</v>
      </c>
      <c r="D200" s="24">
        <v>234</v>
      </c>
      <c r="E200" s="24">
        <v>6</v>
      </c>
      <c r="F200" s="25">
        <v>68</v>
      </c>
      <c r="G200" s="1">
        <v>1425</v>
      </c>
      <c r="H200" s="2">
        <v>102.8</v>
      </c>
      <c r="I200" s="2">
        <v>-16.8</v>
      </c>
      <c r="J200" s="2">
        <v>-17.100000000000001</v>
      </c>
      <c r="K200" s="2">
        <f t="shared" si="23"/>
        <v>-16.8</v>
      </c>
      <c r="L200" s="8">
        <f t="shared" si="27"/>
        <v>1.0964781961431857E-12</v>
      </c>
      <c r="M200" s="26">
        <f>SUM(L200:L205)</f>
        <v>9.5833843576663903E-12</v>
      </c>
      <c r="N200" s="17">
        <f>10*LOG10(M200/E200)</f>
        <v>-117.96632343779157</v>
      </c>
      <c r="O200" s="9">
        <f t="shared" si="25"/>
        <v>-17.100000000000001</v>
      </c>
      <c r="P200" s="8">
        <f>D200/B200*10^(O200/10)</f>
        <v>1.5208787878112739</v>
      </c>
      <c r="Q200" s="26">
        <f>SUM(P200:P205)</f>
        <v>6.0635303016760984</v>
      </c>
      <c r="R200" s="17">
        <f>10*LOG10(Q200)</f>
        <v>7.8272555223963902</v>
      </c>
      <c r="S200" s="18">
        <f>F200+N200-Kzt-H</f>
        <v>-49.966323437791573</v>
      </c>
      <c r="T200" s="17">
        <v>1</v>
      </c>
      <c r="U200" s="21">
        <f>T200*10^((S200-R200)/10)</f>
        <v>1.6620424199014715E-6</v>
      </c>
    </row>
    <row r="201" spans="1:21" x14ac:dyDescent="0.25">
      <c r="A201" s="24"/>
      <c r="B201" s="24"/>
      <c r="C201" s="17"/>
      <c r="D201" s="24"/>
      <c r="E201" s="24"/>
      <c r="F201" s="25"/>
      <c r="G201" s="1">
        <v>1625</v>
      </c>
      <c r="H201" s="2">
        <v>104.1</v>
      </c>
      <c r="I201" s="2">
        <v>-16.899999999999999</v>
      </c>
      <c r="J201" s="2">
        <v>-22.2</v>
      </c>
      <c r="K201" s="2">
        <f t="shared" si="23"/>
        <v>-16.899999999999999</v>
      </c>
      <c r="L201" s="8">
        <f t="shared" si="27"/>
        <v>7.9432823472428024E-13</v>
      </c>
      <c r="M201" s="26"/>
      <c r="N201" s="17"/>
      <c r="O201" s="9">
        <f t="shared" si="25"/>
        <v>-22.2</v>
      </c>
      <c r="P201" s="8">
        <f>D200/B200*10^(O201/10)</f>
        <v>0.46999647713799902</v>
      </c>
      <c r="Q201" s="26"/>
      <c r="R201" s="17"/>
      <c r="S201" s="19"/>
      <c r="T201" s="17"/>
      <c r="U201" s="22"/>
    </row>
    <row r="202" spans="1:21" x14ac:dyDescent="0.25">
      <c r="A202" s="24"/>
      <c r="B202" s="24"/>
      <c r="C202" s="17"/>
      <c r="D202" s="24"/>
      <c r="E202" s="24"/>
      <c r="F202" s="25"/>
      <c r="G202" s="1">
        <v>1825</v>
      </c>
      <c r="H202" s="2">
        <v>107.6</v>
      </c>
      <c r="I202" s="2">
        <v>-17.600000000000001</v>
      </c>
      <c r="J202" s="2">
        <v>-19.899999999999999</v>
      </c>
      <c r="K202" s="2">
        <f t="shared" si="23"/>
        <v>-17.600000000000001</v>
      </c>
      <c r="L202" s="8">
        <f t="shared" si="27"/>
        <v>3.0199517204020122E-13</v>
      </c>
      <c r="M202" s="26"/>
      <c r="N202" s="17"/>
      <c r="O202" s="9">
        <f t="shared" si="25"/>
        <v>-19.899999999999999</v>
      </c>
      <c r="P202" s="8">
        <f>D200/B200*10^(O202/10)</f>
        <v>0.79816853397898846</v>
      </c>
      <c r="Q202" s="26"/>
      <c r="R202" s="17"/>
      <c r="S202" s="19"/>
      <c r="T202" s="17"/>
      <c r="U202" s="22"/>
    </row>
    <row r="203" spans="1:21" x14ac:dyDescent="0.25">
      <c r="A203" s="24"/>
      <c r="B203" s="24"/>
      <c r="C203" s="17"/>
      <c r="D203" s="24"/>
      <c r="E203" s="24"/>
      <c r="F203" s="25"/>
      <c r="G203" s="1">
        <v>2125</v>
      </c>
      <c r="H203" s="2">
        <v>104.2</v>
      </c>
      <c r="I203" s="2">
        <v>-15.8</v>
      </c>
      <c r="J203" s="2">
        <v>-18.100000000000001</v>
      </c>
      <c r="K203" s="2">
        <f t="shared" si="23"/>
        <v>-15.8</v>
      </c>
      <c r="L203" s="8">
        <f t="shared" si="27"/>
        <v>9.9999999999999998E-13</v>
      </c>
      <c r="M203" s="26"/>
      <c r="N203" s="17"/>
      <c r="O203" s="9">
        <f t="shared" si="25"/>
        <v>-18.100000000000001</v>
      </c>
      <c r="P203" s="8">
        <f>D200/B200*10^(O203/10)</f>
        <v>1.2080769627517347</v>
      </c>
      <c r="Q203" s="26"/>
      <c r="R203" s="17"/>
      <c r="S203" s="19"/>
      <c r="T203" s="17"/>
      <c r="U203" s="22"/>
    </row>
    <row r="204" spans="1:21" x14ac:dyDescent="0.25">
      <c r="A204" s="24"/>
      <c r="B204" s="24"/>
      <c r="C204" s="17"/>
      <c r="D204" s="24"/>
      <c r="E204" s="24"/>
      <c r="F204" s="25"/>
      <c r="G204" s="1">
        <v>2425</v>
      </c>
      <c r="H204" s="2">
        <v>93.7</v>
      </c>
      <c r="I204" s="2">
        <v>-19.700000000000003</v>
      </c>
      <c r="J204" s="2">
        <v>-20.6</v>
      </c>
      <c r="K204" s="2">
        <f t="shared" si="23"/>
        <v>-19.700000000000003</v>
      </c>
      <c r="L204" s="8">
        <f t="shared" si="27"/>
        <v>4.5708818961487419E-12</v>
      </c>
      <c r="M204" s="26"/>
      <c r="N204" s="17"/>
      <c r="O204" s="9">
        <f t="shared" si="25"/>
        <v>-20.6</v>
      </c>
      <c r="P204" s="8">
        <f>D200/B200*10^(O204/10)</f>
        <v>0.67935160016574248</v>
      </c>
      <c r="Q204" s="26"/>
      <c r="R204" s="17"/>
      <c r="S204" s="19"/>
      <c r="T204" s="17"/>
      <c r="U204" s="22"/>
    </row>
    <row r="205" spans="1:21" x14ac:dyDescent="0.25">
      <c r="A205" s="24"/>
      <c r="B205" s="24"/>
      <c r="C205" s="17"/>
      <c r="D205" s="24"/>
      <c r="E205" s="24"/>
      <c r="F205" s="25"/>
      <c r="G205" s="1">
        <v>2775</v>
      </c>
      <c r="H205" s="2">
        <v>100.2</v>
      </c>
      <c r="I205" s="2">
        <v>-17.2</v>
      </c>
      <c r="J205" s="2">
        <v>-17.5</v>
      </c>
      <c r="K205" s="2">
        <f t="shared" si="23"/>
        <v>-17.2</v>
      </c>
      <c r="L205" s="8">
        <f t="shared" si="27"/>
        <v>1.8197008586099809E-12</v>
      </c>
      <c r="M205" s="26"/>
      <c r="N205" s="17"/>
      <c r="O205" s="9">
        <f t="shared" si="25"/>
        <v>-17.5</v>
      </c>
      <c r="P205" s="8">
        <f>D200/B200*10^(O205/10)</f>
        <v>1.3870579398303595</v>
      </c>
      <c r="Q205" s="26"/>
      <c r="R205" s="17"/>
      <c r="S205" s="20"/>
      <c r="T205" s="17"/>
      <c r="U205" s="23"/>
    </row>
    <row r="206" spans="1:21" x14ac:dyDescent="0.25">
      <c r="A206" s="24">
        <v>4000</v>
      </c>
      <c r="B206" s="24">
        <v>3</v>
      </c>
      <c r="C206" s="17">
        <v>0.5</v>
      </c>
      <c r="D206" s="24">
        <v>470</v>
      </c>
      <c r="E206" s="24">
        <v>6</v>
      </c>
      <c r="F206" s="25">
        <v>62</v>
      </c>
      <c r="G206" s="1">
        <v>2825</v>
      </c>
      <c r="H206" s="2">
        <v>99.4</v>
      </c>
      <c r="I206" s="2">
        <v>-15.4</v>
      </c>
      <c r="J206" s="2">
        <v>-25.6</v>
      </c>
      <c r="K206" s="2">
        <f t="shared" si="23"/>
        <v>-15.4</v>
      </c>
      <c r="L206" s="8">
        <f t="shared" si="27"/>
        <v>3.3113112148258976E-12</v>
      </c>
      <c r="M206" s="26">
        <f>SUM(L206:L211)</f>
        <v>8.4650003474885619E-12</v>
      </c>
      <c r="N206" s="17">
        <f>10*LOG10(M206/E206)</f>
        <v>-118.50524270110884</v>
      </c>
      <c r="O206" s="9">
        <f t="shared" si="25"/>
        <v>-25.6</v>
      </c>
      <c r="P206" s="8">
        <f>D206/B206*10^(O206/10)</f>
        <v>0.43149583018964582</v>
      </c>
      <c r="Q206" s="26">
        <f>SUM(P206:P211)</f>
        <v>6.2569133615054149</v>
      </c>
      <c r="R206" s="17">
        <f>10*LOG10(Q206)</f>
        <v>7.9636014141181537</v>
      </c>
      <c r="S206" s="18">
        <f>F206+N206-Kzt-H</f>
        <v>-56.505242701108841</v>
      </c>
      <c r="T206" s="17">
        <v>0.9</v>
      </c>
      <c r="U206" s="21">
        <f>T206*10^((S206-R206)/10)</f>
        <v>3.2163114581678495E-7</v>
      </c>
    </row>
    <row r="207" spans="1:21" x14ac:dyDescent="0.25">
      <c r="A207" s="24"/>
      <c r="B207" s="24"/>
      <c r="C207" s="17"/>
      <c r="D207" s="24"/>
      <c r="E207" s="24"/>
      <c r="F207" s="25"/>
      <c r="G207" s="1">
        <v>3425</v>
      </c>
      <c r="H207" s="2">
        <v>103.5</v>
      </c>
      <c r="I207" s="2">
        <v>-19.7</v>
      </c>
      <c r="J207" s="2">
        <v>-21.1</v>
      </c>
      <c r="K207" s="2">
        <f t="shared" si="23"/>
        <v>-19.7</v>
      </c>
      <c r="L207" s="8">
        <f t="shared" si="27"/>
        <v>4.7863009232263685E-13</v>
      </c>
      <c r="M207" s="26"/>
      <c r="N207" s="17"/>
      <c r="O207" s="9">
        <f t="shared" si="25"/>
        <v>-21.1</v>
      </c>
      <c r="P207" s="8">
        <f>D206/B206*10^(O207/10)</f>
        <v>1.2161204827182823</v>
      </c>
      <c r="Q207" s="26"/>
      <c r="R207" s="17"/>
      <c r="S207" s="19"/>
      <c r="T207" s="17"/>
      <c r="U207" s="22"/>
    </row>
    <row r="208" spans="1:21" x14ac:dyDescent="0.25">
      <c r="A208" s="24"/>
      <c r="B208" s="24"/>
      <c r="C208" s="17"/>
      <c r="D208" s="24"/>
      <c r="E208" s="24"/>
      <c r="F208" s="25"/>
      <c r="G208" s="1">
        <v>4025</v>
      </c>
      <c r="H208" s="2">
        <v>103.6</v>
      </c>
      <c r="I208" s="2">
        <v>-16.2</v>
      </c>
      <c r="J208" s="2">
        <v>-24.1</v>
      </c>
      <c r="K208" s="2">
        <f t="shared" si="23"/>
        <v>-16.2</v>
      </c>
      <c r="L208" s="8">
        <f t="shared" si="27"/>
        <v>1.0471285480508967E-12</v>
      </c>
      <c r="M208" s="26"/>
      <c r="N208" s="17"/>
      <c r="O208" s="9">
        <f t="shared" si="25"/>
        <v>-24.1</v>
      </c>
      <c r="P208" s="8">
        <f>D206/B206*10^(O208/10)</f>
        <v>0.609504060491039</v>
      </c>
      <c r="Q208" s="26"/>
      <c r="R208" s="17"/>
      <c r="S208" s="19"/>
      <c r="T208" s="17"/>
      <c r="U208" s="22"/>
    </row>
    <row r="209" spans="1:21" x14ac:dyDescent="0.25">
      <c r="A209" s="24"/>
      <c r="B209" s="24"/>
      <c r="C209" s="17"/>
      <c r="D209" s="24"/>
      <c r="E209" s="24"/>
      <c r="F209" s="25"/>
      <c r="G209" s="1">
        <v>4625</v>
      </c>
      <c r="H209" s="2">
        <v>105.6</v>
      </c>
      <c r="I209" s="2">
        <v>-16.400000000000002</v>
      </c>
      <c r="J209" s="2">
        <v>-17.8</v>
      </c>
      <c r="K209" s="2">
        <f t="shared" si="23"/>
        <v>-16.400000000000002</v>
      </c>
      <c r="L209" s="8">
        <f t="shared" si="27"/>
        <v>6.3095734448019283E-13</v>
      </c>
      <c r="M209" s="26"/>
      <c r="N209" s="17"/>
      <c r="O209" s="9">
        <f t="shared" si="25"/>
        <v>-17.8</v>
      </c>
      <c r="P209" s="8">
        <f>D206/B206*10^(O209/10)</f>
        <v>2.6000194883188423</v>
      </c>
      <c r="Q209" s="26"/>
      <c r="R209" s="17"/>
      <c r="S209" s="19"/>
      <c r="T209" s="17"/>
      <c r="U209" s="22"/>
    </row>
    <row r="210" spans="1:21" x14ac:dyDescent="0.25">
      <c r="A210" s="24"/>
      <c r="B210" s="24"/>
      <c r="C210" s="17"/>
      <c r="D210" s="24"/>
      <c r="E210" s="24"/>
      <c r="F210" s="25"/>
      <c r="G210" s="1">
        <v>5225</v>
      </c>
      <c r="H210" s="2">
        <v>103.5</v>
      </c>
      <c r="I210" s="2">
        <v>-16.3</v>
      </c>
      <c r="J210" s="2">
        <v>-22.5</v>
      </c>
      <c r="K210" s="2">
        <f t="shared" si="23"/>
        <v>-16.3</v>
      </c>
      <c r="L210" s="8">
        <f t="shared" si="27"/>
        <v>1.0471285480508967E-12</v>
      </c>
      <c r="M210" s="26"/>
      <c r="N210" s="17"/>
      <c r="O210" s="9">
        <f t="shared" si="25"/>
        <v>-22.5</v>
      </c>
      <c r="P210" s="8">
        <f>D206/B206*10^(O210/10)</f>
        <v>0.88100140946487948</v>
      </c>
      <c r="Q210" s="26"/>
      <c r="R210" s="17"/>
      <c r="S210" s="19"/>
      <c r="T210" s="17"/>
      <c r="U210" s="22"/>
    </row>
    <row r="211" spans="1:21" x14ac:dyDescent="0.25">
      <c r="A211" s="24"/>
      <c r="B211" s="24"/>
      <c r="C211" s="17"/>
      <c r="D211" s="24"/>
      <c r="E211" s="24"/>
      <c r="F211" s="25"/>
      <c r="G211" s="1">
        <v>5625</v>
      </c>
      <c r="H211" s="2">
        <v>99.5</v>
      </c>
      <c r="I211" s="2">
        <v>-17.600000000000001</v>
      </c>
      <c r="J211" s="2">
        <v>-24.8</v>
      </c>
      <c r="K211" s="2">
        <f t="shared" si="23"/>
        <v>-17.600000000000001</v>
      </c>
      <c r="L211" s="8">
        <f t="shared" si="27"/>
        <v>1.9498445997580419E-12</v>
      </c>
      <c r="M211" s="26"/>
      <c r="N211" s="17"/>
      <c r="O211" s="9">
        <f t="shared" si="25"/>
        <v>-24.8</v>
      </c>
      <c r="P211" s="8">
        <f>D206/B206*10^(O211/10)</f>
        <v>0.51877209032272598</v>
      </c>
      <c r="Q211" s="26"/>
      <c r="R211" s="17"/>
      <c r="S211" s="20"/>
      <c r="T211" s="17"/>
      <c r="U211" s="23"/>
    </row>
    <row r="212" spans="1:21" x14ac:dyDescent="0.25">
      <c r="A212" s="24">
        <v>8000</v>
      </c>
      <c r="B212" s="24">
        <v>3</v>
      </c>
      <c r="C212" s="17">
        <v>0.5</v>
      </c>
      <c r="D212" s="24">
        <v>943</v>
      </c>
      <c r="E212" s="24">
        <v>6</v>
      </c>
      <c r="F212" s="25">
        <v>54</v>
      </c>
      <c r="G212" s="1">
        <v>6025</v>
      </c>
      <c r="H212" s="2">
        <v>95</v>
      </c>
      <c r="I212" s="2">
        <v>-15.9</v>
      </c>
      <c r="J212" s="2">
        <v>-22.5</v>
      </c>
      <c r="K212" s="2">
        <f t="shared" si="23"/>
        <v>-15.9</v>
      </c>
      <c r="L212" s="8">
        <f t="shared" si="27"/>
        <v>8.1283051616409864E-12</v>
      </c>
      <c r="M212" s="26">
        <f>SUM(L212:L217)</f>
        <v>1.5659538711662852E-10</v>
      </c>
      <c r="N212" s="17">
        <f>10*LOG10(M212/E212)</f>
        <v>-105.83372285632984</v>
      </c>
      <c r="O212" s="9">
        <f t="shared" si="25"/>
        <v>-22.5</v>
      </c>
      <c r="P212" s="8">
        <f>D212/B212*10^(O212/10)</f>
        <v>1.7676262321816625</v>
      </c>
      <c r="Q212" s="26">
        <f>SUM(P212:P217)</f>
        <v>24.622065046709409</v>
      </c>
      <c r="R212" s="17">
        <f>10*LOG10(Q212)</f>
        <v>13.913244742972026</v>
      </c>
      <c r="S212" s="18">
        <f>F212+N212-Kzt-H</f>
        <v>-51.833722856329842</v>
      </c>
      <c r="T212" s="17">
        <v>0.7</v>
      </c>
      <c r="U212" s="21">
        <f>T212*10^((S212-R212)/10)</f>
        <v>1.8638084659182087E-7</v>
      </c>
    </row>
    <row r="213" spans="1:21" x14ac:dyDescent="0.25">
      <c r="A213" s="24"/>
      <c r="B213" s="24"/>
      <c r="C213" s="17"/>
      <c r="D213" s="24"/>
      <c r="E213" s="24"/>
      <c r="F213" s="25"/>
      <c r="G213" s="1">
        <v>7025</v>
      </c>
      <c r="H213" s="2">
        <v>94.8</v>
      </c>
      <c r="I213" s="2">
        <v>-17.600000000000001</v>
      </c>
      <c r="J213" s="2">
        <v>-18.7</v>
      </c>
      <c r="K213" s="2">
        <f t="shared" si="23"/>
        <v>-17.600000000000001</v>
      </c>
      <c r="L213" s="8">
        <f t="shared" si="27"/>
        <v>5.7543993733715538E-12</v>
      </c>
      <c r="M213" s="26"/>
      <c r="N213" s="17"/>
      <c r="O213" s="9">
        <f t="shared" si="25"/>
        <v>-18.7</v>
      </c>
      <c r="P213" s="8">
        <f>D212/B212*10^(O213/10)</f>
        <v>4.2402399942797642</v>
      </c>
      <c r="Q213" s="26"/>
      <c r="R213" s="17"/>
      <c r="S213" s="19"/>
      <c r="T213" s="17"/>
      <c r="U213" s="22"/>
    </row>
    <row r="214" spans="1:21" x14ac:dyDescent="0.25">
      <c r="A214" s="24"/>
      <c r="B214" s="24"/>
      <c r="C214" s="17"/>
      <c r="D214" s="24"/>
      <c r="E214" s="24"/>
      <c r="F214" s="25"/>
      <c r="G214" s="1">
        <v>8025</v>
      </c>
      <c r="H214" s="2">
        <v>101.9</v>
      </c>
      <c r="I214" s="2">
        <v>-17</v>
      </c>
      <c r="J214" s="2">
        <v>-20</v>
      </c>
      <c r="K214" s="2">
        <f t="shared" si="23"/>
        <v>-17</v>
      </c>
      <c r="L214" s="8">
        <f t="shared" si="27"/>
        <v>1.2882495516931293E-12</v>
      </c>
      <c r="M214" s="26"/>
      <c r="N214" s="17"/>
      <c r="O214" s="9">
        <f t="shared" si="25"/>
        <v>-20</v>
      </c>
      <c r="P214" s="8">
        <f>D212/B212*10^(O214/10)</f>
        <v>3.1433333333333331</v>
      </c>
      <c r="Q214" s="26"/>
      <c r="R214" s="17"/>
      <c r="S214" s="19"/>
      <c r="T214" s="17"/>
      <c r="U214" s="22"/>
    </row>
    <row r="215" spans="1:21" x14ac:dyDescent="0.25">
      <c r="A215" s="24"/>
      <c r="B215" s="24"/>
      <c r="C215" s="17"/>
      <c r="D215" s="24"/>
      <c r="E215" s="24"/>
      <c r="F215" s="25"/>
      <c r="G215" s="1">
        <v>9025</v>
      </c>
      <c r="H215" s="2">
        <v>93.2</v>
      </c>
      <c r="I215" s="2">
        <v>-17.100000000000001</v>
      </c>
      <c r="J215" s="2">
        <v>-18.8</v>
      </c>
      <c r="K215" s="2">
        <f t="shared" si="23"/>
        <v>-17.100000000000001</v>
      </c>
      <c r="L215" s="8">
        <f t="shared" si="27"/>
        <v>9.3325430079698653E-12</v>
      </c>
      <c r="M215" s="26"/>
      <c r="N215" s="17"/>
      <c r="O215" s="9">
        <f t="shared" si="25"/>
        <v>-18.8</v>
      </c>
      <c r="P215" s="8">
        <f>D212/B212*10^(O215/10)</f>
        <v>4.1437203481956359</v>
      </c>
      <c r="Q215" s="26"/>
      <c r="R215" s="17"/>
      <c r="S215" s="19"/>
      <c r="T215" s="17"/>
      <c r="U215" s="22"/>
    </row>
    <row r="216" spans="1:21" x14ac:dyDescent="0.25">
      <c r="A216" s="24"/>
      <c r="B216" s="24"/>
      <c r="C216" s="17"/>
      <c r="D216" s="24"/>
      <c r="E216" s="24"/>
      <c r="F216" s="25"/>
      <c r="G216" s="1">
        <v>10025</v>
      </c>
      <c r="H216" s="2">
        <v>88.3</v>
      </c>
      <c r="I216" s="2">
        <v>-14.2</v>
      </c>
      <c r="J216" s="2">
        <v>-15.7</v>
      </c>
      <c r="K216" s="2">
        <f t="shared" si="23"/>
        <v>-14.2</v>
      </c>
      <c r="L216" s="8">
        <f t="shared" si="27"/>
        <v>5.6234132519034822E-11</v>
      </c>
      <c r="M216" s="26"/>
      <c r="N216" s="17"/>
      <c r="O216" s="9">
        <f t="shared" si="25"/>
        <v>-15.7</v>
      </c>
      <c r="P216" s="8">
        <f>D212/B212*10^(O216/10)</f>
        <v>8.4603910670102707</v>
      </c>
      <c r="Q216" s="26"/>
      <c r="R216" s="17"/>
      <c r="S216" s="19"/>
      <c r="T216" s="17"/>
      <c r="U216" s="22"/>
    </row>
    <row r="217" spans="1:21" x14ac:dyDescent="0.25">
      <c r="A217" s="24"/>
      <c r="B217" s="24"/>
      <c r="C217" s="17"/>
      <c r="D217" s="24"/>
      <c r="E217" s="24"/>
      <c r="F217" s="25"/>
      <c r="G217" s="1">
        <v>11025</v>
      </c>
      <c r="H217" s="2">
        <v>86</v>
      </c>
      <c r="I217" s="2">
        <v>-15.2</v>
      </c>
      <c r="J217" s="2">
        <v>-20.399999999999999</v>
      </c>
      <c r="K217" s="2">
        <f t="shared" si="23"/>
        <v>-15.2</v>
      </c>
      <c r="L217" s="8">
        <f t="shared" si="27"/>
        <v>7.5857757502918162E-11</v>
      </c>
      <c r="M217" s="26"/>
      <c r="N217" s="17"/>
      <c r="O217" s="9">
        <f t="shared" si="25"/>
        <v>-20.399999999999999</v>
      </c>
      <c r="P217" s="8">
        <f>D212/B212*10^(O217/10)</f>
        <v>2.8667540717087401</v>
      </c>
      <c r="Q217" s="26"/>
      <c r="R217" s="17"/>
      <c r="S217" s="20"/>
      <c r="T217" s="17"/>
      <c r="U217" s="23"/>
    </row>
    <row r="218" spans="1:21" x14ac:dyDescent="0.25">
      <c r="A218" s="24" t="s">
        <v>20</v>
      </c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12">
        <f>U218</f>
        <v>6.916738056867576E-2</v>
      </c>
      <c r="T218" s="2"/>
      <c r="U218" s="8">
        <f>0.8*SQRT(SUM(U184:U217))</f>
        <v>6.916738056867576E-2</v>
      </c>
    </row>
    <row r="219" spans="1:21" x14ac:dyDescent="0.25">
      <c r="A219" s="27" t="s">
        <v>38</v>
      </c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9"/>
    </row>
    <row r="220" spans="1:21" x14ac:dyDescent="0.25">
      <c r="A220" s="24">
        <v>250</v>
      </c>
      <c r="B220" s="24">
        <v>3</v>
      </c>
      <c r="C220" s="17">
        <v>0.5</v>
      </c>
      <c r="D220" s="24">
        <v>38</v>
      </c>
      <c r="E220" s="24">
        <v>4</v>
      </c>
      <c r="F220" s="25">
        <v>84</v>
      </c>
      <c r="G220" s="1">
        <v>175</v>
      </c>
      <c r="H220" s="2">
        <v>84.8</v>
      </c>
      <c r="I220" s="2">
        <v>-21.7</v>
      </c>
      <c r="J220" s="2">
        <v>-27.5</v>
      </c>
      <c r="K220" s="2">
        <f>I220</f>
        <v>-21.7</v>
      </c>
      <c r="L220" s="8">
        <f>10^((K220-H220)/10)</f>
        <v>2.238721138568329E-11</v>
      </c>
      <c r="M220" s="26">
        <f>SUM(L220:L223)</f>
        <v>5.3258221816519604E-11</v>
      </c>
      <c r="N220" s="17">
        <f>10*LOG10(M220/E220)</f>
        <v>-108.7567332919059</v>
      </c>
      <c r="O220" s="9">
        <f>J220</f>
        <v>-27.5</v>
      </c>
      <c r="P220" s="8">
        <f>D220/B220*10^(O220/10)</f>
        <v>2.2524872527159682E-2</v>
      </c>
      <c r="Q220" s="26">
        <f>SUM(P220:P223)</f>
        <v>0.1795737796934595</v>
      </c>
      <c r="R220" s="17">
        <f>10*LOG10(Q220)</f>
        <v>-7.4575707616403548</v>
      </c>
      <c r="S220" s="18">
        <f>F220+N220-Kzt-H</f>
        <v>-24.756733291905903</v>
      </c>
      <c r="T220" s="17">
        <v>0.2</v>
      </c>
      <c r="U220" s="21">
        <f>T220*10^((S220-R220)/10)</f>
        <v>3.7248924919776475E-3</v>
      </c>
    </row>
    <row r="221" spans="1:21" x14ac:dyDescent="0.25">
      <c r="A221" s="24"/>
      <c r="B221" s="24"/>
      <c r="C221" s="17"/>
      <c r="D221" s="24"/>
      <c r="E221" s="24"/>
      <c r="F221" s="25"/>
      <c r="G221" s="1">
        <v>225</v>
      </c>
      <c r="H221" s="2">
        <v>90</v>
      </c>
      <c r="I221" s="2">
        <v>-18</v>
      </c>
      <c r="J221" s="2">
        <v>-22.4</v>
      </c>
      <c r="K221" s="2">
        <f t="shared" ref="K221:K253" si="28">I221</f>
        <v>-18</v>
      </c>
      <c r="L221" s="8">
        <f t="shared" ref="L221:L222" si="29">10^((K221-H221)/10)</f>
        <v>1.5848931924611082E-11</v>
      </c>
      <c r="M221" s="26"/>
      <c r="N221" s="17"/>
      <c r="O221" s="9">
        <f t="shared" ref="O221:O253" si="30">J221</f>
        <v>-22.4</v>
      </c>
      <c r="P221" s="8">
        <f>D220/B220*10^(O221/10)</f>
        <v>7.2889058729373221E-2</v>
      </c>
      <c r="Q221" s="26"/>
      <c r="R221" s="17"/>
      <c r="S221" s="19"/>
      <c r="T221" s="17"/>
      <c r="U221" s="22"/>
    </row>
    <row r="222" spans="1:21" x14ac:dyDescent="0.25">
      <c r="A222" s="24"/>
      <c r="B222" s="24"/>
      <c r="C222" s="17"/>
      <c r="D222" s="24"/>
      <c r="E222" s="24"/>
      <c r="F222" s="25"/>
      <c r="G222" s="1">
        <v>275</v>
      </c>
      <c r="H222" s="2">
        <v>92.2</v>
      </c>
      <c r="I222" s="2">
        <v>-17.3</v>
      </c>
      <c r="J222" s="2">
        <v>-25.9</v>
      </c>
      <c r="K222" s="2">
        <f t="shared" si="28"/>
        <v>-17.3</v>
      </c>
      <c r="L222" s="8">
        <f t="shared" si="29"/>
        <v>1.1220184543019613E-11</v>
      </c>
      <c r="M222" s="26"/>
      <c r="N222" s="17"/>
      <c r="O222" s="9">
        <f t="shared" si="30"/>
        <v>-25.9</v>
      </c>
      <c r="P222" s="8">
        <f>D220/B220*10^(O222/10)</f>
        <v>3.2558346581738937E-2</v>
      </c>
      <c r="Q222" s="26"/>
      <c r="R222" s="17"/>
      <c r="S222" s="19"/>
      <c r="T222" s="17"/>
      <c r="U222" s="22"/>
    </row>
    <row r="223" spans="1:21" x14ac:dyDescent="0.25">
      <c r="A223" s="24"/>
      <c r="B223" s="24"/>
      <c r="C223" s="17"/>
      <c r="D223" s="24"/>
      <c r="E223" s="24"/>
      <c r="F223" s="25"/>
      <c r="G223" s="1">
        <v>325</v>
      </c>
      <c r="H223" s="2">
        <v>93.3</v>
      </c>
      <c r="I223" s="2">
        <v>-20.9</v>
      </c>
      <c r="J223" s="2">
        <v>-23.9</v>
      </c>
      <c r="K223" s="2">
        <f t="shared" si="28"/>
        <v>-20.9</v>
      </c>
      <c r="L223" s="8">
        <f>10^((K223-H223)/10)</f>
        <v>3.8018939632056213E-12</v>
      </c>
      <c r="M223" s="26"/>
      <c r="N223" s="17"/>
      <c r="O223" s="9">
        <f t="shared" si="30"/>
        <v>-23.9</v>
      </c>
      <c r="P223" s="8">
        <f>D220/B220*10^(O223/10)</f>
        <v>5.1601501855187651E-2</v>
      </c>
      <c r="Q223" s="26"/>
      <c r="R223" s="17"/>
      <c r="S223" s="20"/>
      <c r="T223" s="17"/>
      <c r="U223" s="23"/>
    </row>
    <row r="224" spans="1:21" x14ac:dyDescent="0.25">
      <c r="A224" s="24">
        <v>500</v>
      </c>
      <c r="B224" s="24">
        <v>3</v>
      </c>
      <c r="C224" s="17">
        <v>0.5</v>
      </c>
      <c r="D224" s="24">
        <v>59</v>
      </c>
      <c r="E224" s="24">
        <v>6</v>
      </c>
      <c r="F224" s="25">
        <v>84</v>
      </c>
      <c r="G224" s="1">
        <v>375</v>
      </c>
      <c r="H224" s="2">
        <v>91.9</v>
      </c>
      <c r="I224" s="2">
        <v>-24.2</v>
      </c>
      <c r="J224" s="2">
        <v>-25.7</v>
      </c>
      <c r="K224" s="2">
        <f t="shared" si="28"/>
        <v>-24.2</v>
      </c>
      <c r="L224" s="8">
        <f t="shared" ref="L224:L225" si="31">10^((K224-H224)/10)</f>
        <v>2.4547089156850148E-12</v>
      </c>
      <c r="M224" s="26">
        <f>SUM(L224:L229)</f>
        <v>2.6375604062347277E-11</v>
      </c>
      <c r="N224" s="17">
        <f>10*LOG10(M224/E224)</f>
        <v>-113.56948835615714</v>
      </c>
      <c r="O224" s="9">
        <f t="shared" si="30"/>
        <v>-25.7</v>
      </c>
      <c r="P224" s="8">
        <f>D224/B224*10^(O224/10)</f>
        <v>5.2933517810562658E-2</v>
      </c>
      <c r="Q224" s="26">
        <f>SUM(P224:P229)</f>
        <v>0.2934828203297038</v>
      </c>
      <c r="R224" s="17">
        <f>10*LOG10(Q224)</f>
        <v>-5.3241731606672609</v>
      </c>
      <c r="S224" s="18">
        <f>F224+N224-Kzt-H</f>
        <v>-29.569488356157137</v>
      </c>
      <c r="T224" s="17">
        <v>0.5</v>
      </c>
      <c r="U224" s="21">
        <f>T224*10^((S224-R224)/10)</f>
        <v>1.881215224473497E-3</v>
      </c>
    </row>
    <row r="225" spans="1:21" x14ac:dyDescent="0.25">
      <c r="A225" s="24"/>
      <c r="B225" s="24"/>
      <c r="C225" s="17"/>
      <c r="D225" s="24"/>
      <c r="E225" s="24"/>
      <c r="F225" s="25"/>
      <c r="G225" s="1">
        <v>425</v>
      </c>
      <c r="H225" s="2">
        <v>88.1</v>
      </c>
      <c r="I225" s="2">
        <v>-19.899999999999999</v>
      </c>
      <c r="J225" s="2">
        <v>-23.7</v>
      </c>
      <c r="K225" s="2">
        <f t="shared" si="28"/>
        <v>-19.899999999999999</v>
      </c>
      <c r="L225" s="8">
        <f t="shared" si="31"/>
        <v>1.5848931924611082E-11</v>
      </c>
      <c r="M225" s="26"/>
      <c r="N225" s="17"/>
      <c r="O225" s="9">
        <f t="shared" si="30"/>
        <v>-23.7</v>
      </c>
      <c r="P225" s="8">
        <f>D224/B224*10^(O225/10)</f>
        <v>8.3893972030979869E-2</v>
      </c>
      <c r="Q225" s="26"/>
      <c r="R225" s="17"/>
      <c r="S225" s="19"/>
      <c r="T225" s="17"/>
      <c r="U225" s="22"/>
    </row>
    <row r="226" spans="1:21" x14ac:dyDescent="0.25">
      <c r="A226" s="24"/>
      <c r="B226" s="24"/>
      <c r="C226" s="17"/>
      <c r="D226" s="24"/>
      <c r="E226" s="24"/>
      <c r="F226" s="25"/>
      <c r="G226" s="1">
        <v>475</v>
      </c>
      <c r="H226" s="2">
        <v>90</v>
      </c>
      <c r="I226" s="2">
        <v>-26.7</v>
      </c>
      <c r="J226" s="2">
        <v>-27.5</v>
      </c>
      <c r="K226" s="2">
        <f t="shared" si="28"/>
        <v>-26.7</v>
      </c>
      <c r="L226" s="8">
        <f>10^((K226-H226)/10)</f>
        <v>2.1379620895022273E-12</v>
      </c>
      <c r="M226" s="26"/>
      <c r="N226" s="17"/>
      <c r="O226" s="9">
        <f t="shared" si="30"/>
        <v>-27.5</v>
      </c>
      <c r="P226" s="8">
        <f>D224/B224*10^(O226/10)</f>
        <v>3.497282839743214E-2</v>
      </c>
      <c r="Q226" s="26"/>
      <c r="R226" s="17"/>
      <c r="S226" s="19"/>
      <c r="T226" s="17"/>
      <c r="U226" s="22"/>
    </row>
    <row r="227" spans="1:21" x14ac:dyDescent="0.25">
      <c r="A227" s="24"/>
      <c r="B227" s="24"/>
      <c r="C227" s="17"/>
      <c r="D227" s="24"/>
      <c r="E227" s="24"/>
      <c r="F227" s="25"/>
      <c r="G227" s="1">
        <v>575</v>
      </c>
      <c r="H227" s="2">
        <v>97</v>
      </c>
      <c r="I227" s="2">
        <v>-22.1</v>
      </c>
      <c r="J227" s="2">
        <v>-26.5</v>
      </c>
      <c r="K227" s="2">
        <f t="shared" si="28"/>
        <v>-22.1</v>
      </c>
      <c r="L227" s="8">
        <f t="shared" ref="L227:L253" si="32">10^((K227-H227)/10)</f>
        <v>1.2302687708123772E-12</v>
      </c>
      <c r="M227" s="26"/>
      <c r="N227" s="17"/>
      <c r="O227" s="9">
        <f t="shared" si="30"/>
        <v>-26.5</v>
      </c>
      <c r="P227" s="8">
        <f>D224/B224*10^(O227/10)</f>
        <v>4.4028182391843994E-2</v>
      </c>
      <c r="Q227" s="26"/>
      <c r="R227" s="17"/>
      <c r="S227" s="19"/>
      <c r="T227" s="17"/>
      <c r="U227" s="22"/>
    </row>
    <row r="228" spans="1:21" x14ac:dyDescent="0.25">
      <c r="A228" s="24"/>
      <c r="B228" s="24"/>
      <c r="C228" s="17"/>
      <c r="D228" s="24"/>
      <c r="E228" s="24"/>
      <c r="F228" s="25"/>
      <c r="G228" s="1">
        <v>625</v>
      </c>
      <c r="H228" s="2">
        <v>92</v>
      </c>
      <c r="I228" s="2">
        <v>-23.4</v>
      </c>
      <c r="J228" s="2">
        <v>-28.8</v>
      </c>
      <c r="K228" s="2">
        <f t="shared" si="28"/>
        <v>-23.4</v>
      </c>
      <c r="L228" s="8">
        <f t="shared" si="32"/>
        <v>2.8840315031265959E-12</v>
      </c>
      <c r="M228" s="26"/>
      <c r="N228" s="17"/>
      <c r="O228" s="9">
        <f t="shared" si="30"/>
        <v>-28.8</v>
      </c>
      <c r="P228" s="8">
        <f>D224/B224*10^(O228/10)</f>
        <v>2.5925715858276008E-2</v>
      </c>
      <c r="Q228" s="26"/>
      <c r="R228" s="17"/>
      <c r="S228" s="19"/>
      <c r="T228" s="17"/>
      <c r="U228" s="22"/>
    </row>
    <row r="229" spans="1:21" x14ac:dyDescent="0.25">
      <c r="A229" s="24"/>
      <c r="B229" s="24"/>
      <c r="C229" s="17"/>
      <c r="D229" s="24"/>
      <c r="E229" s="24"/>
      <c r="F229" s="25"/>
      <c r="G229" s="1">
        <v>675</v>
      </c>
      <c r="H229" s="2">
        <v>94.5</v>
      </c>
      <c r="I229" s="2">
        <v>-22.9</v>
      </c>
      <c r="J229" s="2">
        <v>-25.8</v>
      </c>
      <c r="K229" s="2">
        <f t="shared" si="28"/>
        <v>-22.9</v>
      </c>
      <c r="L229" s="8">
        <f t="shared" si="32"/>
        <v>1.8197008586099809E-12</v>
      </c>
      <c r="M229" s="26"/>
      <c r="N229" s="17"/>
      <c r="O229" s="9">
        <f t="shared" si="30"/>
        <v>-25.8</v>
      </c>
      <c r="P229" s="8">
        <f>D224/B224*10^(O229/10)</f>
        <v>5.1728603840609129E-2</v>
      </c>
      <c r="Q229" s="26"/>
      <c r="R229" s="17"/>
      <c r="S229" s="20"/>
      <c r="T229" s="17"/>
      <c r="U229" s="23"/>
    </row>
    <row r="230" spans="1:21" x14ac:dyDescent="0.25">
      <c r="A230" s="24">
        <v>1000</v>
      </c>
      <c r="B230" s="24">
        <v>3</v>
      </c>
      <c r="C230" s="17">
        <v>0.5</v>
      </c>
      <c r="D230" s="24">
        <v>117</v>
      </c>
      <c r="E230" s="24">
        <v>6</v>
      </c>
      <c r="F230" s="25">
        <v>76</v>
      </c>
      <c r="G230" s="1">
        <v>875</v>
      </c>
      <c r="H230" s="2">
        <v>91.1</v>
      </c>
      <c r="I230" s="2">
        <v>-26.5</v>
      </c>
      <c r="J230" s="2">
        <v>-28.2</v>
      </c>
      <c r="K230" s="2">
        <f t="shared" si="28"/>
        <v>-26.5</v>
      </c>
      <c r="L230" s="8">
        <f t="shared" si="32"/>
        <v>1.737800828749373E-12</v>
      </c>
      <c r="M230" s="26">
        <f>SUM(L230:L235)</f>
        <v>8.9131364535505978E-12</v>
      </c>
      <c r="N230" s="17">
        <f>10*LOG10(M230/E230)</f>
        <v>-118.28120695080956</v>
      </c>
      <c r="O230" s="9">
        <f t="shared" si="30"/>
        <v>-28.2</v>
      </c>
      <c r="P230" s="8">
        <f>D230/B230*10^(O230/10)</f>
        <v>5.9028888689012085E-2</v>
      </c>
      <c r="Q230" s="26">
        <f>SUM(P230:P235)</f>
        <v>0.40893489951906026</v>
      </c>
      <c r="R230" s="17">
        <f>10*LOG10(Q230)</f>
        <v>-3.8834582409526859</v>
      </c>
      <c r="S230" s="18">
        <f>F230+N230-Kzt-H</f>
        <v>-42.281206950809562</v>
      </c>
      <c r="T230" s="17">
        <v>0.8</v>
      </c>
      <c r="U230" s="21">
        <f>T230*10^((S230-R230)/10)</f>
        <v>1.1569514001547083E-4</v>
      </c>
    </row>
    <row r="231" spans="1:21" x14ac:dyDescent="0.25">
      <c r="A231" s="24"/>
      <c r="B231" s="24"/>
      <c r="C231" s="17"/>
      <c r="D231" s="24"/>
      <c r="E231" s="24"/>
      <c r="F231" s="25"/>
      <c r="G231" s="1">
        <v>975</v>
      </c>
      <c r="H231" s="2">
        <v>96.5</v>
      </c>
      <c r="I231" s="2">
        <v>-23.3</v>
      </c>
      <c r="J231" s="2">
        <v>-26.7</v>
      </c>
      <c r="K231" s="2">
        <f t="shared" si="28"/>
        <v>-23.3</v>
      </c>
      <c r="L231" s="8">
        <f t="shared" si="32"/>
        <v>1.0471285480508967E-12</v>
      </c>
      <c r="M231" s="26"/>
      <c r="N231" s="17"/>
      <c r="O231" s="9">
        <f t="shared" si="30"/>
        <v>-26.7</v>
      </c>
      <c r="P231" s="8">
        <f>D230/B230*10^(O231/10)</f>
        <v>8.3380521490587042E-2</v>
      </c>
      <c r="Q231" s="26"/>
      <c r="R231" s="17"/>
      <c r="S231" s="19"/>
      <c r="T231" s="17"/>
      <c r="U231" s="22"/>
    </row>
    <row r="232" spans="1:21" x14ac:dyDescent="0.25">
      <c r="A232" s="24"/>
      <c r="B232" s="24"/>
      <c r="C232" s="17"/>
      <c r="D232" s="24"/>
      <c r="E232" s="24"/>
      <c r="F232" s="25"/>
      <c r="G232" s="1">
        <v>1075</v>
      </c>
      <c r="H232" s="2">
        <v>94.6</v>
      </c>
      <c r="I232" s="2">
        <v>-19.7</v>
      </c>
      <c r="J232" s="2">
        <v>-27.1</v>
      </c>
      <c r="K232" s="2">
        <f t="shared" si="28"/>
        <v>-19.7</v>
      </c>
      <c r="L232" s="8">
        <f t="shared" si="32"/>
        <v>3.7153522909717219E-12</v>
      </c>
      <c r="M232" s="26"/>
      <c r="N232" s="17"/>
      <c r="O232" s="9">
        <f t="shared" si="30"/>
        <v>-27.1</v>
      </c>
      <c r="P232" s="8">
        <f>D230/B230*10^(O232/10)</f>
        <v>7.6043939390563725E-2</v>
      </c>
      <c r="Q232" s="26"/>
      <c r="R232" s="17"/>
      <c r="S232" s="19"/>
      <c r="T232" s="17"/>
      <c r="U232" s="22"/>
    </row>
    <row r="233" spans="1:21" x14ac:dyDescent="0.25">
      <c r="A233" s="24"/>
      <c r="B233" s="24"/>
      <c r="C233" s="17"/>
      <c r="D233" s="24"/>
      <c r="E233" s="24"/>
      <c r="F233" s="25"/>
      <c r="G233" s="1">
        <v>1175</v>
      </c>
      <c r="H233" s="2">
        <v>97.8</v>
      </c>
      <c r="I233" s="2">
        <v>-20</v>
      </c>
      <c r="J233" s="2">
        <v>-29.9</v>
      </c>
      <c r="K233" s="2">
        <f t="shared" si="28"/>
        <v>-20</v>
      </c>
      <c r="L233" s="8">
        <f t="shared" si="32"/>
        <v>1.6595869074375588E-12</v>
      </c>
      <c r="M233" s="26"/>
      <c r="N233" s="17"/>
      <c r="O233" s="9">
        <f t="shared" si="30"/>
        <v>-29.9</v>
      </c>
      <c r="P233" s="8">
        <f>D230/B230*10^(O233/10)</f>
        <v>3.9908426698949416E-2</v>
      </c>
      <c r="Q233" s="26"/>
      <c r="R233" s="17"/>
      <c r="S233" s="19"/>
      <c r="T233" s="17"/>
      <c r="U233" s="22"/>
    </row>
    <row r="234" spans="1:21" x14ac:dyDescent="0.25">
      <c r="A234" s="24"/>
      <c r="B234" s="24"/>
      <c r="C234" s="17"/>
      <c r="D234" s="24"/>
      <c r="E234" s="24"/>
      <c r="F234" s="25"/>
      <c r="G234" s="1">
        <v>1275</v>
      </c>
      <c r="H234" s="2">
        <v>100.1</v>
      </c>
      <c r="I234" s="2">
        <v>-22.3</v>
      </c>
      <c r="J234" s="2">
        <v>-28.7</v>
      </c>
      <c r="K234" s="2">
        <f t="shared" si="28"/>
        <v>-22.3</v>
      </c>
      <c r="L234" s="8">
        <f t="shared" si="32"/>
        <v>5.7543993733715678E-13</v>
      </c>
      <c r="M234" s="26"/>
      <c r="N234" s="17"/>
      <c r="O234" s="9">
        <f t="shared" si="30"/>
        <v>-28.7</v>
      </c>
      <c r="P234" s="8">
        <f>D230/B230*10^(O234/10)</f>
        <v>5.2609552421074443E-2</v>
      </c>
      <c r="Q234" s="26"/>
      <c r="R234" s="17"/>
      <c r="S234" s="19"/>
      <c r="T234" s="17"/>
      <c r="U234" s="22"/>
    </row>
    <row r="235" spans="1:21" x14ac:dyDescent="0.25">
      <c r="A235" s="24"/>
      <c r="B235" s="24"/>
      <c r="C235" s="17"/>
      <c r="D235" s="24"/>
      <c r="E235" s="24"/>
      <c r="F235" s="25"/>
      <c r="G235" s="1">
        <v>1375</v>
      </c>
      <c r="H235" s="2">
        <v>103</v>
      </c>
      <c r="I235" s="2">
        <v>-24.5</v>
      </c>
      <c r="J235" s="2">
        <v>-26</v>
      </c>
      <c r="K235" s="2">
        <f t="shared" si="28"/>
        <v>-24.5</v>
      </c>
      <c r="L235" s="8">
        <f t="shared" si="32"/>
        <v>1.7782794100389184E-13</v>
      </c>
      <c r="M235" s="26"/>
      <c r="N235" s="17"/>
      <c r="O235" s="9">
        <f t="shared" si="30"/>
        <v>-26</v>
      </c>
      <c r="P235" s="8">
        <f>D230/B230*10^(O235/10)</f>
        <v>9.7963570828873525E-2</v>
      </c>
      <c r="Q235" s="26"/>
      <c r="R235" s="17"/>
      <c r="S235" s="20"/>
      <c r="T235" s="17"/>
      <c r="U235" s="23"/>
    </row>
    <row r="236" spans="1:21" x14ac:dyDescent="0.25">
      <c r="A236" s="24">
        <v>2000</v>
      </c>
      <c r="B236" s="24">
        <v>3</v>
      </c>
      <c r="C236" s="17">
        <v>0.5</v>
      </c>
      <c r="D236" s="24">
        <v>234</v>
      </c>
      <c r="E236" s="24">
        <v>6</v>
      </c>
      <c r="F236" s="25">
        <v>68</v>
      </c>
      <c r="G236" s="1">
        <v>1425</v>
      </c>
      <c r="H236" s="2">
        <v>102.8</v>
      </c>
      <c r="I236" s="2">
        <v>-19.5</v>
      </c>
      <c r="J236" s="2">
        <v>-26.9</v>
      </c>
      <c r="K236" s="2">
        <f t="shared" si="28"/>
        <v>-19.5</v>
      </c>
      <c r="L236" s="8">
        <f t="shared" si="32"/>
        <v>5.8884365535558666E-13</v>
      </c>
      <c r="M236" s="26">
        <f>SUM(L236:L241)</f>
        <v>3.1640137422442004E-12</v>
      </c>
      <c r="N236" s="17">
        <f>10*LOG10(M236/E236)</f>
        <v>-122.77912889284976</v>
      </c>
      <c r="O236" s="9">
        <f t="shared" si="30"/>
        <v>-26.9</v>
      </c>
      <c r="P236" s="8">
        <f>D236/B236*10^(O236/10)</f>
        <v>0.15925555968422328</v>
      </c>
      <c r="Q236" s="26">
        <f>SUM(P236:P241)</f>
        <v>0.95017720954165608</v>
      </c>
      <c r="R236" s="17">
        <f>10*LOG10(Q236)</f>
        <v>-0.2219539055436254</v>
      </c>
      <c r="S236" s="18">
        <f>F236+N236-Kzt-H</f>
        <v>-54.779128892849755</v>
      </c>
      <c r="T236" s="17">
        <v>1</v>
      </c>
      <c r="U236" s="21">
        <f>T236*10^((S236-R236)/10)</f>
        <v>3.5017287453643138E-6</v>
      </c>
    </row>
    <row r="237" spans="1:21" x14ac:dyDescent="0.25">
      <c r="A237" s="24"/>
      <c r="B237" s="24"/>
      <c r="C237" s="17"/>
      <c r="D237" s="24"/>
      <c r="E237" s="24"/>
      <c r="F237" s="25"/>
      <c r="G237" s="1">
        <v>1625</v>
      </c>
      <c r="H237" s="2">
        <v>104.1</v>
      </c>
      <c r="I237" s="2">
        <v>-21</v>
      </c>
      <c r="J237" s="2">
        <v>-25.8</v>
      </c>
      <c r="K237" s="2">
        <f t="shared" si="28"/>
        <v>-21</v>
      </c>
      <c r="L237" s="8">
        <f t="shared" si="32"/>
        <v>3.0902954325135866E-13</v>
      </c>
      <c r="M237" s="26"/>
      <c r="N237" s="17"/>
      <c r="O237" s="9">
        <f t="shared" si="30"/>
        <v>-25.8</v>
      </c>
      <c r="P237" s="8">
        <f>D236/B236*10^(O237/10)</f>
        <v>0.20516090336783957</v>
      </c>
      <c r="Q237" s="26"/>
      <c r="R237" s="17"/>
      <c r="S237" s="19"/>
      <c r="T237" s="17"/>
      <c r="U237" s="22"/>
    </row>
    <row r="238" spans="1:21" x14ac:dyDescent="0.25">
      <c r="A238" s="24"/>
      <c r="B238" s="24"/>
      <c r="C238" s="17"/>
      <c r="D238" s="24"/>
      <c r="E238" s="24"/>
      <c r="F238" s="25"/>
      <c r="G238" s="1">
        <v>1825</v>
      </c>
      <c r="H238" s="2">
        <v>107.6</v>
      </c>
      <c r="I238" s="2">
        <v>-22.7</v>
      </c>
      <c r="J238" s="2">
        <v>-28</v>
      </c>
      <c r="K238" s="2">
        <f t="shared" si="28"/>
        <v>-22.7</v>
      </c>
      <c r="L238" s="8">
        <f t="shared" si="32"/>
        <v>9.3325430079699445E-14</v>
      </c>
      <c r="M238" s="26"/>
      <c r="N238" s="17"/>
      <c r="O238" s="9">
        <f t="shared" si="30"/>
        <v>-28</v>
      </c>
      <c r="P238" s="8">
        <f>D236/B236*10^(O238/10)</f>
        <v>0.12362166901196685</v>
      </c>
      <c r="Q238" s="26"/>
      <c r="R238" s="17"/>
      <c r="S238" s="19"/>
      <c r="T238" s="17"/>
      <c r="U238" s="22"/>
    </row>
    <row r="239" spans="1:21" x14ac:dyDescent="0.25">
      <c r="A239" s="24"/>
      <c r="B239" s="24"/>
      <c r="C239" s="17"/>
      <c r="D239" s="24"/>
      <c r="E239" s="24"/>
      <c r="F239" s="25"/>
      <c r="G239" s="1">
        <v>2125</v>
      </c>
      <c r="H239" s="2">
        <v>104.2</v>
      </c>
      <c r="I239" s="2">
        <v>-22.3</v>
      </c>
      <c r="J239" s="2">
        <v>-24.3</v>
      </c>
      <c r="K239" s="2">
        <f t="shared" si="28"/>
        <v>-22.3</v>
      </c>
      <c r="L239" s="8">
        <f t="shared" si="32"/>
        <v>2.238721138568332E-13</v>
      </c>
      <c r="M239" s="26"/>
      <c r="N239" s="17"/>
      <c r="O239" s="9">
        <f t="shared" si="30"/>
        <v>-24.3</v>
      </c>
      <c r="P239" s="8">
        <f>D236/B236*10^(O239/10)</f>
        <v>0.28979747869579436</v>
      </c>
      <c r="Q239" s="26"/>
      <c r="R239" s="17"/>
      <c r="S239" s="19"/>
      <c r="T239" s="17"/>
      <c r="U239" s="22"/>
    </row>
    <row r="240" spans="1:21" x14ac:dyDescent="0.25">
      <c r="A240" s="24"/>
      <c r="B240" s="24"/>
      <c r="C240" s="17"/>
      <c r="D240" s="24"/>
      <c r="E240" s="24"/>
      <c r="F240" s="25"/>
      <c r="G240" s="1">
        <v>2425</v>
      </c>
      <c r="H240" s="2">
        <v>93.7</v>
      </c>
      <c r="I240" s="2">
        <v>-25.2</v>
      </c>
      <c r="J240" s="2">
        <v>-30.5</v>
      </c>
      <c r="K240" s="2">
        <f t="shared" si="28"/>
        <v>-25.2</v>
      </c>
      <c r="L240" s="8">
        <f t="shared" si="32"/>
        <v>1.2882495516931293E-12</v>
      </c>
      <c r="M240" s="26"/>
      <c r="N240" s="17"/>
      <c r="O240" s="9">
        <f t="shared" si="30"/>
        <v>-30.5</v>
      </c>
      <c r="P240" s="8">
        <f>D236/B236*10^(O240/10)</f>
        <v>6.9517573174432135E-2</v>
      </c>
      <c r="Q240" s="26"/>
      <c r="R240" s="17"/>
      <c r="S240" s="19"/>
      <c r="T240" s="17"/>
      <c r="U240" s="22"/>
    </row>
    <row r="241" spans="1:21" x14ac:dyDescent="0.25">
      <c r="A241" s="24"/>
      <c r="B241" s="24"/>
      <c r="C241" s="17"/>
      <c r="D241" s="24"/>
      <c r="E241" s="24"/>
      <c r="F241" s="25"/>
      <c r="G241" s="1">
        <v>2775</v>
      </c>
      <c r="H241" s="2">
        <v>100.2</v>
      </c>
      <c r="I241" s="2">
        <v>-21.6</v>
      </c>
      <c r="J241" s="2">
        <v>-28.8</v>
      </c>
      <c r="K241" s="2">
        <f t="shared" si="28"/>
        <v>-21.6</v>
      </c>
      <c r="L241" s="8">
        <f t="shared" si="32"/>
        <v>6.6069344800759308E-13</v>
      </c>
      <c r="M241" s="26"/>
      <c r="N241" s="17"/>
      <c r="O241" s="9">
        <f t="shared" si="30"/>
        <v>-28.8</v>
      </c>
      <c r="P241" s="8">
        <f>D236/B236*10^(O241/10)</f>
        <v>0.10282402560739975</v>
      </c>
      <c r="Q241" s="26"/>
      <c r="R241" s="17"/>
      <c r="S241" s="20"/>
      <c r="T241" s="17"/>
      <c r="U241" s="23"/>
    </row>
    <row r="242" spans="1:21" x14ac:dyDescent="0.25">
      <c r="A242" s="24">
        <v>4000</v>
      </c>
      <c r="B242" s="24">
        <v>3</v>
      </c>
      <c r="C242" s="17">
        <v>0.5</v>
      </c>
      <c r="D242" s="24">
        <v>470</v>
      </c>
      <c r="E242" s="24">
        <v>6</v>
      </c>
      <c r="F242" s="25">
        <v>62</v>
      </c>
      <c r="G242" s="1">
        <v>2825</v>
      </c>
      <c r="H242" s="2">
        <v>99.4</v>
      </c>
      <c r="I242" s="2">
        <v>-24.3</v>
      </c>
      <c r="J242" s="2">
        <v>-24.6</v>
      </c>
      <c r="K242" s="2">
        <f t="shared" si="28"/>
        <v>-24.3</v>
      </c>
      <c r="L242" s="8">
        <f t="shared" si="32"/>
        <v>4.2657951880159005E-13</v>
      </c>
      <c r="M242" s="26">
        <f>SUM(L242:L247)</f>
        <v>1.6418039908161017E-12</v>
      </c>
      <c r="N242" s="17">
        <f>10*LOG10(M242/E242)</f>
        <v>-125.6282994339084</v>
      </c>
      <c r="O242" s="9">
        <f t="shared" si="30"/>
        <v>-24.6</v>
      </c>
      <c r="P242" s="8">
        <f>D242/B242*10^(O242/10)</f>
        <v>0.543221065708966</v>
      </c>
      <c r="Q242" s="26">
        <f>SUM(P242:P247)</f>
        <v>2.0070546546410188</v>
      </c>
      <c r="R242" s="17">
        <f>10*LOG10(Q242)</f>
        <v>3.0255919903746982</v>
      </c>
      <c r="S242" s="18">
        <f>F242+N242-Kzt-H</f>
        <v>-63.628299433908396</v>
      </c>
      <c r="T242" s="17">
        <v>0.9</v>
      </c>
      <c r="U242" s="21">
        <f>T242*10^((S242-R242)/10)</f>
        <v>1.944703370969245E-7</v>
      </c>
    </row>
    <row r="243" spans="1:21" x14ac:dyDescent="0.25">
      <c r="A243" s="24"/>
      <c r="B243" s="24"/>
      <c r="C243" s="17"/>
      <c r="D243" s="24"/>
      <c r="E243" s="24"/>
      <c r="F243" s="25"/>
      <c r="G243" s="1">
        <v>3425</v>
      </c>
      <c r="H243" s="2">
        <v>103.5</v>
      </c>
      <c r="I243" s="2">
        <v>-27.1</v>
      </c>
      <c r="J243" s="2">
        <v>-28</v>
      </c>
      <c r="K243" s="2">
        <f t="shared" si="28"/>
        <v>-27.1</v>
      </c>
      <c r="L243" s="8">
        <f t="shared" si="32"/>
        <v>8.7096358995608097E-14</v>
      </c>
      <c r="M243" s="26"/>
      <c r="N243" s="17"/>
      <c r="O243" s="9">
        <f t="shared" si="30"/>
        <v>-28</v>
      </c>
      <c r="P243" s="8">
        <f>D242/B242*10^(O243/10)</f>
        <v>0.24829993348557441</v>
      </c>
      <c r="Q243" s="26"/>
      <c r="R243" s="17"/>
      <c r="S243" s="19"/>
      <c r="T243" s="17"/>
      <c r="U243" s="22"/>
    </row>
    <row r="244" spans="1:21" x14ac:dyDescent="0.25">
      <c r="A244" s="24"/>
      <c r="B244" s="24"/>
      <c r="C244" s="17"/>
      <c r="D244" s="24"/>
      <c r="E244" s="24"/>
      <c r="F244" s="25"/>
      <c r="G244" s="1">
        <v>4025</v>
      </c>
      <c r="H244" s="2">
        <v>103.6</v>
      </c>
      <c r="I244" s="2">
        <v>-22.2</v>
      </c>
      <c r="J244" s="2">
        <v>-30.2</v>
      </c>
      <c r="K244" s="2">
        <f t="shared" si="28"/>
        <v>-22.2</v>
      </c>
      <c r="L244" s="8">
        <f t="shared" si="32"/>
        <v>2.6302679918953709E-13</v>
      </c>
      <c r="M244" s="26"/>
      <c r="N244" s="17"/>
      <c r="O244" s="9">
        <f t="shared" si="30"/>
        <v>-30.2</v>
      </c>
      <c r="P244" s="8">
        <f>D242/B242*10^(O244/10)</f>
        <v>0.14961550514335822</v>
      </c>
      <c r="Q244" s="26"/>
      <c r="R244" s="17"/>
      <c r="S244" s="19"/>
      <c r="T244" s="17"/>
      <c r="U244" s="22"/>
    </row>
    <row r="245" spans="1:21" x14ac:dyDescent="0.25">
      <c r="A245" s="24"/>
      <c r="B245" s="24"/>
      <c r="C245" s="17"/>
      <c r="D245" s="24"/>
      <c r="E245" s="24"/>
      <c r="F245" s="25"/>
      <c r="G245" s="1">
        <v>4625</v>
      </c>
      <c r="H245" s="2">
        <v>105.6</v>
      </c>
      <c r="I245" s="2">
        <v>-26.3</v>
      </c>
      <c r="J245" s="2">
        <v>-28.3</v>
      </c>
      <c r="K245" s="2">
        <f t="shared" si="28"/>
        <v>-26.3</v>
      </c>
      <c r="L245" s="8">
        <f t="shared" si="32"/>
        <v>6.4565422903465192E-14</v>
      </c>
      <c r="M245" s="26"/>
      <c r="N245" s="17"/>
      <c r="O245" s="9">
        <f t="shared" si="30"/>
        <v>-28.3</v>
      </c>
      <c r="P245" s="8">
        <f>D242/B242*10^(O245/10)</f>
        <v>0.23172698081301901</v>
      </c>
      <c r="Q245" s="26"/>
      <c r="R245" s="17"/>
      <c r="S245" s="19"/>
      <c r="T245" s="17"/>
      <c r="U245" s="22"/>
    </row>
    <row r="246" spans="1:21" x14ac:dyDescent="0.25">
      <c r="A246" s="24"/>
      <c r="B246" s="24"/>
      <c r="C246" s="17"/>
      <c r="D246" s="24"/>
      <c r="E246" s="24"/>
      <c r="F246" s="25"/>
      <c r="G246" s="1">
        <v>5225</v>
      </c>
      <c r="H246" s="2">
        <v>103.5</v>
      </c>
      <c r="I246" s="2">
        <v>-24.6</v>
      </c>
      <c r="J246" s="2">
        <v>-25.9</v>
      </c>
      <c r="K246" s="2">
        <f t="shared" si="28"/>
        <v>-24.6</v>
      </c>
      <c r="L246" s="8">
        <f t="shared" si="32"/>
        <v>1.5488166189124838E-13</v>
      </c>
      <c r="M246" s="26"/>
      <c r="N246" s="17"/>
      <c r="O246" s="9">
        <f t="shared" si="30"/>
        <v>-25.9</v>
      </c>
      <c r="P246" s="8">
        <f>D242/B242*10^(O246/10)</f>
        <v>0.40269533930045526</v>
      </c>
      <c r="Q246" s="26"/>
      <c r="R246" s="17"/>
      <c r="S246" s="19"/>
      <c r="T246" s="17"/>
      <c r="U246" s="22"/>
    </row>
    <row r="247" spans="1:21" x14ac:dyDescent="0.25">
      <c r="A247" s="24"/>
      <c r="B247" s="24"/>
      <c r="C247" s="17"/>
      <c r="D247" s="24"/>
      <c r="E247" s="24"/>
      <c r="F247" s="25"/>
      <c r="G247" s="1">
        <v>5625</v>
      </c>
      <c r="H247" s="2">
        <v>99.5</v>
      </c>
      <c r="I247" s="2">
        <v>-22.4</v>
      </c>
      <c r="J247" s="2">
        <v>-25.6</v>
      </c>
      <c r="K247" s="2">
        <f t="shared" si="28"/>
        <v>-22.4</v>
      </c>
      <c r="L247" s="8">
        <f t="shared" si="32"/>
        <v>6.456542290346527E-13</v>
      </c>
      <c r="M247" s="26"/>
      <c r="N247" s="17"/>
      <c r="O247" s="9">
        <f t="shared" si="30"/>
        <v>-25.6</v>
      </c>
      <c r="P247" s="8">
        <f>D242/B242*10^(O247/10)</f>
        <v>0.43149583018964582</v>
      </c>
      <c r="Q247" s="26"/>
      <c r="R247" s="17"/>
      <c r="S247" s="20"/>
      <c r="T247" s="17"/>
      <c r="U247" s="23"/>
    </row>
    <row r="248" spans="1:21" x14ac:dyDescent="0.25">
      <c r="A248" s="24">
        <v>8000</v>
      </c>
      <c r="B248" s="24">
        <v>3</v>
      </c>
      <c r="C248" s="17">
        <v>0.5</v>
      </c>
      <c r="D248" s="24">
        <v>943</v>
      </c>
      <c r="E248" s="24">
        <v>6</v>
      </c>
      <c r="F248" s="25">
        <v>54</v>
      </c>
      <c r="G248" s="1">
        <v>6025</v>
      </c>
      <c r="H248" s="2">
        <v>95</v>
      </c>
      <c r="I248" s="2">
        <v>-21.7</v>
      </c>
      <c r="J248" s="2">
        <v>-28</v>
      </c>
      <c r="K248" s="2">
        <f t="shared" si="28"/>
        <v>-21.7</v>
      </c>
      <c r="L248" s="8">
        <f t="shared" si="32"/>
        <v>2.1379620895022273E-12</v>
      </c>
      <c r="M248" s="26">
        <f>SUM(L248:L253)</f>
        <v>3.4043555282670456E-11</v>
      </c>
      <c r="N248" s="17">
        <f>10*LOG10(M248/E248)</f>
        <v>-112.46116341773151</v>
      </c>
      <c r="O248" s="9">
        <f t="shared" si="30"/>
        <v>-28</v>
      </c>
      <c r="P248" s="8">
        <f>D248/B248*10^(O248/10)</f>
        <v>0.49818476016360996</v>
      </c>
      <c r="Q248" s="26">
        <f>SUM(P248:P253)</f>
        <v>3.5463015854716007</v>
      </c>
      <c r="R248" s="17">
        <f>10*LOG10(Q248)</f>
        <v>5.4977566621602563</v>
      </c>
      <c r="S248" s="18">
        <f>F248+N248-Kzt-H</f>
        <v>-58.461163417731512</v>
      </c>
      <c r="T248" s="17">
        <v>0.7</v>
      </c>
      <c r="U248" s="21">
        <f>T248*10^((S248-R248)/10)</f>
        <v>2.8132351302575358E-7</v>
      </c>
    </row>
    <row r="249" spans="1:21" x14ac:dyDescent="0.25">
      <c r="A249" s="24"/>
      <c r="B249" s="24"/>
      <c r="C249" s="17"/>
      <c r="D249" s="24"/>
      <c r="E249" s="24"/>
      <c r="F249" s="25"/>
      <c r="G249" s="1">
        <v>7025</v>
      </c>
      <c r="H249" s="2">
        <v>94.8</v>
      </c>
      <c r="I249" s="2">
        <v>-19.5</v>
      </c>
      <c r="J249" s="2">
        <v>-25.3</v>
      </c>
      <c r="K249" s="2">
        <f t="shared" si="28"/>
        <v>-19.5</v>
      </c>
      <c r="L249" s="8">
        <f t="shared" si="32"/>
        <v>3.7153522909717219E-12</v>
      </c>
      <c r="M249" s="26"/>
      <c r="N249" s="17"/>
      <c r="O249" s="9">
        <f t="shared" si="30"/>
        <v>-25.3</v>
      </c>
      <c r="P249" s="8">
        <f>D248/B248*10^(O249/10)</f>
        <v>0.92766343358213321</v>
      </c>
      <c r="Q249" s="26"/>
      <c r="R249" s="17"/>
      <c r="S249" s="19"/>
      <c r="T249" s="17"/>
      <c r="U249" s="22"/>
    </row>
    <row r="250" spans="1:21" x14ac:dyDescent="0.25">
      <c r="A250" s="24"/>
      <c r="B250" s="24"/>
      <c r="C250" s="17"/>
      <c r="D250" s="24"/>
      <c r="E250" s="24"/>
      <c r="F250" s="25"/>
      <c r="G250" s="1">
        <v>8025</v>
      </c>
      <c r="H250" s="2">
        <v>101.9</v>
      </c>
      <c r="I250" s="2">
        <v>-22.4</v>
      </c>
      <c r="J250" s="2">
        <v>-27</v>
      </c>
      <c r="K250" s="2">
        <f t="shared" si="28"/>
        <v>-22.4</v>
      </c>
      <c r="L250" s="8">
        <f t="shared" si="32"/>
        <v>3.7153522909717049E-13</v>
      </c>
      <c r="M250" s="26"/>
      <c r="N250" s="17"/>
      <c r="O250" s="9">
        <f t="shared" si="30"/>
        <v>-27</v>
      </c>
      <c r="P250" s="8">
        <f>D248/B248*10^(O250/10)</f>
        <v>0.62717745433855066</v>
      </c>
      <c r="Q250" s="26"/>
      <c r="R250" s="17"/>
      <c r="S250" s="19"/>
      <c r="T250" s="17"/>
      <c r="U250" s="22"/>
    </row>
    <row r="251" spans="1:21" x14ac:dyDescent="0.25">
      <c r="A251" s="24"/>
      <c r="B251" s="24"/>
      <c r="C251" s="17"/>
      <c r="D251" s="24"/>
      <c r="E251" s="24"/>
      <c r="F251" s="25"/>
      <c r="G251" s="1">
        <v>9025</v>
      </c>
      <c r="H251" s="2">
        <v>93.2</v>
      </c>
      <c r="I251" s="2">
        <v>-16.7</v>
      </c>
      <c r="J251" s="2">
        <v>-30.1</v>
      </c>
      <c r="K251" s="2">
        <f t="shared" si="28"/>
        <v>-16.7</v>
      </c>
      <c r="L251" s="8">
        <f t="shared" si="32"/>
        <v>1.0232929922807526E-11</v>
      </c>
      <c r="M251" s="26"/>
      <c r="N251" s="17"/>
      <c r="O251" s="9">
        <f t="shared" si="30"/>
        <v>-30.1</v>
      </c>
      <c r="P251" s="8">
        <f>D248/B248*10^(O251/10)</f>
        <v>0.30717823312044273</v>
      </c>
      <c r="Q251" s="26"/>
      <c r="R251" s="17"/>
      <c r="S251" s="19"/>
      <c r="T251" s="17"/>
      <c r="U251" s="22"/>
    </row>
    <row r="252" spans="1:21" x14ac:dyDescent="0.25">
      <c r="A252" s="24"/>
      <c r="B252" s="24"/>
      <c r="C252" s="17"/>
      <c r="D252" s="24"/>
      <c r="E252" s="24"/>
      <c r="F252" s="25"/>
      <c r="G252" s="1">
        <v>10025</v>
      </c>
      <c r="H252" s="2">
        <v>88.3</v>
      </c>
      <c r="I252" s="2">
        <v>-21.7</v>
      </c>
      <c r="J252" s="2">
        <v>-25.5</v>
      </c>
      <c r="K252" s="2">
        <f t="shared" si="28"/>
        <v>-21.7</v>
      </c>
      <c r="L252" s="8">
        <f t="shared" si="32"/>
        <v>9.9999999999999994E-12</v>
      </c>
      <c r="M252" s="26"/>
      <c r="N252" s="17"/>
      <c r="O252" s="9">
        <f t="shared" si="30"/>
        <v>-25.5</v>
      </c>
      <c r="P252" s="8">
        <f>D248/B248*10^(O252/10)</f>
        <v>0.88591170139412612</v>
      </c>
      <c r="Q252" s="26"/>
      <c r="R252" s="17"/>
      <c r="S252" s="19"/>
      <c r="T252" s="17"/>
      <c r="U252" s="22"/>
    </row>
    <row r="253" spans="1:21" x14ac:dyDescent="0.25">
      <c r="A253" s="24"/>
      <c r="B253" s="24"/>
      <c r="C253" s="17"/>
      <c r="D253" s="24"/>
      <c r="E253" s="24"/>
      <c r="F253" s="25"/>
      <c r="G253" s="1">
        <v>11025</v>
      </c>
      <c r="H253" s="2">
        <v>86</v>
      </c>
      <c r="I253" s="2">
        <v>-25.2</v>
      </c>
      <c r="J253" s="2">
        <v>-30.2</v>
      </c>
      <c r="K253" s="2">
        <f t="shared" si="28"/>
        <v>-25.2</v>
      </c>
      <c r="L253" s="8">
        <f t="shared" si="32"/>
        <v>7.5857757502918081E-12</v>
      </c>
      <c r="M253" s="26"/>
      <c r="N253" s="17"/>
      <c r="O253" s="9">
        <f t="shared" si="30"/>
        <v>-30.2</v>
      </c>
      <c r="P253" s="8">
        <f>D248/B248*10^(O253/10)</f>
        <v>0.30018600287273789</v>
      </c>
      <c r="Q253" s="26"/>
      <c r="R253" s="17"/>
      <c r="S253" s="20"/>
      <c r="T253" s="17"/>
      <c r="U253" s="23"/>
    </row>
    <row r="254" spans="1:21" x14ac:dyDescent="0.25">
      <c r="A254" s="24" t="s">
        <v>20</v>
      </c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12">
        <f>U254</f>
        <v>6.0535109173105034E-2</v>
      </c>
      <c r="T254" s="2"/>
      <c r="U254" s="8">
        <f>0.8*SQRT(SUM(U220:U253))</f>
        <v>6.0535109173105034E-2</v>
      </c>
    </row>
    <row r="255" spans="1:21" x14ac:dyDescent="0.25">
      <c r="A255" s="27" t="s">
        <v>39</v>
      </c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9"/>
    </row>
    <row r="256" spans="1:21" x14ac:dyDescent="0.25">
      <c r="A256" s="24">
        <v>250</v>
      </c>
      <c r="B256" s="24">
        <v>3</v>
      </c>
      <c r="C256" s="17">
        <v>0.5</v>
      </c>
      <c r="D256" s="24">
        <v>38</v>
      </c>
      <c r="E256" s="24">
        <v>4</v>
      </c>
      <c r="F256" s="25">
        <v>84</v>
      </c>
      <c r="G256" s="1">
        <v>175</v>
      </c>
      <c r="H256" s="2">
        <v>84.8</v>
      </c>
      <c r="I256" s="2">
        <v>-24.5</v>
      </c>
      <c r="J256" s="2">
        <v>-27.4</v>
      </c>
      <c r="K256" s="2">
        <f>I256</f>
        <v>-24.5</v>
      </c>
      <c r="L256" s="8">
        <f>10^((K256-H256)/10)</f>
        <v>1.1748975549395269E-11</v>
      </c>
      <c r="M256" s="26">
        <f>SUM(L256:L259)</f>
        <v>3.1349850612255002E-11</v>
      </c>
      <c r="N256" s="17">
        <f>10*LOG10(M256/E256)</f>
        <v>-111.05824515648561</v>
      </c>
      <c r="O256" s="9">
        <f>J256</f>
        <v>-27.4</v>
      </c>
      <c r="P256" s="8">
        <f>D256/B256*10^(O256/10)</f>
        <v>2.3049544209059778E-2</v>
      </c>
      <c r="Q256" s="26">
        <f>SUM(P256:P259)</f>
        <v>0.12790143204126231</v>
      </c>
      <c r="R256" s="17">
        <f>10*LOG10(Q256)</f>
        <v>-8.9312459294013902</v>
      </c>
      <c r="S256" s="18">
        <f>F256+N256-Kzt-H</f>
        <v>-27.058245156485611</v>
      </c>
      <c r="T256" s="17">
        <v>0.2</v>
      </c>
      <c r="U256" s="21">
        <f>T256*10^((S256-R256)/10)</f>
        <v>3.0784356017753895E-3</v>
      </c>
    </row>
    <row r="257" spans="1:21" x14ac:dyDescent="0.25">
      <c r="A257" s="24"/>
      <c r="B257" s="24"/>
      <c r="C257" s="17"/>
      <c r="D257" s="24"/>
      <c r="E257" s="24"/>
      <c r="F257" s="25"/>
      <c r="G257" s="1">
        <v>225</v>
      </c>
      <c r="H257" s="2">
        <v>90</v>
      </c>
      <c r="I257" s="2">
        <v>-19.100000000000001</v>
      </c>
      <c r="J257" s="2">
        <v>-22.7</v>
      </c>
      <c r="K257" s="2">
        <f t="shared" ref="K257:K289" si="33">I257</f>
        <v>-19.100000000000001</v>
      </c>
      <c r="L257" s="8">
        <f t="shared" ref="L257:L258" si="34">10^((K257-H257)/10)</f>
        <v>1.2302687708123787E-11</v>
      </c>
      <c r="M257" s="26"/>
      <c r="N257" s="17"/>
      <c r="O257" s="9">
        <f t="shared" ref="O257:O289" si="35">J257</f>
        <v>-22.7</v>
      </c>
      <c r="P257" s="8">
        <f>D256/B256*10^(O257/10)</f>
        <v>6.8024027540231971E-2</v>
      </c>
      <c r="Q257" s="26"/>
      <c r="R257" s="17"/>
      <c r="S257" s="19"/>
      <c r="T257" s="17"/>
      <c r="U257" s="22"/>
    </row>
    <row r="258" spans="1:21" x14ac:dyDescent="0.25">
      <c r="A258" s="24"/>
      <c r="B258" s="24"/>
      <c r="C258" s="17"/>
      <c r="D258" s="24"/>
      <c r="E258" s="24"/>
      <c r="F258" s="25"/>
      <c r="G258" s="1">
        <v>275</v>
      </c>
      <c r="H258" s="2">
        <v>92.2</v>
      </c>
      <c r="I258" s="2">
        <v>-21</v>
      </c>
      <c r="J258" s="2">
        <v>-26.4</v>
      </c>
      <c r="K258" s="2">
        <f t="shared" si="33"/>
        <v>-21</v>
      </c>
      <c r="L258" s="8">
        <f t="shared" si="34"/>
        <v>4.7863009232263738E-12</v>
      </c>
      <c r="M258" s="26"/>
      <c r="N258" s="17"/>
      <c r="O258" s="9">
        <f t="shared" si="35"/>
        <v>-26.4</v>
      </c>
      <c r="P258" s="8">
        <f>D256/B256*10^(O258/10)</f>
        <v>2.9017656935058464E-2</v>
      </c>
      <c r="Q258" s="26"/>
      <c r="R258" s="17"/>
      <c r="S258" s="19"/>
      <c r="T258" s="17"/>
      <c r="U258" s="22"/>
    </row>
    <row r="259" spans="1:21" x14ac:dyDescent="0.25">
      <c r="A259" s="24"/>
      <c r="B259" s="24"/>
      <c r="C259" s="17"/>
      <c r="D259" s="24"/>
      <c r="E259" s="24"/>
      <c r="F259" s="25"/>
      <c r="G259" s="1">
        <v>325</v>
      </c>
      <c r="H259" s="2">
        <v>93.3</v>
      </c>
      <c r="I259" s="2">
        <v>-22.7</v>
      </c>
      <c r="J259" s="2">
        <v>-32.1</v>
      </c>
      <c r="K259" s="2">
        <f t="shared" si="33"/>
        <v>-22.7</v>
      </c>
      <c r="L259" s="8">
        <f>10^((K259-H259)/10)</f>
        <v>2.5118864315095726E-12</v>
      </c>
      <c r="M259" s="26"/>
      <c r="N259" s="17"/>
      <c r="O259" s="9">
        <f t="shared" si="35"/>
        <v>-32.1</v>
      </c>
      <c r="P259" s="8">
        <f>D256/B256*10^(O259/10)</f>
        <v>7.8102033569121031E-3</v>
      </c>
      <c r="Q259" s="26"/>
      <c r="R259" s="17"/>
      <c r="S259" s="20"/>
      <c r="T259" s="17"/>
      <c r="U259" s="23"/>
    </row>
    <row r="260" spans="1:21" x14ac:dyDescent="0.25">
      <c r="A260" s="24">
        <v>500</v>
      </c>
      <c r="B260" s="24">
        <v>3</v>
      </c>
      <c r="C260" s="17">
        <v>0.5</v>
      </c>
      <c r="D260" s="24">
        <v>59</v>
      </c>
      <c r="E260" s="24">
        <v>6</v>
      </c>
      <c r="F260" s="25">
        <v>84</v>
      </c>
      <c r="G260" s="1">
        <v>375</v>
      </c>
      <c r="H260" s="2">
        <v>91.9</v>
      </c>
      <c r="I260" s="2">
        <v>-19.8</v>
      </c>
      <c r="J260" s="2">
        <v>-27.2</v>
      </c>
      <c r="K260" s="2">
        <f t="shared" si="33"/>
        <v>-19.8</v>
      </c>
      <c r="L260" s="8">
        <f t="shared" ref="L260:L261" si="36">10^((K260-H260)/10)</f>
        <v>6.7608297539197943E-12</v>
      </c>
      <c r="M260" s="26">
        <f>SUM(L260:L265)</f>
        <v>3.5233136092515827E-11</v>
      </c>
      <c r="N260" s="17">
        <f>10*LOG10(M260/E260)</f>
        <v>-112.31199949040111</v>
      </c>
      <c r="O260" s="9">
        <f t="shared" si="35"/>
        <v>-27.2</v>
      </c>
      <c r="P260" s="8">
        <f>D260/B260*10^(O260/10)</f>
        <v>3.7474060786610537E-2</v>
      </c>
      <c r="Q260" s="26">
        <f>SUM(P260:P265)</f>
        <v>0.23342136929796739</v>
      </c>
      <c r="R260" s="17">
        <f>10*LOG10(Q260)</f>
        <v>-6.3185938760784257</v>
      </c>
      <c r="S260" s="18">
        <f>F260+N260-Kzt-H</f>
        <v>-28.311999490401107</v>
      </c>
      <c r="T260" s="17">
        <v>0.5</v>
      </c>
      <c r="U260" s="21">
        <f>T260*10^((S260-R260)/10)</f>
        <v>3.1595806315311684E-3</v>
      </c>
    </row>
    <row r="261" spans="1:21" x14ac:dyDescent="0.25">
      <c r="A261" s="24"/>
      <c r="B261" s="24"/>
      <c r="C261" s="17"/>
      <c r="D261" s="24"/>
      <c r="E261" s="24"/>
      <c r="F261" s="25"/>
      <c r="G261" s="1">
        <v>425</v>
      </c>
      <c r="H261" s="2">
        <v>88.1</v>
      </c>
      <c r="I261" s="2">
        <v>-20.3</v>
      </c>
      <c r="J261" s="2">
        <v>-28.4</v>
      </c>
      <c r="K261" s="2">
        <f t="shared" si="33"/>
        <v>-20.3</v>
      </c>
      <c r="L261" s="8">
        <f t="shared" si="36"/>
        <v>1.4454397707459232E-11</v>
      </c>
      <c r="M261" s="26"/>
      <c r="N261" s="17"/>
      <c r="O261" s="9">
        <f t="shared" si="35"/>
        <v>-28.4</v>
      </c>
      <c r="P261" s="8">
        <f>D260/B260*10^(O261/10)</f>
        <v>2.8426982158003235E-2</v>
      </c>
      <c r="Q261" s="26"/>
      <c r="R261" s="17"/>
      <c r="S261" s="19"/>
      <c r="T261" s="17"/>
      <c r="U261" s="22"/>
    </row>
    <row r="262" spans="1:21" x14ac:dyDescent="0.25">
      <c r="A262" s="24"/>
      <c r="B262" s="24"/>
      <c r="C262" s="17"/>
      <c r="D262" s="24"/>
      <c r="E262" s="24"/>
      <c r="F262" s="25"/>
      <c r="G262" s="1">
        <v>475</v>
      </c>
      <c r="H262" s="2">
        <v>90</v>
      </c>
      <c r="I262" s="2">
        <v>-22.6</v>
      </c>
      <c r="J262" s="2">
        <v>-29</v>
      </c>
      <c r="K262" s="2">
        <f t="shared" si="33"/>
        <v>-22.6</v>
      </c>
      <c r="L262" s="8">
        <f>10^((K262-H262)/10)</f>
        <v>5.4954087385762314E-12</v>
      </c>
      <c r="M262" s="26"/>
      <c r="N262" s="17"/>
      <c r="O262" s="9">
        <f t="shared" si="35"/>
        <v>-29</v>
      </c>
      <c r="P262" s="8">
        <f>D260/B260*10^(O262/10)</f>
        <v>2.4758866431951937E-2</v>
      </c>
      <c r="Q262" s="26"/>
      <c r="R262" s="17"/>
      <c r="S262" s="19"/>
      <c r="T262" s="17"/>
      <c r="U262" s="22"/>
    </row>
    <row r="263" spans="1:21" x14ac:dyDescent="0.25">
      <c r="A263" s="24"/>
      <c r="B263" s="24"/>
      <c r="C263" s="17"/>
      <c r="D263" s="24"/>
      <c r="E263" s="24"/>
      <c r="F263" s="25"/>
      <c r="G263" s="1">
        <v>575</v>
      </c>
      <c r="H263" s="2">
        <v>97</v>
      </c>
      <c r="I263" s="2">
        <v>-23.4</v>
      </c>
      <c r="J263" s="2">
        <v>-25</v>
      </c>
      <c r="K263" s="2">
        <f t="shared" si="33"/>
        <v>-23.4</v>
      </c>
      <c r="L263" s="8">
        <f t="shared" ref="L263:L289" si="37">10^((K263-H263)/10)</f>
        <v>9.1201083935590446E-13</v>
      </c>
      <c r="M263" s="26"/>
      <c r="N263" s="17"/>
      <c r="O263" s="9">
        <f t="shared" si="35"/>
        <v>-25</v>
      </c>
      <c r="P263" s="8">
        <f>D260/B260*10^(O263/10)</f>
        <v>6.2191460649978075E-2</v>
      </c>
      <c r="Q263" s="26"/>
      <c r="R263" s="17"/>
      <c r="S263" s="19"/>
      <c r="T263" s="17"/>
      <c r="U263" s="22"/>
    </row>
    <row r="264" spans="1:21" x14ac:dyDescent="0.25">
      <c r="A264" s="24"/>
      <c r="B264" s="24"/>
      <c r="C264" s="17"/>
      <c r="D264" s="24"/>
      <c r="E264" s="24"/>
      <c r="F264" s="25"/>
      <c r="G264" s="1">
        <v>625</v>
      </c>
      <c r="H264" s="2">
        <v>92</v>
      </c>
      <c r="I264" s="2">
        <v>-20.2</v>
      </c>
      <c r="J264" s="2">
        <v>-28</v>
      </c>
      <c r="K264" s="2">
        <f t="shared" si="33"/>
        <v>-20.2</v>
      </c>
      <c r="L264" s="8">
        <f t="shared" si="37"/>
        <v>6.0255958607435596E-12</v>
      </c>
      <c r="M264" s="26"/>
      <c r="N264" s="17"/>
      <c r="O264" s="9">
        <f t="shared" si="35"/>
        <v>-28</v>
      </c>
      <c r="P264" s="8">
        <f>D260/B260*10^(O264/10)</f>
        <v>3.1169566118401899E-2</v>
      </c>
      <c r="Q264" s="26"/>
      <c r="R264" s="17"/>
      <c r="S264" s="19"/>
      <c r="T264" s="17"/>
      <c r="U264" s="22"/>
    </row>
    <row r="265" spans="1:21" x14ac:dyDescent="0.25">
      <c r="A265" s="24"/>
      <c r="B265" s="24"/>
      <c r="C265" s="17"/>
      <c r="D265" s="24"/>
      <c r="E265" s="24"/>
      <c r="F265" s="25"/>
      <c r="G265" s="1">
        <v>675</v>
      </c>
      <c r="H265" s="2">
        <v>94.5</v>
      </c>
      <c r="I265" s="2">
        <v>-23.5</v>
      </c>
      <c r="J265" s="2">
        <v>-26</v>
      </c>
      <c r="K265" s="2">
        <f t="shared" si="33"/>
        <v>-23.5</v>
      </c>
      <c r="L265" s="8">
        <f t="shared" si="37"/>
        <v>1.5848931924611065E-12</v>
      </c>
      <c r="M265" s="26"/>
      <c r="N265" s="17"/>
      <c r="O265" s="9">
        <f t="shared" si="35"/>
        <v>-26</v>
      </c>
      <c r="P265" s="8">
        <f>D260/B260*10^(O265/10)</f>
        <v>4.94004331530217E-2</v>
      </c>
      <c r="Q265" s="26"/>
      <c r="R265" s="17"/>
      <c r="S265" s="20"/>
      <c r="T265" s="17"/>
      <c r="U265" s="23"/>
    </row>
    <row r="266" spans="1:21" x14ac:dyDescent="0.25">
      <c r="A266" s="24">
        <v>1000</v>
      </c>
      <c r="B266" s="24">
        <v>3</v>
      </c>
      <c r="C266" s="17">
        <v>0.5</v>
      </c>
      <c r="D266" s="24">
        <v>117</v>
      </c>
      <c r="E266" s="24">
        <v>6</v>
      </c>
      <c r="F266" s="25">
        <v>76</v>
      </c>
      <c r="G266" s="1">
        <v>875</v>
      </c>
      <c r="H266" s="2">
        <v>91.1</v>
      </c>
      <c r="I266" s="2">
        <v>-20.6</v>
      </c>
      <c r="J266" s="2">
        <v>-26.7</v>
      </c>
      <c r="K266" s="2">
        <f t="shared" si="33"/>
        <v>-20.6</v>
      </c>
      <c r="L266" s="8">
        <f t="shared" si="37"/>
        <v>6.7608297539198193E-12</v>
      </c>
      <c r="M266" s="26">
        <f>SUM(L266:L271)</f>
        <v>1.2067345737570863E-11</v>
      </c>
      <c r="N266" s="17">
        <f>10*LOG10(M266/E266)</f>
        <v>-116.9653949464348</v>
      </c>
      <c r="O266" s="9">
        <f t="shared" si="35"/>
        <v>-26.7</v>
      </c>
      <c r="P266" s="8">
        <f>D266/B266*10^(O266/10)</f>
        <v>8.3380521490587042E-2</v>
      </c>
      <c r="Q266" s="26">
        <f>SUM(P266:P271)</f>
        <v>0.36973825559220019</v>
      </c>
      <c r="R266" s="17">
        <f>10*LOG10(Q266)</f>
        <v>-4.3210561209106118</v>
      </c>
      <c r="S266" s="18">
        <f>F266+N266-Kzt-H</f>
        <v>-40.965394946434799</v>
      </c>
      <c r="T266" s="17">
        <v>0.8</v>
      </c>
      <c r="U266" s="21">
        <f>T266*10^((S266-R266)/10)</f>
        <v>1.7324316305798704E-4</v>
      </c>
    </row>
    <row r="267" spans="1:21" x14ac:dyDescent="0.25">
      <c r="A267" s="24"/>
      <c r="B267" s="24"/>
      <c r="C267" s="17"/>
      <c r="D267" s="24"/>
      <c r="E267" s="24"/>
      <c r="F267" s="25"/>
      <c r="G267" s="1">
        <v>975</v>
      </c>
      <c r="H267" s="2">
        <v>96.5</v>
      </c>
      <c r="I267" s="2">
        <v>-25.9</v>
      </c>
      <c r="J267" s="2">
        <v>-27</v>
      </c>
      <c r="K267" s="2">
        <f t="shared" si="33"/>
        <v>-25.9</v>
      </c>
      <c r="L267" s="8">
        <f t="shared" si="37"/>
        <v>5.7543993733715476E-13</v>
      </c>
      <c r="M267" s="26"/>
      <c r="N267" s="17"/>
      <c r="O267" s="9">
        <f t="shared" si="35"/>
        <v>-27</v>
      </c>
      <c r="P267" s="8">
        <f>D266/B266*10^(O267/10)</f>
        <v>7.7815230283786244E-2</v>
      </c>
      <c r="Q267" s="26"/>
      <c r="R267" s="17"/>
      <c r="S267" s="19"/>
      <c r="T267" s="17"/>
      <c r="U267" s="22"/>
    </row>
    <row r="268" spans="1:21" x14ac:dyDescent="0.25">
      <c r="A268" s="24"/>
      <c r="B268" s="24"/>
      <c r="C268" s="17"/>
      <c r="D268" s="24"/>
      <c r="E268" s="24"/>
      <c r="F268" s="25"/>
      <c r="G268" s="1">
        <v>1075</v>
      </c>
      <c r="H268" s="2">
        <v>94.6</v>
      </c>
      <c r="I268" s="2">
        <v>-21.4</v>
      </c>
      <c r="J268" s="2">
        <v>-27.7</v>
      </c>
      <c r="K268" s="2">
        <f t="shared" si="33"/>
        <v>-21.4</v>
      </c>
      <c r="L268" s="8">
        <f t="shared" si="37"/>
        <v>2.5118864315095726E-12</v>
      </c>
      <c r="M268" s="26"/>
      <c r="N268" s="17"/>
      <c r="O268" s="9">
        <f t="shared" si="35"/>
        <v>-27.7</v>
      </c>
      <c r="P268" s="8">
        <f>D266/B266*10^(O268/10)</f>
        <v>6.6231502446007964E-2</v>
      </c>
      <c r="Q268" s="26"/>
      <c r="R268" s="17"/>
      <c r="S268" s="19"/>
      <c r="T268" s="17"/>
      <c r="U268" s="22"/>
    </row>
    <row r="269" spans="1:21" x14ac:dyDescent="0.25">
      <c r="A269" s="24"/>
      <c r="B269" s="24"/>
      <c r="C269" s="17"/>
      <c r="D269" s="24"/>
      <c r="E269" s="24"/>
      <c r="F269" s="25"/>
      <c r="G269" s="1">
        <v>1175</v>
      </c>
      <c r="H269" s="2">
        <v>97.8</v>
      </c>
      <c r="I269" s="2">
        <v>-21.3</v>
      </c>
      <c r="J269" s="2">
        <v>-27.7</v>
      </c>
      <c r="K269" s="2">
        <f t="shared" si="33"/>
        <v>-21.3</v>
      </c>
      <c r="L269" s="8">
        <f t="shared" si="37"/>
        <v>1.2302687708123772E-12</v>
      </c>
      <c r="M269" s="26"/>
      <c r="N269" s="17"/>
      <c r="O269" s="9">
        <f t="shared" si="35"/>
        <v>-27.7</v>
      </c>
      <c r="P269" s="8">
        <f>D266/B266*10^(O269/10)</f>
        <v>6.6231502446007964E-2</v>
      </c>
      <c r="Q269" s="26"/>
      <c r="R269" s="17"/>
      <c r="S269" s="19"/>
      <c r="T269" s="17"/>
      <c r="U269" s="22"/>
    </row>
    <row r="270" spans="1:21" x14ac:dyDescent="0.25">
      <c r="A270" s="24"/>
      <c r="B270" s="24"/>
      <c r="C270" s="17"/>
      <c r="D270" s="24"/>
      <c r="E270" s="24"/>
      <c r="F270" s="25"/>
      <c r="G270" s="1">
        <v>1275</v>
      </c>
      <c r="H270" s="2">
        <v>100.1</v>
      </c>
      <c r="I270" s="2">
        <v>-22.4</v>
      </c>
      <c r="J270" s="2">
        <v>-29</v>
      </c>
      <c r="K270" s="2">
        <f t="shared" si="33"/>
        <v>-22.4</v>
      </c>
      <c r="L270" s="8">
        <f t="shared" si="37"/>
        <v>5.6234132519034702E-13</v>
      </c>
      <c r="M270" s="26"/>
      <c r="N270" s="17"/>
      <c r="O270" s="9">
        <f t="shared" si="35"/>
        <v>-29</v>
      </c>
      <c r="P270" s="8">
        <f>D266/B266*10^(O270/10)</f>
        <v>4.9098091059972482E-2</v>
      </c>
      <c r="Q270" s="26"/>
      <c r="R270" s="17"/>
      <c r="S270" s="19"/>
      <c r="T270" s="17"/>
      <c r="U270" s="22"/>
    </row>
    <row r="271" spans="1:21" x14ac:dyDescent="0.25">
      <c r="A271" s="24"/>
      <c r="B271" s="24"/>
      <c r="C271" s="17"/>
      <c r="D271" s="24"/>
      <c r="E271" s="24"/>
      <c r="F271" s="25"/>
      <c r="G271" s="1">
        <v>1375</v>
      </c>
      <c r="H271" s="2">
        <v>103</v>
      </c>
      <c r="I271" s="2">
        <v>-20.7</v>
      </c>
      <c r="J271" s="2">
        <v>-31.6</v>
      </c>
      <c r="K271" s="2">
        <f t="shared" si="33"/>
        <v>-20.7</v>
      </c>
      <c r="L271" s="8">
        <f t="shared" si="37"/>
        <v>4.2657951880159005E-13</v>
      </c>
      <c r="M271" s="26"/>
      <c r="N271" s="17"/>
      <c r="O271" s="9">
        <f t="shared" si="35"/>
        <v>-31.6</v>
      </c>
      <c r="P271" s="8">
        <f>D266/B266*10^(O271/10)</f>
        <v>2.6981407865838497E-2</v>
      </c>
      <c r="Q271" s="26"/>
      <c r="R271" s="17"/>
      <c r="S271" s="20"/>
      <c r="T271" s="17"/>
      <c r="U271" s="23"/>
    </row>
    <row r="272" spans="1:21" x14ac:dyDescent="0.25">
      <c r="A272" s="24">
        <v>2000</v>
      </c>
      <c r="B272" s="24">
        <v>3</v>
      </c>
      <c r="C272" s="17">
        <v>0.5</v>
      </c>
      <c r="D272" s="24">
        <v>234</v>
      </c>
      <c r="E272" s="24">
        <v>6</v>
      </c>
      <c r="F272" s="25">
        <v>68</v>
      </c>
      <c r="G272" s="1">
        <v>1425</v>
      </c>
      <c r="H272" s="2">
        <v>102.8</v>
      </c>
      <c r="I272" s="2">
        <v>-23.6</v>
      </c>
      <c r="J272" s="2">
        <v>-28.4</v>
      </c>
      <c r="K272" s="2">
        <f t="shared" si="33"/>
        <v>-23.6</v>
      </c>
      <c r="L272" s="8">
        <f t="shared" si="37"/>
        <v>2.2908676527677649E-13</v>
      </c>
      <c r="M272" s="26">
        <f>SUM(L272:L277)</f>
        <v>2.7039099413412203E-12</v>
      </c>
      <c r="N272" s="17">
        <f>10*LOG10(M272/E272)</f>
        <v>-123.46159027844037</v>
      </c>
      <c r="O272" s="9">
        <f t="shared" si="35"/>
        <v>-28.4</v>
      </c>
      <c r="P272" s="8">
        <f>D272/B272*10^(O272/10)</f>
        <v>0.11274430211818232</v>
      </c>
      <c r="Q272" s="26">
        <f>SUM(P272:P277)</f>
        <v>1.0501216935509003</v>
      </c>
      <c r="R272" s="17">
        <f>10*LOG10(Q272)</f>
        <v>0.21239630284420247</v>
      </c>
      <c r="S272" s="18">
        <f>F272+N272-Kzt-H</f>
        <v>-55.461590278440369</v>
      </c>
      <c r="T272" s="17">
        <v>1</v>
      </c>
      <c r="U272" s="21">
        <f>T272*10^((S272-R272)/10)</f>
        <v>2.7077049685123839E-6</v>
      </c>
    </row>
    <row r="273" spans="1:21" x14ac:dyDescent="0.25">
      <c r="A273" s="24"/>
      <c r="B273" s="24"/>
      <c r="C273" s="17"/>
      <c r="D273" s="24"/>
      <c r="E273" s="24"/>
      <c r="F273" s="25"/>
      <c r="G273" s="1">
        <v>1625</v>
      </c>
      <c r="H273" s="2">
        <v>104.1</v>
      </c>
      <c r="I273" s="2">
        <v>-20.8</v>
      </c>
      <c r="J273" s="2">
        <v>-25.9</v>
      </c>
      <c r="K273" s="2">
        <f t="shared" si="33"/>
        <v>-20.8</v>
      </c>
      <c r="L273" s="8">
        <f t="shared" si="37"/>
        <v>3.2359365692962897E-13</v>
      </c>
      <c r="M273" s="26"/>
      <c r="N273" s="17"/>
      <c r="O273" s="9">
        <f t="shared" si="35"/>
        <v>-25.9</v>
      </c>
      <c r="P273" s="8">
        <f>D272/B272*10^(O273/10)</f>
        <v>0.20049087105597135</v>
      </c>
      <c r="Q273" s="26"/>
      <c r="R273" s="17"/>
      <c r="S273" s="19"/>
      <c r="T273" s="17"/>
      <c r="U273" s="22"/>
    </row>
    <row r="274" spans="1:21" x14ac:dyDescent="0.25">
      <c r="A274" s="24"/>
      <c r="B274" s="24"/>
      <c r="C274" s="17"/>
      <c r="D274" s="24"/>
      <c r="E274" s="24"/>
      <c r="F274" s="25"/>
      <c r="G274" s="1">
        <v>1825</v>
      </c>
      <c r="H274" s="2">
        <v>107.6</v>
      </c>
      <c r="I274" s="2">
        <v>-20.2</v>
      </c>
      <c r="J274" s="2">
        <v>-23.1</v>
      </c>
      <c r="K274" s="2">
        <f t="shared" si="33"/>
        <v>-20.2</v>
      </c>
      <c r="L274" s="8">
        <f t="shared" si="37"/>
        <v>1.6595869074375568E-13</v>
      </c>
      <c r="M274" s="26"/>
      <c r="N274" s="17"/>
      <c r="O274" s="9">
        <f t="shared" si="35"/>
        <v>-23.1</v>
      </c>
      <c r="P274" s="8">
        <f>D272/B272*10^(O274/10)</f>
        <v>0.3820274791073876</v>
      </c>
      <c r="Q274" s="26"/>
      <c r="R274" s="17"/>
      <c r="S274" s="19"/>
      <c r="T274" s="17"/>
      <c r="U274" s="22"/>
    </row>
    <row r="275" spans="1:21" x14ac:dyDescent="0.25">
      <c r="A275" s="24"/>
      <c r="B275" s="24"/>
      <c r="C275" s="17"/>
      <c r="D275" s="24"/>
      <c r="E275" s="24"/>
      <c r="F275" s="25"/>
      <c r="G275" s="1">
        <v>2125</v>
      </c>
      <c r="H275" s="2">
        <v>104.2</v>
      </c>
      <c r="I275" s="2">
        <v>-25</v>
      </c>
      <c r="J275" s="2">
        <v>-28.9</v>
      </c>
      <c r="K275" s="2">
        <f t="shared" si="33"/>
        <v>-25</v>
      </c>
      <c r="L275" s="8">
        <f t="shared" si="37"/>
        <v>1.2022644346174159E-13</v>
      </c>
      <c r="M275" s="26"/>
      <c r="N275" s="17"/>
      <c r="O275" s="9">
        <f t="shared" si="35"/>
        <v>-28.9</v>
      </c>
      <c r="P275" s="8">
        <f>D272/B272*10^(O275/10)</f>
        <v>0.10048346503206446</v>
      </c>
      <c r="Q275" s="26"/>
      <c r="R275" s="17"/>
      <c r="S275" s="19"/>
      <c r="T275" s="17"/>
      <c r="U275" s="22"/>
    </row>
    <row r="276" spans="1:21" x14ac:dyDescent="0.25">
      <c r="A276" s="24"/>
      <c r="B276" s="24"/>
      <c r="C276" s="17"/>
      <c r="D276" s="24"/>
      <c r="E276" s="24"/>
      <c r="F276" s="25"/>
      <c r="G276" s="1">
        <v>2425</v>
      </c>
      <c r="H276" s="2">
        <v>93.7</v>
      </c>
      <c r="I276" s="2">
        <v>-24.4</v>
      </c>
      <c r="J276" s="2">
        <v>-25.8</v>
      </c>
      <c r="K276" s="2">
        <f t="shared" si="33"/>
        <v>-24.4</v>
      </c>
      <c r="L276" s="8">
        <f t="shared" si="37"/>
        <v>1.5488166189124799E-12</v>
      </c>
      <c r="M276" s="26"/>
      <c r="N276" s="17"/>
      <c r="O276" s="9">
        <f t="shared" si="35"/>
        <v>-25.8</v>
      </c>
      <c r="P276" s="8">
        <f>D272/B272*10^(O276/10)</f>
        <v>0.20516090336783957</v>
      </c>
      <c r="Q276" s="26"/>
      <c r="R276" s="17"/>
      <c r="S276" s="19"/>
      <c r="T276" s="17"/>
      <c r="U276" s="22"/>
    </row>
    <row r="277" spans="1:21" x14ac:dyDescent="0.25">
      <c r="A277" s="24"/>
      <c r="B277" s="24"/>
      <c r="C277" s="17"/>
      <c r="D277" s="24"/>
      <c r="E277" s="24"/>
      <c r="F277" s="25"/>
      <c r="G277" s="1">
        <v>2775</v>
      </c>
      <c r="H277" s="2">
        <v>100.2</v>
      </c>
      <c r="I277" s="2">
        <v>-24.8</v>
      </c>
      <c r="J277" s="2">
        <v>-32</v>
      </c>
      <c r="K277" s="2">
        <f t="shared" si="33"/>
        <v>-24.8</v>
      </c>
      <c r="L277" s="8">
        <f t="shared" si="37"/>
        <v>3.1622776601683746E-13</v>
      </c>
      <c r="M277" s="26"/>
      <c r="N277" s="17"/>
      <c r="O277" s="9">
        <f t="shared" si="35"/>
        <v>-32</v>
      </c>
      <c r="P277" s="8">
        <f>D272/B272*10^(O277/10)</f>
        <v>4.9214672869455009E-2</v>
      </c>
      <c r="Q277" s="26"/>
      <c r="R277" s="17"/>
      <c r="S277" s="20"/>
      <c r="T277" s="17"/>
      <c r="U277" s="23"/>
    </row>
    <row r="278" spans="1:21" x14ac:dyDescent="0.25">
      <c r="A278" s="24">
        <v>4000</v>
      </c>
      <c r="B278" s="24">
        <v>3</v>
      </c>
      <c r="C278" s="17">
        <v>0.5</v>
      </c>
      <c r="D278" s="24">
        <v>470</v>
      </c>
      <c r="E278" s="24">
        <v>6</v>
      </c>
      <c r="F278" s="25">
        <v>62</v>
      </c>
      <c r="G278" s="1">
        <v>2825</v>
      </c>
      <c r="H278" s="2">
        <v>99.4</v>
      </c>
      <c r="I278" s="2">
        <v>-22.2</v>
      </c>
      <c r="J278" s="2">
        <v>-24</v>
      </c>
      <c r="K278" s="2">
        <f t="shared" si="33"/>
        <v>-22.2</v>
      </c>
      <c r="L278" s="8">
        <f t="shared" si="37"/>
        <v>6.9183097091893335E-13</v>
      </c>
      <c r="M278" s="26">
        <f>SUM(L278:L283)</f>
        <v>2.8255327836123811E-12</v>
      </c>
      <c r="N278" s="17">
        <f>10*LOG10(M278/E278)</f>
        <v>-123.27050899762165</v>
      </c>
      <c r="O278" s="9">
        <f t="shared" si="35"/>
        <v>-24</v>
      </c>
      <c r="P278" s="8">
        <f>D278/B278*10^(O278/10)</f>
        <v>0.62370123386714549</v>
      </c>
      <c r="Q278" s="26">
        <f>SUM(P278:P283)</f>
        <v>2.4420225026333302</v>
      </c>
      <c r="R278" s="17">
        <f>10*LOG10(Q278)</f>
        <v>3.8774966154353057</v>
      </c>
      <c r="S278" s="18">
        <f>F278+N278-Kzt-H</f>
        <v>-61.270508997621647</v>
      </c>
      <c r="T278" s="17">
        <v>0.9</v>
      </c>
      <c r="U278" s="21">
        <f>T278*10^((S278-R278)/10)</f>
        <v>2.7506918971839772E-7</v>
      </c>
    </row>
    <row r="279" spans="1:21" x14ac:dyDescent="0.25">
      <c r="A279" s="24"/>
      <c r="B279" s="24"/>
      <c r="C279" s="17"/>
      <c r="D279" s="24"/>
      <c r="E279" s="24"/>
      <c r="F279" s="25"/>
      <c r="G279" s="1">
        <v>3425</v>
      </c>
      <c r="H279" s="2">
        <v>103.5</v>
      </c>
      <c r="I279" s="2">
        <v>-25.4</v>
      </c>
      <c r="J279" s="2">
        <v>-25.6</v>
      </c>
      <c r="K279" s="2">
        <f t="shared" si="33"/>
        <v>-25.4</v>
      </c>
      <c r="L279" s="8">
        <f t="shared" si="37"/>
        <v>1.288249551693128E-13</v>
      </c>
      <c r="M279" s="26"/>
      <c r="N279" s="17"/>
      <c r="O279" s="9">
        <f t="shared" si="35"/>
        <v>-25.6</v>
      </c>
      <c r="P279" s="8">
        <f>D278/B278*10^(O279/10)</f>
        <v>0.43149583018964582</v>
      </c>
      <c r="Q279" s="26"/>
      <c r="R279" s="17"/>
      <c r="S279" s="19"/>
      <c r="T279" s="17"/>
      <c r="U279" s="22"/>
    </row>
    <row r="280" spans="1:21" x14ac:dyDescent="0.25">
      <c r="A280" s="24"/>
      <c r="B280" s="24"/>
      <c r="C280" s="17"/>
      <c r="D280" s="24"/>
      <c r="E280" s="24"/>
      <c r="F280" s="25"/>
      <c r="G280" s="1">
        <v>4025</v>
      </c>
      <c r="H280" s="2">
        <v>103.6</v>
      </c>
      <c r="I280" s="2">
        <v>-18.899999999999999</v>
      </c>
      <c r="J280" s="2">
        <v>-27.8</v>
      </c>
      <c r="K280" s="2">
        <f t="shared" si="33"/>
        <v>-18.899999999999999</v>
      </c>
      <c r="L280" s="8">
        <f t="shared" si="37"/>
        <v>5.6234132519034702E-13</v>
      </c>
      <c r="M280" s="26"/>
      <c r="N280" s="17"/>
      <c r="O280" s="9">
        <f t="shared" si="35"/>
        <v>-27.8</v>
      </c>
      <c r="P280" s="8">
        <f>D278/B278*10^(O280/10)</f>
        <v>0.26000194883188427</v>
      </c>
      <c r="Q280" s="26"/>
      <c r="R280" s="17"/>
      <c r="S280" s="19"/>
      <c r="T280" s="17"/>
      <c r="U280" s="22"/>
    </row>
    <row r="281" spans="1:21" x14ac:dyDescent="0.25">
      <c r="A281" s="24"/>
      <c r="B281" s="24"/>
      <c r="C281" s="17"/>
      <c r="D281" s="24"/>
      <c r="E281" s="24"/>
      <c r="F281" s="25"/>
      <c r="G281" s="1">
        <v>4625</v>
      </c>
      <c r="H281" s="2">
        <v>105.6</v>
      </c>
      <c r="I281" s="2">
        <v>-22.5</v>
      </c>
      <c r="J281" s="2">
        <v>-27.7</v>
      </c>
      <c r="K281" s="2">
        <f t="shared" si="33"/>
        <v>-22.5</v>
      </c>
      <c r="L281" s="8">
        <f t="shared" si="37"/>
        <v>1.5488166189124838E-13</v>
      </c>
      <c r="M281" s="26"/>
      <c r="N281" s="17"/>
      <c r="O281" s="9">
        <f t="shared" si="35"/>
        <v>-27.7</v>
      </c>
      <c r="P281" s="8">
        <f>D278/B278*10^(O281/10)</f>
        <v>0.26605817221900629</v>
      </c>
      <c r="Q281" s="26"/>
      <c r="R281" s="17"/>
      <c r="S281" s="19"/>
      <c r="T281" s="17"/>
      <c r="U281" s="22"/>
    </row>
    <row r="282" spans="1:21" x14ac:dyDescent="0.25">
      <c r="A282" s="24"/>
      <c r="B282" s="24"/>
      <c r="C282" s="17"/>
      <c r="D282" s="24"/>
      <c r="E282" s="24"/>
      <c r="F282" s="25"/>
      <c r="G282" s="1">
        <v>5225</v>
      </c>
      <c r="H282" s="2">
        <v>103.5</v>
      </c>
      <c r="I282" s="2">
        <v>-20.100000000000001</v>
      </c>
      <c r="J282" s="2">
        <v>-31.5</v>
      </c>
      <c r="K282" s="2">
        <f t="shared" si="33"/>
        <v>-20.100000000000001</v>
      </c>
      <c r="L282" s="8">
        <f t="shared" si="37"/>
        <v>4.3651583224016479E-13</v>
      </c>
      <c r="M282" s="26"/>
      <c r="N282" s="17"/>
      <c r="O282" s="9">
        <f t="shared" si="35"/>
        <v>-31.5</v>
      </c>
      <c r="P282" s="8">
        <f>D278/B278*10^(O282/10)</f>
        <v>0.11091150622018159</v>
      </c>
      <c r="Q282" s="26"/>
      <c r="R282" s="17"/>
      <c r="S282" s="19"/>
      <c r="T282" s="17"/>
      <c r="U282" s="22"/>
    </row>
    <row r="283" spans="1:21" x14ac:dyDescent="0.25">
      <c r="A283" s="24"/>
      <c r="B283" s="24"/>
      <c r="C283" s="17"/>
      <c r="D283" s="24"/>
      <c r="E283" s="24"/>
      <c r="F283" s="25"/>
      <c r="G283" s="1">
        <v>5625</v>
      </c>
      <c r="H283" s="2">
        <v>99.5</v>
      </c>
      <c r="I283" s="2">
        <v>-21.2</v>
      </c>
      <c r="J283" s="2">
        <v>-23.2</v>
      </c>
      <c r="K283" s="2">
        <f t="shared" si="33"/>
        <v>-21.2</v>
      </c>
      <c r="L283" s="8">
        <f t="shared" si="37"/>
        <v>8.5113803820237492E-13</v>
      </c>
      <c r="M283" s="26"/>
      <c r="N283" s="17"/>
      <c r="O283" s="9">
        <f t="shared" si="35"/>
        <v>-23.2</v>
      </c>
      <c r="P283" s="8">
        <f>D278/B278*10^(O283/10)</f>
        <v>0.74985381130546669</v>
      </c>
      <c r="Q283" s="26"/>
      <c r="R283" s="17"/>
      <c r="S283" s="20"/>
      <c r="T283" s="17"/>
      <c r="U283" s="23"/>
    </row>
    <row r="284" spans="1:21" x14ac:dyDescent="0.25">
      <c r="A284" s="24">
        <v>8000</v>
      </c>
      <c r="B284" s="24">
        <v>3</v>
      </c>
      <c r="C284" s="17">
        <v>0.5</v>
      </c>
      <c r="D284" s="24">
        <v>943</v>
      </c>
      <c r="E284" s="24">
        <v>6</v>
      </c>
      <c r="F284" s="25">
        <v>54</v>
      </c>
      <c r="G284" s="1">
        <v>6025</v>
      </c>
      <c r="H284" s="2">
        <v>95</v>
      </c>
      <c r="I284" s="2">
        <v>-23.5</v>
      </c>
      <c r="J284" s="2">
        <v>-25.5</v>
      </c>
      <c r="K284" s="2">
        <f t="shared" si="33"/>
        <v>-23.5</v>
      </c>
      <c r="L284" s="8">
        <f t="shared" si="37"/>
        <v>1.4125375446227535E-12</v>
      </c>
      <c r="M284" s="26">
        <f>SUM(L284:L289)</f>
        <v>4.6340824442024746E-11</v>
      </c>
      <c r="N284" s="17">
        <f>10*LOG10(M284/E284)</f>
        <v>-111.12187494398894</v>
      </c>
      <c r="O284" s="9">
        <f t="shared" si="35"/>
        <v>-25.5</v>
      </c>
      <c r="P284" s="8">
        <f>D284/B284*10^(O284/10)</f>
        <v>0.88591170139412612</v>
      </c>
      <c r="Q284" s="26">
        <f>SUM(P284:P289)</f>
        <v>3.4353846196054523</v>
      </c>
      <c r="R284" s="17">
        <f>10*LOG10(Q284)</f>
        <v>5.3597536696217221</v>
      </c>
      <c r="S284" s="18">
        <f>F284+N284-Kzt-H</f>
        <v>-57.121874943988942</v>
      </c>
      <c r="T284" s="17">
        <v>0.7</v>
      </c>
      <c r="U284" s="21">
        <f>T284*10^((S284-R284)/10)</f>
        <v>3.9530761336790472E-7</v>
      </c>
    </row>
    <row r="285" spans="1:21" x14ac:dyDescent="0.25">
      <c r="A285" s="24"/>
      <c r="B285" s="24"/>
      <c r="C285" s="17"/>
      <c r="D285" s="24"/>
      <c r="E285" s="24"/>
      <c r="F285" s="25"/>
      <c r="G285" s="1">
        <v>7025</v>
      </c>
      <c r="H285" s="2">
        <v>94.8</v>
      </c>
      <c r="I285" s="2">
        <v>-24</v>
      </c>
      <c r="J285" s="2">
        <v>-24.3</v>
      </c>
      <c r="K285" s="2">
        <f t="shared" si="33"/>
        <v>-24</v>
      </c>
      <c r="L285" s="8">
        <f t="shared" si="37"/>
        <v>1.3182567385564068E-12</v>
      </c>
      <c r="M285" s="26"/>
      <c r="N285" s="17"/>
      <c r="O285" s="9">
        <f t="shared" si="35"/>
        <v>-24.3</v>
      </c>
      <c r="P285" s="8">
        <f>D284/B284*10^(O285/10)</f>
        <v>1.1678590701287779</v>
      </c>
      <c r="Q285" s="26"/>
      <c r="R285" s="17"/>
      <c r="S285" s="19"/>
      <c r="T285" s="17"/>
      <c r="U285" s="22"/>
    </row>
    <row r="286" spans="1:21" x14ac:dyDescent="0.25">
      <c r="A286" s="24"/>
      <c r="B286" s="24"/>
      <c r="C286" s="17"/>
      <c r="D286" s="24"/>
      <c r="E286" s="24"/>
      <c r="F286" s="25"/>
      <c r="G286" s="1">
        <v>8025</v>
      </c>
      <c r="H286" s="2">
        <v>101.9</v>
      </c>
      <c r="I286" s="2">
        <v>-18</v>
      </c>
      <c r="J286" s="2">
        <v>-28.6</v>
      </c>
      <c r="K286" s="2">
        <f t="shared" si="33"/>
        <v>-18</v>
      </c>
      <c r="L286" s="8">
        <f t="shared" si="37"/>
        <v>1.0232929922807514E-12</v>
      </c>
      <c r="M286" s="26"/>
      <c r="N286" s="17"/>
      <c r="O286" s="9">
        <f t="shared" si="35"/>
        <v>-28.6</v>
      </c>
      <c r="P286" s="8">
        <f>D284/B284*10^(O286/10)</f>
        <v>0.43390078717350633</v>
      </c>
      <c r="Q286" s="26"/>
      <c r="R286" s="17"/>
      <c r="S286" s="19"/>
      <c r="T286" s="17"/>
      <c r="U286" s="22"/>
    </row>
    <row r="287" spans="1:21" x14ac:dyDescent="0.25">
      <c r="A287" s="24"/>
      <c r="B287" s="24"/>
      <c r="C287" s="17"/>
      <c r="D287" s="24"/>
      <c r="E287" s="24"/>
      <c r="F287" s="25"/>
      <c r="G287" s="1">
        <v>9025</v>
      </c>
      <c r="H287" s="2">
        <v>93.2</v>
      </c>
      <c r="I287" s="2">
        <v>-18.600000000000001</v>
      </c>
      <c r="J287" s="2">
        <v>-27.7</v>
      </c>
      <c r="K287" s="2">
        <f t="shared" si="33"/>
        <v>-18.600000000000001</v>
      </c>
      <c r="L287" s="8">
        <f t="shared" si="37"/>
        <v>6.6069344800759144E-12</v>
      </c>
      <c r="M287" s="26"/>
      <c r="N287" s="17"/>
      <c r="O287" s="9">
        <f t="shared" si="35"/>
        <v>-27.7</v>
      </c>
      <c r="P287" s="8">
        <f>D284/B284*10^(O287/10)</f>
        <v>0.53381458809047433</v>
      </c>
      <c r="Q287" s="26"/>
      <c r="R287" s="17"/>
      <c r="S287" s="19"/>
      <c r="T287" s="17"/>
      <c r="U287" s="22"/>
    </row>
    <row r="288" spans="1:21" x14ac:dyDescent="0.25">
      <c r="A288" s="24"/>
      <c r="B288" s="24"/>
      <c r="C288" s="17"/>
      <c r="D288" s="24"/>
      <c r="E288" s="24"/>
      <c r="F288" s="25"/>
      <c r="G288" s="1">
        <v>10025</v>
      </c>
      <c r="H288" s="2">
        <v>88.3</v>
      </c>
      <c r="I288" s="2">
        <v>-19.100000000000001</v>
      </c>
      <c r="J288" s="2">
        <v>-31.3</v>
      </c>
      <c r="K288" s="2">
        <f t="shared" si="33"/>
        <v>-19.100000000000001</v>
      </c>
      <c r="L288" s="8">
        <f t="shared" si="37"/>
        <v>1.8197008586099764E-11</v>
      </c>
      <c r="M288" s="26"/>
      <c r="N288" s="17"/>
      <c r="O288" s="9">
        <f t="shared" si="35"/>
        <v>-31.3</v>
      </c>
      <c r="P288" s="8">
        <f>D284/B284*10^(O288/10)</f>
        <v>0.233018519182255</v>
      </c>
      <c r="Q288" s="26"/>
      <c r="R288" s="17"/>
      <c r="S288" s="19"/>
      <c r="T288" s="17"/>
      <c r="U288" s="22"/>
    </row>
    <row r="289" spans="1:21" x14ac:dyDescent="0.25">
      <c r="A289" s="24"/>
      <c r="B289" s="24"/>
      <c r="C289" s="17"/>
      <c r="D289" s="24"/>
      <c r="E289" s="24"/>
      <c r="F289" s="25"/>
      <c r="G289" s="1">
        <v>11025</v>
      </c>
      <c r="H289" s="2">
        <v>86</v>
      </c>
      <c r="I289" s="2">
        <v>-21.5</v>
      </c>
      <c r="J289" s="2">
        <v>-32.4</v>
      </c>
      <c r="K289" s="2">
        <f t="shared" si="33"/>
        <v>-21.5</v>
      </c>
      <c r="L289" s="8">
        <f t="shared" si="37"/>
        <v>1.7782794100389159E-11</v>
      </c>
      <c r="M289" s="26"/>
      <c r="N289" s="17"/>
      <c r="O289" s="9">
        <f t="shared" si="35"/>
        <v>-32.4</v>
      </c>
      <c r="P289" s="8">
        <f>D284/B284*10^(O289/10)</f>
        <v>0.18087995363631296</v>
      </c>
      <c r="Q289" s="26"/>
      <c r="R289" s="17"/>
      <c r="S289" s="20"/>
      <c r="T289" s="17"/>
      <c r="U289" s="23"/>
    </row>
    <row r="290" spans="1:21" x14ac:dyDescent="0.25">
      <c r="A290" s="24" t="s">
        <v>20</v>
      </c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12">
        <f>U290</f>
        <v>6.4073145591637168E-2</v>
      </c>
      <c r="T290" s="2"/>
      <c r="U290" s="8">
        <f>0.8*SQRT(SUM(U256:U289))</f>
        <v>6.4073145591637168E-2</v>
      </c>
    </row>
    <row r="291" spans="1:21" x14ac:dyDescent="0.25">
      <c r="A291" s="27" t="s">
        <v>40</v>
      </c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9"/>
    </row>
    <row r="292" spans="1:21" x14ac:dyDescent="0.25">
      <c r="A292" s="24">
        <v>250</v>
      </c>
      <c r="B292" s="24">
        <v>3</v>
      </c>
      <c r="C292" s="17">
        <v>0.5</v>
      </c>
      <c r="D292" s="24">
        <v>38</v>
      </c>
      <c r="E292" s="24">
        <v>4</v>
      </c>
      <c r="F292" s="25">
        <v>84</v>
      </c>
      <c r="G292" s="1">
        <v>175</v>
      </c>
      <c r="H292" s="2">
        <v>84.8</v>
      </c>
      <c r="I292" s="2">
        <v>-11.7</v>
      </c>
      <c r="J292" s="2">
        <v>-13.5</v>
      </c>
      <c r="K292" s="2">
        <f>I292</f>
        <v>-11.7</v>
      </c>
      <c r="L292" s="8">
        <f>10^((K292-H292)/10)</f>
        <v>2.238721138568331E-10</v>
      </c>
      <c r="M292" s="26">
        <f>SUM(L292:L295)</f>
        <v>2.5784123214004044E-10</v>
      </c>
      <c r="N292" s="17">
        <f>10*LOG10(M292/E292)</f>
        <v>-101.90707623465548</v>
      </c>
      <c r="O292" s="9">
        <f>J292</f>
        <v>-13.5</v>
      </c>
      <c r="P292" s="8">
        <f>D292/B292*10^(O292/10)</f>
        <v>0.56579921672455302</v>
      </c>
      <c r="Q292" s="26">
        <f>SUM(P292:P295)</f>
        <v>1.1029061288475019</v>
      </c>
      <c r="R292" s="17">
        <f>10*LOG10(Q292)</f>
        <v>0.42538550102554129</v>
      </c>
      <c r="S292" s="18">
        <f>F292+N292-Kzt-H</f>
        <v>-17.907076234655477</v>
      </c>
      <c r="T292" s="17">
        <v>0.2</v>
      </c>
      <c r="U292" s="21">
        <f>T292*10^((S292-R292)/10)</f>
        <v>2.9361877477871545E-3</v>
      </c>
    </row>
    <row r="293" spans="1:21" x14ac:dyDescent="0.25">
      <c r="A293" s="24"/>
      <c r="B293" s="24"/>
      <c r="C293" s="17"/>
      <c r="D293" s="24"/>
      <c r="E293" s="24"/>
      <c r="F293" s="25"/>
      <c r="G293" s="1">
        <v>225</v>
      </c>
      <c r="H293" s="2">
        <v>90</v>
      </c>
      <c r="I293" s="2">
        <v>-21.1</v>
      </c>
      <c r="J293" s="2">
        <v>-21.1</v>
      </c>
      <c r="K293" s="2">
        <f t="shared" ref="K293:K325" si="38">I293</f>
        <v>-21.1</v>
      </c>
      <c r="L293" s="8">
        <f t="shared" ref="L293:L294" si="39">10^((K293-H293)/10)</f>
        <v>7.762471166286914E-12</v>
      </c>
      <c r="M293" s="26"/>
      <c r="N293" s="17"/>
      <c r="O293" s="9">
        <f t="shared" ref="O293:O325" si="40">J293</f>
        <v>-21.1</v>
      </c>
      <c r="P293" s="8">
        <f>D292/B292*10^(O293/10)</f>
        <v>9.8324634772967504E-2</v>
      </c>
      <c r="Q293" s="26"/>
      <c r="R293" s="17"/>
      <c r="S293" s="19"/>
      <c r="T293" s="17"/>
      <c r="U293" s="22"/>
    </row>
    <row r="294" spans="1:21" x14ac:dyDescent="0.25">
      <c r="A294" s="24"/>
      <c r="B294" s="24"/>
      <c r="C294" s="17"/>
      <c r="D294" s="24"/>
      <c r="E294" s="24"/>
      <c r="F294" s="25"/>
      <c r="G294" s="1">
        <v>275</v>
      </c>
      <c r="H294" s="2">
        <v>92.2</v>
      </c>
      <c r="I294" s="2">
        <v>-19</v>
      </c>
      <c r="J294" s="2">
        <v>-22.9</v>
      </c>
      <c r="K294" s="2">
        <f t="shared" si="38"/>
        <v>-19</v>
      </c>
      <c r="L294" s="8">
        <f t="shared" si="39"/>
        <v>7.5857757502918081E-12</v>
      </c>
      <c r="M294" s="26"/>
      <c r="N294" s="17"/>
      <c r="O294" s="9">
        <f t="shared" si="40"/>
        <v>-22.9</v>
      </c>
      <c r="P294" s="8">
        <f>D292/B292*10^(O294/10)</f>
        <v>6.4962441972239521E-2</v>
      </c>
      <c r="Q294" s="26"/>
      <c r="R294" s="17"/>
      <c r="S294" s="19"/>
      <c r="T294" s="17"/>
      <c r="U294" s="22"/>
    </row>
    <row r="295" spans="1:21" x14ac:dyDescent="0.25">
      <c r="A295" s="24"/>
      <c r="B295" s="24"/>
      <c r="C295" s="17"/>
      <c r="D295" s="24"/>
      <c r="E295" s="24"/>
      <c r="F295" s="25"/>
      <c r="G295" s="1">
        <v>325</v>
      </c>
      <c r="H295" s="2">
        <v>93.3</v>
      </c>
      <c r="I295" s="2">
        <v>-14</v>
      </c>
      <c r="J295" s="2">
        <v>-15.3</v>
      </c>
      <c r="K295" s="2">
        <f t="shared" si="38"/>
        <v>-14</v>
      </c>
      <c r="L295" s="8">
        <f>10^((K295-H295)/10)</f>
        <v>1.8620871366628599E-11</v>
      </c>
      <c r="M295" s="26"/>
      <c r="N295" s="17"/>
      <c r="O295" s="9">
        <f t="shared" si="40"/>
        <v>-15.3</v>
      </c>
      <c r="P295" s="8">
        <f>D292/B292*10^(O295/10)</f>
        <v>0.37381983537774199</v>
      </c>
      <c r="Q295" s="26"/>
      <c r="R295" s="17"/>
      <c r="S295" s="20"/>
      <c r="T295" s="17"/>
      <c r="U295" s="23"/>
    </row>
    <row r="296" spans="1:21" x14ac:dyDescent="0.25">
      <c r="A296" s="24">
        <v>500</v>
      </c>
      <c r="B296" s="24">
        <v>3</v>
      </c>
      <c r="C296" s="17">
        <v>0.5</v>
      </c>
      <c r="D296" s="24">
        <v>59</v>
      </c>
      <c r="E296" s="24">
        <v>6</v>
      </c>
      <c r="F296" s="25">
        <v>84</v>
      </c>
      <c r="G296" s="1">
        <v>375</v>
      </c>
      <c r="H296" s="2">
        <v>91.9</v>
      </c>
      <c r="I296" s="2">
        <v>-12.8</v>
      </c>
      <c r="J296" s="2">
        <v>-29.4</v>
      </c>
      <c r="K296" s="2">
        <f t="shared" si="38"/>
        <v>-12.8</v>
      </c>
      <c r="L296" s="8">
        <f t="shared" ref="L296:L297" si="41">10^((K296-H296)/10)</f>
        <v>3.3884415613920157E-11</v>
      </c>
      <c r="M296" s="26">
        <f>SUM(L296:L301)</f>
        <v>1.644828167421967E-10</v>
      </c>
      <c r="N296" s="17">
        <f>10*LOG10(M296/E296)</f>
        <v>-105.62030715780534</v>
      </c>
      <c r="O296" s="9">
        <f t="shared" si="40"/>
        <v>-29.4</v>
      </c>
      <c r="P296" s="8">
        <f>D296/B296*10^(O296/10)</f>
        <v>2.2580354556105357E-2</v>
      </c>
      <c r="Q296" s="26">
        <f>SUM(P296:P301)</f>
        <v>0.42258805887375478</v>
      </c>
      <c r="R296" s="17">
        <f>10*LOG10(Q296)</f>
        <v>-3.7408277902650138</v>
      </c>
      <c r="S296" s="18">
        <f>F296+N296-Kzt-H</f>
        <v>-21.620307157805343</v>
      </c>
      <c r="T296" s="17">
        <v>0.5</v>
      </c>
      <c r="U296" s="21">
        <f>T296*10^((S296-R296)/10)</f>
        <v>8.1474568222207472E-3</v>
      </c>
    </row>
    <row r="297" spans="1:21" x14ac:dyDescent="0.25">
      <c r="A297" s="24"/>
      <c r="B297" s="24"/>
      <c r="C297" s="17"/>
      <c r="D297" s="24"/>
      <c r="E297" s="24"/>
      <c r="F297" s="25"/>
      <c r="G297" s="1">
        <v>425</v>
      </c>
      <c r="H297" s="2">
        <v>88.1</v>
      </c>
      <c r="I297" s="2">
        <v>-11.7</v>
      </c>
      <c r="J297" s="2">
        <v>-25.1</v>
      </c>
      <c r="K297" s="2">
        <f t="shared" si="38"/>
        <v>-11.7</v>
      </c>
      <c r="L297" s="8">
        <f t="shared" si="41"/>
        <v>1.0471285480508951E-10</v>
      </c>
      <c r="M297" s="26"/>
      <c r="N297" s="17"/>
      <c r="O297" s="9">
        <f t="shared" si="40"/>
        <v>-25.1</v>
      </c>
      <c r="P297" s="8">
        <f>D296/B296*10^(O297/10)</f>
        <v>6.0775810172767231E-2</v>
      </c>
      <c r="Q297" s="26"/>
      <c r="R297" s="17"/>
      <c r="S297" s="19"/>
      <c r="T297" s="17"/>
      <c r="U297" s="22"/>
    </row>
    <row r="298" spans="1:21" x14ac:dyDescent="0.25">
      <c r="A298" s="24"/>
      <c r="B298" s="24"/>
      <c r="C298" s="17"/>
      <c r="D298" s="24"/>
      <c r="E298" s="24"/>
      <c r="F298" s="25"/>
      <c r="G298" s="1">
        <v>475</v>
      </c>
      <c r="H298" s="2">
        <v>90</v>
      </c>
      <c r="I298" s="2">
        <v>-18.100000000000001</v>
      </c>
      <c r="J298" s="2">
        <v>-22.9</v>
      </c>
      <c r="K298" s="2">
        <f t="shared" si="38"/>
        <v>-18.100000000000001</v>
      </c>
      <c r="L298" s="8">
        <f>10^((K298-H298)/10)</f>
        <v>1.5488166189124818E-11</v>
      </c>
      <c r="M298" s="26"/>
      <c r="N298" s="17"/>
      <c r="O298" s="9">
        <f t="shared" si="40"/>
        <v>-22.9</v>
      </c>
      <c r="P298" s="8">
        <f>D296/B296*10^(O298/10)</f>
        <v>0.10086273885163506</v>
      </c>
      <c r="Q298" s="26"/>
      <c r="R298" s="17"/>
      <c r="S298" s="19"/>
      <c r="T298" s="17"/>
      <c r="U298" s="22"/>
    </row>
    <row r="299" spans="1:21" x14ac:dyDescent="0.25">
      <c r="A299" s="24"/>
      <c r="B299" s="24"/>
      <c r="C299" s="17"/>
      <c r="D299" s="24"/>
      <c r="E299" s="24"/>
      <c r="F299" s="25"/>
      <c r="G299" s="1">
        <v>575</v>
      </c>
      <c r="H299" s="2">
        <v>97</v>
      </c>
      <c r="I299" s="2">
        <v>-19.7</v>
      </c>
      <c r="J299" s="2">
        <v>-22.5</v>
      </c>
      <c r="K299" s="2">
        <f t="shared" si="38"/>
        <v>-19.7</v>
      </c>
      <c r="L299" s="8">
        <f t="shared" ref="L299:L325" si="42">10^((K299-H299)/10)</f>
        <v>2.1379620895022273E-12</v>
      </c>
      <c r="M299" s="26"/>
      <c r="N299" s="17"/>
      <c r="O299" s="9">
        <f t="shared" si="40"/>
        <v>-22.5</v>
      </c>
      <c r="P299" s="8">
        <f>D296/B296*10^(O299/10)</f>
        <v>0.1105937939541019</v>
      </c>
      <c r="Q299" s="26"/>
      <c r="R299" s="17"/>
      <c r="S299" s="19"/>
      <c r="T299" s="17"/>
      <c r="U299" s="22"/>
    </row>
    <row r="300" spans="1:21" x14ac:dyDescent="0.25">
      <c r="A300" s="24"/>
      <c r="B300" s="24"/>
      <c r="C300" s="17"/>
      <c r="D300" s="24"/>
      <c r="E300" s="24"/>
      <c r="F300" s="25"/>
      <c r="G300" s="1">
        <v>625</v>
      </c>
      <c r="H300" s="2">
        <v>92</v>
      </c>
      <c r="I300" s="2">
        <v>-20</v>
      </c>
      <c r="J300" s="2">
        <v>-27.4</v>
      </c>
      <c r="K300" s="2">
        <f t="shared" si="38"/>
        <v>-20</v>
      </c>
      <c r="L300" s="8">
        <f t="shared" si="42"/>
        <v>6.3095734448019345E-12</v>
      </c>
      <c r="M300" s="26"/>
      <c r="N300" s="17"/>
      <c r="O300" s="9">
        <f t="shared" si="40"/>
        <v>-27.4</v>
      </c>
      <c r="P300" s="8">
        <f>D296/B296*10^(O300/10)</f>
        <v>3.5787450219329664E-2</v>
      </c>
      <c r="Q300" s="26"/>
      <c r="R300" s="17"/>
      <c r="S300" s="19"/>
      <c r="T300" s="17"/>
      <c r="U300" s="22"/>
    </row>
    <row r="301" spans="1:21" x14ac:dyDescent="0.25">
      <c r="A301" s="24"/>
      <c r="B301" s="24"/>
      <c r="C301" s="17"/>
      <c r="D301" s="24"/>
      <c r="E301" s="24"/>
      <c r="F301" s="25"/>
      <c r="G301" s="1">
        <v>675</v>
      </c>
      <c r="H301" s="2">
        <v>94.5</v>
      </c>
      <c r="I301" s="2">
        <v>-22.6</v>
      </c>
      <c r="J301" s="2">
        <v>-23.3</v>
      </c>
      <c r="K301" s="2">
        <f t="shared" si="38"/>
        <v>-22.6</v>
      </c>
      <c r="L301" s="8">
        <f t="shared" si="42"/>
        <v>1.9498445997580419E-12</v>
      </c>
      <c r="M301" s="26"/>
      <c r="N301" s="17"/>
      <c r="O301" s="9">
        <f t="shared" si="40"/>
        <v>-23.3</v>
      </c>
      <c r="P301" s="8">
        <f>D296/B296*10^(O301/10)</f>
        <v>9.1987911119815566E-2</v>
      </c>
      <c r="Q301" s="26"/>
      <c r="R301" s="17"/>
      <c r="S301" s="20"/>
      <c r="T301" s="17"/>
      <c r="U301" s="23"/>
    </row>
    <row r="302" spans="1:21" x14ac:dyDescent="0.25">
      <c r="A302" s="24">
        <v>1000</v>
      </c>
      <c r="B302" s="24">
        <v>3</v>
      </c>
      <c r="C302" s="17">
        <v>0.5</v>
      </c>
      <c r="D302" s="24">
        <v>117</v>
      </c>
      <c r="E302" s="24">
        <v>6</v>
      </c>
      <c r="F302" s="25">
        <v>76</v>
      </c>
      <c r="G302" s="1">
        <v>875</v>
      </c>
      <c r="H302" s="2">
        <v>91.1</v>
      </c>
      <c r="I302" s="2">
        <v>-7.7</v>
      </c>
      <c r="J302" s="2">
        <v>-25.1</v>
      </c>
      <c r="K302" s="2">
        <f t="shared" si="38"/>
        <v>-7.7</v>
      </c>
      <c r="L302" s="8">
        <f t="shared" si="42"/>
        <v>1.3182567385564051E-10</v>
      </c>
      <c r="M302" s="26">
        <f>SUM(L302:L307)</f>
        <v>1.4082930996460308E-10</v>
      </c>
      <c r="N302" s="17">
        <f>10*LOG10(M302/E302)</f>
        <v>-106.29458199049296</v>
      </c>
      <c r="O302" s="9">
        <f t="shared" si="40"/>
        <v>-25.1</v>
      </c>
      <c r="P302" s="8">
        <f>D302/B302*10^(O302/10)</f>
        <v>0.12052152186802992</v>
      </c>
      <c r="Q302" s="26">
        <f>SUM(P302:P307)</f>
        <v>0.81751033081465319</v>
      </c>
      <c r="R302" s="17">
        <f>10*LOG10(Q302)</f>
        <v>-0.87506750487310803</v>
      </c>
      <c r="S302" s="18">
        <f>F302+N302-Kzt-H</f>
        <v>-30.294581990492958</v>
      </c>
      <c r="T302" s="17">
        <v>0.8</v>
      </c>
      <c r="U302" s="21">
        <f>T302*10^((S302-R302)/10)</f>
        <v>9.1440488693095377E-4</v>
      </c>
    </row>
    <row r="303" spans="1:21" x14ac:dyDescent="0.25">
      <c r="A303" s="24"/>
      <c r="B303" s="24"/>
      <c r="C303" s="17"/>
      <c r="D303" s="24"/>
      <c r="E303" s="24"/>
      <c r="F303" s="25"/>
      <c r="G303" s="1">
        <v>975</v>
      </c>
      <c r="H303" s="2">
        <v>96.5</v>
      </c>
      <c r="I303" s="2">
        <v>-16.5</v>
      </c>
      <c r="J303" s="2">
        <v>-20.6</v>
      </c>
      <c r="K303" s="2">
        <f t="shared" si="38"/>
        <v>-16.5</v>
      </c>
      <c r="L303" s="8">
        <f t="shared" si="42"/>
        <v>5.0118723362726945E-12</v>
      </c>
      <c r="M303" s="26"/>
      <c r="N303" s="17"/>
      <c r="O303" s="9">
        <f t="shared" si="40"/>
        <v>-20.6</v>
      </c>
      <c r="P303" s="8">
        <f>D302/B302*10^(O303/10)</f>
        <v>0.33967580008287124</v>
      </c>
      <c r="Q303" s="26"/>
      <c r="R303" s="17"/>
      <c r="S303" s="19"/>
      <c r="T303" s="17"/>
      <c r="U303" s="22"/>
    </row>
    <row r="304" spans="1:21" x14ac:dyDescent="0.25">
      <c r="A304" s="24"/>
      <c r="B304" s="24"/>
      <c r="C304" s="17"/>
      <c r="D304" s="24"/>
      <c r="E304" s="24"/>
      <c r="F304" s="25"/>
      <c r="G304" s="1">
        <v>1075</v>
      </c>
      <c r="H304" s="2">
        <v>94.6</v>
      </c>
      <c r="I304" s="2">
        <v>-21.6</v>
      </c>
      <c r="J304" s="2">
        <v>-27.5</v>
      </c>
      <c r="K304" s="2">
        <f t="shared" si="38"/>
        <v>-21.6</v>
      </c>
      <c r="L304" s="8">
        <f t="shared" si="42"/>
        <v>2.3988329190194925E-12</v>
      </c>
      <c r="M304" s="26"/>
      <c r="N304" s="17"/>
      <c r="O304" s="9">
        <f t="shared" si="40"/>
        <v>-27.5</v>
      </c>
      <c r="P304" s="8">
        <f>D302/B302*10^(O304/10)</f>
        <v>6.9352896991517976E-2</v>
      </c>
      <c r="Q304" s="26"/>
      <c r="R304" s="17"/>
      <c r="S304" s="19"/>
      <c r="T304" s="17"/>
      <c r="U304" s="22"/>
    </row>
    <row r="305" spans="1:21" x14ac:dyDescent="0.25">
      <c r="A305" s="24"/>
      <c r="B305" s="24"/>
      <c r="C305" s="17"/>
      <c r="D305" s="24"/>
      <c r="E305" s="24"/>
      <c r="F305" s="25"/>
      <c r="G305" s="1">
        <v>1175</v>
      </c>
      <c r="H305" s="2">
        <v>97.8</v>
      </c>
      <c r="I305" s="2">
        <v>-30.2</v>
      </c>
      <c r="J305" s="2">
        <v>-31.6</v>
      </c>
      <c r="K305" s="2">
        <f t="shared" si="38"/>
        <v>-30.2</v>
      </c>
      <c r="L305" s="8">
        <f t="shared" si="42"/>
        <v>1.5848931924611046E-13</v>
      </c>
      <c r="M305" s="26"/>
      <c r="N305" s="17"/>
      <c r="O305" s="9">
        <f t="shared" si="40"/>
        <v>-31.6</v>
      </c>
      <c r="P305" s="8">
        <f>D302/B302*10^(O305/10)</f>
        <v>2.6981407865838497E-2</v>
      </c>
      <c r="Q305" s="26"/>
      <c r="R305" s="17"/>
      <c r="S305" s="19"/>
      <c r="T305" s="17"/>
      <c r="U305" s="22"/>
    </row>
    <row r="306" spans="1:21" x14ac:dyDescent="0.25">
      <c r="A306" s="24"/>
      <c r="B306" s="24"/>
      <c r="C306" s="17"/>
      <c r="D306" s="24"/>
      <c r="E306" s="24"/>
      <c r="F306" s="25"/>
      <c r="G306" s="1">
        <v>1275</v>
      </c>
      <c r="H306" s="2">
        <v>100.1</v>
      </c>
      <c r="I306" s="2">
        <v>-20.2</v>
      </c>
      <c r="J306" s="2">
        <v>-27.2</v>
      </c>
      <c r="K306" s="2">
        <f t="shared" si="38"/>
        <v>-20.2</v>
      </c>
      <c r="L306" s="8">
        <f t="shared" si="42"/>
        <v>9.3325430079698887E-13</v>
      </c>
      <c r="M306" s="26"/>
      <c r="N306" s="17"/>
      <c r="O306" s="9">
        <f t="shared" si="40"/>
        <v>-27.2</v>
      </c>
      <c r="P306" s="8">
        <f>D302/B302*10^(O306/10)</f>
        <v>7.4312968000566651E-2</v>
      </c>
      <c r="Q306" s="26"/>
      <c r="R306" s="17"/>
      <c r="S306" s="19"/>
      <c r="T306" s="17"/>
      <c r="U306" s="22"/>
    </row>
    <row r="307" spans="1:21" x14ac:dyDescent="0.25">
      <c r="A307" s="24"/>
      <c r="B307" s="24"/>
      <c r="C307" s="17"/>
      <c r="D307" s="24"/>
      <c r="E307" s="24"/>
      <c r="F307" s="25"/>
      <c r="G307" s="1">
        <v>1375</v>
      </c>
      <c r="H307" s="2">
        <v>103</v>
      </c>
      <c r="I307" s="2">
        <v>-20</v>
      </c>
      <c r="J307" s="2">
        <v>-23.2</v>
      </c>
      <c r="K307" s="2">
        <f t="shared" si="38"/>
        <v>-20</v>
      </c>
      <c r="L307" s="8">
        <f t="shared" si="42"/>
        <v>5.0118723362727066E-13</v>
      </c>
      <c r="M307" s="26"/>
      <c r="N307" s="17"/>
      <c r="O307" s="9">
        <f t="shared" si="40"/>
        <v>-23.2</v>
      </c>
      <c r="P307" s="8">
        <f>D302/B302*10^(O307/10)</f>
        <v>0.18666573600582897</v>
      </c>
      <c r="Q307" s="26"/>
      <c r="R307" s="17"/>
      <c r="S307" s="20"/>
      <c r="T307" s="17"/>
      <c r="U307" s="23"/>
    </row>
    <row r="308" spans="1:21" x14ac:dyDescent="0.25">
      <c r="A308" s="24">
        <v>2000</v>
      </c>
      <c r="B308" s="24">
        <v>3</v>
      </c>
      <c r="C308" s="17">
        <v>0.5</v>
      </c>
      <c r="D308" s="24">
        <v>234</v>
      </c>
      <c r="E308" s="24">
        <v>6</v>
      </c>
      <c r="F308" s="25">
        <v>68</v>
      </c>
      <c r="G308" s="1">
        <v>1425</v>
      </c>
      <c r="H308" s="2">
        <v>102.8</v>
      </c>
      <c r="I308" s="2">
        <v>-18.399999999999999</v>
      </c>
      <c r="J308" s="2">
        <v>-21.5</v>
      </c>
      <c r="K308" s="2">
        <f t="shared" si="38"/>
        <v>-18.399999999999999</v>
      </c>
      <c r="L308" s="8">
        <f t="shared" si="42"/>
        <v>7.5857757502918275E-13</v>
      </c>
      <c r="M308" s="26">
        <f>SUM(L308:L313)</f>
        <v>6.1688432075498722E-12</v>
      </c>
      <c r="N308" s="17">
        <f>10*LOG10(M308/E308)</f>
        <v>-119.87947518389178</v>
      </c>
      <c r="O308" s="9">
        <f t="shared" si="40"/>
        <v>-21.5</v>
      </c>
      <c r="P308" s="8">
        <f>D308/B308*10^(O308/10)</f>
        <v>0.55219771181962762</v>
      </c>
      <c r="Q308" s="26">
        <f>SUM(P308:P313)</f>
        <v>1.6122119238579611</v>
      </c>
      <c r="R308" s="17">
        <f>10*LOG10(Q308)</f>
        <v>2.0742212885413105</v>
      </c>
      <c r="S308" s="18">
        <f>F308+N308-Kzt-H</f>
        <v>-51.879475183891785</v>
      </c>
      <c r="T308" s="17">
        <v>1</v>
      </c>
      <c r="U308" s="21">
        <f>T308*10^((S308-R308)/10)</f>
        <v>4.0237440987661606E-6</v>
      </c>
    </row>
    <row r="309" spans="1:21" x14ac:dyDescent="0.25">
      <c r="A309" s="24"/>
      <c r="B309" s="24"/>
      <c r="C309" s="17"/>
      <c r="D309" s="24"/>
      <c r="E309" s="24"/>
      <c r="F309" s="25"/>
      <c r="G309" s="1">
        <v>1625</v>
      </c>
      <c r="H309" s="2">
        <v>104.1</v>
      </c>
      <c r="I309" s="2">
        <v>-17.600000000000001</v>
      </c>
      <c r="J309" s="2">
        <v>-25</v>
      </c>
      <c r="K309" s="2">
        <f t="shared" si="38"/>
        <v>-17.600000000000001</v>
      </c>
      <c r="L309" s="8">
        <f t="shared" si="42"/>
        <v>6.7608297539198353E-13</v>
      </c>
      <c r="M309" s="26"/>
      <c r="N309" s="17"/>
      <c r="O309" s="9">
        <f t="shared" si="40"/>
        <v>-25</v>
      </c>
      <c r="P309" s="8">
        <f>D308/B308*10^(O309/10)</f>
        <v>0.24665765749313334</v>
      </c>
      <c r="Q309" s="26"/>
      <c r="R309" s="17"/>
      <c r="S309" s="19"/>
      <c r="T309" s="17"/>
      <c r="U309" s="22"/>
    </row>
    <row r="310" spans="1:21" x14ac:dyDescent="0.25">
      <c r="A310" s="24"/>
      <c r="B310" s="24"/>
      <c r="C310" s="17"/>
      <c r="D310" s="24"/>
      <c r="E310" s="24"/>
      <c r="F310" s="25"/>
      <c r="G310" s="1">
        <v>1825</v>
      </c>
      <c r="H310" s="2">
        <v>107.6</v>
      </c>
      <c r="I310" s="2">
        <v>-17.399999999999999</v>
      </c>
      <c r="J310" s="2">
        <v>-24.9</v>
      </c>
      <c r="K310" s="2">
        <f t="shared" si="38"/>
        <v>-17.399999999999999</v>
      </c>
      <c r="L310" s="8">
        <f t="shared" si="42"/>
        <v>3.1622776601683746E-13</v>
      </c>
      <c r="M310" s="26"/>
      <c r="N310" s="17"/>
      <c r="O310" s="9">
        <f t="shared" si="40"/>
        <v>-24.9</v>
      </c>
      <c r="P310" s="8">
        <f>D308/B308*10^(O310/10)</f>
        <v>0.25240305240511002</v>
      </c>
      <c r="Q310" s="26"/>
      <c r="R310" s="17"/>
      <c r="S310" s="19"/>
      <c r="T310" s="17"/>
      <c r="U310" s="22"/>
    </row>
    <row r="311" spans="1:21" x14ac:dyDescent="0.25">
      <c r="A311" s="24"/>
      <c r="B311" s="24"/>
      <c r="C311" s="17"/>
      <c r="D311" s="24"/>
      <c r="E311" s="24"/>
      <c r="F311" s="25"/>
      <c r="G311" s="1">
        <v>2125</v>
      </c>
      <c r="H311" s="2">
        <v>104.2</v>
      </c>
      <c r="I311" s="2">
        <v>-21.8</v>
      </c>
      <c r="J311" s="2">
        <v>-31.3</v>
      </c>
      <c r="K311" s="2">
        <f t="shared" si="38"/>
        <v>-21.8</v>
      </c>
      <c r="L311" s="8">
        <f t="shared" si="42"/>
        <v>2.511886431509579E-13</v>
      </c>
      <c r="M311" s="26"/>
      <c r="N311" s="17"/>
      <c r="O311" s="9">
        <f t="shared" si="40"/>
        <v>-31.3</v>
      </c>
      <c r="P311" s="8">
        <f>D308/B308*10^(O311/10)</f>
        <v>5.7822198821471549E-2</v>
      </c>
      <c r="Q311" s="26"/>
      <c r="R311" s="17"/>
      <c r="S311" s="19"/>
      <c r="T311" s="17"/>
      <c r="U311" s="22"/>
    </row>
    <row r="312" spans="1:21" x14ac:dyDescent="0.25">
      <c r="A312" s="24"/>
      <c r="B312" s="24"/>
      <c r="C312" s="17"/>
      <c r="D312" s="24"/>
      <c r="E312" s="24"/>
      <c r="F312" s="25"/>
      <c r="G312" s="1">
        <v>2425</v>
      </c>
      <c r="H312" s="2">
        <v>93.7</v>
      </c>
      <c r="I312" s="2">
        <v>-21.900000000000002</v>
      </c>
      <c r="J312" s="2">
        <v>-22.6</v>
      </c>
      <c r="K312" s="2">
        <f t="shared" si="38"/>
        <v>-21.900000000000002</v>
      </c>
      <c r="L312" s="8">
        <f t="shared" si="42"/>
        <v>2.7542287033381574E-12</v>
      </c>
      <c r="M312" s="26"/>
      <c r="N312" s="17"/>
      <c r="O312" s="9">
        <f t="shared" si="40"/>
        <v>-22.6</v>
      </c>
      <c r="P312" s="8">
        <f>D308/B308*10^(O312/10)</f>
        <v>0.4286418816089469</v>
      </c>
      <c r="Q312" s="26"/>
      <c r="R312" s="17"/>
      <c r="S312" s="19"/>
      <c r="T312" s="17"/>
      <c r="U312" s="22"/>
    </row>
    <row r="313" spans="1:21" x14ac:dyDescent="0.25">
      <c r="A313" s="24"/>
      <c r="B313" s="24"/>
      <c r="C313" s="17"/>
      <c r="D313" s="24"/>
      <c r="E313" s="24"/>
      <c r="F313" s="25"/>
      <c r="G313" s="1">
        <v>2775</v>
      </c>
      <c r="H313" s="2">
        <v>100.2</v>
      </c>
      <c r="I313" s="2">
        <v>-18.3</v>
      </c>
      <c r="J313" s="2">
        <v>-30.2</v>
      </c>
      <c r="K313" s="2">
        <f t="shared" si="38"/>
        <v>-18.3</v>
      </c>
      <c r="L313" s="8">
        <f t="shared" si="42"/>
        <v>1.4125375446227535E-12</v>
      </c>
      <c r="M313" s="26"/>
      <c r="N313" s="17"/>
      <c r="O313" s="9">
        <f t="shared" si="40"/>
        <v>-30.2</v>
      </c>
      <c r="P313" s="8">
        <f>D308/B308*10^(O313/10)</f>
        <v>7.448942170967196E-2</v>
      </c>
      <c r="Q313" s="26"/>
      <c r="R313" s="17"/>
      <c r="S313" s="20"/>
      <c r="T313" s="17"/>
      <c r="U313" s="23"/>
    </row>
    <row r="314" spans="1:21" x14ac:dyDescent="0.25">
      <c r="A314" s="24">
        <v>4000</v>
      </c>
      <c r="B314" s="24">
        <v>3</v>
      </c>
      <c r="C314" s="17">
        <v>0.5</v>
      </c>
      <c r="D314" s="24">
        <v>470</v>
      </c>
      <c r="E314" s="24">
        <v>6</v>
      </c>
      <c r="F314" s="25">
        <v>62</v>
      </c>
      <c r="G314" s="1">
        <v>2825</v>
      </c>
      <c r="H314" s="2">
        <v>99.4</v>
      </c>
      <c r="I314" s="2">
        <v>-18.7</v>
      </c>
      <c r="J314" s="2">
        <v>-27.2</v>
      </c>
      <c r="K314" s="2">
        <f t="shared" si="38"/>
        <v>-18.7</v>
      </c>
      <c r="L314" s="8">
        <f t="shared" si="42"/>
        <v>1.5488166189124747E-12</v>
      </c>
      <c r="M314" s="26">
        <f>SUM(L314:L319)</f>
        <v>3.9164771405360019E-12</v>
      </c>
      <c r="N314" s="17">
        <f>10*LOG10(M314/E314)</f>
        <v>-121.85255654362173</v>
      </c>
      <c r="O314" s="9">
        <f t="shared" si="40"/>
        <v>-27.2</v>
      </c>
      <c r="P314" s="8">
        <f>D314/B314*10^(O314/10)</f>
        <v>0.29852217914757545</v>
      </c>
      <c r="Q314" s="26">
        <f>SUM(P314:P319)</f>
        <v>2.4567165176327803</v>
      </c>
      <c r="R314" s="17">
        <f>10*LOG10(Q314)</f>
        <v>3.9035504580418205</v>
      </c>
      <c r="S314" s="18">
        <f>F314+N314-Kzt-H</f>
        <v>-59.852556543621731</v>
      </c>
      <c r="T314" s="17">
        <v>0.9</v>
      </c>
      <c r="U314" s="21">
        <f>T314*10^((S314-R314)/10)</f>
        <v>3.7899354161827377E-7</v>
      </c>
    </row>
    <row r="315" spans="1:21" x14ac:dyDescent="0.25">
      <c r="A315" s="24"/>
      <c r="B315" s="24"/>
      <c r="C315" s="17"/>
      <c r="D315" s="24"/>
      <c r="E315" s="24"/>
      <c r="F315" s="25"/>
      <c r="G315" s="1">
        <v>3425</v>
      </c>
      <c r="H315" s="2">
        <v>103.5</v>
      </c>
      <c r="I315" s="2">
        <v>-21.1</v>
      </c>
      <c r="J315" s="2">
        <v>-26.5</v>
      </c>
      <c r="K315" s="2">
        <f t="shared" si="38"/>
        <v>-21.1</v>
      </c>
      <c r="L315" s="8">
        <f t="shared" si="42"/>
        <v>3.4673685045253105E-13</v>
      </c>
      <c r="M315" s="26"/>
      <c r="N315" s="17"/>
      <c r="O315" s="9">
        <f t="shared" si="40"/>
        <v>-26.5</v>
      </c>
      <c r="P315" s="8">
        <f>D314/B314*10^(O315/10)</f>
        <v>0.35073297837570638</v>
      </c>
      <c r="Q315" s="26"/>
      <c r="R315" s="17"/>
      <c r="S315" s="19"/>
      <c r="T315" s="17"/>
      <c r="U315" s="22"/>
    </row>
    <row r="316" spans="1:21" x14ac:dyDescent="0.25">
      <c r="A316" s="24"/>
      <c r="B316" s="24"/>
      <c r="C316" s="17"/>
      <c r="D316" s="24"/>
      <c r="E316" s="24"/>
      <c r="F316" s="25"/>
      <c r="G316" s="1">
        <v>4025</v>
      </c>
      <c r="H316" s="2">
        <v>103.6</v>
      </c>
      <c r="I316" s="2">
        <v>-20</v>
      </c>
      <c r="J316" s="2">
        <v>-28.1</v>
      </c>
      <c r="K316" s="2">
        <f t="shared" si="38"/>
        <v>-20</v>
      </c>
      <c r="L316" s="8">
        <f t="shared" si="42"/>
        <v>4.3651583224016479E-13</v>
      </c>
      <c r="M316" s="26"/>
      <c r="N316" s="17"/>
      <c r="O316" s="9">
        <f t="shared" si="40"/>
        <v>-28.1</v>
      </c>
      <c r="P316" s="8">
        <f>D314/B314*10^(O316/10)</f>
        <v>0.24264793696295522</v>
      </c>
      <c r="Q316" s="26"/>
      <c r="R316" s="17"/>
      <c r="S316" s="19"/>
      <c r="T316" s="17"/>
      <c r="U316" s="22"/>
    </row>
    <row r="317" spans="1:21" x14ac:dyDescent="0.25">
      <c r="A317" s="24"/>
      <c r="B317" s="24"/>
      <c r="C317" s="17"/>
      <c r="D317" s="24"/>
      <c r="E317" s="24"/>
      <c r="F317" s="25"/>
      <c r="G317" s="1">
        <v>4625</v>
      </c>
      <c r="H317" s="2">
        <v>105.6</v>
      </c>
      <c r="I317" s="2">
        <v>-20.100000000000001</v>
      </c>
      <c r="J317" s="2">
        <v>-26.4</v>
      </c>
      <c r="K317" s="2">
        <f t="shared" si="38"/>
        <v>-20.100000000000001</v>
      </c>
      <c r="L317" s="8">
        <f t="shared" si="42"/>
        <v>2.6915348039269137E-13</v>
      </c>
      <c r="M317" s="26"/>
      <c r="N317" s="17"/>
      <c r="O317" s="9">
        <f t="shared" si="40"/>
        <v>-26.4</v>
      </c>
      <c r="P317" s="8">
        <f>D314/B314*10^(O317/10)</f>
        <v>0.35890259893361787</v>
      </c>
      <c r="Q317" s="26"/>
      <c r="R317" s="17"/>
      <c r="S317" s="19"/>
      <c r="T317" s="17"/>
      <c r="U317" s="22"/>
    </row>
    <row r="318" spans="1:21" x14ac:dyDescent="0.25">
      <c r="A318" s="24"/>
      <c r="B318" s="24"/>
      <c r="C318" s="17"/>
      <c r="D318" s="24"/>
      <c r="E318" s="24"/>
      <c r="F318" s="25"/>
      <c r="G318" s="1">
        <v>5225</v>
      </c>
      <c r="H318" s="2">
        <v>103.5</v>
      </c>
      <c r="I318" s="2">
        <v>-23.1</v>
      </c>
      <c r="J318" s="2">
        <v>-23.3</v>
      </c>
      <c r="K318" s="2">
        <f t="shared" si="38"/>
        <v>-23.1</v>
      </c>
      <c r="L318" s="8">
        <f t="shared" si="42"/>
        <v>2.1877616239495453E-13</v>
      </c>
      <c r="M318" s="26"/>
      <c r="N318" s="17"/>
      <c r="O318" s="9">
        <f t="shared" si="40"/>
        <v>-23.3</v>
      </c>
      <c r="P318" s="8">
        <f>D314/B314*10^(O318/10)</f>
        <v>0.73278505468327648</v>
      </c>
      <c r="Q318" s="26"/>
      <c r="R318" s="17"/>
      <c r="S318" s="19"/>
      <c r="T318" s="17"/>
      <c r="U318" s="22"/>
    </row>
    <row r="319" spans="1:21" x14ac:dyDescent="0.25">
      <c r="A319" s="24"/>
      <c r="B319" s="24"/>
      <c r="C319" s="17"/>
      <c r="D319" s="24"/>
      <c r="E319" s="24"/>
      <c r="F319" s="25"/>
      <c r="G319" s="1">
        <v>5625</v>
      </c>
      <c r="H319" s="2">
        <v>99.5</v>
      </c>
      <c r="I319" s="2">
        <v>-20.100000000000001</v>
      </c>
      <c r="J319" s="2">
        <v>-25.2</v>
      </c>
      <c r="K319" s="2">
        <f t="shared" si="38"/>
        <v>-20.100000000000001</v>
      </c>
      <c r="L319" s="8">
        <f t="shared" si="42"/>
        <v>1.0964781961431857E-12</v>
      </c>
      <c r="M319" s="26"/>
      <c r="N319" s="17"/>
      <c r="O319" s="9">
        <f t="shared" si="40"/>
        <v>-25.2</v>
      </c>
      <c r="P319" s="8">
        <f>D314/B314*10^(O319/10)</f>
        <v>0.47312576952964874</v>
      </c>
      <c r="Q319" s="26"/>
      <c r="R319" s="17"/>
      <c r="S319" s="20"/>
      <c r="T319" s="17"/>
      <c r="U319" s="23"/>
    </row>
    <row r="320" spans="1:21" x14ac:dyDescent="0.25">
      <c r="A320" s="24">
        <v>8000</v>
      </c>
      <c r="B320" s="24">
        <v>3</v>
      </c>
      <c r="C320" s="17">
        <v>0.5</v>
      </c>
      <c r="D320" s="24">
        <v>943</v>
      </c>
      <c r="E320" s="24">
        <v>6</v>
      </c>
      <c r="F320" s="25">
        <v>54</v>
      </c>
      <c r="G320" s="1">
        <v>6025</v>
      </c>
      <c r="H320" s="2">
        <v>95</v>
      </c>
      <c r="I320" s="2">
        <v>-19.2</v>
      </c>
      <c r="J320" s="2">
        <v>-30</v>
      </c>
      <c r="K320" s="2">
        <f t="shared" si="38"/>
        <v>-19.2</v>
      </c>
      <c r="L320" s="8">
        <f t="shared" si="42"/>
        <v>3.8018939632056084E-12</v>
      </c>
      <c r="M320" s="26">
        <f>SUM(L320:L325)</f>
        <v>1.1953651484798865E-10</v>
      </c>
      <c r="N320" s="17">
        <f>10*LOG10(M320/E320)</f>
        <v>-107.00650660792887</v>
      </c>
      <c r="O320" s="9">
        <f t="shared" si="40"/>
        <v>-30</v>
      </c>
      <c r="P320" s="8">
        <f>D320/B320*10^(O320/10)</f>
        <v>0.3143333333333333</v>
      </c>
      <c r="Q320" s="26">
        <f>SUM(P320:P325)</f>
        <v>5.4888240873328895</v>
      </c>
      <c r="R320" s="17">
        <f>10*LOG10(Q320)</f>
        <v>7.3947931219446659</v>
      </c>
      <c r="S320" s="18">
        <f>F320+N320-Kzt-H</f>
        <v>-53.00650660792887</v>
      </c>
      <c r="T320" s="17">
        <v>0.7</v>
      </c>
      <c r="U320" s="21">
        <f>T320*10^((S320-R320)/10)</f>
        <v>6.3821655743071838E-7</v>
      </c>
    </row>
    <row r="321" spans="1:21" x14ac:dyDescent="0.25">
      <c r="A321" s="24"/>
      <c r="B321" s="24"/>
      <c r="C321" s="17"/>
      <c r="D321" s="24"/>
      <c r="E321" s="24"/>
      <c r="F321" s="25"/>
      <c r="G321" s="1">
        <v>7025</v>
      </c>
      <c r="H321" s="2">
        <v>94.8</v>
      </c>
      <c r="I321" s="2">
        <v>-22.9</v>
      </c>
      <c r="J321" s="2">
        <v>-23.1</v>
      </c>
      <c r="K321" s="2">
        <f t="shared" si="38"/>
        <v>-22.9</v>
      </c>
      <c r="L321" s="8">
        <f t="shared" si="42"/>
        <v>1.6982436524617421E-12</v>
      </c>
      <c r="M321" s="26"/>
      <c r="N321" s="17"/>
      <c r="O321" s="9">
        <f t="shared" si="40"/>
        <v>-23.1</v>
      </c>
      <c r="P321" s="8">
        <f>D320/B320*10^(O321/10)</f>
        <v>1.5395380888814807</v>
      </c>
      <c r="Q321" s="26"/>
      <c r="R321" s="17"/>
      <c r="S321" s="19"/>
      <c r="T321" s="17"/>
      <c r="U321" s="22"/>
    </row>
    <row r="322" spans="1:21" x14ac:dyDescent="0.25">
      <c r="A322" s="24"/>
      <c r="B322" s="24"/>
      <c r="C322" s="17"/>
      <c r="D322" s="24"/>
      <c r="E322" s="24"/>
      <c r="F322" s="25"/>
      <c r="G322" s="1">
        <v>8025</v>
      </c>
      <c r="H322" s="2">
        <v>101.9</v>
      </c>
      <c r="I322" s="2">
        <v>-16.8</v>
      </c>
      <c r="J322" s="2">
        <v>-38.4</v>
      </c>
      <c r="K322" s="2">
        <f t="shared" si="38"/>
        <v>-16.8</v>
      </c>
      <c r="L322" s="8">
        <f t="shared" si="42"/>
        <v>1.3489628825916484E-12</v>
      </c>
      <c r="M322" s="26"/>
      <c r="N322" s="17"/>
      <c r="O322" s="9">
        <f t="shared" si="40"/>
        <v>-38.4</v>
      </c>
      <c r="P322" s="8">
        <f>D320/B320*10^(O322/10)</f>
        <v>4.5434990127113627E-2</v>
      </c>
      <c r="Q322" s="26"/>
      <c r="R322" s="17"/>
      <c r="S322" s="19"/>
      <c r="T322" s="17"/>
      <c r="U322" s="22"/>
    </row>
    <row r="323" spans="1:21" x14ac:dyDescent="0.25">
      <c r="A323" s="24"/>
      <c r="B323" s="24"/>
      <c r="C323" s="17"/>
      <c r="D323" s="24"/>
      <c r="E323" s="24"/>
      <c r="F323" s="25"/>
      <c r="G323" s="1">
        <v>9025</v>
      </c>
      <c r="H323" s="2">
        <v>93.2</v>
      </c>
      <c r="I323" s="2">
        <v>-21.9</v>
      </c>
      <c r="J323" s="2">
        <v>-24.4</v>
      </c>
      <c r="K323" s="2">
        <f t="shared" si="38"/>
        <v>-21.9</v>
      </c>
      <c r="L323" s="8">
        <f t="shared" si="42"/>
        <v>3.0902954325135792E-12</v>
      </c>
      <c r="M323" s="26"/>
      <c r="N323" s="17"/>
      <c r="O323" s="9">
        <f t="shared" si="40"/>
        <v>-24.4</v>
      </c>
      <c r="P323" s="8">
        <f>D320/B320*10^(O323/10)</f>
        <v>1.1412753521606844</v>
      </c>
      <c r="Q323" s="26"/>
      <c r="R323" s="17"/>
      <c r="S323" s="19"/>
      <c r="T323" s="17"/>
      <c r="U323" s="22"/>
    </row>
    <row r="324" spans="1:21" x14ac:dyDescent="0.25">
      <c r="A324" s="24"/>
      <c r="B324" s="24"/>
      <c r="C324" s="17"/>
      <c r="D324" s="24"/>
      <c r="E324" s="24"/>
      <c r="F324" s="25"/>
      <c r="G324" s="1">
        <v>10025</v>
      </c>
      <c r="H324" s="2">
        <v>88.3</v>
      </c>
      <c r="I324" s="2">
        <v>-16</v>
      </c>
      <c r="J324" s="2">
        <v>-22</v>
      </c>
      <c r="K324" s="2">
        <f t="shared" si="38"/>
        <v>-16</v>
      </c>
      <c r="L324" s="8">
        <f t="shared" si="42"/>
        <v>3.7153522909717256E-11</v>
      </c>
      <c r="M324" s="26"/>
      <c r="N324" s="17"/>
      <c r="O324" s="9">
        <f t="shared" si="40"/>
        <v>-22</v>
      </c>
      <c r="P324" s="8">
        <f>D320/B320*10^(O324/10)</f>
        <v>1.9833092528160716</v>
      </c>
      <c r="Q324" s="26"/>
      <c r="R324" s="17"/>
      <c r="S324" s="19"/>
      <c r="T324" s="17"/>
      <c r="U324" s="22"/>
    </row>
    <row r="325" spans="1:21" x14ac:dyDescent="0.25">
      <c r="A325" s="24"/>
      <c r="B325" s="24"/>
      <c r="C325" s="17"/>
      <c r="D325" s="24"/>
      <c r="E325" s="24"/>
      <c r="F325" s="25"/>
      <c r="G325" s="1">
        <v>11025</v>
      </c>
      <c r="H325" s="2">
        <v>86</v>
      </c>
      <c r="I325" s="2">
        <v>-15.4</v>
      </c>
      <c r="J325" s="2">
        <v>-28.3</v>
      </c>
      <c r="K325" s="2">
        <f t="shared" si="38"/>
        <v>-15.4</v>
      </c>
      <c r="L325" s="8">
        <f t="shared" si="42"/>
        <v>7.2443596007498811E-11</v>
      </c>
      <c r="M325" s="26"/>
      <c r="N325" s="17"/>
      <c r="O325" s="9">
        <f t="shared" si="40"/>
        <v>-28.3</v>
      </c>
      <c r="P325" s="8">
        <f>D320/B320*10^(O325/10)</f>
        <v>0.46493307001420625</v>
      </c>
      <c r="Q325" s="26"/>
      <c r="R325" s="17"/>
      <c r="S325" s="20"/>
      <c r="T325" s="17"/>
      <c r="U325" s="23"/>
    </row>
    <row r="326" spans="1:21" x14ac:dyDescent="0.25">
      <c r="A326" s="24" t="s">
        <v>20</v>
      </c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12">
        <f>U326</f>
        <v>8.7646893060321696E-2</v>
      </c>
      <c r="T326" s="2"/>
      <c r="U326" s="8">
        <f>0.8*SQRT(SUM(U292:U325))</f>
        <v>8.7646893060321696E-2</v>
      </c>
    </row>
    <row r="327" spans="1:21" x14ac:dyDescent="0.25">
      <c r="A327" s="27" t="s">
        <v>41</v>
      </c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9"/>
    </row>
    <row r="328" spans="1:21" x14ac:dyDescent="0.25">
      <c r="A328" s="24">
        <v>250</v>
      </c>
      <c r="B328" s="24">
        <v>3</v>
      </c>
      <c r="C328" s="17">
        <v>0.5</v>
      </c>
      <c r="D328" s="24">
        <v>38</v>
      </c>
      <c r="E328" s="24">
        <v>4</v>
      </c>
      <c r="F328" s="25">
        <v>84</v>
      </c>
      <c r="G328" s="1">
        <v>175</v>
      </c>
      <c r="H328" s="2">
        <v>84.8</v>
      </c>
      <c r="I328" s="2">
        <v>-17.2</v>
      </c>
      <c r="J328" s="2">
        <v>-25.2</v>
      </c>
      <c r="K328" s="2">
        <f>I328</f>
        <v>-17.2</v>
      </c>
      <c r="L328" s="8">
        <f>10^((K328-H328)/10)</f>
        <v>6.3095734448019192E-11</v>
      </c>
      <c r="M328" s="26">
        <f>SUM(L328:L331)</f>
        <v>8.5553490528554637E-11</v>
      </c>
      <c r="N328" s="17">
        <f>10*LOG10(M328/E328)</f>
        <v>-106.69822258147916</v>
      </c>
      <c r="O328" s="9">
        <f>J328</f>
        <v>-25.2</v>
      </c>
      <c r="P328" s="8">
        <f>D328/B328*10^(O328/10)</f>
        <v>3.8252721791758836E-2</v>
      </c>
      <c r="Q328" s="26">
        <f>SUM(P328:P331)</f>
        <v>0.10208561803746784</v>
      </c>
      <c r="R328" s="17">
        <f>10*LOG10(Q328)</f>
        <v>-9.9103543760867279</v>
      </c>
      <c r="S328" s="18">
        <f>F328+N328-Kzt-H</f>
        <v>-22.698222581479158</v>
      </c>
      <c r="T328" s="17">
        <v>0.2</v>
      </c>
      <c r="U328" s="21">
        <f>T328*10^((S328-R328)/10)</f>
        <v>1.0525510652640882E-2</v>
      </c>
    </row>
    <row r="329" spans="1:21" x14ac:dyDescent="0.25">
      <c r="A329" s="24"/>
      <c r="B329" s="24"/>
      <c r="C329" s="17"/>
      <c r="D329" s="24"/>
      <c r="E329" s="24"/>
      <c r="F329" s="25"/>
      <c r="G329" s="1">
        <v>225</v>
      </c>
      <c r="H329" s="2">
        <v>90</v>
      </c>
      <c r="I329" s="2">
        <v>-19.100000000000001</v>
      </c>
      <c r="J329" s="2">
        <v>-28.3</v>
      </c>
      <c r="K329" s="2">
        <f t="shared" ref="K329:K361" si="43">I329</f>
        <v>-19.100000000000001</v>
      </c>
      <c r="L329" s="8">
        <f t="shared" ref="L329:L330" si="44">10^((K329-H329)/10)</f>
        <v>1.2302687708123787E-11</v>
      </c>
      <c r="M329" s="26"/>
      <c r="N329" s="17"/>
      <c r="O329" s="9">
        <f t="shared" ref="O329:O361" si="45">J329</f>
        <v>-28.3</v>
      </c>
      <c r="P329" s="8">
        <f>D328/B328*10^(O329/10)</f>
        <v>1.8735372916797284E-2</v>
      </c>
      <c r="Q329" s="26"/>
      <c r="R329" s="17"/>
      <c r="S329" s="19"/>
      <c r="T329" s="17"/>
      <c r="U329" s="22"/>
    </row>
    <row r="330" spans="1:21" x14ac:dyDescent="0.25">
      <c r="A330" s="24"/>
      <c r="B330" s="24"/>
      <c r="C330" s="17"/>
      <c r="D330" s="24"/>
      <c r="E330" s="24"/>
      <c r="F330" s="25"/>
      <c r="G330" s="1">
        <v>275</v>
      </c>
      <c r="H330" s="2">
        <v>92.2</v>
      </c>
      <c r="I330" s="2">
        <v>-19.600000000000001</v>
      </c>
      <c r="J330" s="2">
        <v>-27.7</v>
      </c>
      <c r="K330" s="2">
        <f t="shared" si="43"/>
        <v>-19.600000000000001</v>
      </c>
      <c r="L330" s="8">
        <f t="shared" si="44"/>
        <v>6.6069344800759144E-12</v>
      </c>
      <c r="M330" s="26"/>
      <c r="N330" s="17"/>
      <c r="O330" s="9">
        <f t="shared" si="45"/>
        <v>-27.7</v>
      </c>
      <c r="P330" s="8">
        <f>D328/B328*10^(O330/10)</f>
        <v>2.1511086264515405E-2</v>
      </c>
      <c r="Q330" s="26"/>
      <c r="R330" s="17"/>
      <c r="S330" s="19"/>
      <c r="T330" s="17"/>
      <c r="U330" s="22"/>
    </row>
    <row r="331" spans="1:21" x14ac:dyDescent="0.25">
      <c r="A331" s="24"/>
      <c r="B331" s="24"/>
      <c r="C331" s="17"/>
      <c r="D331" s="24"/>
      <c r="E331" s="24"/>
      <c r="F331" s="25"/>
      <c r="G331" s="1">
        <v>325</v>
      </c>
      <c r="H331" s="2">
        <v>93.3</v>
      </c>
      <c r="I331" s="2">
        <v>-21.2</v>
      </c>
      <c r="J331" s="2">
        <v>-27.3</v>
      </c>
      <c r="K331" s="2">
        <f t="shared" si="43"/>
        <v>-21.2</v>
      </c>
      <c r="L331" s="8">
        <f>10^((K331-H331)/10)</f>
        <v>3.5481338923357515E-12</v>
      </c>
      <c r="M331" s="26"/>
      <c r="N331" s="17"/>
      <c r="O331" s="9">
        <f t="shared" si="45"/>
        <v>-27.3</v>
      </c>
      <c r="P331" s="8">
        <f>D328/B328*10^(O331/10)</f>
        <v>2.3586437064396306E-2</v>
      </c>
      <c r="Q331" s="26"/>
      <c r="R331" s="17"/>
      <c r="S331" s="20"/>
      <c r="T331" s="17"/>
      <c r="U331" s="23"/>
    </row>
    <row r="332" spans="1:21" x14ac:dyDescent="0.25">
      <c r="A332" s="24">
        <v>500</v>
      </c>
      <c r="B332" s="24">
        <v>3</v>
      </c>
      <c r="C332" s="17">
        <v>0.5</v>
      </c>
      <c r="D332" s="24">
        <v>59</v>
      </c>
      <c r="E332" s="24">
        <v>6</v>
      </c>
      <c r="F332" s="25">
        <v>84</v>
      </c>
      <c r="G332" s="1">
        <v>375</v>
      </c>
      <c r="H332" s="2">
        <v>91.9</v>
      </c>
      <c r="I332" s="2">
        <v>-23.7</v>
      </c>
      <c r="J332" s="2">
        <v>-28.8</v>
      </c>
      <c r="K332" s="2">
        <f t="shared" si="43"/>
        <v>-23.7</v>
      </c>
      <c r="L332" s="8">
        <f t="shared" ref="L332:L333" si="46">10^((K332-H332)/10)</f>
        <v>2.7542287033381574E-12</v>
      </c>
      <c r="M332" s="26">
        <f>SUM(L332:L337)</f>
        <v>2.4496792603211522E-11</v>
      </c>
      <c r="N332" s="17">
        <f>10*LOG10(M332/E332)</f>
        <v>-113.89042025035977</v>
      </c>
      <c r="O332" s="9">
        <f t="shared" si="45"/>
        <v>-28.8</v>
      </c>
      <c r="P332" s="8">
        <f>D332/B332*10^(O332/10)</f>
        <v>2.5925715858276008E-2</v>
      </c>
      <c r="Q332" s="26">
        <f>SUM(P332:P337)</f>
        <v>0.30711326254036464</v>
      </c>
      <c r="R332" s="17">
        <f>10*LOG10(Q332)</f>
        <v>-5.1270142835104879</v>
      </c>
      <c r="S332" s="18">
        <f>F332+N332-Kzt-H</f>
        <v>-29.890420250359767</v>
      </c>
      <c r="T332" s="17">
        <v>0.5</v>
      </c>
      <c r="U332" s="21">
        <f>T332*10^((S332-R332)/10)</f>
        <v>1.6696652468029818E-3</v>
      </c>
    </row>
    <row r="333" spans="1:21" x14ac:dyDescent="0.25">
      <c r="A333" s="24"/>
      <c r="B333" s="24"/>
      <c r="C333" s="17"/>
      <c r="D333" s="24"/>
      <c r="E333" s="24"/>
      <c r="F333" s="25"/>
      <c r="G333" s="1">
        <v>425</v>
      </c>
      <c r="H333" s="2">
        <v>88.1</v>
      </c>
      <c r="I333" s="2">
        <v>-22.6</v>
      </c>
      <c r="J333" s="2">
        <v>-28.4</v>
      </c>
      <c r="K333" s="2">
        <f t="shared" si="43"/>
        <v>-22.6</v>
      </c>
      <c r="L333" s="8">
        <f t="shared" si="46"/>
        <v>8.5113803820237871E-12</v>
      </c>
      <c r="M333" s="26"/>
      <c r="N333" s="17"/>
      <c r="O333" s="9">
        <f t="shared" si="45"/>
        <v>-28.4</v>
      </c>
      <c r="P333" s="8">
        <f>D332/B332*10^(O333/10)</f>
        <v>2.8426982158003235E-2</v>
      </c>
      <c r="Q333" s="26"/>
      <c r="R333" s="17"/>
      <c r="S333" s="19"/>
      <c r="T333" s="17"/>
      <c r="U333" s="22"/>
    </row>
    <row r="334" spans="1:21" x14ac:dyDescent="0.25">
      <c r="A334" s="24"/>
      <c r="B334" s="24"/>
      <c r="C334" s="17"/>
      <c r="D334" s="24"/>
      <c r="E334" s="24"/>
      <c r="F334" s="25"/>
      <c r="G334" s="1">
        <v>475</v>
      </c>
      <c r="H334" s="2">
        <v>90</v>
      </c>
      <c r="I334" s="2">
        <v>-22.099999999999998</v>
      </c>
      <c r="J334" s="2">
        <v>-23.7</v>
      </c>
      <c r="K334" s="2">
        <f t="shared" si="43"/>
        <v>-22.099999999999998</v>
      </c>
      <c r="L334" s="8">
        <f>10^((K334-H334)/10)</f>
        <v>6.1659500186148244E-12</v>
      </c>
      <c r="M334" s="26"/>
      <c r="N334" s="17"/>
      <c r="O334" s="9">
        <f t="shared" si="45"/>
        <v>-23.7</v>
      </c>
      <c r="P334" s="8">
        <f>D332/B332*10^(O334/10)</f>
        <v>8.3893972030979869E-2</v>
      </c>
      <c r="Q334" s="26"/>
      <c r="R334" s="17"/>
      <c r="S334" s="19"/>
      <c r="T334" s="17"/>
      <c r="U334" s="22"/>
    </row>
    <row r="335" spans="1:21" x14ac:dyDescent="0.25">
      <c r="A335" s="24"/>
      <c r="B335" s="24"/>
      <c r="C335" s="17"/>
      <c r="D335" s="24"/>
      <c r="E335" s="24"/>
      <c r="F335" s="25"/>
      <c r="G335" s="1">
        <v>575</v>
      </c>
      <c r="H335" s="2">
        <v>97</v>
      </c>
      <c r="I335" s="2">
        <v>-24.2</v>
      </c>
      <c r="J335" s="2">
        <v>-28.9</v>
      </c>
      <c r="K335" s="2">
        <f t="shared" si="43"/>
        <v>-24.2</v>
      </c>
      <c r="L335" s="8">
        <f t="shared" ref="L335:L361" si="47">10^((K335-H335)/10)</f>
        <v>7.5857757502917993E-13</v>
      </c>
      <c r="M335" s="26"/>
      <c r="N335" s="17"/>
      <c r="O335" s="9">
        <f t="shared" si="45"/>
        <v>-28.9</v>
      </c>
      <c r="P335" s="8">
        <f>D332/B332*10^(O335/10)</f>
        <v>2.533557451663164E-2</v>
      </c>
      <c r="Q335" s="26"/>
      <c r="R335" s="17"/>
      <c r="S335" s="19"/>
      <c r="T335" s="17"/>
      <c r="U335" s="22"/>
    </row>
    <row r="336" spans="1:21" x14ac:dyDescent="0.25">
      <c r="A336" s="24"/>
      <c r="B336" s="24"/>
      <c r="C336" s="17"/>
      <c r="D336" s="24"/>
      <c r="E336" s="24"/>
      <c r="F336" s="25"/>
      <c r="G336" s="1">
        <v>625</v>
      </c>
      <c r="H336" s="2">
        <v>92</v>
      </c>
      <c r="I336" s="2">
        <v>-21.8</v>
      </c>
      <c r="J336" s="2">
        <v>-23.2</v>
      </c>
      <c r="K336" s="2">
        <f t="shared" si="43"/>
        <v>-21.8</v>
      </c>
      <c r="L336" s="8">
        <f t="shared" si="47"/>
        <v>4.1686938347033479E-12</v>
      </c>
      <c r="M336" s="26"/>
      <c r="N336" s="17"/>
      <c r="O336" s="9">
        <f t="shared" si="45"/>
        <v>-23.2</v>
      </c>
      <c r="P336" s="8">
        <f>D332/B332*10^(O336/10)</f>
        <v>9.4130584823452212E-2</v>
      </c>
      <c r="Q336" s="26"/>
      <c r="R336" s="17"/>
      <c r="S336" s="19"/>
      <c r="T336" s="17"/>
      <c r="U336" s="22"/>
    </row>
    <row r="337" spans="1:21" x14ac:dyDescent="0.25">
      <c r="A337" s="24"/>
      <c r="B337" s="24"/>
      <c r="C337" s="17"/>
      <c r="D337" s="24"/>
      <c r="E337" s="24"/>
      <c r="F337" s="25"/>
      <c r="G337" s="1">
        <v>675</v>
      </c>
      <c r="H337" s="2">
        <v>94.5</v>
      </c>
      <c r="I337" s="2">
        <v>-22.2</v>
      </c>
      <c r="J337" s="2">
        <v>-26</v>
      </c>
      <c r="K337" s="2">
        <f t="shared" si="43"/>
        <v>-22.2</v>
      </c>
      <c r="L337" s="8">
        <f t="shared" si="47"/>
        <v>2.1379620895022273E-12</v>
      </c>
      <c r="M337" s="26"/>
      <c r="N337" s="17"/>
      <c r="O337" s="9">
        <f t="shared" si="45"/>
        <v>-26</v>
      </c>
      <c r="P337" s="8">
        <f>D332/B332*10^(O337/10)</f>
        <v>4.94004331530217E-2</v>
      </c>
      <c r="Q337" s="26"/>
      <c r="R337" s="17"/>
      <c r="S337" s="20"/>
      <c r="T337" s="17"/>
      <c r="U337" s="23"/>
    </row>
    <row r="338" spans="1:21" x14ac:dyDescent="0.25">
      <c r="A338" s="24">
        <v>1000</v>
      </c>
      <c r="B338" s="24">
        <v>3</v>
      </c>
      <c r="C338" s="17">
        <v>0.5</v>
      </c>
      <c r="D338" s="24">
        <v>117</v>
      </c>
      <c r="E338" s="24">
        <v>6</v>
      </c>
      <c r="F338" s="25">
        <v>76</v>
      </c>
      <c r="G338" s="1">
        <v>875</v>
      </c>
      <c r="H338" s="2">
        <v>91.1</v>
      </c>
      <c r="I338" s="2">
        <v>-25.4</v>
      </c>
      <c r="J338" s="2">
        <v>-25.9</v>
      </c>
      <c r="K338" s="2">
        <f t="shared" si="43"/>
        <v>-25.4</v>
      </c>
      <c r="L338" s="8">
        <f t="shared" si="47"/>
        <v>2.2387211385683343E-12</v>
      </c>
      <c r="M338" s="26">
        <f>SUM(L338:L343)</f>
        <v>7.2179210950418348E-12</v>
      </c>
      <c r="N338" s="17">
        <f>10*LOG10(M338/E338)</f>
        <v>-119.19739120259936</v>
      </c>
      <c r="O338" s="9">
        <f t="shared" si="45"/>
        <v>-25.9</v>
      </c>
      <c r="P338" s="8">
        <f>D338/B338*10^(O338/10)</f>
        <v>0.10024543552798568</v>
      </c>
      <c r="Q338" s="26">
        <f>SUM(P338:P343)</f>
        <v>0.68135891811872396</v>
      </c>
      <c r="R338" s="17">
        <f>10*LOG10(Q338)</f>
        <v>-1.6662405534725158</v>
      </c>
      <c r="S338" s="18">
        <f>F338+N338-Kzt-H</f>
        <v>-43.197391202599363</v>
      </c>
      <c r="T338" s="17">
        <v>0.8</v>
      </c>
      <c r="U338" s="21">
        <f>T338*10^((S338-R338)/10)</f>
        <v>5.6230885426424971E-5</v>
      </c>
    </row>
    <row r="339" spans="1:21" x14ac:dyDescent="0.25">
      <c r="A339" s="24"/>
      <c r="B339" s="24"/>
      <c r="C339" s="17"/>
      <c r="D339" s="24"/>
      <c r="E339" s="24"/>
      <c r="F339" s="25"/>
      <c r="G339" s="1">
        <v>975</v>
      </c>
      <c r="H339" s="2">
        <v>96.5</v>
      </c>
      <c r="I339" s="2">
        <v>-21.2</v>
      </c>
      <c r="J339" s="2">
        <v>-26.3</v>
      </c>
      <c r="K339" s="2">
        <f t="shared" si="43"/>
        <v>-21.2</v>
      </c>
      <c r="L339" s="8">
        <f t="shared" si="47"/>
        <v>1.6982436524617421E-12</v>
      </c>
      <c r="M339" s="26"/>
      <c r="N339" s="17"/>
      <c r="O339" s="9">
        <f t="shared" si="45"/>
        <v>-26.3</v>
      </c>
      <c r="P339" s="8">
        <f>D338/B338*10^(O339/10)</f>
        <v>9.1424923797476895E-2</v>
      </c>
      <c r="Q339" s="26"/>
      <c r="R339" s="17"/>
      <c r="S339" s="19"/>
      <c r="T339" s="17"/>
      <c r="U339" s="22"/>
    </row>
    <row r="340" spans="1:21" x14ac:dyDescent="0.25">
      <c r="A340" s="24"/>
      <c r="B340" s="24"/>
      <c r="C340" s="17"/>
      <c r="D340" s="24"/>
      <c r="E340" s="24"/>
      <c r="F340" s="25"/>
      <c r="G340" s="1">
        <v>1075</v>
      </c>
      <c r="H340" s="2">
        <v>94.6</v>
      </c>
      <c r="I340" s="2">
        <v>-23.4</v>
      </c>
      <c r="J340" s="2">
        <v>-24.9</v>
      </c>
      <c r="K340" s="2">
        <f t="shared" si="43"/>
        <v>-23.4</v>
      </c>
      <c r="L340" s="8">
        <f t="shared" si="47"/>
        <v>1.5848931924611065E-12</v>
      </c>
      <c r="M340" s="26"/>
      <c r="N340" s="17"/>
      <c r="O340" s="9">
        <f t="shared" si="45"/>
        <v>-24.9</v>
      </c>
      <c r="P340" s="8">
        <f>D338/B338*10^(O340/10)</f>
        <v>0.12620152620255501</v>
      </c>
      <c r="Q340" s="26"/>
      <c r="R340" s="17"/>
      <c r="S340" s="19"/>
      <c r="T340" s="17"/>
      <c r="U340" s="22"/>
    </row>
    <row r="341" spans="1:21" x14ac:dyDescent="0.25">
      <c r="A341" s="24"/>
      <c r="B341" s="24"/>
      <c r="C341" s="17"/>
      <c r="D341" s="24"/>
      <c r="E341" s="24"/>
      <c r="F341" s="25"/>
      <c r="G341" s="1">
        <v>1175</v>
      </c>
      <c r="H341" s="2">
        <v>97.8</v>
      </c>
      <c r="I341" s="2">
        <v>-25.2</v>
      </c>
      <c r="J341" s="2">
        <v>-27.7</v>
      </c>
      <c r="K341" s="2">
        <f t="shared" si="43"/>
        <v>-25.2</v>
      </c>
      <c r="L341" s="8">
        <f t="shared" si="47"/>
        <v>5.0118723362727066E-13</v>
      </c>
      <c r="M341" s="26"/>
      <c r="N341" s="17"/>
      <c r="O341" s="9">
        <f t="shared" si="45"/>
        <v>-27.7</v>
      </c>
      <c r="P341" s="8">
        <f>D338/B338*10^(O341/10)</f>
        <v>6.6231502446007964E-2</v>
      </c>
      <c r="Q341" s="26"/>
      <c r="R341" s="17"/>
      <c r="S341" s="19"/>
      <c r="T341" s="17"/>
      <c r="U341" s="22"/>
    </row>
    <row r="342" spans="1:21" x14ac:dyDescent="0.25">
      <c r="A342" s="24"/>
      <c r="B342" s="24"/>
      <c r="C342" s="17"/>
      <c r="D342" s="24"/>
      <c r="E342" s="24"/>
      <c r="F342" s="25"/>
      <c r="G342" s="1">
        <v>1275</v>
      </c>
      <c r="H342" s="2">
        <v>100.1</v>
      </c>
      <c r="I342" s="2">
        <v>-20.100000000000001</v>
      </c>
      <c r="J342" s="2">
        <v>-23.9</v>
      </c>
      <c r="K342" s="2">
        <f t="shared" si="43"/>
        <v>-20.100000000000001</v>
      </c>
      <c r="L342" s="8">
        <f t="shared" si="47"/>
        <v>9.5499258602143367E-13</v>
      </c>
      <c r="M342" s="26"/>
      <c r="N342" s="17"/>
      <c r="O342" s="9">
        <f t="shared" si="45"/>
        <v>-23.9</v>
      </c>
      <c r="P342" s="8">
        <f>D338/B338*10^(O342/10)</f>
        <v>0.15887830834360409</v>
      </c>
      <c r="Q342" s="26"/>
      <c r="R342" s="17"/>
      <c r="S342" s="19"/>
      <c r="T342" s="17"/>
      <c r="U342" s="22"/>
    </row>
    <row r="343" spans="1:21" x14ac:dyDescent="0.25">
      <c r="A343" s="24"/>
      <c r="B343" s="24"/>
      <c r="C343" s="17"/>
      <c r="D343" s="24"/>
      <c r="E343" s="24"/>
      <c r="F343" s="25"/>
      <c r="G343" s="1">
        <v>1375</v>
      </c>
      <c r="H343" s="2">
        <v>103</v>
      </c>
      <c r="I343" s="2">
        <v>-23.2</v>
      </c>
      <c r="J343" s="2">
        <v>-24.5</v>
      </c>
      <c r="K343" s="2">
        <f t="shared" si="43"/>
        <v>-23.2</v>
      </c>
      <c r="L343" s="8">
        <f t="shared" si="47"/>
        <v>2.3988329190194817E-13</v>
      </c>
      <c r="M343" s="26"/>
      <c r="N343" s="17"/>
      <c r="O343" s="9">
        <f t="shared" si="45"/>
        <v>-24.5</v>
      </c>
      <c r="P343" s="8">
        <f>D338/B338*10^(O343/10)</f>
        <v>0.13837722180109435</v>
      </c>
      <c r="Q343" s="26"/>
      <c r="R343" s="17"/>
      <c r="S343" s="20"/>
      <c r="T343" s="17"/>
      <c r="U343" s="23"/>
    </row>
    <row r="344" spans="1:21" x14ac:dyDescent="0.25">
      <c r="A344" s="24">
        <v>2000</v>
      </c>
      <c r="B344" s="24">
        <v>3</v>
      </c>
      <c r="C344" s="17">
        <v>0.5</v>
      </c>
      <c r="D344" s="24">
        <v>234</v>
      </c>
      <c r="E344" s="24">
        <v>6</v>
      </c>
      <c r="F344" s="25">
        <v>68</v>
      </c>
      <c r="G344" s="1">
        <v>1425</v>
      </c>
      <c r="H344" s="2">
        <v>102.8</v>
      </c>
      <c r="I344" s="2">
        <v>-24.4</v>
      </c>
      <c r="J344" s="2">
        <v>-27.2</v>
      </c>
      <c r="K344" s="2">
        <f t="shared" si="43"/>
        <v>-24.4</v>
      </c>
      <c r="L344" s="8">
        <f t="shared" si="47"/>
        <v>1.9054607179632483E-13</v>
      </c>
      <c r="M344" s="26">
        <f>SUM(L344:L349)</f>
        <v>3.9508286146415008E-12</v>
      </c>
      <c r="N344" s="17">
        <f>10*LOG10(M344/E344)</f>
        <v>-121.8146305981378</v>
      </c>
      <c r="O344" s="9">
        <f t="shared" si="45"/>
        <v>-27.2</v>
      </c>
      <c r="P344" s="8">
        <f>D344/B344*10^(O344/10)</f>
        <v>0.1486259360011333</v>
      </c>
      <c r="Q344" s="26">
        <f>SUM(P344:P349)</f>
        <v>0.83245832653684926</v>
      </c>
      <c r="R344" s="17">
        <f>10*LOG10(Q344)</f>
        <v>-0.79637498371905535</v>
      </c>
      <c r="S344" s="18">
        <f>F344+N344-Kzt-H</f>
        <v>-53.814630598137796</v>
      </c>
      <c r="T344" s="17">
        <v>1</v>
      </c>
      <c r="U344" s="21">
        <f>T344*10^((S344-R344)/10)</f>
        <v>4.9908490946347497E-6</v>
      </c>
    </row>
    <row r="345" spans="1:21" x14ac:dyDescent="0.25">
      <c r="A345" s="24"/>
      <c r="B345" s="24"/>
      <c r="C345" s="17"/>
      <c r="D345" s="24"/>
      <c r="E345" s="24"/>
      <c r="F345" s="25"/>
      <c r="G345" s="1">
        <v>1625</v>
      </c>
      <c r="H345" s="2">
        <v>104.1</v>
      </c>
      <c r="I345" s="2">
        <v>-20.2</v>
      </c>
      <c r="J345" s="2">
        <v>-28.7</v>
      </c>
      <c r="K345" s="2">
        <f t="shared" si="43"/>
        <v>-20.2</v>
      </c>
      <c r="L345" s="8">
        <f t="shared" si="47"/>
        <v>3.7153522909717175E-13</v>
      </c>
      <c r="M345" s="26"/>
      <c r="N345" s="17"/>
      <c r="O345" s="9">
        <f t="shared" si="45"/>
        <v>-28.7</v>
      </c>
      <c r="P345" s="8">
        <f>D344/B344*10^(O345/10)</f>
        <v>0.10521910484214889</v>
      </c>
      <c r="Q345" s="26"/>
      <c r="R345" s="17"/>
      <c r="S345" s="19"/>
      <c r="T345" s="17"/>
      <c r="U345" s="22"/>
    </row>
    <row r="346" spans="1:21" x14ac:dyDescent="0.25">
      <c r="A346" s="24"/>
      <c r="B346" s="24"/>
      <c r="C346" s="17"/>
      <c r="D346" s="24"/>
      <c r="E346" s="24"/>
      <c r="F346" s="25"/>
      <c r="G346" s="1">
        <v>1825</v>
      </c>
      <c r="H346" s="2">
        <v>107.6</v>
      </c>
      <c r="I346" s="2">
        <v>-20.100000000000001</v>
      </c>
      <c r="J346" s="2">
        <v>-27.7</v>
      </c>
      <c r="K346" s="2">
        <f t="shared" si="43"/>
        <v>-20.100000000000001</v>
      </c>
      <c r="L346" s="8">
        <f t="shared" si="47"/>
        <v>1.6982436524617405E-13</v>
      </c>
      <c r="M346" s="26"/>
      <c r="N346" s="17"/>
      <c r="O346" s="9">
        <f t="shared" si="45"/>
        <v>-27.7</v>
      </c>
      <c r="P346" s="8">
        <f>D344/B344*10^(O346/10)</f>
        <v>0.13246300489201593</v>
      </c>
      <c r="Q346" s="26"/>
      <c r="R346" s="17"/>
      <c r="S346" s="19"/>
      <c r="T346" s="17"/>
      <c r="U346" s="22"/>
    </row>
    <row r="347" spans="1:21" x14ac:dyDescent="0.25">
      <c r="A347" s="24"/>
      <c r="B347" s="24"/>
      <c r="C347" s="17"/>
      <c r="D347" s="24"/>
      <c r="E347" s="24"/>
      <c r="F347" s="25"/>
      <c r="G347" s="1">
        <v>2125</v>
      </c>
      <c r="H347" s="2">
        <v>104.2</v>
      </c>
      <c r="I347" s="2">
        <v>-21.6</v>
      </c>
      <c r="J347" s="2">
        <v>-26.3</v>
      </c>
      <c r="K347" s="2">
        <f t="shared" si="43"/>
        <v>-21.6</v>
      </c>
      <c r="L347" s="8">
        <f t="shared" si="47"/>
        <v>2.6302679918953618E-13</v>
      </c>
      <c r="M347" s="26"/>
      <c r="N347" s="17"/>
      <c r="O347" s="9">
        <f t="shared" si="45"/>
        <v>-26.3</v>
      </c>
      <c r="P347" s="8">
        <f>D344/B344*10^(O347/10)</f>
        <v>0.18284984759495379</v>
      </c>
      <c r="Q347" s="26"/>
      <c r="R347" s="17"/>
      <c r="S347" s="19"/>
      <c r="T347" s="17"/>
      <c r="U347" s="22"/>
    </row>
    <row r="348" spans="1:21" x14ac:dyDescent="0.25">
      <c r="A348" s="24"/>
      <c r="B348" s="24"/>
      <c r="C348" s="17"/>
      <c r="D348" s="24"/>
      <c r="E348" s="24"/>
      <c r="F348" s="25"/>
      <c r="G348" s="1">
        <v>2425</v>
      </c>
      <c r="H348" s="2">
        <v>93.7</v>
      </c>
      <c r="I348" s="2">
        <v>-22.4</v>
      </c>
      <c r="J348" s="2">
        <v>-27</v>
      </c>
      <c r="K348" s="2">
        <f t="shared" si="43"/>
        <v>-22.4</v>
      </c>
      <c r="L348" s="8">
        <f t="shared" si="47"/>
        <v>2.4547089156850233E-12</v>
      </c>
      <c r="M348" s="26"/>
      <c r="N348" s="17"/>
      <c r="O348" s="9">
        <f t="shared" si="45"/>
        <v>-27</v>
      </c>
      <c r="P348" s="8">
        <f>D344/B344*10^(O348/10)</f>
        <v>0.15563046056757249</v>
      </c>
      <c r="Q348" s="26"/>
      <c r="R348" s="17"/>
      <c r="S348" s="19"/>
      <c r="T348" s="17"/>
      <c r="U348" s="22"/>
    </row>
    <row r="349" spans="1:21" x14ac:dyDescent="0.25">
      <c r="A349" s="24"/>
      <c r="B349" s="24"/>
      <c r="C349" s="17"/>
      <c r="D349" s="24"/>
      <c r="E349" s="24"/>
      <c r="F349" s="25"/>
      <c r="G349" s="1">
        <v>2775</v>
      </c>
      <c r="H349" s="2">
        <v>100.2</v>
      </c>
      <c r="I349" s="2">
        <v>-22.8</v>
      </c>
      <c r="J349" s="2">
        <v>-28.6</v>
      </c>
      <c r="K349" s="2">
        <f t="shared" si="43"/>
        <v>-22.8</v>
      </c>
      <c r="L349" s="8">
        <f t="shared" si="47"/>
        <v>5.0118723362727066E-13</v>
      </c>
      <c r="M349" s="26"/>
      <c r="N349" s="17"/>
      <c r="O349" s="9">
        <f t="shared" si="45"/>
        <v>-28.6</v>
      </c>
      <c r="P349" s="8">
        <f>D344/B344*10^(O349/10)</f>
        <v>0.10766997263902491</v>
      </c>
      <c r="Q349" s="26"/>
      <c r="R349" s="17"/>
      <c r="S349" s="20"/>
      <c r="T349" s="17"/>
      <c r="U349" s="23"/>
    </row>
    <row r="350" spans="1:21" x14ac:dyDescent="0.25">
      <c r="A350" s="24">
        <v>4000</v>
      </c>
      <c r="B350" s="24">
        <v>3</v>
      </c>
      <c r="C350" s="17">
        <v>0.5</v>
      </c>
      <c r="D350" s="24">
        <v>470</v>
      </c>
      <c r="E350" s="24">
        <v>6</v>
      </c>
      <c r="F350" s="25">
        <v>62</v>
      </c>
      <c r="G350" s="1">
        <v>2825</v>
      </c>
      <c r="H350" s="2">
        <v>99.4</v>
      </c>
      <c r="I350" s="2">
        <v>-22.2</v>
      </c>
      <c r="J350" s="2">
        <v>-34.200000000000003</v>
      </c>
      <c r="K350" s="2">
        <f t="shared" si="43"/>
        <v>-22.2</v>
      </c>
      <c r="L350" s="8">
        <f t="shared" si="47"/>
        <v>6.9183097091893335E-13</v>
      </c>
      <c r="M350" s="26">
        <f>SUM(L350:L355)</f>
        <v>2.8041841294535879E-12</v>
      </c>
      <c r="N350" s="17">
        <f>10*LOG10(M350/E350)</f>
        <v>-123.30344723335742</v>
      </c>
      <c r="O350" s="9">
        <f t="shared" si="45"/>
        <v>-34.200000000000003</v>
      </c>
      <c r="P350" s="8">
        <f>D350/B350*10^(O350/10)</f>
        <v>5.9563005423554465E-2</v>
      </c>
      <c r="Q350" s="26">
        <f>SUM(P350:P355)</f>
        <v>1.7284624668759225</v>
      </c>
      <c r="R350" s="17">
        <f>10*LOG10(Q350)</f>
        <v>2.376599533862914</v>
      </c>
      <c r="S350" s="18">
        <f>F350+N350-Kzt-H</f>
        <v>-61.303447233357417</v>
      </c>
      <c r="T350" s="17">
        <v>0.9</v>
      </c>
      <c r="U350" s="21">
        <f>T350*10^((S350-R350)/10)</f>
        <v>3.8568951501833667E-7</v>
      </c>
    </row>
    <row r="351" spans="1:21" x14ac:dyDescent="0.25">
      <c r="A351" s="24"/>
      <c r="B351" s="24"/>
      <c r="C351" s="17"/>
      <c r="D351" s="24"/>
      <c r="E351" s="24"/>
      <c r="F351" s="25"/>
      <c r="G351" s="1">
        <v>3425</v>
      </c>
      <c r="H351" s="2">
        <v>103.5</v>
      </c>
      <c r="I351" s="2">
        <v>-24.5</v>
      </c>
      <c r="J351" s="2">
        <v>-25.9</v>
      </c>
      <c r="K351" s="2">
        <f t="shared" si="43"/>
        <v>-24.5</v>
      </c>
      <c r="L351" s="8">
        <f t="shared" si="47"/>
        <v>1.5848931924611046E-13</v>
      </c>
      <c r="M351" s="26"/>
      <c r="N351" s="17"/>
      <c r="O351" s="9">
        <f t="shared" si="45"/>
        <v>-25.9</v>
      </c>
      <c r="P351" s="8">
        <f>D350/B350*10^(O351/10)</f>
        <v>0.40269533930045526</v>
      </c>
      <c r="Q351" s="26"/>
      <c r="R351" s="17"/>
      <c r="S351" s="19"/>
      <c r="T351" s="17"/>
      <c r="U351" s="22"/>
    </row>
    <row r="352" spans="1:21" x14ac:dyDescent="0.25">
      <c r="A352" s="24"/>
      <c r="B352" s="24"/>
      <c r="C352" s="17"/>
      <c r="D352" s="24"/>
      <c r="E352" s="24"/>
      <c r="F352" s="25"/>
      <c r="G352" s="1">
        <v>4025</v>
      </c>
      <c r="H352" s="2">
        <v>103.6</v>
      </c>
      <c r="I352" s="2">
        <v>-18.399999999999999</v>
      </c>
      <c r="J352" s="2">
        <v>-24.3</v>
      </c>
      <c r="K352" s="2">
        <f t="shared" si="43"/>
        <v>-18.399999999999999</v>
      </c>
      <c r="L352" s="8">
        <f t="shared" si="47"/>
        <v>6.3095734448019283E-13</v>
      </c>
      <c r="M352" s="26"/>
      <c r="N352" s="17"/>
      <c r="O352" s="9">
        <f t="shared" si="45"/>
        <v>-24.3</v>
      </c>
      <c r="P352" s="8">
        <f>D350/B350*10^(O352/10)</f>
        <v>0.58207185891890312</v>
      </c>
      <c r="Q352" s="26"/>
      <c r="R352" s="17"/>
      <c r="S352" s="19"/>
      <c r="T352" s="17"/>
      <c r="U352" s="22"/>
    </row>
    <row r="353" spans="1:21" x14ac:dyDescent="0.25">
      <c r="A353" s="24"/>
      <c r="B353" s="24"/>
      <c r="C353" s="17"/>
      <c r="D353" s="24"/>
      <c r="E353" s="24"/>
      <c r="F353" s="25"/>
      <c r="G353" s="1">
        <v>4625</v>
      </c>
      <c r="H353" s="2">
        <v>105.6</v>
      </c>
      <c r="I353" s="2">
        <v>-26.7</v>
      </c>
      <c r="J353" s="2">
        <v>-26.9</v>
      </c>
      <c r="K353" s="2">
        <f t="shared" si="43"/>
        <v>-26.7</v>
      </c>
      <c r="L353" s="8">
        <f t="shared" si="47"/>
        <v>5.8884365535558805E-14</v>
      </c>
      <c r="M353" s="26"/>
      <c r="N353" s="17"/>
      <c r="O353" s="9">
        <f t="shared" si="45"/>
        <v>-26.9</v>
      </c>
      <c r="P353" s="8">
        <f>D350/B350*10^(O353/10)</f>
        <v>0.31987227799822626</v>
      </c>
      <c r="Q353" s="26"/>
      <c r="R353" s="17"/>
      <c r="S353" s="19"/>
      <c r="T353" s="17"/>
      <c r="U353" s="22"/>
    </row>
    <row r="354" spans="1:21" x14ac:dyDescent="0.25">
      <c r="A354" s="24"/>
      <c r="B354" s="24"/>
      <c r="C354" s="17"/>
      <c r="D354" s="24"/>
      <c r="E354" s="24"/>
      <c r="F354" s="25"/>
      <c r="G354" s="1">
        <v>5225</v>
      </c>
      <c r="H354" s="2">
        <v>103.5</v>
      </c>
      <c r="I354" s="2">
        <v>-21.6</v>
      </c>
      <c r="J354" s="2">
        <v>-31.1</v>
      </c>
      <c r="K354" s="2">
        <f t="shared" si="43"/>
        <v>-21.6</v>
      </c>
      <c r="L354" s="8">
        <f t="shared" si="47"/>
        <v>3.0902954325135866E-13</v>
      </c>
      <c r="M354" s="26"/>
      <c r="N354" s="17"/>
      <c r="O354" s="9">
        <f t="shared" si="45"/>
        <v>-31.1</v>
      </c>
      <c r="P354" s="8">
        <f>D350/B350*10^(O354/10)</f>
        <v>0.12161204827182819</v>
      </c>
      <c r="Q354" s="26"/>
      <c r="R354" s="17"/>
      <c r="S354" s="19"/>
      <c r="T354" s="17"/>
      <c r="U354" s="22"/>
    </row>
    <row r="355" spans="1:21" x14ac:dyDescent="0.25">
      <c r="A355" s="24"/>
      <c r="B355" s="24"/>
      <c r="C355" s="17"/>
      <c r="D355" s="24"/>
      <c r="E355" s="24"/>
      <c r="F355" s="25"/>
      <c r="G355" s="1">
        <v>5625</v>
      </c>
      <c r="H355" s="2">
        <v>99.5</v>
      </c>
      <c r="I355" s="2">
        <v>-20.7</v>
      </c>
      <c r="J355" s="2">
        <v>-28.1</v>
      </c>
      <c r="K355" s="2">
        <f t="shared" si="43"/>
        <v>-20.7</v>
      </c>
      <c r="L355" s="8">
        <f t="shared" si="47"/>
        <v>9.5499258602143367E-13</v>
      </c>
      <c r="M355" s="26"/>
      <c r="N355" s="17"/>
      <c r="O355" s="9">
        <f t="shared" si="45"/>
        <v>-28.1</v>
      </c>
      <c r="P355" s="8">
        <f>D350/B350*10^(O355/10)</f>
        <v>0.24264793696295522</v>
      </c>
      <c r="Q355" s="26"/>
      <c r="R355" s="17"/>
      <c r="S355" s="20"/>
      <c r="T355" s="17"/>
      <c r="U355" s="23"/>
    </row>
    <row r="356" spans="1:21" x14ac:dyDescent="0.25">
      <c r="A356" s="24">
        <v>8000</v>
      </c>
      <c r="B356" s="24">
        <v>3</v>
      </c>
      <c r="C356" s="17">
        <v>0.5</v>
      </c>
      <c r="D356" s="24">
        <v>943</v>
      </c>
      <c r="E356" s="24">
        <v>6</v>
      </c>
      <c r="F356" s="25">
        <v>54</v>
      </c>
      <c r="G356" s="1">
        <v>6025</v>
      </c>
      <c r="H356" s="2">
        <v>95</v>
      </c>
      <c r="I356" s="2">
        <v>-20.3</v>
      </c>
      <c r="J356" s="2">
        <v>-23.9</v>
      </c>
      <c r="K356" s="2">
        <f t="shared" si="43"/>
        <v>-20.3</v>
      </c>
      <c r="L356" s="8">
        <f t="shared" si="47"/>
        <v>2.9512092266663859E-12</v>
      </c>
      <c r="M356" s="26">
        <f>SUM(L356:L361)</f>
        <v>4.4511211268324987E-11</v>
      </c>
      <c r="N356" s="17">
        <f>10*LOG10(M356/E356)</f>
        <v>-111.29681837633541</v>
      </c>
      <c r="O356" s="9">
        <f t="shared" si="45"/>
        <v>-23.9</v>
      </c>
      <c r="P356" s="8">
        <f>D356/B356*10^(O356/10)</f>
        <v>1.2805320065642618</v>
      </c>
      <c r="Q356" s="26">
        <f>SUM(P356:P361)</f>
        <v>4.4968105586912355</v>
      </c>
      <c r="R356" s="17">
        <f>10*LOG10(Q356)</f>
        <v>6.5290459202691045</v>
      </c>
      <c r="S356" s="18">
        <f>F356+N356-Kzt-H</f>
        <v>-57.296818376335409</v>
      </c>
      <c r="T356" s="17">
        <v>0.7</v>
      </c>
      <c r="U356" s="21">
        <f>T356*10^((S356-R356)/10)</f>
        <v>2.9007587460407931E-7</v>
      </c>
    </row>
    <row r="357" spans="1:21" x14ac:dyDescent="0.25">
      <c r="A357" s="24"/>
      <c r="B357" s="24"/>
      <c r="C357" s="17"/>
      <c r="D357" s="24"/>
      <c r="E357" s="24"/>
      <c r="F357" s="25"/>
      <c r="G357" s="1">
        <v>7025</v>
      </c>
      <c r="H357" s="2">
        <v>94.8</v>
      </c>
      <c r="I357" s="2">
        <v>-25.5</v>
      </c>
      <c r="J357" s="2">
        <v>-33.1</v>
      </c>
      <c r="K357" s="2">
        <f t="shared" si="43"/>
        <v>-25.5</v>
      </c>
      <c r="L357" s="8">
        <f t="shared" si="47"/>
        <v>9.3325430079698887E-13</v>
      </c>
      <c r="M357" s="26"/>
      <c r="N357" s="17"/>
      <c r="O357" s="9">
        <f t="shared" si="45"/>
        <v>-33.1</v>
      </c>
      <c r="P357" s="8">
        <f>D356/B356*10^(O357/10)</f>
        <v>0.15395380888814808</v>
      </c>
      <c r="Q357" s="26"/>
      <c r="R357" s="17"/>
      <c r="S357" s="19"/>
      <c r="T357" s="17"/>
      <c r="U357" s="22"/>
    </row>
    <row r="358" spans="1:21" x14ac:dyDescent="0.25">
      <c r="A358" s="24"/>
      <c r="B358" s="24"/>
      <c r="C358" s="17"/>
      <c r="D358" s="24"/>
      <c r="E358" s="24"/>
      <c r="F358" s="25"/>
      <c r="G358" s="1">
        <v>8025</v>
      </c>
      <c r="H358" s="2">
        <v>101.9</v>
      </c>
      <c r="I358" s="2">
        <v>-20.3</v>
      </c>
      <c r="J358" s="2">
        <v>-27.5</v>
      </c>
      <c r="K358" s="2">
        <f t="shared" si="43"/>
        <v>-20.3</v>
      </c>
      <c r="L358" s="8">
        <f t="shared" si="47"/>
        <v>6.025595860743553E-13</v>
      </c>
      <c r="M358" s="26"/>
      <c r="N358" s="17"/>
      <c r="O358" s="9">
        <f t="shared" si="45"/>
        <v>-27.5</v>
      </c>
      <c r="P358" s="8">
        <f>D356/B356*10^(O358/10)</f>
        <v>0.55897249455556786</v>
      </c>
      <c r="Q358" s="26"/>
      <c r="R358" s="17"/>
      <c r="S358" s="19"/>
      <c r="T358" s="17"/>
      <c r="U358" s="22"/>
    </row>
    <row r="359" spans="1:21" x14ac:dyDescent="0.25">
      <c r="A359" s="24"/>
      <c r="B359" s="24"/>
      <c r="C359" s="17"/>
      <c r="D359" s="24"/>
      <c r="E359" s="24"/>
      <c r="F359" s="25"/>
      <c r="G359" s="1">
        <v>9025</v>
      </c>
      <c r="H359" s="2">
        <v>93.2</v>
      </c>
      <c r="I359" s="2">
        <v>-19.8</v>
      </c>
      <c r="J359" s="2">
        <v>-24</v>
      </c>
      <c r="K359" s="2">
        <f t="shared" si="43"/>
        <v>-19.8</v>
      </c>
      <c r="L359" s="8">
        <f t="shared" si="47"/>
        <v>5.0118723362726945E-12</v>
      </c>
      <c r="M359" s="26"/>
      <c r="N359" s="17"/>
      <c r="O359" s="9">
        <f t="shared" si="45"/>
        <v>-24</v>
      </c>
      <c r="P359" s="8">
        <f>D356/B356*10^(O359/10)</f>
        <v>1.2513835394398261</v>
      </c>
      <c r="Q359" s="26"/>
      <c r="R359" s="17"/>
      <c r="S359" s="19"/>
      <c r="T359" s="17"/>
      <c r="U359" s="22"/>
    </row>
    <row r="360" spans="1:21" x14ac:dyDescent="0.25">
      <c r="A360" s="24"/>
      <c r="B360" s="24"/>
      <c r="C360" s="17"/>
      <c r="D360" s="24"/>
      <c r="E360" s="24"/>
      <c r="F360" s="25"/>
      <c r="G360" s="1">
        <v>10025</v>
      </c>
      <c r="H360" s="2">
        <v>88.3</v>
      </c>
      <c r="I360" s="2">
        <v>-22.3</v>
      </c>
      <c r="J360" s="2">
        <v>-28.5</v>
      </c>
      <c r="K360" s="2">
        <f t="shared" si="43"/>
        <v>-22.3</v>
      </c>
      <c r="L360" s="8">
        <f t="shared" si="47"/>
        <v>8.7096358995607975E-12</v>
      </c>
      <c r="M360" s="26"/>
      <c r="N360" s="17"/>
      <c r="O360" s="9">
        <f t="shared" si="45"/>
        <v>-28.5</v>
      </c>
      <c r="P360" s="8">
        <f>D356/B356*10^(O360/10)</f>
        <v>0.44400763485975192</v>
      </c>
      <c r="Q360" s="26"/>
      <c r="R360" s="17"/>
      <c r="S360" s="19"/>
      <c r="T360" s="17"/>
      <c r="U360" s="22"/>
    </row>
    <row r="361" spans="1:21" x14ac:dyDescent="0.25">
      <c r="A361" s="24"/>
      <c r="B361" s="24"/>
      <c r="C361" s="17"/>
      <c r="D361" s="24"/>
      <c r="E361" s="24"/>
      <c r="F361" s="25"/>
      <c r="G361" s="1">
        <v>11025</v>
      </c>
      <c r="H361" s="2">
        <v>86</v>
      </c>
      <c r="I361" s="2">
        <v>-19.8</v>
      </c>
      <c r="J361" s="2">
        <v>-25.9</v>
      </c>
      <c r="K361" s="2">
        <f t="shared" si="43"/>
        <v>-19.8</v>
      </c>
      <c r="L361" s="8">
        <f t="shared" si="47"/>
        <v>2.6302679918953769E-11</v>
      </c>
      <c r="M361" s="26"/>
      <c r="N361" s="17"/>
      <c r="O361" s="9">
        <f t="shared" si="45"/>
        <v>-25.9</v>
      </c>
      <c r="P361" s="8">
        <f>D356/B356*10^(O361/10)</f>
        <v>0.80796107438367948</v>
      </c>
      <c r="Q361" s="26"/>
      <c r="R361" s="17"/>
      <c r="S361" s="20"/>
      <c r="T361" s="17"/>
      <c r="U361" s="23"/>
    </row>
    <row r="362" spans="1:21" x14ac:dyDescent="0.25">
      <c r="A362" s="24" t="s">
        <v>20</v>
      </c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12">
        <f>U362</f>
        <v>8.8569334284428883E-2</v>
      </c>
      <c r="T362" s="2"/>
      <c r="U362" s="8">
        <f>0.8*SQRT(SUM(U328:U361))</f>
        <v>8.8569334284428883E-2</v>
      </c>
    </row>
    <row r="363" spans="1:21" x14ac:dyDescent="0.25">
      <c r="A363" s="27" t="s">
        <v>42</v>
      </c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9"/>
    </row>
    <row r="364" spans="1:21" x14ac:dyDescent="0.25">
      <c r="A364" s="24">
        <v>250</v>
      </c>
      <c r="B364" s="24">
        <v>3</v>
      </c>
      <c r="C364" s="17">
        <v>0.5</v>
      </c>
      <c r="D364" s="24">
        <v>38</v>
      </c>
      <c r="E364" s="24">
        <v>4</v>
      </c>
      <c r="F364" s="25">
        <v>84</v>
      </c>
      <c r="G364" s="1">
        <v>175</v>
      </c>
      <c r="H364" s="2">
        <v>84.8</v>
      </c>
      <c r="I364" s="2">
        <v>-18.899999999999999</v>
      </c>
      <c r="J364" s="2">
        <v>-19.399999999999999</v>
      </c>
      <c r="K364" s="2">
        <f>I364</f>
        <v>-18.899999999999999</v>
      </c>
      <c r="L364" s="8">
        <f>10^((K364-H364)/10)</f>
        <v>4.2657951880159247E-11</v>
      </c>
      <c r="M364" s="26">
        <f>SUM(L364:L367)</f>
        <v>6.2178504777136574E-11</v>
      </c>
      <c r="N364" s="17">
        <f>10*LOG10(M364/E364)</f>
        <v>-108.0841971708889</v>
      </c>
      <c r="O364" s="9">
        <f>J364</f>
        <v>-19.399999999999999</v>
      </c>
      <c r="P364" s="8">
        <f>D364/B364*10^(O364/10)</f>
        <v>0.1454327920562718</v>
      </c>
      <c r="Q364" s="26">
        <f>SUM(P364:P367)</f>
        <v>0.40408134143167201</v>
      </c>
      <c r="R364" s="17">
        <f>10*LOG10(Q364)</f>
        <v>-3.9353120276286679</v>
      </c>
      <c r="S364" s="18">
        <f>F364+N364-Kzt-H</f>
        <v>-24.084197170888899</v>
      </c>
      <c r="T364" s="17">
        <v>0.2</v>
      </c>
      <c r="U364" s="21">
        <f>T364*10^((S364-R364)/10)</f>
        <v>1.9325978023121985E-3</v>
      </c>
    </row>
    <row r="365" spans="1:21" x14ac:dyDescent="0.25">
      <c r="A365" s="24"/>
      <c r="B365" s="24"/>
      <c r="C365" s="17"/>
      <c r="D365" s="24"/>
      <c r="E365" s="24"/>
      <c r="F365" s="25"/>
      <c r="G365" s="1">
        <v>225</v>
      </c>
      <c r="H365" s="2">
        <v>90</v>
      </c>
      <c r="I365" s="2">
        <v>-20.8</v>
      </c>
      <c r="J365" s="2">
        <v>-21.3</v>
      </c>
      <c r="K365" s="2">
        <f t="shared" ref="K365:K397" si="48">I365</f>
        <v>-20.8</v>
      </c>
      <c r="L365" s="8">
        <f t="shared" ref="L365:L366" si="49">10^((K365-H365)/10)</f>
        <v>8.3176377110266746E-12</v>
      </c>
      <c r="M365" s="26"/>
      <c r="N365" s="17"/>
      <c r="O365" s="9">
        <f t="shared" ref="O365:O397" si="50">J365</f>
        <v>-21.3</v>
      </c>
      <c r="P365" s="8">
        <f>D364/B364*10^(O365/10)</f>
        <v>9.3899297231449533E-2</v>
      </c>
      <c r="Q365" s="26"/>
      <c r="R365" s="17"/>
      <c r="S365" s="19"/>
      <c r="T365" s="17"/>
      <c r="U365" s="22"/>
    </row>
    <row r="366" spans="1:21" x14ac:dyDescent="0.25">
      <c r="A366" s="24"/>
      <c r="B366" s="24"/>
      <c r="C366" s="17"/>
      <c r="D366" s="24"/>
      <c r="E366" s="24"/>
      <c r="F366" s="25"/>
      <c r="G366" s="1">
        <v>275</v>
      </c>
      <c r="H366" s="2">
        <v>92.2</v>
      </c>
      <c r="I366" s="2">
        <v>-18.5</v>
      </c>
      <c r="J366" s="2">
        <v>-19.600000000000001</v>
      </c>
      <c r="K366" s="2">
        <f t="shared" si="48"/>
        <v>-18.5</v>
      </c>
      <c r="L366" s="8">
        <f t="shared" si="49"/>
        <v>8.5113803820237273E-12</v>
      </c>
      <c r="M366" s="26"/>
      <c r="N366" s="17"/>
      <c r="O366" s="9">
        <f t="shared" si="50"/>
        <v>-19.600000000000001</v>
      </c>
      <c r="P366" s="8">
        <f>D364/B364*10^(O366/10)</f>
        <v>0.13888723817813667</v>
      </c>
      <c r="Q366" s="26"/>
      <c r="R366" s="17"/>
      <c r="S366" s="19"/>
      <c r="T366" s="17"/>
      <c r="U366" s="22"/>
    </row>
    <row r="367" spans="1:21" x14ac:dyDescent="0.25">
      <c r="A367" s="24"/>
      <c r="B367" s="24"/>
      <c r="C367" s="17"/>
      <c r="D367" s="24"/>
      <c r="E367" s="24"/>
      <c r="F367" s="25"/>
      <c r="G367" s="1">
        <v>325</v>
      </c>
      <c r="H367" s="2">
        <v>93.3</v>
      </c>
      <c r="I367" s="2">
        <v>-22.4</v>
      </c>
      <c r="J367" s="2">
        <v>-26.9</v>
      </c>
      <c r="K367" s="2">
        <f t="shared" si="48"/>
        <v>-22.4</v>
      </c>
      <c r="L367" s="8">
        <f>10^((K367-H367)/10)</f>
        <v>2.6915348039269171E-12</v>
      </c>
      <c r="M367" s="26"/>
      <c r="N367" s="17"/>
      <c r="O367" s="9">
        <f t="shared" si="50"/>
        <v>-26.9</v>
      </c>
      <c r="P367" s="8">
        <f>D364/B364*10^(O367/10)</f>
        <v>2.5862013965814036E-2</v>
      </c>
      <c r="Q367" s="26"/>
      <c r="R367" s="17"/>
      <c r="S367" s="20"/>
      <c r="T367" s="17"/>
      <c r="U367" s="23"/>
    </row>
    <row r="368" spans="1:21" x14ac:dyDescent="0.25">
      <c r="A368" s="24">
        <v>500</v>
      </c>
      <c r="B368" s="24">
        <v>3</v>
      </c>
      <c r="C368" s="17">
        <v>0.5</v>
      </c>
      <c r="D368" s="24">
        <v>59</v>
      </c>
      <c r="E368" s="24">
        <v>6</v>
      </c>
      <c r="F368" s="25">
        <v>84</v>
      </c>
      <c r="G368" s="1">
        <v>375</v>
      </c>
      <c r="H368" s="2">
        <v>91.9</v>
      </c>
      <c r="I368" s="2">
        <v>-20.2</v>
      </c>
      <c r="J368" s="2">
        <v>-22.3</v>
      </c>
      <c r="K368" s="2">
        <f t="shared" si="48"/>
        <v>-20.2</v>
      </c>
      <c r="L368" s="8">
        <f t="shared" ref="L368:L369" si="51">10^((K368-H368)/10)</f>
        <v>6.1659500186148026E-12</v>
      </c>
      <c r="M368" s="26">
        <f>SUM(L368:L373)</f>
        <v>5.0472478362564653E-11</v>
      </c>
      <c r="N368" s="17">
        <f>10*LOG10(M368/E368)</f>
        <v>-110.75096619857217</v>
      </c>
      <c r="O368" s="9">
        <f t="shared" si="50"/>
        <v>-22.3</v>
      </c>
      <c r="P368" s="8">
        <f>D368/B368*10^(O368/10)</f>
        <v>0.11580591888659918</v>
      </c>
      <c r="Q368" s="26">
        <f>SUM(P368:P373)</f>
        <v>0.85424405692628413</v>
      </c>
      <c r="R368" s="17">
        <f>10*LOG10(Q368)</f>
        <v>-0.68418033955127178</v>
      </c>
      <c r="S368" s="18">
        <f>F368+N368-Kzt-H</f>
        <v>-26.750966198572172</v>
      </c>
      <c r="T368" s="17">
        <v>0.5</v>
      </c>
      <c r="U368" s="21">
        <f>T368*10^((S368-R368)/10)</f>
        <v>1.2367770519407808E-3</v>
      </c>
    </row>
    <row r="369" spans="1:21" x14ac:dyDescent="0.25">
      <c r="A369" s="24"/>
      <c r="B369" s="24"/>
      <c r="C369" s="17"/>
      <c r="D369" s="24"/>
      <c r="E369" s="24"/>
      <c r="F369" s="25"/>
      <c r="G369" s="1">
        <v>425</v>
      </c>
      <c r="H369" s="2">
        <v>88.1</v>
      </c>
      <c r="I369" s="2">
        <v>-22</v>
      </c>
      <c r="J369" s="2">
        <v>-28.7</v>
      </c>
      <c r="K369" s="2">
        <f t="shared" si="48"/>
        <v>-22</v>
      </c>
      <c r="L369" s="8">
        <f t="shared" si="51"/>
        <v>9.7723722095580929E-12</v>
      </c>
      <c r="M369" s="26"/>
      <c r="N369" s="17"/>
      <c r="O369" s="9">
        <f t="shared" si="50"/>
        <v>-28.7</v>
      </c>
      <c r="P369" s="8">
        <f>D368/B368*10^(O369/10)</f>
        <v>2.6529603357635829E-2</v>
      </c>
      <c r="Q369" s="26"/>
      <c r="R369" s="17"/>
      <c r="S369" s="19"/>
      <c r="T369" s="17"/>
      <c r="U369" s="22"/>
    </row>
    <row r="370" spans="1:21" x14ac:dyDescent="0.25">
      <c r="A370" s="24"/>
      <c r="B370" s="24"/>
      <c r="C370" s="17"/>
      <c r="D370" s="24"/>
      <c r="E370" s="24"/>
      <c r="F370" s="25"/>
      <c r="G370" s="1">
        <v>475</v>
      </c>
      <c r="H370" s="2">
        <v>90</v>
      </c>
      <c r="I370" s="2">
        <v>-16.2</v>
      </c>
      <c r="J370" s="2">
        <v>-17.399999999999999</v>
      </c>
      <c r="K370" s="2">
        <f t="shared" si="48"/>
        <v>-16.2</v>
      </c>
      <c r="L370" s="8">
        <f>10^((K370-H370)/10)</f>
        <v>2.3988329190194783E-11</v>
      </c>
      <c r="M370" s="26"/>
      <c r="N370" s="17"/>
      <c r="O370" s="9">
        <f t="shared" si="50"/>
        <v>-17.399999999999999</v>
      </c>
      <c r="P370" s="8">
        <f>D368/B368*10^(O370/10)</f>
        <v>0.35787450219329664</v>
      </c>
      <c r="Q370" s="26"/>
      <c r="R370" s="17"/>
      <c r="S370" s="19"/>
      <c r="T370" s="17"/>
      <c r="U370" s="22"/>
    </row>
    <row r="371" spans="1:21" x14ac:dyDescent="0.25">
      <c r="A371" s="24"/>
      <c r="B371" s="24"/>
      <c r="C371" s="17"/>
      <c r="D371" s="24"/>
      <c r="E371" s="24"/>
      <c r="F371" s="25"/>
      <c r="G371" s="1">
        <v>575</v>
      </c>
      <c r="H371" s="2">
        <v>97</v>
      </c>
      <c r="I371" s="2">
        <v>-20.100000000000001</v>
      </c>
      <c r="J371" s="2">
        <v>-21.9</v>
      </c>
      <c r="K371" s="2">
        <f t="shared" si="48"/>
        <v>-20.100000000000001</v>
      </c>
      <c r="L371" s="8">
        <f t="shared" ref="L371:L397" si="52">10^((K371-H371)/10)</f>
        <v>1.9498445997580419E-12</v>
      </c>
      <c r="M371" s="26"/>
      <c r="N371" s="17"/>
      <c r="O371" s="9">
        <f t="shared" si="50"/>
        <v>-21.9</v>
      </c>
      <c r="P371" s="8">
        <f>D368/B368*10^(O371/10)</f>
        <v>0.12697866504348221</v>
      </c>
      <c r="Q371" s="26"/>
      <c r="R371" s="17"/>
      <c r="S371" s="19"/>
      <c r="T371" s="17"/>
      <c r="U371" s="22"/>
    </row>
    <row r="372" spans="1:21" x14ac:dyDescent="0.25">
      <c r="A372" s="24"/>
      <c r="B372" s="24"/>
      <c r="C372" s="17"/>
      <c r="D372" s="24"/>
      <c r="E372" s="24"/>
      <c r="F372" s="25"/>
      <c r="G372" s="1">
        <v>625</v>
      </c>
      <c r="H372" s="2">
        <v>92</v>
      </c>
      <c r="I372" s="2">
        <v>-22.6</v>
      </c>
      <c r="J372" s="2">
        <v>-27</v>
      </c>
      <c r="K372" s="2">
        <f t="shared" si="48"/>
        <v>-22.6</v>
      </c>
      <c r="L372" s="8">
        <f t="shared" si="52"/>
        <v>3.4673685045253144E-12</v>
      </c>
      <c r="M372" s="26"/>
      <c r="N372" s="17"/>
      <c r="O372" s="9">
        <f t="shared" si="50"/>
        <v>-27</v>
      </c>
      <c r="P372" s="8">
        <f>D368/B368*10^(O372/10)</f>
        <v>3.9240158861054607E-2</v>
      </c>
      <c r="Q372" s="26"/>
      <c r="R372" s="17"/>
      <c r="S372" s="19"/>
      <c r="T372" s="17"/>
      <c r="U372" s="22"/>
    </row>
    <row r="373" spans="1:21" x14ac:dyDescent="0.25">
      <c r="A373" s="24"/>
      <c r="B373" s="24"/>
      <c r="C373" s="17"/>
      <c r="D373" s="24"/>
      <c r="E373" s="24"/>
      <c r="F373" s="25"/>
      <c r="G373" s="1">
        <v>675</v>
      </c>
      <c r="H373" s="2">
        <v>94.5</v>
      </c>
      <c r="I373" s="2">
        <v>-18.399999999999999</v>
      </c>
      <c r="J373" s="2">
        <v>-20.2</v>
      </c>
      <c r="K373" s="2">
        <f t="shared" si="48"/>
        <v>-18.399999999999999</v>
      </c>
      <c r="L373" s="8">
        <f t="shared" si="52"/>
        <v>5.1286138399136186E-12</v>
      </c>
      <c r="M373" s="26"/>
      <c r="N373" s="17"/>
      <c r="O373" s="9">
        <f t="shared" si="50"/>
        <v>-20.2</v>
      </c>
      <c r="P373" s="8">
        <f>D368/B368*10^(O373/10)</f>
        <v>0.18781520858421571</v>
      </c>
      <c r="Q373" s="26"/>
      <c r="R373" s="17"/>
      <c r="S373" s="20"/>
      <c r="T373" s="17"/>
      <c r="U373" s="23"/>
    </row>
    <row r="374" spans="1:21" x14ac:dyDescent="0.25">
      <c r="A374" s="24">
        <v>1000</v>
      </c>
      <c r="B374" s="24">
        <v>3</v>
      </c>
      <c r="C374" s="17">
        <v>0.5</v>
      </c>
      <c r="D374" s="24">
        <v>117</v>
      </c>
      <c r="E374" s="24">
        <v>6</v>
      </c>
      <c r="F374" s="25">
        <v>76</v>
      </c>
      <c r="G374" s="1">
        <v>875</v>
      </c>
      <c r="H374" s="2">
        <v>91.1</v>
      </c>
      <c r="I374" s="2">
        <v>-22</v>
      </c>
      <c r="J374" s="2">
        <v>-22.3</v>
      </c>
      <c r="K374" s="2">
        <f t="shared" si="48"/>
        <v>-22</v>
      </c>
      <c r="L374" s="8">
        <f t="shared" si="52"/>
        <v>4.8977881936844688E-12</v>
      </c>
      <c r="M374" s="26">
        <f>SUM(L374:L379)</f>
        <v>8.4748334193034415E-12</v>
      </c>
      <c r="N374" s="17">
        <f>10*LOG10(M374/E374)</f>
        <v>-118.50020079884726</v>
      </c>
      <c r="O374" s="9">
        <f t="shared" si="50"/>
        <v>-22.3</v>
      </c>
      <c r="P374" s="8">
        <f>D374/B374*10^(O374/10)</f>
        <v>0.22964902558867969</v>
      </c>
      <c r="Q374" s="26">
        <f>SUM(P374:P379)</f>
        <v>0.67015860262015525</v>
      </c>
      <c r="R374" s="17">
        <f>10*LOG10(Q374)</f>
        <v>-1.7382240313296706</v>
      </c>
      <c r="S374" s="18">
        <f>F374+N374-Kzt-H</f>
        <v>-42.50020079884726</v>
      </c>
      <c r="T374" s="17">
        <v>0.8</v>
      </c>
      <c r="U374" s="21">
        <f>T374*10^((S374-R374)/10)</f>
        <v>6.7126238282102526E-5</v>
      </c>
    </row>
    <row r="375" spans="1:21" x14ac:dyDescent="0.25">
      <c r="A375" s="24"/>
      <c r="B375" s="24"/>
      <c r="C375" s="17"/>
      <c r="D375" s="24"/>
      <c r="E375" s="24"/>
      <c r="F375" s="25"/>
      <c r="G375" s="1">
        <v>975</v>
      </c>
      <c r="H375" s="2">
        <v>96.5</v>
      </c>
      <c r="I375" s="2">
        <v>-25.5</v>
      </c>
      <c r="J375" s="2">
        <v>-29</v>
      </c>
      <c r="K375" s="2">
        <f t="shared" si="48"/>
        <v>-25.5</v>
      </c>
      <c r="L375" s="8">
        <f t="shared" si="52"/>
        <v>6.3095734448019283E-13</v>
      </c>
      <c r="M375" s="26"/>
      <c r="N375" s="17"/>
      <c r="O375" s="9">
        <f t="shared" si="50"/>
        <v>-29</v>
      </c>
      <c r="P375" s="8">
        <f>D374/B374*10^(O375/10)</f>
        <v>4.9098091059972482E-2</v>
      </c>
      <c r="Q375" s="26"/>
      <c r="R375" s="17"/>
      <c r="S375" s="19"/>
      <c r="T375" s="17"/>
      <c r="U375" s="22"/>
    </row>
    <row r="376" spans="1:21" x14ac:dyDescent="0.25">
      <c r="A376" s="24"/>
      <c r="B376" s="24"/>
      <c r="C376" s="17"/>
      <c r="D376" s="24"/>
      <c r="E376" s="24"/>
      <c r="F376" s="25"/>
      <c r="G376" s="1">
        <v>1075</v>
      </c>
      <c r="H376" s="2">
        <v>94.6</v>
      </c>
      <c r="I376" s="2">
        <v>-22.7</v>
      </c>
      <c r="J376" s="2">
        <v>-28.2</v>
      </c>
      <c r="K376" s="2">
        <f t="shared" si="48"/>
        <v>-22.7</v>
      </c>
      <c r="L376" s="8">
        <f t="shared" si="52"/>
        <v>1.8620871366628578E-12</v>
      </c>
      <c r="M376" s="26"/>
      <c r="N376" s="17"/>
      <c r="O376" s="9">
        <f t="shared" si="50"/>
        <v>-28.2</v>
      </c>
      <c r="P376" s="8">
        <f>D374/B374*10^(O376/10)</f>
        <v>5.9028888689012085E-2</v>
      </c>
      <c r="Q376" s="26"/>
      <c r="R376" s="17"/>
      <c r="S376" s="19"/>
      <c r="T376" s="17"/>
      <c r="U376" s="22"/>
    </row>
    <row r="377" spans="1:21" x14ac:dyDescent="0.25">
      <c r="A377" s="24"/>
      <c r="B377" s="24"/>
      <c r="C377" s="17"/>
      <c r="D377" s="24"/>
      <c r="E377" s="24"/>
      <c r="F377" s="25"/>
      <c r="G377" s="1">
        <v>1175</v>
      </c>
      <c r="H377" s="2">
        <v>97.8</v>
      </c>
      <c r="I377" s="2">
        <v>-25.6</v>
      </c>
      <c r="J377" s="2">
        <v>-25.8</v>
      </c>
      <c r="K377" s="2">
        <f t="shared" si="48"/>
        <v>-25.6</v>
      </c>
      <c r="L377" s="8">
        <f t="shared" si="52"/>
        <v>4.5708818961487372E-13</v>
      </c>
      <c r="M377" s="26"/>
      <c r="N377" s="17"/>
      <c r="O377" s="9">
        <f t="shared" si="50"/>
        <v>-25.8</v>
      </c>
      <c r="P377" s="8">
        <f>D374/B374*10^(O377/10)</f>
        <v>0.10258045168391978</v>
      </c>
      <c r="Q377" s="26"/>
      <c r="R377" s="17"/>
      <c r="S377" s="19"/>
      <c r="T377" s="17"/>
      <c r="U377" s="22"/>
    </row>
    <row r="378" spans="1:21" x14ac:dyDescent="0.25">
      <c r="A378" s="24"/>
      <c r="B378" s="24"/>
      <c r="C378" s="17"/>
      <c r="D378" s="24"/>
      <c r="E378" s="24"/>
      <c r="F378" s="25"/>
      <c r="G378" s="1">
        <v>1275</v>
      </c>
      <c r="H378" s="2">
        <v>100.1</v>
      </c>
      <c r="I378" s="2">
        <v>-23.3</v>
      </c>
      <c r="J378" s="2">
        <v>-24.5</v>
      </c>
      <c r="K378" s="2">
        <f t="shared" si="48"/>
        <v>-23.3</v>
      </c>
      <c r="L378" s="8">
        <f t="shared" si="52"/>
        <v>4.5708818961487372E-13</v>
      </c>
      <c r="M378" s="26"/>
      <c r="N378" s="17"/>
      <c r="O378" s="9">
        <f t="shared" si="50"/>
        <v>-24.5</v>
      </c>
      <c r="P378" s="8">
        <f>D374/B374*10^(O378/10)</f>
        <v>0.13837722180109435</v>
      </c>
      <c r="Q378" s="26"/>
      <c r="R378" s="17"/>
      <c r="S378" s="19"/>
      <c r="T378" s="17"/>
      <c r="U378" s="22"/>
    </row>
    <row r="379" spans="1:21" x14ac:dyDescent="0.25">
      <c r="A379" s="24"/>
      <c r="B379" s="24"/>
      <c r="C379" s="17"/>
      <c r="D379" s="24"/>
      <c r="E379" s="24"/>
      <c r="F379" s="25"/>
      <c r="G379" s="1">
        <v>1375</v>
      </c>
      <c r="H379" s="2">
        <v>103</v>
      </c>
      <c r="I379" s="2">
        <v>-24.7</v>
      </c>
      <c r="J379" s="2">
        <v>-26.3</v>
      </c>
      <c r="K379" s="2">
        <f t="shared" si="48"/>
        <v>-24.7</v>
      </c>
      <c r="L379" s="8">
        <f t="shared" si="52"/>
        <v>1.6982436524617405E-13</v>
      </c>
      <c r="M379" s="26"/>
      <c r="N379" s="17"/>
      <c r="O379" s="9">
        <f t="shared" si="50"/>
        <v>-26.3</v>
      </c>
      <c r="P379" s="8">
        <f>D374/B374*10^(O379/10)</f>
        <v>9.1424923797476895E-2</v>
      </c>
      <c r="Q379" s="26"/>
      <c r="R379" s="17"/>
      <c r="S379" s="20"/>
      <c r="T379" s="17"/>
      <c r="U379" s="23"/>
    </row>
    <row r="380" spans="1:21" x14ac:dyDescent="0.25">
      <c r="A380" s="24">
        <v>2000</v>
      </c>
      <c r="B380" s="24">
        <v>3</v>
      </c>
      <c r="C380" s="17">
        <v>0.5</v>
      </c>
      <c r="D380" s="24">
        <v>234</v>
      </c>
      <c r="E380" s="24">
        <v>6</v>
      </c>
      <c r="F380" s="25">
        <v>68</v>
      </c>
      <c r="G380" s="1">
        <v>1425</v>
      </c>
      <c r="H380" s="2">
        <v>102.8</v>
      </c>
      <c r="I380" s="2">
        <v>-19.399999999999999</v>
      </c>
      <c r="J380" s="2">
        <v>-21.4</v>
      </c>
      <c r="K380" s="2">
        <f t="shared" si="48"/>
        <v>-19.399999999999999</v>
      </c>
      <c r="L380" s="8">
        <f t="shared" si="52"/>
        <v>6.0255958607435742E-13</v>
      </c>
      <c r="M380" s="26">
        <f>SUM(L380:L385)</f>
        <v>2.8187550710153421E-12</v>
      </c>
      <c r="N380" s="17">
        <f>10*LOG10(M380/E380)</f>
        <v>-123.28093909853581</v>
      </c>
      <c r="O380" s="9">
        <f t="shared" si="50"/>
        <v>-21.4</v>
      </c>
      <c r="P380" s="8">
        <f>D380/B380*10^(O380/10)</f>
        <v>0.56506004885849226</v>
      </c>
      <c r="Q380" s="26">
        <f>SUM(P380:P385)</f>
        <v>1.8806550892553164</v>
      </c>
      <c r="R380" s="17">
        <f>10*LOG10(Q380)</f>
        <v>2.7430915356830941</v>
      </c>
      <c r="S380" s="18">
        <f>F380+N380-Kzt-H</f>
        <v>-55.280939098535811</v>
      </c>
      <c r="T380" s="17">
        <v>1</v>
      </c>
      <c r="U380" s="21">
        <f>T380*10^((S380-R380)/10)</f>
        <v>1.5761477871097908E-6</v>
      </c>
    </row>
    <row r="381" spans="1:21" x14ac:dyDescent="0.25">
      <c r="A381" s="24"/>
      <c r="B381" s="24"/>
      <c r="C381" s="17"/>
      <c r="D381" s="24"/>
      <c r="E381" s="24"/>
      <c r="F381" s="25"/>
      <c r="G381" s="1">
        <v>1625</v>
      </c>
      <c r="H381" s="2">
        <v>104.1</v>
      </c>
      <c r="I381" s="2">
        <v>-21.3</v>
      </c>
      <c r="J381" s="2">
        <v>-30.8</v>
      </c>
      <c r="K381" s="2">
        <f t="shared" si="48"/>
        <v>-21.3</v>
      </c>
      <c r="L381" s="8">
        <f t="shared" si="52"/>
        <v>2.884031503126603E-13</v>
      </c>
      <c r="M381" s="26"/>
      <c r="N381" s="17"/>
      <c r="O381" s="9">
        <f t="shared" si="50"/>
        <v>-30.8</v>
      </c>
      <c r="P381" s="8">
        <f>D380/B380*10^(O381/10)</f>
        <v>6.4877574146008282E-2</v>
      </c>
      <c r="Q381" s="26"/>
      <c r="R381" s="17"/>
      <c r="S381" s="19"/>
      <c r="T381" s="17"/>
      <c r="U381" s="22"/>
    </row>
    <row r="382" spans="1:21" x14ac:dyDescent="0.25">
      <c r="A382" s="24"/>
      <c r="B382" s="24"/>
      <c r="C382" s="17"/>
      <c r="D382" s="24"/>
      <c r="E382" s="24"/>
      <c r="F382" s="25"/>
      <c r="G382" s="1">
        <v>1825</v>
      </c>
      <c r="H382" s="2">
        <v>107.6</v>
      </c>
      <c r="I382" s="2">
        <v>-25.2</v>
      </c>
      <c r="J382" s="2">
        <v>-29.3</v>
      </c>
      <c r="K382" s="2">
        <f t="shared" si="48"/>
        <v>-25.2</v>
      </c>
      <c r="L382" s="8">
        <f t="shared" si="52"/>
        <v>5.2480746024977386E-14</v>
      </c>
      <c r="M382" s="26"/>
      <c r="N382" s="17"/>
      <c r="O382" s="9">
        <f t="shared" si="50"/>
        <v>-29.3</v>
      </c>
      <c r="P382" s="8">
        <f>D380/B380*10^(O382/10)</f>
        <v>9.1642009285283182E-2</v>
      </c>
      <c r="Q382" s="26"/>
      <c r="R382" s="17"/>
      <c r="S382" s="19"/>
      <c r="T382" s="17"/>
      <c r="U382" s="22"/>
    </row>
    <row r="383" spans="1:21" x14ac:dyDescent="0.25">
      <c r="A383" s="24"/>
      <c r="B383" s="24"/>
      <c r="C383" s="17"/>
      <c r="D383" s="24"/>
      <c r="E383" s="24"/>
      <c r="F383" s="25"/>
      <c r="G383" s="1">
        <v>2125</v>
      </c>
      <c r="H383" s="2">
        <v>104.2</v>
      </c>
      <c r="I383" s="2">
        <v>-20.799999999999997</v>
      </c>
      <c r="J383" s="2">
        <v>-20.9</v>
      </c>
      <c r="K383" s="2">
        <f t="shared" si="48"/>
        <v>-20.799999999999997</v>
      </c>
      <c r="L383" s="8">
        <f t="shared" si="52"/>
        <v>3.1622776601683746E-13</v>
      </c>
      <c r="M383" s="26"/>
      <c r="N383" s="17"/>
      <c r="O383" s="9">
        <f t="shared" si="50"/>
        <v>-20.9</v>
      </c>
      <c r="P383" s="8">
        <f>D380/B380*10^(O383/10)</f>
        <v>0.63400780260799716</v>
      </c>
      <c r="Q383" s="26"/>
      <c r="R383" s="17"/>
      <c r="S383" s="19"/>
      <c r="T383" s="17"/>
      <c r="U383" s="22"/>
    </row>
    <row r="384" spans="1:21" x14ac:dyDescent="0.25">
      <c r="A384" s="24"/>
      <c r="B384" s="24"/>
      <c r="C384" s="17"/>
      <c r="D384" s="24"/>
      <c r="E384" s="24"/>
      <c r="F384" s="25"/>
      <c r="G384" s="1">
        <v>2425</v>
      </c>
      <c r="H384" s="2">
        <v>93.7</v>
      </c>
      <c r="I384" s="2">
        <v>-27</v>
      </c>
      <c r="J384" s="2">
        <v>-30.1</v>
      </c>
      <c r="K384" s="2">
        <f t="shared" si="48"/>
        <v>-27</v>
      </c>
      <c r="L384" s="8">
        <f t="shared" si="52"/>
        <v>8.5113803820237492E-13</v>
      </c>
      <c r="M384" s="26"/>
      <c r="N384" s="17"/>
      <c r="O384" s="9">
        <f t="shared" si="50"/>
        <v>-30.1</v>
      </c>
      <c r="P384" s="8">
        <f>D380/B380*10^(O384/10)</f>
        <v>7.6224503234553126E-2</v>
      </c>
      <c r="Q384" s="26"/>
      <c r="R384" s="17"/>
      <c r="S384" s="19"/>
      <c r="T384" s="17"/>
      <c r="U384" s="22"/>
    </row>
    <row r="385" spans="1:21" x14ac:dyDescent="0.25">
      <c r="A385" s="24"/>
      <c r="B385" s="24"/>
      <c r="C385" s="17"/>
      <c r="D385" s="24"/>
      <c r="E385" s="24"/>
      <c r="F385" s="25"/>
      <c r="G385" s="1">
        <v>2775</v>
      </c>
      <c r="H385" s="2">
        <v>100.2</v>
      </c>
      <c r="I385" s="2">
        <v>-21.299999999999997</v>
      </c>
      <c r="J385" s="2">
        <v>-22.4</v>
      </c>
      <c r="K385" s="2">
        <f t="shared" si="48"/>
        <v>-21.299999999999997</v>
      </c>
      <c r="L385" s="8">
        <f t="shared" si="52"/>
        <v>7.0794578438413455E-13</v>
      </c>
      <c r="M385" s="26"/>
      <c r="N385" s="17"/>
      <c r="O385" s="9">
        <f t="shared" si="50"/>
        <v>-22.4</v>
      </c>
      <c r="P385" s="8">
        <f>D380/B380*10^(O385/10)</f>
        <v>0.44884315112298245</v>
      </c>
      <c r="Q385" s="26"/>
      <c r="R385" s="17"/>
      <c r="S385" s="20"/>
      <c r="T385" s="17"/>
      <c r="U385" s="23"/>
    </row>
    <row r="386" spans="1:21" x14ac:dyDescent="0.25">
      <c r="A386" s="24">
        <v>4000</v>
      </c>
      <c r="B386" s="24">
        <v>3</v>
      </c>
      <c r="C386" s="17">
        <v>0.5</v>
      </c>
      <c r="D386" s="24">
        <v>470</v>
      </c>
      <c r="E386" s="24">
        <v>6</v>
      </c>
      <c r="F386" s="25">
        <v>62</v>
      </c>
      <c r="G386" s="1">
        <v>2825</v>
      </c>
      <c r="H386" s="2">
        <v>99.4</v>
      </c>
      <c r="I386" s="2">
        <v>-24</v>
      </c>
      <c r="J386" s="2">
        <v>-25.5</v>
      </c>
      <c r="K386" s="2">
        <f t="shared" si="48"/>
        <v>-24</v>
      </c>
      <c r="L386" s="8">
        <f t="shared" si="52"/>
        <v>4.5708818961487372E-13</v>
      </c>
      <c r="M386" s="26">
        <f>SUM(L386:L391)</f>
        <v>4.1981727072050186E-12</v>
      </c>
      <c r="N386" s="17">
        <f>10*LOG10(M386/E386)</f>
        <v>-121.55090949476164</v>
      </c>
      <c r="O386" s="9">
        <f t="shared" si="50"/>
        <v>-25.5</v>
      </c>
      <c r="P386" s="8">
        <f>D386/B386*10^(O386/10)</f>
        <v>0.44154665923143083</v>
      </c>
      <c r="Q386" s="26">
        <f>SUM(P386:P391)</f>
        <v>4.5375178494515485</v>
      </c>
      <c r="R386" s="17">
        <f>10*LOG10(Q386)</f>
        <v>6.5681834645255801</v>
      </c>
      <c r="S386" s="18">
        <f>F386+N386-Kzt-H</f>
        <v>-59.55090949476164</v>
      </c>
      <c r="T386" s="17">
        <v>0.9</v>
      </c>
      <c r="U386" s="21">
        <f>T386*10^((S386-R386)/10)</f>
        <v>2.1995468332635386E-7</v>
      </c>
    </row>
    <row r="387" spans="1:21" x14ac:dyDescent="0.25">
      <c r="A387" s="24"/>
      <c r="B387" s="24"/>
      <c r="C387" s="17"/>
      <c r="D387" s="24"/>
      <c r="E387" s="24"/>
      <c r="F387" s="25"/>
      <c r="G387" s="1">
        <v>3425</v>
      </c>
      <c r="H387" s="2">
        <v>103.5</v>
      </c>
      <c r="I387" s="2">
        <v>-22.2</v>
      </c>
      <c r="J387" s="2">
        <v>-27.7</v>
      </c>
      <c r="K387" s="2">
        <f t="shared" si="48"/>
        <v>-22.2</v>
      </c>
      <c r="L387" s="8">
        <f t="shared" si="52"/>
        <v>2.6915348039269041E-13</v>
      </c>
      <c r="M387" s="26"/>
      <c r="N387" s="17"/>
      <c r="O387" s="9">
        <f t="shared" si="50"/>
        <v>-27.7</v>
      </c>
      <c r="P387" s="8">
        <f>D386/B386*10^(O387/10)</f>
        <v>0.26605817221900629</v>
      </c>
      <c r="Q387" s="26"/>
      <c r="R387" s="17"/>
      <c r="S387" s="19"/>
      <c r="T387" s="17"/>
      <c r="U387" s="22"/>
    </row>
    <row r="388" spans="1:21" x14ac:dyDescent="0.25">
      <c r="A388" s="24"/>
      <c r="B388" s="24"/>
      <c r="C388" s="17"/>
      <c r="D388" s="24"/>
      <c r="E388" s="24"/>
      <c r="F388" s="25"/>
      <c r="G388" s="1">
        <v>4025</v>
      </c>
      <c r="H388" s="2">
        <v>103.6</v>
      </c>
      <c r="I388" s="2">
        <v>-17.899999999999999</v>
      </c>
      <c r="J388" s="2">
        <v>-18.399999999999999</v>
      </c>
      <c r="K388" s="2">
        <f t="shared" si="48"/>
        <v>-17.899999999999999</v>
      </c>
      <c r="L388" s="8">
        <f t="shared" si="52"/>
        <v>7.0794578438413455E-13</v>
      </c>
      <c r="M388" s="26"/>
      <c r="N388" s="17"/>
      <c r="O388" s="9">
        <f t="shared" si="50"/>
        <v>-18.399999999999999</v>
      </c>
      <c r="P388" s="8">
        <f>D386/B386*10^(O388/10)</f>
        <v>2.2645223075019527</v>
      </c>
      <c r="Q388" s="26"/>
      <c r="R388" s="17"/>
      <c r="S388" s="19"/>
      <c r="T388" s="17"/>
      <c r="U388" s="22"/>
    </row>
    <row r="389" spans="1:21" x14ac:dyDescent="0.25">
      <c r="A389" s="24"/>
      <c r="B389" s="24"/>
      <c r="C389" s="17"/>
      <c r="D389" s="24"/>
      <c r="E389" s="24"/>
      <c r="F389" s="25"/>
      <c r="G389" s="1">
        <v>4625</v>
      </c>
      <c r="H389" s="2">
        <v>105.6</v>
      </c>
      <c r="I389" s="2">
        <v>-21.1</v>
      </c>
      <c r="J389" s="2">
        <v>-26.1</v>
      </c>
      <c r="K389" s="2">
        <f t="shared" si="48"/>
        <v>-21.1</v>
      </c>
      <c r="L389" s="8">
        <f t="shared" si="52"/>
        <v>2.1379620895022328E-13</v>
      </c>
      <c r="M389" s="26"/>
      <c r="N389" s="17"/>
      <c r="O389" s="9">
        <f t="shared" si="50"/>
        <v>-26.1</v>
      </c>
      <c r="P389" s="8">
        <f>D386/B386*10^(O389/10)</f>
        <v>0.38457106345732078</v>
      </c>
      <c r="Q389" s="26"/>
      <c r="R389" s="17"/>
      <c r="S389" s="19"/>
      <c r="T389" s="17"/>
      <c r="U389" s="22"/>
    </row>
    <row r="390" spans="1:21" x14ac:dyDescent="0.25">
      <c r="A390" s="24"/>
      <c r="B390" s="24"/>
      <c r="C390" s="17"/>
      <c r="D390" s="24"/>
      <c r="E390" s="24"/>
      <c r="F390" s="25"/>
      <c r="G390" s="1">
        <v>5225</v>
      </c>
      <c r="H390" s="2">
        <v>103.5</v>
      </c>
      <c r="I390" s="2">
        <v>-24.7</v>
      </c>
      <c r="J390" s="2">
        <v>-26.9</v>
      </c>
      <c r="K390" s="2">
        <f t="shared" si="48"/>
        <v>-24.7</v>
      </c>
      <c r="L390" s="8">
        <f t="shared" si="52"/>
        <v>1.5135612484362107E-13</v>
      </c>
      <c r="M390" s="26"/>
      <c r="N390" s="17"/>
      <c r="O390" s="9">
        <f t="shared" si="50"/>
        <v>-26.9</v>
      </c>
      <c r="P390" s="8">
        <f>D386/B386*10^(O390/10)</f>
        <v>0.31987227799822626</v>
      </c>
      <c r="Q390" s="26"/>
      <c r="R390" s="17"/>
      <c r="S390" s="19"/>
      <c r="T390" s="17"/>
      <c r="U390" s="22"/>
    </row>
    <row r="391" spans="1:21" x14ac:dyDescent="0.25">
      <c r="A391" s="24"/>
      <c r="B391" s="24"/>
      <c r="C391" s="17"/>
      <c r="D391" s="24"/>
      <c r="E391" s="24"/>
      <c r="F391" s="25"/>
      <c r="G391" s="1">
        <v>5625</v>
      </c>
      <c r="H391" s="2">
        <v>99.5</v>
      </c>
      <c r="I391" s="2">
        <v>-16.7</v>
      </c>
      <c r="J391" s="2">
        <v>-22.6</v>
      </c>
      <c r="K391" s="2">
        <f t="shared" si="48"/>
        <v>-16.7</v>
      </c>
      <c r="L391" s="8">
        <f t="shared" si="52"/>
        <v>2.3988329190194755E-12</v>
      </c>
      <c r="M391" s="26"/>
      <c r="N391" s="17"/>
      <c r="O391" s="9">
        <f t="shared" si="50"/>
        <v>-22.6</v>
      </c>
      <c r="P391" s="8">
        <f>D386/B386*10^(O391/10)</f>
        <v>0.86094736904361124</v>
      </c>
      <c r="Q391" s="26"/>
      <c r="R391" s="17"/>
      <c r="S391" s="20"/>
      <c r="T391" s="17"/>
      <c r="U391" s="23"/>
    </row>
    <row r="392" spans="1:21" x14ac:dyDescent="0.25">
      <c r="A392" s="24">
        <v>8000</v>
      </c>
      <c r="B392" s="24">
        <v>3</v>
      </c>
      <c r="C392" s="17">
        <v>0.5</v>
      </c>
      <c r="D392" s="24">
        <v>943</v>
      </c>
      <c r="E392" s="24">
        <v>6</v>
      </c>
      <c r="F392" s="25">
        <v>54</v>
      </c>
      <c r="G392" s="1">
        <v>6025</v>
      </c>
      <c r="H392" s="2">
        <v>95</v>
      </c>
      <c r="I392" s="2">
        <v>-20.9</v>
      </c>
      <c r="J392" s="2">
        <v>-22.6</v>
      </c>
      <c r="K392" s="2">
        <f t="shared" si="48"/>
        <v>-20.9</v>
      </c>
      <c r="L392" s="8">
        <f t="shared" si="52"/>
        <v>2.5703957827688561E-12</v>
      </c>
      <c r="M392" s="26">
        <f>SUM(L392:L397)</f>
        <v>1.9749395077070385E-11</v>
      </c>
      <c r="N392" s="17">
        <f>10*LOG10(M392/E392)</f>
        <v>-114.82597452634519</v>
      </c>
      <c r="O392" s="9">
        <f t="shared" si="50"/>
        <v>-22.6</v>
      </c>
      <c r="P392" s="8">
        <f>D392/B392*10^(O392/10)</f>
        <v>1.7273901468257986</v>
      </c>
      <c r="Q392" s="26">
        <f>SUM(P392:P397)</f>
        <v>4.2865403510743274</v>
      </c>
      <c r="R392" s="17">
        <f>10*LOG10(Q392)</f>
        <v>6.3210691628541422</v>
      </c>
      <c r="S392" s="18">
        <f>F392+N392-Kzt-H</f>
        <v>-60.825974526345192</v>
      </c>
      <c r="T392" s="17">
        <v>0.7</v>
      </c>
      <c r="U392" s="21">
        <f>T392*10^((S392-R392)/10)</f>
        <v>1.3501862194658997E-7</v>
      </c>
    </row>
    <row r="393" spans="1:21" x14ac:dyDescent="0.25">
      <c r="A393" s="24"/>
      <c r="B393" s="24"/>
      <c r="C393" s="17"/>
      <c r="D393" s="24"/>
      <c r="E393" s="24"/>
      <c r="F393" s="25"/>
      <c r="G393" s="1">
        <v>7025</v>
      </c>
      <c r="H393" s="2">
        <v>94.8</v>
      </c>
      <c r="I393" s="2">
        <v>-25.1</v>
      </c>
      <c r="J393" s="2">
        <v>-26.4</v>
      </c>
      <c r="K393" s="2">
        <f t="shared" si="48"/>
        <v>-25.1</v>
      </c>
      <c r="L393" s="8">
        <f t="shared" si="52"/>
        <v>1.0232929922807514E-12</v>
      </c>
      <c r="M393" s="26"/>
      <c r="N393" s="17"/>
      <c r="O393" s="9">
        <f t="shared" si="50"/>
        <v>-26.4</v>
      </c>
      <c r="P393" s="8">
        <f>D392/B392*10^(O393/10)</f>
        <v>0.72009606552000349</v>
      </c>
      <c r="Q393" s="26"/>
      <c r="R393" s="17"/>
      <c r="S393" s="19"/>
      <c r="T393" s="17"/>
      <c r="U393" s="22"/>
    </row>
    <row r="394" spans="1:21" x14ac:dyDescent="0.25">
      <c r="A394" s="24"/>
      <c r="B394" s="24"/>
      <c r="C394" s="17"/>
      <c r="D394" s="24"/>
      <c r="E394" s="24"/>
      <c r="F394" s="25"/>
      <c r="G394" s="1">
        <v>8025</v>
      </c>
      <c r="H394" s="2">
        <v>101.9</v>
      </c>
      <c r="I394" s="2">
        <v>-25</v>
      </c>
      <c r="J394" s="2">
        <v>-31.8</v>
      </c>
      <c r="K394" s="2">
        <f t="shared" si="48"/>
        <v>-25</v>
      </c>
      <c r="L394" s="8">
        <f t="shared" si="52"/>
        <v>2.0417379446695155E-13</v>
      </c>
      <c r="M394" s="26"/>
      <c r="N394" s="17"/>
      <c r="O394" s="9">
        <f t="shared" si="50"/>
        <v>-31.8</v>
      </c>
      <c r="P394" s="8">
        <f>D392/B392*10^(O394/10)</f>
        <v>0.20767797382372083</v>
      </c>
      <c r="Q394" s="26"/>
      <c r="R394" s="17"/>
      <c r="S394" s="19"/>
      <c r="T394" s="17"/>
      <c r="U394" s="22"/>
    </row>
    <row r="395" spans="1:21" x14ac:dyDescent="0.25">
      <c r="A395" s="24"/>
      <c r="B395" s="24"/>
      <c r="C395" s="17"/>
      <c r="D395" s="24"/>
      <c r="E395" s="24"/>
      <c r="F395" s="25"/>
      <c r="G395" s="1">
        <v>9025</v>
      </c>
      <c r="H395" s="2">
        <v>93.2</v>
      </c>
      <c r="I395" s="2">
        <v>-21.9</v>
      </c>
      <c r="J395" s="2">
        <v>-27.9</v>
      </c>
      <c r="K395" s="2">
        <f t="shared" si="48"/>
        <v>-21.9</v>
      </c>
      <c r="L395" s="8">
        <f t="shared" si="52"/>
        <v>3.0902954325135792E-12</v>
      </c>
      <c r="M395" s="26"/>
      <c r="N395" s="17"/>
      <c r="O395" s="9">
        <f t="shared" si="50"/>
        <v>-27.9</v>
      </c>
      <c r="P395" s="8">
        <f>D392/B392*10^(O395/10)</f>
        <v>0.50978897393648981</v>
      </c>
      <c r="Q395" s="26"/>
      <c r="R395" s="17"/>
      <c r="S395" s="19"/>
      <c r="T395" s="17"/>
      <c r="U395" s="22"/>
    </row>
    <row r="396" spans="1:21" x14ac:dyDescent="0.25">
      <c r="A396" s="24"/>
      <c r="B396" s="24"/>
      <c r="C396" s="17"/>
      <c r="D396" s="24"/>
      <c r="E396" s="24"/>
      <c r="F396" s="25"/>
      <c r="G396" s="1">
        <v>10025</v>
      </c>
      <c r="H396" s="2">
        <v>88.3</v>
      </c>
      <c r="I396" s="2">
        <v>-26.5</v>
      </c>
      <c r="J396" s="2">
        <v>-28.6</v>
      </c>
      <c r="K396" s="2">
        <f t="shared" si="48"/>
        <v>-26.5</v>
      </c>
      <c r="L396" s="8">
        <f t="shared" si="52"/>
        <v>3.3113112148258976E-12</v>
      </c>
      <c r="M396" s="26"/>
      <c r="N396" s="17"/>
      <c r="O396" s="9">
        <f t="shared" si="50"/>
        <v>-28.6</v>
      </c>
      <c r="P396" s="8">
        <f>D392/B392*10^(O396/10)</f>
        <v>0.43390078717350633</v>
      </c>
      <c r="Q396" s="26"/>
      <c r="R396" s="17"/>
      <c r="S396" s="19"/>
      <c r="T396" s="17"/>
      <c r="U396" s="22"/>
    </row>
    <row r="397" spans="1:21" x14ac:dyDescent="0.25">
      <c r="A397" s="24"/>
      <c r="B397" s="24"/>
      <c r="C397" s="17"/>
      <c r="D397" s="24"/>
      <c r="E397" s="24"/>
      <c r="F397" s="25"/>
      <c r="G397" s="1">
        <v>11025</v>
      </c>
      <c r="H397" s="2">
        <v>86</v>
      </c>
      <c r="I397" s="2">
        <v>-24.2</v>
      </c>
      <c r="J397" s="2">
        <v>-26.6</v>
      </c>
      <c r="K397" s="2">
        <f t="shared" si="48"/>
        <v>-24.2</v>
      </c>
      <c r="L397" s="8">
        <f t="shared" si="52"/>
        <v>9.5499258602143472E-12</v>
      </c>
      <c r="M397" s="26"/>
      <c r="N397" s="17"/>
      <c r="O397" s="9">
        <f t="shared" si="50"/>
        <v>-26.6</v>
      </c>
      <c r="P397" s="8">
        <f>D392/B392*10^(O397/10)</f>
        <v>0.6876864037948085</v>
      </c>
      <c r="Q397" s="26"/>
      <c r="R397" s="17"/>
      <c r="S397" s="20"/>
      <c r="T397" s="17"/>
      <c r="U397" s="23"/>
    </row>
    <row r="398" spans="1:21" x14ac:dyDescent="0.25">
      <c r="A398" s="24" t="s">
        <v>20</v>
      </c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12">
        <f>U398</f>
        <v>4.5525779693724934E-2</v>
      </c>
      <c r="T398" s="2"/>
      <c r="U398" s="8">
        <f>0.8*SQRT(SUM(U364:U397))</f>
        <v>4.5525779693724934E-2</v>
      </c>
    </row>
    <row r="399" spans="1:21" x14ac:dyDescent="0.25">
      <c r="A399" s="27" t="s">
        <v>43</v>
      </c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9"/>
    </row>
    <row r="400" spans="1:21" x14ac:dyDescent="0.25">
      <c r="A400" s="24">
        <v>250</v>
      </c>
      <c r="B400" s="24">
        <v>3</v>
      </c>
      <c r="C400" s="17">
        <v>0.5</v>
      </c>
      <c r="D400" s="24">
        <v>38</v>
      </c>
      <c r="E400" s="24">
        <v>4</v>
      </c>
      <c r="F400" s="25">
        <v>84</v>
      </c>
      <c r="G400" s="1">
        <v>175</v>
      </c>
      <c r="H400" s="2">
        <v>84.8</v>
      </c>
      <c r="I400" s="2">
        <v>-19.3</v>
      </c>
      <c r="J400" s="2">
        <v>-24.6</v>
      </c>
      <c r="K400" s="2">
        <f>I400</f>
        <v>-19.3</v>
      </c>
      <c r="L400" s="8">
        <f>10^((K400-H400)/10)</f>
        <v>3.8904514499427922E-11</v>
      </c>
      <c r="M400" s="26">
        <f>SUM(L400:L403)</f>
        <v>5.1400258414311257E-11</v>
      </c>
      <c r="N400" s="17">
        <f>10*LOG10(M400/E400)</f>
        <v>-108.91094688915813</v>
      </c>
      <c r="O400" s="9">
        <f>J400</f>
        <v>-24.6</v>
      </c>
      <c r="P400" s="8">
        <f>D400/B400*10^(O400/10)</f>
        <v>4.3920001057320655E-2</v>
      </c>
      <c r="Q400" s="26">
        <f>SUM(P400:P403)</f>
        <v>0.15364660876423003</v>
      </c>
      <c r="R400" s="17">
        <f>10*LOG10(Q400)</f>
        <v>-8.1347702090213687</v>
      </c>
      <c r="S400" s="18">
        <f>F400+N400-Kzt-H</f>
        <v>-24.910946889158126</v>
      </c>
      <c r="T400" s="17">
        <v>0.2</v>
      </c>
      <c r="U400" s="21">
        <f>T400*10^((S400-R400)/10)</f>
        <v>4.2015770060085007E-3</v>
      </c>
    </row>
    <row r="401" spans="1:21" x14ac:dyDescent="0.25">
      <c r="A401" s="24"/>
      <c r="B401" s="24"/>
      <c r="C401" s="17"/>
      <c r="D401" s="24"/>
      <c r="E401" s="24"/>
      <c r="F401" s="25"/>
      <c r="G401" s="1">
        <v>225</v>
      </c>
      <c r="H401" s="2">
        <v>90</v>
      </c>
      <c r="I401" s="2">
        <v>-21.1</v>
      </c>
      <c r="J401" s="2">
        <v>-24</v>
      </c>
      <c r="K401" s="2">
        <f t="shared" ref="K401:K433" si="53">I401</f>
        <v>-21.1</v>
      </c>
      <c r="L401" s="8">
        <f t="shared" ref="L401:L402" si="54">10^((K401-H401)/10)</f>
        <v>7.762471166286914E-12</v>
      </c>
      <c r="M401" s="26"/>
      <c r="N401" s="17"/>
      <c r="O401" s="9">
        <f t="shared" ref="O401:O433" si="55">J401</f>
        <v>-24</v>
      </c>
      <c r="P401" s="8">
        <f>D400/B400*10^(O401/10)</f>
        <v>5.0426908270109636E-2</v>
      </c>
      <c r="Q401" s="26"/>
      <c r="R401" s="17"/>
      <c r="S401" s="19"/>
      <c r="T401" s="17"/>
      <c r="U401" s="22"/>
    </row>
    <row r="402" spans="1:21" x14ac:dyDescent="0.25">
      <c r="A402" s="24"/>
      <c r="B402" s="24"/>
      <c r="C402" s="17"/>
      <c r="D402" s="24"/>
      <c r="E402" s="24"/>
      <c r="F402" s="25"/>
      <c r="G402" s="1">
        <v>275</v>
      </c>
      <c r="H402" s="2">
        <v>92.2</v>
      </c>
      <c r="I402" s="2">
        <v>-23.5</v>
      </c>
      <c r="J402" s="2">
        <v>-23.8</v>
      </c>
      <c r="K402" s="2">
        <f t="shared" si="53"/>
        <v>-23.5</v>
      </c>
      <c r="L402" s="8">
        <f t="shared" si="54"/>
        <v>2.6915348039269074E-12</v>
      </c>
      <c r="M402" s="26"/>
      <c r="N402" s="17"/>
      <c r="O402" s="9">
        <f t="shared" si="55"/>
        <v>-23.8</v>
      </c>
      <c r="P402" s="8">
        <f>D400/B400*10^(O402/10)</f>
        <v>5.2803455239575796E-2</v>
      </c>
      <c r="Q402" s="26"/>
      <c r="R402" s="17"/>
      <c r="S402" s="19"/>
      <c r="T402" s="17"/>
      <c r="U402" s="22"/>
    </row>
    <row r="403" spans="1:21" x14ac:dyDescent="0.25">
      <c r="A403" s="24"/>
      <c r="B403" s="24"/>
      <c r="C403" s="17"/>
      <c r="D403" s="24"/>
      <c r="E403" s="24"/>
      <c r="F403" s="25"/>
      <c r="G403" s="1">
        <v>325</v>
      </c>
      <c r="H403" s="2">
        <v>93.3</v>
      </c>
      <c r="I403" s="2">
        <v>-23.6</v>
      </c>
      <c r="J403" s="2">
        <v>-32.9</v>
      </c>
      <c r="K403" s="2">
        <f t="shared" si="53"/>
        <v>-23.6</v>
      </c>
      <c r="L403" s="8">
        <f>10^((K403-H403)/10)</f>
        <v>2.0417379446695178E-12</v>
      </c>
      <c r="M403" s="26"/>
      <c r="N403" s="17"/>
      <c r="O403" s="9">
        <f t="shared" si="55"/>
        <v>-32.9</v>
      </c>
      <c r="P403" s="8">
        <f>D400/B400*10^(O403/10)</f>
        <v>6.4962441972239516E-3</v>
      </c>
      <c r="Q403" s="26"/>
      <c r="R403" s="17"/>
      <c r="S403" s="20"/>
      <c r="T403" s="17"/>
      <c r="U403" s="23"/>
    </row>
    <row r="404" spans="1:21" x14ac:dyDescent="0.25">
      <c r="A404" s="24">
        <v>500</v>
      </c>
      <c r="B404" s="24">
        <v>3</v>
      </c>
      <c r="C404" s="17">
        <v>0.5</v>
      </c>
      <c r="D404" s="24">
        <v>59</v>
      </c>
      <c r="E404" s="24">
        <v>6</v>
      </c>
      <c r="F404" s="25">
        <v>84</v>
      </c>
      <c r="G404" s="1">
        <v>375</v>
      </c>
      <c r="H404" s="2">
        <v>91.9</v>
      </c>
      <c r="I404" s="2">
        <v>-20.399999999999999</v>
      </c>
      <c r="J404" s="2">
        <v>-27.4</v>
      </c>
      <c r="K404" s="2">
        <f t="shared" si="53"/>
        <v>-20.399999999999999</v>
      </c>
      <c r="L404" s="8">
        <f t="shared" ref="L404:L405" si="56">10^((K404-H404)/10)</f>
        <v>5.8884365535558725E-12</v>
      </c>
      <c r="M404" s="26">
        <f>SUM(L404:L409)</f>
        <v>5.5176763355000389E-11</v>
      </c>
      <c r="N404" s="17">
        <f>10*LOG10(M404/E404)</f>
        <v>-110.36395029019202</v>
      </c>
      <c r="O404" s="9">
        <f t="shared" si="55"/>
        <v>-27.4</v>
      </c>
      <c r="P404" s="8">
        <f>D404/B404*10^(O404/10)</f>
        <v>3.5787450219329664E-2</v>
      </c>
      <c r="Q404" s="26">
        <f>SUM(P404:P409)</f>
        <v>0.24301781556675753</v>
      </c>
      <c r="R404" s="17">
        <f>10*LOG10(Q404)</f>
        <v>-6.1436188722999319</v>
      </c>
      <c r="S404" s="18">
        <f>F404+N404-Kzt-H</f>
        <v>-26.363950290192022</v>
      </c>
      <c r="T404" s="17">
        <v>0.5</v>
      </c>
      <c r="U404" s="21">
        <f>T404*10^((S404-R404)/10)</f>
        <v>4.7526612703547196E-3</v>
      </c>
    </row>
    <row r="405" spans="1:21" x14ac:dyDescent="0.25">
      <c r="A405" s="24"/>
      <c r="B405" s="24"/>
      <c r="C405" s="17"/>
      <c r="D405" s="24"/>
      <c r="E405" s="24"/>
      <c r="F405" s="25"/>
      <c r="G405" s="1">
        <v>425</v>
      </c>
      <c r="H405" s="2">
        <v>88.1</v>
      </c>
      <c r="I405" s="2">
        <v>-17.3</v>
      </c>
      <c r="J405" s="2">
        <v>-26</v>
      </c>
      <c r="K405" s="2">
        <f t="shared" si="53"/>
        <v>-17.3</v>
      </c>
      <c r="L405" s="8">
        <f t="shared" si="56"/>
        <v>2.8840315031266094E-11</v>
      </c>
      <c r="M405" s="26"/>
      <c r="N405" s="17"/>
      <c r="O405" s="9">
        <f t="shared" si="55"/>
        <v>-26</v>
      </c>
      <c r="P405" s="8">
        <f>D404/B404*10^(O405/10)</f>
        <v>4.94004331530217E-2</v>
      </c>
      <c r="Q405" s="26"/>
      <c r="R405" s="17"/>
      <c r="S405" s="19"/>
      <c r="T405" s="17"/>
      <c r="U405" s="22"/>
    </row>
    <row r="406" spans="1:21" x14ac:dyDescent="0.25">
      <c r="A406" s="24"/>
      <c r="B406" s="24"/>
      <c r="C406" s="17"/>
      <c r="D406" s="24"/>
      <c r="E406" s="24"/>
      <c r="F406" s="25"/>
      <c r="G406" s="1">
        <v>475</v>
      </c>
      <c r="H406" s="2">
        <v>90</v>
      </c>
      <c r="I406" s="2">
        <v>-22.1</v>
      </c>
      <c r="J406" s="2">
        <v>-25.1</v>
      </c>
      <c r="K406" s="2">
        <f t="shared" si="53"/>
        <v>-22.1</v>
      </c>
      <c r="L406" s="8">
        <f>10^((K406-H406)/10)</f>
        <v>6.1659500186148244E-12</v>
      </c>
      <c r="M406" s="26"/>
      <c r="N406" s="17"/>
      <c r="O406" s="9">
        <f t="shared" si="55"/>
        <v>-25.1</v>
      </c>
      <c r="P406" s="8">
        <f>D404/B404*10^(O406/10)</f>
        <v>6.0775810172767231E-2</v>
      </c>
      <c r="Q406" s="26"/>
      <c r="R406" s="17"/>
      <c r="S406" s="19"/>
      <c r="T406" s="17"/>
      <c r="U406" s="22"/>
    </row>
    <row r="407" spans="1:21" x14ac:dyDescent="0.25">
      <c r="A407" s="24"/>
      <c r="B407" s="24"/>
      <c r="C407" s="17"/>
      <c r="D407" s="24"/>
      <c r="E407" s="24"/>
      <c r="F407" s="25"/>
      <c r="G407" s="1">
        <v>575</v>
      </c>
      <c r="H407" s="2">
        <v>97</v>
      </c>
      <c r="I407" s="2">
        <v>-17.399999999999999</v>
      </c>
      <c r="J407" s="2">
        <v>-30.8</v>
      </c>
      <c r="K407" s="2">
        <f t="shared" si="53"/>
        <v>-17.399999999999999</v>
      </c>
      <c r="L407" s="8">
        <f t="shared" ref="L407:L433" si="57">10^((K407-H407)/10)</f>
        <v>3.6307805477009972E-12</v>
      </c>
      <c r="M407" s="26"/>
      <c r="N407" s="17"/>
      <c r="O407" s="9">
        <f t="shared" si="55"/>
        <v>-30.8</v>
      </c>
      <c r="P407" s="8">
        <f>D404/B404*10^(O407/10)</f>
        <v>1.635802083168585E-2</v>
      </c>
      <c r="Q407" s="26"/>
      <c r="R407" s="17"/>
      <c r="S407" s="19"/>
      <c r="T407" s="17"/>
      <c r="U407" s="22"/>
    </row>
    <row r="408" spans="1:21" x14ac:dyDescent="0.25">
      <c r="A408" s="24"/>
      <c r="B408" s="24"/>
      <c r="C408" s="17"/>
      <c r="D408" s="24"/>
      <c r="E408" s="24"/>
      <c r="F408" s="25"/>
      <c r="G408" s="1">
        <v>625</v>
      </c>
      <c r="H408" s="2">
        <v>92</v>
      </c>
      <c r="I408" s="2">
        <v>-19.7</v>
      </c>
      <c r="J408" s="2">
        <v>-25.6</v>
      </c>
      <c r="K408" s="2">
        <f t="shared" si="53"/>
        <v>-19.7</v>
      </c>
      <c r="L408" s="8">
        <f t="shared" si="57"/>
        <v>6.7608297539197943E-12</v>
      </c>
      <c r="M408" s="26"/>
      <c r="N408" s="17"/>
      <c r="O408" s="9">
        <f t="shared" si="55"/>
        <v>-25.6</v>
      </c>
      <c r="P408" s="8">
        <f>D404/B404*10^(O408/10)</f>
        <v>5.4166497832317251E-2</v>
      </c>
      <c r="Q408" s="26"/>
      <c r="R408" s="17"/>
      <c r="S408" s="19"/>
      <c r="T408" s="17"/>
      <c r="U408" s="22"/>
    </row>
    <row r="409" spans="1:21" x14ac:dyDescent="0.25">
      <c r="A409" s="24"/>
      <c r="B409" s="24"/>
      <c r="C409" s="17"/>
      <c r="D409" s="24"/>
      <c r="E409" s="24"/>
      <c r="F409" s="25"/>
      <c r="G409" s="1">
        <v>675</v>
      </c>
      <c r="H409" s="2">
        <v>94.5</v>
      </c>
      <c r="I409" s="2">
        <v>-19.600000000000001</v>
      </c>
      <c r="J409" s="2">
        <v>-28.7</v>
      </c>
      <c r="K409" s="2">
        <f t="shared" si="53"/>
        <v>-19.600000000000001</v>
      </c>
      <c r="L409" s="8">
        <f t="shared" si="57"/>
        <v>3.890451449942802E-12</v>
      </c>
      <c r="M409" s="26"/>
      <c r="N409" s="17"/>
      <c r="O409" s="9">
        <f t="shared" si="55"/>
        <v>-28.7</v>
      </c>
      <c r="P409" s="8">
        <f>D404/B404*10^(O409/10)</f>
        <v>2.6529603357635829E-2</v>
      </c>
      <c r="Q409" s="26"/>
      <c r="R409" s="17"/>
      <c r="S409" s="20"/>
      <c r="T409" s="17"/>
      <c r="U409" s="23"/>
    </row>
    <row r="410" spans="1:21" x14ac:dyDescent="0.25">
      <c r="A410" s="24">
        <v>1000</v>
      </c>
      <c r="B410" s="24">
        <v>3</v>
      </c>
      <c r="C410" s="17">
        <v>0.5</v>
      </c>
      <c r="D410" s="24">
        <v>117</v>
      </c>
      <c r="E410" s="24">
        <v>6</v>
      </c>
      <c r="F410" s="25">
        <v>76</v>
      </c>
      <c r="G410" s="1">
        <v>875</v>
      </c>
      <c r="H410" s="2">
        <v>91.1</v>
      </c>
      <c r="I410" s="2">
        <v>-17.600000000000001</v>
      </c>
      <c r="J410" s="2">
        <v>-25.9</v>
      </c>
      <c r="K410" s="2">
        <f t="shared" si="53"/>
        <v>-17.600000000000001</v>
      </c>
      <c r="L410" s="8">
        <f t="shared" si="57"/>
        <v>1.3489628825916547E-11</v>
      </c>
      <c r="M410" s="26">
        <f>SUM(L410:L415)</f>
        <v>1.8687949283479042E-11</v>
      </c>
      <c r="N410" s="17">
        <f>10*LOG10(M410/E410)</f>
        <v>-115.06589603565159</v>
      </c>
      <c r="O410" s="9">
        <f t="shared" si="55"/>
        <v>-25.9</v>
      </c>
      <c r="P410" s="8">
        <f>D410/B410*10^(O410/10)</f>
        <v>0.10024543552798568</v>
      </c>
      <c r="Q410" s="26">
        <f>SUM(P410:P415)</f>
        <v>0.60634521863631607</v>
      </c>
      <c r="R410" s="17">
        <f>10*LOG10(Q410)</f>
        <v>-2.1728004272999089</v>
      </c>
      <c r="S410" s="18">
        <f>F410+N410-Kzt-H</f>
        <v>-39.065896035651591</v>
      </c>
      <c r="T410" s="17">
        <v>0.8</v>
      </c>
      <c r="U410" s="21">
        <f>T410*10^((S410-R410)/10)</f>
        <v>1.6359891766883528E-4</v>
      </c>
    </row>
    <row r="411" spans="1:21" x14ac:dyDescent="0.25">
      <c r="A411" s="24"/>
      <c r="B411" s="24"/>
      <c r="C411" s="17"/>
      <c r="D411" s="24"/>
      <c r="E411" s="24"/>
      <c r="F411" s="25"/>
      <c r="G411" s="1">
        <v>975</v>
      </c>
      <c r="H411" s="2">
        <v>96.5</v>
      </c>
      <c r="I411" s="2">
        <v>-21.3</v>
      </c>
      <c r="J411" s="2">
        <v>-27.2</v>
      </c>
      <c r="K411" s="2">
        <f t="shared" si="53"/>
        <v>-21.3</v>
      </c>
      <c r="L411" s="8">
        <f t="shared" si="57"/>
        <v>1.6595869074375588E-12</v>
      </c>
      <c r="M411" s="26"/>
      <c r="N411" s="17"/>
      <c r="O411" s="9">
        <f t="shared" si="55"/>
        <v>-27.2</v>
      </c>
      <c r="P411" s="8">
        <f>D410/B410*10^(O411/10)</f>
        <v>7.4312968000566651E-2</v>
      </c>
      <c r="Q411" s="26"/>
      <c r="R411" s="17"/>
      <c r="S411" s="19"/>
      <c r="T411" s="17"/>
      <c r="U411" s="22"/>
    </row>
    <row r="412" spans="1:21" x14ac:dyDescent="0.25">
      <c r="A412" s="24"/>
      <c r="B412" s="24"/>
      <c r="C412" s="17"/>
      <c r="D412" s="24"/>
      <c r="E412" s="24"/>
      <c r="F412" s="25"/>
      <c r="G412" s="1">
        <v>1075</v>
      </c>
      <c r="H412" s="2">
        <v>94.6</v>
      </c>
      <c r="I412" s="2">
        <v>-23.6</v>
      </c>
      <c r="J412" s="2">
        <v>-29.1</v>
      </c>
      <c r="K412" s="2">
        <f t="shared" si="53"/>
        <v>-23.6</v>
      </c>
      <c r="L412" s="8">
        <f t="shared" si="57"/>
        <v>1.513561248436207E-12</v>
      </c>
      <c r="M412" s="26"/>
      <c r="N412" s="17"/>
      <c r="O412" s="9">
        <f t="shared" si="55"/>
        <v>-29.1</v>
      </c>
      <c r="P412" s="8">
        <f>D410/B410*10^(O412/10)</f>
        <v>4.7980482061682851E-2</v>
      </c>
      <c r="Q412" s="26"/>
      <c r="R412" s="17"/>
      <c r="S412" s="19"/>
      <c r="T412" s="17"/>
      <c r="U412" s="22"/>
    </row>
    <row r="413" spans="1:21" x14ac:dyDescent="0.25">
      <c r="A413" s="24"/>
      <c r="B413" s="24"/>
      <c r="C413" s="17"/>
      <c r="D413" s="24"/>
      <c r="E413" s="24"/>
      <c r="F413" s="25"/>
      <c r="G413" s="1">
        <v>1175</v>
      </c>
      <c r="H413" s="2">
        <v>97.8</v>
      </c>
      <c r="I413" s="2">
        <v>-23.2</v>
      </c>
      <c r="J413" s="2">
        <v>-29.3</v>
      </c>
      <c r="K413" s="2">
        <f t="shared" si="53"/>
        <v>-23.2</v>
      </c>
      <c r="L413" s="8">
        <f t="shared" si="57"/>
        <v>7.9432823472428024E-13</v>
      </c>
      <c r="M413" s="26"/>
      <c r="N413" s="17"/>
      <c r="O413" s="9">
        <f t="shared" si="55"/>
        <v>-29.3</v>
      </c>
      <c r="P413" s="8">
        <f>D410/B410*10^(O413/10)</f>
        <v>4.5821004642641591E-2</v>
      </c>
      <c r="Q413" s="26"/>
      <c r="R413" s="17"/>
      <c r="S413" s="19"/>
      <c r="T413" s="17"/>
      <c r="U413" s="22"/>
    </row>
    <row r="414" spans="1:21" x14ac:dyDescent="0.25">
      <c r="A414" s="24"/>
      <c r="B414" s="24"/>
      <c r="C414" s="17"/>
      <c r="D414" s="24"/>
      <c r="E414" s="24"/>
      <c r="F414" s="25"/>
      <c r="G414" s="1">
        <v>1275</v>
      </c>
      <c r="H414" s="2">
        <v>100.1</v>
      </c>
      <c r="I414" s="2">
        <v>-20.9</v>
      </c>
      <c r="J414" s="2">
        <v>-27.2</v>
      </c>
      <c r="K414" s="2">
        <f t="shared" si="53"/>
        <v>-20.9</v>
      </c>
      <c r="L414" s="8">
        <f t="shared" si="57"/>
        <v>7.9432823472428024E-13</v>
      </c>
      <c r="M414" s="26"/>
      <c r="N414" s="17"/>
      <c r="O414" s="9">
        <f t="shared" si="55"/>
        <v>-27.2</v>
      </c>
      <c r="P414" s="8">
        <f>D410/B410*10^(O414/10)</f>
        <v>7.4312968000566651E-2</v>
      </c>
      <c r="Q414" s="26"/>
      <c r="R414" s="17"/>
      <c r="S414" s="19"/>
      <c r="T414" s="17"/>
      <c r="U414" s="22"/>
    </row>
    <row r="415" spans="1:21" x14ac:dyDescent="0.25">
      <c r="A415" s="24"/>
      <c r="B415" s="24"/>
      <c r="C415" s="17"/>
      <c r="D415" s="24"/>
      <c r="E415" s="24"/>
      <c r="F415" s="25"/>
      <c r="G415" s="1">
        <v>1375</v>
      </c>
      <c r="H415" s="2">
        <v>103</v>
      </c>
      <c r="I415" s="2">
        <v>-20.6</v>
      </c>
      <c r="J415" s="2">
        <v>-21.7</v>
      </c>
      <c r="K415" s="2">
        <f t="shared" si="53"/>
        <v>-20.6</v>
      </c>
      <c r="L415" s="8">
        <f t="shared" si="57"/>
        <v>4.3651583224016479E-13</v>
      </c>
      <c r="M415" s="26"/>
      <c r="N415" s="17"/>
      <c r="O415" s="9">
        <f t="shared" si="55"/>
        <v>-21.7</v>
      </c>
      <c r="P415" s="8">
        <f>D410/B410*10^(O415/10)</f>
        <v>0.26367236040287273</v>
      </c>
      <c r="Q415" s="26"/>
      <c r="R415" s="17"/>
      <c r="S415" s="20"/>
      <c r="T415" s="17"/>
      <c r="U415" s="23"/>
    </row>
    <row r="416" spans="1:21" x14ac:dyDescent="0.25">
      <c r="A416" s="24">
        <v>2000</v>
      </c>
      <c r="B416" s="24">
        <v>3</v>
      </c>
      <c r="C416" s="17">
        <v>0.5</v>
      </c>
      <c r="D416" s="24">
        <v>234</v>
      </c>
      <c r="E416" s="24">
        <v>6</v>
      </c>
      <c r="F416" s="25">
        <v>68</v>
      </c>
      <c r="G416" s="1">
        <v>1425</v>
      </c>
      <c r="H416" s="2">
        <v>102.8</v>
      </c>
      <c r="I416" s="2">
        <v>-22.4</v>
      </c>
      <c r="J416" s="2">
        <v>-28.1</v>
      </c>
      <c r="K416" s="2">
        <f t="shared" si="53"/>
        <v>-22.4</v>
      </c>
      <c r="L416" s="8">
        <f t="shared" si="57"/>
        <v>3.0199517204020122E-13</v>
      </c>
      <c r="M416" s="26">
        <f>SUM(L416:L421)</f>
        <v>2.8621486619000011E-12</v>
      </c>
      <c r="N416" s="17">
        <f>10*LOG10(M416/E416)</f>
        <v>-123.21459062830576</v>
      </c>
      <c r="O416" s="9">
        <f t="shared" si="55"/>
        <v>-28.1</v>
      </c>
      <c r="P416" s="8">
        <f>D416/B416*10^(O416/10)</f>
        <v>0.12080769627517346</v>
      </c>
      <c r="Q416" s="26">
        <f>SUM(P416:P421)</f>
        <v>0.79949627572549398</v>
      </c>
      <c r="R416" s="17">
        <f>10*LOG10(Q416)</f>
        <v>-0.97183554976701181</v>
      </c>
      <c r="S416" s="18">
        <f>F416+N416-Kzt-H</f>
        <v>-55.214590628305757</v>
      </c>
      <c r="T416" s="17">
        <v>1</v>
      </c>
      <c r="U416" s="21">
        <f>T416*10^((S416-R416)/10)</f>
        <v>3.7646490130743502E-6</v>
      </c>
    </row>
    <row r="417" spans="1:21" x14ac:dyDescent="0.25">
      <c r="A417" s="24"/>
      <c r="B417" s="24"/>
      <c r="C417" s="17"/>
      <c r="D417" s="24"/>
      <c r="E417" s="24"/>
      <c r="F417" s="25"/>
      <c r="G417" s="1">
        <v>1625</v>
      </c>
      <c r="H417" s="2">
        <v>104.1</v>
      </c>
      <c r="I417" s="2">
        <v>-25</v>
      </c>
      <c r="J417" s="2">
        <v>-27.1</v>
      </c>
      <c r="K417" s="2">
        <f t="shared" si="53"/>
        <v>-25</v>
      </c>
      <c r="L417" s="8">
        <f t="shared" si="57"/>
        <v>1.2302687708123759E-13</v>
      </c>
      <c r="M417" s="26"/>
      <c r="N417" s="17"/>
      <c r="O417" s="9">
        <f t="shared" si="55"/>
        <v>-27.1</v>
      </c>
      <c r="P417" s="8">
        <f>D416/B416*10^(O417/10)</f>
        <v>0.15208787878112745</v>
      </c>
      <c r="Q417" s="26"/>
      <c r="R417" s="17"/>
      <c r="S417" s="19"/>
      <c r="T417" s="17"/>
      <c r="U417" s="22"/>
    </row>
    <row r="418" spans="1:21" x14ac:dyDescent="0.25">
      <c r="A418" s="24"/>
      <c r="B418" s="24"/>
      <c r="C418" s="17"/>
      <c r="D418" s="24"/>
      <c r="E418" s="24"/>
      <c r="F418" s="25"/>
      <c r="G418" s="1">
        <v>1825</v>
      </c>
      <c r="H418" s="2">
        <v>107.6</v>
      </c>
      <c r="I418" s="2">
        <v>-23.6</v>
      </c>
      <c r="J418" s="2">
        <v>-26.6</v>
      </c>
      <c r="K418" s="2">
        <f t="shared" si="53"/>
        <v>-23.6</v>
      </c>
      <c r="L418" s="8">
        <f t="shared" si="57"/>
        <v>7.5857757502918174E-14</v>
      </c>
      <c r="M418" s="26"/>
      <c r="N418" s="17"/>
      <c r="O418" s="9">
        <f t="shared" si="55"/>
        <v>-26.6</v>
      </c>
      <c r="P418" s="8">
        <f>D416/B416*10^(O418/10)</f>
        <v>0.17064540666806488</v>
      </c>
      <c r="Q418" s="26"/>
      <c r="R418" s="17"/>
      <c r="S418" s="19"/>
      <c r="T418" s="17"/>
      <c r="U418" s="22"/>
    </row>
    <row r="419" spans="1:21" x14ac:dyDescent="0.25">
      <c r="A419" s="24"/>
      <c r="B419" s="24"/>
      <c r="C419" s="17"/>
      <c r="D419" s="24"/>
      <c r="E419" s="24"/>
      <c r="F419" s="25"/>
      <c r="G419" s="1">
        <v>2125</v>
      </c>
      <c r="H419" s="2">
        <v>104.2</v>
      </c>
      <c r="I419" s="2">
        <v>-22.1</v>
      </c>
      <c r="J419" s="2">
        <v>-29.5</v>
      </c>
      <c r="K419" s="2">
        <f t="shared" si="53"/>
        <v>-22.1</v>
      </c>
      <c r="L419" s="8">
        <f t="shared" si="57"/>
        <v>2.3442288153199137E-13</v>
      </c>
      <c r="M419" s="26"/>
      <c r="N419" s="17"/>
      <c r="O419" s="9">
        <f t="shared" si="55"/>
        <v>-29.5</v>
      </c>
      <c r="P419" s="8">
        <f>D416/B416*10^(O419/10)</f>
        <v>8.7517439435553054E-2</v>
      </c>
      <c r="Q419" s="26"/>
      <c r="R419" s="17"/>
      <c r="S419" s="19"/>
      <c r="T419" s="17"/>
      <c r="U419" s="22"/>
    </row>
    <row r="420" spans="1:21" x14ac:dyDescent="0.25">
      <c r="A420" s="24"/>
      <c r="B420" s="24"/>
      <c r="C420" s="17"/>
      <c r="D420" s="24"/>
      <c r="E420" s="24"/>
      <c r="F420" s="25"/>
      <c r="G420" s="1">
        <v>2425</v>
      </c>
      <c r="H420" s="2">
        <v>93.7</v>
      </c>
      <c r="I420" s="2">
        <v>-23.9</v>
      </c>
      <c r="J420" s="2">
        <v>-27.9</v>
      </c>
      <c r="K420" s="2">
        <f t="shared" si="53"/>
        <v>-23.9</v>
      </c>
      <c r="L420" s="8">
        <f t="shared" si="57"/>
        <v>1.737800828749373E-12</v>
      </c>
      <c r="M420" s="26"/>
      <c r="N420" s="17"/>
      <c r="O420" s="9">
        <f t="shared" si="55"/>
        <v>-27.9</v>
      </c>
      <c r="P420" s="8">
        <f>D416/B416*10^(O420/10)</f>
        <v>0.12650118759399642</v>
      </c>
      <c r="Q420" s="26"/>
      <c r="R420" s="17"/>
      <c r="S420" s="19"/>
      <c r="T420" s="17"/>
      <c r="U420" s="22"/>
    </row>
    <row r="421" spans="1:21" x14ac:dyDescent="0.25">
      <c r="A421" s="24"/>
      <c r="B421" s="24"/>
      <c r="C421" s="17"/>
      <c r="D421" s="24"/>
      <c r="E421" s="24"/>
      <c r="F421" s="25"/>
      <c r="G421" s="1">
        <v>2775</v>
      </c>
      <c r="H421" s="2">
        <v>100.2</v>
      </c>
      <c r="I421" s="2">
        <v>-23.9</v>
      </c>
      <c r="J421" s="2">
        <v>-27.4</v>
      </c>
      <c r="K421" s="2">
        <f t="shared" si="53"/>
        <v>-23.9</v>
      </c>
      <c r="L421" s="8">
        <f t="shared" si="57"/>
        <v>3.8904514499427974E-13</v>
      </c>
      <c r="M421" s="26"/>
      <c r="N421" s="17"/>
      <c r="O421" s="9">
        <f t="shared" si="55"/>
        <v>-27.4</v>
      </c>
      <c r="P421" s="8">
        <f>D416/B416*10^(O421/10)</f>
        <v>0.14193666697157864</v>
      </c>
      <c r="Q421" s="26"/>
      <c r="R421" s="17"/>
      <c r="S421" s="20"/>
      <c r="T421" s="17"/>
      <c r="U421" s="23"/>
    </row>
    <row r="422" spans="1:21" x14ac:dyDescent="0.25">
      <c r="A422" s="24">
        <v>4000</v>
      </c>
      <c r="B422" s="24">
        <v>3</v>
      </c>
      <c r="C422" s="17">
        <v>0.5</v>
      </c>
      <c r="D422" s="24">
        <v>470</v>
      </c>
      <c r="E422" s="24">
        <v>6</v>
      </c>
      <c r="F422" s="25">
        <v>62</v>
      </c>
      <c r="G422" s="1">
        <v>2825</v>
      </c>
      <c r="H422" s="2">
        <v>99.4</v>
      </c>
      <c r="I422" s="2">
        <v>-24.6</v>
      </c>
      <c r="J422" s="2">
        <v>-26.1</v>
      </c>
      <c r="K422" s="2">
        <f t="shared" si="53"/>
        <v>-24.6</v>
      </c>
      <c r="L422" s="8">
        <f t="shared" si="57"/>
        <v>3.9810717055349631E-13</v>
      </c>
      <c r="M422" s="26">
        <f>SUM(L422:L427)</f>
        <v>1.4443588736898102E-12</v>
      </c>
      <c r="N422" s="17">
        <f>10*LOG10(M422/E422)</f>
        <v>-126.1847613644432</v>
      </c>
      <c r="O422" s="9">
        <f t="shared" si="55"/>
        <v>-26.1</v>
      </c>
      <c r="P422" s="8">
        <f>D422/B422*10^(O422/10)</f>
        <v>0.38457106345732078</v>
      </c>
      <c r="Q422" s="26">
        <f>SUM(P422:P427)</f>
        <v>1.555473252635416</v>
      </c>
      <c r="R422" s="17">
        <f>10*LOG10(Q422)</f>
        <v>1.9186254753554959</v>
      </c>
      <c r="S422" s="18">
        <f>F422+N422-Kzt-H</f>
        <v>-64.184761364443204</v>
      </c>
      <c r="T422" s="17">
        <v>0.9</v>
      </c>
      <c r="U422" s="21">
        <f>T422*10^((S422-R422)/10)</f>
        <v>2.2075158243672361E-7</v>
      </c>
    </row>
    <row r="423" spans="1:21" x14ac:dyDescent="0.25">
      <c r="A423" s="24"/>
      <c r="B423" s="24"/>
      <c r="C423" s="17"/>
      <c r="D423" s="24"/>
      <c r="E423" s="24"/>
      <c r="F423" s="25"/>
      <c r="G423" s="1">
        <v>3425</v>
      </c>
      <c r="H423" s="2">
        <v>103.5</v>
      </c>
      <c r="I423" s="2">
        <v>-24.2</v>
      </c>
      <c r="J423" s="2">
        <v>-27</v>
      </c>
      <c r="K423" s="2">
        <f t="shared" si="53"/>
        <v>-24.2</v>
      </c>
      <c r="L423" s="8">
        <f t="shared" si="57"/>
        <v>1.6982436524617405E-13</v>
      </c>
      <c r="M423" s="26"/>
      <c r="N423" s="17"/>
      <c r="O423" s="9">
        <f t="shared" si="55"/>
        <v>-27</v>
      </c>
      <c r="P423" s="8">
        <f>D422/B422*10^(O423/10)</f>
        <v>0.31259109601179086</v>
      </c>
      <c r="Q423" s="26"/>
      <c r="R423" s="17"/>
      <c r="S423" s="19"/>
      <c r="T423" s="17"/>
      <c r="U423" s="22"/>
    </row>
    <row r="424" spans="1:21" x14ac:dyDescent="0.25">
      <c r="A424" s="24"/>
      <c r="B424" s="24"/>
      <c r="C424" s="17"/>
      <c r="D424" s="24"/>
      <c r="E424" s="24"/>
      <c r="F424" s="25"/>
      <c r="G424" s="1">
        <v>4025</v>
      </c>
      <c r="H424" s="2">
        <v>103.6</v>
      </c>
      <c r="I424" s="2">
        <v>-23.9</v>
      </c>
      <c r="J424" s="2">
        <v>-32</v>
      </c>
      <c r="K424" s="2">
        <f t="shared" si="53"/>
        <v>-23.9</v>
      </c>
      <c r="L424" s="8">
        <f t="shared" si="57"/>
        <v>1.7782794100389184E-13</v>
      </c>
      <c r="M424" s="26"/>
      <c r="N424" s="17"/>
      <c r="O424" s="9">
        <f t="shared" si="55"/>
        <v>-32</v>
      </c>
      <c r="P424" s="8">
        <f>D422/B422*10^(O424/10)</f>
        <v>9.8849983968563482E-2</v>
      </c>
      <c r="Q424" s="26"/>
      <c r="R424" s="17"/>
      <c r="S424" s="19"/>
      <c r="T424" s="17"/>
      <c r="U424" s="22"/>
    </row>
    <row r="425" spans="1:21" x14ac:dyDescent="0.25">
      <c r="A425" s="24"/>
      <c r="B425" s="24"/>
      <c r="C425" s="17"/>
      <c r="D425" s="24"/>
      <c r="E425" s="24"/>
      <c r="F425" s="25"/>
      <c r="G425" s="1">
        <v>4625</v>
      </c>
      <c r="H425" s="2">
        <v>105.6</v>
      </c>
      <c r="I425" s="2">
        <v>-26.2</v>
      </c>
      <c r="J425" s="2">
        <v>-28.1</v>
      </c>
      <c r="K425" s="2">
        <f t="shared" si="53"/>
        <v>-26.2</v>
      </c>
      <c r="L425" s="8">
        <f t="shared" si="57"/>
        <v>6.6069344800759699E-14</v>
      </c>
      <c r="M425" s="26"/>
      <c r="N425" s="17"/>
      <c r="O425" s="9">
        <f t="shared" si="55"/>
        <v>-28.1</v>
      </c>
      <c r="P425" s="8">
        <f>D422/B422*10^(O425/10)</f>
        <v>0.24264793696295522</v>
      </c>
      <c r="Q425" s="26"/>
      <c r="R425" s="17"/>
      <c r="S425" s="19"/>
      <c r="T425" s="17"/>
      <c r="U425" s="22"/>
    </row>
    <row r="426" spans="1:21" x14ac:dyDescent="0.25">
      <c r="A426" s="24"/>
      <c r="B426" s="24"/>
      <c r="C426" s="17"/>
      <c r="D426" s="24"/>
      <c r="E426" s="24"/>
      <c r="F426" s="25"/>
      <c r="G426" s="1">
        <v>5225</v>
      </c>
      <c r="H426" s="2">
        <v>103.5</v>
      </c>
      <c r="I426" s="2">
        <v>-22.8</v>
      </c>
      <c r="J426" s="2">
        <v>-27.1</v>
      </c>
      <c r="K426" s="2">
        <f t="shared" si="53"/>
        <v>-22.8</v>
      </c>
      <c r="L426" s="8">
        <f t="shared" si="57"/>
        <v>2.3442288153199217E-13</v>
      </c>
      <c r="M426" s="26"/>
      <c r="N426" s="17"/>
      <c r="O426" s="9">
        <f t="shared" si="55"/>
        <v>-27.1</v>
      </c>
      <c r="P426" s="8">
        <f>D422/B422*10^(O426/10)</f>
        <v>0.30547565396209353</v>
      </c>
      <c r="Q426" s="26"/>
      <c r="R426" s="17"/>
      <c r="S426" s="19"/>
      <c r="T426" s="17"/>
      <c r="U426" s="22"/>
    </row>
    <row r="427" spans="1:21" x14ac:dyDescent="0.25">
      <c r="A427" s="24"/>
      <c r="B427" s="24"/>
      <c r="C427" s="17"/>
      <c r="D427" s="24"/>
      <c r="E427" s="24"/>
      <c r="F427" s="25"/>
      <c r="G427" s="1">
        <v>5625</v>
      </c>
      <c r="H427" s="2">
        <v>99.5</v>
      </c>
      <c r="I427" s="2">
        <v>-24.5</v>
      </c>
      <c r="J427" s="2">
        <v>-28.7</v>
      </c>
      <c r="K427" s="2">
        <f t="shared" si="53"/>
        <v>-24.5</v>
      </c>
      <c r="L427" s="8">
        <f t="shared" si="57"/>
        <v>3.9810717055349631E-13</v>
      </c>
      <c r="M427" s="26"/>
      <c r="N427" s="17"/>
      <c r="O427" s="9">
        <f t="shared" si="55"/>
        <v>-28.7</v>
      </c>
      <c r="P427" s="8">
        <f>D422/B422*10^(O427/10)</f>
        <v>0.21133751827269218</v>
      </c>
      <c r="Q427" s="26"/>
      <c r="R427" s="17"/>
      <c r="S427" s="20"/>
      <c r="T427" s="17"/>
      <c r="U427" s="23"/>
    </row>
    <row r="428" spans="1:21" x14ac:dyDescent="0.25">
      <c r="A428" s="24">
        <v>8000</v>
      </c>
      <c r="B428" s="24">
        <v>3</v>
      </c>
      <c r="C428" s="17">
        <v>0.5</v>
      </c>
      <c r="D428" s="24">
        <v>943</v>
      </c>
      <c r="E428" s="24">
        <v>6</v>
      </c>
      <c r="F428" s="25">
        <v>54</v>
      </c>
      <c r="G428" s="1">
        <v>6025</v>
      </c>
      <c r="H428" s="2">
        <v>95</v>
      </c>
      <c r="I428" s="2">
        <v>-23.7</v>
      </c>
      <c r="J428" s="2">
        <v>-27.5</v>
      </c>
      <c r="K428" s="2">
        <f t="shared" si="53"/>
        <v>-23.7</v>
      </c>
      <c r="L428" s="8">
        <f t="shared" si="57"/>
        <v>1.3489628825916484E-12</v>
      </c>
      <c r="M428" s="26">
        <f>SUM(L428:L433)</f>
        <v>3.3544389838975744E-11</v>
      </c>
      <c r="N428" s="17">
        <f>10*LOG10(M428/E428)</f>
        <v>-112.52531353768595</v>
      </c>
      <c r="O428" s="9">
        <f t="shared" si="55"/>
        <v>-27.5</v>
      </c>
      <c r="P428" s="8">
        <f>D428/B428*10^(O428/10)</f>
        <v>0.55897249455556786</v>
      </c>
      <c r="Q428" s="26">
        <f>SUM(P428:P433)</f>
        <v>3.0254803399789134</v>
      </c>
      <c r="R428" s="17">
        <f>10*LOG10(Q428)</f>
        <v>4.8079433516750028</v>
      </c>
      <c r="S428" s="18">
        <f>F428+N428-Kzt-H</f>
        <v>-58.525313537685946</v>
      </c>
      <c r="T428" s="17">
        <v>0.7</v>
      </c>
      <c r="U428" s="21">
        <f>T428*10^((S428-R428)/10)</f>
        <v>3.2491693744992048E-7</v>
      </c>
    </row>
    <row r="429" spans="1:21" x14ac:dyDescent="0.25">
      <c r="A429" s="24"/>
      <c r="B429" s="24"/>
      <c r="C429" s="17"/>
      <c r="D429" s="24"/>
      <c r="E429" s="24"/>
      <c r="F429" s="25"/>
      <c r="G429" s="1">
        <v>7025</v>
      </c>
      <c r="H429" s="2">
        <v>94.8</v>
      </c>
      <c r="I429" s="2">
        <v>-22.6</v>
      </c>
      <c r="J429" s="2">
        <v>-26.9</v>
      </c>
      <c r="K429" s="2">
        <f t="shared" si="53"/>
        <v>-22.6</v>
      </c>
      <c r="L429" s="8">
        <f t="shared" si="57"/>
        <v>1.8197008586099809E-12</v>
      </c>
      <c r="M429" s="26"/>
      <c r="N429" s="17"/>
      <c r="O429" s="9">
        <f t="shared" si="55"/>
        <v>-26.9</v>
      </c>
      <c r="P429" s="8">
        <f>D428/B428*10^(O429/10)</f>
        <v>0.64178629394112197</v>
      </c>
      <c r="Q429" s="26"/>
      <c r="R429" s="17"/>
      <c r="S429" s="19"/>
      <c r="T429" s="17"/>
      <c r="U429" s="22"/>
    </row>
    <row r="430" spans="1:21" x14ac:dyDescent="0.25">
      <c r="A430" s="24"/>
      <c r="B430" s="24"/>
      <c r="C430" s="17"/>
      <c r="D430" s="24"/>
      <c r="E430" s="24"/>
      <c r="F430" s="25"/>
      <c r="G430" s="1">
        <v>8025</v>
      </c>
      <c r="H430" s="2">
        <v>101.9</v>
      </c>
      <c r="I430" s="2">
        <v>-20.8</v>
      </c>
      <c r="J430" s="2">
        <v>-28.1</v>
      </c>
      <c r="K430" s="2">
        <f t="shared" si="53"/>
        <v>-20.8</v>
      </c>
      <c r="L430" s="8">
        <f t="shared" si="57"/>
        <v>5.3703179637025273E-13</v>
      </c>
      <c r="M430" s="26"/>
      <c r="N430" s="17"/>
      <c r="O430" s="9">
        <f t="shared" si="55"/>
        <v>-28.1</v>
      </c>
      <c r="P430" s="8">
        <f>D428/B428*10^(O430/10)</f>
        <v>0.48684469054482293</v>
      </c>
      <c r="Q430" s="26"/>
      <c r="R430" s="17"/>
      <c r="S430" s="19"/>
      <c r="T430" s="17"/>
      <c r="U430" s="22"/>
    </row>
    <row r="431" spans="1:21" x14ac:dyDescent="0.25">
      <c r="A431" s="24"/>
      <c r="B431" s="24"/>
      <c r="C431" s="17"/>
      <c r="D431" s="24"/>
      <c r="E431" s="24"/>
      <c r="F431" s="25"/>
      <c r="G431" s="1">
        <v>9025</v>
      </c>
      <c r="H431" s="2">
        <v>93.2</v>
      </c>
      <c r="I431" s="2">
        <v>-24.5</v>
      </c>
      <c r="J431" s="2">
        <v>-28.7</v>
      </c>
      <c r="K431" s="2">
        <f t="shared" si="53"/>
        <v>-24.5</v>
      </c>
      <c r="L431" s="8">
        <f t="shared" si="57"/>
        <v>1.6982436524617421E-12</v>
      </c>
      <c r="M431" s="26"/>
      <c r="N431" s="17"/>
      <c r="O431" s="9">
        <f t="shared" si="55"/>
        <v>-28.7</v>
      </c>
      <c r="P431" s="8">
        <f>D428/B428*10^(O431/10)</f>
        <v>0.42402399942797603</v>
      </c>
      <c r="Q431" s="26"/>
      <c r="R431" s="17"/>
      <c r="S431" s="19"/>
      <c r="T431" s="17"/>
      <c r="U431" s="22"/>
    </row>
    <row r="432" spans="1:21" x14ac:dyDescent="0.25">
      <c r="A432" s="24"/>
      <c r="B432" s="24"/>
      <c r="C432" s="17"/>
      <c r="D432" s="24"/>
      <c r="E432" s="24"/>
      <c r="F432" s="25"/>
      <c r="G432" s="1">
        <v>10025</v>
      </c>
      <c r="H432" s="2">
        <v>88.3</v>
      </c>
      <c r="I432" s="2">
        <v>-23.4</v>
      </c>
      <c r="J432" s="2">
        <v>-30.4</v>
      </c>
      <c r="K432" s="2">
        <f t="shared" si="53"/>
        <v>-23.4</v>
      </c>
      <c r="L432" s="8">
        <f t="shared" si="57"/>
        <v>6.7608297539198193E-12</v>
      </c>
      <c r="M432" s="26"/>
      <c r="N432" s="17"/>
      <c r="O432" s="9">
        <f t="shared" si="55"/>
        <v>-30.4</v>
      </c>
      <c r="P432" s="8">
        <f>D428/B428*10^(O432/10)</f>
        <v>0.28667540717087392</v>
      </c>
      <c r="Q432" s="26"/>
      <c r="R432" s="17"/>
      <c r="S432" s="19"/>
      <c r="T432" s="17"/>
      <c r="U432" s="22"/>
    </row>
    <row r="433" spans="1:21" x14ac:dyDescent="0.25">
      <c r="A433" s="24"/>
      <c r="B433" s="24"/>
      <c r="C433" s="17"/>
      <c r="D433" s="24"/>
      <c r="E433" s="24"/>
      <c r="F433" s="25"/>
      <c r="G433" s="1">
        <v>11025</v>
      </c>
      <c r="H433" s="2">
        <v>86</v>
      </c>
      <c r="I433" s="2">
        <v>-20.7</v>
      </c>
      <c r="J433" s="2">
        <v>-27</v>
      </c>
      <c r="K433" s="2">
        <f t="shared" si="53"/>
        <v>-20.7</v>
      </c>
      <c r="L433" s="8">
        <f t="shared" si="57"/>
        <v>2.1379620895022298E-11</v>
      </c>
      <c r="M433" s="26"/>
      <c r="N433" s="17"/>
      <c r="O433" s="9">
        <f t="shared" si="55"/>
        <v>-27</v>
      </c>
      <c r="P433" s="8">
        <f>D428/B428*10^(O433/10)</f>
        <v>0.62717745433855066</v>
      </c>
      <c r="Q433" s="26"/>
      <c r="R433" s="17"/>
      <c r="S433" s="20"/>
      <c r="T433" s="17"/>
      <c r="U433" s="23"/>
    </row>
    <row r="434" spans="1:21" x14ac:dyDescent="0.25">
      <c r="A434" s="24" t="s">
        <v>20</v>
      </c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12">
        <f>U434</f>
        <v>7.6407947279073088E-2</v>
      </c>
      <c r="T434" s="2"/>
      <c r="U434" s="8">
        <f>0.8*SQRT(SUM(U400:U433))</f>
        <v>7.6407947279073088E-2</v>
      </c>
    </row>
    <row r="435" spans="1:21" x14ac:dyDescent="0.25">
      <c r="A435" s="27" t="s">
        <v>44</v>
      </c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9"/>
    </row>
    <row r="436" spans="1:21" x14ac:dyDescent="0.25">
      <c r="A436" s="24">
        <v>250</v>
      </c>
      <c r="B436" s="24">
        <v>3</v>
      </c>
      <c r="C436" s="17">
        <v>0.5</v>
      </c>
      <c r="D436" s="24">
        <v>38</v>
      </c>
      <c r="E436" s="24">
        <v>4</v>
      </c>
      <c r="F436" s="25">
        <v>84</v>
      </c>
      <c r="G436" s="1">
        <v>175</v>
      </c>
      <c r="H436" s="2">
        <v>84.8</v>
      </c>
      <c r="I436" s="2">
        <v>-21.9</v>
      </c>
      <c r="J436" s="2">
        <v>-27.9</v>
      </c>
      <c r="K436" s="2">
        <f>I436</f>
        <v>-21.9</v>
      </c>
      <c r="L436" s="8">
        <f>10^((K436-H436)/10)</f>
        <v>2.1379620895022375E-11</v>
      </c>
      <c r="M436" s="26">
        <f>SUM(L436:L439)</f>
        <v>3.9908731065671858E-11</v>
      </c>
      <c r="N436" s="17">
        <f>10*LOG10(M436/E436)</f>
        <v>-110.0099207211166</v>
      </c>
      <c r="O436" s="9">
        <f>J436</f>
        <v>-27.9</v>
      </c>
      <c r="P436" s="8">
        <f>D436/B436*10^(O436/10)</f>
        <v>2.054292789987976E-2</v>
      </c>
      <c r="Q436" s="26">
        <f>SUM(P436:P439)</f>
        <v>9.0516298962383043E-2</v>
      </c>
      <c r="R436" s="17">
        <f>10*LOG10(Q436)</f>
        <v>-10.432732118215339</v>
      </c>
      <c r="S436" s="18">
        <f>F436+N436-Kzt-H</f>
        <v>-26.0099207211166</v>
      </c>
      <c r="T436" s="17">
        <v>0.2</v>
      </c>
      <c r="U436" s="21">
        <f>T436*10^((S436-R436)/10)</f>
        <v>5.5374667994482667E-3</v>
      </c>
    </row>
    <row r="437" spans="1:21" x14ac:dyDescent="0.25">
      <c r="A437" s="24"/>
      <c r="B437" s="24"/>
      <c r="C437" s="17"/>
      <c r="D437" s="24"/>
      <c r="E437" s="24"/>
      <c r="F437" s="25"/>
      <c r="G437" s="1">
        <v>225</v>
      </c>
      <c r="H437" s="2">
        <v>90</v>
      </c>
      <c r="I437" s="2">
        <v>-19</v>
      </c>
      <c r="J437" s="2">
        <v>-28.6</v>
      </c>
      <c r="K437" s="2">
        <f t="shared" ref="K437:K469" si="58">I437</f>
        <v>-19</v>
      </c>
      <c r="L437" s="8">
        <f t="shared" ref="L437:L438" si="59">10^((K437-H437)/10)</f>
        <v>1.2589254117941641E-11</v>
      </c>
      <c r="M437" s="26"/>
      <c r="N437" s="17"/>
      <c r="O437" s="9">
        <f t="shared" ref="O437:O469" si="60">J437</f>
        <v>-28.6</v>
      </c>
      <c r="P437" s="8">
        <f>D436/B436*10^(O437/10)</f>
        <v>1.7484867351636523E-2</v>
      </c>
      <c r="Q437" s="26"/>
      <c r="R437" s="17"/>
      <c r="S437" s="19"/>
      <c r="T437" s="17"/>
      <c r="U437" s="22"/>
    </row>
    <row r="438" spans="1:21" x14ac:dyDescent="0.25">
      <c r="A438" s="24"/>
      <c r="B438" s="24"/>
      <c r="C438" s="17"/>
      <c r="D438" s="24"/>
      <c r="E438" s="24"/>
      <c r="F438" s="25"/>
      <c r="G438" s="1">
        <v>275</v>
      </c>
      <c r="H438" s="2">
        <v>92.2</v>
      </c>
      <c r="I438" s="2">
        <v>-22</v>
      </c>
      <c r="J438" s="2">
        <v>-25.8</v>
      </c>
      <c r="K438" s="2">
        <f t="shared" si="58"/>
        <v>-22</v>
      </c>
      <c r="L438" s="8">
        <f t="shared" si="59"/>
        <v>3.8018939632056084E-12</v>
      </c>
      <c r="M438" s="26"/>
      <c r="N438" s="17"/>
      <c r="O438" s="9">
        <f t="shared" si="60"/>
        <v>-25.8</v>
      </c>
      <c r="P438" s="8">
        <f>D436/B436*10^(O438/10)</f>
        <v>3.3316727897341469E-2</v>
      </c>
      <c r="Q438" s="26"/>
      <c r="R438" s="17"/>
      <c r="S438" s="19"/>
      <c r="T438" s="17"/>
      <c r="U438" s="22"/>
    </row>
    <row r="439" spans="1:21" x14ac:dyDescent="0.25">
      <c r="A439" s="24"/>
      <c r="B439" s="24"/>
      <c r="C439" s="17"/>
      <c r="D439" s="24"/>
      <c r="E439" s="24"/>
      <c r="F439" s="25"/>
      <c r="G439" s="1">
        <v>325</v>
      </c>
      <c r="H439" s="2">
        <v>93.3</v>
      </c>
      <c r="I439" s="2">
        <v>-23.4</v>
      </c>
      <c r="J439" s="2">
        <v>-28.2</v>
      </c>
      <c r="K439" s="2">
        <f t="shared" si="58"/>
        <v>-23.4</v>
      </c>
      <c r="L439" s="8">
        <f>10^((K439-H439)/10)</f>
        <v>2.137962089502235E-12</v>
      </c>
      <c r="M439" s="26"/>
      <c r="N439" s="17"/>
      <c r="O439" s="9">
        <f t="shared" si="60"/>
        <v>-28.2</v>
      </c>
      <c r="P439" s="8">
        <f>D436/B436*10^(O439/10)</f>
        <v>1.9171775813525291E-2</v>
      </c>
      <c r="Q439" s="26"/>
      <c r="R439" s="17"/>
      <c r="S439" s="20"/>
      <c r="T439" s="17"/>
      <c r="U439" s="23"/>
    </row>
    <row r="440" spans="1:21" x14ac:dyDescent="0.25">
      <c r="A440" s="24">
        <v>500</v>
      </c>
      <c r="B440" s="24">
        <v>3</v>
      </c>
      <c r="C440" s="17">
        <v>0.5</v>
      </c>
      <c r="D440" s="24">
        <v>59</v>
      </c>
      <c r="E440" s="24">
        <v>6</v>
      </c>
      <c r="F440" s="25">
        <v>84</v>
      </c>
      <c r="G440" s="1">
        <v>375</v>
      </c>
      <c r="H440" s="2">
        <v>91.9</v>
      </c>
      <c r="I440" s="2">
        <v>-22.9</v>
      </c>
      <c r="J440" s="2">
        <v>-28.2</v>
      </c>
      <c r="K440" s="2">
        <f t="shared" si="58"/>
        <v>-22.9</v>
      </c>
      <c r="L440" s="8">
        <f t="shared" ref="L440:L441" si="61">10^((K440-H440)/10)</f>
        <v>3.3113112148258976E-12</v>
      </c>
      <c r="M440" s="26">
        <f>SUM(L440:L445)</f>
        <v>2.3618091390426569E-11</v>
      </c>
      <c r="N440" s="17">
        <f>10*LOG10(M440/E440)</f>
        <v>-114.0490645160645</v>
      </c>
      <c r="O440" s="9">
        <f t="shared" si="60"/>
        <v>-28.2</v>
      </c>
      <c r="P440" s="8">
        <f>D440/B440*10^(O440/10)</f>
        <v>2.9766704552578745E-2</v>
      </c>
      <c r="Q440" s="26">
        <f>SUM(P440:P445)</f>
        <v>0.28354631449889978</v>
      </c>
      <c r="R440" s="17">
        <f>10*LOG10(Q440)</f>
        <v>-5.4737599324905641</v>
      </c>
      <c r="S440" s="18">
        <f>F440+N440-Kzt-H</f>
        <v>-30.049064516064504</v>
      </c>
      <c r="T440" s="17">
        <v>0.5</v>
      </c>
      <c r="U440" s="21">
        <f>T440*10^((S440-R440)/10)</f>
        <v>1.7435706346189599E-3</v>
      </c>
    </row>
    <row r="441" spans="1:21" x14ac:dyDescent="0.25">
      <c r="A441" s="24"/>
      <c r="B441" s="24"/>
      <c r="C441" s="17"/>
      <c r="D441" s="24"/>
      <c r="E441" s="24"/>
      <c r="F441" s="25"/>
      <c r="G441" s="1">
        <v>425</v>
      </c>
      <c r="H441" s="2">
        <v>88.1</v>
      </c>
      <c r="I441" s="2">
        <v>-24.5</v>
      </c>
      <c r="J441" s="2">
        <v>-27</v>
      </c>
      <c r="K441" s="2">
        <f t="shared" si="58"/>
        <v>-24.5</v>
      </c>
      <c r="L441" s="8">
        <f t="shared" si="61"/>
        <v>5.4954087385762314E-12</v>
      </c>
      <c r="M441" s="26"/>
      <c r="N441" s="17"/>
      <c r="O441" s="9">
        <f t="shared" si="60"/>
        <v>-27</v>
      </c>
      <c r="P441" s="8">
        <f>D440/B440*10^(O441/10)</f>
        <v>3.9240158861054607E-2</v>
      </c>
      <c r="Q441" s="26"/>
      <c r="R441" s="17"/>
      <c r="S441" s="19"/>
      <c r="T441" s="17"/>
      <c r="U441" s="22"/>
    </row>
    <row r="442" spans="1:21" x14ac:dyDescent="0.25">
      <c r="A442" s="24"/>
      <c r="B442" s="24"/>
      <c r="C442" s="17"/>
      <c r="D442" s="24"/>
      <c r="E442" s="24"/>
      <c r="F442" s="25"/>
      <c r="G442" s="1">
        <v>475</v>
      </c>
      <c r="H442" s="2">
        <v>90</v>
      </c>
      <c r="I442" s="2">
        <v>-22</v>
      </c>
      <c r="J442" s="2">
        <v>-25.7</v>
      </c>
      <c r="K442" s="2">
        <f t="shared" si="58"/>
        <v>-22</v>
      </c>
      <c r="L442" s="8">
        <f>10^((K442-H442)/10)</f>
        <v>6.3095734448019345E-12</v>
      </c>
      <c r="M442" s="26"/>
      <c r="N442" s="17"/>
      <c r="O442" s="9">
        <f t="shared" si="60"/>
        <v>-25.7</v>
      </c>
      <c r="P442" s="8">
        <f>D440/B440*10^(O442/10)</f>
        <v>5.2933517810562658E-2</v>
      </c>
      <c r="Q442" s="26"/>
      <c r="R442" s="17"/>
      <c r="S442" s="19"/>
      <c r="T442" s="17"/>
      <c r="U442" s="22"/>
    </row>
    <row r="443" spans="1:21" x14ac:dyDescent="0.25">
      <c r="A443" s="24"/>
      <c r="B443" s="24"/>
      <c r="C443" s="17"/>
      <c r="D443" s="24"/>
      <c r="E443" s="24"/>
      <c r="F443" s="25"/>
      <c r="G443" s="1">
        <v>575</v>
      </c>
      <c r="H443" s="2">
        <v>97</v>
      </c>
      <c r="I443" s="2">
        <v>-21.8</v>
      </c>
      <c r="J443" s="2">
        <v>-24.6</v>
      </c>
      <c r="K443" s="2">
        <f t="shared" si="58"/>
        <v>-21.8</v>
      </c>
      <c r="L443" s="8">
        <f t="shared" ref="L443:L469" si="62">10^((K443-H443)/10)</f>
        <v>1.3182567385564068E-12</v>
      </c>
      <c r="M443" s="26"/>
      <c r="N443" s="17"/>
      <c r="O443" s="9">
        <f t="shared" si="60"/>
        <v>-24.6</v>
      </c>
      <c r="P443" s="8">
        <f>D440/B440*10^(O443/10)</f>
        <v>6.8191580588997866E-2</v>
      </c>
      <c r="Q443" s="26"/>
      <c r="R443" s="17"/>
      <c r="S443" s="19"/>
      <c r="T443" s="17"/>
      <c r="U443" s="22"/>
    </row>
    <row r="444" spans="1:21" x14ac:dyDescent="0.25">
      <c r="A444" s="24"/>
      <c r="B444" s="24"/>
      <c r="C444" s="17"/>
      <c r="D444" s="24"/>
      <c r="E444" s="24"/>
      <c r="F444" s="25"/>
      <c r="G444" s="1">
        <v>625</v>
      </c>
      <c r="H444" s="2">
        <v>92</v>
      </c>
      <c r="I444" s="2">
        <v>-21.6</v>
      </c>
      <c r="J444" s="2">
        <v>-25.1</v>
      </c>
      <c r="K444" s="2">
        <f t="shared" si="58"/>
        <v>-21.6</v>
      </c>
      <c r="L444" s="8">
        <f t="shared" si="62"/>
        <v>4.3651583224016522E-12</v>
      </c>
      <c r="M444" s="26"/>
      <c r="N444" s="17"/>
      <c r="O444" s="9">
        <f t="shared" si="60"/>
        <v>-25.1</v>
      </c>
      <c r="P444" s="8">
        <f>D440/B440*10^(O444/10)</f>
        <v>6.0775810172767231E-2</v>
      </c>
      <c r="Q444" s="26"/>
      <c r="R444" s="17"/>
      <c r="S444" s="19"/>
      <c r="T444" s="17"/>
      <c r="U444" s="22"/>
    </row>
    <row r="445" spans="1:21" x14ac:dyDescent="0.25">
      <c r="A445" s="24"/>
      <c r="B445" s="24"/>
      <c r="C445" s="17"/>
      <c r="D445" s="24"/>
      <c r="E445" s="24"/>
      <c r="F445" s="25"/>
      <c r="G445" s="1">
        <v>675</v>
      </c>
      <c r="H445" s="2">
        <v>94.5</v>
      </c>
      <c r="I445" s="2">
        <v>-21</v>
      </c>
      <c r="J445" s="2">
        <v>-27.8</v>
      </c>
      <c r="K445" s="2">
        <f t="shared" si="58"/>
        <v>-21</v>
      </c>
      <c r="L445" s="8">
        <f t="shared" si="62"/>
        <v>2.8183829312644444E-12</v>
      </c>
      <c r="M445" s="26"/>
      <c r="N445" s="17"/>
      <c r="O445" s="9">
        <f t="shared" si="60"/>
        <v>-27.8</v>
      </c>
      <c r="P445" s="8">
        <f>D440/B440*10^(O445/10)</f>
        <v>3.2638542512938663E-2</v>
      </c>
      <c r="Q445" s="26"/>
      <c r="R445" s="17"/>
      <c r="S445" s="20"/>
      <c r="T445" s="17"/>
      <c r="U445" s="23"/>
    </row>
    <row r="446" spans="1:21" x14ac:dyDescent="0.25">
      <c r="A446" s="24">
        <v>1000</v>
      </c>
      <c r="B446" s="24">
        <v>3</v>
      </c>
      <c r="C446" s="17">
        <v>0.5</v>
      </c>
      <c r="D446" s="24">
        <v>117</v>
      </c>
      <c r="E446" s="24">
        <v>6</v>
      </c>
      <c r="F446" s="25">
        <v>76</v>
      </c>
      <c r="G446" s="1">
        <v>875</v>
      </c>
      <c r="H446" s="2">
        <v>91.1</v>
      </c>
      <c r="I446" s="2">
        <v>-22.6</v>
      </c>
      <c r="J446" s="2">
        <v>-27.9</v>
      </c>
      <c r="K446" s="2">
        <f t="shared" si="58"/>
        <v>-22.6</v>
      </c>
      <c r="L446" s="8">
        <f t="shared" si="62"/>
        <v>4.2657951880159207E-12</v>
      </c>
      <c r="M446" s="26">
        <f>SUM(L446:L451)</f>
        <v>8.9729337951892318E-12</v>
      </c>
      <c r="N446" s="17">
        <f>10*LOG10(M446/E446)</f>
        <v>-118.25216786966784</v>
      </c>
      <c r="O446" s="9">
        <f t="shared" si="60"/>
        <v>-27.9</v>
      </c>
      <c r="P446" s="8">
        <f>D446/B446*10^(O446/10)</f>
        <v>6.3250593796998211E-2</v>
      </c>
      <c r="Q446" s="26">
        <f>SUM(P446:P451)</f>
        <v>0.34524118578417406</v>
      </c>
      <c r="R446" s="17">
        <f>10*LOG10(Q446)</f>
        <v>-4.6187740040801391</v>
      </c>
      <c r="S446" s="18">
        <f>F446+N446-Kzt-H</f>
        <v>-42.252167869667844</v>
      </c>
      <c r="T446" s="17">
        <v>0.8</v>
      </c>
      <c r="U446" s="21">
        <f>T446*10^((S446-R446)/10)</f>
        <v>1.3795917875606602E-4</v>
      </c>
    </row>
    <row r="447" spans="1:21" x14ac:dyDescent="0.25">
      <c r="A447" s="24"/>
      <c r="B447" s="24"/>
      <c r="C447" s="17"/>
      <c r="D447" s="24"/>
      <c r="E447" s="24"/>
      <c r="F447" s="25"/>
      <c r="G447" s="1">
        <v>975</v>
      </c>
      <c r="H447" s="2">
        <v>96.5</v>
      </c>
      <c r="I447" s="2">
        <v>-25.9</v>
      </c>
      <c r="J447" s="2">
        <v>-30.7</v>
      </c>
      <c r="K447" s="2">
        <f t="shared" si="58"/>
        <v>-25.9</v>
      </c>
      <c r="L447" s="8">
        <f t="shared" si="62"/>
        <v>5.7543993733715476E-13</v>
      </c>
      <c r="M447" s="26"/>
      <c r="N447" s="17"/>
      <c r="O447" s="9">
        <f t="shared" si="60"/>
        <v>-30.7</v>
      </c>
      <c r="P447" s="8">
        <f>D446/B446*10^(O447/10)</f>
        <v>3.3194383489892683E-2</v>
      </c>
      <c r="Q447" s="26"/>
      <c r="R447" s="17"/>
      <c r="S447" s="19"/>
      <c r="T447" s="17"/>
      <c r="U447" s="22"/>
    </row>
    <row r="448" spans="1:21" x14ac:dyDescent="0.25">
      <c r="A448" s="24"/>
      <c r="B448" s="24"/>
      <c r="C448" s="17"/>
      <c r="D448" s="24"/>
      <c r="E448" s="24"/>
      <c r="F448" s="25"/>
      <c r="G448" s="1">
        <v>1075</v>
      </c>
      <c r="H448" s="2">
        <v>94.6</v>
      </c>
      <c r="I448" s="2">
        <v>-20.5</v>
      </c>
      <c r="J448" s="2">
        <v>-28.4</v>
      </c>
      <c r="K448" s="2">
        <f t="shared" si="58"/>
        <v>-20.5</v>
      </c>
      <c r="L448" s="8">
        <f t="shared" si="62"/>
        <v>3.0902954325135792E-12</v>
      </c>
      <c r="M448" s="26"/>
      <c r="N448" s="17"/>
      <c r="O448" s="9">
        <f t="shared" si="60"/>
        <v>-28.4</v>
      </c>
      <c r="P448" s="8">
        <f>D446/B446*10^(O448/10)</f>
        <v>5.6372151059091158E-2</v>
      </c>
      <c r="Q448" s="26"/>
      <c r="R448" s="17"/>
      <c r="S448" s="19"/>
      <c r="T448" s="17"/>
      <c r="U448" s="22"/>
    </row>
    <row r="449" spans="1:21" x14ac:dyDescent="0.25">
      <c r="A449" s="24"/>
      <c r="B449" s="24"/>
      <c r="C449" s="17"/>
      <c r="D449" s="24"/>
      <c r="E449" s="24"/>
      <c r="F449" s="25"/>
      <c r="G449" s="1">
        <v>1175</v>
      </c>
      <c r="H449" s="2">
        <v>97.8</v>
      </c>
      <c r="I449" s="2">
        <v>-25.6</v>
      </c>
      <c r="J449" s="2">
        <v>-27.3</v>
      </c>
      <c r="K449" s="2">
        <f t="shared" si="58"/>
        <v>-25.6</v>
      </c>
      <c r="L449" s="8">
        <f t="shared" si="62"/>
        <v>4.5708818961487372E-13</v>
      </c>
      <c r="M449" s="26"/>
      <c r="N449" s="17"/>
      <c r="O449" s="9">
        <f t="shared" si="60"/>
        <v>-27.3</v>
      </c>
      <c r="P449" s="8">
        <f>D446/B446*10^(O449/10)</f>
        <v>7.2621398329851788E-2</v>
      </c>
      <c r="Q449" s="26"/>
      <c r="R449" s="17"/>
      <c r="S449" s="19"/>
      <c r="T449" s="17"/>
      <c r="U449" s="22"/>
    </row>
    <row r="450" spans="1:21" x14ac:dyDescent="0.25">
      <c r="A450" s="24"/>
      <c r="B450" s="24"/>
      <c r="C450" s="17"/>
      <c r="D450" s="24"/>
      <c r="E450" s="24"/>
      <c r="F450" s="25"/>
      <c r="G450" s="1">
        <v>1275</v>
      </c>
      <c r="H450" s="2">
        <v>100.1</v>
      </c>
      <c r="I450" s="2">
        <v>-26</v>
      </c>
      <c r="J450" s="2">
        <v>-29.5</v>
      </c>
      <c r="K450" s="2">
        <f t="shared" si="58"/>
        <v>-26</v>
      </c>
      <c r="L450" s="8">
        <f t="shared" si="62"/>
        <v>2.4547089156850296E-13</v>
      </c>
      <c r="M450" s="26"/>
      <c r="N450" s="17"/>
      <c r="O450" s="9">
        <f t="shared" si="60"/>
        <v>-29.5</v>
      </c>
      <c r="P450" s="8">
        <f>D446/B446*10^(O450/10)</f>
        <v>4.3758719717776527E-2</v>
      </c>
      <c r="Q450" s="26"/>
      <c r="R450" s="17"/>
      <c r="S450" s="19"/>
      <c r="T450" s="17"/>
      <c r="U450" s="22"/>
    </row>
    <row r="451" spans="1:21" x14ac:dyDescent="0.25">
      <c r="A451" s="24"/>
      <c r="B451" s="24"/>
      <c r="C451" s="17"/>
      <c r="D451" s="24"/>
      <c r="E451" s="24"/>
      <c r="F451" s="25"/>
      <c r="G451" s="1">
        <v>1375</v>
      </c>
      <c r="H451" s="2">
        <v>103</v>
      </c>
      <c r="I451" s="2">
        <v>-21.7</v>
      </c>
      <c r="J451" s="2">
        <v>-27.1</v>
      </c>
      <c r="K451" s="2">
        <f t="shared" si="58"/>
        <v>-21.7</v>
      </c>
      <c r="L451" s="8">
        <f t="shared" si="62"/>
        <v>3.3884415613920079E-13</v>
      </c>
      <c r="M451" s="26"/>
      <c r="N451" s="17"/>
      <c r="O451" s="9">
        <f t="shared" si="60"/>
        <v>-27.1</v>
      </c>
      <c r="P451" s="8">
        <f>D446/B446*10^(O451/10)</f>
        <v>7.6043939390563725E-2</v>
      </c>
      <c r="Q451" s="26"/>
      <c r="R451" s="17"/>
      <c r="S451" s="20"/>
      <c r="T451" s="17"/>
      <c r="U451" s="23"/>
    </row>
    <row r="452" spans="1:21" x14ac:dyDescent="0.25">
      <c r="A452" s="24">
        <v>2000</v>
      </c>
      <c r="B452" s="24">
        <v>3</v>
      </c>
      <c r="C452" s="17">
        <v>0.5</v>
      </c>
      <c r="D452" s="24">
        <v>234</v>
      </c>
      <c r="E452" s="24">
        <v>6</v>
      </c>
      <c r="F452" s="25">
        <v>68</v>
      </c>
      <c r="G452" s="1">
        <v>1425</v>
      </c>
      <c r="H452" s="2">
        <v>102.8</v>
      </c>
      <c r="I452" s="2">
        <v>-24</v>
      </c>
      <c r="J452" s="2">
        <v>-28.5</v>
      </c>
      <c r="K452" s="2">
        <f t="shared" si="58"/>
        <v>-24</v>
      </c>
      <c r="L452" s="8">
        <f t="shared" si="62"/>
        <v>2.0892961308540331E-13</v>
      </c>
      <c r="M452" s="26">
        <f>SUM(L452:L457)</f>
        <v>3.5992710925914135E-12</v>
      </c>
      <c r="N452" s="17">
        <f>10*LOG10(M452/E452)</f>
        <v>-122.21936691982293</v>
      </c>
      <c r="O452" s="9">
        <f t="shared" si="60"/>
        <v>-28.5</v>
      </c>
      <c r="P452" s="8">
        <f>D452/B452*10^(O452/10)</f>
        <v>0.11017792848057471</v>
      </c>
      <c r="Q452" s="26">
        <f>SUM(P452:P457)</f>
        <v>0.96343276746446849</v>
      </c>
      <c r="R452" s="17">
        <f>10*LOG10(Q452)</f>
        <v>-0.16178586911972881</v>
      </c>
      <c r="S452" s="18">
        <f>F452+N452-Kzt-H</f>
        <v>-54.219366919822932</v>
      </c>
      <c r="T452" s="17">
        <v>1</v>
      </c>
      <c r="U452" s="21">
        <f>T452*10^((S452-R452)/10)</f>
        <v>3.9286369312904944E-6</v>
      </c>
    </row>
    <row r="453" spans="1:21" x14ac:dyDescent="0.25">
      <c r="A453" s="24"/>
      <c r="B453" s="24"/>
      <c r="C453" s="17"/>
      <c r="D453" s="24"/>
      <c r="E453" s="24"/>
      <c r="F453" s="25"/>
      <c r="G453" s="1">
        <v>1625</v>
      </c>
      <c r="H453" s="2">
        <v>104.1</v>
      </c>
      <c r="I453" s="2">
        <v>-23.3</v>
      </c>
      <c r="J453" s="2">
        <v>-26.1</v>
      </c>
      <c r="K453" s="2">
        <f t="shared" si="58"/>
        <v>-23.3</v>
      </c>
      <c r="L453" s="8">
        <f t="shared" si="62"/>
        <v>1.8197008586099852E-13</v>
      </c>
      <c r="M453" s="26"/>
      <c r="N453" s="17"/>
      <c r="O453" s="9">
        <f t="shared" si="60"/>
        <v>-26.1</v>
      </c>
      <c r="P453" s="8">
        <f>D452/B452*10^(O453/10)</f>
        <v>0.19146729542343205</v>
      </c>
      <c r="Q453" s="26"/>
      <c r="R453" s="17"/>
      <c r="S453" s="19"/>
      <c r="T453" s="17"/>
      <c r="U453" s="22"/>
    </row>
    <row r="454" spans="1:21" x14ac:dyDescent="0.25">
      <c r="A454" s="24"/>
      <c r="B454" s="24"/>
      <c r="C454" s="17"/>
      <c r="D454" s="24"/>
      <c r="E454" s="24"/>
      <c r="F454" s="25"/>
      <c r="G454" s="1">
        <v>1825</v>
      </c>
      <c r="H454" s="2">
        <v>107.6</v>
      </c>
      <c r="I454" s="2">
        <v>-23.6</v>
      </c>
      <c r="J454" s="2">
        <v>-25.3</v>
      </c>
      <c r="K454" s="2">
        <f t="shared" si="58"/>
        <v>-23.6</v>
      </c>
      <c r="L454" s="8">
        <f t="shared" si="62"/>
        <v>7.5857757502918174E-14</v>
      </c>
      <c r="M454" s="26"/>
      <c r="N454" s="17"/>
      <c r="O454" s="9">
        <f t="shared" si="60"/>
        <v>-25.3</v>
      </c>
      <c r="P454" s="8">
        <f>D452/B452*10^(O454/10)</f>
        <v>0.23019431967997794</v>
      </c>
      <c r="Q454" s="26"/>
      <c r="R454" s="17"/>
      <c r="S454" s="19"/>
      <c r="T454" s="17"/>
      <c r="U454" s="22"/>
    </row>
    <row r="455" spans="1:21" x14ac:dyDescent="0.25">
      <c r="A455" s="24"/>
      <c r="B455" s="24"/>
      <c r="C455" s="17"/>
      <c r="D455" s="24"/>
      <c r="E455" s="24"/>
      <c r="F455" s="25"/>
      <c r="G455" s="1">
        <v>2125</v>
      </c>
      <c r="H455" s="2">
        <v>104.2</v>
      </c>
      <c r="I455" s="2">
        <v>-25.3</v>
      </c>
      <c r="J455" s="2">
        <v>-28.4</v>
      </c>
      <c r="K455" s="2">
        <f t="shared" si="58"/>
        <v>-25.3</v>
      </c>
      <c r="L455" s="8">
        <f t="shared" si="62"/>
        <v>1.1220184543019628E-13</v>
      </c>
      <c r="M455" s="26"/>
      <c r="N455" s="17"/>
      <c r="O455" s="9">
        <f t="shared" si="60"/>
        <v>-28.4</v>
      </c>
      <c r="P455" s="8">
        <f>D452/B452*10^(O455/10)</f>
        <v>0.11274430211818232</v>
      </c>
      <c r="Q455" s="26"/>
      <c r="R455" s="17"/>
      <c r="S455" s="19"/>
      <c r="T455" s="17"/>
      <c r="U455" s="22"/>
    </row>
    <row r="456" spans="1:21" x14ac:dyDescent="0.25">
      <c r="A456" s="24"/>
      <c r="B456" s="24"/>
      <c r="C456" s="17"/>
      <c r="D456" s="24"/>
      <c r="E456" s="24"/>
      <c r="F456" s="25"/>
      <c r="G456" s="1">
        <v>2425</v>
      </c>
      <c r="H456" s="2">
        <v>93.7</v>
      </c>
      <c r="I456" s="2">
        <v>-22.6</v>
      </c>
      <c r="J456" s="2">
        <v>-26.7</v>
      </c>
      <c r="K456" s="2">
        <f t="shared" si="58"/>
        <v>-22.6</v>
      </c>
      <c r="L456" s="8">
        <f t="shared" si="62"/>
        <v>2.3442288153199162E-12</v>
      </c>
      <c r="M456" s="26"/>
      <c r="N456" s="17"/>
      <c r="O456" s="9">
        <f t="shared" si="60"/>
        <v>-26.7</v>
      </c>
      <c r="P456" s="8">
        <f>D452/B452*10^(O456/10)</f>
        <v>0.16676104298117408</v>
      </c>
      <c r="Q456" s="26"/>
      <c r="R456" s="17"/>
      <c r="S456" s="19"/>
      <c r="T456" s="17"/>
      <c r="U456" s="22"/>
    </row>
    <row r="457" spans="1:21" x14ac:dyDescent="0.25">
      <c r="A457" s="24"/>
      <c r="B457" s="24"/>
      <c r="C457" s="17"/>
      <c r="D457" s="24"/>
      <c r="E457" s="24"/>
      <c r="F457" s="25"/>
      <c r="G457" s="1">
        <v>2775</v>
      </c>
      <c r="H457" s="2">
        <v>100.2</v>
      </c>
      <c r="I457" s="2">
        <v>-21.5</v>
      </c>
      <c r="J457" s="2">
        <v>-27.1</v>
      </c>
      <c r="K457" s="2">
        <f t="shared" si="58"/>
        <v>-21.5</v>
      </c>
      <c r="L457" s="8">
        <f t="shared" si="62"/>
        <v>6.7608297539198111E-13</v>
      </c>
      <c r="M457" s="26"/>
      <c r="N457" s="17"/>
      <c r="O457" s="9">
        <f t="shared" si="60"/>
        <v>-27.1</v>
      </c>
      <c r="P457" s="8">
        <f>D452/B452*10^(O457/10)</f>
        <v>0.15208787878112745</v>
      </c>
      <c r="Q457" s="26"/>
      <c r="R457" s="17"/>
      <c r="S457" s="20"/>
      <c r="T457" s="17"/>
      <c r="U457" s="23"/>
    </row>
    <row r="458" spans="1:21" x14ac:dyDescent="0.25">
      <c r="A458" s="24">
        <v>4000</v>
      </c>
      <c r="B458" s="24">
        <v>3</v>
      </c>
      <c r="C458" s="17">
        <v>0.5</v>
      </c>
      <c r="D458" s="24">
        <v>470</v>
      </c>
      <c r="E458" s="24">
        <v>6</v>
      </c>
      <c r="F458" s="25">
        <v>62</v>
      </c>
      <c r="G458" s="1">
        <v>2825</v>
      </c>
      <c r="H458" s="2">
        <v>99.4</v>
      </c>
      <c r="I458" s="2">
        <v>-22.6</v>
      </c>
      <c r="J458" s="2">
        <v>-31.7</v>
      </c>
      <c r="K458" s="2">
        <f t="shared" si="58"/>
        <v>-22.6</v>
      </c>
      <c r="L458" s="8">
        <f t="shared" si="62"/>
        <v>6.3095734448019283E-13</v>
      </c>
      <c r="M458" s="26">
        <f>SUM(L458:L463)</f>
        <v>2.8464808005673666E-12</v>
      </c>
      <c r="N458" s="17">
        <f>10*LOG10(M458/E458)</f>
        <v>-123.23842991530216</v>
      </c>
      <c r="O458" s="9">
        <f t="shared" si="60"/>
        <v>-31.7</v>
      </c>
      <c r="P458" s="8">
        <f>D458/B458*10^(O458/10)</f>
        <v>0.10591966614474371</v>
      </c>
      <c r="Q458" s="26">
        <f>SUM(P458:P463)</f>
        <v>1.9731479492180533</v>
      </c>
      <c r="R458" s="17">
        <f>10*LOG10(Q458)</f>
        <v>2.9515965044227501</v>
      </c>
      <c r="S458" s="18">
        <f>F458+N458-Kzt-H</f>
        <v>-61.238429915302163</v>
      </c>
      <c r="T458" s="17">
        <v>0.9</v>
      </c>
      <c r="U458" s="21">
        <f>T458*10^((S458-R458)/10)</f>
        <v>3.4295715471399159E-7</v>
      </c>
    </row>
    <row r="459" spans="1:21" x14ac:dyDescent="0.25">
      <c r="A459" s="24"/>
      <c r="B459" s="24"/>
      <c r="C459" s="17"/>
      <c r="D459" s="24"/>
      <c r="E459" s="24"/>
      <c r="F459" s="25"/>
      <c r="G459" s="1">
        <v>3425</v>
      </c>
      <c r="H459" s="2">
        <v>103.5</v>
      </c>
      <c r="I459" s="2">
        <v>-24.2</v>
      </c>
      <c r="J459" s="2">
        <v>-28.3</v>
      </c>
      <c r="K459" s="2">
        <f t="shared" si="58"/>
        <v>-24.2</v>
      </c>
      <c r="L459" s="8">
        <f t="shared" si="62"/>
        <v>1.6982436524617405E-13</v>
      </c>
      <c r="M459" s="26"/>
      <c r="N459" s="17"/>
      <c r="O459" s="9">
        <f t="shared" si="60"/>
        <v>-28.3</v>
      </c>
      <c r="P459" s="8">
        <f>D458/B458*10^(O459/10)</f>
        <v>0.23172698081301901</v>
      </c>
      <c r="Q459" s="26"/>
      <c r="R459" s="17"/>
      <c r="S459" s="19"/>
      <c r="T459" s="17"/>
      <c r="U459" s="22"/>
    </row>
    <row r="460" spans="1:21" x14ac:dyDescent="0.25">
      <c r="A460" s="24"/>
      <c r="B460" s="24"/>
      <c r="C460" s="17"/>
      <c r="D460" s="24"/>
      <c r="E460" s="24"/>
      <c r="F460" s="25"/>
      <c r="G460" s="1">
        <v>4025</v>
      </c>
      <c r="H460" s="2">
        <v>103.6</v>
      </c>
      <c r="I460" s="2">
        <v>-23.9</v>
      </c>
      <c r="J460" s="2">
        <v>-25.9</v>
      </c>
      <c r="K460" s="2">
        <f t="shared" si="58"/>
        <v>-23.9</v>
      </c>
      <c r="L460" s="8">
        <f t="shared" si="62"/>
        <v>1.7782794100389184E-13</v>
      </c>
      <c r="M460" s="26"/>
      <c r="N460" s="17"/>
      <c r="O460" s="9">
        <f t="shared" si="60"/>
        <v>-25.9</v>
      </c>
      <c r="P460" s="8">
        <f>D458/B458*10^(O460/10)</f>
        <v>0.40269533930045526</v>
      </c>
      <c r="Q460" s="26"/>
      <c r="R460" s="17"/>
      <c r="S460" s="19"/>
      <c r="T460" s="17"/>
      <c r="U460" s="22"/>
    </row>
    <row r="461" spans="1:21" x14ac:dyDescent="0.25">
      <c r="A461" s="24"/>
      <c r="B461" s="24"/>
      <c r="C461" s="17"/>
      <c r="D461" s="24"/>
      <c r="E461" s="24"/>
      <c r="F461" s="25"/>
      <c r="G461" s="1">
        <v>4625</v>
      </c>
      <c r="H461" s="2">
        <v>105.6</v>
      </c>
      <c r="I461" s="2">
        <v>-20</v>
      </c>
      <c r="J461" s="2">
        <v>-29.8</v>
      </c>
      <c r="K461" s="2">
        <f t="shared" si="58"/>
        <v>-20</v>
      </c>
      <c r="L461" s="8">
        <f t="shared" si="62"/>
        <v>2.754228703338164E-13</v>
      </c>
      <c r="M461" s="26"/>
      <c r="N461" s="17"/>
      <c r="O461" s="9">
        <f t="shared" si="60"/>
        <v>-29.8</v>
      </c>
      <c r="P461" s="8">
        <f>D458/B458*10^(O461/10)</f>
        <v>0.16405013919464079</v>
      </c>
      <c r="Q461" s="26"/>
      <c r="R461" s="17"/>
      <c r="S461" s="19"/>
      <c r="T461" s="17"/>
      <c r="U461" s="22"/>
    </row>
    <row r="462" spans="1:21" x14ac:dyDescent="0.25">
      <c r="A462" s="24"/>
      <c r="B462" s="24"/>
      <c r="C462" s="17"/>
      <c r="D462" s="24"/>
      <c r="E462" s="24"/>
      <c r="F462" s="25"/>
      <c r="G462" s="1">
        <v>5225</v>
      </c>
      <c r="H462" s="2">
        <v>103.5</v>
      </c>
      <c r="I462" s="2">
        <v>-17.8</v>
      </c>
      <c r="J462" s="2">
        <v>-25.2</v>
      </c>
      <c r="K462" s="2">
        <f t="shared" si="58"/>
        <v>-17.8</v>
      </c>
      <c r="L462" s="8">
        <f t="shared" si="62"/>
        <v>7.4131024130091646E-13</v>
      </c>
      <c r="M462" s="26"/>
      <c r="N462" s="17"/>
      <c r="O462" s="9">
        <f t="shared" si="60"/>
        <v>-25.2</v>
      </c>
      <c r="P462" s="8">
        <f>D458/B458*10^(O462/10)</f>
        <v>0.47312576952964874</v>
      </c>
      <c r="Q462" s="26"/>
      <c r="R462" s="17"/>
      <c r="S462" s="19"/>
      <c r="T462" s="17"/>
      <c r="U462" s="22"/>
    </row>
    <row r="463" spans="1:21" x14ac:dyDescent="0.25">
      <c r="A463" s="24"/>
      <c r="B463" s="24"/>
      <c r="C463" s="17"/>
      <c r="D463" s="24"/>
      <c r="E463" s="24"/>
      <c r="F463" s="25"/>
      <c r="G463" s="1">
        <v>5625</v>
      </c>
      <c r="H463" s="2">
        <v>99.5</v>
      </c>
      <c r="I463" s="2">
        <v>-21.2</v>
      </c>
      <c r="J463" s="2">
        <v>-24.2</v>
      </c>
      <c r="K463" s="2">
        <f t="shared" si="58"/>
        <v>-21.2</v>
      </c>
      <c r="L463" s="8">
        <f t="shared" si="62"/>
        <v>8.5113803820237492E-13</v>
      </c>
      <c r="M463" s="26"/>
      <c r="N463" s="17"/>
      <c r="O463" s="9">
        <f t="shared" si="60"/>
        <v>-24.2</v>
      </c>
      <c r="P463" s="8">
        <f>D458/B458*10^(O463/10)</f>
        <v>0.59563005423554594</v>
      </c>
      <c r="Q463" s="26"/>
      <c r="R463" s="17"/>
      <c r="S463" s="20"/>
      <c r="T463" s="17"/>
      <c r="U463" s="23"/>
    </row>
    <row r="464" spans="1:21" x14ac:dyDescent="0.25">
      <c r="A464" s="24">
        <v>8000</v>
      </c>
      <c r="B464" s="24">
        <v>3</v>
      </c>
      <c r="C464" s="17">
        <v>0.5</v>
      </c>
      <c r="D464" s="24">
        <v>943</v>
      </c>
      <c r="E464" s="24">
        <v>6</v>
      </c>
      <c r="F464" s="25">
        <v>54</v>
      </c>
      <c r="G464" s="1">
        <v>6025</v>
      </c>
      <c r="H464" s="2">
        <v>95</v>
      </c>
      <c r="I464" s="2">
        <v>-20.100000000000001</v>
      </c>
      <c r="J464" s="2">
        <v>-27.7</v>
      </c>
      <c r="K464" s="2">
        <f t="shared" si="58"/>
        <v>-20.100000000000001</v>
      </c>
      <c r="L464" s="8">
        <f t="shared" si="62"/>
        <v>3.0902954325135792E-12</v>
      </c>
      <c r="M464" s="26">
        <f>SUM(L464:L469)</f>
        <v>7.218660061823784E-11</v>
      </c>
      <c r="N464" s="17">
        <f>10*LOG10(M464/E464)</f>
        <v>-109.19694659706224</v>
      </c>
      <c r="O464" s="9">
        <f t="shared" si="60"/>
        <v>-27.7</v>
      </c>
      <c r="P464" s="8">
        <f>D464/B464*10^(O464/10)</f>
        <v>0.53381458809047433</v>
      </c>
      <c r="Q464" s="26">
        <f>SUM(P464:P469)</f>
        <v>3.1266015125051845</v>
      </c>
      <c r="R464" s="17">
        <f>10*LOG10(Q464)</f>
        <v>4.9507253364203665</v>
      </c>
      <c r="S464" s="18">
        <f>F464+N464-Kzt-H</f>
        <v>-55.196946597062237</v>
      </c>
      <c r="T464" s="17">
        <v>0.7</v>
      </c>
      <c r="U464" s="21">
        <f>T464*10^((S464-R464)/10)</f>
        <v>6.7659821339115991E-7</v>
      </c>
    </row>
    <row r="465" spans="1:21" x14ac:dyDescent="0.25">
      <c r="A465" s="24"/>
      <c r="B465" s="24"/>
      <c r="C465" s="17"/>
      <c r="D465" s="24"/>
      <c r="E465" s="24"/>
      <c r="F465" s="25"/>
      <c r="G465" s="1">
        <v>7025</v>
      </c>
      <c r="H465" s="2">
        <v>94.8</v>
      </c>
      <c r="I465" s="2">
        <v>-18.3</v>
      </c>
      <c r="J465" s="2">
        <v>-28.8</v>
      </c>
      <c r="K465" s="2">
        <f t="shared" si="58"/>
        <v>-18.3</v>
      </c>
      <c r="L465" s="8">
        <f t="shared" si="62"/>
        <v>4.8977881936844688E-12</v>
      </c>
      <c r="M465" s="26"/>
      <c r="N465" s="17"/>
      <c r="O465" s="9">
        <f t="shared" si="60"/>
        <v>-28.8</v>
      </c>
      <c r="P465" s="8">
        <f>D464/B464*10^(O465/10)</f>
        <v>0.41437203481956392</v>
      </c>
      <c r="Q465" s="26"/>
      <c r="R465" s="17"/>
      <c r="S465" s="19"/>
      <c r="T465" s="17"/>
      <c r="U465" s="22"/>
    </row>
    <row r="466" spans="1:21" x14ac:dyDescent="0.25">
      <c r="A466" s="24"/>
      <c r="B466" s="24"/>
      <c r="C466" s="17"/>
      <c r="D466" s="24"/>
      <c r="E466" s="24"/>
      <c r="F466" s="25"/>
      <c r="G466" s="1">
        <v>8025</v>
      </c>
      <c r="H466" s="2">
        <v>101.9</v>
      </c>
      <c r="I466" s="2">
        <v>-17.5</v>
      </c>
      <c r="J466" s="2">
        <v>-27.9</v>
      </c>
      <c r="K466" s="2">
        <f t="shared" si="58"/>
        <v>-17.5</v>
      </c>
      <c r="L466" s="8">
        <f t="shared" si="62"/>
        <v>1.1481536214968749E-12</v>
      </c>
      <c r="M466" s="26"/>
      <c r="N466" s="17"/>
      <c r="O466" s="9">
        <f t="shared" si="60"/>
        <v>-27.9</v>
      </c>
      <c r="P466" s="8">
        <f>D464/B464*10^(O466/10)</f>
        <v>0.50978897393648981</v>
      </c>
      <c r="Q466" s="26"/>
      <c r="R466" s="17"/>
      <c r="S466" s="19"/>
      <c r="T466" s="17"/>
      <c r="U466" s="22"/>
    </row>
    <row r="467" spans="1:21" x14ac:dyDescent="0.25">
      <c r="A467" s="24"/>
      <c r="B467" s="24"/>
      <c r="C467" s="17"/>
      <c r="D467" s="24"/>
      <c r="E467" s="24"/>
      <c r="F467" s="25"/>
      <c r="G467" s="1">
        <v>9025</v>
      </c>
      <c r="H467" s="2">
        <v>93.2</v>
      </c>
      <c r="I467" s="2">
        <v>-22.4</v>
      </c>
      <c r="J467" s="2">
        <v>-32.5</v>
      </c>
      <c r="K467" s="2">
        <f t="shared" si="58"/>
        <v>-22.4</v>
      </c>
      <c r="L467" s="8">
        <f t="shared" si="62"/>
        <v>2.7542287033381671E-12</v>
      </c>
      <c r="M467" s="26"/>
      <c r="N467" s="17"/>
      <c r="O467" s="9">
        <f t="shared" si="60"/>
        <v>-32.5</v>
      </c>
      <c r="P467" s="8">
        <f>D464/B464*10^(O467/10)</f>
        <v>0.17676262321816621</v>
      </c>
      <c r="Q467" s="26"/>
      <c r="R467" s="17"/>
      <c r="S467" s="19"/>
      <c r="T467" s="17"/>
      <c r="U467" s="22"/>
    </row>
    <row r="468" spans="1:21" x14ac:dyDescent="0.25">
      <c r="A468" s="24"/>
      <c r="B468" s="24"/>
      <c r="C468" s="17"/>
      <c r="D468" s="24"/>
      <c r="E468" s="24"/>
      <c r="F468" s="25"/>
      <c r="G468" s="1">
        <v>10025</v>
      </c>
      <c r="H468" s="2">
        <v>88.3</v>
      </c>
      <c r="I468" s="2">
        <v>-17.899999999999999</v>
      </c>
      <c r="J468" s="2">
        <v>-27.3</v>
      </c>
      <c r="K468" s="2">
        <f t="shared" si="58"/>
        <v>-17.899999999999999</v>
      </c>
      <c r="L468" s="8">
        <f t="shared" si="62"/>
        <v>2.3988329190194867E-11</v>
      </c>
      <c r="M468" s="26"/>
      <c r="N468" s="17"/>
      <c r="O468" s="9">
        <f t="shared" si="60"/>
        <v>-27.3</v>
      </c>
      <c r="P468" s="8">
        <f>D464/B464*10^(O468/10)</f>
        <v>0.58531605662436104</v>
      </c>
      <c r="Q468" s="26"/>
      <c r="R468" s="17"/>
      <c r="S468" s="19"/>
      <c r="T468" s="17"/>
      <c r="U468" s="22"/>
    </row>
    <row r="469" spans="1:21" x14ac:dyDescent="0.25">
      <c r="A469" s="24"/>
      <c r="B469" s="24"/>
      <c r="C469" s="17"/>
      <c r="D469" s="24"/>
      <c r="E469" s="24"/>
      <c r="F469" s="25"/>
      <c r="G469" s="1">
        <v>11025</v>
      </c>
      <c r="H469" s="2">
        <v>86</v>
      </c>
      <c r="I469" s="2">
        <v>-18.399999999999999</v>
      </c>
      <c r="J469" s="2">
        <v>-25.4</v>
      </c>
      <c r="K469" s="2">
        <f t="shared" si="58"/>
        <v>-18.399999999999999</v>
      </c>
      <c r="L469" s="8">
        <f t="shared" si="62"/>
        <v>3.6307805477009883E-11</v>
      </c>
      <c r="M469" s="26"/>
      <c r="N469" s="17"/>
      <c r="O469" s="9">
        <f t="shared" si="60"/>
        <v>-25.4</v>
      </c>
      <c r="P469" s="8">
        <f>D464/B464*10^(O469/10)</f>
        <v>0.90654723581612917</v>
      </c>
      <c r="Q469" s="26"/>
      <c r="R469" s="17"/>
      <c r="S469" s="20"/>
      <c r="T469" s="17"/>
      <c r="U469" s="23"/>
    </row>
    <row r="470" spans="1:21" x14ac:dyDescent="0.25">
      <c r="A470" s="24" t="s">
        <v>20</v>
      </c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12">
        <f>U470</f>
        <v>6.8929853295060198E-2</v>
      </c>
      <c r="T470" s="2"/>
      <c r="U470" s="8">
        <f>0.8*SQRT(SUM(U436:U469))</f>
        <v>6.8929853295060198E-2</v>
      </c>
    </row>
    <row r="471" spans="1:21" x14ac:dyDescent="0.25">
      <c r="A471" s="27" t="s">
        <v>45</v>
      </c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9"/>
    </row>
    <row r="472" spans="1:21" x14ac:dyDescent="0.25">
      <c r="A472" s="24">
        <v>250</v>
      </c>
      <c r="B472" s="24">
        <v>3</v>
      </c>
      <c r="C472" s="17">
        <v>0.5</v>
      </c>
      <c r="D472" s="24">
        <v>38</v>
      </c>
      <c r="E472" s="24">
        <v>4</v>
      </c>
      <c r="F472" s="25">
        <v>84</v>
      </c>
      <c r="G472" s="1">
        <v>175</v>
      </c>
      <c r="H472" s="2">
        <v>84.8</v>
      </c>
      <c r="I472" s="2">
        <v>-24.4</v>
      </c>
      <c r="J472" s="2">
        <v>-25.5</v>
      </c>
      <c r="K472" s="2">
        <f>I472</f>
        <v>-24.4</v>
      </c>
      <c r="L472" s="8">
        <f>10^((K472-H472)/10)</f>
        <v>1.2022644346174143E-11</v>
      </c>
      <c r="M472" s="26">
        <f>SUM(L472:L475)</f>
        <v>2.8255325205064239E-11</v>
      </c>
      <c r="N472" s="17">
        <f>10*LOG10(M472/E472)</f>
        <v>-111.5095968114681</v>
      </c>
      <c r="O472" s="9">
        <f>J472</f>
        <v>-25.5</v>
      </c>
      <c r="P472" s="8">
        <f>D472/B472*10^(O472/10)</f>
        <v>3.5699517129349725E-2</v>
      </c>
      <c r="Q472" s="26">
        <f>SUM(P472:P475)</f>
        <v>0.13855834957123991</v>
      </c>
      <c r="R472" s="17">
        <f>10*LOG10(Q472)</f>
        <v>-8.5836729836636589</v>
      </c>
      <c r="S472" s="18">
        <f>F472+N472-Kzt-H</f>
        <v>-27.5095968114681</v>
      </c>
      <c r="T472" s="17">
        <v>0.2</v>
      </c>
      <c r="U472" s="21">
        <f>T472*10^((S472-R472)/10)</f>
        <v>2.561165322050845E-3</v>
      </c>
    </row>
    <row r="473" spans="1:21" x14ac:dyDescent="0.25">
      <c r="A473" s="24"/>
      <c r="B473" s="24"/>
      <c r="C473" s="17"/>
      <c r="D473" s="24"/>
      <c r="E473" s="24"/>
      <c r="F473" s="25"/>
      <c r="G473" s="1">
        <v>225</v>
      </c>
      <c r="H473" s="2">
        <v>90</v>
      </c>
      <c r="I473" s="2">
        <v>-22</v>
      </c>
      <c r="J473" s="2">
        <v>-25.9</v>
      </c>
      <c r="K473" s="2">
        <f t="shared" ref="K473:K505" si="63">I473</f>
        <v>-22</v>
      </c>
      <c r="L473" s="8">
        <f t="shared" ref="L473:L474" si="64">10^((K473-H473)/10)</f>
        <v>6.3095734448019345E-12</v>
      </c>
      <c r="M473" s="26"/>
      <c r="N473" s="17"/>
      <c r="O473" s="9">
        <f t="shared" ref="O473:O505" si="65">J473</f>
        <v>-25.9</v>
      </c>
      <c r="P473" s="8">
        <f>D472/B472*10^(O473/10)</f>
        <v>3.2558346581738937E-2</v>
      </c>
      <c r="Q473" s="26"/>
      <c r="R473" s="17"/>
      <c r="S473" s="19"/>
      <c r="T473" s="17"/>
      <c r="U473" s="22"/>
    </row>
    <row r="474" spans="1:21" x14ac:dyDescent="0.25">
      <c r="A474" s="24"/>
      <c r="B474" s="24"/>
      <c r="C474" s="17"/>
      <c r="D474" s="24"/>
      <c r="E474" s="24"/>
      <c r="F474" s="25"/>
      <c r="G474" s="1">
        <v>275</v>
      </c>
      <c r="H474" s="2">
        <v>92.2</v>
      </c>
      <c r="I474" s="2">
        <v>-19.5</v>
      </c>
      <c r="J474" s="2">
        <v>-24.1</v>
      </c>
      <c r="K474" s="2">
        <f t="shared" si="63"/>
        <v>-19.5</v>
      </c>
      <c r="L474" s="8">
        <f t="shared" si="64"/>
        <v>6.7608297539197943E-12</v>
      </c>
      <c r="M474" s="26"/>
      <c r="N474" s="17"/>
      <c r="O474" s="9">
        <f t="shared" si="65"/>
        <v>-24.1</v>
      </c>
      <c r="P474" s="8">
        <f>D472/B472*10^(O474/10)</f>
        <v>4.9279051699275496E-2</v>
      </c>
      <c r="Q474" s="26"/>
      <c r="R474" s="17"/>
      <c r="S474" s="19"/>
      <c r="T474" s="17"/>
      <c r="U474" s="22"/>
    </row>
    <row r="475" spans="1:21" x14ac:dyDescent="0.25">
      <c r="A475" s="24"/>
      <c r="B475" s="24"/>
      <c r="C475" s="17"/>
      <c r="D475" s="24"/>
      <c r="E475" s="24"/>
      <c r="F475" s="25"/>
      <c r="G475" s="1">
        <v>325</v>
      </c>
      <c r="H475" s="2">
        <v>93.3</v>
      </c>
      <c r="I475" s="2">
        <v>-21.7</v>
      </c>
      <c r="J475" s="2">
        <v>-27.8</v>
      </c>
      <c r="K475" s="2">
        <f t="shared" si="63"/>
        <v>-21.7</v>
      </c>
      <c r="L475" s="8">
        <f>10^((K475-H475)/10)</f>
        <v>3.1622776601683669E-12</v>
      </c>
      <c r="M475" s="26"/>
      <c r="N475" s="17"/>
      <c r="O475" s="9">
        <f t="shared" si="65"/>
        <v>-27.8</v>
      </c>
      <c r="P475" s="8">
        <f>D472/B472*10^(O475/10)</f>
        <v>2.1021434160875749E-2</v>
      </c>
      <c r="Q475" s="26"/>
      <c r="R475" s="17"/>
      <c r="S475" s="20"/>
      <c r="T475" s="17"/>
      <c r="U475" s="23"/>
    </row>
    <row r="476" spans="1:21" x14ac:dyDescent="0.25">
      <c r="A476" s="24">
        <v>500</v>
      </c>
      <c r="B476" s="24">
        <v>3</v>
      </c>
      <c r="C476" s="17">
        <v>0.5</v>
      </c>
      <c r="D476" s="24">
        <v>59</v>
      </c>
      <c r="E476" s="24">
        <v>6</v>
      </c>
      <c r="F476" s="25">
        <v>84</v>
      </c>
      <c r="G476" s="1">
        <v>375</v>
      </c>
      <c r="H476" s="2">
        <v>91.9</v>
      </c>
      <c r="I476" s="2">
        <v>-22.6</v>
      </c>
      <c r="J476" s="2">
        <v>-27.6</v>
      </c>
      <c r="K476" s="2">
        <f t="shared" si="63"/>
        <v>-22.6</v>
      </c>
      <c r="L476" s="8">
        <f t="shared" ref="L476:L477" si="66">10^((K476-H476)/10)</f>
        <v>3.5481338923357515E-12</v>
      </c>
      <c r="M476" s="26">
        <f>SUM(L476:L481)</f>
        <v>2.6119972181002957E-11</v>
      </c>
      <c r="N476" s="17">
        <f>10*LOG10(M476/E476)</f>
        <v>-113.6117854032438</v>
      </c>
      <c r="O476" s="9">
        <f t="shared" si="65"/>
        <v>-27.6</v>
      </c>
      <c r="P476" s="8">
        <f>D476/B476*10^(O476/10)</f>
        <v>3.4176749632071013E-2</v>
      </c>
      <c r="Q476" s="26">
        <f>SUM(P476:P481)</f>
        <v>0.2778540739843175</v>
      </c>
      <c r="R476" s="17">
        <f>10*LOG10(Q476)</f>
        <v>-5.5618323106885823</v>
      </c>
      <c r="S476" s="18">
        <f>F476+N476-Kzt-H</f>
        <v>-29.6117854032438</v>
      </c>
      <c r="T476" s="17">
        <v>0.5</v>
      </c>
      <c r="U476" s="21">
        <f>T476*10^((S476-R476)/10)</f>
        <v>1.9677716307473256E-3</v>
      </c>
    </row>
    <row r="477" spans="1:21" x14ac:dyDescent="0.25">
      <c r="A477" s="24"/>
      <c r="B477" s="24"/>
      <c r="C477" s="17"/>
      <c r="D477" s="24"/>
      <c r="E477" s="24"/>
      <c r="F477" s="25"/>
      <c r="G477" s="1">
        <v>425</v>
      </c>
      <c r="H477" s="2">
        <v>88.1</v>
      </c>
      <c r="I477" s="2">
        <v>-23.6</v>
      </c>
      <c r="J477" s="2">
        <v>-25.1</v>
      </c>
      <c r="K477" s="2">
        <f t="shared" si="63"/>
        <v>-23.6</v>
      </c>
      <c r="L477" s="8">
        <f t="shared" si="66"/>
        <v>6.7608297539198193E-12</v>
      </c>
      <c r="M477" s="26"/>
      <c r="N477" s="17"/>
      <c r="O477" s="9">
        <f t="shared" si="65"/>
        <v>-25.1</v>
      </c>
      <c r="P477" s="8">
        <f>D476/B476*10^(O477/10)</f>
        <v>6.0775810172767231E-2</v>
      </c>
      <c r="Q477" s="26"/>
      <c r="R477" s="17"/>
      <c r="S477" s="19"/>
      <c r="T477" s="17"/>
      <c r="U477" s="22"/>
    </row>
    <row r="478" spans="1:21" x14ac:dyDescent="0.25">
      <c r="A478" s="24"/>
      <c r="B478" s="24"/>
      <c r="C478" s="17"/>
      <c r="D478" s="24"/>
      <c r="E478" s="24"/>
      <c r="F478" s="25"/>
      <c r="G478" s="1">
        <v>475</v>
      </c>
      <c r="H478" s="2">
        <v>90</v>
      </c>
      <c r="I478" s="2">
        <v>-21.9</v>
      </c>
      <c r="J478" s="2">
        <v>-27.8</v>
      </c>
      <c r="K478" s="2">
        <f t="shared" si="63"/>
        <v>-21.9</v>
      </c>
      <c r="L478" s="8">
        <f>10^((K478-H478)/10)</f>
        <v>6.4565422903465118E-12</v>
      </c>
      <c r="M478" s="26"/>
      <c r="N478" s="17"/>
      <c r="O478" s="9">
        <f t="shared" si="65"/>
        <v>-27.8</v>
      </c>
      <c r="P478" s="8">
        <f>D476/B476*10^(O478/10)</f>
        <v>3.2638542512938663E-2</v>
      </c>
      <c r="Q478" s="26"/>
      <c r="R478" s="17"/>
      <c r="S478" s="19"/>
      <c r="T478" s="17"/>
      <c r="U478" s="22"/>
    </row>
    <row r="479" spans="1:21" x14ac:dyDescent="0.25">
      <c r="A479" s="24"/>
      <c r="B479" s="24"/>
      <c r="C479" s="17"/>
      <c r="D479" s="24"/>
      <c r="E479" s="24"/>
      <c r="F479" s="25"/>
      <c r="G479" s="1">
        <v>575</v>
      </c>
      <c r="H479" s="2">
        <v>97</v>
      </c>
      <c r="I479" s="2">
        <v>-18.899999999999999</v>
      </c>
      <c r="J479" s="2">
        <v>-27.1</v>
      </c>
      <c r="K479" s="2">
        <f t="shared" si="63"/>
        <v>-18.899999999999999</v>
      </c>
      <c r="L479" s="8">
        <f t="shared" ref="L479:L505" si="67">10^((K479-H479)/10)</f>
        <v>2.5703957827688561E-12</v>
      </c>
      <c r="M479" s="26"/>
      <c r="N479" s="17"/>
      <c r="O479" s="9">
        <f t="shared" si="65"/>
        <v>-27.1</v>
      </c>
      <c r="P479" s="8">
        <f>D476/B476*10^(O479/10)</f>
        <v>3.8346943795241534E-2</v>
      </c>
      <c r="Q479" s="26"/>
      <c r="R479" s="17"/>
      <c r="S479" s="19"/>
      <c r="T479" s="17"/>
      <c r="U479" s="22"/>
    </row>
    <row r="480" spans="1:21" x14ac:dyDescent="0.25">
      <c r="A480" s="24"/>
      <c r="B480" s="24"/>
      <c r="C480" s="17"/>
      <c r="D480" s="24"/>
      <c r="E480" s="24"/>
      <c r="F480" s="25"/>
      <c r="G480" s="1">
        <v>625</v>
      </c>
      <c r="H480" s="2">
        <v>92</v>
      </c>
      <c r="I480" s="2">
        <v>-22.9</v>
      </c>
      <c r="J480" s="2">
        <v>-26.1</v>
      </c>
      <c r="K480" s="2">
        <f t="shared" si="63"/>
        <v>-22.9</v>
      </c>
      <c r="L480" s="8">
        <f t="shared" si="67"/>
        <v>3.2359365692962695E-12</v>
      </c>
      <c r="M480" s="26"/>
      <c r="N480" s="17"/>
      <c r="O480" s="9">
        <f t="shared" si="65"/>
        <v>-26.1</v>
      </c>
      <c r="P480" s="8">
        <f>D476/B476*10^(O480/10)</f>
        <v>4.827594200847219E-2</v>
      </c>
      <c r="Q480" s="26"/>
      <c r="R480" s="17"/>
      <c r="S480" s="19"/>
      <c r="T480" s="17"/>
      <c r="U480" s="22"/>
    </row>
    <row r="481" spans="1:21" x14ac:dyDescent="0.25">
      <c r="A481" s="24"/>
      <c r="B481" s="24"/>
      <c r="C481" s="17"/>
      <c r="D481" s="24"/>
      <c r="E481" s="24"/>
      <c r="F481" s="25"/>
      <c r="G481" s="1">
        <v>675</v>
      </c>
      <c r="H481" s="2">
        <v>94.5</v>
      </c>
      <c r="I481" s="2">
        <v>-20</v>
      </c>
      <c r="J481" s="2">
        <v>-24.9</v>
      </c>
      <c r="K481" s="2">
        <f t="shared" si="63"/>
        <v>-20</v>
      </c>
      <c r="L481" s="8">
        <f t="shared" si="67"/>
        <v>3.5481338923357515E-12</v>
      </c>
      <c r="M481" s="26"/>
      <c r="N481" s="17"/>
      <c r="O481" s="9">
        <f t="shared" si="65"/>
        <v>-24.9</v>
      </c>
      <c r="P481" s="8">
        <f>D476/B476*10^(O481/10)</f>
        <v>6.3640085862826892E-2</v>
      </c>
      <c r="Q481" s="26"/>
      <c r="R481" s="17"/>
      <c r="S481" s="20"/>
      <c r="T481" s="17"/>
      <c r="U481" s="23"/>
    </row>
    <row r="482" spans="1:21" x14ac:dyDescent="0.25">
      <c r="A482" s="24">
        <v>1000</v>
      </c>
      <c r="B482" s="24">
        <v>3</v>
      </c>
      <c r="C482" s="17">
        <v>0.5</v>
      </c>
      <c r="D482" s="24">
        <v>117</v>
      </c>
      <c r="E482" s="24">
        <v>6</v>
      </c>
      <c r="F482" s="25">
        <v>76</v>
      </c>
      <c r="G482" s="1">
        <v>875</v>
      </c>
      <c r="H482" s="2">
        <v>91.1</v>
      </c>
      <c r="I482" s="2">
        <v>-19.5</v>
      </c>
      <c r="J482" s="2">
        <v>-25.8</v>
      </c>
      <c r="K482" s="2">
        <f t="shared" si="63"/>
        <v>-19.5</v>
      </c>
      <c r="L482" s="8">
        <f t="shared" si="67"/>
        <v>8.7096358995607975E-12</v>
      </c>
      <c r="M482" s="26">
        <f>SUM(L482:L487)</f>
        <v>1.3829178008564796E-11</v>
      </c>
      <c r="N482" s="17">
        <f>10*LOG10(M482/E482)</f>
        <v>-116.3735488350309</v>
      </c>
      <c r="O482" s="9">
        <f t="shared" si="65"/>
        <v>-25.8</v>
      </c>
      <c r="P482" s="8">
        <f>D482/B482*10^(O482/10)</f>
        <v>0.10258045168391978</v>
      </c>
      <c r="Q482" s="26">
        <f>SUM(P482:P487)</f>
        <v>0.67575776956634859</v>
      </c>
      <c r="R482" s="17">
        <f>10*LOG10(Q482)</f>
        <v>-1.7020895227312316</v>
      </c>
      <c r="S482" s="18">
        <f>F482+N482-Kzt-H</f>
        <v>-40.373548835030903</v>
      </c>
      <c r="T482" s="17">
        <v>0.8</v>
      </c>
      <c r="U482" s="21">
        <f>T482*10^((S482-R482)/10)</f>
        <v>1.0862856832270707E-4</v>
      </c>
    </row>
    <row r="483" spans="1:21" x14ac:dyDescent="0.25">
      <c r="A483" s="24"/>
      <c r="B483" s="24"/>
      <c r="C483" s="17"/>
      <c r="D483" s="24"/>
      <c r="E483" s="24"/>
      <c r="F483" s="25"/>
      <c r="G483" s="1">
        <v>975</v>
      </c>
      <c r="H483" s="2">
        <v>96.5</v>
      </c>
      <c r="I483" s="2">
        <v>-22.2</v>
      </c>
      <c r="J483" s="2">
        <v>-22.5</v>
      </c>
      <c r="K483" s="2">
        <f t="shared" si="63"/>
        <v>-22.2</v>
      </c>
      <c r="L483" s="8">
        <f t="shared" si="67"/>
        <v>1.3489628825916484E-12</v>
      </c>
      <c r="M483" s="26"/>
      <c r="N483" s="17"/>
      <c r="O483" s="9">
        <f t="shared" si="65"/>
        <v>-22.5</v>
      </c>
      <c r="P483" s="8">
        <f>D482/B482*10^(O483/10)</f>
        <v>0.21931311682423599</v>
      </c>
      <c r="Q483" s="26"/>
      <c r="R483" s="17"/>
      <c r="S483" s="19"/>
      <c r="T483" s="17"/>
      <c r="U483" s="22"/>
    </row>
    <row r="484" spans="1:21" x14ac:dyDescent="0.25">
      <c r="A484" s="24"/>
      <c r="B484" s="24"/>
      <c r="C484" s="17"/>
      <c r="D484" s="24"/>
      <c r="E484" s="24"/>
      <c r="F484" s="25"/>
      <c r="G484" s="1">
        <v>1075</v>
      </c>
      <c r="H484" s="2">
        <v>94.6</v>
      </c>
      <c r="I484" s="2">
        <v>-22.4</v>
      </c>
      <c r="J484" s="2">
        <v>-26.9</v>
      </c>
      <c r="K484" s="2">
        <f t="shared" si="63"/>
        <v>-22.4</v>
      </c>
      <c r="L484" s="8">
        <f t="shared" si="67"/>
        <v>1.9952623149688759E-12</v>
      </c>
      <c r="M484" s="26"/>
      <c r="N484" s="17"/>
      <c r="O484" s="9">
        <f t="shared" si="65"/>
        <v>-26.9</v>
      </c>
      <c r="P484" s="8">
        <f>D482/B482*10^(O484/10)</f>
        <v>7.962777984211164E-2</v>
      </c>
      <c r="Q484" s="26"/>
      <c r="R484" s="17"/>
      <c r="S484" s="19"/>
      <c r="T484" s="17"/>
      <c r="U484" s="22"/>
    </row>
    <row r="485" spans="1:21" x14ac:dyDescent="0.25">
      <c r="A485" s="24"/>
      <c r="B485" s="24"/>
      <c r="C485" s="17"/>
      <c r="D485" s="24"/>
      <c r="E485" s="24"/>
      <c r="F485" s="25"/>
      <c r="G485" s="1">
        <v>1175</v>
      </c>
      <c r="H485" s="2">
        <v>97.8</v>
      </c>
      <c r="I485" s="2">
        <v>-21.3</v>
      </c>
      <c r="J485" s="2">
        <v>-27.2</v>
      </c>
      <c r="K485" s="2">
        <f t="shared" si="63"/>
        <v>-21.3</v>
      </c>
      <c r="L485" s="8">
        <f t="shared" si="67"/>
        <v>1.2302687708123772E-12</v>
      </c>
      <c r="M485" s="26"/>
      <c r="N485" s="17"/>
      <c r="O485" s="9">
        <f t="shared" si="65"/>
        <v>-27.2</v>
      </c>
      <c r="P485" s="8">
        <f>D482/B482*10^(O485/10)</f>
        <v>7.4312968000566651E-2</v>
      </c>
      <c r="Q485" s="26"/>
      <c r="R485" s="17"/>
      <c r="S485" s="19"/>
      <c r="T485" s="17"/>
      <c r="U485" s="22"/>
    </row>
    <row r="486" spans="1:21" x14ac:dyDescent="0.25">
      <c r="A486" s="24"/>
      <c r="B486" s="24"/>
      <c r="C486" s="17"/>
      <c r="D486" s="24"/>
      <c r="E486" s="24"/>
      <c r="F486" s="25"/>
      <c r="G486" s="1">
        <v>1275</v>
      </c>
      <c r="H486" s="2">
        <v>100.1</v>
      </c>
      <c r="I486" s="2">
        <v>-24.3</v>
      </c>
      <c r="J486" s="2">
        <v>-27.6</v>
      </c>
      <c r="K486" s="2">
        <f t="shared" si="63"/>
        <v>-24.3</v>
      </c>
      <c r="L486" s="8">
        <f t="shared" si="67"/>
        <v>3.6307805477010062E-13</v>
      </c>
      <c r="M486" s="26"/>
      <c r="N486" s="17"/>
      <c r="O486" s="9">
        <f t="shared" si="65"/>
        <v>-27.6</v>
      </c>
      <c r="P486" s="8">
        <f>D482/B482*10^(O486/10)</f>
        <v>6.7774232321225564E-2</v>
      </c>
      <c r="Q486" s="26"/>
      <c r="R486" s="17"/>
      <c r="S486" s="19"/>
      <c r="T486" s="17"/>
      <c r="U486" s="22"/>
    </row>
    <row r="487" spans="1:21" x14ac:dyDescent="0.25">
      <c r="A487" s="24"/>
      <c r="B487" s="24"/>
      <c r="C487" s="17"/>
      <c r="D487" s="24"/>
      <c r="E487" s="24"/>
      <c r="F487" s="25"/>
      <c r="G487" s="1">
        <v>1375</v>
      </c>
      <c r="H487" s="2">
        <v>103</v>
      </c>
      <c r="I487" s="2">
        <v>-24.4</v>
      </c>
      <c r="J487" s="2">
        <v>-24.7</v>
      </c>
      <c r="K487" s="2">
        <f t="shared" si="63"/>
        <v>-24.4</v>
      </c>
      <c r="L487" s="8">
        <f t="shared" si="67"/>
        <v>1.8197008586099787E-13</v>
      </c>
      <c r="M487" s="26"/>
      <c r="N487" s="17"/>
      <c r="O487" s="9">
        <f t="shared" si="65"/>
        <v>-24.7</v>
      </c>
      <c r="P487" s="8">
        <f>D482/B482*10^(O487/10)</f>
        <v>0.13214922089428893</v>
      </c>
      <c r="Q487" s="26"/>
      <c r="R487" s="17"/>
      <c r="S487" s="20"/>
      <c r="T487" s="17"/>
      <c r="U487" s="23"/>
    </row>
    <row r="488" spans="1:21" x14ac:dyDescent="0.25">
      <c r="A488" s="24">
        <v>2000</v>
      </c>
      <c r="B488" s="24">
        <v>3</v>
      </c>
      <c r="C488" s="17">
        <v>0.5</v>
      </c>
      <c r="D488" s="24">
        <v>234</v>
      </c>
      <c r="E488" s="24">
        <v>6</v>
      </c>
      <c r="F488" s="25">
        <v>68</v>
      </c>
      <c r="G488" s="1">
        <v>1425</v>
      </c>
      <c r="H488" s="2">
        <v>102.8</v>
      </c>
      <c r="I488" s="2">
        <v>-22.6</v>
      </c>
      <c r="J488" s="2">
        <v>-30.3</v>
      </c>
      <c r="K488" s="2">
        <f t="shared" si="63"/>
        <v>-22.6</v>
      </c>
      <c r="L488" s="8">
        <f t="shared" si="67"/>
        <v>2.8840315031265929E-13</v>
      </c>
      <c r="M488" s="26">
        <f>SUM(L488:L493)</f>
        <v>3.5073370809829964E-12</v>
      </c>
      <c r="N488" s="17">
        <f>10*LOG10(M488/E488)</f>
        <v>-122.33173743590837</v>
      </c>
      <c r="O488" s="9">
        <f t="shared" si="65"/>
        <v>-30.3</v>
      </c>
      <c r="P488" s="8">
        <f>D488/B488*10^(O488/10)</f>
        <v>7.279383546216521E-2</v>
      </c>
      <c r="Q488" s="26">
        <f>SUM(P488:P493)</f>
        <v>0.75677435602996312</v>
      </c>
      <c r="R488" s="17">
        <f>10*LOG10(Q488)</f>
        <v>-1.2103359281050932</v>
      </c>
      <c r="S488" s="18">
        <f>F488+N488-Kzt-H</f>
        <v>-54.331737435908366</v>
      </c>
      <c r="T488" s="17">
        <v>1</v>
      </c>
      <c r="U488" s="21">
        <f>T488*10^((S488-R488)/10)</f>
        <v>4.8737118560747467E-6</v>
      </c>
    </row>
    <row r="489" spans="1:21" x14ac:dyDescent="0.25">
      <c r="A489" s="24"/>
      <c r="B489" s="24"/>
      <c r="C489" s="17"/>
      <c r="D489" s="24"/>
      <c r="E489" s="24"/>
      <c r="F489" s="25"/>
      <c r="G489" s="1">
        <v>1625</v>
      </c>
      <c r="H489" s="2">
        <v>104.1</v>
      </c>
      <c r="I489" s="2">
        <v>-23.8</v>
      </c>
      <c r="J489" s="2">
        <v>-27.7</v>
      </c>
      <c r="K489" s="2">
        <f t="shared" si="63"/>
        <v>-23.8</v>
      </c>
      <c r="L489" s="8">
        <f t="shared" si="67"/>
        <v>1.6218100973589265E-13</v>
      </c>
      <c r="M489" s="26"/>
      <c r="N489" s="17"/>
      <c r="O489" s="9">
        <f t="shared" si="65"/>
        <v>-27.7</v>
      </c>
      <c r="P489" s="8">
        <f>D488/B488*10^(O489/10)</f>
        <v>0.13246300489201593</v>
      </c>
      <c r="Q489" s="26"/>
      <c r="R489" s="17"/>
      <c r="S489" s="19"/>
      <c r="T489" s="17"/>
      <c r="U489" s="22"/>
    </row>
    <row r="490" spans="1:21" x14ac:dyDescent="0.25">
      <c r="A490" s="24"/>
      <c r="B490" s="24"/>
      <c r="C490" s="17"/>
      <c r="D490" s="24"/>
      <c r="E490" s="24"/>
      <c r="F490" s="25"/>
      <c r="G490" s="1">
        <v>1825</v>
      </c>
      <c r="H490" s="2">
        <v>107.6</v>
      </c>
      <c r="I490" s="2">
        <v>-25.7</v>
      </c>
      <c r="J490" s="2">
        <v>-26.3</v>
      </c>
      <c r="K490" s="2">
        <f t="shared" si="63"/>
        <v>-25.7</v>
      </c>
      <c r="L490" s="8">
        <f t="shared" si="67"/>
        <v>4.6773514128719795E-14</v>
      </c>
      <c r="M490" s="26"/>
      <c r="N490" s="17"/>
      <c r="O490" s="9">
        <f t="shared" si="65"/>
        <v>-26.3</v>
      </c>
      <c r="P490" s="8">
        <f>D488/B488*10^(O490/10)</f>
        <v>0.18284984759495379</v>
      </c>
      <c r="Q490" s="26"/>
      <c r="R490" s="17"/>
      <c r="S490" s="19"/>
      <c r="T490" s="17"/>
      <c r="U490" s="22"/>
    </row>
    <row r="491" spans="1:21" x14ac:dyDescent="0.25">
      <c r="A491" s="24"/>
      <c r="B491" s="24"/>
      <c r="C491" s="17"/>
      <c r="D491" s="24"/>
      <c r="E491" s="24"/>
      <c r="F491" s="25"/>
      <c r="G491" s="1">
        <v>2125</v>
      </c>
      <c r="H491" s="2">
        <v>104.2</v>
      </c>
      <c r="I491" s="2">
        <v>-24</v>
      </c>
      <c r="J491" s="2">
        <v>-28.7</v>
      </c>
      <c r="K491" s="2">
        <f t="shared" si="63"/>
        <v>-24</v>
      </c>
      <c r="L491" s="8">
        <f t="shared" si="67"/>
        <v>1.5135612484362107E-13</v>
      </c>
      <c r="M491" s="26"/>
      <c r="N491" s="17"/>
      <c r="O491" s="9">
        <f t="shared" si="65"/>
        <v>-28.7</v>
      </c>
      <c r="P491" s="8">
        <f>D488/B488*10^(O491/10)</f>
        <v>0.10521910484214889</v>
      </c>
      <c r="Q491" s="26"/>
      <c r="R491" s="17"/>
      <c r="S491" s="19"/>
      <c r="T491" s="17"/>
      <c r="U491" s="22"/>
    </row>
    <row r="492" spans="1:21" x14ac:dyDescent="0.25">
      <c r="A492" s="24"/>
      <c r="B492" s="24"/>
      <c r="C492" s="17"/>
      <c r="D492" s="24"/>
      <c r="E492" s="24"/>
      <c r="F492" s="25"/>
      <c r="G492" s="1">
        <v>2425</v>
      </c>
      <c r="H492" s="2">
        <v>93.7</v>
      </c>
      <c r="I492" s="2">
        <v>-22.3</v>
      </c>
      <c r="J492" s="2">
        <v>-28.9</v>
      </c>
      <c r="K492" s="2">
        <f t="shared" si="63"/>
        <v>-22.3</v>
      </c>
      <c r="L492" s="8">
        <f t="shared" si="67"/>
        <v>2.5118864315095726E-12</v>
      </c>
      <c r="M492" s="26"/>
      <c r="N492" s="17"/>
      <c r="O492" s="9">
        <f t="shared" si="65"/>
        <v>-28.9</v>
      </c>
      <c r="P492" s="8">
        <f>D488/B488*10^(O492/10)</f>
        <v>0.10048346503206446</v>
      </c>
      <c r="Q492" s="26"/>
      <c r="R492" s="17"/>
      <c r="S492" s="19"/>
      <c r="T492" s="17"/>
      <c r="U492" s="22"/>
    </row>
    <row r="493" spans="1:21" x14ac:dyDescent="0.25">
      <c r="A493" s="24"/>
      <c r="B493" s="24"/>
      <c r="C493" s="17"/>
      <c r="D493" s="24"/>
      <c r="E493" s="24"/>
      <c r="F493" s="25"/>
      <c r="G493" s="1">
        <v>2775</v>
      </c>
      <c r="H493" s="2">
        <v>100.2</v>
      </c>
      <c r="I493" s="2">
        <v>-24.4</v>
      </c>
      <c r="J493" s="2">
        <v>-26.8</v>
      </c>
      <c r="K493" s="2">
        <f t="shared" si="63"/>
        <v>-24.4</v>
      </c>
      <c r="L493" s="8">
        <f t="shared" si="67"/>
        <v>3.4673685045253105E-13</v>
      </c>
      <c r="M493" s="26"/>
      <c r="N493" s="17"/>
      <c r="O493" s="9">
        <f t="shared" si="65"/>
        <v>-26.8</v>
      </c>
      <c r="P493" s="8">
        <f>D488/B488*10^(O493/10)</f>
        <v>0.16296509820661489</v>
      </c>
      <c r="Q493" s="26"/>
      <c r="R493" s="17"/>
      <c r="S493" s="20"/>
      <c r="T493" s="17"/>
      <c r="U493" s="23"/>
    </row>
    <row r="494" spans="1:21" x14ac:dyDescent="0.25">
      <c r="A494" s="24">
        <v>4000</v>
      </c>
      <c r="B494" s="24">
        <v>3</v>
      </c>
      <c r="C494" s="17">
        <v>0.5</v>
      </c>
      <c r="D494" s="24">
        <v>470</v>
      </c>
      <c r="E494" s="24">
        <v>6</v>
      </c>
      <c r="F494" s="25">
        <v>62</v>
      </c>
      <c r="G494" s="1">
        <v>2825</v>
      </c>
      <c r="H494" s="2">
        <v>99.4</v>
      </c>
      <c r="I494" s="2">
        <v>-23.3</v>
      </c>
      <c r="J494" s="2">
        <v>-29.4</v>
      </c>
      <c r="K494" s="2">
        <f t="shared" si="63"/>
        <v>-23.3</v>
      </c>
      <c r="L494" s="8">
        <f t="shared" si="67"/>
        <v>5.3703179637025273E-13</v>
      </c>
      <c r="M494" s="26">
        <f>SUM(L494:L499)</f>
        <v>2.8103945341586297E-12</v>
      </c>
      <c r="N494" s="17">
        <f>10*LOG10(M494/E494)</f>
        <v>-123.29383958243517</v>
      </c>
      <c r="O494" s="9">
        <f t="shared" si="65"/>
        <v>-29.4</v>
      </c>
      <c r="P494" s="8">
        <f>D494/B494*10^(O494/10)</f>
        <v>0.17987740070117825</v>
      </c>
      <c r="Q494" s="26">
        <f>SUM(P494:P499)</f>
        <v>1.4700211961483804</v>
      </c>
      <c r="R494" s="17">
        <f>10*LOG10(Q494)</f>
        <v>1.6732359685968159</v>
      </c>
      <c r="S494" s="18">
        <f>F494+N494-Kzt-H</f>
        <v>-61.293839582435169</v>
      </c>
      <c r="T494" s="17">
        <v>0.9</v>
      </c>
      <c r="U494" s="21">
        <f>T494*10^((S494-R494)/10)</f>
        <v>4.5450111641128323E-7</v>
      </c>
    </row>
    <row r="495" spans="1:21" x14ac:dyDescent="0.25">
      <c r="A495" s="24"/>
      <c r="B495" s="24"/>
      <c r="C495" s="17"/>
      <c r="D495" s="24"/>
      <c r="E495" s="24"/>
      <c r="F495" s="25"/>
      <c r="G495" s="1">
        <v>3425</v>
      </c>
      <c r="H495" s="2">
        <v>103.5</v>
      </c>
      <c r="I495" s="2">
        <v>-20.3</v>
      </c>
      <c r="J495" s="2">
        <v>-27.2</v>
      </c>
      <c r="K495" s="2">
        <f t="shared" si="63"/>
        <v>-20.3</v>
      </c>
      <c r="L495" s="8">
        <f t="shared" si="67"/>
        <v>4.1686938347033585E-13</v>
      </c>
      <c r="M495" s="26"/>
      <c r="N495" s="17"/>
      <c r="O495" s="9">
        <f t="shared" si="65"/>
        <v>-27.2</v>
      </c>
      <c r="P495" s="8">
        <f>D494/B494*10^(O495/10)</f>
        <v>0.29852217914757545</v>
      </c>
      <c r="Q495" s="26"/>
      <c r="R495" s="17"/>
      <c r="S495" s="19"/>
      <c r="T495" s="17"/>
      <c r="U495" s="22"/>
    </row>
    <row r="496" spans="1:21" x14ac:dyDescent="0.25">
      <c r="A496" s="24"/>
      <c r="B496" s="24"/>
      <c r="C496" s="17"/>
      <c r="D496" s="24"/>
      <c r="E496" s="24"/>
      <c r="F496" s="25"/>
      <c r="G496" s="1">
        <v>4025</v>
      </c>
      <c r="H496" s="2">
        <v>103.6</v>
      </c>
      <c r="I496" s="2">
        <v>-20.100000000000001</v>
      </c>
      <c r="J496" s="2">
        <v>-28.6</v>
      </c>
      <c r="K496" s="2">
        <f t="shared" si="63"/>
        <v>-20.100000000000001</v>
      </c>
      <c r="L496" s="8">
        <f t="shared" si="67"/>
        <v>4.2657951880159156E-13</v>
      </c>
      <c r="M496" s="26"/>
      <c r="N496" s="17"/>
      <c r="O496" s="9">
        <f t="shared" si="65"/>
        <v>-28.6</v>
      </c>
      <c r="P496" s="8">
        <f>D494/B494*10^(O496/10)</f>
        <v>0.21626020145445171</v>
      </c>
      <c r="Q496" s="26"/>
      <c r="R496" s="17"/>
      <c r="S496" s="19"/>
      <c r="T496" s="17"/>
      <c r="U496" s="22"/>
    </row>
    <row r="497" spans="1:21" x14ac:dyDescent="0.25">
      <c r="A497" s="24"/>
      <c r="B497" s="24"/>
      <c r="C497" s="17"/>
      <c r="D497" s="24"/>
      <c r="E497" s="24"/>
      <c r="F497" s="25"/>
      <c r="G497" s="1">
        <v>4625</v>
      </c>
      <c r="H497" s="2">
        <v>105.6</v>
      </c>
      <c r="I497" s="2">
        <v>-20.399999999999999</v>
      </c>
      <c r="J497" s="2">
        <v>-29.5</v>
      </c>
      <c r="K497" s="2">
        <f t="shared" si="63"/>
        <v>-20.399999999999999</v>
      </c>
      <c r="L497" s="8">
        <f t="shared" si="67"/>
        <v>2.511886431509579E-13</v>
      </c>
      <c r="M497" s="26"/>
      <c r="N497" s="17"/>
      <c r="O497" s="9">
        <f t="shared" si="65"/>
        <v>-29.5</v>
      </c>
      <c r="P497" s="8">
        <f>D494/B494*10^(O497/10)</f>
        <v>0.17578289117397405</v>
      </c>
      <c r="Q497" s="26"/>
      <c r="R497" s="17"/>
      <c r="S497" s="19"/>
      <c r="T497" s="17"/>
      <c r="U497" s="22"/>
    </row>
    <row r="498" spans="1:21" x14ac:dyDescent="0.25">
      <c r="A498" s="24"/>
      <c r="B498" s="24"/>
      <c r="C498" s="17"/>
      <c r="D498" s="24"/>
      <c r="E498" s="24"/>
      <c r="F498" s="25"/>
      <c r="G498" s="1">
        <v>5225</v>
      </c>
      <c r="H498" s="2">
        <v>103.5</v>
      </c>
      <c r="I498" s="2">
        <v>-22.6</v>
      </c>
      <c r="J498" s="2">
        <v>-26.8</v>
      </c>
      <c r="K498" s="2">
        <f t="shared" si="63"/>
        <v>-22.6</v>
      </c>
      <c r="L498" s="8">
        <f t="shared" si="67"/>
        <v>2.4547089156850296E-13</v>
      </c>
      <c r="M498" s="26"/>
      <c r="N498" s="17"/>
      <c r="O498" s="9">
        <f t="shared" si="65"/>
        <v>-26.8</v>
      </c>
      <c r="P498" s="8">
        <f>D494/B494*10^(O498/10)</f>
        <v>0.32732306050046583</v>
      </c>
      <c r="Q498" s="26"/>
      <c r="R498" s="17"/>
      <c r="S498" s="19"/>
      <c r="T498" s="17"/>
      <c r="U498" s="22"/>
    </row>
    <row r="499" spans="1:21" x14ac:dyDescent="0.25">
      <c r="A499" s="24"/>
      <c r="B499" s="24"/>
      <c r="C499" s="17"/>
      <c r="D499" s="24"/>
      <c r="E499" s="24"/>
      <c r="F499" s="25"/>
      <c r="G499" s="1">
        <v>5625</v>
      </c>
      <c r="H499" s="2">
        <v>99.5</v>
      </c>
      <c r="I499" s="2">
        <v>-20.8</v>
      </c>
      <c r="J499" s="2">
        <v>-27.6</v>
      </c>
      <c r="K499" s="2">
        <f t="shared" si="63"/>
        <v>-20.8</v>
      </c>
      <c r="L499" s="8">
        <f t="shared" si="67"/>
        <v>9.3325430079698887E-13</v>
      </c>
      <c r="M499" s="26"/>
      <c r="N499" s="17"/>
      <c r="O499" s="9">
        <f t="shared" si="65"/>
        <v>-27.6</v>
      </c>
      <c r="P499" s="8">
        <f>D494/B494*10^(O499/10)</f>
        <v>0.27225546317073518</v>
      </c>
      <c r="Q499" s="26"/>
      <c r="R499" s="17"/>
      <c r="S499" s="20"/>
      <c r="T499" s="17"/>
      <c r="U499" s="23"/>
    </row>
    <row r="500" spans="1:21" x14ac:dyDescent="0.25">
      <c r="A500" s="24">
        <v>8000</v>
      </c>
      <c r="B500" s="24">
        <v>3</v>
      </c>
      <c r="C500" s="17">
        <v>0.5</v>
      </c>
      <c r="D500" s="24">
        <v>943</v>
      </c>
      <c r="E500" s="24">
        <v>6</v>
      </c>
      <c r="F500" s="25">
        <v>54</v>
      </c>
      <c r="G500" s="1">
        <v>6025</v>
      </c>
      <c r="H500" s="2">
        <v>95</v>
      </c>
      <c r="I500" s="2">
        <v>-22.1</v>
      </c>
      <c r="J500" s="2">
        <v>-26.9</v>
      </c>
      <c r="K500" s="2">
        <f t="shared" si="63"/>
        <v>-22.1</v>
      </c>
      <c r="L500" s="8">
        <f t="shared" si="67"/>
        <v>1.9498445997580419E-12</v>
      </c>
      <c r="M500" s="26">
        <f>SUM(L500:L505)</f>
        <v>2.1203650877562421E-11</v>
      </c>
      <c r="N500" s="17">
        <f>10*LOG10(M500/E500)</f>
        <v>-114.51740605517634</v>
      </c>
      <c r="O500" s="9">
        <f t="shared" si="65"/>
        <v>-26.9</v>
      </c>
      <c r="P500" s="8">
        <f>D500/B500*10^(O500/10)</f>
        <v>0.64178629394112197</v>
      </c>
      <c r="Q500" s="26">
        <f>SUM(P500:P505)</f>
        <v>3.2965705136851238</v>
      </c>
      <c r="R500" s="17">
        <f>10*LOG10(Q500)</f>
        <v>5.1806236974355437</v>
      </c>
      <c r="S500" s="18">
        <f>F500+N500-Kzt-H</f>
        <v>-60.517406055176338</v>
      </c>
      <c r="T500" s="17">
        <v>0.7</v>
      </c>
      <c r="U500" s="21">
        <f>T500*10^((S500-R500)/10)</f>
        <v>1.8849292975683693E-7</v>
      </c>
    </row>
    <row r="501" spans="1:21" x14ac:dyDescent="0.25">
      <c r="A501" s="24"/>
      <c r="B501" s="24"/>
      <c r="C501" s="17"/>
      <c r="D501" s="24"/>
      <c r="E501" s="24"/>
      <c r="F501" s="25"/>
      <c r="G501" s="1">
        <v>7025</v>
      </c>
      <c r="H501" s="2">
        <v>94.8</v>
      </c>
      <c r="I501" s="2">
        <v>-20.100000000000001</v>
      </c>
      <c r="J501" s="2">
        <v>-31</v>
      </c>
      <c r="K501" s="2">
        <f t="shared" si="63"/>
        <v>-20.100000000000001</v>
      </c>
      <c r="L501" s="8">
        <f t="shared" si="67"/>
        <v>3.2359365692962695E-12</v>
      </c>
      <c r="M501" s="26"/>
      <c r="N501" s="17"/>
      <c r="O501" s="9">
        <f t="shared" si="65"/>
        <v>-31</v>
      </c>
      <c r="P501" s="8">
        <f>D500/B500*10^(O501/10)</f>
        <v>0.24968384178166564</v>
      </c>
      <c r="Q501" s="26"/>
      <c r="R501" s="17"/>
      <c r="S501" s="19"/>
      <c r="T501" s="17"/>
      <c r="U501" s="22"/>
    </row>
    <row r="502" spans="1:21" x14ac:dyDescent="0.25">
      <c r="A502" s="24"/>
      <c r="B502" s="24"/>
      <c r="C502" s="17"/>
      <c r="D502" s="24"/>
      <c r="E502" s="24"/>
      <c r="F502" s="25"/>
      <c r="G502" s="1">
        <v>8025</v>
      </c>
      <c r="H502" s="2">
        <v>101.9</v>
      </c>
      <c r="I502" s="2">
        <v>-23.4</v>
      </c>
      <c r="J502" s="2">
        <v>-28.7</v>
      </c>
      <c r="K502" s="2">
        <f t="shared" si="63"/>
        <v>-23.4</v>
      </c>
      <c r="L502" s="8">
        <f t="shared" si="67"/>
        <v>2.9512092266663723E-13</v>
      </c>
      <c r="M502" s="26"/>
      <c r="N502" s="17"/>
      <c r="O502" s="9">
        <f t="shared" si="65"/>
        <v>-28.7</v>
      </c>
      <c r="P502" s="8">
        <f>D500/B500*10^(O502/10)</f>
        <v>0.42402399942797603</v>
      </c>
      <c r="Q502" s="26"/>
      <c r="R502" s="17"/>
      <c r="S502" s="19"/>
      <c r="T502" s="17"/>
      <c r="U502" s="22"/>
    </row>
    <row r="503" spans="1:21" x14ac:dyDescent="0.25">
      <c r="A503" s="24"/>
      <c r="B503" s="24"/>
      <c r="C503" s="17"/>
      <c r="D503" s="24"/>
      <c r="E503" s="24"/>
      <c r="F503" s="25"/>
      <c r="G503" s="1">
        <v>9025</v>
      </c>
      <c r="H503" s="2">
        <v>93.2</v>
      </c>
      <c r="I503" s="2">
        <v>-24.9</v>
      </c>
      <c r="J503" s="2">
        <v>-24.9</v>
      </c>
      <c r="K503" s="2">
        <f t="shared" si="63"/>
        <v>-24.9</v>
      </c>
      <c r="L503" s="8">
        <f t="shared" si="67"/>
        <v>1.5488166189124799E-12</v>
      </c>
      <c r="M503" s="26"/>
      <c r="N503" s="17"/>
      <c r="O503" s="9">
        <f t="shared" si="65"/>
        <v>-24.9</v>
      </c>
      <c r="P503" s="8">
        <f>D500/B500*10^(O503/10)</f>
        <v>1.0171627282821314</v>
      </c>
      <c r="Q503" s="26"/>
      <c r="R503" s="17"/>
      <c r="S503" s="19"/>
      <c r="T503" s="17"/>
      <c r="U503" s="22"/>
    </row>
    <row r="504" spans="1:21" x14ac:dyDescent="0.25">
      <c r="A504" s="24"/>
      <c r="B504" s="24"/>
      <c r="C504" s="17"/>
      <c r="D504" s="24"/>
      <c r="E504" s="24"/>
      <c r="F504" s="25"/>
      <c r="G504" s="1">
        <v>10025</v>
      </c>
      <c r="H504" s="2">
        <v>88.3</v>
      </c>
      <c r="I504" s="2">
        <v>-23.4</v>
      </c>
      <c r="J504" s="2">
        <v>-30.1</v>
      </c>
      <c r="K504" s="2">
        <f t="shared" si="63"/>
        <v>-23.4</v>
      </c>
      <c r="L504" s="8">
        <f t="shared" si="67"/>
        <v>6.7608297539198193E-12</v>
      </c>
      <c r="M504" s="26"/>
      <c r="N504" s="17"/>
      <c r="O504" s="9">
        <f t="shared" si="65"/>
        <v>-30.1</v>
      </c>
      <c r="P504" s="8">
        <f>D500/B500*10^(O504/10)</f>
        <v>0.30717823312044273</v>
      </c>
      <c r="Q504" s="26"/>
      <c r="R504" s="17"/>
      <c r="S504" s="19"/>
      <c r="T504" s="17"/>
      <c r="U504" s="22"/>
    </row>
    <row r="505" spans="1:21" x14ac:dyDescent="0.25">
      <c r="A505" s="24"/>
      <c r="B505" s="24"/>
      <c r="C505" s="17"/>
      <c r="D505" s="24"/>
      <c r="E505" s="24"/>
      <c r="F505" s="25"/>
      <c r="G505" s="1">
        <v>11025</v>
      </c>
      <c r="H505" s="2">
        <v>86</v>
      </c>
      <c r="I505" s="2">
        <v>-25.3</v>
      </c>
      <c r="J505" s="2">
        <v>-26.8</v>
      </c>
      <c r="K505" s="2">
        <f t="shared" si="63"/>
        <v>-25.3</v>
      </c>
      <c r="L505" s="8">
        <f t="shared" si="67"/>
        <v>7.4131024130091739E-12</v>
      </c>
      <c r="M505" s="26"/>
      <c r="N505" s="17"/>
      <c r="O505" s="9">
        <f t="shared" si="65"/>
        <v>-26.8</v>
      </c>
      <c r="P505" s="8">
        <f>D500/B500*10^(O505/10)</f>
        <v>0.65673541713178563</v>
      </c>
      <c r="Q505" s="26"/>
      <c r="R505" s="17"/>
      <c r="S505" s="20"/>
      <c r="T505" s="17"/>
      <c r="U505" s="23"/>
    </row>
    <row r="506" spans="1:21" x14ac:dyDescent="0.25">
      <c r="A506" s="24" t="s">
        <v>20</v>
      </c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12">
        <f>U506</f>
        <v>5.4512132826507513E-2</v>
      </c>
      <c r="T506" s="2"/>
      <c r="U506" s="8">
        <f>0.8*SQRT(SUM(U472:U505))</f>
        <v>5.4512132826507513E-2</v>
      </c>
    </row>
    <row r="507" spans="1:21" x14ac:dyDescent="0.25">
      <c r="A507" s="27" t="s">
        <v>46</v>
      </c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9"/>
    </row>
    <row r="508" spans="1:21" x14ac:dyDescent="0.25">
      <c r="A508" s="24">
        <v>250</v>
      </c>
      <c r="B508" s="24">
        <v>3</v>
      </c>
      <c r="C508" s="17">
        <v>0.5</v>
      </c>
      <c r="D508" s="24">
        <v>38</v>
      </c>
      <c r="E508" s="24">
        <v>4</v>
      </c>
      <c r="F508" s="25">
        <v>84</v>
      </c>
      <c r="G508" s="1">
        <v>175</v>
      </c>
      <c r="H508" s="2">
        <v>84.8</v>
      </c>
      <c r="I508" s="2">
        <v>-22.1</v>
      </c>
      <c r="J508" s="2">
        <v>-24.1</v>
      </c>
      <c r="K508" s="2">
        <f>I508</f>
        <v>-22.1</v>
      </c>
      <c r="L508" s="8">
        <f>10^((K508-H508)/10)</f>
        <v>2.04173794466952E-11</v>
      </c>
      <c r="M508" s="26">
        <f>SUM(L508:L511)</f>
        <v>3.6745985026260766E-11</v>
      </c>
      <c r="N508" s="17">
        <f>10*LOG10(M508/E508)</f>
        <v>-110.36850097600166</v>
      </c>
      <c r="O508" s="9">
        <f>J508</f>
        <v>-24.1</v>
      </c>
      <c r="P508" s="8">
        <f>D508/B508*10^(O508/10)</f>
        <v>4.9279051699275496E-2</v>
      </c>
      <c r="Q508" s="26">
        <f>SUM(P508:P511)</f>
        <v>0.13709097797273834</v>
      </c>
      <c r="R508" s="17">
        <f>10*LOG10(Q508)</f>
        <v>-8.6299112541167204</v>
      </c>
      <c r="S508" s="18">
        <f>F508+N508-Kzt-H</f>
        <v>-26.368500976001656</v>
      </c>
      <c r="T508" s="17">
        <v>0.2</v>
      </c>
      <c r="U508" s="21">
        <f>T508*10^((S508-R508)/10)</f>
        <v>3.3664411241662254E-3</v>
      </c>
    </row>
    <row r="509" spans="1:21" x14ac:dyDescent="0.25">
      <c r="A509" s="24"/>
      <c r="B509" s="24"/>
      <c r="C509" s="17"/>
      <c r="D509" s="24"/>
      <c r="E509" s="24"/>
      <c r="F509" s="25"/>
      <c r="G509" s="1">
        <v>225</v>
      </c>
      <c r="H509" s="2">
        <v>90</v>
      </c>
      <c r="I509" s="2">
        <v>-20.2</v>
      </c>
      <c r="J509" s="2">
        <v>-27</v>
      </c>
      <c r="K509" s="2">
        <f t="shared" ref="K509:K541" si="68">I509</f>
        <v>-20.2</v>
      </c>
      <c r="L509" s="8">
        <f t="shared" ref="L509:L510" si="69">10^((K509-H509)/10)</f>
        <v>9.5499258602143472E-12</v>
      </c>
      <c r="M509" s="26"/>
      <c r="N509" s="17"/>
      <c r="O509" s="9">
        <f t="shared" ref="O509:O541" si="70">J509</f>
        <v>-27</v>
      </c>
      <c r="P509" s="8">
        <f>D508/B508*10^(O509/10)</f>
        <v>2.5273322656272454E-2</v>
      </c>
      <c r="Q509" s="26"/>
      <c r="R509" s="17"/>
      <c r="S509" s="19"/>
      <c r="T509" s="17"/>
      <c r="U509" s="22"/>
    </row>
    <row r="510" spans="1:21" x14ac:dyDescent="0.25">
      <c r="A510" s="24"/>
      <c r="B510" s="24"/>
      <c r="C510" s="17"/>
      <c r="D510" s="24"/>
      <c r="E510" s="24"/>
      <c r="F510" s="25"/>
      <c r="G510" s="1">
        <v>275</v>
      </c>
      <c r="H510" s="2">
        <v>92.2</v>
      </c>
      <c r="I510" s="2">
        <v>-22.4</v>
      </c>
      <c r="J510" s="2">
        <v>-24.7</v>
      </c>
      <c r="K510" s="2">
        <f t="shared" si="68"/>
        <v>-22.4</v>
      </c>
      <c r="L510" s="8">
        <f t="shared" si="69"/>
        <v>3.4673685045253144E-12</v>
      </c>
      <c r="M510" s="26"/>
      <c r="N510" s="17"/>
      <c r="O510" s="9">
        <f t="shared" si="70"/>
        <v>-24.7</v>
      </c>
      <c r="P510" s="8">
        <f>D508/B508*10^(O510/10)</f>
        <v>4.2920259777632301E-2</v>
      </c>
      <c r="Q510" s="26"/>
      <c r="R510" s="17"/>
      <c r="S510" s="19"/>
      <c r="T510" s="17"/>
      <c r="U510" s="22"/>
    </row>
    <row r="511" spans="1:21" x14ac:dyDescent="0.25">
      <c r="A511" s="24"/>
      <c r="B511" s="24"/>
      <c r="C511" s="17"/>
      <c r="D511" s="24"/>
      <c r="E511" s="24"/>
      <c r="F511" s="25"/>
      <c r="G511" s="1">
        <v>325</v>
      </c>
      <c r="H511" s="2">
        <v>93.3</v>
      </c>
      <c r="I511" s="2">
        <v>-21.5</v>
      </c>
      <c r="J511" s="2">
        <v>-28.1</v>
      </c>
      <c r="K511" s="2">
        <f t="shared" si="68"/>
        <v>-21.5</v>
      </c>
      <c r="L511" s="8">
        <f>10^((K511-H511)/10)</f>
        <v>3.3113112148258976E-12</v>
      </c>
      <c r="M511" s="26"/>
      <c r="N511" s="17"/>
      <c r="O511" s="9">
        <f t="shared" si="70"/>
        <v>-28.1</v>
      </c>
      <c r="P511" s="8">
        <f>D508/B508*10^(O511/10)</f>
        <v>1.9618343839558083E-2</v>
      </c>
      <c r="Q511" s="26"/>
      <c r="R511" s="17"/>
      <c r="S511" s="20"/>
      <c r="T511" s="17"/>
      <c r="U511" s="23"/>
    </row>
    <row r="512" spans="1:21" x14ac:dyDescent="0.25">
      <c r="A512" s="24">
        <v>500</v>
      </c>
      <c r="B512" s="24">
        <v>3</v>
      </c>
      <c r="C512" s="17">
        <v>0.5</v>
      </c>
      <c r="D512" s="24">
        <v>59</v>
      </c>
      <c r="E512" s="24">
        <v>6</v>
      </c>
      <c r="F512" s="25">
        <v>84</v>
      </c>
      <c r="G512" s="1">
        <v>375</v>
      </c>
      <c r="H512" s="2">
        <v>91.9</v>
      </c>
      <c r="I512" s="2">
        <v>-21.8</v>
      </c>
      <c r="J512" s="2">
        <v>-25.3</v>
      </c>
      <c r="K512" s="2">
        <f t="shared" si="68"/>
        <v>-21.8</v>
      </c>
      <c r="L512" s="8">
        <f t="shared" ref="L512:L513" si="71">10^((K512-H512)/10)</f>
        <v>4.2657951880159045E-12</v>
      </c>
      <c r="M512" s="26">
        <f>SUM(L512:L517)</f>
        <v>3.0569570343652232E-11</v>
      </c>
      <c r="N512" s="17">
        <f>10*LOG10(M512/E512)</f>
        <v>-112.92861915638328</v>
      </c>
      <c r="O512" s="9">
        <f t="shared" si="70"/>
        <v>-25.3</v>
      </c>
      <c r="P512" s="8">
        <f>D512/B512*10^(O512/10)</f>
        <v>5.8040448124438884E-2</v>
      </c>
      <c r="Q512" s="26">
        <f>SUM(P512:P517)</f>
        <v>0.26472039590036317</v>
      </c>
      <c r="R512" s="17">
        <f>10*LOG10(Q512)</f>
        <v>-5.7721259634225541</v>
      </c>
      <c r="S512" s="18">
        <f>F512+N512-Kzt-H</f>
        <v>-28.928619156383277</v>
      </c>
      <c r="T512" s="17">
        <v>0.5</v>
      </c>
      <c r="U512" s="21">
        <f>T512*10^((S512-R512)/10)</f>
        <v>2.4172450804848269E-3</v>
      </c>
    </row>
    <row r="513" spans="1:21" x14ac:dyDescent="0.25">
      <c r="A513" s="24"/>
      <c r="B513" s="24"/>
      <c r="C513" s="17"/>
      <c r="D513" s="24"/>
      <c r="E513" s="24"/>
      <c r="F513" s="25"/>
      <c r="G513" s="1">
        <v>425</v>
      </c>
      <c r="H513" s="2">
        <v>88.1</v>
      </c>
      <c r="I513" s="2">
        <v>-20.8</v>
      </c>
      <c r="J513" s="2">
        <v>-29</v>
      </c>
      <c r="K513" s="2">
        <f t="shared" si="68"/>
        <v>-20.8</v>
      </c>
      <c r="L513" s="8">
        <f t="shared" si="71"/>
        <v>1.2882495516931353E-11</v>
      </c>
      <c r="M513" s="26"/>
      <c r="N513" s="17"/>
      <c r="O513" s="9">
        <f t="shared" si="70"/>
        <v>-29</v>
      </c>
      <c r="P513" s="8">
        <f>D512/B512*10^(O513/10)</f>
        <v>2.4758866431951937E-2</v>
      </c>
      <c r="Q513" s="26"/>
      <c r="R513" s="17"/>
      <c r="S513" s="19"/>
      <c r="T513" s="17"/>
      <c r="U513" s="22"/>
    </row>
    <row r="514" spans="1:21" x14ac:dyDescent="0.25">
      <c r="A514" s="24"/>
      <c r="B514" s="24"/>
      <c r="C514" s="17"/>
      <c r="D514" s="24"/>
      <c r="E514" s="24"/>
      <c r="F514" s="25"/>
      <c r="G514" s="1">
        <v>475</v>
      </c>
      <c r="H514" s="2">
        <v>90</v>
      </c>
      <c r="I514" s="2">
        <v>-22.9</v>
      </c>
      <c r="J514" s="2">
        <v>-25.9</v>
      </c>
      <c r="K514" s="2">
        <f t="shared" si="68"/>
        <v>-22.9</v>
      </c>
      <c r="L514" s="8">
        <f>10^((K514-H514)/10)</f>
        <v>5.1286138399136186E-12</v>
      </c>
      <c r="M514" s="26"/>
      <c r="N514" s="17"/>
      <c r="O514" s="9">
        <f t="shared" si="70"/>
        <v>-25.9</v>
      </c>
      <c r="P514" s="8">
        <f>D512/B512*10^(O514/10)</f>
        <v>5.055111706112099E-2</v>
      </c>
      <c r="Q514" s="26"/>
      <c r="R514" s="17"/>
      <c r="S514" s="19"/>
      <c r="T514" s="17"/>
      <c r="U514" s="22"/>
    </row>
    <row r="515" spans="1:21" x14ac:dyDescent="0.25">
      <c r="A515" s="24"/>
      <c r="B515" s="24"/>
      <c r="C515" s="17"/>
      <c r="D515" s="24"/>
      <c r="E515" s="24"/>
      <c r="F515" s="25"/>
      <c r="G515" s="1">
        <v>575</v>
      </c>
      <c r="H515" s="2">
        <v>97</v>
      </c>
      <c r="I515" s="2">
        <v>-23.9</v>
      </c>
      <c r="J515" s="2">
        <v>-27.4</v>
      </c>
      <c r="K515" s="2">
        <f t="shared" si="68"/>
        <v>-23.9</v>
      </c>
      <c r="L515" s="8">
        <f t="shared" ref="L515:L541" si="72">10^((K515-H515)/10)</f>
        <v>8.1283051616409777E-13</v>
      </c>
      <c r="M515" s="26"/>
      <c r="N515" s="17"/>
      <c r="O515" s="9">
        <f t="shared" si="70"/>
        <v>-27.4</v>
      </c>
      <c r="P515" s="8">
        <f>D512/B512*10^(O515/10)</f>
        <v>3.5787450219329664E-2</v>
      </c>
      <c r="Q515" s="26"/>
      <c r="R515" s="17"/>
      <c r="S515" s="19"/>
      <c r="T515" s="17"/>
      <c r="U515" s="22"/>
    </row>
    <row r="516" spans="1:21" x14ac:dyDescent="0.25">
      <c r="A516" s="24"/>
      <c r="B516" s="24"/>
      <c r="C516" s="17"/>
      <c r="D516" s="24"/>
      <c r="E516" s="24"/>
      <c r="F516" s="25"/>
      <c r="G516" s="1">
        <v>625</v>
      </c>
      <c r="H516" s="2">
        <v>92</v>
      </c>
      <c r="I516" s="2">
        <v>-19.899999999999999</v>
      </c>
      <c r="J516" s="2">
        <v>-24.8</v>
      </c>
      <c r="K516" s="2">
        <f t="shared" si="68"/>
        <v>-19.899999999999999</v>
      </c>
      <c r="L516" s="8">
        <f t="shared" si="72"/>
        <v>6.4565422903465118E-12</v>
      </c>
      <c r="M516" s="26"/>
      <c r="N516" s="17"/>
      <c r="O516" s="9">
        <f t="shared" si="70"/>
        <v>-24.8</v>
      </c>
      <c r="P516" s="8">
        <f>D512/B512*10^(O516/10)</f>
        <v>6.512245389157624E-2</v>
      </c>
      <c r="Q516" s="26"/>
      <c r="R516" s="17"/>
      <c r="S516" s="19"/>
      <c r="T516" s="17"/>
      <c r="U516" s="22"/>
    </row>
    <row r="517" spans="1:21" x14ac:dyDescent="0.25">
      <c r="A517" s="24"/>
      <c r="B517" s="24"/>
      <c r="C517" s="17"/>
      <c r="D517" s="24"/>
      <c r="E517" s="24"/>
      <c r="F517" s="25"/>
      <c r="G517" s="1">
        <v>675</v>
      </c>
      <c r="H517" s="2">
        <v>94.5</v>
      </c>
      <c r="I517" s="2">
        <v>-25.4</v>
      </c>
      <c r="J517" s="2">
        <v>-28.1</v>
      </c>
      <c r="K517" s="2">
        <f t="shared" si="68"/>
        <v>-25.4</v>
      </c>
      <c r="L517" s="8">
        <f t="shared" si="72"/>
        <v>1.0232929922807514E-12</v>
      </c>
      <c r="M517" s="26"/>
      <c r="N517" s="17"/>
      <c r="O517" s="9">
        <f t="shared" si="70"/>
        <v>-28.1</v>
      </c>
      <c r="P517" s="8">
        <f>D512/B512*10^(O517/10)</f>
        <v>3.0460060171945448E-2</v>
      </c>
      <c r="Q517" s="26"/>
      <c r="R517" s="17"/>
      <c r="S517" s="20"/>
      <c r="T517" s="17"/>
      <c r="U517" s="23"/>
    </row>
    <row r="518" spans="1:21" x14ac:dyDescent="0.25">
      <c r="A518" s="24">
        <v>1000</v>
      </c>
      <c r="B518" s="24">
        <v>3</v>
      </c>
      <c r="C518" s="17">
        <v>0.5</v>
      </c>
      <c r="D518" s="24">
        <v>117</v>
      </c>
      <c r="E518" s="24">
        <v>6</v>
      </c>
      <c r="F518" s="25">
        <v>76</v>
      </c>
      <c r="G518" s="1">
        <v>875</v>
      </c>
      <c r="H518" s="2">
        <v>91.1</v>
      </c>
      <c r="I518" s="2">
        <v>-20.8</v>
      </c>
      <c r="J518" s="2">
        <v>-27.6</v>
      </c>
      <c r="K518" s="2">
        <f t="shared" si="68"/>
        <v>-20.8</v>
      </c>
      <c r="L518" s="8">
        <f t="shared" si="72"/>
        <v>6.4565422903465579E-12</v>
      </c>
      <c r="M518" s="26">
        <f>SUM(L518:L523)</f>
        <v>1.0954879896353881E-11</v>
      </c>
      <c r="N518" s="17">
        <f>10*LOG10(M518/E518)</f>
        <v>-117.38543629841251</v>
      </c>
      <c r="O518" s="9">
        <f t="shared" si="70"/>
        <v>-27.6</v>
      </c>
      <c r="P518" s="8">
        <f>D518/B518*10^(O518/10)</f>
        <v>6.7774232321225564E-2</v>
      </c>
      <c r="Q518" s="26">
        <f>SUM(P518:P523)</f>
        <v>0.49434104117565258</v>
      </c>
      <c r="R518" s="17">
        <f>10*LOG10(Q518)</f>
        <v>-3.0597333205145034</v>
      </c>
      <c r="S518" s="18">
        <f>F518+N518-Kzt-H</f>
        <v>-41.385436298412515</v>
      </c>
      <c r="T518" s="17">
        <v>0.8</v>
      </c>
      <c r="U518" s="21">
        <f>T518*10^((S518-R518)/10)</f>
        <v>1.1763043124827025E-4</v>
      </c>
    </row>
    <row r="519" spans="1:21" x14ac:dyDescent="0.25">
      <c r="A519" s="24"/>
      <c r="B519" s="24"/>
      <c r="C519" s="17"/>
      <c r="D519" s="24"/>
      <c r="E519" s="24"/>
      <c r="F519" s="25"/>
      <c r="G519" s="1">
        <v>975</v>
      </c>
      <c r="H519" s="2">
        <v>96.5</v>
      </c>
      <c r="I519" s="2">
        <v>-26.799999999999997</v>
      </c>
      <c r="J519" s="2">
        <v>-26.9</v>
      </c>
      <c r="K519" s="2">
        <f t="shared" si="68"/>
        <v>-26.799999999999997</v>
      </c>
      <c r="L519" s="8">
        <f t="shared" si="72"/>
        <v>4.6773514128719676E-13</v>
      </c>
      <c r="M519" s="26"/>
      <c r="N519" s="17"/>
      <c r="O519" s="9">
        <f t="shared" si="70"/>
        <v>-26.9</v>
      </c>
      <c r="P519" s="8">
        <f>D518/B518*10^(O519/10)</f>
        <v>7.962777984211164E-2</v>
      </c>
      <c r="Q519" s="26"/>
      <c r="R519" s="17"/>
      <c r="S519" s="19"/>
      <c r="T519" s="17"/>
      <c r="U519" s="22"/>
    </row>
    <row r="520" spans="1:21" x14ac:dyDescent="0.25">
      <c r="A520" s="24"/>
      <c r="B520" s="24"/>
      <c r="C520" s="17"/>
      <c r="D520" s="24"/>
      <c r="E520" s="24"/>
      <c r="F520" s="25"/>
      <c r="G520" s="1">
        <v>1075</v>
      </c>
      <c r="H520" s="2">
        <v>94.6</v>
      </c>
      <c r="I520" s="2">
        <v>-21.9</v>
      </c>
      <c r="J520" s="2">
        <v>-26</v>
      </c>
      <c r="K520" s="2">
        <f t="shared" si="68"/>
        <v>-21.9</v>
      </c>
      <c r="L520" s="8">
        <f t="shared" si="72"/>
        <v>2.2387211385683343E-12</v>
      </c>
      <c r="M520" s="26"/>
      <c r="N520" s="17"/>
      <c r="O520" s="9">
        <f t="shared" si="70"/>
        <v>-26</v>
      </c>
      <c r="P520" s="8">
        <f>D518/B518*10^(O520/10)</f>
        <v>9.7963570828873525E-2</v>
      </c>
      <c r="Q520" s="26"/>
      <c r="R520" s="17"/>
      <c r="S520" s="19"/>
      <c r="T520" s="17"/>
      <c r="U520" s="22"/>
    </row>
    <row r="521" spans="1:21" x14ac:dyDescent="0.25">
      <c r="A521" s="24"/>
      <c r="B521" s="24"/>
      <c r="C521" s="17"/>
      <c r="D521" s="24"/>
      <c r="E521" s="24"/>
      <c r="F521" s="25"/>
      <c r="G521" s="1">
        <v>1175</v>
      </c>
      <c r="H521" s="2">
        <v>97.8</v>
      </c>
      <c r="I521" s="2">
        <v>-23.8</v>
      </c>
      <c r="J521" s="2">
        <v>-28.6</v>
      </c>
      <c r="K521" s="2">
        <f t="shared" si="68"/>
        <v>-23.8</v>
      </c>
      <c r="L521" s="8">
        <f t="shared" si="72"/>
        <v>6.9183097091893335E-13</v>
      </c>
      <c r="M521" s="26"/>
      <c r="N521" s="17"/>
      <c r="O521" s="9">
        <f t="shared" si="70"/>
        <v>-28.6</v>
      </c>
      <c r="P521" s="8">
        <f>D518/B518*10^(O521/10)</f>
        <v>5.3834986319512453E-2</v>
      </c>
      <c r="Q521" s="26"/>
      <c r="R521" s="17"/>
      <c r="S521" s="19"/>
      <c r="T521" s="17"/>
      <c r="U521" s="22"/>
    </row>
    <row r="522" spans="1:21" x14ac:dyDescent="0.25">
      <c r="A522" s="24"/>
      <c r="B522" s="24"/>
      <c r="C522" s="17"/>
      <c r="D522" s="24"/>
      <c r="E522" s="24"/>
      <c r="F522" s="25"/>
      <c r="G522" s="1">
        <v>1275</v>
      </c>
      <c r="H522" s="2">
        <v>100.1</v>
      </c>
      <c r="I522" s="2">
        <v>-20.5</v>
      </c>
      <c r="J522" s="2">
        <v>-28.9</v>
      </c>
      <c r="K522" s="2">
        <f t="shared" si="68"/>
        <v>-20.5</v>
      </c>
      <c r="L522" s="8">
        <f t="shared" si="72"/>
        <v>8.7096358995608191E-13</v>
      </c>
      <c r="M522" s="26"/>
      <c r="N522" s="17"/>
      <c r="O522" s="9">
        <f t="shared" si="70"/>
        <v>-28.9</v>
      </c>
      <c r="P522" s="8">
        <f>D518/B518*10^(O522/10)</f>
        <v>5.0241732516032228E-2</v>
      </c>
      <c r="Q522" s="26"/>
      <c r="R522" s="17"/>
      <c r="S522" s="19"/>
      <c r="T522" s="17"/>
      <c r="U522" s="22"/>
    </row>
    <row r="523" spans="1:21" x14ac:dyDescent="0.25">
      <c r="A523" s="24"/>
      <c r="B523" s="24"/>
      <c r="C523" s="17"/>
      <c r="D523" s="24"/>
      <c r="E523" s="24"/>
      <c r="F523" s="25"/>
      <c r="G523" s="1">
        <v>1375</v>
      </c>
      <c r="H523" s="2">
        <v>103</v>
      </c>
      <c r="I523" s="2">
        <v>-23.400000000000002</v>
      </c>
      <c r="J523" s="2">
        <v>-24.3</v>
      </c>
      <c r="K523" s="2">
        <f t="shared" si="68"/>
        <v>-23.400000000000002</v>
      </c>
      <c r="L523" s="8">
        <f t="shared" si="72"/>
        <v>2.2908676527677649E-13</v>
      </c>
      <c r="M523" s="26"/>
      <c r="N523" s="17"/>
      <c r="O523" s="9">
        <f t="shared" si="70"/>
        <v>-24.3</v>
      </c>
      <c r="P523" s="8">
        <f>D518/B518*10^(O523/10)</f>
        <v>0.14489873934789718</v>
      </c>
      <c r="Q523" s="26"/>
      <c r="R523" s="17"/>
      <c r="S523" s="20"/>
      <c r="T523" s="17"/>
      <c r="U523" s="23"/>
    </row>
    <row r="524" spans="1:21" x14ac:dyDescent="0.25">
      <c r="A524" s="24">
        <v>2000</v>
      </c>
      <c r="B524" s="24">
        <v>3</v>
      </c>
      <c r="C524" s="17">
        <v>0.5</v>
      </c>
      <c r="D524" s="24">
        <v>234</v>
      </c>
      <c r="E524" s="24">
        <v>6</v>
      </c>
      <c r="F524" s="25">
        <v>68</v>
      </c>
      <c r="G524" s="1">
        <v>1425</v>
      </c>
      <c r="H524" s="2">
        <v>102.8</v>
      </c>
      <c r="I524" s="2">
        <v>-23.9</v>
      </c>
      <c r="J524" s="2">
        <v>-24.9</v>
      </c>
      <c r="K524" s="2">
        <f t="shared" si="68"/>
        <v>-23.9</v>
      </c>
      <c r="L524" s="8">
        <f t="shared" si="72"/>
        <v>2.1379620895022328E-13</v>
      </c>
      <c r="M524" s="26">
        <f>SUM(L524:L529)</f>
        <v>2.4611638610315583E-12</v>
      </c>
      <c r="N524" s="17">
        <f>10*LOG10(M524/E524)</f>
        <v>-123.87010720966599</v>
      </c>
      <c r="O524" s="9">
        <f t="shared" si="70"/>
        <v>-24.9</v>
      </c>
      <c r="P524" s="8">
        <f>D524/B524*10^(O524/10)</f>
        <v>0.25240305240511002</v>
      </c>
      <c r="Q524" s="26">
        <f>SUM(P524:P529)</f>
        <v>1.3889494914892433</v>
      </c>
      <c r="R524" s="17">
        <f>10*LOG10(Q524)</f>
        <v>1.426864531052582</v>
      </c>
      <c r="S524" s="18">
        <f>F524+N524-Kzt-H</f>
        <v>-55.870107209665989</v>
      </c>
      <c r="T524" s="17">
        <v>1</v>
      </c>
      <c r="U524" s="21">
        <f>T524*10^((S524-R524)/10)</f>
        <v>1.8633859901582476E-6</v>
      </c>
    </row>
    <row r="525" spans="1:21" x14ac:dyDescent="0.25">
      <c r="A525" s="24"/>
      <c r="B525" s="24"/>
      <c r="C525" s="17"/>
      <c r="D525" s="24"/>
      <c r="E525" s="24"/>
      <c r="F525" s="25"/>
      <c r="G525" s="1">
        <v>1625</v>
      </c>
      <c r="H525" s="2">
        <v>104.1</v>
      </c>
      <c r="I525" s="2">
        <v>-22.4</v>
      </c>
      <c r="J525" s="2">
        <v>-22.5</v>
      </c>
      <c r="K525" s="2">
        <f t="shared" si="68"/>
        <v>-22.4</v>
      </c>
      <c r="L525" s="8">
        <f t="shared" si="72"/>
        <v>2.238721138568332E-13</v>
      </c>
      <c r="M525" s="26"/>
      <c r="N525" s="17"/>
      <c r="O525" s="9">
        <f t="shared" si="70"/>
        <v>-22.5</v>
      </c>
      <c r="P525" s="8">
        <f>D524/B524*10^(O525/10)</f>
        <v>0.43862623364847197</v>
      </c>
      <c r="Q525" s="26"/>
      <c r="R525" s="17"/>
      <c r="S525" s="19"/>
      <c r="T525" s="17"/>
      <c r="U525" s="22"/>
    </row>
    <row r="526" spans="1:21" x14ac:dyDescent="0.25">
      <c r="A526" s="24"/>
      <c r="B526" s="24"/>
      <c r="C526" s="17"/>
      <c r="D526" s="24"/>
      <c r="E526" s="24"/>
      <c r="F526" s="25"/>
      <c r="G526" s="1">
        <v>1825</v>
      </c>
      <c r="H526" s="2">
        <v>107.6</v>
      </c>
      <c r="I526" s="2">
        <v>-23.2</v>
      </c>
      <c r="J526" s="2">
        <v>-25.2</v>
      </c>
      <c r="K526" s="2">
        <f t="shared" si="68"/>
        <v>-23.2</v>
      </c>
      <c r="L526" s="8">
        <f t="shared" si="72"/>
        <v>8.3176377110267161E-14</v>
      </c>
      <c r="M526" s="26"/>
      <c r="N526" s="17"/>
      <c r="O526" s="9">
        <f t="shared" si="70"/>
        <v>-25.2</v>
      </c>
      <c r="P526" s="8">
        <f>D524/B524*10^(O526/10)</f>
        <v>0.23555623419135704</v>
      </c>
      <c r="Q526" s="26"/>
      <c r="R526" s="17"/>
      <c r="S526" s="19"/>
      <c r="T526" s="17"/>
      <c r="U526" s="22"/>
    </row>
    <row r="527" spans="1:21" x14ac:dyDescent="0.25">
      <c r="A527" s="24"/>
      <c r="B527" s="24"/>
      <c r="C527" s="17"/>
      <c r="D527" s="24"/>
      <c r="E527" s="24"/>
      <c r="F527" s="25"/>
      <c r="G527" s="1">
        <v>2125</v>
      </c>
      <c r="H527" s="2">
        <v>104.2</v>
      </c>
      <c r="I527" s="2">
        <v>-25.6</v>
      </c>
      <c r="J527" s="2">
        <v>-26.9</v>
      </c>
      <c r="K527" s="2">
        <f t="shared" si="68"/>
        <v>-25.6</v>
      </c>
      <c r="L527" s="8">
        <f t="shared" si="72"/>
        <v>1.0471285480508955E-13</v>
      </c>
      <c r="M527" s="26"/>
      <c r="N527" s="17"/>
      <c r="O527" s="9">
        <f t="shared" si="70"/>
        <v>-26.9</v>
      </c>
      <c r="P527" s="8">
        <f>D524/B524*10^(O527/10)</f>
        <v>0.15925555968422328</v>
      </c>
      <c r="Q527" s="26"/>
      <c r="R527" s="17"/>
      <c r="S527" s="19"/>
      <c r="T527" s="17"/>
      <c r="U527" s="22"/>
    </row>
    <row r="528" spans="1:21" x14ac:dyDescent="0.25">
      <c r="A528" s="24"/>
      <c r="B528" s="24"/>
      <c r="C528" s="17"/>
      <c r="D528" s="24"/>
      <c r="E528" s="24"/>
      <c r="F528" s="25"/>
      <c r="G528" s="1">
        <v>2425</v>
      </c>
      <c r="H528" s="2">
        <v>93.7</v>
      </c>
      <c r="I528" s="2">
        <v>-24.2</v>
      </c>
      <c r="J528" s="2">
        <v>-27.7</v>
      </c>
      <c r="K528" s="2">
        <f t="shared" si="68"/>
        <v>-24.2</v>
      </c>
      <c r="L528" s="8">
        <f t="shared" si="72"/>
        <v>1.6218100973589226E-12</v>
      </c>
      <c r="M528" s="26"/>
      <c r="N528" s="17"/>
      <c r="O528" s="9">
        <f t="shared" si="70"/>
        <v>-27.7</v>
      </c>
      <c r="P528" s="8">
        <f>D524/B524*10^(O528/10)</f>
        <v>0.13246300489201593</v>
      </c>
      <c r="Q528" s="26"/>
      <c r="R528" s="17"/>
      <c r="S528" s="19"/>
      <c r="T528" s="17"/>
      <c r="U528" s="22"/>
    </row>
    <row r="529" spans="1:21" x14ac:dyDescent="0.25">
      <c r="A529" s="24"/>
      <c r="B529" s="24"/>
      <c r="C529" s="17"/>
      <c r="D529" s="24"/>
      <c r="E529" s="24"/>
      <c r="F529" s="25"/>
      <c r="G529" s="1">
        <v>2775</v>
      </c>
      <c r="H529" s="2">
        <v>100.2</v>
      </c>
      <c r="I529" s="2">
        <v>-26.5</v>
      </c>
      <c r="J529" s="2">
        <v>-26.6</v>
      </c>
      <c r="K529" s="2">
        <f t="shared" si="68"/>
        <v>-26.5</v>
      </c>
      <c r="L529" s="8">
        <f t="shared" si="72"/>
        <v>2.1379620895022253E-13</v>
      </c>
      <c r="M529" s="26"/>
      <c r="N529" s="17"/>
      <c r="O529" s="9">
        <f t="shared" si="70"/>
        <v>-26.6</v>
      </c>
      <c r="P529" s="8">
        <f>D524/B524*10^(O529/10)</f>
        <v>0.17064540666806488</v>
      </c>
      <c r="Q529" s="26"/>
      <c r="R529" s="17"/>
      <c r="S529" s="20"/>
      <c r="T529" s="17"/>
      <c r="U529" s="23"/>
    </row>
    <row r="530" spans="1:21" x14ac:dyDescent="0.25">
      <c r="A530" s="24">
        <v>4000</v>
      </c>
      <c r="B530" s="24">
        <v>3</v>
      </c>
      <c r="C530" s="17">
        <v>0.5</v>
      </c>
      <c r="D530" s="24">
        <v>470</v>
      </c>
      <c r="E530" s="24">
        <v>6</v>
      </c>
      <c r="F530" s="25">
        <v>62</v>
      </c>
      <c r="G530" s="1">
        <v>2825</v>
      </c>
      <c r="H530" s="2">
        <v>99.4</v>
      </c>
      <c r="I530" s="2">
        <v>-22.7</v>
      </c>
      <c r="J530" s="2">
        <v>-28.9</v>
      </c>
      <c r="K530" s="2">
        <f t="shared" si="68"/>
        <v>-22.7</v>
      </c>
      <c r="L530" s="8">
        <f t="shared" si="72"/>
        <v>6.1659500186147956E-13</v>
      </c>
      <c r="M530" s="26">
        <f>SUM(L530:L535)</f>
        <v>2.8426154888746652E-12</v>
      </c>
      <c r="N530" s="17">
        <f>10*LOG10(M530/E530)</f>
        <v>-123.24433132287862</v>
      </c>
      <c r="O530" s="9">
        <f t="shared" si="70"/>
        <v>-28.9</v>
      </c>
      <c r="P530" s="8">
        <f>D530/B530*10^(O530/10)</f>
        <v>0.20182576309859099</v>
      </c>
      <c r="Q530" s="26">
        <f>SUM(P530:P535)</f>
        <v>1.8337816735891506</v>
      </c>
      <c r="R530" s="17">
        <f>10*LOG10(Q530)</f>
        <v>2.6334762817169013</v>
      </c>
      <c r="S530" s="18">
        <f>F530+N530-Kzt-H</f>
        <v>-61.244331322878622</v>
      </c>
      <c r="T530" s="17">
        <v>0.9</v>
      </c>
      <c r="U530" s="21">
        <f>T530*10^((S530-R530)/10)</f>
        <v>3.6852058251984684E-7</v>
      </c>
    </row>
    <row r="531" spans="1:21" x14ac:dyDescent="0.25">
      <c r="A531" s="24"/>
      <c r="B531" s="24"/>
      <c r="C531" s="17"/>
      <c r="D531" s="24"/>
      <c r="E531" s="24"/>
      <c r="F531" s="25"/>
      <c r="G531" s="1">
        <v>3425</v>
      </c>
      <c r="H531" s="2">
        <v>103.5</v>
      </c>
      <c r="I531" s="2">
        <v>-18.7</v>
      </c>
      <c r="J531" s="2">
        <v>-25.4</v>
      </c>
      <c r="K531" s="2">
        <f t="shared" si="68"/>
        <v>-18.7</v>
      </c>
      <c r="L531" s="8">
        <f t="shared" si="72"/>
        <v>6.025595860743553E-13</v>
      </c>
      <c r="M531" s="26"/>
      <c r="N531" s="17"/>
      <c r="O531" s="9">
        <f t="shared" si="70"/>
        <v>-25.4</v>
      </c>
      <c r="P531" s="8">
        <f>D530/B530*10^(O531/10)</f>
        <v>0.45183160215650131</v>
      </c>
      <c r="Q531" s="26"/>
      <c r="R531" s="17"/>
      <c r="S531" s="19"/>
      <c r="T531" s="17"/>
      <c r="U531" s="22"/>
    </row>
    <row r="532" spans="1:21" x14ac:dyDescent="0.25">
      <c r="A532" s="24"/>
      <c r="B532" s="24"/>
      <c r="C532" s="17"/>
      <c r="D532" s="24"/>
      <c r="E532" s="24"/>
      <c r="F532" s="25"/>
      <c r="G532" s="1">
        <v>4025</v>
      </c>
      <c r="H532" s="2">
        <v>103.6</v>
      </c>
      <c r="I532" s="2">
        <v>-19.3</v>
      </c>
      <c r="J532" s="2">
        <v>-28.4</v>
      </c>
      <c r="K532" s="2">
        <f t="shared" si="68"/>
        <v>-19.3</v>
      </c>
      <c r="L532" s="8">
        <f t="shared" si="72"/>
        <v>5.1286138399136499E-13</v>
      </c>
      <c r="M532" s="26"/>
      <c r="N532" s="17"/>
      <c r="O532" s="9">
        <f t="shared" si="70"/>
        <v>-28.4</v>
      </c>
      <c r="P532" s="8">
        <f>D530/B530*10^(O532/10)</f>
        <v>0.22645223075019524</v>
      </c>
      <c r="Q532" s="26"/>
      <c r="R532" s="17"/>
      <c r="S532" s="19"/>
      <c r="T532" s="17"/>
      <c r="U532" s="22"/>
    </row>
    <row r="533" spans="1:21" x14ac:dyDescent="0.25">
      <c r="A533" s="24"/>
      <c r="B533" s="24"/>
      <c r="C533" s="17"/>
      <c r="D533" s="24"/>
      <c r="E533" s="24"/>
      <c r="F533" s="25"/>
      <c r="G533" s="1">
        <v>4625</v>
      </c>
      <c r="H533" s="2">
        <v>105.6</v>
      </c>
      <c r="I533" s="2">
        <v>-22.1</v>
      </c>
      <c r="J533" s="2">
        <v>-25.1</v>
      </c>
      <c r="K533" s="2">
        <f t="shared" si="68"/>
        <v>-22.1</v>
      </c>
      <c r="L533" s="8">
        <f t="shared" si="72"/>
        <v>1.6982436524617405E-13</v>
      </c>
      <c r="M533" s="26"/>
      <c r="N533" s="17"/>
      <c r="O533" s="9">
        <f t="shared" si="70"/>
        <v>-25.1</v>
      </c>
      <c r="P533" s="8">
        <f>D530/B530*10^(O533/10)</f>
        <v>0.4841462844271287</v>
      </c>
      <c r="Q533" s="26"/>
      <c r="R533" s="17"/>
      <c r="S533" s="19"/>
      <c r="T533" s="17"/>
      <c r="U533" s="22"/>
    </row>
    <row r="534" spans="1:21" x14ac:dyDescent="0.25">
      <c r="A534" s="24"/>
      <c r="B534" s="24"/>
      <c r="C534" s="17"/>
      <c r="D534" s="24"/>
      <c r="E534" s="24"/>
      <c r="F534" s="25"/>
      <c r="G534" s="1">
        <v>5225</v>
      </c>
      <c r="H534" s="2">
        <v>103.5</v>
      </c>
      <c r="I534" s="2">
        <v>-21.8</v>
      </c>
      <c r="J534" s="2">
        <v>-27.1</v>
      </c>
      <c r="K534" s="2">
        <f t="shared" si="68"/>
        <v>-21.8</v>
      </c>
      <c r="L534" s="8">
        <f t="shared" si="72"/>
        <v>2.9512092266663824E-13</v>
      </c>
      <c r="M534" s="26"/>
      <c r="N534" s="17"/>
      <c r="O534" s="9">
        <f t="shared" si="70"/>
        <v>-27.1</v>
      </c>
      <c r="P534" s="8">
        <f>D530/B530*10^(O534/10)</f>
        <v>0.30547565396209353</v>
      </c>
      <c r="Q534" s="26"/>
      <c r="R534" s="17"/>
      <c r="S534" s="19"/>
      <c r="T534" s="17"/>
      <c r="U534" s="22"/>
    </row>
    <row r="535" spans="1:21" x14ac:dyDescent="0.25">
      <c r="A535" s="24"/>
      <c r="B535" s="24"/>
      <c r="C535" s="17"/>
      <c r="D535" s="24"/>
      <c r="E535" s="24"/>
      <c r="F535" s="25"/>
      <c r="G535" s="1">
        <v>5625</v>
      </c>
      <c r="H535" s="2">
        <v>99.5</v>
      </c>
      <c r="I535" s="2">
        <v>-22.4</v>
      </c>
      <c r="J535" s="2">
        <v>-29.8</v>
      </c>
      <c r="K535" s="2">
        <f t="shared" si="68"/>
        <v>-22.4</v>
      </c>
      <c r="L535" s="8">
        <f t="shared" si="72"/>
        <v>6.456542290346527E-13</v>
      </c>
      <c r="M535" s="26"/>
      <c r="N535" s="17"/>
      <c r="O535" s="9">
        <f t="shared" si="70"/>
        <v>-29.8</v>
      </c>
      <c r="P535" s="8">
        <f>D530/B530*10^(O535/10)</f>
        <v>0.16405013919464079</v>
      </c>
      <c r="Q535" s="26"/>
      <c r="R535" s="17"/>
      <c r="S535" s="20"/>
      <c r="T535" s="17"/>
      <c r="U535" s="23"/>
    </row>
    <row r="536" spans="1:21" x14ac:dyDescent="0.25">
      <c r="A536" s="24">
        <v>8000</v>
      </c>
      <c r="B536" s="24">
        <v>3</v>
      </c>
      <c r="C536" s="17">
        <v>0.5</v>
      </c>
      <c r="D536" s="24">
        <v>943</v>
      </c>
      <c r="E536" s="24">
        <v>6</v>
      </c>
      <c r="F536" s="25">
        <v>54</v>
      </c>
      <c r="G536" s="1">
        <v>6025</v>
      </c>
      <c r="H536" s="2">
        <v>95</v>
      </c>
      <c r="I536" s="2">
        <v>-21.5</v>
      </c>
      <c r="J536" s="2">
        <v>-25</v>
      </c>
      <c r="K536" s="2">
        <f t="shared" si="68"/>
        <v>-21.5</v>
      </c>
      <c r="L536" s="8">
        <f t="shared" si="72"/>
        <v>2.2387211385683343E-12</v>
      </c>
      <c r="M536" s="26">
        <f>SUM(L536:L541)</f>
        <v>2.2566896918155982E-11</v>
      </c>
      <c r="N536" s="17">
        <f>10*LOG10(M536/E536)</f>
        <v>-114.24679405261244</v>
      </c>
      <c r="O536" s="9">
        <f t="shared" si="70"/>
        <v>-25</v>
      </c>
      <c r="P536" s="8">
        <f>D536/B536*10^(O536/10)</f>
        <v>0.99400927784625959</v>
      </c>
      <c r="Q536" s="26">
        <f>SUM(P536:P541)</f>
        <v>4.2707782590714247</v>
      </c>
      <c r="R536" s="17">
        <f>10*LOG10(Q536)</f>
        <v>6.3050702322695438</v>
      </c>
      <c r="S536" s="18">
        <f>F536+N536-Kzt-H</f>
        <v>-60.246794052612444</v>
      </c>
      <c r="T536" s="17">
        <v>0.7</v>
      </c>
      <c r="U536" s="21">
        <f>T536*10^((S536-R536)/10)</f>
        <v>1.5485014327584279E-7</v>
      </c>
    </row>
    <row r="537" spans="1:21" x14ac:dyDescent="0.25">
      <c r="A537" s="24"/>
      <c r="B537" s="24"/>
      <c r="C537" s="17"/>
      <c r="D537" s="24"/>
      <c r="E537" s="24"/>
      <c r="F537" s="25"/>
      <c r="G537" s="1">
        <v>7025</v>
      </c>
      <c r="H537" s="2">
        <v>94.8</v>
      </c>
      <c r="I537" s="2">
        <v>-22.4</v>
      </c>
      <c r="J537" s="2">
        <v>-25.7</v>
      </c>
      <c r="K537" s="2">
        <f t="shared" si="68"/>
        <v>-22.4</v>
      </c>
      <c r="L537" s="8">
        <f t="shared" si="72"/>
        <v>1.9054607179632507E-12</v>
      </c>
      <c r="M537" s="26"/>
      <c r="N537" s="17"/>
      <c r="O537" s="9">
        <f t="shared" si="70"/>
        <v>-25.7</v>
      </c>
      <c r="P537" s="8">
        <f>D536/B536*10^(O537/10)</f>
        <v>0.84603910670102689</v>
      </c>
      <c r="Q537" s="26"/>
      <c r="R537" s="17"/>
      <c r="S537" s="19"/>
      <c r="T537" s="17"/>
      <c r="U537" s="22"/>
    </row>
    <row r="538" spans="1:21" x14ac:dyDescent="0.25">
      <c r="A538" s="24"/>
      <c r="B538" s="24"/>
      <c r="C538" s="17"/>
      <c r="D538" s="24"/>
      <c r="E538" s="24"/>
      <c r="F538" s="25"/>
      <c r="G538" s="1">
        <v>8025</v>
      </c>
      <c r="H538" s="2">
        <v>101.9</v>
      </c>
      <c r="I538" s="2">
        <v>-24.2</v>
      </c>
      <c r="J538" s="2">
        <v>-25.7</v>
      </c>
      <c r="K538" s="2">
        <f t="shared" si="68"/>
        <v>-24.2</v>
      </c>
      <c r="L538" s="8">
        <f t="shared" si="72"/>
        <v>2.454708915685021E-13</v>
      </c>
      <c r="M538" s="26"/>
      <c r="N538" s="17"/>
      <c r="O538" s="9">
        <f t="shared" si="70"/>
        <v>-25.7</v>
      </c>
      <c r="P538" s="8">
        <f>D536/B536*10^(O538/10)</f>
        <v>0.84603910670102689</v>
      </c>
      <c r="Q538" s="26"/>
      <c r="R538" s="17"/>
      <c r="S538" s="19"/>
      <c r="T538" s="17"/>
      <c r="U538" s="22"/>
    </row>
    <row r="539" spans="1:21" x14ac:dyDescent="0.25">
      <c r="A539" s="24"/>
      <c r="B539" s="24"/>
      <c r="C539" s="17"/>
      <c r="D539" s="24"/>
      <c r="E539" s="24"/>
      <c r="F539" s="25"/>
      <c r="G539" s="1">
        <v>9025</v>
      </c>
      <c r="H539" s="2">
        <v>93.2</v>
      </c>
      <c r="I539" s="2">
        <v>-25.8</v>
      </c>
      <c r="J539" s="2">
        <v>-27.7</v>
      </c>
      <c r="K539" s="2">
        <f t="shared" si="68"/>
        <v>-25.8</v>
      </c>
      <c r="L539" s="8">
        <f t="shared" si="72"/>
        <v>1.2589254117941629E-12</v>
      </c>
      <c r="M539" s="26"/>
      <c r="N539" s="17"/>
      <c r="O539" s="9">
        <f t="shared" si="70"/>
        <v>-27.7</v>
      </c>
      <c r="P539" s="8">
        <f>D536/B536*10^(O539/10)</f>
        <v>0.53381458809047433</v>
      </c>
      <c r="Q539" s="26"/>
      <c r="R539" s="17"/>
      <c r="S539" s="19"/>
      <c r="T539" s="17"/>
      <c r="U539" s="22"/>
    </row>
    <row r="540" spans="1:21" x14ac:dyDescent="0.25">
      <c r="A540" s="24"/>
      <c r="B540" s="24"/>
      <c r="C540" s="17"/>
      <c r="D540" s="24"/>
      <c r="E540" s="24"/>
      <c r="F540" s="25"/>
      <c r="G540" s="1">
        <v>10025</v>
      </c>
      <c r="H540" s="2">
        <v>88.3</v>
      </c>
      <c r="I540" s="2">
        <v>-22.9</v>
      </c>
      <c r="J540" s="2">
        <v>-25.5</v>
      </c>
      <c r="K540" s="2">
        <f t="shared" si="68"/>
        <v>-22.9</v>
      </c>
      <c r="L540" s="8">
        <f t="shared" si="72"/>
        <v>7.585775750291834E-12</v>
      </c>
      <c r="M540" s="26"/>
      <c r="N540" s="17"/>
      <c r="O540" s="9">
        <f t="shared" si="70"/>
        <v>-25.5</v>
      </c>
      <c r="P540" s="8">
        <f>D536/B536*10^(O540/10)</f>
        <v>0.88591170139412612</v>
      </c>
      <c r="Q540" s="26"/>
      <c r="R540" s="17"/>
      <c r="S540" s="19"/>
      <c r="T540" s="17"/>
      <c r="U540" s="22"/>
    </row>
    <row r="541" spans="1:21" x14ac:dyDescent="0.25">
      <c r="A541" s="24"/>
      <c r="B541" s="24"/>
      <c r="C541" s="17"/>
      <c r="D541" s="24"/>
      <c r="E541" s="24"/>
      <c r="F541" s="25"/>
      <c r="G541" s="1">
        <v>11025</v>
      </c>
      <c r="H541" s="2">
        <v>86</v>
      </c>
      <c r="I541" s="2">
        <v>-24.3</v>
      </c>
      <c r="J541" s="2">
        <v>-32.799999999999997</v>
      </c>
      <c r="K541" s="2">
        <f t="shared" si="68"/>
        <v>-24.3</v>
      </c>
      <c r="L541" s="8">
        <f t="shared" si="72"/>
        <v>9.3325430079698992E-12</v>
      </c>
      <c r="M541" s="26"/>
      <c r="N541" s="17"/>
      <c r="O541" s="9">
        <f t="shared" si="70"/>
        <v>-32.799999999999997</v>
      </c>
      <c r="P541" s="8">
        <f>D536/B536*10^(O541/10)</f>
        <v>0.16496447833851174</v>
      </c>
      <c r="Q541" s="26"/>
      <c r="R541" s="17"/>
      <c r="S541" s="20"/>
      <c r="T541" s="17"/>
      <c r="U541" s="23"/>
    </row>
    <row r="542" spans="1:21" x14ac:dyDescent="0.25">
      <c r="A542" s="24" t="s">
        <v>20</v>
      </c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12">
        <f>U542</f>
        <v>6.1468448583592683E-2</v>
      </c>
      <c r="T542" s="2"/>
      <c r="U542" s="8">
        <f>0.8*SQRT(SUM(U508:U541))</f>
        <v>6.1468448583592683E-2</v>
      </c>
    </row>
    <row r="543" spans="1:21" x14ac:dyDescent="0.25">
      <c r="A543" s="27" t="s">
        <v>47</v>
      </c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9"/>
    </row>
    <row r="544" spans="1:21" x14ac:dyDescent="0.25">
      <c r="A544" s="24">
        <v>250</v>
      </c>
      <c r="B544" s="24">
        <v>3</v>
      </c>
      <c r="C544" s="17">
        <v>0.5</v>
      </c>
      <c r="D544" s="24">
        <v>38</v>
      </c>
      <c r="E544" s="24">
        <v>4</v>
      </c>
      <c r="F544" s="25">
        <v>84</v>
      </c>
      <c r="G544" s="1">
        <v>175</v>
      </c>
      <c r="H544" s="2">
        <v>84.8</v>
      </c>
      <c r="I544" s="2">
        <v>-14.8</v>
      </c>
      <c r="J544" s="2">
        <v>-14.9</v>
      </c>
      <c r="K544" s="2">
        <f>I544</f>
        <v>-14.8</v>
      </c>
      <c r="L544" s="8">
        <f>10^((K544-H544)/10)</f>
        <v>1.096478196143184E-10</v>
      </c>
      <c r="M544" s="26">
        <f>SUM(L544:L547)</f>
        <v>2.4918465163967499E-10</v>
      </c>
      <c r="N544" s="17">
        <f>10*LOG10(M544/E544)</f>
        <v>-102.05538702592338</v>
      </c>
      <c r="O544" s="9">
        <f>J544</f>
        <v>-14.9</v>
      </c>
      <c r="P544" s="8">
        <f>D544/B544*10^(O544/10)</f>
        <v>0.40988529877752894</v>
      </c>
      <c r="Q544" s="26">
        <f>SUM(P544:P547)</f>
        <v>0.78688938351774029</v>
      </c>
      <c r="R544" s="17">
        <f>10*LOG10(Q544)</f>
        <v>-1.0408631402505255</v>
      </c>
      <c r="S544" s="18">
        <f>F544+N544-Kzt-H</f>
        <v>-18.05538702592338</v>
      </c>
      <c r="T544" s="17">
        <v>0.2</v>
      </c>
      <c r="U544" s="21">
        <f>T544*10^((S544-R544)/10)</f>
        <v>3.9772016150223721E-3</v>
      </c>
    </row>
    <row r="545" spans="1:21" x14ac:dyDescent="0.25">
      <c r="A545" s="24"/>
      <c r="B545" s="24"/>
      <c r="C545" s="17"/>
      <c r="D545" s="24"/>
      <c r="E545" s="24"/>
      <c r="F545" s="25"/>
      <c r="G545" s="1">
        <v>225</v>
      </c>
      <c r="H545" s="2">
        <v>90</v>
      </c>
      <c r="I545" s="2">
        <v>-12.8</v>
      </c>
      <c r="J545" s="2">
        <v>-18.7</v>
      </c>
      <c r="K545" s="2">
        <f t="shared" ref="K545:K577" si="73">I545</f>
        <v>-12.8</v>
      </c>
      <c r="L545" s="8">
        <f t="shared" ref="L545:L546" si="74">10^((K545-H545)/10)</f>
        <v>5.2480746024977191E-11</v>
      </c>
      <c r="M545" s="26"/>
      <c r="N545" s="17"/>
      <c r="O545" s="9">
        <f t="shared" ref="O545:O577" si="75">J545</f>
        <v>-18.7</v>
      </c>
      <c r="P545" s="8">
        <f>D544/B544*10^(O545/10)</f>
        <v>0.1708686317949428</v>
      </c>
      <c r="Q545" s="26"/>
      <c r="R545" s="17"/>
      <c r="S545" s="19"/>
      <c r="T545" s="17"/>
      <c r="U545" s="22"/>
    </row>
    <row r="546" spans="1:21" x14ac:dyDescent="0.25">
      <c r="A546" s="24"/>
      <c r="B546" s="24"/>
      <c r="C546" s="17"/>
      <c r="D546" s="24"/>
      <c r="E546" s="24"/>
      <c r="F546" s="25"/>
      <c r="G546" s="1">
        <v>275</v>
      </c>
      <c r="H546" s="2">
        <v>92.2</v>
      </c>
      <c r="I546" s="2">
        <v>-10.199999999999999</v>
      </c>
      <c r="J546" s="2">
        <v>-20.7</v>
      </c>
      <c r="K546" s="2">
        <f t="shared" si="73"/>
        <v>-10.199999999999999</v>
      </c>
      <c r="L546" s="8">
        <f t="shared" si="74"/>
        <v>5.7543993733715601E-11</v>
      </c>
      <c r="M546" s="26"/>
      <c r="N546" s="17"/>
      <c r="O546" s="9">
        <f t="shared" si="75"/>
        <v>-20.7</v>
      </c>
      <c r="P546" s="8">
        <f>D544/B544*10^(O546/10)</f>
        <v>0.10781081817230105</v>
      </c>
      <c r="Q546" s="26"/>
      <c r="R546" s="17"/>
      <c r="S546" s="19"/>
      <c r="T546" s="17"/>
      <c r="U546" s="22"/>
    </row>
    <row r="547" spans="1:21" x14ac:dyDescent="0.25">
      <c r="A547" s="24"/>
      <c r="B547" s="24"/>
      <c r="C547" s="17"/>
      <c r="D547" s="24"/>
      <c r="E547" s="24"/>
      <c r="F547" s="25"/>
      <c r="G547" s="1">
        <v>325</v>
      </c>
      <c r="H547" s="2">
        <v>93.3</v>
      </c>
      <c r="I547" s="2">
        <v>-12</v>
      </c>
      <c r="J547" s="2">
        <v>-21.1</v>
      </c>
      <c r="K547" s="2">
        <f t="shared" si="73"/>
        <v>-12</v>
      </c>
      <c r="L547" s="8">
        <f>10^((K547-H547)/10)</f>
        <v>2.9512092266663787E-11</v>
      </c>
      <c r="M547" s="26"/>
      <c r="N547" s="17"/>
      <c r="O547" s="9">
        <f t="shared" si="75"/>
        <v>-21.1</v>
      </c>
      <c r="P547" s="8">
        <f>D544/B544*10^(O547/10)</f>
        <v>9.8324634772967504E-2</v>
      </c>
      <c r="Q547" s="26"/>
      <c r="R547" s="17"/>
      <c r="S547" s="20"/>
      <c r="T547" s="17"/>
      <c r="U547" s="23"/>
    </row>
    <row r="548" spans="1:21" x14ac:dyDescent="0.25">
      <c r="A548" s="24">
        <v>500</v>
      </c>
      <c r="B548" s="24">
        <v>3</v>
      </c>
      <c r="C548" s="17">
        <v>0.5</v>
      </c>
      <c r="D548" s="24">
        <v>59</v>
      </c>
      <c r="E548" s="24">
        <v>6</v>
      </c>
      <c r="F548" s="25">
        <v>84</v>
      </c>
      <c r="G548" s="1">
        <v>375</v>
      </c>
      <c r="H548" s="2">
        <v>91.9</v>
      </c>
      <c r="I548" s="2">
        <v>-14</v>
      </c>
      <c r="J548" s="2">
        <v>-19.7</v>
      </c>
      <c r="K548" s="2">
        <f t="shared" si="73"/>
        <v>-14</v>
      </c>
      <c r="L548" s="8">
        <f t="shared" ref="L548:L549" si="76">10^((K548-H548)/10)</f>
        <v>2.5703957827688591E-11</v>
      </c>
      <c r="M548" s="26">
        <f>SUM(L548:L553)</f>
        <v>1.6386944818526009E-10</v>
      </c>
      <c r="N548" s="17">
        <f>10*LOG10(M548/E548)</f>
        <v>-105.63653259115553</v>
      </c>
      <c r="O548" s="9">
        <f t="shared" si="75"/>
        <v>-19.7</v>
      </c>
      <c r="P548" s="8">
        <f>D548/B548*10^(O548/10)</f>
        <v>0.21073213003006244</v>
      </c>
      <c r="Q548" s="26">
        <f>SUM(P548:P553)</f>
        <v>1.0569646825556906</v>
      </c>
      <c r="R548" s="17">
        <f>10*LOG10(Q548)</f>
        <v>0.24060476023196714</v>
      </c>
      <c r="S548" s="18">
        <f>F548+N548-Kzt-H</f>
        <v>-21.636532591155529</v>
      </c>
      <c r="T548" s="17">
        <v>0.5</v>
      </c>
      <c r="U548" s="21">
        <f>T548*10^((S548-R548)/10)</f>
        <v>3.2453106067858069E-3</v>
      </c>
    </row>
    <row r="549" spans="1:21" x14ac:dyDescent="0.25">
      <c r="A549" s="24"/>
      <c r="B549" s="24"/>
      <c r="C549" s="17"/>
      <c r="D549" s="24"/>
      <c r="E549" s="24"/>
      <c r="F549" s="25"/>
      <c r="G549" s="1">
        <v>425</v>
      </c>
      <c r="H549" s="2">
        <v>88.1</v>
      </c>
      <c r="I549" s="2">
        <v>-17</v>
      </c>
      <c r="J549" s="2">
        <v>-21.7</v>
      </c>
      <c r="K549" s="2">
        <f t="shared" si="73"/>
        <v>-17</v>
      </c>
      <c r="L549" s="8">
        <f t="shared" si="76"/>
        <v>3.0902954325135829E-11</v>
      </c>
      <c r="M549" s="26"/>
      <c r="N549" s="17"/>
      <c r="O549" s="9">
        <f t="shared" si="75"/>
        <v>-21.7</v>
      </c>
      <c r="P549" s="8">
        <f>D548/B548*10^(O549/10)</f>
        <v>0.13296298516042301</v>
      </c>
      <c r="Q549" s="26"/>
      <c r="R549" s="17"/>
      <c r="S549" s="19"/>
      <c r="T549" s="17"/>
      <c r="U549" s="22"/>
    </row>
    <row r="550" spans="1:21" x14ac:dyDescent="0.25">
      <c r="A550" s="24"/>
      <c r="B550" s="24"/>
      <c r="C550" s="17"/>
      <c r="D550" s="24"/>
      <c r="E550" s="24"/>
      <c r="F550" s="25"/>
      <c r="G550" s="1">
        <v>475</v>
      </c>
      <c r="H550" s="2">
        <v>90</v>
      </c>
      <c r="I550" s="2">
        <v>-11.3</v>
      </c>
      <c r="J550" s="2">
        <v>-19.2</v>
      </c>
      <c r="K550" s="2">
        <f t="shared" si="73"/>
        <v>-11.3</v>
      </c>
      <c r="L550" s="8">
        <f>10^((K550-H550)/10)</f>
        <v>7.413102413009181E-11</v>
      </c>
      <c r="M550" s="26"/>
      <c r="N550" s="17"/>
      <c r="O550" s="9">
        <f t="shared" si="75"/>
        <v>-19.2</v>
      </c>
      <c r="P550" s="8">
        <f>D548/B548*10^(O550/10)</f>
        <v>0.23644533880809113</v>
      </c>
      <c r="Q550" s="26"/>
      <c r="R550" s="17"/>
      <c r="S550" s="19"/>
      <c r="T550" s="17"/>
      <c r="U550" s="22"/>
    </row>
    <row r="551" spans="1:21" x14ac:dyDescent="0.25">
      <c r="A551" s="24"/>
      <c r="B551" s="24"/>
      <c r="C551" s="17"/>
      <c r="D551" s="24"/>
      <c r="E551" s="24"/>
      <c r="F551" s="25"/>
      <c r="G551" s="1">
        <v>575</v>
      </c>
      <c r="H551" s="2">
        <v>97</v>
      </c>
      <c r="I551" s="2">
        <v>-16.3</v>
      </c>
      <c r="J551" s="2">
        <v>-19.600000000000001</v>
      </c>
      <c r="K551" s="2">
        <f t="shared" si="73"/>
        <v>-16.3</v>
      </c>
      <c r="L551" s="8">
        <f t="shared" ref="L551:L577" si="77">10^((K551-H551)/10)</f>
        <v>4.6773514128719737E-12</v>
      </c>
      <c r="M551" s="26"/>
      <c r="N551" s="17"/>
      <c r="O551" s="9">
        <f t="shared" si="75"/>
        <v>-19.600000000000001</v>
      </c>
      <c r="P551" s="8">
        <f>D548/B548*10^(O551/10)</f>
        <v>0.21564071190815956</v>
      </c>
      <c r="Q551" s="26"/>
      <c r="R551" s="17"/>
      <c r="S551" s="19"/>
      <c r="T551" s="17"/>
      <c r="U551" s="22"/>
    </row>
    <row r="552" spans="1:21" x14ac:dyDescent="0.25">
      <c r="A552" s="24"/>
      <c r="B552" s="24"/>
      <c r="C552" s="17"/>
      <c r="D552" s="24"/>
      <c r="E552" s="24"/>
      <c r="F552" s="25"/>
      <c r="G552" s="1">
        <v>625</v>
      </c>
      <c r="H552" s="2">
        <v>92</v>
      </c>
      <c r="I552" s="2">
        <v>-14.3</v>
      </c>
      <c r="J552" s="2">
        <v>-23.4</v>
      </c>
      <c r="K552" s="2">
        <f t="shared" si="73"/>
        <v>-14.3</v>
      </c>
      <c r="L552" s="8">
        <f t="shared" si="77"/>
        <v>2.3442288153199185E-11</v>
      </c>
      <c r="M552" s="26"/>
      <c r="N552" s="17"/>
      <c r="O552" s="9">
        <f t="shared" si="75"/>
        <v>-23.4</v>
      </c>
      <c r="P552" s="8">
        <f>D548/B548*10^(O552/10)</f>
        <v>8.9894010624258766E-2</v>
      </c>
      <c r="Q552" s="26"/>
      <c r="R552" s="17"/>
      <c r="S552" s="19"/>
      <c r="T552" s="17"/>
      <c r="U552" s="22"/>
    </row>
    <row r="553" spans="1:21" x14ac:dyDescent="0.25">
      <c r="A553" s="24"/>
      <c r="B553" s="24"/>
      <c r="C553" s="17"/>
      <c r="D553" s="24"/>
      <c r="E553" s="24"/>
      <c r="F553" s="25"/>
      <c r="G553" s="1">
        <v>675</v>
      </c>
      <c r="H553" s="2">
        <v>94.5</v>
      </c>
      <c r="I553" s="2">
        <v>-18.5</v>
      </c>
      <c r="J553" s="2">
        <v>-20.6</v>
      </c>
      <c r="K553" s="2">
        <f t="shared" si="73"/>
        <v>-18.5</v>
      </c>
      <c r="L553" s="8">
        <f t="shared" si="77"/>
        <v>5.0118723362726945E-12</v>
      </c>
      <c r="M553" s="26"/>
      <c r="N553" s="17"/>
      <c r="O553" s="9">
        <f t="shared" si="75"/>
        <v>-20.6</v>
      </c>
      <c r="P553" s="8">
        <f>D548/B548*10^(O553/10)</f>
        <v>0.17128950602469575</v>
      </c>
      <c r="Q553" s="26"/>
      <c r="R553" s="17"/>
      <c r="S553" s="20"/>
      <c r="T553" s="17"/>
      <c r="U553" s="23"/>
    </row>
    <row r="554" spans="1:21" x14ac:dyDescent="0.25">
      <c r="A554" s="24">
        <v>1000</v>
      </c>
      <c r="B554" s="24">
        <v>3</v>
      </c>
      <c r="C554" s="17">
        <v>0.5</v>
      </c>
      <c r="D554" s="24">
        <v>117</v>
      </c>
      <c r="E554" s="24">
        <v>6</v>
      </c>
      <c r="F554" s="25">
        <v>76</v>
      </c>
      <c r="G554" s="1">
        <v>875</v>
      </c>
      <c r="H554" s="2">
        <v>91.1</v>
      </c>
      <c r="I554" s="2">
        <v>-16.100000000000001</v>
      </c>
      <c r="J554" s="2">
        <v>-24.6</v>
      </c>
      <c r="K554" s="2">
        <f t="shared" si="73"/>
        <v>-16.100000000000001</v>
      </c>
      <c r="L554" s="8">
        <f t="shared" si="77"/>
        <v>1.905460717963246E-11</v>
      </c>
      <c r="M554" s="26">
        <f>SUM(L554:L559)</f>
        <v>4.2650435612552713E-11</v>
      </c>
      <c r="N554" s="17">
        <f>10*LOG10(M554/E554)</f>
        <v>-111.48227779167047</v>
      </c>
      <c r="O554" s="9">
        <f t="shared" si="75"/>
        <v>-24.6</v>
      </c>
      <c r="P554" s="8">
        <f>D554/B554*10^(O554/10)</f>
        <v>0.1352273716764873</v>
      </c>
      <c r="Q554" s="26">
        <f>SUM(P554:P559)</f>
        <v>2.3204188614925809</v>
      </c>
      <c r="R554" s="17">
        <f>10*LOG10(Q554)</f>
        <v>3.6556638696658865</v>
      </c>
      <c r="S554" s="18">
        <f>F554+N554-Kzt-H</f>
        <v>-35.482277791670469</v>
      </c>
      <c r="T554" s="17">
        <v>0.8</v>
      </c>
      <c r="U554" s="21">
        <f>T554*10^((S554-R554)/10)</f>
        <v>9.756539807740095E-5</v>
      </c>
    </row>
    <row r="555" spans="1:21" x14ac:dyDescent="0.25">
      <c r="A555" s="24"/>
      <c r="B555" s="24"/>
      <c r="C555" s="17"/>
      <c r="D555" s="24"/>
      <c r="E555" s="24"/>
      <c r="F555" s="25"/>
      <c r="G555" s="1">
        <v>975</v>
      </c>
      <c r="H555" s="2">
        <v>96.5</v>
      </c>
      <c r="I555" s="2">
        <v>-15.5</v>
      </c>
      <c r="J555" s="2">
        <v>-17.100000000000001</v>
      </c>
      <c r="K555" s="2">
        <f t="shared" si="73"/>
        <v>-15.5</v>
      </c>
      <c r="L555" s="8">
        <f t="shared" si="77"/>
        <v>6.3095734448019345E-12</v>
      </c>
      <c r="M555" s="26"/>
      <c r="N555" s="17"/>
      <c r="O555" s="9">
        <f t="shared" si="75"/>
        <v>-17.100000000000001</v>
      </c>
      <c r="P555" s="8">
        <f>D554/B554*10^(O555/10)</f>
        <v>0.76043939390563697</v>
      </c>
      <c r="Q555" s="26"/>
      <c r="R555" s="17"/>
      <c r="S555" s="19"/>
      <c r="T555" s="17"/>
      <c r="U555" s="22"/>
    </row>
    <row r="556" spans="1:21" x14ac:dyDescent="0.25">
      <c r="A556" s="24"/>
      <c r="B556" s="24"/>
      <c r="C556" s="17"/>
      <c r="D556" s="24"/>
      <c r="E556" s="24"/>
      <c r="F556" s="25"/>
      <c r="G556" s="1">
        <v>1075</v>
      </c>
      <c r="H556" s="2">
        <v>94.6</v>
      </c>
      <c r="I556" s="2">
        <v>-20</v>
      </c>
      <c r="J556" s="2">
        <v>-21.2</v>
      </c>
      <c r="K556" s="2">
        <f t="shared" si="73"/>
        <v>-20</v>
      </c>
      <c r="L556" s="8">
        <f t="shared" si="77"/>
        <v>3.4673685045253144E-12</v>
      </c>
      <c r="M556" s="26"/>
      <c r="N556" s="17"/>
      <c r="O556" s="9">
        <f t="shared" si="75"/>
        <v>-21.2</v>
      </c>
      <c r="P556" s="8">
        <f>D554/B554*10^(O556/10)</f>
        <v>0.29584525426138136</v>
      </c>
      <c r="Q556" s="26"/>
      <c r="R556" s="17"/>
      <c r="S556" s="19"/>
      <c r="T556" s="17"/>
      <c r="U556" s="22"/>
    </row>
    <row r="557" spans="1:21" x14ac:dyDescent="0.25">
      <c r="A557" s="24"/>
      <c r="B557" s="24"/>
      <c r="C557" s="17"/>
      <c r="D557" s="24"/>
      <c r="E557" s="24"/>
      <c r="F557" s="25"/>
      <c r="G557" s="1">
        <v>1175</v>
      </c>
      <c r="H557" s="2">
        <v>97.8</v>
      </c>
      <c r="I557" s="2">
        <v>-12.8</v>
      </c>
      <c r="J557" s="2">
        <v>-22</v>
      </c>
      <c r="K557" s="2">
        <f t="shared" si="73"/>
        <v>-12.8</v>
      </c>
      <c r="L557" s="8">
        <f t="shared" si="77"/>
        <v>8.7096358995607975E-12</v>
      </c>
      <c r="M557" s="26"/>
      <c r="N557" s="17"/>
      <c r="O557" s="9">
        <f t="shared" si="75"/>
        <v>-22</v>
      </c>
      <c r="P557" s="8">
        <f>D554/B554*10^(O557/10)</f>
        <v>0.24607336434727509</v>
      </c>
      <c r="Q557" s="26"/>
      <c r="R557" s="17"/>
      <c r="S557" s="19"/>
      <c r="T557" s="17"/>
      <c r="U557" s="22"/>
    </row>
    <row r="558" spans="1:21" x14ac:dyDescent="0.25">
      <c r="A558" s="24"/>
      <c r="B558" s="24"/>
      <c r="C558" s="17"/>
      <c r="D558" s="24"/>
      <c r="E558" s="24"/>
      <c r="F558" s="25"/>
      <c r="G558" s="1">
        <v>1275</v>
      </c>
      <c r="H558" s="2">
        <v>100.1</v>
      </c>
      <c r="I558" s="2">
        <v>-15.4</v>
      </c>
      <c r="J558" s="2">
        <v>-18.5</v>
      </c>
      <c r="K558" s="2">
        <f t="shared" si="73"/>
        <v>-15.4</v>
      </c>
      <c r="L558" s="8">
        <f t="shared" si="77"/>
        <v>2.8183829312644444E-12</v>
      </c>
      <c r="M558" s="26"/>
      <c r="N558" s="17"/>
      <c r="O558" s="9">
        <f t="shared" si="75"/>
        <v>-18.5</v>
      </c>
      <c r="P558" s="8">
        <f>D554/B554*10^(O558/10)</f>
        <v>0.55088964240287364</v>
      </c>
      <c r="Q558" s="26"/>
      <c r="R558" s="17"/>
      <c r="S558" s="19"/>
      <c r="T558" s="17"/>
      <c r="U558" s="22"/>
    </row>
    <row r="559" spans="1:21" x14ac:dyDescent="0.25">
      <c r="A559" s="24"/>
      <c r="B559" s="24"/>
      <c r="C559" s="17"/>
      <c r="D559" s="24"/>
      <c r="E559" s="24"/>
      <c r="F559" s="25"/>
      <c r="G559" s="1">
        <v>1375</v>
      </c>
      <c r="H559" s="2">
        <v>103</v>
      </c>
      <c r="I559" s="2">
        <v>-13.4</v>
      </c>
      <c r="J559" s="2">
        <v>-20.7</v>
      </c>
      <c r="K559" s="2">
        <f t="shared" si="73"/>
        <v>-13.4</v>
      </c>
      <c r="L559" s="8">
        <f t="shared" si="77"/>
        <v>2.2908676527677675E-12</v>
      </c>
      <c r="M559" s="26"/>
      <c r="N559" s="17"/>
      <c r="O559" s="9">
        <f t="shared" si="75"/>
        <v>-20.7</v>
      </c>
      <c r="P559" s="8">
        <f>D554/B554*10^(O559/10)</f>
        <v>0.33194383489892693</v>
      </c>
      <c r="Q559" s="26"/>
      <c r="R559" s="17"/>
      <c r="S559" s="20"/>
      <c r="T559" s="17"/>
      <c r="U559" s="23"/>
    </row>
    <row r="560" spans="1:21" x14ac:dyDescent="0.25">
      <c r="A560" s="24">
        <v>2000</v>
      </c>
      <c r="B560" s="24">
        <v>3</v>
      </c>
      <c r="C560" s="17">
        <v>0.5</v>
      </c>
      <c r="D560" s="24">
        <v>234</v>
      </c>
      <c r="E560" s="24">
        <v>6</v>
      </c>
      <c r="F560" s="25">
        <v>68</v>
      </c>
      <c r="G560" s="1">
        <v>1425</v>
      </c>
      <c r="H560" s="2">
        <v>102.8</v>
      </c>
      <c r="I560" s="2">
        <v>-15.1</v>
      </c>
      <c r="J560" s="2">
        <v>-20.3</v>
      </c>
      <c r="K560" s="2">
        <f t="shared" si="73"/>
        <v>-15.1</v>
      </c>
      <c r="L560" s="8">
        <f t="shared" si="77"/>
        <v>1.6218100973589284E-12</v>
      </c>
      <c r="M560" s="26">
        <f>SUM(L560:L565)</f>
        <v>2.0242604073321109E-11</v>
      </c>
      <c r="N560" s="17">
        <f>10*LOG10(M560/E560)</f>
        <v>-114.71884869591021</v>
      </c>
      <c r="O560" s="9">
        <f t="shared" si="75"/>
        <v>-20.3</v>
      </c>
      <c r="P560" s="8">
        <f>D560/B560*10^(O560/10)</f>
        <v>0.72793835462165224</v>
      </c>
      <c r="Q560" s="26">
        <f>SUM(P560:P565)</f>
        <v>4.473119237891785</v>
      </c>
      <c r="R560" s="17">
        <f>10*LOG10(Q560)</f>
        <v>6.5061047511614767</v>
      </c>
      <c r="S560" s="18">
        <f>F560+N560-Kzt-H</f>
        <v>-46.718848695910211</v>
      </c>
      <c r="T560" s="17">
        <v>1</v>
      </c>
      <c r="U560" s="21">
        <f>T560*10^((S560-R560)/10)</f>
        <v>4.7588789210271808E-6</v>
      </c>
    </row>
    <row r="561" spans="1:21" x14ac:dyDescent="0.25">
      <c r="A561" s="24"/>
      <c r="B561" s="24"/>
      <c r="C561" s="17"/>
      <c r="D561" s="24"/>
      <c r="E561" s="24"/>
      <c r="F561" s="25"/>
      <c r="G561" s="1">
        <v>1625</v>
      </c>
      <c r="H561" s="2">
        <v>104.1</v>
      </c>
      <c r="I561" s="2">
        <v>-17.100000000000001</v>
      </c>
      <c r="J561" s="2">
        <v>-18</v>
      </c>
      <c r="K561" s="2">
        <f t="shared" si="73"/>
        <v>-17.100000000000001</v>
      </c>
      <c r="L561" s="8">
        <f t="shared" si="77"/>
        <v>7.5857757502918275E-13</v>
      </c>
      <c r="M561" s="26"/>
      <c r="N561" s="17"/>
      <c r="O561" s="9">
        <f t="shared" si="75"/>
        <v>-18</v>
      </c>
      <c r="P561" s="8">
        <f>D560/B560*10^(O561/10)</f>
        <v>1.2362166901196676</v>
      </c>
      <c r="Q561" s="26"/>
      <c r="R561" s="17"/>
      <c r="S561" s="19"/>
      <c r="T561" s="17"/>
      <c r="U561" s="22"/>
    </row>
    <row r="562" spans="1:21" x14ac:dyDescent="0.25">
      <c r="A562" s="24"/>
      <c r="B562" s="24"/>
      <c r="C562" s="17"/>
      <c r="D562" s="24"/>
      <c r="E562" s="24"/>
      <c r="F562" s="25"/>
      <c r="G562" s="1">
        <v>1825</v>
      </c>
      <c r="H562" s="2">
        <v>107.6</v>
      </c>
      <c r="I562" s="2">
        <v>-15.7</v>
      </c>
      <c r="J562" s="2">
        <v>-20.5</v>
      </c>
      <c r="K562" s="2">
        <f t="shared" si="73"/>
        <v>-15.7</v>
      </c>
      <c r="L562" s="8">
        <f t="shared" si="77"/>
        <v>4.6773514128719676E-13</v>
      </c>
      <c r="M562" s="26"/>
      <c r="N562" s="17"/>
      <c r="O562" s="9">
        <f t="shared" si="75"/>
        <v>-20.5</v>
      </c>
      <c r="P562" s="8">
        <f>D560/B560*10^(O562/10)</f>
        <v>0.69517573174432157</v>
      </c>
      <c r="Q562" s="26"/>
      <c r="R562" s="17"/>
      <c r="S562" s="19"/>
      <c r="T562" s="17"/>
      <c r="U562" s="22"/>
    </row>
    <row r="563" spans="1:21" x14ac:dyDescent="0.25">
      <c r="A563" s="24"/>
      <c r="B563" s="24"/>
      <c r="C563" s="17"/>
      <c r="D563" s="24"/>
      <c r="E563" s="24"/>
      <c r="F563" s="25"/>
      <c r="G563" s="1">
        <v>2125</v>
      </c>
      <c r="H563" s="2">
        <v>104.2</v>
      </c>
      <c r="I563" s="2">
        <v>-17.100000000000001</v>
      </c>
      <c r="J563" s="2">
        <v>-21.8</v>
      </c>
      <c r="K563" s="2">
        <f t="shared" si="73"/>
        <v>-17.100000000000001</v>
      </c>
      <c r="L563" s="8">
        <f t="shared" si="77"/>
        <v>7.4131024130091393E-13</v>
      </c>
      <c r="M563" s="26"/>
      <c r="N563" s="17"/>
      <c r="O563" s="9">
        <f t="shared" si="75"/>
        <v>-21.8</v>
      </c>
      <c r="P563" s="8">
        <f>D560/B560*10^(O563/10)</f>
        <v>0.5153408894459246</v>
      </c>
      <c r="Q563" s="26"/>
      <c r="R563" s="17"/>
      <c r="S563" s="19"/>
      <c r="T563" s="17"/>
      <c r="U563" s="22"/>
    </row>
    <row r="564" spans="1:21" x14ac:dyDescent="0.25">
      <c r="A564" s="24"/>
      <c r="B564" s="24"/>
      <c r="C564" s="17"/>
      <c r="D564" s="24"/>
      <c r="E564" s="24"/>
      <c r="F564" s="25"/>
      <c r="G564" s="1">
        <v>2425</v>
      </c>
      <c r="H564" s="2">
        <v>93.7</v>
      </c>
      <c r="I564" s="2">
        <v>-14.6</v>
      </c>
      <c r="J564" s="2">
        <v>-23.1</v>
      </c>
      <c r="K564" s="2">
        <f t="shared" si="73"/>
        <v>-14.6</v>
      </c>
      <c r="L564" s="8">
        <f t="shared" si="77"/>
        <v>1.4791083881682027E-11</v>
      </c>
      <c r="M564" s="26"/>
      <c r="N564" s="17"/>
      <c r="O564" s="9">
        <f t="shared" si="75"/>
        <v>-23.1</v>
      </c>
      <c r="P564" s="8">
        <f>D560/B560*10^(O564/10)</f>
        <v>0.3820274791073876</v>
      </c>
      <c r="Q564" s="26"/>
      <c r="R564" s="17"/>
      <c r="S564" s="19"/>
      <c r="T564" s="17"/>
      <c r="U564" s="22"/>
    </row>
    <row r="565" spans="1:21" x14ac:dyDescent="0.25">
      <c r="A565" s="24"/>
      <c r="B565" s="24"/>
      <c r="C565" s="17"/>
      <c r="D565" s="24"/>
      <c r="E565" s="24"/>
      <c r="F565" s="25"/>
      <c r="G565" s="1">
        <v>2775</v>
      </c>
      <c r="H565" s="2">
        <v>100.2</v>
      </c>
      <c r="I565" s="2">
        <v>-17.100000000000001</v>
      </c>
      <c r="J565" s="2">
        <v>-19.3</v>
      </c>
      <c r="K565" s="2">
        <f t="shared" si="73"/>
        <v>-17.100000000000001</v>
      </c>
      <c r="L565" s="8">
        <f t="shared" si="77"/>
        <v>1.8620871366628578E-12</v>
      </c>
      <c r="M565" s="26"/>
      <c r="N565" s="17"/>
      <c r="O565" s="9">
        <f t="shared" si="75"/>
        <v>-19.3</v>
      </c>
      <c r="P565" s="8">
        <f>D560/B560*10^(O565/10)</f>
        <v>0.9164200928528321</v>
      </c>
      <c r="Q565" s="26"/>
      <c r="R565" s="17"/>
      <c r="S565" s="20"/>
      <c r="T565" s="17"/>
      <c r="U565" s="23"/>
    </row>
    <row r="566" spans="1:21" x14ac:dyDescent="0.25">
      <c r="A566" s="24">
        <v>4000</v>
      </c>
      <c r="B566" s="24">
        <v>3</v>
      </c>
      <c r="C566" s="17">
        <v>0.5</v>
      </c>
      <c r="D566" s="24">
        <v>470</v>
      </c>
      <c r="E566" s="24">
        <v>6</v>
      </c>
      <c r="F566" s="25">
        <v>62</v>
      </c>
      <c r="G566" s="1">
        <v>2825</v>
      </c>
      <c r="H566" s="2">
        <v>99.4</v>
      </c>
      <c r="I566" s="2">
        <v>-16.7</v>
      </c>
      <c r="J566" s="2">
        <v>-19.3</v>
      </c>
      <c r="K566" s="2">
        <f t="shared" si="73"/>
        <v>-16.7</v>
      </c>
      <c r="L566" s="8">
        <f t="shared" si="77"/>
        <v>2.4547089156850148E-12</v>
      </c>
      <c r="M566" s="26">
        <f>SUM(L566:L571)</f>
        <v>8.1440290882604103E-12</v>
      </c>
      <c r="N566" s="17">
        <f>10*LOG10(M566/E566)</f>
        <v>-118.67311934206231</v>
      </c>
      <c r="O566" s="9">
        <f t="shared" si="75"/>
        <v>-19.3</v>
      </c>
      <c r="P566" s="8">
        <f>D566/B566*10^(O566/10)</f>
        <v>1.8406728360719276</v>
      </c>
      <c r="Q566" s="26">
        <f>SUM(P566:P571)</f>
        <v>6.1459394060044117</v>
      </c>
      <c r="R566" s="17">
        <f>10*LOG10(Q566)</f>
        <v>7.885882741488583</v>
      </c>
      <c r="S566" s="18">
        <f>F566+N566-Kzt-H</f>
        <v>-56.673119342062307</v>
      </c>
      <c r="T566" s="17">
        <v>0.9</v>
      </c>
      <c r="U566" s="21">
        <f>T566*10^((S566-R566)/10)</f>
        <v>3.150230276085794E-7</v>
      </c>
    </row>
    <row r="567" spans="1:21" x14ac:dyDescent="0.25">
      <c r="A567" s="24"/>
      <c r="B567" s="24"/>
      <c r="C567" s="17"/>
      <c r="D567" s="24"/>
      <c r="E567" s="24"/>
      <c r="F567" s="25"/>
      <c r="G567" s="1">
        <v>3425</v>
      </c>
      <c r="H567" s="2">
        <v>103.5</v>
      </c>
      <c r="I567" s="2">
        <v>-15.1</v>
      </c>
      <c r="J567" s="2">
        <v>-23.6</v>
      </c>
      <c r="K567" s="2">
        <f t="shared" si="73"/>
        <v>-15.1</v>
      </c>
      <c r="L567" s="8">
        <f t="shared" si="77"/>
        <v>1.3803842646028842E-12</v>
      </c>
      <c r="M567" s="26"/>
      <c r="N567" s="17"/>
      <c r="O567" s="9">
        <f t="shared" si="75"/>
        <v>-23.6</v>
      </c>
      <c r="P567" s="8">
        <f>D566/B566*10^(O567/10)</f>
        <v>0.68387480384292565</v>
      </c>
      <c r="Q567" s="26"/>
      <c r="R567" s="17"/>
      <c r="S567" s="19"/>
      <c r="T567" s="17"/>
      <c r="U567" s="22"/>
    </row>
    <row r="568" spans="1:21" x14ac:dyDescent="0.25">
      <c r="A568" s="24"/>
      <c r="B568" s="24"/>
      <c r="C568" s="17"/>
      <c r="D568" s="24"/>
      <c r="E568" s="24"/>
      <c r="F568" s="25"/>
      <c r="G568" s="1">
        <v>4025</v>
      </c>
      <c r="H568" s="2">
        <v>103.6</v>
      </c>
      <c r="I568" s="2">
        <v>-17.3</v>
      </c>
      <c r="J568" s="2">
        <v>-22.9</v>
      </c>
      <c r="K568" s="2">
        <f t="shared" si="73"/>
        <v>-17.3</v>
      </c>
      <c r="L568" s="8">
        <f t="shared" si="77"/>
        <v>8.1283051616409777E-13</v>
      </c>
      <c r="M568" s="26"/>
      <c r="N568" s="17"/>
      <c r="O568" s="9">
        <f t="shared" si="75"/>
        <v>-22.9</v>
      </c>
      <c r="P568" s="8">
        <f>D566/B566*10^(O568/10)</f>
        <v>0.80348283491980466</v>
      </c>
      <c r="Q568" s="26"/>
      <c r="R568" s="17"/>
      <c r="S568" s="19"/>
      <c r="T568" s="17"/>
      <c r="U568" s="22"/>
    </row>
    <row r="569" spans="1:21" x14ac:dyDescent="0.25">
      <c r="A569" s="24"/>
      <c r="B569" s="24"/>
      <c r="C569" s="17"/>
      <c r="D569" s="24"/>
      <c r="E569" s="24"/>
      <c r="F569" s="25"/>
      <c r="G569" s="1">
        <v>4625</v>
      </c>
      <c r="H569" s="2">
        <v>105.6</v>
      </c>
      <c r="I569" s="2">
        <v>-18.399999999999999</v>
      </c>
      <c r="J569" s="2">
        <v>-21.3</v>
      </c>
      <c r="K569" s="2">
        <f t="shared" si="73"/>
        <v>-18.399999999999999</v>
      </c>
      <c r="L569" s="8">
        <f t="shared" si="77"/>
        <v>3.9810717055349631E-13</v>
      </c>
      <c r="M569" s="26"/>
      <c r="N569" s="17"/>
      <c r="O569" s="9">
        <f t="shared" si="75"/>
        <v>-21.3</v>
      </c>
      <c r="P569" s="8">
        <f>D566/B566*10^(O569/10)</f>
        <v>1.1613860447047706</v>
      </c>
      <c r="Q569" s="26"/>
      <c r="R569" s="17"/>
      <c r="S569" s="19"/>
      <c r="T569" s="17"/>
      <c r="U569" s="22"/>
    </row>
    <row r="570" spans="1:21" x14ac:dyDescent="0.25">
      <c r="A570" s="24"/>
      <c r="B570" s="24"/>
      <c r="C570" s="17"/>
      <c r="D570" s="24"/>
      <c r="E570" s="24"/>
      <c r="F570" s="25"/>
      <c r="G570" s="1">
        <v>5225</v>
      </c>
      <c r="H570" s="2">
        <v>103.5</v>
      </c>
      <c r="I570" s="2">
        <v>-15.9</v>
      </c>
      <c r="J570" s="2">
        <v>-21</v>
      </c>
      <c r="K570" s="2">
        <f t="shared" si="73"/>
        <v>-15.9</v>
      </c>
      <c r="L570" s="8">
        <f t="shared" si="77"/>
        <v>1.1481536214968749E-12</v>
      </c>
      <c r="M570" s="26"/>
      <c r="N570" s="17"/>
      <c r="O570" s="9">
        <f t="shared" si="75"/>
        <v>-21</v>
      </c>
      <c r="P570" s="8">
        <f>D566/B566*10^(O570/10)</f>
        <v>1.2444475677347071</v>
      </c>
      <c r="Q570" s="26"/>
      <c r="R570" s="17"/>
      <c r="S570" s="19"/>
      <c r="T570" s="17"/>
      <c r="U570" s="22"/>
    </row>
    <row r="571" spans="1:21" x14ac:dyDescent="0.25">
      <c r="A571" s="24"/>
      <c r="B571" s="24"/>
      <c r="C571" s="17"/>
      <c r="D571" s="24"/>
      <c r="E571" s="24"/>
      <c r="F571" s="25"/>
      <c r="G571" s="1">
        <v>5625</v>
      </c>
      <c r="H571" s="2">
        <v>99.5</v>
      </c>
      <c r="I571" s="2">
        <v>-17.600000000000001</v>
      </c>
      <c r="J571" s="2">
        <v>-25.8</v>
      </c>
      <c r="K571" s="2">
        <f t="shared" si="73"/>
        <v>-17.600000000000001</v>
      </c>
      <c r="L571" s="8">
        <f t="shared" si="77"/>
        <v>1.9498445997580419E-12</v>
      </c>
      <c r="M571" s="26"/>
      <c r="N571" s="17"/>
      <c r="O571" s="9">
        <f t="shared" si="75"/>
        <v>-25.8</v>
      </c>
      <c r="P571" s="8">
        <f>D566/B566*10^(O571/10)</f>
        <v>0.41207531873027603</v>
      </c>
      <c r="Q571" s="26"/>
      <c r="R571" s="17"/>
      <c r="S571" s="20"/>
      <c r="T571" s="17"/>
      <c r="U571" s="23"/>
    </row>
    <row r="572" spans="1:21" x14ac:dyDescent="0.25">
      <c r="A572" s="24">
        <v>8000</v>
      </c>
      <c r="B572" s="24">
        <v>3</v>
      </c>
      <c r="C572" s="17">
        <v>0.5</v>
      </c>
      <c r="D572" s="24">
        <v>943</v>
      </c>
      <c r="E572" s="24">
        <v>6</v>
      </c>
      <c r="F572" s="25">
        <v>54</v>
      </c>
      <c r="G572" s="1">
        <v>6025</v>
      </c>
      <c r="H572" s="2">
        <v>95</v>
      </c>
      <c r="I572" s="2">
        <v>-16.7</v>
      </c>
      <c r="J572" s="2">
        <v>-19.5</v>
      </c>
      <c r="K572" s="2">
        <f t="shared" si="73"/>
        <v>-16.7</v>
      </c>
      <c r="L572" s="8">
        <f t="shared" si="77"/>
        <v>6.7608297539197943E-12</v>
      </c>
      <c r="M572" s="26">
        <f>SUM(L572:L577)</f>
        <v>1.2224531528856856E-10</v>
      </c>
      <c r="N572" s="17">
        <f>10*LOG10(M572/E572)</f>
        <v>-106.90919025396228</v>
      </c>
      <c r="O572" s="9">
        <f t="shared" si="75"/>
        <v>-19.5</v>
      </c>
      <c r="P572" s="8">
        <f>D572/B572*10^(O572/10)</f>
        <v>3.5268780080225048</v>
      </c>
      <c r="Q572" s="26">
        <f>SUM(P572:P577)</f>
        <v>15.378163788333838</v>
      </c>
      <c r="R572" s="17">
        <f>10*LOG10(Q572)</f>
        <v>11.869044821362827</v>
      </c>
      <c r="S572" s="18">
        <f>F572+N572-Kzt-H</f>
        <v>-52.909190253962279</v>
      </c>
      <c r="T572" s="17">
        <v>0.7</v>
      </c>
      <c r="U572" s="21">
        <f>T572*10^((S572-R572)/10)</f>
        <v>2.3295633894788971E-7</v>
      </c>
    </row>
    <row r="573" spans="1:21" x14ac:dyDescent="0.25">
      <c r="A573" s="24"/>
      <c r="B573" s="24"/>
      <c r="C573" s="17"/>
      <c r="D573" s="24"/>
      <c r="E573" s="24"/>
      <c r="F573" s="25"/>
      <c r="G573" s="1">
        <v>7025</v>
      </c>
      <c r="H573" s="2">
        <v>94.8</v>
      </c>
      <c r="I573" s="2">
        <v>-16.100000000000001</v>
      </c>
      <c r="J573" s="2">
        <v>-27.7</v>
      </c>
      <c r="K573" s="2">
        <f t="shared" si="73"/>
        <v>-16.100000000000001</v>
      </c>
      <c r="L573" s="8">
        <f t="shared" si="77"/>
        <v>8.1283051616409864E-12</v>
      </c>
      <c r="M573" s="26"/>
      <c r="N573" s="17"/>
      <c r="O573" s="9">
        <f t="shared" si="75"/>
        <v>-27.7</v>
      </c>
      <c r="P573" s="8">
        <f>D572/B572*10^(O573/10)</f>
        <v>0.53381458809047433</v>
      </c>
      <c r="Q573" s="26"/>
      <c r="R573" s="17"/>
      <c r="S573" s="19"/>
      <c r="T573" s="17"/>
      <c r="U573" s="22"/>
    </row>
    <row r="574" spans="1:21" x14ac:dyDescent="0.25">
      <c r="A574" s="24"/>
      <c r="B574" s="24"/>
      <c r="C574" s="17"/>
      <c r="D574" s="24"/>
      <c r="E574" s="24"/>
      <c r="F574" s="25"/>
      <c r="G574" s="1">
        <v>8025</v>
      </c>
      <c r="H574" s="2">
        <v>101.9</v>
      </c>
      <c r="I574" s="2">
        <v>-19.100000000000001</v>
      </c>
      <c r="J574" s="2">
        <v>-20.100000000000001</v>
      </c>
      <c r="K574" s="2">
        <f t="shared" si="73"/>
        <v>-19.100000000000001</v>
      </c>
      <c r="L574" s="8">
        <f t="shared" si="77"/>
        <v>7.9432823472428024E-13</v>
      </c>
      <c r="M574" s="26"/>
      <c r="N574" s="17"/>
      <c r="O574" s="9">
        <f t="shared" si="75"/>
        <v>-20.100000000000001</v>
      </c>
      <c r="P574" s="8">
        <f>D572/B572*10^(O574/10)</f>
        <v>3.0717823312044277</v>
      </c>
      <c r="Q574" s="26"/>
      <c r="R574" s="17"/>
      <c r="S574" s="19"/>
      <c r="T574" s="17"/>
      <c r="U574" s="22"/>
    </row>
    <row r="575" spans="1:21" x14ac:dyDescent="0.25">
      <c r="A575" s="24"/>
      <c r="B575" s="24"/>
      <c r="C575" s="17"/>
      <c r="D575" s="24"/>
      <c r="E575" s="24"/>
      <c r="F575" s="25"/>
      <c r="G575" s="1">
        <v>9025</v>
      </c>
      <c r="H575" s="2">
        <v>93.2</v>
      </c>
      <c r="I575" s="2">
        <v>-16.3</v>
      </c>
      <c r="J575" s="2">
        <v>-18</v>
      </c>
      <c r="K575" s="2">
        <f t="shared" si="73"/>
        <v>-16.3</v>
      </c>
      <c r="L575" s="8">
        <f t="shared" si="77"/>
        <v>1.1220184543019613E-11</v>
      </c>
      <c r="M575" s="26"/>
      <c r="N575" s="17"/>
      <c r="O575" s="9">
        <f t="shared" si="75"/>
        <v>-18</v>
      </c>
      <c r="P575" s="8">
        <f>D572/B572*10^(O575/10)</f>
        <v>4.9818476016360966</v>
      </c>
      <c r="Q575" s="26"/>
      <c r="R575" s="17"/>
      <c r="S575" s="19"/>
      <c r="T575" s="17"/>
      <c r="U575" s="22"/>
    </row>
    <row r="576" spans="1:21" x14ac:dyDescent="0.25">
      <c r="A576" s="24"/>
      <c r="B576" s="24"/>
      <c r="C576" s="17"/>
      <c r="D576" s="24"/>
      <c r="E576" s="24"/>
      <c r="F576" s="25"/>
      <c r="G576" s="1">
        <v>10025</v>
      </c>
      <c r="H576" s="2">
        <v>88.3</v>
      </c>
      <c r="I576" s="2">
        <v>-17.8</v>
      </c>
      <c r="J576" s="2">
        <v>-22</v>
      </c>
      <c r="K576" s="2">
        <f t="shared" si="73"/>
        <v>-17.8</v>
      </c>
      <c r="L576" s="8">
        <f t="shared" si="77"/>
        <v>2.4547089156850264E-11</v>
      </c>
      <c r="M576" s="26"/>
      <c r="N576" s="17"/>
      <c r="O576" s="9">
        <f t="shared" si="75"/>
        <v>-22</v>
      </c>
      <c r="P576" s="8">
        <f>D572/B572*10^(O576/10)</f>
        <v>1.9833092528160716</v>
      </c>
      <c r="Q576" s="26"/>
      <c r="R576" s="17"/>
      <c r="S576" s="19"/>
      <c r="T576" s="17"/>
      <c r="U576" s="22"/>
    </row>
    <row r="577" spans="1:21" x14ac:dyDescent="0.25">
      <c r="A577" s="24"/>
      <c r="B577" s="24"/>
      <c r="C577" s="17"/>
      <c r="D577" s="24"/>
      <c r="E577" s="24"/>
      <c r="F577" s="25"/>
      <c r="G577" s="1">
        <v>11025</v>
      </c>
      <c r="H577" s="2">
        <v>86</v>
      </c>
      <c r="I577" s="2">
        <v>-15.5</v>
      </c>
      <c r="J577" s="2">
        <v>-23.9</v>
      </c>
      <c r="K577" s="2">
        <f t="shared" si="73"/>
        <v>-15.5</v>
      </c>
      <c r="L577" s="8">
        <f t="shared" si="77"/>
        <v>7.079457843841361E-11</v>
      </c>
      <c r="M577" s="26"/>
      <c r="N577" s="17"/>
      <c r="O577" s="9">
        <f t="shared" si="75"/>
        <v>-23.9</v>
      </c>
      <c r="P577" s="8">
        <f>D572/B572*10^(O577/10)</f>
        <v>1.2805320065642618</v>
      </c>
      <c r="Q577" s="26"/>
      <c r="R577" s="17"/>
      <c r="S577" s="20"/>
      <c r="T577" s="17"/>
      <c r="U577" s="23"/>
    </row>
    <row r="578" spans="1:21" x14ac:dyDescent="0.25">
      <c r="A578" s="24" t="s">
        <v>20</v>
      </c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12">
        <f>U578</f>
        <v>6.8470767967292609E-2</v>
      </c>
      <c r="T578" s="2"/>
      <c r="U578" s="8">
        <f>0.8*SQRT(SUM(U544:U577))</f>
        <v>6.8470767967292609E-2</v>
      </c>
    </row>
    <row r="579" spans="1:21" x14ac:dyDescent="0.25">
      <c r="A579" s="27" t="s">
        <v>48</v>
      </c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9"/>
    </row>
    <row r="580" spans="1:21" x14ac:dyDescent="0.25">
      <c r="A580" s="24">
        <v>250</v>
      </c>
      <c r="B580" s="24">
        <v>3</v>
      </c>
      <c r="C580" s="17">
        <v>0.5</v>
      </c>
      <c r="D580" s="24">
        <v>38</v>
      </c>
      <c r="E580" s="24">
        <v>4</v>
      </c>
      <c r="F580" s="25">
        <v>84</v>
      </c>
      <c r="G580" s="1">
        <v>175</v>
      </c>
      <c r="H580" s="2">
        <v>84.8</v>
      </c>
      <c r="I580" s="2">
        <v>-11.5</v>
      </c>
      <c r="J580" s="2">
        <v>-18</v>
      </c>
      <c r="K580" s="2">
        <f>I580</f>
        <v>-11.5</v>
      </c>
      <c r="L580" s="8">
        <f>10^((K580-H580)/10)</f>
        <v>2.3442288153199212E-10</v>
      </c>
      <c r="M580" s="26">
        <f>SUM(L580:L583)</f>
        <v>3.4323283129278523E-10</v>
      </c>
      <c r="N580" s="17">
        <f>10*LOG10(M580/E580)</f>
        <v>-100.66471168540176</v>
      </c>
      <c r="O580" s="9">
        <f>J580</f>
        <v>-18</v>
      </c>
      <c r="P580" s="8">
        <f>D580/B580*10^(O580/10)</f>
        <v>0.20075313771174089</v>
      </c>
      <c r="Q580" s="26">
        <f>SUM(P580:P583)</f>
        <v>1.0435940932930015</v>
      </c>
      <c r="R580" s="17">
        <f>10*LOG10(Q580)</f>
        <v>0.18531612343174264</v>
      </c>
      <c r="S580" s="18">
        <f>F580+N580-Kzt-H</f>
        <v>-16.664711685401755</v>
      </c>
      <c r="T580" s="17">
        <v>0.2</v>
      </c>
      <c r="U580" s="21">
        <f>T580*10^((S580-R580)/10)</f>
        <v>4.1307338615364396E-3</v>
      </c>
    </row>
    <row r="581" spans="1:21" x14ac:dyDescent="0.25">
      <c r="A581" s="24"/>
      <c r="B581" s="24"/>
      <c r="C581" s="17"/>
      <c r="D581" s="24"/>
      <c r="E581" s="24"/>
      <c r="F581" s="25"/>
      <c r="G581" s="1">
        <v>225</v>
      </c>
      <c r="H581" s="2">
        <v>90</v>
      </c>
      <c r="I581" s="2">
        <v>-12.1</v>
      </c>
      <c r="J581" s="2">
        <v>-18.3</v>
      </c>
      <c r="K581" s="2">
        <f t="shared" ref="K581:K613" si="78">I581</f>
        <v>-12.1</v>
      </c>
      <c r="L581" s="8">
        <f t="shared" ref="L581:L582" si="79">10^((K581-H581)/10)</f>
        <v>6.1659500186148317E-11</v>
      </c>
      <c r="M581" s="26"/>
      <c r="N581" s="17"/>
      <c r="O581" s="9">
        <f t="shared" ref="O581:O613" si="80">J581</f>
        <v>-18.3</v>
      </c>
      <c r="P581" s="8">
        <f>D580/B580*10^(O581/10)</f>
        <v>0.18735372916797288</v>
      </c>
      <c r="Q581" s="26"/>
      <c r="R581" s="17"/>
      <c r="S581" s="19"/>
      <c r="T581" s="17"/>
      <c r="U581" s="22"/>
    </row>
    <row r="582" spans="1:21" x14ac:dyDescent="0.25">
      <c r="A582" s="24"/>
      <c r="B582" s="24"/>
      <c r="C582" s="17"/>
      <c r="D582" s="24"/>
      <c r="E582" s="24"/>
      <c r="F582" s="25"/>
      <c r="G582" s="1">
        <v>275</v>
      </c>
      <c r="H582" s="2">
        <v>92.2</v>
      </c>
      <c r="I582" s="2">
        <v>-12.7</v>
      </c>
      <c r="J582" s="2">
        <v>-16.399999999999999</v>
      </c>
      <c r="K582" s="2">
        <f t="shared" si="78"/>
        <v>-12.7</v>
      </c>
      <c r="L582" s="8">
        <f t="shared" si="79"/>
        <v>3.2359365692962733E-11</v>
      </c>
      <c r="M582" s="26"/>
      <c r="N582" s="17"/>
      <c r="O582" s="9">
        <f t="shared" si="80"/>
        <v>-16.399999999999999</v>
      </c>
      <c r="P582" s="8">
        <f>D580/B580*10^(O582/10)</f>
        <v>0.2901765693505845</v>
      </c>
      <c r="Q582" s="26"/>
      <c r="R582" s="17"/>
      <c r="S582" s="19"/>
      <c r="T582" s="17"/>
      <c r="U582" s="22"/>
    </row>
    <row r="583" spans="1:21" x14ac:dyDescent="0.25">
      <c r="A583" s="24"/>
      <c r="B583" s="24"/>
      <c r="C583" s="17"/>
      <c r="D583" s="24"/>
      <c r="E583" s="24"/>
      <c r="F583" s="25"/>
      <c r="G583" s="1">
        <v>325</v>
      </c>
      <c r="H583" s="2">
        <v>93.3</v>
      </c>
      <c r="I583" s="2">
        <v>-15</v>
      </c>
      <c r="J583" s="2">
        <v>-15.4</v>
      </c>
      <c r="K583" s="2">
        <f t="shared" si="78"/>
        <v>-15</v>
      </c>
      <c r="L583" s="8">
        <f>10^((K583-H583)/10)</f>
        <v>1.4791083881682027E-11</v>
      </c>
      <c r="M583" s="26"/>
      <c r="N583" s="17"/>
      <c r="O583" s="9">
        <f t="shared" si="80"/>
        <v>-15.4</v>
      </c>
      <c r="P583" s="8">
        <f>D580/B580*10^(O583/10)</f>
        <v>0.36531065706270327</v>
      </c>
      <c r="Q583" s="26"/>
      <c r="R583" s="17"/>
      <c r="S583" s="20"/>
      <c r="T583" s="17"/>
      <c r="U583" s="23"/>
    </row>
    <row r="584" spans="1:21" x14ac:dyDescent="0.25">
      <c r="A584" s="24">
        <v>500</v>
      </c>
      <c r="B584" s="24">
        <v>3</v>
      </c>
      <c r="C584" s="17">
        <v>0.5</v>
      </c>
      <c r="D584" s="24">
        <v>59</v>
      </c>
      <c r="E584" s="24">
        <v>6</v>
      </c>
      <c r="F584" s="25">
        <v>84</v>
      </c>
      <c r="G584" s="1">
        <v>375</v>
      </c>
      <c r="H584" s="2">
        <v>91.9</v>
      </c>
      <c r="I584" s="2">
        <v>-11.7</v>
      </c>
      <c r="J584" s="2">
        <v>-20.3</v>
      </c>
      <c r="K584" s="2">
        <f t="shared" si="78"/>
        <v>-11.7</v>
      </c>
      <c r="L584" s="8">
        <f t="shared" ref="L584:L585" si="81">10^((K584-H584)/10)</f>
        <v>4.3651583224016422E-11</v>
      </c>
      <c r="M584" s="26">
        <f>SUM(L584:L589)</f>
        <v>1.5681989555240182E-10</v>
      </c>
      <c r="N584" s="17">
        <f>10*LOG10(M584/E584)</f>
        <v>-105.82750090118819</v>
      </c>
      <c r="O584" s="9">
        <f t="shared" si="80"/>
        <v>-20.3</v>
      </c>
      <c r="P584" s="8">
        <f>D584/B584*10^(O584/10)</f>
        <v>0.18354001249007473</v>
      </c>
      <c r="Q584" s="26">
        <f>SUM(P584:P589)</f>
        <v>1.3526092734435486</v>
      </c>
      <c r="R584" s="17">
        <f>10*LOG10(Q584)</f>
        <v>1.3117236060784787</v>
      </c>
      <c r="S584" s="18">
        <f>F584+N584-Kzt-H</f>
        <v>-21.827500901188188</v>
      </c>
      <c r="T584" s="17">
        <v>0.5</v>
      </c>
      <c r="U584" s="21">
        <f>T584*10^((S584-R584)/10)</f>
        <v>2.4268758142917484E-3</v>
      </c>
    </row>
    <row r="585" spans="1:21" x14ac:dyDescent="0.25">
      <c r="A585" s="24"/>
      <c r="B585" s="24"/>
      <c r="C585" s="17"/>
      <c r="D585" s="24"/>
      <c r="E585" s="24"/>
      <c r="F585" s="25"/>
      <c r="G585" s="1">
        <v>425</v>
      </c>
      <c r="H585" s="2">
        <v>88.1</v>
      </c>
      <c r="I585" s="2">
        <v>-15.4</v>
      </c>
      <c r="J585" s="2">
        <v>-17.600000000000001</v>
      </c>
      <c r="K585" s="2">
        <f t="shared" si="78"/>
        <v>-15.4</v>
      </c>
      <c r="L585" s="8">
        <f t="shared" si="81"/>
        <v>4.4668359215096281E-11</v>
      </c>
      <c r="M585" s="26"/>
      <c r="N585" s="17"/>
      <c r="O585" s="9">
        <f t="shared" si="80"/>
        <v>-17.600000000000001</v>
      </c>
      <c r="P585" s="8">
        <f>D584/B584*10^(O585/10)</f>
        <v>0.34176749632071018</v>
      </c>
      <c r="Q585" s="26"/>
      <c r="R585" s="17"/>
      <c r="S585" s="19"/>
      <c r="T585" s="17"/>
      <c r="U585" s="22"/>
    </row>
    <row r="586" spans="1:21" x14ac:dyDescent="0.25">
      <c r="A586" s="24"/>
      <c r="B586" s="24"/>
      <c r="C586" s="17"/>
      <c r="D586" s="24"/>
      <c r="E586" s="24"/>
      <c r="F586" s="25"/>
      <c r="G586" s="1">
        <v>475</v>
      </c>
      <c r="H586" s="2">
        <v>90</v>
      </c>
      <c r="I586" s="2">
        <v>-15.7</v>
      </c>
      <c r="J586" s="2">
        <v>-19.399999999999999</v>
      </c>
      <c r="K586" s="2">
        <f t="shared" si="78"/>
        <v>-15.7</v>
      </c>
      <c r="L586" s="8">
        <f>10^((K586-H586)/10)</f>
        <v>2.6915348039269103E-11</v>
      </c>
      <c r="M586" s="26"/>
      <c r="N586" s="17"/>
      <c r="O586" s="9">
        <f t="shared" si="80"/>
        <v>-19.399999999999999</v>
      </c>
      <c r="P586" s="8">
        <f>D584/B584*10^(O586/10)</f>
        <v>0.22580354556105359</v>
      </c>
      <c r="Q586" s="26"/>
      <c r="R586" s="17"/>
      <c r="S586" s="19"/>
      <c r="T586" s="17"/>
      <c r="U586" s="22"/>
    </row>
    <row r="587" spans="1:21" x14ac:dyDescent="0.25">
      <c r="A587" s="24"/>
      <c r="B587" s="24"/>
      <c r="C587" s="17"/>
      <c r="D587" s="24"/>
      <c r="E587" s="24"/>
      <c r="F587" s="25"/>
      <c r="G587" s="1">
        <v>575</v>
      </c>
      <c r="H587" s="2">
        <v>97</v>
      </c>
      <c r="I587" s="2">
        <v>-14.9</v>
      </c>
      <c r="J587" s="2">
        <v>-21.1</v>
      </c>
      <c r="K587" s="2">
        <f t="shared" si="78"/>
        <v>-14.9</v>
      </c>
      <c r="L587" s="8">
        <f t="shared" ref="L587:L613" si="82">10^((K587-H587)/10)</f>
        <v>6.4565422903465118E-12</v>
      </c>
      <c r="M587" s="26"/>
      <c r="N587" s="17"/>
      <c r="O587" s="9">
        <f t="shared" si="80"/>
        <v>-21.1</v>
      </c>
      <c r="P587" s="8">
        <f>D584/B584*10^(O587/10)</f>
        <v>0.15266193293697589</v>
      </c>
      <c r="Q587" s="26"/>
      <c r="R587" s="17"/>
      <c r="S587" s="19"/>
      <c r="T587" s="17"/>
      <c r="U587" s="22"/>
    </row>
    <row r="588" spans="1:21" x14ac:dyDescent="0.25">
      <c r="A588" s="24"/>
      <c r="B588" s="24"/>
      <c r="C588" s="17"/>
      <c r="D588" s="24"/>
      <c r="E588" s="24"/>
      <c r="F588" s="25"/>
      <c r="G588" s="1">
        <v>625</v>
      </c>
      <c r="H588" s="2">
        <v>92</v>
      </c>
      <c r="I588" s="2">
        <v>-13.6</v>
      </c>
      <c r="J588" s="2">
        <v>-19</v>
      </c>
      <c r="K588" s="2">
        <f t="shared" si="78"/>
        <v>-13.6</v>
      </c>
      <c r="L588" s="8">
        <f t="shared" si="82"/>
        <v>2.7542287033381702E-11</v>
      </c>
      <c r="M588" s="26"/>
      <c r="N588" s="17"/>
      <c r="O588" s="9">
        <f t="shared" si="80"/>
        <v>-19</v>
      </c>
      <c r="P588" s="8">
        <f>D584/B584*10^(O588/10)</f>
        <v>0.24758866431951942</v>
      </c>
      <c r="Q588" s="26"/>
      <c r="R588" s="17"/>
      <c r="S588" s="19"/>
      <c r="T588" s="17"/>
      <c r="U588" s="22"/>
    </row>
    <row r="589" spans="1:21" x14ac:dyDescent="0.25">
      <c r="A589" s="24"/>
      <c r="B589" s="24"/>
      <c r="C589" s="17"/>
      <c r="D589" s="24"/>
      <c r="E589" s="24"/>
      <c r="F589" s="25"/>
      <c r="G589" s="1">
        <v>675</v>
      </c>
      <c r="H589" s="2">
        <v>94.5</v>
      </c>
      <c r="I589" s="2">
        <v>-16.7</v>
      </c>
      <c r="J589" s="2">
        <v>-19.899999999999999</v>
      </c>
      <c r="K589" s="2">
        <f t="shared" si="78"/>
        <v>-16.7</v>
      </c>
      <c r="L589" s="8">
        <f t="shared" si="82"/>
        <v>7.5857757502918081E-12</v>
      </c>
      <c r="M589" s="26"/>
      <c r="N589" s="17"/>
      <c r="O589" s="9">
        <f t="shared" si="80"/>
        <v>-19.899999999999999</v>
      </c>
      <c r="P589" s="8">
        <f>D584/B584*10^(O589/10)</f>
        <v>0.20124762181521505</v>
      </c>
      <c r="Q589" s="26"/>
      <c r="R589" s="17"/>
      <c r="S589" s="20"/>
      <c r="T589" s="17"/>
      <c r="U589" s="23"/>
    </row>
    <row r="590" spans="1:21" x14ac:dyDescent="0.25">
      <c r="A590" s="24">
        <v>1000</v>
      </c>
      <c r="B590" s="24">
        <v>3</v>
      </c>
      <c r="C590" s="17">
        <v>0.5</v>
      </c>
      <c r="D590" s="24">
        <v>117</v>
      </c>
      <c r="E590" s="24">
        <v>6</v>
      </c>
      <c r="F590" s="25">
        <v>76</v>
      </c>
      <c r="G590" s="1">
        <v>875</v>
      </c>
      <c r="H590" s="2">
        <v>91.1</v>
      </c>
      <c r="I590" s="2">
        <v>-12.9</v>
      </c>
      <c r="J590" s="2">
        <v>-17.8</v>
      </c>
      <c r="K590" s="2">
        <f t="shared" si="78"/>
        <v>-12.9</v>
      </c>
      <c r="L590" s="8">
        <f t="shared" si="82"/>
        <v>3.9810717055349579E-11</v>
      </c>
      <c r="M590" s="26">
        <f>SUM(L590:L595)</f>
        <v>6.2615590163092616E-11</v>
      </c>
      <c r="N590" s="17">
        <f>10*LOG10(M590/E590)</f>
        <v>-109.8146877214384</v>
      </c>
      <c r="O590" s="9">
        <f t="shared" si="80"/>
        <v>-17.8</v>
      </c>
      <c r="P590" s="8">
        <f>D590/B590*10^(O590/10)</f>
        <v>0.64723889390064804</v>
      </c>
      <c r="Q590" s="26">
        <f>SUM(P590:P595)</f>
        <v>2.1156649449402014</v>
      </c>
      <c r="R590" s="17">
        <f>10*LOG10(Q590)</f>
        <v>3.2544689016593065</v>
      </c>
      <c r="S590" s="18">
        <f>F590+N590-Kzt-H</f>
        <v>-33.814687721438403</v>
      </c>
      <c r="T590" s="17">
        <v>0.8</v>
      </c>
      <c r="U590" s="21">
        <f>T590*10^((S590-R590)/10)</f>
        <v>1.5709932704283214E-4</v>
      </c>
    </row>
    <row r="591" spans="1:21" x14ac:dyDescent="0.25">
      <c r="A591" s="24"/>
      <c r="B591" s="24"/>
      <c r="C591" s="17"/>
      <c r="D591" s="24"/>
      <c r="E591" s="24"/>
      <c r="F591" s="25"/>
      <c r="G591" s="1">
        <v>975</v>
      </c>
      <c r="H591" s="2">
        <v>96.5</v>
      </c>
      <c r="I591" s="2">
        <v>-15.8</v>
      </c>
      <c r="J591" s="2">
        <v>-20.7</v>
      </c>
      <c r="K591" s="2">
        <f t="shared" si="78"/>
        <v>-15.8</v>
      </c>
      <c r="L591" s="8">
        <f t="shared" si="82"/>
        <v>5.8884365535558725E-12</v>
      </c>
      <c r="M591" s="26"/>
      <c r="N591" s="17"/>
      <c r="O591" s="9">
        <f t="shared" si="80"/>
        <v>-20.7</v>
      </c>
      <c r="P591" s="8">
        <f>D590/B590*10^(O591/10)</f>
        <v>0.33194383489892693</v>
      </c>
      <c r="Q591" s="26"/>
      <c r="R591" s="17"/>
      <c r="S591" s="19"/>
      <c r="T591" s="17"/>
      <c r="U591" s="22"/>
    </row>
    <row r="592" spans="1:21" x14ac:dyDescent="0.25">
      <c r="A592" s="24"/>
      <c r="B592" s="24"/>
      <c r="C592" s="17"/>
      <c r="D592" s="24"/>
      <c r="E592" s="24"/>
      <c r="F592" s="25"/>
      <c r="G592" s="1">
        <v>1075</v>
      </c>
      <c r="H592" s="2">
        <v>94.6</v>
      </c>
      <c r="I592" s="2">
        <v>-17.100000000000001</v>
      </c>
      <c r="J592" s="2">
        <v>-21.6</v>
      </c>
      <c r="K592" s="2">
        <f t="shared" si="78"/>
        <v>-17.100000000000001</v>
      </c>
      <c r="L592" s="8">
        <f t="shared" si="82"/>
        <v>6.7608297539198193E-12</v>
      </c>
      <c r="M592" s="26"/>
      <c r="N592" s="17"/>
      <c r="O592" s="9">
        <f t="shared" si="80"/>
        <v>-21.6</v>
      </c>
      <c r="P592" s="8">
        <f>D590/B590*10^(O592/10)</f>
        <v>0.26981407865838503</v>
      </c>
      <c r="Q592" s="26"/>
      <c r="R592" s="17"/>
      <c r="S592" s="19"/>
      <c r="T592" s="17"/>
      <c r="U592" s="22"/>
    </row>
    <row r="593" spans="1:21" x14ac:dyDescent="0.25">
      <c r="A593" s="24"/>
      <c r="B593" s="24"/>
      <c r="C593" s="17"/>
      <c r="D593" s="24"/>
      <c r="E593" s="24"/>
      <c r="F593" s="25"/>
      <c r="G593" s="1">
        <v>1175</v>
      </c>
      <c r="H593" s="2">
        <v>97.8</v>
      </c>
      <c r="I593" s="2">
        <v>-14.9</v>
      </c>
      <c r="J593" s="2">
        <v>-18.7</v>
      </c>
      <c r="K593" s="2">
        <f t="shared" si="78"/>
        <v>-14.9</v>
      </c>
      <c r="L593" s="8">
        <f t="shared" si="82"/>
        <v>5.3703179637025143E-12</v>
      </c>
      <c r="M593" s="26"/>
      <c r="N593" s="17"/>
      <c r="O593" s="9">
        <f t="shared" si="80"/>
        <v>-18.7</v>
      </c>
      <c r="P593" s="8">
        <f>D590/B590*10^(O593/10)</f>
        <v>0.5260955242107449</v>
      </c>
      <c r="Q593" s="26"/>
      <c r="R593" s="17"/>
      <c r="S593" s="19"/>
      <c r="T593" s="17"/>
      <c r="U593" s="22"/>
    </row>
    <row r="594" spans="1:21" x14ac:dyDescent="0.25">
      <c r="A594" s="24"/>
      <c r="B594" s="24"/>
      <c r="C594" s="17"/>
      <c r="D594" s="24"/>
      <c r="E594" s="24"/>
      <c r="F594" s="25"/>
      <c r="G594" s="1">
        <v>1275</v>
      </c>
      <c r="H594" s="2">
        <v>100.1</v>
      </c>
      <c r="I594" s="2">
        <v>-13.7</v>
      </c>
      <c r="J594" s="2">
        <v>-23.7</v>
      </c>
      <c r="K594" s="2">
        <f t="shared" si="78"/>
        <v>-13.7</v>
      </c>
      <c r="L594" s="8">
        <f t="shared" si="82"/>
        <v>4.1686938347033479E-12</v>
      </c>
      <c r="M594" s="26"/>
      <c r="N594" s="17"/>
      <c r="O594" s="9">
        <f t="shared" si="80"/>
        <v>-23.7</v>
      </c>
      <c r="P594" s="8">
        <f>D590/B590*10^(O594/10)</f>
        <v>0.16636601233262108</v>
      </c>
      <c r="Q594" s="26"/>
      <c r="R594" s="17"/>
      <c r="S594" s="19"/>
      <c r="T594" s="17"/>
      <c r="U594" s="22"/>
    </row>
    <row r="595" spans="1:21" x14ac:dyDescent="0.25">
      <c r="A595" s="24"/>
      <c r="B595" s="24"/>
      <c r="C595" s="17"/>
      <c r="D595" s="24"/>
      <c r="E595" s="24"/>
      <c r="F595" s="25"/>
      <c r="G595" s="1">
        <v>1375</v>
      </c>
      <c r="H595" s="2">
        <v>103</v>
      </c>
      <c r="I595" s="2">
        <v>-19.100000000000001</v>
      </c>
      <c r="J595" s="2">
        <v>-23.5</v>
      </c>
      <c r="K595" s="2">
        <f t="shared" si="78"/>
        <v>-19.100000000000001</v>
      </c>
      <c r="L595" s="8">
        <f t="shared" si="82"/>
        <v>6.1659500186148178E-13</v>
      </c>
      <c r="M595" s="26"/>
      <c r="N595" s="17"/>
      <c r="O595" s="9">
        <f t="shared" si="80"/>
        <v>-23.5</v>
      </c>
      <c r="P595" s="8">
        <f>D590/B590*10^(O595/10)</f>
        <v>0.17420660093887549</v>
      </c>
      <c r="Q595" s="26"/>
      <c r="R595" s="17"/>
      <c r="S595" s="20"/>
      <c r="T595" s="17"/>
      <c r="U595" s="23"/>
    </row>
    <row r="596" spans="1:21" x14ac:dyDescent="0.25">
      <c r="A596" s="24">
        <v>2000</v>
      </c>
      <c r="B596" s="24">
        <v>3</v>
      </c>
      <c r="C596" s="17">
        <v>0.5</v>
      </c>
      <c r="D596" s="24">
        <v>234</v>
      </c>
      <c r="E596" s="24">
        <v>6</v>
      </c>
      <c r="F596" s="25">
        <v>68</v>
      </c>
      <c r="G596" s="1">
        <v>1425</v>
      </c>
      <c r="H596" s="2">
        <v>102.8</v>
      </c>
      <c r="I596" s="2">
        <v>-17</v>
      </c>
      <c r="J596" s="2">
        <v>-18.5</v>
      </c>
      <c r="K596" s="2">
        <f t="shared" si="78"/>
        <v>-17</v>
      </c>
      <c r="L596" s="8">
        <f t="shared" si="82"/>
        <v>1.0471285480508967E-12</v>
      </c>
      <c r="M596" s="26">
        <f>SUM(L596:L601)</f>
        <v>1.4824763155756949E-11</v>
      </c>
      <c r="N596" s="17">
        <f>10*LOG10(M596/E596)</f>
        <v>-116.07163486692671</v>
      </c>
      <c r="O596" s="9">
        <f t="shared" si="80"/>
        <v>-18.5</v>
      </c>
      <c r="P596" s="8">
        <f>D596/B596*10^(O596/10)</f>
        <v>1.1017792848057473</v>
      </c>
      <c r="Q596" s="26">
        <f>SUM(P596:P601)</f>
        <v>5.6644268307387984</v>
      </c>
      <c r="R596" s="17">
        <f>10*LOG10(Q596)</f>
        <v>7.531559712442661</v>
      </c>
      <c r="S596" s="18">
        <f>F596+N596-Kzt-H</f>
        <v>-48.071634866926715</v>
      </c>
      <c r="T596" s="17">
        <v>1</v>
      </c>
      <c r="U596" s="21">
        <f>T596*10^((S596-R596)/10)</f>
        <v>2.752203495254675E-6</v>
      </c>
    </row>
    <row r="597" spans="1:21" x14ac:dyDescent="0.25">
      <c r="A597" s="24"/>
      <c r="B597" s="24"/>
      <c r="C597" s="17"/>
      <c r="D597" s="24"/>
      <c r="E597" s="24"/>
      <c r="F597" s="25"/>
      <c r="G597" s="1">
        <v>1625</v>
      </c>
      <c r="H597" s="2">
        <v>104.1</v>
      </c>
      <c r="I597" s="2">
        <v>-15.899999999999999</v>
      </c>
      <c r="J597" s="2">
        <v>-16.899999999999999</v>
      </c>
      <c r="K597" s="2">
        <f t="shared" si="78"/>
        <v>-15.899999999999999</v>
      </c>
      <c r="L597" s="8">
        <f t="shared" si="82"/>
        <v>9.9999999999999998E-13</v>
      </c>
      <c r="M597" s="26"/>
      <c r="N597" s="17"/>
      <c r="O597" s="9">
        <f t="shared" si="80"/>
        <v>-16.899999999999999</v>
      </c>
      <c r="P597" s="8">
        <f>D596/B596*10^(O597/10)</f>
        <v>1.5925555968422325</v>
      </c>
      <c r="Q597" s="26"/>
      <c r="R597" s="17"/>
      <c r="S597" s="19"/>
      <c r="T597" s="17"/>
      <c r="U597" s="22"/>
    </row>
    <row r="598" spans="1:21" x14ac:dyDescent="0.25">
      <c r="A598" s="24"/>
      <c r="B598" s="24"/>
      <c r="C598" s="17"/>
      <c r="D598" s="24"/>
      <c r="E598" s="24"/>
      <c r="F598" s="25"/>
      <c r="G598" s="1">
        <v>1825</v>
      </c>
      <c r="H598" s="2">
        <v>107.6</v>
      </c>
      <c r="I598" s="2">
        <v>-18.600000000000001</v>
      </c>
      <c r="J598" s="2">
        <v>-22.6</v>
      </c>
      <c r="K598" s="2">
        <f t="shared" si="78"/>
        <v>-18.600000000000001</v>
      </c>
      <c r="L598" s="8">
        <f t="shared" si="82"/>
        <v>2.3988329190194898E-13</v>
      </c>
      <c r="M598" s="26"/>
      <c r="N598" s="17"/>
      <c r="O598" s="9">
        <f t="shared" si="80"/>
        <v>-22.6</v>
      </c>
      <c r="P598" s="8">
        <f>D596/B596*10^(O598/10)</f>
        <v>0.4286418816089469</v>
      </c>
      <c r="Q598" s="26"/>
      <c r="R598" s="17"/>
      <c r="S598" s="19"/>
      <c r="T598" s="17"/>
      <c r="U598" s="22"/>
    </row>
    <row r="599" spans="1:21" x14ac:dyDescent="0.25">
      <c r="A599" s="24"/>
      <c r="B599" s="24"/>
      <c r="C599" s="17"/>
      <c r="D599" s="24"/>
      <c r="E599" s="24"/>
      <c r="F599" s="25"/>
      <c r="G599" s="1">
        <v>2125</v>
      </c>
      <c r="H599" s="2">
        <v>104.2</v>
      </c>
      <c r="I599" s="2">
        <v>-17.5</v>
      </c>
      <c r="J599" s="2">
        <v>-19.7</v>
      </c>
      <c r="K599" s="2">
        <f t="shared" si="78"/>
        <v>-17.5</v>
      </c>
      <c r="L599" s="8">
        <f t="shared" si="82"/>
        <v>6.7608297539198111E-13</v>
      </c>
      <c r="M599" s="26"/>
      <c r="N599" s="17"/>
      <c r="O599" s="9">
        <f t="shared" si="80"/>
        <v>-19.7</v>
      </c>
      <c r="P599" s="8">
        <f>D596/B596*10^(O599/10)</f>
        <v>0.83578505808533243</v>
      </c>
      <c r="Q599" s="26"/>
      <c r="R599" s="17"/>
      <c r="S599" s="19"/>
      <c r="T599" s="17"/>
      <c r="U599" s="22"/>
    </row>
    <row r="600" spans="1:21" x14ac:dyDescent="0.25">
      <c r="A600" s="24"/>
      <c r="B600" s="24"/>
      <c r="C600" s="17"/>
      <c r="D600" s="24"/>
      <c r="E600" s="24"/>
      <c r="F600" s="25"/>
      <c r="G600" s="1">
        <v>2425</v>
      </c>
      <c r="H600" s="2">
        <v>93.7</v>
      </c>
      <c r="I600" s="2">
        <v>-16.399999999999999</v>
      </c>
      <c r="J600" s="2">
        <v>-21.3</v>
      </c>
      <c r="K600" s="2">
        <f t="shared" si="78"/>
        <v>-16.399999999999999</v>
      </c>
      <c r="L600" s="8">
        <f t="shared" si="82"/>
        <v>9.7723722095580929E-12</v>
      </c>
      <c r="M600" s="26"/>
      <c r="N600" s="17"/>
      <c r="O600" s="9">
        <f t="shared" si="80"/>
        <v>-21.3</v>
      </c>
      <c r="P600" s="8">
        <f>D596/B596*10^(O600/10)</f>
        <v>0.5782219882147156</v>
      </c>
      <c r="Q600" s="26"/>
      <c r="R600" s="17"/>
      <c r="S600" s="19"/>
      <c r="T600" s="17"/>
      <c r="U600" s="22"/>
    </row>
    <row r="601" spans="1:21" x14ac:dyDescent="0.25">
      <c r="A601" s="24"/>
      <c r="B601" s="24"/>
      <c r="C601" s="17"/>
      <c r="D601" s="24"/>
      <c r="E601" s="24"/>
      <c r="F601" s="25"/>
      <c r="G601" s="1">
        <v>2775</v>
      </c>
      <c r="H601" s="2">
        <v>100.2</v>
      </c>
      <c r="I601" s="2">
        <v>-16.600000000000001</v>
      </c>
      <c r="J601" s="2">
        <v>-18.399999999999999</v>
      </c>
      <c r="K601" s="2">
        <f t="shared" si="78"/>
        <v>-16.600000000000001</v>
      </c>
      <c r="L601" s="8">
        <f t="shared" si="82"/>
        <v>2.0892961308540277E-12</v>
      </c>
      <c r="M601" s="26"/>
      <c r="N601" s="17"/>
      <c r="O601" s="9">
        <f t="shared" si="80"/>
        <v>-18.399999999999999</v>
      </c>
      <c r="P601" s="8">
        <f>D596/B596*10^(O601/10)</f>
        <v>1.1274430211818232</v>
      </c>
      <c r="Q601" s="26"/>
      <c r="R601" s="17"/>
      <c r="S601" s="20"/>
      <c r="T601" s="17"/>
      <c r="U601" s="23"/>
    </row>
    <row r="602" spans="1:21" x14ac:dyDescent="0.25">
      <c r="A602" s="24">
        <v>4000</v>
      </c>
      <c r="B602" s="24">
        <v>3</v>
      </c>
      <c r="C602" s="17">
        <v>0.5</v>
      </c>
      <c r="D602" s="24">
        <v>470</v>
      </c>
      <c r="E602" s="24">
        <v>6</v>
      </c>
      <c r="F602" s="25">
        <v>62</v>
      </c>
      <c r="G602" s="1">
        <v>2825</v>
      </c>
      <c r="H602" s="2">
        <v>99.4</v>
      </c>
      <c r="I602" s="2">
        <v>-15.3</v>
      </c>
      <c r="J602" s="2">
        <v>-19.3</v>
      </c>
      <c r="K602" s="2">
        <f t="shared" si="78"/>
        <v>-15.3</v>
      </c>
      <c r="L602" s="8">
        <f t="shared" si="82"/>
        <v>3.3884415613920115E-12</v>
      </c>
      <c r="M602" s="26">
        <f>SUM(L602:L607)</f>
        <v>8.1404770640674838E-12</v>
      </c>
      <c r="N602" s="17">
        <f>10*LOG10(M602/E602)</f>
        <v>-118.67501393378848</v>
      </c>
      <c r="O602" s="9">
        <f t="shared" si="80"/>
        <v>-19.3</v>
      </c>
      <c r="P602" s="8">
        <f>D602/B602*10^(O602/10)</f>
        <v>1.8406728360719276</v>
      </c>
      <c r="Q602" s="26">
        <f>SUM(P602:P607)</f>
        <v>7.5630496938364065</v>
      </c>
      <c r="R602" s="17">
        <f>10*LOG10(Q602)</f>
        <v>8.7869695398437138</v>
      </c>
      <c r="S602" s="18">
        <f>F602+N602-Kzt-H</f>
        <v>-56.675013933788478</v>
      </c>
      <c r="T602" s="17">
        <v>0.9</v>
      </c>
      <c r="U602" s="21">
        <f>T602*10^((S602-R602)/10)</f>
        <v>2.5588460748990281E-7</v>
      </c>
    </row>
    <row r="603" spans="1:21" x14ac:dyDescent="0.25">
      <c r="A603" s="24"/>
      <c r="B603" s="24"/>
      <c r="C603" s="17"/>
      <c r="D603" s="24"/>
      <c r="E603" s="24"/>
      <c r="F603" s="25"/>
      <c r="G603" s="1">
        <v>3425</v>
      </c>
      <c r="H603" s="2">
        <v>103.5</v>
      </c>
      <c r="I603" s="2">
        <v>-21.8</v>
      </c>
      <c r="J603" s="2">
        <v>-22.2</v>
      </c>
      <c r="K603" s="2">
        <f t="shared" si="78"/>
        <v>-21.8</v>
      </c>
      <c r="L603" s="8">
        <f t="shared" si="82"/>
        <v>2.9512092266663824E-13</v>
      </c>
      <c r="M603" s="26"/>
      <c r="N603" s="17"/>
      <c r="O603" s="9">
        <f t="shared" si="80"/>
        <v>-22.2</v>
      </c>
      <c r="P603" s="8">
        <f>D602/B602*10^(O603/10)</f>
        <v>0.94401001818316033</v>
      </c>
      <c r="Q603" s="26"/>
      <c r="R603" s="17"/>
      <c r="S603" s="19"/>
      <c r="T603" s="17"/>
      <c r="U603" s="22"/>
    </row>
    <row r="604" spans="1:21" x14ac:dyDescent="0.25">
      <c r="A604" s="24"/>
      <c r="B604" s="24"/>
      <c r="C604" s="17"/>
      <c r="D604" s="24"/>
      <c r="E604" s="24"/>
      <c r="F604" s="25"/>
      <c r="G604" s="1">
        <v>4025</v>
      </c>
      <c r="H604" s="2">
        <v>103.6</v>
      </c>
      <c r="I604" s="2">
        <v>-14.4</v>
      </c>
      <c r="J604" s="2">
        <v>-19.899999999999999</v>
      </c>
      <c r="K604" s="2">
        <f t="shared" si="78"/>
        <v>-14.4</v>
      </c>
      <c r="L604" s="8">
        <f t="shared" si="82"/>
        <v>1.5848931924611065E-12</v>
      </c>
      <c r="M604" s="26"/>
      <c r="N604" s="17"/>
      <c r="O604" s="9">
        <f t="shared" si="80"/>
        <v>-19.899999999999999</v>
      </c>
      <c r="P604" s="8">
        <f>D602/B602*10^(O604/10)</f>
        <v>1.6031590212398485</v>
      </c>
      <c r="Q604" s="26"/>
      <c r="R604" s="17"/>
      <c r="S604" s="19"/>
      <c r="T604" s="17"/>
      <c r="U604" s="22"/>
    </row>
    <row r="605" spans="1:21" x14ac:dyDescent="0.25">
      <c r="A605" s="24"/>
      <c r="B605" s="24"/>
      <c r="C605" s="17"/>
      <c r="D605" s="24"/>
      <c r="E605" s="24"/>
      <c r="F605" s="25"/>
      <c r="G605" s="1">
        <v>4625</v>
      </c>
      <c r="H605" s="2">
        <v>105.6</v>
      </c>
      <c r="I605" s="2">
        <v>-19</v>
      </c>
      <c r="J605" s="2">
        <v>-22</v>
      </c>
      <c r="K605" s="2">
        <f t="shared" si="78"/>
        <v>-19</v>
      </c>
      <c r="L605" s="8">
        <f t="shared" si="82"/>
        <v>3.4673685045253105E-13</v>
      </c>
      <c r="M605" s="26"/>
      <c r="N605" s="17"/>
      <c r="O605" s="9">
        <f t="shared" si="80"/>
        <v>-22</v>
      </c>
      <c r="P605" s="8">
        <f>D602/B602*10^(O605/10)</f>
        <v>0.98849983968563482</v>
      </c>
      <c r="Q605" s="26"/>
      <c r="R605" s="17"/>
      <c r="S605" s="19"/>
      <c r="T605" s="17"/>
      <c r="U605" s="22"/>
    </row>
    <row r="606" spans="1:21" x14ac:dyDescent="0.25">
      <c r="A606" s="24"/>
      <c r="B606" s="24"/>
      <c r="C606" s="17"/>
      <c r="D606" s="24"/>
      <c r="E606" s="24"/>
      <c r="F606" s="25"/>
      <c r="G606" s="1">
        <v>5225</v>
      </c>
      <c r="H606" s="2">
        <v>103.5</v>
      </c>
      <c r="I606" s="2">
        <v>-18.899999999999999</v>
      </c>
      <c r="J606" s="2">
        <v>-22.8</v>
      </c>
      <c r="K606" s="2">
        <f t="shared" si="78"/>
        <v>-18.899999999999999</v>
      </c>
      <c r="L606" s="8">
        <f t="shared" si="82"/>
        <v>5.7543993733715476E-13</v>
      </c>
      <c r="M606" s="26"/>
      <c r="N606" s="17"/>
      <c r="O606" s="9">
        <f t="shared" si="80"/>
        <v>-22.8</v>
      </c>
      <c r="P606" s="8">
        <f>D602/B602*10^(O606/10)</f>
        <v>0.82219835439130917</v>
      </c>
      <c r="Q606" s="26"/>
      <c r="R606" s="17"/>
      <c r="S606" s="19"/>
      <c r="T606" s="17"/>
      <c r="U606" s="22"/>
    </row>
    <row r="607" spans="1:21" x14ac:dyDescent="0.25">
      <c r="A607" s="24"/>
      <c r="B607" s="24"/>
      <c r="C607" s="17"/>
      <c r="D607" s="24"/>
      <c r="E607" s="24"/>
      <c r="F607" s="25"/>
      <c r="G607" s="1">
        <v>5625</v>
      </c>
      <c r="H607" s="2">
        <v>99.5</v>
      </c>
      <c r="I607" s="2">
        <v>-17.600000000000001</v>
      </c>
      <c r="J607" s="2">
        <v>-20.6</v>
      </c>
      <c r="K607" s="2">
        <f t="shared" si="78"/>
        <v>-17.600000000000001</v>
      </c>
      <c r="L607" s="8">
        <f t="shared" si="82"/>
        <v>1.9498445997580419E-12</v>
      </c>
      <c r="M607" s="26"/>
      <c r="N607" s="17"/>
      <c r="O607" s="9">
        <f t="shared" si="80"/>
        <v>-20.6</v>
      </c>
      <c r="P607" s="8">
        <f>D602/B602*10^(O607/10)</f>
        <v>1.3645096242645254</v>
      </c>
      <c r="Q607" s="26"/>
      <c r="R607" s="17"/>
      <c r="S607" s="20"/>
      <c r="T607" s="17"/>
      <c r="U607" s="23"/>
    </row>
    <row r="608" spans="1:21" x14ac:dyDescent="0.25">
      <c r="A608" s="24">
        <v>8000</v>
      </c>
      <c r="B608" s="24">
        <v>3</v>
      </c>
      <c r="C608" s="17">
        <v>0.5</v>
      </c>
      <c r="D608" s="24">
        <v>943</v>
      </c>
      <c r="E608" s="24">
        <v>6</v>
      </c>
      <c r="F608" s="25">
        <v>54</v>
      </c>
      <c r="G608" s="1">
        <v>6025</v>
      </c>
      <c r="H608" s="2">
        <v>95</v>
      </c>
      <c r="I608" s="2">
        <v>-15.4</v>
      </c>
      <c r="J608" s="2">
        <v>-19</v>
      </c>
      <c r="K608" s="2">
        <f t="shared" si="78"/>
        <v>-15.4</v>
      </c>
      <c r="L608" s="8">
        <f t="shared" si="82"/>
        <v>9.1201083935590542E-12</v>
      </c>
      <c r="M608" s="26">
        <f>SUM(L608:L613)</f>
        <v>1.1132539862845657E-10</v>
      </c>
      <c r="N608" s="17">
        <f>10*LOG10(M608/E608)</f>
        <v>-107.31556991477495</v>
      </c>
      <c r="O608" s="9">
        <f t="shared" si="80"/>
        <v>-19</v>
      </c>
      <c r="P608" s="8">
        <f>D608/B608*10^(O608/10)</f>
        <v>3.9572222110729962</v>
      </c>
      <c r="Q608" s="26">
        <f>SUM(P608:P613)</f>
        <v>15.371663774101879</v>
      </c>
      <c r="R608" s="17">
        <f>10*LOG10(Q608)</f>
        <v>11.867208765307197</v>
      </c>
      <c r="S608" s="18">
        <f>F608+N608-Kzt-H</f>
        <v>-53.315569914774954</v>
      </c>
      <c r="T608" s="17">
        <v>0.7</v>
      </c>
      <c r="U608" s="21">
        <f>T608*10^((S608-R608)/10)</f>
        <v>2.1223654737344457E-7</v>
      </c>
    </row>
    <row r="609" spans="1:21" x14ac:dyDescent="0.25">
      <c r="A609" s="24"/>
      <c r="B609" s="24"/>
      <c r="C609" s="17"/>
      <c r="D609" s="24"/>
      <c r="E609" s="24"/>
      <c r="F609" s="25"/>
      <c r="G609" s="1">
        <v>7025</v>
      </c>
      <c r="H609" s="2">
        <v>94.8</v>
      </c>
      <c r="I609" s="2">
        <v>-17.399999999999999</v>
      </c>
      <c r="J609" s="2">
        <v>-21.9</v>
      </c>
      <c r="K609" s="2">
        <f t="shared" si="78"/>
        <v>-17.399999999999999</v>
      </c>
      <c r="L609" s="8">
        <f t="shared" si="82"/>
        <v>6.0255958607435815E-12</v>
      </c>
      <c r="M609" s="26"/>
      <c r="N609" s="17"/>
      <c r="O609" s="9">
        <f t="shared" si="80"/>
        <v>-21.9</v>
      </c>
      <c r="P609" s="8">
        <f>D608/B608*10^(O609/10)</f>
        <v>2.0295064599322661</v>
      </c>
      <c r="Q609" s="26"/>
      <c r="R609" s="17"/>
      <c r="S609" s="19"/>
      <c r="T609" s="17"/>
      <c r="U609" s="22"/>
    </row>
    <row r="610" spans="1:21" x14ac:dyDescent="0.25">
      <c r="A610" s="24"/>
      <c r="B610" s="24"/>
      <c r="C610" s="17"/>
      <c r="D610" s="24"/>
      <c r="E610" s="24"/>
      <c r="F610" s="25"/>
      <c r="G610" s="1">
        <v>8025</v>
      </c>
      <c r="H610" s="2">
        <v>101.9</v>
      </c>
      <c r="I610" s="2">
        <v>-19.399999999999999</v>
      </c>
      <c r="J610" s="2">
        <v>-20</v>
      </c>
      <c r="K610" s="2">
        <f t="shared" si="78"/>
        <v>-19.399999999999999</v>
      </c>
      <c r="L610" s="8">
        <f t="shared" si="82"/>
        <v>7.4131024130091393E-13</v>
      </c>
      <c r="M610" s="26"/>
      <c r="N610" s="17"/>
      <c r="O610" s="9">
        <f t="shared" si="80"/>
        <v>-20</v>
      </c>
      <c r="P610" s="8">
        <f>D608/B608*10^(O610/10)</f>
        <v>3.1433333333333331</v>
      </c>
      <c r="Q610" s="26"/>
      <c r="R610" s="17"/>
      <c r="S610" s="19"/>
      <c r="T610" s="17"/>
      <c r="U610" s="22"/>
    </row>
    <row r="611" spans="1:21" x14ac:dyDescent="0.25">
      <c r="A611" s="24"/>
      <c r="B611" s="24"/>
      <c r="C611" s="17"/>
      <c r="D611" s="24"/>
      <c r="E611" s="24"/>
      <c r="F611" s="25"/>
      <c r="G611" s="1">
        <v>9025</v>
      </c>
      <c r="H611" s="2">
        <v>93.2</v>
      </c>
      <c r="I611" s="2">
        <v>-19.100000000000001</v>
      </c>
      <c r="J611" s="2">
        <v>-20.7</v>
      </c>
      <c r="K611" s="2">
        <f t="shared" si="78"/>
        <v>-19.100000000000001</v>
      </c>
      <c r="L611" s="8">
        <f t="shared" si="82"/>
        <v>5.8884365535558725E-12</v>
      </c>
      <c r="M611" s="26"/>
      <c r="N611" s="17"/>
      <c r="O611" s="9">
        <f t="shared" si="80"/>
        <v>-20.7</v>
      </c>
      <c r="P611" s="8">
        <f>D608/B608*10^(O611/10)</f>
        <v>2.6754105667494708</v>
      </c>
      <c r="Q611" s="26"/>
      <c r="R611" s="17"/>
      <c r="S611" s="19"/>
      <c r="T611" s="17"/>
      <c r="U611" s="22"/>
    </row>
    <row r="612" spans="1:21" x14ac:dyDescent="0.25">
      <c r="A612" s="24"/>
      <c r="B612" s="24"/>
      <c r="C612" s="17"/>
      <c r="D612" s="24"/>
      <c r="E612" s="24"/>
      <c r="F612" s="25"/>
      <c r="G612" s="1">
        <v>10025</v>
      </c>
      <c r="H612" s="2">
        <v>88.3</v>
      </c>
      <c r="I612" s="2">
        <v>-15.5</v>
      </c>
      <c r="J612" s="2">
        <v>-21.5</v>
      </c>
      <c r="K612" s="2">
        <f t="shared" si="78"/>
        <v>-15.5</v>
      </c>
      <c r="L612" s="8">
        <f t="shared" si="82"/>
        <v>4.1686938347033529E-11</v>
      </c>
      <c r="M612" s="26"/>
      <c r="N612" s="17"/>
      <c r="O612" s="9">
        <f t="shared" si="80"/>
        <v>-21.5</v>
      </c>
      <c r="P612" s="8">
        <f>D608/B608*10^(O612/10)</f>
        <v>2.2253095822474735</v>
      </c>
      <c r="Q612" s="26"/>
      <c r="R612" s="17"/>
      <c r="S612" s="19"/>
      <c r="T612" s="17"/>
      <c r="U612" s="22"/>
    </row>
    <row r="613" spans="1:21" x14ac:dyDescent="0.25">
      <c r="A613" s="24"/>
      <c r="B613" s="24"/>
      <c r="C613" s="17"/>
      <c r="D613" s="24"/>
      <c r="E613" s="24"/>
      <c r="F613" s="25"/>
      <c r="G613" s="1">
        <v>11025</v>
      </c>
      <c r="H613" s="2">
        <v>86</v>
      </c>
      <c r="I613" s="2">
        <v>-17.2</v>
      </c>
      <c r="J613" s="2">
        <v>-23.7</v>
      </c>
      <c r="K613" s="2">
        <f t="shared" si="78"/>
        <v>-17.2</v>
      </c>
      <c r="L613" s="8">
        <f t="shared" si="82"/>
        <v>4.786300923226362E-11</v>
      </c>
      <c r="M613" s="26"/>
      <c r="N613" s="17"/>
      <c r="O613" s="9">
        <f t="shared" si="80"/>
        <v>-23.7</v>
      </c>
      <c r="P613" s="8">
        <f>D608/B608*10^(O613/10)</f>
        <v>1.340881620766339</v>
      </c>
      <c r="Q613" s="26"/>
      <c r="R613" s="17"/>
      <c r="S613" s="20"/>
      <c r="T613" s="17"/>
      <c r="U613" s="23"/>
    </row>
    <row r="614" spans="1:21" x14ac:dyDescent="0.25">
      <c r="A614" s="24" t="s">
        <v>20</v>
      </c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12">
        <f>U614</f>
        <v>6.5570380276566406E-2</v>
      </c>
      <c r="T614" s="2"/>
      <c r="U614" s="8">
        <f>0.8*SQRT(SUM(U580:U613))</f>
        <v>6.5570380276566406E-2</v>
      </c>
    </row>
    <row r="615" spans="1:21" x14ac:dyDescent="0.25">
      <c r="A615" s="27" t="s">
        <v>49</v>
      </c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9"/>
    </row>
    <row r="616" spans="1:21" x14ac:dyDescent="0.25">
      <c r="A616" s="24">
        <v>250</v>
      </c>
      <c r="B616" s="24">
        <v>3</v>
      </c>
      <c r="C616" s="17">
        <v>0.5</v>
      </c>
      <c r="D616" s="24">
        <v>38</v>
      </c>
      <c r="E616" s="24">
        <v>4</v>
      </c>
      <c r="F616" s="25">
        <v>84</v>
      </c>
      <c r="G616" s="1">
        <v>175</v>
      </c>
      <c r="H616" s="2">
        <v>84.8</v>
      </c>
      <c r="I616" s="2">
        <v>-14.1</v>
      </c>
      <c r="J616" s="2">
        <v>-18.3</v>
      </c>
      <c r="K616" s="2">
        <f>I616</f>
        <v>-14.1</v>
      </c>
      <c r="L616" s="8">
        <f>10^((K616-H616)/10)</f>
        <v>1.2882495516931369E-10</v>
      </c>
      <c r="M616" s="26">
        <f>SUM(L616:L619)</f>
        <v>2.3688103483116894E-10</v>
      </c>
      <c r="N616" s="17">
        <f>10*LOG10(M616/E616)</f>
        <v>-102.27529699697122</v>
      </c>
      <c r="O616" s="9">
        <f>J616</f>
        <v>-18.3</v>
      </c>
      <c r="P616" s="8">
        <f>D616/B616*10^(O616/10)</f>
        <v>0.18735372916797288</v>
      </c>
      <c r="Q616" s="26">
        <f>SUM(P616:P619)</f>
        <v>0.98853205720697856</v>
      </c>
      <c r="R616" s="17">
        <f>10*LOG10(Q616)</f>
        <v>-5.0092423418614973E-2</v>
      </c>
      <c r="S616" s="18">
        <f>F616+N616-Kzt-H</f>
        <v>-18.275296996971221</v>
      </c>
      <c r="T616" s="17">
        <v>0.2</v>
      </c>
      <c r="U616" s="21">
        <f>T616*10^((S616-R616)/10)</f>
        <v>3.0096052674080144E-3</v>
      </c>
    </row>
    <row r="617" spans="1:21" x14ac:dyDescent="0.25">
      <c r="A617" s="24"/>
      <c r="B617" s="24"/>
      <c r="C617" s="17"/>
      <c r="D617" s="24"/>
      <c r="E617" s="24"/>
      <c r="F617" s="25"/>
      <c r="G617" s="1">
        <v>225</v>
      </c>
      <c r="H617" s="2">
        <v>90</v>
      </c>
      <c r="I617" s="2">
        <v>-11.2</v>
      </c>
      <c r="J617" s="2">
        <v>-14.1</v>
      </c>
      <c r="K617" s="2">
        <f t="shared" ref="K617:K649" si="83">I617</f>
        <v>-11.2</v>
      </c>
      <c r="L617" s="8">
        <f t="shared" ref="L617:L618" si="84">10^((K617-H617)/10)</f>
        <v>7.5857757502918162E-11</v>
      </c>
      <c r="M617" s="26"/>
      <c r="N617" s="17"/>
      <c r="O617" s="9">
        <f t="shared" ref="O617:O649" si="85">J617</f>
        <v>-14.1</v>
      </c>
      <c r="P617" s="8">
        <f>D616/B616*10^(O617/10)</f>
        <v>0.49279051699275528</v>
      </c>
      <c r="Q617" s="26"/>
      <c r="R617" s="17"/>
      <c r="S617" s="19"/>
      <c r="T617" s="17"/>
      <c r="U617" s="22"/>
    </row>
    <row r="618" spans="1:21" x14ac:dyDescent="0.25">
      <c r="A618" s="24"/>
      <c r="B618" s="24"/>
      <c r="C618" s="17"/>
      <c r="D618" s="24"/>
      <c r="E618" s="24"/>
      <c r="F618" s="25"/>
      <c r="G618" s="1">
        <v>275</v>
      </c>
      <c r="H618" s="2">
        <v>92.2</v>
      </c>
      <c r="I618" s="2">
        <v>-13.8</v>
      </c>
      <c r="J618" s="2">
        <v>-17.899999999999999</v>
      </c>
      <c r="K618" s="2">
        <f t="shared" si="83"/>
        <v>-13.8</v>
      </c>
      <c r="L618" s="8">
        <f t="shared" si="84"/>
        <v>2.5118864315095759E-11</v>
      </c>
      <c r="M618" s="26"/>
      <c r="N618" s="17"/>
      <c r="O618" s="9">
        <f t="shared" si="85"/>
        <v>-17.899999999999999</v>
      </c>
      <c r="P618" s="8">
        <f>D616/B616*10^(O618/10)</f>
        <v>0.20542927899879787</v>
      </c>
      <c r="Q618" s="26"/>
      <c r="R618" s="17"/>
      <c r="S618" s="19"/>
      <c r="T618" s="17"/>
      <c r="U618" s="22"/>
    </row>
    <row r="619" spans="1:21" x14ac:dyDescent="0.25">
      <c r="A619" s="24"/>
      <c r="B619" s="24"/>
      <c r="C619" s="17"/>
      <c r="D619" s="24"/>
      <c r="E619" s="24"/>
      <c r="F619" s="25"/>
      <c r="G619" s="1">
        <v>325</v>
      </c>
      <c r="H619" s="2">
        <v>93.3</v>
      </c>
      <c r="I619" s="2">
        <v>-18.2</v>
      </c>
      <c r="J619" s="2">
        <v>-20.9</v>
      </c>
      <c r="K619" s="2">
        <f t="shared" si="83"/>
        <v>-18.2</v>
      </c>
      <c r="L619" s="8">
        <f>10^((K619-H619)/10)</f>
        <v>7.0794578438413538E-12</v>
      </c>
      <c r="M619" s="26"/>
      <c r="N619" s="17"/>
      <c r="O619" s="9">
        <f t="shared" si="85"/>
        <v>-20.9</v>
      </c>
      <c r="P619" s="8">
        <f>D616/B616*10^(O619/10)</f>
        <v>0.10295853204745253</v>
      </c>
      <c r="Q619" s="26"/>
      <c r="R619" s="17"/>
      <c r="S619" s="20"/>
      <c r="T619" s="17"/>
      <c r="U619" s="23"/>
    </row>
    <row r="620" spans="1:21" x14ac:dyDescent="0.25">
      <c r="A620" s="24">
        <v>500</v>
      </c>
      <c r="B620" s="24">
        <v>3</v>
      </c>
      <c r="C620" s="17">
        <v>0.5</v>
      </c>
      <c r="D620" s="24">
        <v>59</v>
      </c>
      <c r="E620" s="24">
        <v>6</v>
      </c>
      <c r="F620" s="25">
        <v>84</v>
      </c>
      <c r="G620" s="1">
        <v>375</v>
      </c>
      <c r="H620" s="2">
        <v>91.9</v>
      </c>
      <c r="I620" s="2">
        <v>-13.4</v>
      </c>
      <c r="J620" s="2">
        <v>-20.7</v>
      </c>
      <c r="K620" s="2">
        <f t="shared" si="83"/>
        <v>-13.4</v>
      </c>
      <c r="L620" s="8">
        <f t="shared" ref="L620:L621" si="86">10^((K620-H620)/10)</f>
        <v>2.9512092266663684E-11</v>
      </c>
      <c r="M620" s="26">
        <f>SUM(L620:L625)</f>
        <v>1.3362687403034166E-10</v>
      </c>
      <c r="N620" s="17">
        <f>10*LOG10(M620/E620)</f>
        <v>-106.52257441425337</v>
      </c>
      <c r="O620" s="9">
        <f t="shared" si="85"/>
        <v>-20.7</v>
      </c>
      <c r="P620" s="8">
        <f>D620/B620*10^(O620/10)</f>
        <v>0.16739048084646743</v>
      </c>
      <c r="Q620" s="26">
        <f>SUM(P620:P625)</f>
        <v>1.3496606989650917</v>
      </c>
      <c r="R620" s="17">
        <f>10*LOG10(Q620)</f>
        <v>1.3022460176305559</v>
      </c>
      <c r="S620" s="18">
        <f>F620+N620-Kzt-H</f>
        <v>-22.52257441425337</v>
      </c>
      <c r="T620" s="17">
        <v>0.5</v>
      </c>
      <c r="U620" s="21">
        <f>T620*10^((S620-R620)/10)</f>
        <v>2.0724686089575017E-3</v>
      </c>
    </row>
    <row r="621" spans="1:21" x14ac:dyDescent="0.25">
      <c r="A621" s="24"/>
      <c r="B621" s="24"/>
      <c r="C621" s="17"/>
      <c r="D621" s="24"/>
      <c r="E621" s="24"/>
      <c r="F621" s="25"/>
      <c r="G621" s="1">
        <v>425</v>
      </c>
      <c r="H621" s="2">
        <v>88.1</v>
      </c>
      <c r="I621" s="2">
        <v>-17.399999999999999</v>
      </c>
      <c r="J621" s="2">
        <v>-20.6</v>
      </c>
      <c r="K621" s="2">
        <f t="shared" si="83"/>
        <v>-17.399999999999999</v>
      </c>
      <c r="L621" s="8">
        <f t="shared" si="86"/>
        <v>2.8183829312644474E-11</v>
      </c>
      <c r="M621" s="26"/>
      <c r="N621" s="17"/>
      <c r="O621" s="9">
        <f t="shared" si="85"/>
        <v>-20.6</v>
      </c>
      <c r="P621" s="8">
        <f>D620/B620*10^(O621/10)</f>
        <v>0.17128950602469575</v>
      </c>
      <c r="Q621" s="26"/>
      <c r="R621" s="17"/>
      <c r="S621" s="19"/>
      <c r="T621" s="17"/>
      <c r="U621" s="22"/>
    </row>
    <row r="622" spans="1:21" x14ac:dyDescent="0.25">
      <c r="A622" s="24"/>
      <c r="B622" s="24"/>
      <c r="C622" s="17"/>
      <c r="D622" s="24"/>
      <c r="E622" s="24"/>
      <c r="F622" s="25"/>
      <c r="G622" s="1">
        <v>475</v>
      </c>
      <c r="H622" s="2">
        <v>90</v>
      </c>
      <c r="I622" s="2">
        <v>-14.4</v>
      </c>
      <c r="J622" s="2">
        <v>-17.100000000000001</v>
      </c>
      <c r="K622" s="2">
        <f t="shared" si="83"/>
        <v>-14.4</v>
      </c>
      <c r="L622" s="8">
        <f>10^((K622-H622)/10)</f>
        <v>3.6307805477009883E-11</v>
      </c>
      <c r="M622" s="26"/>
      <c r="N622" s="17"/>
      <c r="O622" s="9">
        <f t="shared" si="85"/>
        <v>-17.100000000000001</v>
      </c>
      <c r="P622" s="8">
        <f>D620/B620*10^(O622/10)</f>
        <v>0.38346943795241523</v>
      </c>
      <c r="Q622" s="26"/>
      <c r="R622" s="17"/>
      <c r="S622" s="19"/>
      <c r="T622" s="17"/>
      <c r="U622" s="22"/>
    </row>
    <row r="623" spans="1:21" x14ac:dyDescent="0.25">
      <c r="A623" s="24"/>
      <c r="B623" s="24"/>
      <c r="C623" s="17"/>
      <c r="D623" s="24"/>
      <c r="E623" s="24"/>
      <c r="F623" s="25"/>
      <c r="G623" s="1">
        <v>575</v>
      </c>
      <c r="H623" s="2">
        <v>97</v>
      </c>
      <c r="I623" s="2">
        <v>-15.4</v>
      </c>
      <c r="J623" s="2">
        <v>-19.8</v>
      </c>
      <c r="K623" s="2">
        <f t="shared" si="83"/>
        <v>-15.4</v>
      </c>
      <c r="L623" s="8">
        <f t="shared" ref="L623:L649" si="87">10^((K623-H623)/10)</f>
        <v>5.7543993733715538E-12</v>
      </c>
      <c r="M623" s="26"/>
      <c r="N623" s="17"/>
      <c r="O623" s="9">
        <f t="shared" si="85"/>
        <v>-19.8</v>
      </c>
      <c r="P623" s="8">
        <f>D620/B620*10^(O623/10)</f>
        <v>0.2059352811166768</v>
      </c>
      <c r="Q623" s="26"/>
      <c r="R623" s="17"/>
      <c r="S623" s="19"/>
      <c r="T623" s="17"/>
      <c r="U623" s="22"/>
    </row>
    <row r="624" spans="1:21" x14ac:dyDescent="0.25">
      <c r="A624" s="24"/>
      <c r="B624" s="24"/>
      <c r="C624" s="17"/>
      <c r="D624" s="24"/>
      <c r="E624" s="24"/>
      <c r="F624" s="25"/>
      <c r="G624" s="1">
        <v>625</v>
      </c>
      <c r="H624" s="2">
        <v>92</v>
      </c>
      <c r="I624" s="2">
        <v>-14.5</v>
      </c>
      <c r="J624" s="2">
        <v>-19.8</v>
      </c>
      <c r="K624" s="2">
        <f t="shared" si="83"/>
        <v>-14.5</v>
      </c>
      <c r="L624" s="8">
        <f t="shared" si="87"/>
        <v>2.238721138568329E-11</v>
      </c>
      <c r="M624" s="26"/>
      <c r="N624" s="17"/>
      <c r="O624" s="9">
        <f t="shared" si="85"/>
        <v>-19.8</v>
      </c>
      <c r="P624" s="8">
        <f>D620/B620*10^(O624/10)</f>
        <v>0.2059352811166768</v>
      </c>
      <c r="Q624" s="26"/>
      <c r="R624" s="17"/>
      <c r="S624" s="19"/>
      <c r="T624" s="17"/>
      <c r="U624" s="22"/>
    </row>
    <row r="625" spans="1:21" x14ac:dyDescent="0.25">
      <c r="A625" s="24"/>
      <c r="B625" s="24"/>
      <c r="C625" s="17"/>
      <c r="D625" s="24"/>
      <c r="E625" s="24"/>
      <c r="F625" s="25"/>
      <c r="G625" s="1">
        <v>675</v>
      </c>
      <c r="H625" s="2">
        <v>94.5</v>
      </c>
      <c r="I625" s="2">
        <v>-14.9</v>
      </c>
      <c r="J625" s="2">
        <v>-19.600000000000001</v>
      </c>
      <c r="K625" s="2">
        <f t="shared" si="83"/>
        <v>-14.9</v>
      </c>
      <c r="L625" s="8">
        <f t="shared" si="87"/>
        <v>1.1481536214968764E-11</v>
      </c>
      <c r="M625" s="26"/>
      <c r="N625" s="17"/>
      <c r="O625" s="9">
        <f t="shared" si="85"/>
        <v>-19.600000000000001</v>
      </c>
      <c r="P625" s="8">
        <f>D620/B620*10^(O625/10)</f>
        <v>0.21564071190815956</v>
      </c>
      <c r="Q625" s="26"/>
      <c r="R625" s="17"/>
      <c r="S625" s="20"/>
      <c r="T625" s="17"/>
      <c r="U625" s="23"/>
    </row>
    <row r="626" spans="1:21" x14ac:dyDescent="0.25">
      <c r="A626" s="24">
        <v>1000</v>
      </c>
      <c r="B626" s="24">
        <v>3</v>
      </c>
      <c r="C626" s="17">
        <v>0.5</v>
      </c>
      <c r="D626" s="24">
        <v>117</v>
      </c>
      <c r="E626" s="24">
        <v>6</v>
      </c>
      <c r="F626" s="25">
        <v>76</v>
      </c>
      <c r="G626" s="1">
        <v>875</v>
      </c>
      <c r="H626" s="2">
        <v>91.1</v>
      </c>
      <c r="I626" s="2">
        <v>-10.9</v>
      </c>
      <c r="J626" s="2">
        <v>-25.3</v>
      </c>
      <c r="K626" s="2">
        <f t="shared" si="83"/>
        <v>-10.9</v>
      </c>
      <c r="L626" s="8">
        <f t="shared" si="87"/>
        <v>6.3095734448019192E-11</v>
      </c>
      <c r="M626" s="26">
        <f>SUM(L626:L631)</f>
        <v>9.5043142603700096E-11</v>
      </c>
      <c r="N626" s="17">
        <f>10*LOG10(M626/E626)</f>
        <v>-108.00230462552064</v>
      </c>
      <c r="O626" s="9">
        <f t="shared" si="85"/>
        <v>-25.3</v>
      </c>
      <c r="P626" s="8">
        <f>D626/B626*10^(O626/10)</f>
        <v>0.11509715983998897</v>
      </c>
      <c r="Q626" s="26">
        <f>SUM(P626:P631)</f>
        <v>2.302260874618991</v>
      </c>
      <c r="R626" s="17">
        <f>10*LOG10(Q626)</f>
        <v>3.6215453301588947</v>
      </c>
      <c r="S626" s="18">
        <f>F626+N626-Kzt-H</f>
        <v>-32.002304625520637</v>
      </c>
      <c r="T626" s="17">
        <v>0.8</v>
      </c>
      <c r="U626" s="21">
        <f>T626*10^((S626-R626)/10)</f>
        <v>2.1913159074545701E-4</v>
      </c>
    </row>
    <row r="627" spans="1:21" x14ac:dyDescent="0.25">
      <c r="A627" s="24"/>
      <c r="B627" s="24"/>
      <c r="C627" s="17"/>
      <c r="D627" s="24"/>
      <c r="E627" s="24"/>
      <c r="F627" s="25"/>
      <c r="G627" s="1">
        <v>975</v>
      </c>
      <c r="H627" s="2">
        <v>96.5</v>
      </c>
      <c r="I627" s="2">
        <v>-15.1</v>
      </c>
      <c r="J627" s="2">
        <v>-21.3</v>
      </c>
      <c r="K627" s="2">
        <f t="shared" si="83"/>
        <v>-15.1</v>
      </c>
      <c r="L627" s="8">
        <f t="shared" si="87"/>
        <v>6.9183097091893405E-12</v>
      </c>
      <c r="M627" s="26"/>
      <c r="N627" s="17"/>
      <c r="O627" s="9">
        <f t="shared" si="85"/>
        <v>-21.3</v>
      </c>
      <c r="P627" s="8">
        <f>D626/B626*10^(O627/10)</f>
        <v>0.2891109941073578</v>
      </c>
      <c r="Q627" s="26"/>
      <c r="R627" s="17"/>
      <c r="S627" s="19"/>
      <c r="T627" s="17"/>
      <c r="U627" s="22"/>
    </row>
    <row r="628" spans="1:21" x14ac:dyDescent="0.25">
      <c r="A628" s="24"/>
      <c r="B628" s="24"/>
      <c r="C628" s="17"/>
      <c r="D628" s="24"/>
      <c r="E628" s="24"/>
      <c r="F628" s="25"/>
      <c r="G628" s="1">
        <v>1075</v>
      </c>
      <c r="H628" s="2">
        <v>94.6</v>
      </c>
      <c r="I628" s="2">
        <v>-16.3</v>
      </c>
      <c r="J628" s="2">
        <v>-19.600000000000001</v>
      </c>
      <c r="K628" s="2">
        <f t="shared" si="83"/>
        <v>-16.3</v>
      </c>
      <c r="L628" s="8">
        <f t="shared" si="87"/>
        <v>8.1283051616409864E-12</v>
      </c>
      <c r="M628" s="26"/>
      <c r="N628" s="17"/>
      <c r="O628" s="9">
        <f t="shared" si="85"/>
        <v>-19.600000000000001</v>
      </c>
      <c r="P628" s="8">
        <f>D626/B626*10^(O628/10)</f>
        <v>0.42762649649584183</v>
      </c>
      <c r="Q628" s="26"/>
      <c r="R628" s="17"/>
      <c r="S628" s="19"/>
      <c r="T628" s="17"/>
      <c r="U628" s="22"/>
    </row>
    <row r="629" spans="1:21" x14ac:dyDescent="0.25">
      <c r="A629" s="24"/>
      <c r="B629" s="24"/>
      <c r="C629" s="17"/>
      <c r="D629" s="24"/>
      <c r="E629" s="24"/>
      <c r="F629" s="25"/>
      <c r="G629" s="1">
        <v>1175</v>
      </c>
      <c r="H629" s="2">
        <v>97.8</v>
      </c>
      <c r="I629" s="2">
        <v>-12.4</v>
      </c>
      <c r="J629" s="2">
        <v>-21.5</v>
      </c>
      <c r="K629" s="2">
        <f t="shared" si="83"/>
        <v>-12.4</v>
      </c>
      <c r="L629" s="8">
        <f t="shared" si="87"/>
        <v>9.5499258602143472E-12</v>
      </c>
      <c r="M629" s="26"/>
      <c r="N629" s="17"/>
      <c r="O629" s="9">
        <f t="shared" si="85"/>
        <v>-21.5</v>
      </c>
      <c r="P629" s="8">
        <f>D626/B626*10^(O629/10)</f>
        <v>0.27609885590981381</v>
      </c>
      <c r="Q629" s="26"/>
      <c r="R629" s="17"/>
      <c r="S629" s="19"/>
      <c r="T629" s="17"/>
      <c r="U629" s="22"/>
    </row>
    <row r="630" spans="1:21" x14ac:dyDescent="0.25">
      <c r="A630" s="24"/>
      <c r="B630" s="24"/>
      <c r="C630" s="17"/>
      <c r="D630" s="24"/>
      <c r="E630" s="24"/>
      <c r="F630" s="25"/>
      <c r="G630" s="1">
        <v>1275</v>
      </c>
      <c r="H630" s="2">
        <v>100.1</v>
      </c>
      <c r="I630" s="2">
        <v>-13.4</v>
      </c>
      <c r="J630" s="2">
        <v>-18.100000000000001</v>
      </c>
      <c r="K630" s="2">
        <f t="shared" si="83"/>
        <v>-13.4</v>
      </c>
      <c r="L630" s="8">
        <f t="shared" si="87"/>
        <v>4.4668359215096234E-12</v>
      </c>
      <c r="M630" s="26"/>
      <c r="N630" s="17"/>
      <c r="O630" s="9">
        <f t="shared" si="85"/>
        <v>-18.100000000000001</v>
      </c>
      <c r="P630" s="8">
        <f>D626/B626*10^(O630/10)</f>
        <v>0.60403848137586735</v>
      </c>
      <c r="Q630" s="26"/>
      <c r="R630" s="17"/>
      <c r="S630" s="19"/>
      <c r="T630" s="17"/>
      <c r="U630" s="22"/>
    </row>
    <row r="631" spans="1:21" x14ac:dyDescent="0.25">
      <c r="A631" s="24"/>
      <c r="B631" s="24"/>
      <c r="C631" s="17"/>
      <c r="D631" s="24"/>
      <c r="E631" s="24"/>
      <c r="F631" s="25"/>
      <c r="G631" s="1">
        <v>1375</v>
      </c>
      <c r="H631" s="2">
        <v>103</v>
      </c>
      <c r="I631" s="2">
        <v>-12.4</v>
      </c>
      <c r="J631" s="2">
        <v>-18.2</v>
      </c>
      <c r="K631" s="2">
        <f t="shared" si="83"/>
        <v>-12.4</v>
      </c>
      <c r="L631" s="8">
        <f t="shared" si="87"/>
        <v>2.8840315031265959E-12</v>
      </c>
      <c r="M631" s="26"/>
      <c r="N631" s="17"/>
      <c r="O631" s="9">
        <f t="shared" si="85"/>
        <v>-18.2</v>
      </c>
      <c r="P631" s="8">
        <f>D626/B626*10^(O631/10)</f>
        <v>0.59028888689012093</v>
      </c>
      <c r="Q631" s="26"/>
      <c r="R631" s="17"/>
      <c r="S631" s="20"/>
      <c r="T631" s="17"/>
      <c r="U631" s="23"/>
    </row>
    <row r="632" spans="1:21" x14ac:dyDescent="0.25">
      <c r="A632" s="24">
        <v>2000</v>
      </c>
      <c r="B632" s="24">
        <v>3</v>
      </c>
      <c r="C632" s="17">
        <v>0.5</v>
      </c>
      <c r="D632" s="24">
        <v>234</v>
      </c>
      <c r="E632" s="24">
        <v>6</v>
      </c>
      <c r="F632" s="25">
        <v>68</v>
      </c>
      <c r="G632" s="1">
        <v>1425</v>
      </c>
      <c r="H632" s="2">
        <v>102.8</v>
      </c>
      <c r="I632" s="2">
        <v>-15.2</v>
      </c>
      <c r="J632" s="2">
        <v>-25.2</v>
      </c>
      <c r="K632" s="2">
        <f t="shared" si="83"/>
        <v>-15.2</v>
      </c>
      <c r="L632" s="8">
        <f t="shared" si="87"/>
        <v>1.5848931924611065E-12</v>
      </c>
      <c r="M632" s="26">
        <f>SUM(L632:L637)</f>
        <v>1.5793851664181721E-11</v>
      </c>
      <c r="N632" s="17">
        <f>10*LOG10(M632/E632)</f>
        <v>-115.79663195580213</v>
      </c>
      <c r="O632" s="9">
        <f t="shared" si="85"/>
        <v>-25.2</v>
      </c>
      <c r="P632" s="8">
        <f>D632/B632*10^(O632/10)</f>
        <v>0.23555623419135704</v>
      </c>
      <c r="Q632" s="26">
        <f>SUM(P632:P637)</f>
        <v>4.6806109786342303</v>
      </c>
      <c r="R632" s="17">
        <f>10*LOG10(Q632)</f>
        <v>6.7030254694814353</v>
      </c>
      <c r="S632" s="18">
        <f>F632+N632-Kzt-H</f>
        <v>-47.796631955802127</v>
      </c>
      <c r="T632" s="17">
        <v>1</v>
      </c>
      <c r="U632" s="21">
        <f>T632*10^((S632-R632)/10)</f>
        <v>3.5484137828141672E-6</v>
      </c>
    </row>
    <row r="633" spans="1:21" x14ac:dyDescent="0.25">
      <c r="A633" s="24"/>
      <c r="B633" s="24"/>
      <c r="C633" s="17"/>
      <c r="D633" s="24"/>
      <c r="E633" s="24"/>
      <c r="F633" s="25"/>
      <c r="G633" s="1">
        <v>1625</v>
      </c>
      <c r="H633" s="2">
        <v>104.1</v>
      </c>
      <c r="I633" s="2">
        <v>-14.4</v>
      </c>
      <c r="J633" s="2">
        <v>-19.7</v>
      </c>
      <c r="K633" s="2">
        <f t="shared" si="83"/>
        <v>-14.4</v>
      </c>
      <c r="L633" s="8">
        <f t="shared" si="87"/>
        <v>1.4125375446227535E-12</v>
      </c>
      <c r="M633" s="26"/>
      <c r="N633" s="17"/>
      <c r="O633" s="9">
        <f t="shared" si="85"/>
        <v>-19.7</v>
      </c>
      <c r="P633" s="8">
        <f>D632/B632*10^(O633/10)</f>
        <v>0.83578505808533243</v>
      </c>
      <c r="Q633" s="26"/>
      <c r="R633" s="17"/>
      <c r="S633" s="19"/>
      <c r="T633" s="17"/>
      <c r="U633" s="22"/>
    </row>
    <row r="634" spans="1:21" x14ac:dyDescent="0.25">
      <c r="A634" s="24"/>
      <c r="B634" s="24"/>
      <c r="C634" s="17"/>
      <c r="D634" s="24"/>
      <c r="E634" s="24"/>
      <c r="F634" s="25"/>
      <c r="G634" s="1">
        <v>1825</v>
      </c>
      <c r="H634" s="2">
        <v>107.6</v>
      </c>
      <c r="I634" s="2">
        <v>-14.8</v>
      </c>
      <c r="J634" s="2">
        <v>-23.2</v>
      </c>
      <c r="K634" s="2">
        <f t="shared" si="83"/>
        <v>-14.8</v>
      </c>
      <c r="L634" s="8">
        <f t="shared" si="87"/>
        <v>5.7543993733715678E-13</v>
      </c>
      <c r="M634" s="26"/>
      <c r="N634" s="17"/>
      <c r="O634" s="9">
        <f t="shared" si="85"/>
        <v>-23.2</v>
      </c>
      <c r="P634" s="8">
        <f>D632/B632*10^(O634/10)</f>
        <v>0.37333147201165795</v>
      </c>
      <c r="Q634" s="26"/>
      <c r="R634" s="17"/>
      <c r="S634" s="19"/>
      <c r="T634" s="17"/>
      <c r="U634" s="22"/>
    </row>
    <row r="635" spans="1:21" x14ac:dyDescent="0.25">
      <c r="A635" s="24"/>
      <c r="B635" s="24"/>
      <c r="C635" s="17"/>
      <c r="D635" s="24"/>
      <c r="E635" s="24"/>
      <c r="F635" s="25"/>
      <c r="G635" s="1">
        <v>2125</v>
      </c>
      <c r="H635" s="2">
        <v>104.2</v>
      </c>
      <c r="I635" s="2">
        <v>-16.100000000000001</v>
      </c>
      <c r="J635" s="2">
        <v>-18.3</v>
      </c>
      <c r="K635" s="2">
        <f t="shared" si="83"/>
        <v>-16.100000000000001</v>
      </c>
      <c r="L635" s="8">
        <f t="shared" si="87"/>
        <v>9.3325430079698564E-13</v>
      </c>
      <c r="M635" s="26"/>
      <c r="N635" s="17"/>
      <c r="O635" s="9">
        <f t="shared" si="85"/>
        <v>-18.3</v>
      </c>
      <c r="P635" s="8">
        <f>D632/B632*10^(O635/10)</f>
        <v>1.1537045427712016</v>
      </c>
      <c r="Q635" s="26"/>
      <c r="R635" s="17"/>
      <c r="S635" s="19"/>
      <c r="T635" s="17"/>
      <c r="U635" s="22"/>
    </row>
    <row r="636" spans="1:21" x14ac:dyDescent="0.25">
      <c r="A636" s="24"/>
      <c r="B636" s="24"/>
      <c r="C636" s="17"/>
      <c r="D636" s="24"/>
      <c r="E636" s="24"/>
      <c r="F636" s="25"/>
      <c r="G636" s="1">
        <v>2425</v>
      </c>
      <c r="H636" s="2">
        <v>93.7</v>
      </c>
      <c r="I636" s="2">
        <v>-16.5</v>
      </c>
      <c r="J636" s="2">
        <v>-17.5</v>
      </c>
      <c r="K636" s="2">
        <f t="shared" si="83"/>
        <v>-16.5</v>
      </c>
      <c r="L636" s="8">
        <f t="shared" si="87"/>
        <v>9.5499258602143472E-12</v>
      </c>
      <c r="M636" s="26"/>
      <c r="N636" s="17"/>
      <c r="O636" s="9">
        <f t="shared" si="85"/>
        <v>-17.5</v>
      </c>
      <c r="P636" s="8">
        <f>D632/B632*10^(O636/10)</f>
        <v>1.3870579398303595</v>
      </c>
      <c r="Q636" s="26"/>
      <c r="R636" s="17"/>
      <c r="S636" s="19"/>
      <c r="T636" s="17"/>
      <c r="U636" s="22"/>
    </row>
    <row r="637" spans="1:21" x14ac:dyDescent="0.25">
      <c r="A637" s="24"/>
      <c r="B637" s="24"/>
      <c r="C637" s="17"/>
      <c r="D637" s="24"/>
      <c r="E637" s="24"/>
      <c r="F637" s="25"/>
      <c r="G637" s="1">
        <v>2775</v>
      </c>
      <c r="H637" s="2">
        <v>100.2</v>
      </c>
      <c r="I637" s="2">
        <v>-17.399999999999999</v>
      </c>
      <c r="J637" s="2">
        <v>-20.5</v>
      </c>
      <c r="K637" s="2">
        <f t="shared" si="83"/>
        <v>-17.399999999999999</v>
      </c>
      <c r="L637" s="8">
        <f t="shared" si="87"/>
        <v>1.737800828749373E-12</v>
      </c>
      <c r="M637" s="26"/>
      <c r="N637" s="17"/>
      <c r="O637" s="9">
        <f t="shared" si="85"/>
        <v>-20.5</v>
      </c>
      <c r="P637" s="8">
        <f>D632/B632*10^(O637/10)</f>
        <v>0.69517573174432157</v>
      </c>
      <c r="Q637" s="26"/>
      <c r="R637" s="17"/>
      <c r="S637" s="20"/>
      <c r="T637" s="17"/>
      <c r="U637" s="23"/>
    </row>
    <row r="638" spans="1:21" x14ac:dyDescent="0.25">
      <c r="A638" s="24">
        <v>4000</v>
      </c>
      <c r="B638" s="24">
        <v>3</v>
      </c>
      <c r="C638" s="17">
        <v>0.5</v>
      </c>
      <c r="D638" s="24">
        <v>470</v>
      </c>
      <c r="E638" s="24">
        <v>6</v>
      </c>
      <c r="F638" s="25">
        <v>62</v>
      </c>
      <c r="G638" s="1">
        <v>2825</v>
      </c>
      <c r="H638" s="2">
        <v>99.4</v>
      </c>
      <c r="I638" s="2">
        <v>-16.3</v>
      </c>
      <c r="J638" s="2">
        <v>-22.4</v>
      </c>
      <c r="K638" s="2">
        <f t="shared" si="83"/>
        <v>-16.3</v>
      </c>
      <c r="L638" s="8">
        <f t="shared" si="87"/>
        <v>2.6915348039269074E-12</v>
      </c>
      <c r="M638" s="26">
        <f>SUM(L638:L643)</f>
        <v>9.1444933810554955E-12</v>
      </c>
      <c r="N638" s="17">
        <f>10*LOG10(M638/E638)</f>
        <v>-118.16991600484459</v>
      </c>
      <c r="O638" s="9">
        <f t="shared" si="85"/>
        <v>-22.4</v>
      </c>
      <c r="P638" s="8">
        <f>D638/B638*10^(O638/10)</f>
        <v>0.90152256849487922</v>
      </c>
      <c r="Q638" s="26">
        <f>SUM(P638:P643)</f>
        <v>10.041985424690505</v>
      </c>
      <c r="R638" s="17">
        <f>10*LOG10(Q638)</f>
        <v>10.01819586687693</v>
      </c>
      <c r="S638" s="18">
        <f>F638+N638-Kzt-H</f>
        <v>-56.169916004844595</v>
      </c>
      <c r="T638" s="17">
        <v>0.9</v>
      </c>
      <c r="U638" s="21">
        <f>T638*10^((S638-R638)/10)</f>
        <v>2.1648675080486682E-7</v>
      </c>
    </row>
    <row r="639" spans="1:21" x14ac:dyDescent="0.25">
      <c r="A639" s="24"/>
      <c r="B639" s="24"/>
      <c r="C639" s="17"/>
      <c r="D639" s="24"/>
      <c r="E639" s="24"/>
      <c r="F639" s="25"/>
      <c r="G639" s="1">
        <v>3425</v>
      </c>
      <c r="H639" s="2">
        <v>103.5</v>
      </c>
      <c r="I639" s="2">
        <v>-16.5</v>
      </c>
      <c r="J639" s="2">
        <v>-22.4</v>
      </c>
      <c r="K639" s="2">
        <f t="shared" si="83"/>
        <v>-16.5</v>
      </c>
      <c r="L639" s="8">
        <f t="shared" si="87"/>
        <v>9.9999999999999998E-13</v>
      </c>
      <c r="M639" s="26"/>
      <c r="N639" s="17"/>
      <c r="O639" s="9">
        <f t="shared" si="85"/>
        <v>-22.4</v>
      </c>
      <c r="P639" s="8">
        <f>D638/B638*10^(O639/10)</f>
        <v>0.90152256849487922</v>
      </c>
      <c r="Q639" s="26"/>
      <c r="R639" s="17"/>
      <c r="S639" s="19"/>
      <c r="T639" s="17"/>
      <c r="U639" s="22"/>
    </row>
    <row r="640" spans="1:21" x14ac:dyDescent="0.25">
      <c r="A640" s="24"/>
      <c r="B640" s="24"/>
      <c r="C640" s="17"/>
      <c r="D640" s="24"/>
      <c r="E640" s="24"/>
      <c r="F640" s="25"/>
      <c r="G640" s="1">
        <v>4025</v>
      </c>
      <c r="H640" s="2">
        <v>103.6</v>
      </c>
      <c r="I640" s="2">
        <v>-17.900000000000002</v>
      </c>
      <c r="J640" s="2">
        <v>-19.3</v>
      </c>
      <c r="K640" s="2">
        <f t="shared" si="83"/>
        <v>-17.900000000000002</v>
      </c>
      <c r="L640" s="8">
        <f t="shared" si="87"/>
        <v>7.0794578438413455E-13</v>
      </c>
      <c r="M640" s="26"/>
      <c r="N640" s="17"/>
      <c r="O640" s="9">
        <f t="shared" si="85"/>
        <v>-19.3</v>
      </c>
      <c r="P640" s="8">
        <f>D638/B638*10^(O640/10)</f>
        <v>1.8406728360719276</v>
      </c>
      <c r="Q640" s="26"/>
      <c r="R640" s="17"/>
      <c r="S640" s="19"/>
      <c r="T640" s="17"/>
      <c r="U640" s="22"/>
    </row>
    <row r="641" spans="1:21" x14ac:dyDescent="0.25">
      <c r="A641" s="24"/>
      <c r="B641" s="24"/>
      <c r="C641" s="17"/>
      <c r="D641" s="24"/>
      <c r="E641" s="24"/>
      <c r="F641" s="25"/>
      <c r="G641" s="1">
        <v>4625</v>
      </c>
      <c r="H641" s="2">
        <v>105.6</v>
      </c>
      <c r="I641" s="2">
        <v>-17.2</v>
      </c>
      <c r="J641" s="2">
        <v>-18.5</v>
      </c>
      <c r="K641" s="2">
        <f t="shared" si="83"/>
        <v>-17.2</v>
      </c>
      <c r="L641" s="8">
        <f t="shared" si="87"/>
        <v>5.2480746024977259E-13</v>
      </c>
      <c r="M641" s="26"/>
      <c r="N641" s="17"/>
      <c r="O641" s="9">
        <f t="shared" si="85"/>
        <v>-18.5</v>
      </c>
      <c r="P641" s="8">
        <f>D638/B638*10^(O641/10)</f>
        <v>2.2129754865756457</v>
      </c>
      <c r="Q641" s="26"/>
      <c r="R641" s="17"/>
      <c r="S641" s="19"/>
      <c r="T641" s="17"/>
      <c r="U641" s="22"/>
    </row>
    <row r="642" spans="1:21" x14ac:dyDescent="0.25">
      <c r="A642" s="24"/>
      <c r="B642" s="24"/>
      <c r="C642" s="17"/>
      <c r="D642" s="24"/>
      <c r="E642" s="24"/>
      <c r="F642" s="25"/>
      <c r="G642" s="1">
        <v>5225</v>
      </c>
      <c r="H642" s="2">
        <v>103.5</v>
      </c>
      <c r="I642" s="2">
        <v>-17.3</v>
      </c>
      <c r="J642" s="2">
        <v>-18.5</v>
      </c>
      <c r="K642" s="2">
        <f t="shared" si="83"/>
        <v>-17.3</v>
      </c>
      <c r="L642" s="8">
        <f t="shared" si="87"/>
        <v>8.3176377110266952E-13</v>
      </c>
      <c r="M642" s="26"/>
      <c r="N642" s="17"/>
      <c r="O642" s="9">
        <f t="shared" si="85"/>
        <v>-18.5</v>
      </c>
      <c r="P642" s="8">
        <f>D638/B638*10^(O642/10)</f>
        <v>2.2129754865756457</v>
      </c>
      <c r="Q642" s="26"/>
      <c r="R642" s="17"/>
      <c r="S642" s="19"/>
      <c r="T642" s="17"/>
      <c r="U642" s="22"/>
    </row>
    <row r="643" spans="1:21" x14ac:dyDescent="0.25">
      <c r="A643" s="24"/>
      <c r="B643" s="24"/>
      <c r="C643" s="17"/>
      <c r="D643" s="24"/>
      <c r="E643" s="24"/>
      <c r="F643" s="25"/>
      <c r="G643" s="1">
        <v>5625</v>
      </c>
      <c r="H643" s="2">
        <v>99.5</v>
      </c>
      <c r="I643" s="2">
        <v>-15.2</v>
      </c>
      <c r="J643" s="2">
        <v>-19</v>
      </c>
      <c r="K643" s="2">
        <f t="shared" si="83"/>
        <v>-15.2</v>
      </c>
      <c r="L643" s="8">
        <f t="shared" si="87"/>
        <v>3.3884415613920115E-12</v>
      </c>
      <c r="M643" s="26"/>
      <c r="N643" s="17"/>
      <c r="O643" s="9">
        <f t="shared" si="85"/>
        <v>-19</v>
      </c>
      <c r="P643" s="8">
        <f>D638/B638*10^(O643/10)</f>
        <v>1.9723164784775273</v>
      </c>
      <c r="Q643" s="26"/>
      <c r="R643" s="17"/>
      <c r="S643" s="20"/>
      <c r="T643" s="17"/>
      <c r="U643" s="23"/>
    </row>
    <row r="644" spans="1:21" x14ac:dyDescent="0.25">
      <c r="A644" s="24">
        <v>8000</v>
      </c>
      <c r="B644" s="24">
        <v>3</v>
      </c>
      <c r="C644" s="17">
        <v>0.5</v>
      </c>
      <c r="D644" s="24">
        <v>943</v>
      </c>
      <c r="E644" s="24">
        <v>6</v>
      </c>
      <c r="F644" s="25">
        <v>54</v>
      </c>
      <c r="G644" s="1">
        <v>6025</v>
      </c>
      <c r="H644" s="2">
        <v>95</v>
      </c>
      <c r="I644" s="2">
        <v>-16.399999999999999</v>
      </c>
      <c r="J644" s="2">
        <v>-20.3</v>
      </c>
      <c r="K644" s="2">
        <f t="shared" si="83"/>
        <v>-16.399999999999999</v>
      </c>
      <c r="L644" s="8">
        <f t="shared" si="87"/>
        <v>7.2443596007498734E-12</v>
      </c>
      <c r="M644" s="26">
        <f>SUM(L644:L649)</f>
        <v>1.1882208431354588E-10</v>
      </c>
      <c r="N644" s="17">
        <f>10*LOG10(M644/E644)</f>
        <v>-107.03254084114292</v>
      </c>
      <c r="O644" s="9">
        <f t="shared" si="85"/>
        <v>-20.3</v>
      </c>
      <c r="P644" s="8">
        <f>D644/B644*10^(O644/10)</f>
        <v>2.9335293521718722</v>
      </c>
      <c r="Q644" s="26">
        <f>SUM(P644:P649)</f>
        <v>17.54405522699675</v>
      </c>
      <c r="R644" s="17">
        <f>10*LOG10(Q644)</f>
        <v>12.441299857888344</v>
      </c>
      <c r="S644" s="18">
        <f>F644+N644-Kzt-H</f>
        <v>-53.032540841142918</v>
      </c>
      <c r="T644" s="17">
        <v>0.7</v>
      </c>
      <c r="U644" s="21">
        <f>T644*10^((S644-R644)/10)</f>
        <v>1.9847872896961043E-7</v>
      </c>
    </row>
    <row r="645" spans="1:21" x14ac:dyDescent="0.25">
      <c r="A645" s="24"/>
      <c r="B645" s="24"/>
      <c r="C645" s="17"/>
      <c r="D645" s="24"/>
      <c r="E645" s="24"/>
      <c r="F645" s="25"/>
      <c r="G645" s="1">
        <v>7025</v>
      </c>
      <c r="H645" s="2">
        <v>94.8</v>
      </c>
      <c r="I645" s="2">
        <v>-14</v>
      </c>
      <c r="J645" s="2">
        <v>-19.399999999999999</v>
      </c>
      <c r="K645" s="2">
        <f t="shared" si="83"/>
        <v>-14</v>
      </c>
      <c r="L645" s="8">
        <f t="shared" si="87"/>
        <v>1.3182567385564083E-11</v>
      </c>
      <c r="M645" s="26"/>
      <c r="N645" s="17"/>
      <c r="O645" s="9">
        <f t="shared" si="85"/>
        <v>-19.399999999999999</v>
      </c>
      <c r="P645" s="8">
        <f>D644/B644*10^(O645/10)</f>
        <v>3.6090295502385343</v>
      </c>
      <c r="Q645" s="26"/>
      <c r="R645" s="17"/>
      <c r="S645" s="19"/>
      <c r="T645" s="17"/>
      <c r="U645" s="22"/>
    </row>
    <row r="646" spans="1:21" x14ac:dyDescent="0.25">
      <c r="A646" s="24"/>
      <c r="B646" s="24"/>
      <c r="C646" s="17"/>
      <c r="D646" s="24"/>
      <c r="E646" s="24"/>
      <c r="F646" s="25"/>
      <c r="G646" s="1">
        <v>8025</v>
      </c>
      <c r="H646" s="2">
        <v>101.9</v>
      </c>
      <c r="I646" s="2">
        <v>-14.8</v>
      </c>
      <c r="J646" s="2">
        <v>-22.9</v>
      </c>
      <c r="K646" s="2">
        <f t="shared" si="83"/>
        <v>-14.8</v>
      </c>
      <c r="L646" s="8">
        <f t="shared" si="87"/>
        <v>2.1379620895022273E-12</v>
      </c>
      <c r="M646" s="26"/>
      <c r="N646" s="17"/>
      <c r="O646" s="9">
        <f t="shared" si="85"/>
        <v>-22.9</v>
      </c>
      <c r="P646" s="8">
        <f>D644/B644*10^(O646/10)</f>
        <v>1.6120942836795229</v>
      </c>
      <c r="Q646" s="26"/>
      <c r="R646" s="17"/>
      <c r="S646" s="19"/>
      <c r="T646" s="17"/>
      <c r="U646" s="22"/>
    </row>
    <row r="647" spans="1:21" x14ac:dyDescent="0.25">
      <c r="A647" s="24"/>
      <c r="B647" s="24"/>
      <c r="C647" s="17"/>
      <c r="D647" s="24"/>
      <c r="E647" s="24"/>
      <c r="F647" s="25"/>
      <c r="G647" s="1">
        <v>9025</v>
      </c>
      <c r="H647" s="2">
        <v>93.2</v>
      </c>
      <c r="I647" s="2">
        <v>-17.2</v>
      </c>
      <c r="J647" s="2">
        <v>-22.2</v>
      </c>
      <c r="K647" s="2">
        <f t="shared" si="83"/>
        <v>-17.2</v>
      </c>
      <c r="L647" s="8">
        <f t="shared" si="87"/>
        <v>9.1201083935590542E-12</v>
      </c>
      <c r="M647" s="26"/>
      <c r="N647" s="17"/>
      <c r="O647" s="9">
        <f t="shared" si="85"/>
        <v>-22.2</v>
      </c>
      <c r="P647" s="8">
        <f>D644/B644*10^(O647/10)</f>
        <v>1.8940456322270642</v>
      </c>
      <c r="Q647" s="26"/>
      <c r="R647" s="17"/>
      <c r="S647" s="19"/>
      <c r="T647" s="17"/>
      <c r="U647" s="22"/>
    </row>
    <row r="648" spans="1:21" x14ac:dyDescent="0.25">
      <c r="A648" s="24"/>
      <c r="B648" s="24"/>
      <c r="C648" s="17"/>
      <c r="D648" s="24"/>
      <c r="E648" s="24"/>
      <c r="F648" s="25"/>
      <c r="G648" s="1">
        <v>10025</v>
      </c>
      <c r="H648" s="2">
        <v>88.3</v>
      </c>
      <c r="I648" s="2">
        <v>-14.2</v>
      </c>
      <c r="J648" s="2">
        <v>-18.2</v>
      </c>
      <c r="K648" s="2">
        <f t="shared" si="83"/>
        <v>-14.2</v>
      </c>
      <c r="L648" s="8">
        <f t="shared" si="87"/>
        <v>5.6234132519034822E-11</v>
      </c>
      <c r="M648" s="26"/>
      <c r="N648" s="17"/>
      <c r="O648" s="9">
        <f t="shared" si="85"/>
        <v>-18.2</v>
      </c>
      <c r="P648" s="8">
        <f>D644/B644*10^(O648/10)</f>
        <v>4.7576275242511459</v>
      </c>
      <c r="Q648" s="26"/>
      <c r="R648" s="17"/>
      <c r="S648" s="19"/>
      <c r="T648" s="17"/>
      <c r="U648" s="22"/>
    </row>
    <row r="649" spans="1:21" x14ac:dyDescent="0.25">
      <c r="A649" s="24"/>
      <c r="B649" s="24"/>
      <c r="C649" s="17"/>
      <c r="D649" s="24"/>
      <c r="E649" s="24"/>
      <c r="F649" s="25"/>
      <c r="G649" s="1">
        <v>11025</v>
      </c>
      <c r="H649" s="2">
        <v>86</v>
      </c>
      <c r="I649" s="2">
        <v>-19.100000000000001</v>
      </c>
      <c r="J649" s="2">
        <v>-20.6</v>
      </c>
      <c r="K649" s="2">
        <f t="shared" si="83"/>
        <v>-19.100000000000001</v>
      </c>
      <c r="L649" s="8">
        <f t="shared" si="87"/>
        <v>3.0902954325135829E-11</v>
      </c>
      <c r="M649" s="26"/>
      <c r="N649" s="17"/>
      <c r="O649" s="9">
        <f t="shared" si="85"/>
        <v>-20.6</v>
      </c>
      <c r="P649" s="8">
        <f>D644/B644*10^(O649/10)</f>
        <v>2.7377288844286118</v>
      </c>
      <c r="Q649" s="26"/>
      <c r="R649" s="17"/>
      <c r="S649" s="20"/>
      <c r="T649" s="17"/>
      <c r="U649" s="23"/>
    </row>
    <row r="650" spans="1:21" x14ac:dyDescent="0.25">
      <c r="A650" s="24" t="s">
        <v>20</v>
      </c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12">
        <f>U650</f>
        <v>5.8269272019470776E-2</v>
      </c>
      <c r="T650" s="2"/>
      <c r="U650" s="8">
        <f>0.8*SQRT(SUM(U616:U649))</f>
        <v>5.8269272019470776E-2</v>
      </c>
    </row>
    <row r="651" spans="1:21" x14ac:dyDescent="0.25">
      <c r="A651" s="27" t="s">
        <v>50</v>
      </c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9"/>
    </row>
    <row r="652" spans="1:21" x14ac:dyDescent="0.25">
      <c r="A652" s="24">
        <v>250</v>
      </c>
      <c r="B652" s="24">
        <v>3</v>
      </c>
      <c r="C652" s="17">
        <v>0.5</v>
      </c>
      <c r="D652" s="24">
        <v>38</v>
      </c>
      <c r="E652" s="24">
        <v>4</v>
      </c>
      <c r="F652" s="25">
        <v>84</v>
      </c>
      <c r="G652" s="1">
        <v>175</v>
      </c>
      <c r="H652" s="2">
        <v>84.8</v>
      </c>
      <c r="I652" s="2">
        <v>-20.6</v>
      </c>
      <c r="J652" s="2">
        <v>-22.8</v>
      </c>
      <c r="K652" s="2">
        <f>I652</f>
        <v>-20.6</v>
      </c>
      <c r="L652" s="8">
        <f>10^((K652-H652)/10)</f>
        <v>2.8840315031265894E-11</v>
      </c>
      <c r="M652" s="26">
        <f>SUM(L652:L655)</f>
        <v>4.4251852079542113E-11</v>
      </c>
      <c r="N652" s="17">
        <f>10*LOG10(M652/E652)</f>
        <v>-109.56128539320272</v>
      </c>
      <c r="O652" s="9">
        <f>J652</f>
        <v>-22.8</v>
      </c>
      <c r="P652" s="8">
        <f>D652/B652*10^(O652/10)</f>
        <v>6.647561163163776E-2</v>
      </c>
      <c r="Q652" s="26">
        <f>SUM(P652:P655)</f>
        <v>0.15657581642095872</v>
      </c>
      <c r="R652" s="17">
        <f>10*LOG10(Q652)</f>
        <v>-8.052753151132082</v>
      </c>
      <c r="S652" s="18">
        <f>F652+N652-Kzt-H</f>
        <v>-25.561285393202724</v>
      </c>
      <c r="T652" s="17">
        <v>0.2</v>
      </c>
      <c r="U652" s="21">
        <f>T652*10^((S652-R652)/10)</f>
        <v>3.549578387920567E-3</v>
      </c>
    </row>
    <row r="653" spans="1:21" x14ac:dyDescent="0.25">
      <c r="A653" s="24"/>
      <c r="B653" s="24"/>
      <c r="C653" s="17"/>
      <c r="D653" s="24"/>
      <c r="E653" s="24"/>
      <c r="F653" s="25"/>
      <c r="G653" s="1">
        <v>225</v>
      </c>
      <c r="H653" s="2">
        <v>90</v>
      </c>
      <c r="I653" s="2">
        <v>-23.2</v>
      </c>
      <c r="J653" s="2">
        <v>-25.2</v>
      </c>
      <c r="K653" s="2">
        <f t="shared" ref="K653:K685" si="88">I653</f>
        <v>-23.2</v>
      </c>
      <c r="L653" s="8">
        <f t="shared" ref="L653:L654" si="89">10^((K653-H653)/10)</f>
        <v>4.7863009232263738E-12</v>
      </c>
      <c r="M653" s="26"/>
      <c r="N653" s="17"/>
      <c r="O653" s="9">
        <f t="shared" ref="O653:O685" si="90">J653</f>
        <v>-25.2</v>
      </c>
      <c r="P653" s="8">
        <f>D652/B652*10^(O653/10)</f>
        <v>3.8252721791758836E-2</v>
      </c>
      <c r="Q653" s="26"/>
      <c r="R653" s="17"/>
      <c r="S653" s="19"/>
      <c r="T653" s="17"/>
      <c r="U653" s="22"/>
    </row>
    <row r="654" spans="1:21" x14ac:dyDescent="0.25">
      <c r="A654" s="24"/>
      <c r="B654" s="24"/>
      <c r="C654" s="17"/>
      <c r="D654" s="24"/>
      <c r="E654" s="24"/>
      <c r="F654" s="25"/>
      <c r="G654" s="1">
        <v>275</v>
      </c>
      <c r="H654" s="2">
        <v>92.2</v>
      </c>
      <c r="I654" s="2">
        <v>-21.6</v>
      </c>
      <c r="J654" s="2">
        <v>-27.2</v>
      </c>
      <c r="K654" s="2">
        <f t="shared" si="88"/>
        <v>-21.6</v>
      </c>
      <c r="L654" s="8">
        <f t="shared" si="89"/>
        <v>4.1686938347033333E-12</v>
      </c>
      <c r="M654" s="26"/>
      <c r="N654" s="17"/>
      <c r="O654" s="9">
        <f t="shared" si="90"/>
        <v>-27.2</v>
      </c>
      <c r="P654" s="8">
        <f>D652/B652*10^(O654/10)</f>
        <v>2.4135835760867801E-2</v>
      </c>
      <c r="Q654" s="26"/>
      <c r="R654" s="17"/>
      <c r="S654" s="19"/>
      <c r="T654" s="17"/>
      <c r="U654" s="22"/>
    </row>
    <row r="655" spans="1:21" x14ac:dyDescent="0.25">
      <c r="A655" s="24"/>
      <c r="B655" s="24"/>
      <c r="C655" s="17"/>
      <c r="D655" s="24"/>
      <c r="E655" s="24"/>
      <c r="F655" s="25"/>
      <c r="G655" s="1">
        <v>325</v>
      </c>
      <c r="H655" s="2">
        <v>93.3</v>
      </c>
      <c r="I655" s="2">
        <v>-18.600000000000001</v>
      </c>
      <c r="J655" s="2">
        <v>-26.6</v>
      </c>
      <c r="K655" s="2">
        <f t="shared" si="88"/>
        <v>-18.600000000000001</v>
      </c>
      <c r="L655" s="8">
        <f>10^((K655-H655)/10)</f>
        <v>6.4565422903465118E-12</v>
      </c>
      <c r="M655" s="26"/>
      <c r="N655" s="17"/>
      <c r="O655" s="9">
        <f t="shared" si="90"/>
        <v>-26.6</v>
      </c>
      <c r="P655" s="8">
        <f>D652/B652*10^(O655/10)</f>
        <v>2.7711647236694299E-2</v>
      </c>
      <c r="Q655" s="26"/>
      <c r="R655" s="17"/>
      <c r="S655" s="20"/>
      <c r="T655" s="17"/>
      <c r="U655" s="23"/>
    </row>
    <row r="656" spans="1:21" x14ac:dyDescent="0.25">
      <c r="A656" s="24">
        <v>500</v>
      </c>
      <c r="B656" s="24">
        <v>3</v>
      </c>
      <c r="C656" s="17">
        <v>0.5</v>
      </c>
      <c r="D656" s="24">
        <v>59</v>
      </c>
      <c r="E656" s="24">
        <v>6</v>
      </c>
      <c r="F656" s="25">
        <v>84</v>
      </c>
      <c r="G656" s="1">
        <v>375</v>
      </c>
      <c r="H656" s="2">
        <v>91.9</v>
      </c>
      <c r="I656" s="2">
        <v>-20.7</v>
      </c>
      <c r="J656" s="2">
        <v>-25.2</v>
      </c>
      <c r="K656" s="2">
        <f t="shared" si="88"/>
        <v>-20.7</v>
      </c>
      <c r="L656" s="8">
        <f t="shared" ref="L656:L657" si="91">10^((K656-H656)/10)</f>
        <v>5.495408738576212E-12</v>
      </c>
      <c r="M656" s="26">
        <f>SUM(L656:L661)</f>
        <v>2.5546128490773643E-11</v>
      </c>
      <c r="N656" s="17">
        <f>10*LOG10(M656/E656)</f>
        <v>-113.70826158143565</v>
      </c>
      <c r="O656" s="9">
        <f t="shared" si="90"/>
        <v>-25.2</v>
      </c>
      <c r="P656" s="8">
        <f>D656/B656*10^(O656/10)</f>
        <v>5.9392383834572939E-2</v>
      </c>
      <c r="Q656" s="26">
        <f>SUM(P656:P661)</f>
        <v>0.26333776242982532</v>
      </c>
      <c r="R656" s="17">
        <f>10*LOG10(Q656)</f>
        <v>-5.7948685893811902</v>
      </c>
      <c r="S656" s="18">
        <f>F656+N656-Kzt-H</f>
        <v>-29.70826158143565</v>
      </c>
      <c r="T656" s="17">
        <v>0.5</v>
      </c>
      <c r="U656" s="21">
        <f>T656*10^((S656-R656)/10)</f>
        <v>2.0306295655398853E-3</v>
      </c>
    </row>
    <row r="657" spans="1:21" x14ac:dyDescent="0.25">
      <c r="A657" s="24"/>
      <c r="B657" s="24"/>
      <c r="C657" s="17"/>
      <c r="D657" s="24"/>
      <c r="E657" s="24"/>
      <c r="F657" s="25"/>
      <c r="G657" s="1">
        <v>425</v>
      </c>
      <c r="H657" s="2">
        <v>88.1</v>
      </c>
      <c r="I657" s="2">
        <v>-23</v>
      </c>
      <c r="J657" s="2">
        <v>-28.8</v>
      </c>
      <c r="K657" s="2">
        <f t="shared" si="88"/>
        <v>-23</v>
      </c>
      <c r="L657" s="8">
        <f t="shared" si="91"/>
        <v>7.762471166286914E-12</v>
      </c>
      <c r="M657" s="26"/>
      <c r="N657" s="17"/>
      <c r="O657" s="9">
        <f t="shared" si="90"/>
        <v>-28.8</v>
      </c>
      <c r="P657" s="8">
        <f>D656/B656*10^(O657/10)</f>
        <v>2.5925715858276008E-2</v>
      </c>
      <c r="Q657" s="26"/>
      <c r="R657" s="17"/>
      <c r="S657" s="19"/>
      <c r="T657" s="17"/>
      <c r="U657" s="22"/>
    </row>
    <row r="658" spans="1:21" x14ac:dyDescent="0.25">
      <c r="A658" s="24"/>
      <c r="B658" s="24"/>
      <c r="C658" s="17"/>
      <c r="D658" s="24"/>
      <c r="E658" s="24"/>
      <c r="F658" s="25"/>
      <c r="G658" s="1">
        <v>475</v>
      </c>
      <c r="H658" s="2">
        <v>90</v>
      </c>
      <c r="I658" s="2">
        <v>-22.7</v>
      </c>
      <c r="J658" s="2">
        <v>-25</v>
      </c>
      <c r="K658" s="2">
        <f t="shared" si="88"/>
        <v>-22.7</v>
      </c>
      <c r="L658" s="8">
        <f>10^((K658-H658)/10)</f>
        <v>5.3703179637025143E-12</v>
      </c>
      <c r="M658" s="26"/>
      <c r="N658" s="17"/>
      <c r="O658" s="9">
        <f t="shared" si="90"/>
        <v>-25</v>
      </c>
      <c r="P658" s="8">
        <f>D656/B656*10^(O658/10)</f>
        <v>6.2191460649978075E-2</v>
      </c>
      <c r="Q658" s="26"/>
      <c r="R658" s="17"/>
      <c r="S658" s="19"/>
      <c r="T658" s="17"/>
      <c r="U658" s="22"/>
    </row>
    <row r="659" spans="1:21" x14ac:dyDescent="0.25">
      <c r="A659" s="24"/>
      <c r="B659" s="24"/>
      <c r="C659" s="17"/>
      <c r="D659" s="24"/>
      <c r="E659" s="24"/>
      <c r="F659" s="25"/>
      <c r="G659" s="1">
        <v>575</v>
      </c>
      <c r="H659" s="2">
        <v>97</v>
      </c>
      <c r="I659" s="2">
        <v>-22.5</v>
      </c>
      <c r="J659" s="2">
        <v>-27.8</v>
      </c>
      <c r="K659" s="2">
        <f t="shared" si="88"/>
        <v>-22.5</v>
      </c>
      <c r="L659" s="8">
        <f t="shared" ref="L659:L685" si="92">10^((K659-H659)/10)</f>
        <v>1.122018454301964E-12</v>
      </c>
      <c r="M659" s="26"/>
      <c r="N659" s="17"/>
      <c r="O659" s="9">
        <f t="shared" si="90"/>
        <v>-27.8</v>
      </c>
      <c r="P659" s="8">
        <f>D656/B656*10^(O659/10)</f>
        <v>3.2638542512938663E-2</v>
      </c>
      <c r="Q659" s="26"/>
      <c r="R659" s="17"/>
      <c r="S659" s="19"/>
      <c r="T659" s="17"/>
      <c r="U659" s="22"/>
    </row>
    <row r="660" spans="1:21" x14ac:dyDescent="0.25">
      <c r="A660" s="24"/>
      <c r="B660" s="24"/>
      <c r="C660" s="17"/>
      <c r="D660" s="24"/>
      <c r="E660" s="24"/>
      <c r="F660" s="25"/>
      <c r="G660" s="1">
        <v>625</v>
      </c>
      <c r="H660" s="2">
        <v>92</v>
      </c>
      <c r="I660" s="2">
        <v>-22.1</v>
      </c>
      <c r="J660" s="2">
        <v>-27.8</v>
      </c>
      <c r="K660" s="2">
        <f t="shared" si="88"/>
        <v>-22.1</v>
      </c>
      <c r="L660" s="8">
        <f t="shared" si="92"/>
        <v>3.890451449942802E-12</v>
      </c>
      <c r="M660" s="26"/>
      <c r="N660" s="17"/>
      <c r="O660" s="9">
        <f t="shared" si="90"/>
        <v>-27.8</v>
      </c>
      <c r="P660" s="8">
        <f>D656/B656*10^(O660/10)</f>
        <v>3.2638542512938663E-2</v>
      </c>
      <c r="Q660" s="26"/>
      <c r="R660" s="17"/>
      <c r="S660" s="19"/>
      <c r="T660" s="17"/>
      <c r="U660" s="22"/>
    </row>
    <row r="661" spans="1:21" x14ac:dyDescent="0.25">
      <c r="A661" s="24"/>
      <c r="B661" s="24"/>
      <c r="C661" s="17"/>
      <c r="D661" s="24"/>
      <c r="E661" s="24"/>
      <c r="F661" s="25"/>
      <c r="G661" s="1">
        <v>675</v>
      </c>
      <c r="H661" s="2">
        <v>94.5</v>
      </c>
      <c r="I661" s="2">
        <v>-22.7</v>
      </c>
      <c r="J661" s="2">
        <v>-25.9</v>
      </c>
      <c r="K661" s="2">
        <f t="shared" si="88"/>
        <v>-22.7</v>
      </c>
      <c r="L661" s="8">
        <f t="shared" si="92"/>
        <v>1.905460717963237E-12</v>
      </c>
      <c r="M661" s="26"/>
      <c r="N661" s="17"/>
      <c r="O661" s="9">
        <f t="shared" si="90"/>
        <v>-25.9</v>
      </c>
      <c r="P661" s="8">
        <f>D656/B656*10^(O661/10)</f>
        <v>5.055111706112099E-2</v>
      </c>
      <c r="Q661" s="26"/>
      <c r="R661" s="17"/>
      <c r="S661" s="20"/>
      <c r="T661" s="17"/>
      <c r="U661" s="23"/>
    </row>
    <row r="662" spans="1:21" x14ac:dyDescent="0.25">
      <c r="A662" s="24">
        <v>1000</v>
      </c>
      <c r="B662" s="24">
        <v>3</v>
      </c>
      <c r="C662" s="17">
        <v>0.5</v>
      </c>
      <c r="D662" s="24">
        <v>117</v>
      </c>
      <c r="E662" s="24">
        <v>6</v>
      </c>
      <c r="F662" s="25">
        <v>76</v>
      </c>
      <c r="G662" s="1">
        <v>875</v>
      </c>
      <c r="H662" s="2">
        <v>91.1</v>
      </c>
      <c r="I662" s="2">
        <v>-21.7</v>
      </c>
      <c r="J662" s="2">
        <v>-29.7</v>
      </c>
      <c r="K662" s="2">
        <f t="shared" si="88"/>
        <v>-21.7</v>
      </c>
      <c r="L662" s="8">
        <f t="shared" si="92"/>
        <v>5.2480746024977136E-12</v>
      </c>
      <c r="M662" s="26">
        <f>SUM(L662:L667)</f>
        <v>1.5681274956693402E-11</v>
      </c>
      <c r="N662" s="17">
        <f>10*LOG10(M662/E662)</f>
        <v>-115.82769880546282</v>
      </c>
      <c r="O662" s="9">
        <f t="shared" si="90"/>
        <v>-29.7</v>
      </c>
      <c r="P662" s="8">
        <f>D662/B662*10^(O662/10)</f>
        <v>4.1789252904266647E-2</v>
      </c>
      <c r="Q662" s="26">
        <f>SUM(P662:P667)</f>
        <v>0.4913193992384256</v>
      </c>
      <c r="R662" s="17">
        <f>10*LOG10(Q662)</f>
        <v>-3.0863608785810861</v>
      </c>
      <c r="S662" s="18">
        <f>F662+N662-Kzt-H</f>
        <v>-39.827698805462816</v>
      </c>
      <c r="T662" s="17">
        <v>0.8</v>
      </c>
      <c r="U662" s="21">
        <f>T662*10^((S662-R662)/10)</f>
        <v>1.6941669074081999E-4</v>
      </c>
    </row>
    <row r="663" spans="1:21" x14ac:dyDescent="0.25">
      <c r="A663" s="24"/>
      <c r="B663" s="24"/>
      <c r="C663" s="17"/>
      <c r="D663" s="24"/>
      <c r="E663" s="24"/>
      <c r="F663" s="25"/>
      <c r="G663" s="1">
        <v>975</v>
      </c>
      <c r="H663" s="2">
        <v>96.5</v>
      </c>
      <c r="I663" s="2">
        <v>-18.100000000000001</v>
      </c>
      <c r="J663" s="2">
        <v>-27.2</v>
      </c>
      <c r="K663" s="2">
        <f t="shared" si="88"/>
        <v>-18.100000000000001</v>
      </c>
      <c r="L663" s="8">
        <f t="shared" si="92"/>
        <v>3.4673685045253144E-12</v>
      </c>
      <c r="M663" s="26"/>
      <c r="N663" s="17"/>
      <c r="O663" s="9">
        <f t="shared" si="90"/>
        <v>-27.2</v>
      </c>
      <c r="P663" s="8">
        <f>D662/B662*10^(O663/10)</f>
        <v>7.4312968000566651E-2</v>
      </c>
      <c r="Q663" s="26"/>
      <c r="R663" s="17"/>
      <c r="S663" s="19"/>
      <c r="T663" s="17"/>
      <c r="U663" s="22"/>
    </row>
    <row r="664" spans="1:21" x14ac:dyDescent="0.25">
      <c r="A664" s="24"/>
      <c r="B664" s="24"/>
      <c r="C664" s="17"/>
      <c r="D664" s="24"/>
      <c r="E664" s="24"/>
      <c r="F664" s="25"/>
      <c r="G664" s="1">
        <v>1075</v>
      </c>
      <c r="H664" s="2">
        <v>94.6</v>
      </c>
      <c r="I664" s="2">
        <v>-18.8</v>
      </c>
      <c r="J664" s="2">
        <v>-28.5</v>
      </c>
      <c r="K664" s="2">
        <f t="shared" si="88"/>
        <v>-18.8</v>
      </c>
      <c r="L664" s="8">
        <f t="shared" si="92"/>
        <v>4.5708818961487419E-12</v>
      </c>
      <c r="M664" s="26"/>
      <c r="N664" s="17"/>
      <c r="O664" s="9">
        <f t="shared" si="90"/>
        <v>-28.5</v>
      </c>
      <c r="P664" s="8">
        <f>D662/B662*10^(O664/10)</f>
        <v>5.5088964240287357E-2</v>
      </c>
      <c r="Q664" s="26"/>
      <c r="R664" s="17"/>
      <c r="S664" s="19"/>
      <c r="T664" s="17"/>
      <c r="U664" s="22"/>
    </row>
    <row r="665" spans="1:21" x14ac:dyDescent="0.25">
      <c r="A665" s="24"/>
      <c r="B665" s="24"/>
      <c r="C665" s="17"/>
      <c r="D665" s="24"/>
      <c r="E665" s="24"/>
      <c r="F665" s="25"/>
      <c r="G665" s="1">
        <v>1175</v>
      </c>
      <c r="H665" s="2">
        <v>97.8</v>
      </c>
      <c r="I665" s="2">
        <v>-20.3</v>
      </c>
      <c r="J665" s="2">
        <v>-28.6</v>
      </c>
      <c r="K665" s="2">
        <f t="shared" si="88"/>
        <v>-20.3</v>
      </c>
      <c r="L665" s="8">
        <f t="shared" si="92"/>
        <v>1.5488166189124799E-12</v>
      </c>
      <c r="M665" s="26"/>
      <c r="N665" s="17"/>
      <c r="O665" s="9">
        <f t="shared" si="90"/>
        <v>-28.6</v>
      </c>
      <c r="P665" s="8">
        <f>D662/B662*10^(O665/10)</f>
        <v>5.3834986319512453E-2</v>
      </c>
      <c r="Q665" s="26"/>
      <c r="R665" s="17"/>
      <c r="S665" s="19"/>
      <c r="T665" s="17"/>
      <c r="U665" s="22"/>
    </row>
    <row r="666" spans="1:21" x14ac:dyDescent="0.25">
      <c r="A666" s="24"/>
      <c r="B666" s="24"/>
      <c r="C666" s="17"/>
      <c r="D666" s="24"/>
      <c r="E666" s="24"/>
      <c r="F666" s="25"/>
      <c r="G666" s="1">
        <v>1275</v>
      </c>
      <c r="H666" s="2">
        <v>100.1</v>
      </c>
      <c r="I666" s="2">
        <v>-23.299999999999997</v>
      </c>
      <c r="J666" s="2">
        <v>-23.9</v>
      </c>
      <c r="K666" s="2">
        <f t="shared" si="88"/>
        <v>-23.299999999999997</v>
      </c>
      <c r="L666" s="8">
        <f t="shared" si="92"/>
        <v>4.5708818961487372E-13</v>
      </c>
      <c r="M666" s="26"/>
      <c r="N666" s="17"/>
      <c r="O666" s="9">
        <f t="shared" si="90"/>
        <v>-23.9</v>
      </c>
      <c r="P666" s="8">
        <f>D662/B662*10^(O666/10)</f>
        <v>0.15887830834360409</v>
      </c>
      <c r="Q666" s="26"/>
      <c r="R666" s="17"/>
      <c r="S666" s="19"/>
      <c r="T666" s="17"/>
      <c r="U666" s="22"/>
    </row>
    <row r="667" spans="1:21" x14ac:dyDescent="0.25">
      <c r="A667" s="24"/>
      <c r="B667" s="24"/>
      <c r="C667" s="17"/>
      <c r="D667" s="24"/>
      <c r="E667" s="24"/>
      <c r="F667" s="25"/>
      <c r="G667" s="1">
        <v>1375</v>
      </c>
      <c r="H667" s="2">
        <v>103</v>
      </c>
      <c r="I667" s="2">
        <v>-21.1</v>
      </c>
      <c r="J667" s="2">
        <v>-25.6</v>
      </c>
      <c r="K667" s="2">
        <f t="shared" si="88"/>
        <v>-21.1</v>
      </c>
      <c r="L667" s="8">
        <f t="shared" si="92"/>
        <v>3.8904514499427974E-13</v>
      </c>
      <c r="M667" s="26"/>
      <c r="N667" s="17"/>
      <c r="O667" s="9">
        <f t="shared" si="90"/>
        <v>-25.6</v>
      </c>
      <c r="P667" s="8">
        <f>D662/B662*10^(O667/10)</f>
        <v>0.10741491943018844</v>
      </c>
      <c r="Q667" s="26"/>
      <c r="R667" s="17"/>
      <c r="S667" s="20"/>
      <c r="T667" s="17"/>
      <c r="U667" s="23"/>
    </row>
    <row r="668" spans="1:21" x14ac:dyDescent="0.25">
      <c r="A668" s="24">
        <v>2000</v>
      </c>
      <c r="B668" s="24">
        <v>3</v>
      </c>
      <c r="C668" s="17">
        <v>0.5</v>
      </c>
      <c r="D668" s="24">
        <v>234</v>
      </c>
      <c r="E668" s="24">
        <v>6</v>
      </c>
      <c r="F668" s="25">
        <v>68</v>
      </c>
      <c r="G668" s="1">
        <v>1425</v>
      </c>
      <c r="H668" s="2">
        <v>102.8</v>
      </c>
      <c r="I668" s="2">
        <v>-23.3</v>
      </c>
      <c r="J668" s="2">
        <v>-26.2</v>
      </c>
      <c r="K668" s="2">
        <f t="shared" si="88"/>
        <v>-23.3</v>
      </c>
      <c r="L668" s="8">
        <f t="shared" si="92"/>
        <v>2.4547089156850296E-13</v>
      </c>
      <c r="M668" s="26">
        <f>SUM(L668:L673)</f>
        <v>3.2473909679505496E-12</v>
      </c>
      <c r="N668" s="17">
        <f>10*LOG10(M668/E668)</f>
        <v>-122.66616671951078</v>
      </c>
      <c r="O668" s="9">
        <f t="shared" si="90"/>
        <v>-26.2</v>
      </c>
      <c r="P668" s="8">
        <f>D668/B668*10^(O668/10)</f>
        <v>0.18710896768352012</v>
      </c>
      <c r="Q668" s="26">
        <f>SUM(P668:P673)</f>
        <v>0.86136105195914059</v>
      </c>
      <c r="R668" s="17">
        <f>10*LOG10(Q668)</f>
        <v>-0.64814769561624153</v>
      </c>
      <c r="S668" s="18">
        <f>F668+N668-Kzt-H</f>
        <v>-54.666166719510784</v>
      </c>
      <c r="T668" s="17">
        <v>1</v>
      </c>
      <c r="U668" s="21">
        <f>T668*10^((S668-R668)/10)</f>
        <v>3.9645883240381196E-6</v>
      </c>
    </row>
    <row r="669" spans="1:21" x14ac:dyDescent="0.25">
      <c r="A669" s="24"/>
      <c r="B669" s="24"/>
      <c r="C669" s="17"/>
      <c r="D669" s="24"/>
      <c r="E669" s="24"/>
      <c r="F669" s="25"/>
      <c r="G669" s="1">
        <v>1625</v>
      </c>
      <c r="H669" s="2">
        <v>104.1</v>
      </c>
      <c r="I669" s="2">
        <v>-19</v>
      </c>
      <c r="J669" s="2">
        <v>-27.4</v>
      </c>
      <c r="K669" s="2">
        <f t="shared" si="88"/>
        <v>-19</v>
      </c>
      <c r="L669" s="8">
        <f t="shared" si="92"/>
        <v>4.8977881936844633E-13</v>
      </c>
      <c r="M669" s="26"/>
      <c r="N669" s="17"/>
      <c r="O669" s="9">
        <f t="shared" si="90"/>
        <v>-27.4</v>
      </c>
      <c r="P669" s="8">
        <f>D668/B668*10^(O669/10)</f>
        <v>0.14193666697157864</v>
      </c>
      <c r="Q669" s="26"/>
      <c r="R669" s="17"/>
      <c r="S669" s="19"/>
      <c r="T669" s="17"/>
      <c r="U669" s="22"/>
    </row>
    <row r="670" spans="1:21" x14ac:dyDescent="0.25">
      <c r="A670" s="24"/>
      <c r="B670" s="24"/>
      <c r="C670" s="17"/>
      <c r="D670" s="24"/>
      <c r="E670" s="24"/>
      <c r="F670" s="25"/>
      <c r="G670" s="1">
        <v>1825</v>
      </c>
      <c r="H670" s="2">
        <v>107.6</v>
      </c>
      <c r="I670" s="2">
        <v>-21.1</v>
      </c>
      <c r="J670" s="2">
        <v>-28.5</v>
      </c>
      <c r="K670" s="2">
        <f t="shared" si="88"/>
        <v>-21.1</v>
      </c>
      <c r="L670" s="8">
        <f t="shared" si="92"/>
        <v>1.3489628825916516E-13</v>
      </c>
      <c r="M670" s="26"/>
      <c r="N670" s="17"/>
      <c r="O670" s="9">
        <f t="shared" si="90"/>
        <v>-28.5</v>
      </c>
      <c r="P670" s="8">
        <f>D668/B668*10^(O670/10)</f>
        <v>0.11017792848057471</v>
      </c>
      <c r="Q670" s="26"/>
      <c r="R670" s="17"/>
      <c r="S670" s="19"/>
      <c r="T670" s="17"/>
      <c r="U670" s="22"/>
    </row>
    <row r="671" spans="1:21" x14ac:dyDescent="0.25">
      <c r="A671" s="24"/>
      <c r="B671" s="24"/>
      <c r="C671" s="17"/>
      <c r="D671" s="24"/>
      <c r="E671" s="24"/>
      <c r="F671" s="25"/>
      <c r="G671" s="1">
        <v>2125</v>
      </c>
      <c r="H671" s="2">
        <v>104.2</v>
      </c>
      <c r="I671" s="2">
        <v>-22.4</v>
      </c>
      <c r="J671" s="2">
        <v>-31.5</v>
      </c>
      <c r="K671" s="2">
        <f t="shared" si="88"/>
        <v>-22.4</v>
      </c>
      <c r="L671" s="8">
        <f t="shared" si="92"/>
        <v>2.1877616239495453E-13</v>
      </c>
      <c r="M671" s="26"/>
      <c r="N671" s="17"/>
      <c r="O671" s="9">
        <f t="shared" si="90"/>
        <v>-31.5</v>
      </c>
      <c r="P671" s="8">
        <f>D668/B668*10^(O671/10)</f>
        <v>5.5219771181962751E-2</v>
      </c>
      <c r="Q671" s="26"/>
      <c r="R671" s="17"/>
      <c r="S671" s="19"/>
      <c r="T671" s="17"/>
      <c r="U671" s="22"/>
    </row>
    <row r="672" spans="1:21" x14ac:dyDescent="0.25">
      <c r="A672" s="24"/>
      <c r="B672" s="24"/>
      <c r="C672" s="17"/>
      <c r="D672" s="24"/>
      <c r="E672" s="24"/>
      <c r="F672" s="25"/>
      <c r="G672" s="1">
        <v>2425</v>
      </c>
      <c r="H672" s="2">
        <v>93.7</v>
      </c>
      <c r="I672" s="2">
        <v>-23.8</v>
      </c>
      <c r="J672" s="2">
        <v>-25.6</v>
      </c>
      <c r="K672" s="2">
        <f t="shared" si="88"/>
        <v>-23.8</v>
      </c>
      <c r="L672" s="8">
        <f t="shared" si="92"/>
        <v>1.7782794100389204E-12</v>
      </c>
      <c r="M672" s="26"/>
      <c r="N672" s="17"/>
      <c r="O672" s="9">
        <f t="shared" si="90"/>
        <v>-25.6</v>
      </c>
      <c r="P672" s="8">
        <f>D668/B668*10^(O672/10)</f>
        <v>0.21482983886037688</v>
      </c>
      <c r="Q672" s="26"/>
      <c r="R672" s="17"/>
      <c r="S672" s="19"/>
      <c r="T672" s="17"/>
      <c r="U672" s="22"/>
    </row>
    <row r="673" spans="1:21" x14ac:dyDescent="0.25">
      <c r="A673" s="24"/>
      <c r="B673" s="24"/>
      <c r="C673" s="17"/>
      <c r="D673" s="24"/>
      <c r="E673" s="24"/>
      <c r="F673" s="25"/>
      <c r="G673" s="1">
        <v>2775</v>
      </c>
      <c r="H673" s="2">
        <v>100.2</v>
      </c>
      <c r="I673" s="2">
        <v>-24</v>
      </c>
      <c r="J673" s="2">
        <v>-27.1</v>
      </c>
      <c r="K673" s="2">
        <f t="shared" si="88"/>
        <v>-24</v>
      </c>
      <c r="L673" s="8">
        <f t="shared" si="92"/>
        <v>3.8018939632056036E-13</v>
      </c>
      <c r="M673" s="26"/>
      <c r="N673" s="17"/>
      <c r="O673" s="9">
        <f t="shared" si="90"/>
        <v>-27.1</v>
      </c>
      <c r="P673" s="8">
        <f>D668/B668*10^(O673/10)</f>
        <v>0.15208787878112745</v>
      </c>
      <c r="Q673" s="26"/>
      <c r="R673" s="17"/>
      <c r="S673" s="20"/>
      <c r="T673" s="17"/>
      <c r="U673" s="23"/>
    </row>
    <row r="674" spans="1:21" x14ac:dyDescent="0.25">
      <c r="A674" s="24">
        <v>4000</v>
      </c>
      <c r="B674" s="24">
        <v>3</v>
      </c>
      <c r="C674" s="17">
        <v>0.5</v>
      </c>
      <c r="D674" s="24">
        <v>470</v>
      </c>
      <c r="E674" s="24">
        <v>6</v>
      </c>
      <c r="F674" s="25">
        <v>62</v>
      </c>
      <c r="G674" s="1">
        <v>2825</v>
      </c>
      <c r="H674" s="2">
        <v>99.4</v>
      </c>
      <c r="I674" s="2">
        <v>-21.8</v>
      </c>
      <c r="J674" s="2">
        <v>-26.8</v>
      </c>
      <c r="K674" s="2">
        <f t="shared" si="88"/>
        <v>-21.8</v>
      </c>
      <c r="L674" s="8">
        <f t="shared" si="92"/>
        <v>7.5857757502917993E-13</v>
      </c>
      <c r="M674" s="26">
        <f>SUM(L674:L679)</f>
        <v>2.6494939227626256E-12</v>
      </c>
      <c r="N674" s="17">
        <f>10*LOG10(M674/E674)</f>
        <v>-123.54988322688676</v>
      </c>
      <c r="O674" s="9">
        <f t="shared" si="90"/>
        <v>-26.8</v>
      </c>
      <c r="P674" s="8">
        <f>D674/B674*10^(O674/10)</f>
        <v>0.32732306050046583</v>
      </c>
      <c r="Q674" s="26">
        <f>SUM(P674:P679)</f>
        <v>1.7142106963076194</v>
      </c>
      <c r="R674" s="17">
        <f>10*LOG10(Q674)</f>
        <v>2.3406420067939724</v>
      </c>
      <c r="S674" s="18">
        <f>F674+N674-Kzt-H</f>
        <v>-61.549883226886763</v>
      </c>
      <c r="T674" s="17">
        <v>0.9</v>
      </c>
      <c r="U674" s="21">
        <f>T674*10^((S674-R674)/10)</f>
        <v>3.6744300662968436E-7</v>
      </c>
    </row>
    <row r="675" spans="1:21" x14ac:dyDescent="0.25">
      <c r="A675" s="24"/>
      <c r="B675" s="24"/>
      <c r="C675" s="17"/>
      <c r="D675" s="24"/>
      <c r="E675" s="24"/>
      <c r="F675" s="25"/>
      <c r="G675" s="1">
        <v>3425</v>
      </c>
      <c r="H675" s="2">
        <v>103.5</v>
      </c>
      <c r="I675" s="2">
        <v>-22.8</v>
      </c>
      <c r="J675" s="2">
        <v>-24.1</v>
      </c>
      <c r="K675" s="2">
        <f t="shared" si="88"/>
        <v>-22.8</v>
      </c>
      <c r="L675" s="8">
        <f t="shared" si="92"/>
        <v>2.3442288153199217E-13</v>
      </c>
      <c r="M675" s="26"/>
      <c r="N675" s="17"/>
      <c r="O675" s="9">
        <f t="shared" si="90"/>
        <v>-24.1</v>
      </c>
      <c r="P675" s="8">
        <f>D674/B674*10^(O675/10)</f>
        <v>0.609504060491039</v>
      </c>
      <c r="Q675" s="26"/>
      <c r="R675" s="17"/>
      <c r="S675" s="19"/>
      <c r="T675" s="17"/>
      <c r="U675" s="22"/>
    </row>
    <row r="676" spans="1:21" x14ac:dyDescent="0.25">
      <c r="A676" s="24"/>
      <c r="B676" s="24"/>
      <c r="C676" s="17"/>
      <c r="D676" s="24"/>
      <c r="E676" s="24"/>
      <c r="F676" s="25"/>
      <c r="G676" s="1">
        <v>4025</v>
      </c>
      <c r="H676" s="2">
        <v>103.6</v>
      </c>
      <c r="I676" s="2">
        <v>-18.5</v>
      </c>
      <c r="J676" s="2">
        <v>-29.6</v>
      </c>
      <c r="K676" s="2">
        <f t="shared" si="88"/>
        <v>-18.5</v>
      </c>
      <c r="L676" s="8">
        <f t="shared" si="92"/>
        <v>6.1659500186148178E-13</v>
      </c>
      <c r="M676" s="26"/>
      <c r="N676" s="17"/>
      <c r="O676" s="9">
        <f t="shared" si="90"/>
        <v>-29.6</v>
      </c>
      <c r="P676" s="8">
        <f>D674/B674*10^(O676/10)</f>
        <v>0.1717815840624323</v>
      </c>
      <c r="Q676" s="26"/>
      <c r="R676" s="17"/>
      <c r="S676" s="19"/>
      <c r="T676" s="17"/>
      <c r="U676" s="22"/>
    </row>
    <row r="677" spans="1:21" x14ac:dyDescent="0.25">
      <c r="A677" s="24"/>
      <c r="B677" s="24"/>
      <c r="C677" s="17"/>
      <c r="D677" s="24"/>
      <c r="E677" s="24"/>
      <c r="F677" s="25"/>
      <c r="G677" s="1">
        <v>4625</v>
      </c>
      <c r="H677" s="2">
        <v>105.6</v>
      </c>
      <c r="I677" s="2">
        <v>-23.2</v>
      </c>
      <c r="J677" s="2">
        <v>-26.7</v>
      </c>
      <c r="K677" s="2">
        <f t="shared" si="88"/>
        <v>-23.2</v>
      </c>
      <c r="L677" s="8">
        <f t="shared" si="92"/>
        <v>1.3182567385564054E-13</v>
      </c>
      <c r="M677" s="26"/>
      <c r="N677" s="17"/>
      <c r="O677" s="9">
        <f t="shared" si="90"/>
        <v>-26.7</v>
      </c>
      <c r="P677" s="8">
        <f>D674/B674*10^(O677/10)</f>
        <v>0.33494739402201629</v>
      </c>
      <c r="Q677" s="26"/>
      <c r="R677" s="17"/>
      <c r="S677" s="19"/>
      <c r="T677" s="17"/>
      <c r="U677" s="22"/>
    </row>
    <row r="678" spans="1:21" x14ac:dyDescent="0.25">
      <c r="A678" s="24"/>
      <c r="B678" s="24"/>
      <c r="C678" s="17"/>
      <c r="D678" s="24"/>
      <c r="E678" s="24"/>
      <c r="F678" s="25"/>
      <c r="G678" s="1">
        <v>5225</v>
      </c>
      <c r="H678" s="2">
        <v>103.5</v>
      </c>
      <c r="I678" s="2">
        <v>-25.3</v>
      </c>
      <c r="J678" s="2">
        <v>-30.3</v>
      </c>
      <c r="K678" s="2">
        <f t="shared" si="88"/>
        <v>-25.3</v>
      </c>
      <c r="L678" s="8">
        <f t="shared" si="92"/>
        <v>1.3182567385564006E-13</v>
      </c>
      <c r="M678" s="26"/>
      <c r="N678" s="17"/>
      <c r="O678" s="9">
        <f t="shared" si="90"/>
        <v>-30.3</v>
      </c>
      <c r="P678" s="8">
        <f>D674/B674*10^(O678/10)</f>
        <v>0.14620984045819507</v>
      </c>
      <c r="Q678" s="26"/>
      <c r="R678" s="17"/>
      <c r="S678" s="19"/>
      <c r="T678" s="17"/>
      <c r="U678" s="22"/>
    </row>
    <row r="679" spans="1:21" x14ac:dyDescent="0.25">
      <c r="A679" s="24"/>
      <c r="B679" s="24"/>
      <c r="C679" s="17"/>
      <c r="D679" s="24"/>
      <c r="E679" s="24"/>
      <c r="F679" s="25"/>
      <c r="G679" s="1">
        <v>5625</v>
      </c>
      <c r="H679" s="2">
        <v>99.5</v>
      </c>
      <c r="I679" s="2">
        <v>-21.6</v>
      </c>
      <c r="J679" s="2">
        <v>-31</v>
      </c>
      <c r="K679" s="2">
        <f t="shared" si="88"/>
        <v>-21.6</v>
      </c>
      <c r="L679" s="8">
        <f t="shared" si="92"/>
        <v>7.7624711662869047E-13</v>
      </c>
      <c r="M679" s="26"/>
      <c r="N679" s="17"/>
      <c r="O679" s="9">
        <f t="shared" si="90"/>
        <v>-31</v>
      </c>
      <c r="P679" s="8">
        <f>D674/B674*10^(O679/10)</f>
        <v>0.12444475677347068</v>
      </c>
      <c r="Q679" s="26"/>
      <c r="R679" s="17"/>
      <c r="S679" s="20"/>
      <c r="T679" s="17"/>
      <c r="U679" s="23"/>
    </row>
    <row r="680" spans="1:21" x14ac:dyDescent="0.25">
      <c r="A680" s="24">
        <v>8000</v>
      </c>
      <c r="B680" s="24">
        <v>3</v>
      </c>
      <c r="C680" s="17">
        <v>0.5</v>
      </c>
      <c r="D680" s="24">
        <v>943</v>
      </c>
      <c r="E680" s="24">
        <v>6</v>
      </c>
      <c r="F680" s="25">
        <v>54</v>
      </c>
      <c r="G680" s="1">
        <v>6025</v>
      </c>
      <c r="H680" s="2">
        <v>95</v>
      </c>
      <c r="I680" s="2">
        <v>-21</v>
      </c>
      <c r="J680" s="2">
        <v>-24.4</v>
      </c>
      <c r="K680" s="2">
        <f t="shared" si="88"/>
        <v>-21</v>
      </c>
      <c r="L680" s="8">
        <f t="shared" si="92"/>
        <v>2.5118864315095726E-12</v>
      </c>
      <c r="M680" s="26">
        <f>SUM(L680:L685)</f>
        <v>3.0969110679835719E-11</v>
      </c>
      <c r="N680" s="17">
        <f>10*LOG10(M680/E680)</f>
        <v>-112.87222516204947</v>
      </c>
      <c r="O680" s="9">
        <f t="shared" si="90"/>
        <v>-24.4</v>
      </c>
      <c r="P680" s="8">
        <f>D680/B680*10^(O680/10)</f>
        <v>1.1412753521606844</v>
      </c>
      <c r="Q680" s="26">
        <f>SUM(P680:P685)</f>
        <v>3.4183724269506</v>
      </c>
      <c r="R680" s="17">
        <f>10*LOG10(Q680)</f>
        <v>5.3381937674586517</v>
      </c>
      <c r="S680" s="18">
        <f>F680+N680-Kzt-H</f>
        <v>-58.872225162049475</v>
      </c>
      <c r="T680" s="17">
        <v>0.7</v>
      </c>
      <c r="U680" s="21">
        <f>T680*10^((S680-R680)/10)</f>
        <v>2.6549487805709091E-7</v>
      </c>
    </row>
    <row r="681" spans="1:21" x14ac:dyDescent="0.25">
      <c r="A681" s="24"/>
      <c r="B681" s="24"/>
      <c r="C681" s="17"/>
      <c r="D681" s="24"/>
      <c r="E681" s="24"/>
      <c r="F681" s="25"/>
      <c r="G681" s="1">
        <v>7025</v>
      </c>
      <c r="H681" s="2">
        <v>94.8</v>
      </c>
      <c r="I681" s="2">
        <v>-24</v>
      </c>
      <c r="J681" s="2">
        <v>-26.8</v>
      </c>
      <c r="K681" s="2">
        <f t="shared" si="88"/>
        <v>-24</v>
      </c>
      <c r="L681" s="8">
        <f t="shared" si="92"/>
        <v>1.3182567385564068E-12</v>
      </c>
      <c r="M681" s="26"/>
      <c r="N681" s="17"/>
      <c r="O681" s="9">
        <f t="shared" si="90"/>
        <v>-26.8</v>
      </c>
      <c r="P681" s="8">
        <f>D680/B680*10^(O681/10)</f>
        <v>0.65673541713178563</v>
      </c>
      <c r="Q681" s="26"/>
      <c r="R681" s="17"/>
      <c r="S681" s="19"/>
      <c r="T681" s="17"/>
      <c r="U681" s="22"/>
    </row>
    <row r="682" spans="1:21" x14ac:dyDescent="0.25">
      <c r="A682" s="24"/>
      <c r="B682" s="24"/>
      <c r="C682" s="17"/>
      <c r="D682" s="24"/>
      <c r="E682" s="24"/>
      <c r="F682" s="25"/>
      <c r="G682" s="1">
        <v>8025</v>
      </c>
      <c r="H682" s="2">
        <v>101.9</v>
      </c>
      <c r="I682" s="2">
        <v>-24.9</v>
      </c>
      <c r="J682" s="2">
        <v>-32.5</v>
      </c>
      <c r="K682" s="2">
        <f t="shared" si="88"/>
        <v>-24.9</v>
      </c>
      <c r="L682" s="8">
        <f t="shared" si="92"/>
        <v>2.0892961308540252E-13</v>
      </c>
      <c r="M682" s="26"/>
      <c r="N682" s="17"/>
      <c r="O682" s="9">
        <f t="shared" si="90"/>
        <v>-32.5</v>
      </c>
      <c r="P682" s="8">
        <f>D680/B680*10^(O682/10)</f>
        <v>0.17676262321816621</v>
      </c>
      <c r="Q682" s="26"/>
      <c r="R682" s="17"/>
      <c r="S682" s="19"/>
      <c r="T682" s="17"/>
      <c r="U682" s="22"/>
    </row>
    <row r="683" spans="1:21" x14ac:dyDescent="0.25">
      <c r="A683" s="24"/>
      <c r="B683" s="24"/>
      <c r="C683" s="17"/>
      <c r="D683" s="24"/>
      <c r="E683" s="24"/>
      <c r="F683" s="25"/>
      <c r="G683" s="1">
        <v>9025</v>
      </c>
      <c r="H683" s="2">
        <v>93.2</v>
      </c>
      <c r="I683" s="2">
        <v>-26.3</v>
      </c>
      <c r="J683" s="2">
        <v>-26.6</v>
      </c>
      <c r="K683" s="2">
        <f t="shared" si="88"/>
        <v>-26.3</v>
      </c>
      <c r="L683" s="8">
        <f t="shared" si="92"/>
        <v>1.122018454301964E-12</v>
      </c>
      <c r="M683" s="26"/>
      <c r="N683" s="17"/>
      <c r="O683" s="9">
        <f t="shared" si="90"/>
        <v>-26.6</v>
      </c>
      <c r="P683" s="8">
        <f>D680/B680*10^(O683/10)</f>
        <v>0.6876864037948085</v>
      </c>
      <c r="Q683" s="26"/>
      <c r="R683" s="17"/>
      <c r="S683" s="19"/>
      <c r="T683" s="17"/>
      <c r="U683" s="22"/>
    </row>
    <row r="684" spans="1:21" x14ac:dyDescent="0.25">
      <c r="A684" s="24"/>
      <c r="B684" s="24"/>
      <c r="C684" s="17"/>
      <c r="D684" s="24"/>
      <c r="E684" s="24"/>
      <c r="F684" s="25"/>
      <c r="G684" s="1">
        <v>10025</v>
      </c>
      <c r="H684" s="2">
        <v>88.3</v>
      </c>
      <c r="I684" s="2">
        <v>-23.7</v>
      </c>
      <c r="J684" s="2">
        <v>-30.5</v>
      </c>
      <c r="K684" s="2">
        <f t="shared" si="88"/>
        <v>-23.7</v>
      </c>
      <c r="L684" s="8">
        <f t="shared" si="92"/>
        <v>6.3095734448019345E-12</v>
      </c>
      <c r="M684" s="26"/>
      <c r="N684" s="17"/>
      <c r="O684" s="9">
        <f t="shared" si="90"/>
        <v>-30.5</v>
      </c>
      <c r="P684" s="8">
        <f>D680/B680*10^(O684/10)</f>
        <v>0.28014987822004062</v>
      </c>
      <c r="Q684" s="26"/>
      <c r="R684" s="17"/>
      <c r="S684" s="19"/>
      <c r="T684" s="17"/>
      <c r="U684" s="22"/>
    </row>
    <row r="685" spans="1:21" x14ac:dyDescent="0.25">
      <c r="A685" s="24"/>
      <c r="B685" s="24"/>
      <c r="C685" s="17"/>
      <c r="D685" s="24"/>
      <c r="E685" s="24"/>
      <c r="F685" s="25"/>
      <c r="G685" s="1">
        <v>11025</v>
      </c>
      <c r="H685" s="2">
        <v>86</v>
      </c>
      <c r="I685" s="2">
        <v>-21.1</v>
      </c>
      <c r="J685" s="2">
        <v>-28.2</v>
      </c>
      <c r="K685" s="2">
        <f t="shared" si="88"/>
        <v>-21.1</v>
      </c>
      <c r="L685" s="8">
        <f t="shared" si="92"/>
        <v>1.949844599758044E-11</v>
      </c>
      <c r="M685" s="26"/>
      <c r="N685" s="17"/>
      <c r="O685" s="9">
        <f t="shared" si="90"/>
        <v>-28.2</v>
      </c>
      <c r="P685" s="8">
        <f>D680/B680*10^(O685/10)</f>
        <v>0.47576275242511445</v>
      </c>
      <c r="Q685" s="26"/>
      <c r="R685" s="17"/>
      <c r="S685" s="20"/>
      <c r="T685" s="17"/>
      <c r="U685" s="23"/>
    </row>
    <row r="686" spans="1:21" x14ac:dyDescent="0.25">
      <c r="A686" s="24" t="s">
        <v>20</v>
      </c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12">
        <f>U686</f>
        <v>6.0685271599148327E-2</v>
      </c>
      <c r="T686" s="2"/>
      <c r="U686" s="8">
        <f>0.8*SQRT(SUM(U652:U685))</f>
        <v>6.0685271599148327E-2</v>
      </c>
    </row>
    <row r="687" spans="1:21" x14ac:dyDescent="0.25">
      <c r="A687" s="27" t="s">
        <v>51</v>
      </c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9"/>
    </row>
    <row r="688" spans="1:21" x14ac:dyDescent="0.25">
      <c r="A688" s="24">
        <v>250</v>
      </c>
      <c r="B688" s="24">
        <v>3</v>
      </c>
      <c r="C688" s="17">
        <v>0.5</v>
      </c>
      <c r="D688" s="24">
        <v>38</v>
      </c>
      <c r="E688" s="24">
        <v>4</v>
      </c>
      <c r="F688" s="25">
        <v>84</v>
      </c>
      <c r="G688" s="1">
        <v>175</v>
      </c>
      <c r="H688" s="2">
        <v>84.8</v>
      </c>
      <c r="I688" s="2">
        <v>-13.7</v>
      </c>
      <c r="J688" s="2">
        <v>-16.399999999999999</v>
      </c>
      <c r="K688" s="2">
        <f>I688</f>
        <v>-13.7</v>
      </c>
      <c r="L688" s="8">
        <f>10^((K688-H688)/10)</f>
        <v>1.4125375446227517E-10</v>
      </c>
      <c r="M688" s="26">
        <f>SUM(L688:L691)</f>
        <v>2.1983900960138696E-10</v>
      </c>
      <c r="N688" s="17">
        <f>10*LOG10(M688/E688)</f>
        <v>-102.59955232487904</v>
      </c>
      <c r="O688" s="9">
        <f>J688</f>
        <v>-16.399999999999999</v>
      </c>
      <c r="P688" s="8">
        <f>D688/B688*10^(O688/10)</f>
        <v>0.2901765693505845</v>
      </c>
      <c r="Q688" s="26">
        <f>SUM(P688:P691)</f>
        <v>1.0718145092130775</v>
      </c>
      <c r="R688" s="17">
        <f>10*LOG10(Q688)</f>
        <v>0.30119631816126174</v>
      </c>
      <c r="S688" s="18">
        <f>F688+N688-Kzt-H</f>
        <v>-18.599552324879042</v>
      </c>
      <c r="T688" s="17">
        <v>0.2</v>
      </c>
      <c r="U688" s="21">
        <f>T688*10^((S688-R688)/10)</f>
        <v>2.5760550010638498E-3</v>
      </c>
    </row>
    <row r="689" spans="1:21" x14ac:dyDescent="0.25">
      <c r="A689" s="24"/>
      <c r="B689" s="24"/>
      <c r="C689" s="17"/>
      <c r="D689" s="24"/>
      <c r="E689" s="24"/>
      <c r="F689" s="25"/>
      <c r="G689" s="1">
        <v>225</v>
      </c>
      <c r="H689" s="2">
        <v>90</v>
      </c>
      <c r="I689" s="2">
        <v>-15.8</v>
      </c>
      <c r="J689" s="2">
        <v>-17.5</v>
      </c>
      <c r="K689" s="2">
        <f t="shared" ref="K689:K721" si="93">I689</f>
        <v>-15.8</v>
      </c>
      <c r="L689" s="8">
        <f t="shared" ref="L689:L690" si="94">10^((K689-H689)/10)</f>
        <v>2.6302679918953769E-11</v>
      </c>
      <c r="M689" s="26"/>
      <c r="N689" s="17"/>
      <c r="O689" s="9">
        <f t="shared" ref="O689:O721" si="95">J689</f>
        <v>-17.5</v>
      </c>
      <c r="P689" s="8">
        <f>D688/B688*10^(O689/10)</f>
        <v>0.22524872527159684</v>
      </c>
      <c r="Q689" s="26"/>
      <c r="R689" s="17"/>
      <c r="S689" s="19"/>
      <c r="T689" s="17"/>
      <c r="U689" s="22"/>
    </row>
    <row r="690" spans="1:21" x14ac:dyDescent="0.25">
      <c r="A690" s="24"/>
      <c r="B690" s="24"/>
      <c r="C690" s="17"/>
      <c r="D690" s="24"/>
      <c r="E690" s="24"/>
      <c r="F690" s="25"/>
      <c r="G690" s="1">
        <v>275</v>
      </c>
      <c r="H690" s="2">
        <v>92.2</v>
      </c>
      <c r="I690" s="2">
        <v>-12.9</v>
      </c>
      <c r="J690" s="2">
        <v>-19.100000000000001</v>
      </c>
      <c r="K690" s="2">
        <f t="shared" si="93"/>
        <v>-12.9</v>
      </c>
      <c r="L690" s="8">
        <f t="shared" si="94"/>
        <v>3.0902954325135712E-11</v>
      </c>
      <c r="M690" s="26"/>
      <c r="N690" s="17"/>
      <c r="O690" s="9">
        <f t="shared" si="95"/>
        <v>-19.100000000000001</v>
      </c>
      <c r="P690" s="8">
        <f>D688/B688*10^(O690/10)</f>
        <v>0.15583404430290157</v>
      </c>
      <c r="Q690" s="26"/>
      <c r="R690" s="17"/>
      <c r="S690" s="19"/>
      <c r="T690" s="17"/>
      <c r="U690" s="22"/>
    </row>
    <row r="691" spans="1:21" x14ac:dyDescent="0.25">
      <c r="A691" s="24"/>
      <c r="B691" s="24"/>
      <c r="C691" s="17"/>
      <c r="D691" s="24"/>
      <c r="E691" s="24"/>
      <c r="F691" s="25"/>
      <c r="G691" s="1">
        <v>325</v>
      </c>
      <c r="H691" s="2">
        <v>93.3</v>
      </c>
      <c r="I691" s="2">
        <v>-13.4</v>
      </c>
      <c r="J691" s="2">
        <v>-15</v>
      </c>
      <c r="K691" s="2">
        <f t="shared" si="93"/>
        <v>-13.4</v>
      </c>
      <c r="L691" s="8">
        <f>10^((K691-H691)/10)</f>
        <v>2.1379620895022298E-11</v>
      </c>
      <c r="M691" s="26"/>
      <c r="N691" s="17"/>
      <c r="O691" s="9">
        <f t="shared" si="95"/>
        <v>-15</v>
      </c>
      <c r="P691" s="8">
        <f>D688/B688*10^(O691/10)</f>
        <v>0.40055517028799459</v>
      </c>
      <c r="Q691" s="26"/>
      <c r="R691" s="17"/>
      <c r="S691" s="20"/>
      <c r="T691" s="17"/>
      <c r="U691" s="23"/>
    </row>
    <row r="692" spans="1:21" x14ac:dyDescent="0.25">
      <c r="A692" s="24">
        <v>500</v>
      </c>
      <c r="B692" s="24">
        <v>3</v>
      </c>
      <c r="C692" s="17">
        <v>0.5</v>
      </c>
      <c r="D692" s="24">
        <v>59</v>
      </c>
      <c r="E692" s="24">
        <v>6</v>
      </c>
      <c r="F692" s="25">
        <v>84</v>
      </c>
      <c r="G692" s="1">
        <v>375</v>
      </c>
      <c r="H692" s="2">
        <v>91.9</v>
      </c>
      <c r="I692" s="2">
        <v>-16.8</v>
      </c>
      <c r="J692" s="2">
        <v>-18.600000000000001</v>
      </c>
      <c r="K692" s="2">
        <f t="shared" si="93"/>
        <v>-16.8</v>
      </c>
      <c r="L692" s="8">
        <f t="shared" ref="L692:L693" si="96">10^((K692-H692)/10)</f>
        <v>1.348962882591645E-11</v>
      </c>
      <c r="M692" s="26">
        <f>SUM(L692:L697)</f>
        <v>1.5374447778021756E-10</v>
      </c>
      <c r="N692" s="17">
        <f>10*LOG10(M692/E692)</f>
        <v>-105.91351724717651</v>
      </c>
      <c r="O692" s="9">
        <f t="shared" si="95"/>
        <v>-18.600000000000001</v>
      </c>
      <c r="P692" s="8">
        <f>D692/B692*10^(O692/10)</f>
        <v>0.27147557203856715</v>
      </c>
      <c r="Q692" s="26">
        <f>SUM(P692:P697)</f>
        <v>1.5230942524745834</v>
      </c>
      <c r="R692" s="17">
        <f>10*LOG10(Q692)</f>
        <v>1.8272677928027647</v>
      </c>
      <c r="S692" s="18">
        <f>F692+N692-Kzt-H</f>
        <v>-21.913517247176515</v>
      </c>
      <c r="T692" s="17">
        <v>0.5</v>
      </c>
      <c r="U692" s="21">
        <f>T692*10^((S692-R692)/10)</f>
        <v>2.1129610934462828E-3</v>
      </c>
    </row>
    <row r="693" spans="1:21" x14ac:dyDescent="0.25">
      <c r="A693" s="24"/>
      <c r="B693" s="24"/>
      <c r="C693" s="17"/>
      <c r="D693" s="24"/>
      <c r="E693" s="24"/>
      <c r="F693" s="25"/>
      <c r="G693" s="1">
        <v>425</v>
      </c>
      <c r="H693" s="2">
        <v>88.1</v>
      </c>
      <c r="I693" s="2">
        <v>-12.8</v>
      </c>
      <c r="J693" s="2">
        <v>-17.7</v>
      </c>
      <c r="K693" s="2">
        <f t="shared" si="93"/>
        <v>-12.8</v>
      </c>
      <c r="L693" s="8">
        <f t="shared" si="96"/>
        <v>8.1283051616409667E-11</v>
      </c>
      <c r="M693" s="26"/>
      <c r="N693" s="17"/>
      <c r="O693" s="9">
        <f t="shared" si="95"/>
        <v>-17.7</v>
      </c>
      <c r="P693" s="8">
        <f>D692/B692*10^(O693/10)</f>
        <v>0.33398791831747615</v>
      </c>
      <c r="Q693" s="26"/>
      <c r="R693" s="17"/>
      <c r="S693" s="19"/>
      <c r="T693" s="17"/>
      <c r="U693" s="22"/>
    </row>
    <row r="694" spans="1:21" x14ac:dyDescent="0.25">
      <c r="A694" s="24"/>
      <c r="B694" s="24"/>
      <c r="C694" s="17"/>
      <c r="D694" s="24"/>
      <c r="E694" s="24"/>
      <c r="F694" s="25"/>
      <c r="G694" s="1">
        <v>475</v>
      </c>
      <c r="H694" s="2">
        <v>90</v>
      </c>
      <c r="I694" s="2">
        <v>-19.100000000000001</v>
      </c>
      <c r="J694" s="2">
        <v>-20.100000000000001</v>
      </c>
      <c r="K694" s="2">
        <f t="shared" si="93"/>
        <v>-19.100000000000001</v>
      </c>
      <c r="L694" s="8">
        <f>10^((K694-H694)/10)</f>
        <v>1.2302687708123787E-11</v>
      </c>
      <c r="M694" s="26"/>
      <c r="N694" s="17"/>
      <c r="O694" s="9">
        <f t="shared" si="95"/>
        <v>-20.100000000000001</v>
      </c>
      <c r="P694" s="8">
        <f>D692/B692*10^(O694/10)</f>
        <v>0.19218998678797586</v>
      </c>
      <c r="Q694" s="26"/>
      <c r="R694" s="17"/>
      <c r="S694" s="19"/>
      <c r="T694" s="17"/>
      <c r="U694" s="22"/>
    </row>
    <row r="695" spans="1:21" x14ac:dyDescent="0.25">
      <c r="A695" s="24"/>
      <c r="B695" s="24"/>
      <c r="C695" s="17"/>
      <c r="D695" s="24"/>
      <c r="E695" s="24"/>
      <c r="F695" s="25"/>
      <c r="G695" s="1">
        <v>575</v>
      </c>
      <c r="H695" s="2">
        <v>97</v>
      </c>
      <c r="I695" s="2">
        <v>-15.4</v>
      </c>
      <c r="J695" s="2">
        <v>-18.899999999999999</v>
      </c>
      <c r="K695" s="2">
        <f t="shared" si="93"/>
        <v>-15.4</v>
      </c>
      <c r="L695" s="8">
        <f t="shared" ref="L695:L721" si="97">10^((K695-H695)/10)</f>
        <v>5.7543993733715538E-12</v>
      </c>
      <c r="M695" s="26"/>
      <c r="N695" s="17"/>
      <c r="O695" s="9">
        <f t="shared" si="95"/>
        <v>-18.899999999999999</v>
      </c>
      <c r="P695" s="8">
        <f>D692/B692*10^(O695/10)</f>
        <v>0.2533557451663162</v>
      </c>
      <c r="Q695" s="26"/>
      <c r="R695" s="17"/>
      <c r="S695" s="19"/>
      <c r="T695" s="17"/>
      <c r="U695" s="22"/>
    </row>
    <row r="696" spans="1:21" x14ac:dyDescent="0.25">
      <c r="A696" s="24"/>
      <c r="B696" s="24"/>
      <c r="C696" s="17"/>
      <c r="D696" s="24"/>
      <c r="E696" s="24"/>
      <c r="F696" s="25"/>
      <c r="G696" s="1">
        <v>625</v>
      </c>
      <c r="H696" s="2">
        <v>92</v>
      </c>
      <c r="I696" s="2">
        <v>-13.2</v>
      </c>
      <c r="J696" s="2">
        <v>-20.2</v>
      </c>
      <c r="K696" s="2">
        <f t="shared" si="93"/>
        <v>-13.2</v>
      </c>
      <c r="L696" s="8">
        <f t="shared" si="97"/>
        <v>3.0199517204020087E-11</v>
      </c>
      <c r="M696" s="26"/>
      <c r="N696" s="17"/>
      <c r="O696" s="9">
        <f t="shared" si="95"/>
        <v>-20.2</v>
      </c>
      <c r="P696" s="8">
        <f>D692/B692*10^(O696/10)</f>
        <v>0.18781520858421571</v>
      </c>
      <c r="Q696" s="26"/>
      <c r="R696" s="17"/>
      <c r="S696" s="19"/>
      <c r="T696" s="17"/>
      <c r="U696" s="22"/>
    </row>
    <row r="697" spans="1:21" x14ac:dyDescent="0.25">
      <c r="A697" s="24"/>
      <c r="B697" s="24"/>
      <c r="C697" s="17"/>
      <c r="D697" s="24"/>
      <c r="E697" s="24"/>
      <c r="F697" s="25"/>
      <c r="G697" s="1">
        <v>675</v>
      </c>
      <c r="H697" s="2">
        <v>94.5</v>
      </c>
      <c r="I697" s="2">
        <v>-15.2</v>
      </c>
      <c r="J697" s="2">
        <v>-18.399999999999999</v>
      </c>
      <c r="K697" s="2">
        <f t="shared" si="93"/>
        <v>-15.2</v>
      </c>
      <c r="L697" s="8">
        <f t="shared" si="97"/>
        <v>1.0715193052376007E-11</v>
      </c>
      <c r="M697" s="26"/>
      <c r="N697" s="17"/>
      <c r="O697" s="9">
        <f t="shared" si="95"/>
        <v>-18.399999999999999</v>
      </c>
      <c r="P697" s="8">
        <f>D692/B692*10^(O697/10)</f>
        <v>0.28426982158003239</v>
      </c>
      <c r="Q697" s="26"/>
      <c r="R697" s="17"/>
      <c r="S697" s="20"/>
      <c r="T697" s="17"/>
      <c r="U697" s="23"/>
    </row>
    <row r="698" spans="1:21" x14ac:dyDescent="0.25">
      <c r="A698" s="24">
        <v>1000</v>
      </c>
      <c r="B698" s="24">
        <v>3</v>
      </c>
      <c r="C698" s="17">
        <v>0.5</v>
      </c>
      <c r="D698" s="24">
        <v>117</v>
      </c>
      <c r="E698" s="24">
        <v>6</v>
      </c>
      <c r="F698" s="25">
        <v>76</v>
      </c>
      <c r="G698" s="1">
        <v>875</v>
      </c>
      <c r="H698" s="2">
        <v>91.1</v>
      </c>
      <c r="I698" s="2">
        <v>-15.3</v>
      </c>
      <c r="J698" s="2">
        <v>-19.5</v>
      </c>
      <c r="K698" s="2">
        <f t="shared" si="93"/>
        <v>-15.3</v>
      </c>
      <c r="L698" s="8">
        <f t="shared" si="97"/>
        <v>2.290867652767778E-11</v>
      </c>
      <c r="M698" s="26">
        <f>SUM(L698:L703)</f>
        <v>5.3662024240332491E-11</v>
      </c>
      <c r="N698" s="17">
        <f>10*LOG10(M698/E698)</f>
        <v>-110.48484199270511</v>
      </c>
      <c r="O698" s="9">
        <f t="shared" si="95"/>
        <v>-19.5</v>
      </c>
      <c r="P698" s="8">
        <f>D698/B698*10^(O698/10)</f>
        <v>0.43758719717776573</v>
      </c>
      <c r="Q698" s="26">
        <f>SUM(P698:P703)</f>
        <v>2.5997947375706443</v>
      </c>
      <c r="R698" s="17">
        <f>10*LOG10(Q698)</f>
        <v>4.1493906033257204</v>
      </c>
      <c r="S698" s="18">
        <f>F698+N698-Kzt-H</f>
        <v>-34.484841992705114</v>
      </c>
      <c r="T698" s="17">
        <v>0.8</v>
      </c>
      <c r="U698" s="21">
        <f>T698*10^((S698-R698)/10)</f>
        <v>1.095637094101493E-4</v>
      </c>
    </row>
    <row r="699" spans="1:21" x14ac:dyDescent="0.25">
      <c r="A699" s="24"/>
      <c r="B699" s="24"/>
      <c r="C699" s="17"/>
      <c r="D699" s="24"/>
      <c r="E699" s="24"/>
      <c r="F699" s="25"/>
      <c r="G699" s="1">
        <v>975</v>
      </c>
      <c r="H699" s="2">
        <v>96.5</v>
      </c>
      <c r="I699" s="2">
        <v>-15.2</v>
      </c>
      <c r="J699" s="2">
        <v>-20.7</v>
      </c>
      <c r="K699" s="2">
        <f t="shared" si="93"/>
        <v>-15.2</v>
      </c>
      <c r="L699" s="8">
        <f t="shared" si="97"/>
        <v>6.7608297539197943E-12</v>
      </c>
      <c r="M699" s="26"/>
      <c r="N699" s="17"/>
      <c r="O699" s="9">
        <f t="shared" si="95"/>
        <v>-20.7</v>
      </c>
      <c r="P699" s="8">
        <f>D698/B698*10^(O699/10)</f>
        <v>0.33194383489892693</v>
      </c>
      <c r="Q699" s="26"/>
      <c r="R699" s="17"/>
      <c r="S699" s="19"/>
      <c r="T699" s="17"/>
      <c r="U699" s="22"/>
    </row>
    <row r="700" spans="1:21" x14ac:dyDescent="0.25">
      <c r="A700" s="24"/>
      <c r="B700" s="24"/>
      <c r="C700" s="17"/>
      <c r="D700" s="24"/>
      <c r="E700" s="24"/>
      <c r="F700" s="25"/>
      <c r="G700" s="1">
        <v>1075</v>
      </c>
      <c r="H700" s="2">
        <v>94.6</v>
      </c>
      <c r="I700" s="2">
        <v>-17</v>
      </c>
      <c r="J700" s="2">
        <v>-17.7</v>
      </c>
      <c r="K700" s="2">
        <f t="shared" si="93"/>
        <v>-17</v>
      </c>
      <c r="L700" s="8">
        <f t="shared" si="97"/>
        <v>6.9183097091893405E-12</v>
      </c>
      <c r="M700" s="26"/>
      <c r="N700" s="17"/>
      <c r="O700" s="9">
        <f t="shared" si="95"/>
        <v>-17.7</v>
      </c>
      <c r="P700" s="8">
        <f>D698/B698*10^(O700/10)</f>
        <v>0.66231502446007973</v>
      </c>
      <c r="Q700" s="26"/>
      <c r="R700" s="17"/>
      <c r="S700" s="19"/>
      <c r="T700" s="17"/>
      <c r="U700" s="22"/>
    </row>
    <row r="701" spans="1:21" x14ac:dyDescent="0.25">
      <c r="A701" s="24"/>
      <c r="B701" s="24"/>
      <c r="C701" s="17"/>
      <c r="D701" s="24"/>
      <c r="E701" s="24"/>
      <c r="F701" s="25"/>
      <c r="G701" s="1">
        <v>1175</v>
      </c>
      <c r="H701" s="2">
        <v>97.8</v>
      </c>
      <c r="I701" s="2">
        <v>-11.5</v>
      </c>
      <c r="J701" s="2">
        <v>-20.100000000000001</v>
      </c>
      <c r="K701" s="2">
        <f t="shared" si="93"/>
        <v>-11.5</v>
      </c>
      <c r="L701" s="8">
        <f t="shared" si="97"/>
        <v>1.1748975549395269E-11</v>
      </c>
      <c r="M701" s="26"/>
      <c r="N701" s="17"/>
      <c r="O701" s="9">
        <f t="shared" si="95"/>
        <v>-20.100000000000001</v>
      </c>
      <c r="P701" s="8">
        <f>D698/B698*10^(O701/10)</f>
        <v>0.38112251617276571</v>
      </c>
      <c r="Q701" s="26"/>
      <c r="R701" s="17"/>
      <c r="S701" s="19"/>
      <c r="T701" s="17"/>
      <c r="U701" s="22"/>
    </row>
    <row r="702" spans="1:21" x14ac:dyDescent="0.25">
      <c r="A702" s="24"/>
      <c r="B702" s="24"/>
      <c r="C702" s="17"/>
      <c r="D702" s="24"/>
      <c r="E702" s="24"/>
      <c r="F702" s="25"/>
      <c r="G702" s="1">
        <v>1275</v>
      </c>
      <c r="H702" s="2">
        <v>100.1</v>
      </c>
      <c r="I702" s="2">
        <v>-16.7</v>
      </c>
      <c r="J702" s="2">
        <v>-21.2</v>
      </c>
      <c r="K702" s="2">
        <f t="shared" si="93"/>
        <v>-16.7</v>
      </c>
      <c r="L702" s="8">
        <f t="shared" si="97"/>
        <v>2.0892961308540349E-12</v>
      </c>
      <c r="M702" s="26"/>
      <c r="N702" s="17"/>
      <c r="O702" s="9">
        <f t="shared" si="95"/>
        <v>-21.2</v>
      </c>
      <c r="P702" s="8">
        <f>D698/B698*10^(O702/10)</f>
        <v>0.29584525426138136</v>
      </c>
      <c r="Q702" s="26"/>
      <c r="R702" s="17"/>
      <c r="S702" s="19"/>
      <c r="T702" s="17"/>
      <c r="U702" s="22"/>
    </row>
    <row r="703" spans="1:21" x14ac:dyDescent="0.25">
      <c r="A703" s="24"/>
      <c r="B703" s="24"/>
      <c r="C703" s="17"/>
      <c r="D703" s="24"/>
      <c r="E703" s="24"/>
      <c r="F703" s="25"/>
      <c r="G703" s="1">
        <v>1375</v>
      </c>
      <c r="H703" s="2">
        <v>103</v>
      </c>
      <c r="I703" s="2">
        <v>-11.9</v>
      </c>
      <c r="J703" s="2">
        <v>-19</v>
      </c>
      <c r="K703" s="2">
        <f t="shared" si="93"/>
        <v>-11.9</v>
      </c>
      <c r="L703" s="8">
        <f t="shared" si="97"/>
        <v>3.2359365692962695E-12</v>
      </c>
      <c r="M703" s="26"/>
      <c r="N703" s="17"/>
      <c r="O703" s="9">
        <f t="shared" si="95"/>
        <v>-19</v>
      </c>
      <c r="P703" s="8">
        <f>D698/B698*10^(O703/10)</f>
        <v>0.49098091059972493</v>
      </c>
      <c r="Q703" s="26"/>
      <c r="R703" s="17"/>
      <c r="S703" s="20"/>
      <c r="T703" s="17"/>
      <c r="U703" s="23"/>
    </row>
    <row r="704" spans="1:21" x14ac:dyDescent="0.25">
      <c r="A704" s="24">
        <v>2000</v>
      </c>
      <c r="B704" s="24">
        <v>3</v>
      </c>
      <c r="C704" s="17">
        <v>0.5</v>
      </c>
      <c r="D704" s="24">
        <v>234</v>
      </c>
      <c r="E704" s="24">
        <v>6</v>
      </c>
      <c r="F704" s="25">
        <v>68</v>
      </c>
      <c r="G704" s="1">
        <v>1425</v>
      </c>
      <c r="H704" s="2">
        <v>102.8</v>
      </c>
      <c r="I704" s="2">
        <v>-14.6</v>
      </c>
      <c r="J704" s="2">
        <v>-20.7</v>
      </c>
      <c r="K704" s="2">
        <f t="shared" si="93"/>
        <v>-14.6</v>
      </c>
      <c r="L704" s="8">
        <f t="shared" si="97"/>
        <v>1.819700858609987E-12</v>
      </c>
      <c r="M704" s="26">
        <f>SUM(L704:L709)</f>
        <v>2.5926351663287797E-11</v>
      </c>
      <c r="N704" s="17">
        <f>10*LOG10(M704/E704)</f>
        <v>-113.64409842907718</v>
      </c>
      <c r="O704" s="9">
        <f t="shared" si="95"/>
        <v>-20.7</v>
      </c>
      <c r="P704" s="8">
        <f>D704/B704*10^(O704/10)</f>
        <v>0.66388766979785385</v>
      </c>
      <c r="Q704" s="26">
        <f>SUM(P704:P709)</f>
        <v>5.0001895336716213</v>
      </c>
      <c r="R704" s="17">
        <f>10*LOG10(Q704)</f>
        <v>6.9898646670954729</v>
      </c>
      <c r="S704" s="18">
        <f>F704+N704-Kzt-H</f>
        <v>-45.644098429077175</v>
      </c>
      <c r="T704" s="17">
        <v>1</v>
      </c>
      <c r="U704" s="21">
        <f>T704*10^((S704-R704)/10)</f>
        <v>5.4526006422252893E-6</v>
      </c>
    </row>
    <row r="705" spans="1:21" x14ac:dyDescent="0.25">
      <c r="A705" s="24"/>
      <c r="B705" s="24"/>
      <c r="C705" s="17"/>
      <c r="D705" s="24"/>
      <c r="E705" s="24"/>
      <c r="F705" s="25"/>
      <c r="G705" s="1">
        <v>1625</v>
      </c>
      <c r="H705" s="2">
        <v>104.1</v>
      </c>
      <c r="I705" s="2">
        <v>-11.8</v>
      </c>
      <c r="J705" s="2">
        <v>-21.5</v>
      </c>
      <c r="K705" s="2">
        <f t="shared" si="93"/>
        <v>-11.8</v>
      </c>
      <c r="L705" s="8">
        <f t="shared" si="97"/>
        <v>2.5703957827688561E-12</v>
      </c>
      <c r="M705" s="26"/>
      <c r="N705" s="17"/>
      <c r="O705" s="9">
        <f t="shared" si="95"/>
        <v>-21.5</v>
      </c>
      <c r="P705" s="8">
        <f>D704/B704*10^(O705/10)</f>
        <v>0.55219771181962762</v>
      </c>
      <c r="Q705" s="26"/>
      <c r="R705" s="17"/>
      <c r="S705" s="19"/>
      <c r="T705" s="17"/>
      <c r="U705" s="22"/>
    </row>
    <row r="706" spans="1:21" x14ac:dyDescent="0.25">
      <c r="A706" s="24"/>
      <c r="B706" s="24"/>
      <c r="C706" s="17"/>
      <c r="D706" s="24"/>
      <c r="E706" s="24"/>
      <c r="F706" s="25"/>
      <c r="G706" s="1">
        <v>1825</v>
      </c>
      <c r="H706" s="2">
        <v>107.6</v>
      </c>
      <c r="I706" s="2">
        <v>-14.2</v>
      </c>
      <c r="J706" s="2">
        <v>-21.5</v>
      </c>
      <c r="K706" s="2">
        <f t="shared" si="93"/>
        <v>-14.2</v>
      </c>
      <c r="L706" s="8">
        <f t="shared" si="97"/>
        <v>6.606934480075954E-13</v>
      </c>
      <c r="M706" s="26"/>
      <c r="N706" s="17"/>
      <c r="O706" s="9">
        <f t="shared" si="95"/>
        <v>-21.5</v>
      </c>
      <c r="P706" s="8">
        <f>D704/B704*10^(O706/10)</f>
        <v>0.55219771181962762</v>
      </c>
      <c r="Q706" s="26"/>
      <c r="R706" s="17"/>
      <c r="S706" s="19"/>
      <c r="T706" s="17"/>
      <c r="U706" s="22"/>
    </row>
    <row r="707" spans="1:21" x14ac:dyDescent="0.25">
      <c r="A707" s="24"/>
      <c r="B707" s="24"/>
      <c r="C707" s="17"/>
      <c r="D707" s="24"/>
      <c r="E707" s="24"/>
      <c r="F707" s="25"/>
      <c r="G707" s="1">
        <v>2125</v>
      </c>
      <c r="H707" s="2">
        <v>104.2</v>
      </c>
      <c r="I707" s="2">
        <v>-16.3</v>
      </c>
      <c r="J707" s="2">
        <v>-21.3</v>
      </c>
      <c r="K707" s="2">
        <f t="shared" si="93"/>
        <v>-16.3</v>
      </c>
      <c r="L707" s="8">
        <f t="shared" si="97"/>
        <v>8.9125093813374051E-13</v>
      </c>
      <c r="M707" s="26"/>
      <c r="N707" s="17"/>
      <c r="O707" s="9">
        <f t="shared" si="95"/>
        <v>-21.3</v>
      </c>
      <c r="P707" s="8">
        <f>D704/B704*10^(O707/10)</f>
        <v>0.5782219882147156</v>
      </c>
      <c r="Q707" s="26"/>
      <c r="R707" s="17"/>
      <c r="S707" s="19"/>
      <c r="T707" s="17"/>
      <c r="U707" s="22"/>
    </row>
    <row r="708" spans="1:21" x14ac:dyDescent="0.25">
      <c r="A708" s="24"/>
      <c r="B708" s="24"/>
      <c r="C708" s="17"/>
      <c r="D708" s="24"/>
      <c r="E708" s="24"/>
      <c r="F708" s="25"/>
      <c r="G708" s="1">
        <v>2425</v>
      </c>
      <c r="H708" s="2">
        <v>93.7</v>
      </c>
      <c r="I708" s="2">
        <v>-14.1</v>
      </c>
      <c r="J708" s="2">
        <v>-15.9</v>
      </c>
      <c r="K708" s="2">
        <f t="shared" si="93"/>
        <v>-14.1</v>
      </c>
      <c r="L708" s="8">
        <f t="shared" si="97"/>
        <v>1.6595869074375605E-11</v>
      </c>
      <c r="M708" s="26"/>
      <c r="N708" s="17"/>
      <c r="O708" s="9">
        <f t="shared" si="95"/>
        <v>-15.9</v>
      </c>
      <c r="P708" s="8">
        <f>D704/B704*10^(O708/10)</f>
        <v>2.0049087105597132</v>
      </c>
      <c r="Q708" s="26"/>
      <c r="R708" s="17"/>
      <c r="S708" s="19"/>
      <c r="T708" s="17"/>
      <c r="U708" s="22"/>
    </row>
    <row r="709" spans="1:21" x14ac:dyDescent="0.25">
      <c r="A709" s="24"/>
      <c r="B709" s="24"/>
      <c r="C709" s="17"/>
      <c r="D709" s="24"/>
      <c r="E709" s="24"/>
      <c r="F709" s="25"/>
      <c r="G709" s="1">
        <v>2775</v>
      </c>
      <c r="H709" s="2">
        <v>100.2</v>
      </c>
      <c r="I709" s="2">
        <v>-14.5</v>
      </c>
      <c r="J709" s="2">
        <v>-20.8</v>
      </c>
      <c r="K709" s="2">
        <f t="shared" si="93"/>
        <v>-14.5</v>
      </c>
      <c r="L709" s="8">
        <f t="shared" si="97"/>
        <v>3.3884415613920115E-12</v>
      </c>
      <c r="M709" s="26"/>
      <c r="N709" s="17"/>
      <c r="O709" s="9">
        <f t="shared" si="95"/>
        <v>-20.8</v>
      </c>
      <c r="P709" s="8">
        <f>D704/B704*10^(O709/10)</f>
        <v>0.64877574146008299</v>
      </c>
      <c r="Q709" s="26"/>
      <c r="R709" s="17"/>
      <c r="S709" s="20"/>
      <c r="T709" s="17"/>
      <c r="U709" s="23"/>
    </row>
    <row r="710" spans="1:21" x14ac:dyDescent="0.25">
      <c r="A710" s="24">
        <v>4000</v>
      </c>
      <c r="B710" s="24">
        <v>3</v>
      </c>
      <c r="C710" s="17">
        <v>0.5</v>
      </c>
      <c r="D710" s="24">
        <v>470</v>
      </c>
      <c r="E710" s="24">
        <v>6</v>
      </c>
      <c r="F710" s="25">
        <v>62</v>
      </c>
      <c r="G710" s="1">
        <v>2825</v>
      </c>
      <c r="H710" s="2">
        <v>99.4</v>
      </c>
      <c r="I710" s="2">
        <v>-18.7</v>
      </c>
      <c r="J710" s="2">
        <v>-22.2</v>
      </c>
      <c r="K710" s="2">
        <f t="shared" si="93"/>
        <v>-18.7</v>
      </c>
      <c r="L710" s="8">
        <f t="shared" si="97"/>
        <v>1.5488166189124747E-12</v>
      </c>
      <c r="M710" s="26">
        <f>SUM(L710:L715)</f>
        <v>9.012256329938232E-12</v>
      </c>
      <c r="N710" s="17">
        <f>10*LOG10(M710/E710)</f>
        <v>-118.23317714791398</v>
      </c>
      <c r="O710" s="9">
        <f t="shared" si="95"/>
        <v>-22.2</v>
      </c>
      <c r="P710" s="8">
        <f>D710/B710*10^(O710/10)</f>
        <v>0.94401001818316033</v>
      </c>
      <c r="Q710" s="26">
        <f>SUM(P710:P715)</f>
        <v>8.0627965971299922</v>
      </c>
      <c r="R710" s="17">
        <f>10*LOG10(Q710)</f>
        <v>9.0648570384520575</v>
      </c>
      <c r="S710" s="18">
        <f>F710+N710-Kzt-H</f>
        <v>-56.233177147913977</v>
      </c>
      <c r="T710" s="17">
        <v>0.9</v>
      </c>
      <c r="U710" s="21">
        <f>T710*10^((S710-R710)/10)</f>
        <v>2.657290842072949E-7</v>
      </c>
    </row>
    <row r="711" spans="1:21" x14ac:dyDescent="0.25">
      <c r="A711" s="24"/>
      <c r="B711" s="24"/>
      <c r="C711" s="17"/>
      <c r="D711" s="24"/>
      <c r="E711" s="24"/>
      <c r="F711" s="25"/>
      <c r="G711" s="1">
        <v>3425</v>
      </c>
      <c r="H711" s="2">
        <v>103.5</v>
      </c>
      <c r="I711" s="2">
        <v>-18.899999999999999</v>
      </c>
      <c r="J711" s="2">
        <v>-19.2</v>
      </c>
      <c r="K711" s="2">
        <f t="shared" si="93"/>
        <v>-18.899999999999999</v>
      </c>
      <c r="L711" s="8">
        <f t="shared" si="97"/>
        <v>5.7543993733715476E-13</v>
      </c>
      <c r="M711" s="26"/>
      <c r="N711" s="17"/>
      <c r="O711" s="9">
        <f t="shared" si="95"/>
        <v>-19.2</v>
      </c>
      <c r="P711" s="8">
        <f>D710/B710*10^(O711/10)</f>
        <v>1.883547614233946</v>
      </c>
      <c r="Q711" s="26"/>
      <c r="R711" s="17"/>
      <c r="S711" s="19"/>
      <c r="T711" s="17"/>
      <c r="U711" s="22"/>
    </row>
    <row r="712" spans="1:21" x14ac:dyDescent="0.25">
      <c r="A712" s="24"/>
      <c r="B712" s="24"/>
      <c r="C712" s="17"/>
      <c r="D712" s="24"/>
      <c r="E712" s="24"/>
      <c r="F712" s="25"/>
      <c r="G712" s="1">
        <v>4025</v>
      </c>
      <c r="H712" s="2">
        <v>103.6</v>
      </c>
      <c r="I712" s="2">
        <v>-18.2</v>
      </c>
      <c r="J712" s="2">
        <v>-20.2</v>
      </c>
      <c r="K712" s="2">
        <f t="shared" si="93"/>
        <v>-18.2</v>
      </c>
      <c r="L712" s="8">
        <f t="shared" si="97"/>
        <v>6.606934480075954E-13</v>
      </c>
      <c r="M712" s="26"/>
      <c r="N712" s="17"/>
      <c r="O712" s="9">
        <f t="shared" si="95"/>
        <v>-20.2</v>
      </c>
      <c r="P712" s="8">
        <f>D710/B710*10^(O712/10)</f>
        <v>1.4961550514335826</v>
      </c>
      <c r="Q712" s="26"/>
      <c r="R712" s="17"/>
      <c r="S712" s="19"/>
      <c r="T712" s="17"/>
      <c r="U712" s="22"/>
    </row>
    <row r="713" spans="1:21" x14ac:dyDescent="0.25">
      <c r="A713" s="24"/>
      <c r="B713" s="24"/>
      <c r="C713" s="17"/>
      <c r="D713" s="24"/>
      <c r="E713" s="24"/>
      <c r="F713" s="25"/>
      <c r="G713" s="1">
        <v>4625</v>
      </c>
      <c r="H713" s="2">
        <v>105.6</v>
      </c>
      <c r="I713" s="2">
        <v>-17.7</v>
      </c>
      <c r="J713" s="2">
        <v>-25</v>
      </c>
      <c r="K713" s="2">
        <f t="shared" si="93"/>
        <v>-17.7</v>
      </c>
      <c r="L713" s="8">
        <f t="shared" si="97"/>
        <v>4.6773514128719676E-13</v>
      </c>
      <c r="M713" s="26"/>
      <c r="N713" s="17"/>
      <c r="O713" s="9">
        <f t="shared" si="95"/>
        <v>-25</v>
      </c>
      <c r="P713" s="8">
        <f>D710/B710*10^(O713/10)</f>
        <v>0.49542350009304559</v>
      </c>
      <c r="Q713" s="26"/>
      <c r="R713" s="17"/>
      <c r="S713" s="19"/>
      <c r="T713" s="17"/>
      <c r="U713" s="22"/>
    </row>
    <row r="714" spans="1:21" x14ac:dyDescent="0.25">
      <c r="A714" s="24"/>
      <c r="B714" s="24"/>
      <c r="C714" s="17"/>
      <c r="D714" s="24"/>
      <c r="E714" s="24"/>
      <c r="F714" s="25"/>
      <c r="G714" s="1">
        <v>5225</v>
      </c>
      <c r="H714" s="2">
        <v>103.5</v>
      </c>
      <c r="I714" s="2">
        <v>-18.5</v>
      </c>
      <c r="J714" s="2">
        <v>-19.899999999999999</v>
      </c>
      <c r="K714" s="2">
        <f t="shared" si="93"/>
        <v>-18.5</v>
      </c>
      <c r="L714" s="8">
        <f t="shared" si="97"/>
        <v>6.3095734448019283E-13</v>
      </c>
      <c r="M714" s="26"/>
      <c r="N714" s="17"/>
      <c r="O714" s="9">
        <f t="shared" si="95"/>
        <v>-19.899999999999999</v>
      </c>
      <c r="P714" s="8">
        <f>D710/B710*10^(O714/10)</f>
        <v>1.6031590212398485</v>
      </c>
      <c r="Q714" s="26"/>
      <c r="R714" s="17"/>
      <c r="S714" s="19"/>
      <c r="T714" s="17"/>
      <c r="U714" s="22"/>
    </row>
    <row r="715" spans="1:21" x14ac:dyDescent="0.25">
      <c r="A715" s="24"/>
      <c r="B715" s="24"/>
      <c r="C715" s="17"/>
      <c r="D715" s="24"/>
      <c r="E715" s="24"/>
      <c r="F715" s="25"/>
      <c r="G715" s="1">
        <v>5625</v>
      </c>
      <c r="H715" s="2">
        <v>99.5</v>
      </c>
      <c r="I715" s="2">
        <v>-13.4</v>
      </c>
      <c r="J715" s="2">
        <v>-19.8</v>
      </c>
      <c r="K715" s="2">
        <f t="shared" si="93"/>
        <v>-13.4</v>
      </c>
      <c r="L715" s="8">
        <f t="shared" si="97"/>
        <v>5.1286138399136186E-12</v>
      </c>
      <c r="M715" s="26"/>
      <c r="N715" s="17"/>
      <c r="O715" s="9">
        <f t="shared" si="95"/>
        <v>-19.8</v>
      </c>
      <c r="P715" s="8">
        <f>D710/B710*10^(O715/10)</f>
        <v>1.6405013919464082</v>
      </c>
      <c r="Q715" s="26"/>
      <c r="R715" s="17"/>
      <c r="S715" s="20"/>
      <c r="T715" s="17"/>
      <c r="U715" s="23"/>
    </row>
    <row r="716" spans="1:21" x14ac:dyDescent="0.25">
      <c r="A716" s="24">
        <v>8000</v>
      </c>
      <c r="B716" s="24">
        <v>3</v>
      </c>
      <c r="C716" s="17">
        <v>0.5</v>
      </c>
      <c r="D716" s="24">
        <v>943</v>
      </c>
      <c r="E716" s="24">
        <v>6</v>
      </c>
      <c r="F716" s="25">
        <v>54</v>
      </c>
      <c r="G716" s="1">
        <v>6025</v>
      </c>
      <c r="H716" s="2">
        <v>95</v>
      </c>
      <c r="I716" s="2">
        <v>-17.7</v>
      </c>
      <c r="J716" s="2">
        <v>-21.4</v>
      </c>
      <c r="K716" s="2">
        <f t="shared" si="93"/>
        <v>-17.7</v>
      </c>
      <c r="L716" s="8">
        <f t="shared" si="97"/>
        <v>5.3703179637025143E-12</v>
      </c>
      <c r="M716" s="26">
        <f>SUM(L716:L721)</f>
        <v>1.1232728639434E-10</v>
      </c>
      <c r="N716" s="17">
        <f>10*LOG10(M716/E716)</f>
        <v>-107.27665983071046</v>
      </c>
      <c r="O716" s="9">
        <f t="shared" si="95"/>
        <v>-21.4</v>
      </c>
      <c r="P716" s="8">
        <f>D716/B716*10^(O716/10)</f>
        <v>2.2771437011690518</v>
      </c>
      <c r="Q716" s="26">
        <f>SUM(P716:P721)</f>
        <v>18.665773079082456</v>
      </c>
      <c r="R716" s="17">
        <f>10*LOG10(Q716)</f>
        <v>12.710459817804988</v>
      </c>
      <c r="S716" s="18">
        <f>F716+N716-Kzt-H</f>
        <v>-53.276659830710457</v>
      </c>
      <c r="T716" s="17">
        <v>0.7</v>
      </c>
      <c r="U716" s="21">
        <f>T716*10^((S716-R716)/10)</f>
        <v>1.7635430882929491E-7</v>
      </c>
    </row>
    <row r="717" spans="1:21" x14ac:dyDescent="0.25">
      <c r="A717" s="24"/>
      <c r="B717" s="24"/>
      <c r="C717" s="17"/>
      <c r="D717" s="24"/>
      <c r="E717" s="24"/>
      <c r="F717" s="25"/>
      <c r="G717" s="1">
        <v>7025</v>
      </c>
      <c r="H717" s="2">
        <v>94.8</v>
      </c>
      <c r="I717" s="2">
        <v>-15.8</v>
      </c>
      <c r="J717" s="2">
        <v>-19.8</v>
      </c>
      <c r="K717" s="2">
        <f t="shared" si="93"/>
        <v>-15.8</v>
      </c>
      <c r="L717" s="8">
        <f t="shared" si="97"/>
        <v>8.7096358995607975E-12</v>
      </c>
      <c r="M717" s="26"/>
      <c r="N717" s="17"/>
      <c r="O717" s="9">
        <f t="shared" si="95"/>
        <v>-19.8</v>
      </c>
      <c r="P717" s="8">
        <f>D716/B716*10^(O717/10)</f>
        <v>3.2914740693733253</v>
      </c>
      <c r="Q717" s="26"/>
      <c r="R717" s="17"/>
      <c r="S717" s="19"/>
      <c r="T717" s="17"/>
      <c r="U717" s="22"/>
    </row>
    <row r="718" spans="1:21" x14ac:dyDescent="0.25">
      <c r="A718" s="24"/>
      <c r="B718" s="24"/>
      <c r="C718" s="17"/>
      <c r="D718" s="24"/>
      <c r="E718" s="24"/>
      <c r="F718" s="25"/>
      <c r="G718" s="1">
        <v>8025</v>
      </c>
      <c r="H718" s="2">
        <v>101.9</v>
      </c>
      <c r="I718" s="2">
        <v>-12.7</v>
      </c>
      <c r="J718" s="2">
        <v>-20.399999999999999</v>
      </c>
      <c r="K718" s="2">
        <f t="shared" si="93"/>
        <v>-12.7</v>
      </c>
      <c r="L718" s="8">
        <f t="shared" si="97"/>
        <v>3.4673685045253019E-12</v>
      </c>
      <c r="M718" s="26"/>
      <c r="N718" s="17"/>
      <c r="O718" s="9">
        <f t="shared" si="95"/>
        <v>-20.399999999999999</v>
      </c>
      <c r="P718" s="8">
        <f>D716/B716*10^(O718/10)</f>
        <v>2.8667540717087401</v>
      </c>
      <c r="Q718" s="26"/>
      <c r="R718" s="17"/>
      <c r="S718" s="19"/>
      <c r="T718" s="17"/>
      <c r="U718" s="22"/>
    </row>
    <row r="719" spans="1:21" x14ac:dyDescent="0.25">
      <c r="A719" s="24"/>
      <c r="B719" s="24"/>
      <c r="C719" s="17"/>
      <c r="D719" s="24"/>
      <c r="E719" s="24"/>
      <c r="F719" s="25"/>
      <c r="G719" s="1">
        <v>9025</v>
      </c>
      <c r="H719" s="2">
        <v>93.2</v>
      </c>
      <c r="I719" s="2">
        <v>-15.4</v>
      </c>
      <c r="J719" s="2">
        <v>-19.8</v>
      </c>
      <c r="K719" s="2">
        <f t="shared" si="93"/>
        <v>-15.4</v>
      </c>
      <c r="L719" s="8">
        <f t="shared" si="97"/>
        <v>1.3803842646028761E-11</v>
      </c>
      <c r="M719" s="26"/>
      <c r="N719" s="17"/>
      <c r="O719" s="9">
        <f t="shared" si="95"/>
        <v>-19.8</v>
      </c>
      <c r="P719" s="8">
        <f>D716/B716*10^(O719/10)</f>
        <v>3.2914740693733253</v>
      </c>
      <c r="Q719" s="26"/>
      <c r="R719" s="17"/>
      <c r="S719" s="19"/>
      <c r="T719" s="17"/>
      <c r="U719" s="22"/>
    </row>
    <row r="720" spans="1:21" x14ac:dyDescent="0.25">
      <c r="A720" s="24"/>
      <c r="B720" s="24"/>
      <c r="C720" s="17"/>
      <c r="D720" s="24"/>
      <c r="E720" s="24"/>
      <c r="F720" s="25"/>
      <c r="G720" s="1">
        <v>10025</v>
      </c>
      <c r="H720" s="2">
        <v>88.3</v>
      </c>
      <c r="I720" s="2">
        <v>-16.5</v>
      </c>
      <c r="J720" s="2">
        <v>-20.100000000000001</v>
      </c>
      <c r="K720" s="2">
        <f t="shared" si="93"/>
        <v>-16.5</v>
      </c>
      <c r="L720" s="8">
        <f t="shared" si="97"/>
        <v>3.3113112148259015E-11</v>
      </c>
      <c r="M720" s="26"/>
      <c r="N720" s="17"/>
      <c r="O720" s="9">
        <f t="shared" si="95"/>
        <v>-20.100000000000001</v>
      </c>
      <c r="P720" s="8">
        <f>D716/B716*10^(O720/10)</f>
        <v>3.0717823312044277</v>
      </c>
      <c r="Q720" s="26"/>
      <c r="R720" s="17"/>
      <c r="S720" s="19"/>
      <c r="T720" s="17"/>
      <c r="U720" s="22"/>
    </row>
    <row r="721" spans="1:21" x14ac:dyDescent="0.25">
      <c r="A721" s="24"/>
      <c r="B721" s="24"/>
      <c r="C721" s="17"/>
      <c r="D721" s="24"/>
      <c r="E721" s="24"/>
      <c r="F721" s="25"/>
      <c r="G721" s="1">
        <v>11025</v>
      </c>
      <c r="H721" s="2">
        <v>86</v>
      </c>
      <c r="I721" s="2">
        <v>-17.2</v>
      </c>
      <c r="J721" s="2">
        <v>-19.100000000000001</v>
      </c>
      <c r="K721" s="2">
        <f t="shared" si="93"/>
        <v>-17.2</v>
      </c>
      <c r="L721" s="8">
        <f t="shared" si="97"/>
        <v>4.786300923226362E-11</v>
      </c>
      <c r="M721" s="26"/>
      <c r="N721" s="17"/>
      <c r="O721" s="9">
        <f t="shared" si="95"/>
        <v>-19.100000000000001</v>
      </c>
      <c r="P721" s="8">
        <f>D716/B716*10^(O721/10)</f>
        <v>3.8671448362535839</v>
      </c>
      <c r="Q721" s="26"/>
      <c r="R721" s="17"/>
      <c r="S721" s="20"/>
      <c r="T721" s="17"/>
      <c r="U721" s="23"/>
    </row>
    <row r="722" spans="1:21" x14ac:dyDescent="0.25">
      <c r="A722" s="24" t="s">
        <v>20</v>
      </c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12">
        <f>U722</f>
        <v>5.5451453292871856E-2</v>
      </c>
      <c r="T722" s="2"/>
      <c r="U722" s="8">
        <f>0.8*SQRT(SUM(U688:U721))</f>
        <v>5.5451453292871856E-2</v>
      </c>
    </row>
  </sheetData>
  <mergeCells count="1600">
    <mergeCell ref="R212:R217"/>
    <mergeCell ref="S212:S217"/>
    <mergeCell ref="T212:T217"/>
    <mergeCell ref="U212:U217"/>
    <mergeCell ref="A218:R218"/>
    <mergeCell ref="A212:A217"/>
    <mergeCell ref="B212:B217"/>
    <mergeCell ref="C212:C217"/>
    <mergeCell ref="D212:D217"/>
    <mergeCell ref="E212:E217"/>
    <mergeCell ref="F212:F217"/>
    <mergeCell ref="M212:M217"/>
    <mergeCell ref="N212:N217"/>
    <mergeCell ref="Q212:Q217"/>
    <mergeCell ref="A206:A211"/>
    <mergeCell ref="B206:B211"/>
    <mergeCell ref="C206:C211"/>
    <mergeCell ref="D206:D211"/>
    <mergeCell ref="E206:E211"/>
    <mergeCell ref="F206:F211"/>
    <mergeCell ref="M206:M211"/>
    <mergeCell ref="N206:N211"/>
    <mergeCell ref="Q206:Q211"/>
    <mergeCell ref="R206:R211"/>
    <mergeCell ref="S206:S211"/>
    <mergeCell ref="T206:T211"/>
    <mergeCell ref="U206:U211"/>
    <mergeCell ref="E200:E205"/>
    <mergeCell ref="F200:F205"/>
    <mergeCell ref="M200:M205"/>
    <mergeCell ref="N200:N205"/>
    <mergeCell ref="Q200:Q205"/>
    <mergeCell ref="R188:R193"/>
    <mergeCell ref="S188:S193"/>
    <mergeCell ref="T188:T193"/>
    <mergeCell ref="U188:U193"/>
    <mergeCell ref="A194:A199"/>
    <mergeCell ref="B194:B199"/>
    <mergeCell ref="C194:C199"/>
    <mergeCell ref="D194:D199"/>
    <mergeCell ref="E194:E199"/>
    <mergeCell ref="F194:F199"/>
    <mergeCell ref="M194:M199"/>
    <mergeCell ref="N194:N199"/>
    <mergeCell ref="Q194:Q199"/>
    <mergeCell ref="R194:R199"/>
    <mergeCell ref="S194:S199"/>
    <mergeCell ref="T194:T199"/>
    <mergeCell ref="U194:U199"/>
    <mergeCell ref="A188:A193"/>
    <mergeCell ref="B188:B193"/>
    <mergeCell ref="C188:C193"/>
    <mergeCell ref="D188:D193"/>
    <mergeCell ref="E188:E193"/>
    <mergeCell ref="R200:R205"/>
    <mergeCell ref="S200:S205"/>
    <mergeCell ref="T200:T205"/>
    <mergeCell ref="U200:U205"/>
    <mergeCell ref="U176:U181"/>
    <mergeCell ref="A182:R182"/>
    <mergeCell ref="A183:U183"/>
    <mergeCell ref="A184:A187"/>
    <mergeCell ref="B184:B187"/>
    <mergeCell ref="C184:C187"/>
    <mergeCell ref="D184:D187"/>
    <mergeCell ref="E184:E187"/>
    <mergeCell ref="F184:F187"/>
    <mergeCell ref="M184:M187"/>
    <mergeCell ref="N184:N187"/>
    <mergeCell ref="Q184:Q187"/>
    <mergeCell ref="R184:R187"/>
    <mergeCell ref="S184:S187"/>
    <mergeCell ref="T184:T187"/>
    <mergeCell ref="U184:U187"/>
    <mergeCell ref="A176:A181"/>
    <mergeCell ref="B176:B181"/>
    <mergeCell ref="C176:C181"/>
    <mergeCell ref="D176:D181"/>
    <mergeCell ref="E176:E181"/>
    <mergeCell ref="F176:F181"/>
    <mergeCell ref="M176:M181"/>
    <mergeCell ref="N176:N181"/>
    <mergeCell ref="Q176:Q181"/>
    <mergeCell ref="A200:A205"/>
    <mergeCell ref="B200:B205"/>
    <mergeCell ref="C200:C205"/>
    <mergeCell ref="D200:D205"/>
    <mergeCell ref="R164:R169"/>
    <mergeCell ref="Q164:Q169"/>
    <mergeCell ref="F188:F193"/>
    <mergeCell ref="M188:M193"/>
    <mergeCell ref="N188:N193"/>
    <mergeCell ref="Q188:Q193"/>
    <mergeCell ref="R176:R181"/>
    <mergeCell ref="S176:S181"/>
    <mergeCell ref="T176:T181"/>
    <mergeCell ref="S164:S169"/>
    <mergeCell ref="T164:T169"/>
    <mergeCell ref="U164:U169"/>
    <mergeCell ref="A170:A175"/>
    <mergeCell ref="B170:B175"/>
    <mergeCell ref="C170:C175"/>
    <mergeCell ref="D170:D175"/>
    <mergeCell ref="E170:E175"/>
    <mergeCell ref="F170:F175"/>
    <mergeCell ref="M170:M175"/>
    <mergeCell ref="N170:N175"/>
    <mergeCell ref="Q170:Q175"/>
    <mergeCell ref="R170:R175"/>
    <mergeCell ref="S170:S175"/>
    <mergeCell ref="T170:T175"/>
    <mergeCell ref="U170:U175"/>
    <mergeCell ref="A164:A169"/>
    <mergeCell ref="B164:B169"/>
    <mergeCell ref="C164:C169"/>
    <mergeCell ref="D164:D169"/>
    <mergeCell ref="E164:E169"/>
    <mergeCell ref="F164:F169"/>
    <mergeCell ref="M164:M169"/>
    <mergeCell ref="N164:N169"/>
    <mergeCell ref="C140:C145"/>
    <mergeCell ref="R152:R157"/>
    <mergeCell ref="S152:S157"/>
    <mergeCell ref="T152:T157"/>
    <mergeCell ref="U152:U157"/>
    <mergeCell ref="A158:A163"/>
    <mergeCell ref="B158:B163"/>
    <mergeCell ref="C158:C163"/>
    <mergeCell ref="D158:D163"/>
    <mergeCell ref="E158:E163"/>
    <mergeCell ref="F158:F163"/>
    <mergeCell ref="M158:M163"/>
    <mergeCell ref="N158:N163"/>
    <mergeCell ref="Q158:Q163"/>
    <mergeCell ref="R158:R163"/>
    <mergeCell ref="S158:S163"/>
    <mergeCell ref="T158:T163"/>
    <mergeCell ref="U158:U163"/>
    <mergeCell ref="A152:A157"/>
    <mergeCell ref="B152:B157"/>
    <mergeCell ref="C152:C157"/>
    <mergeCell ref="D152:D157"/>
    <mergeCell ref="E152:E157"/>
    <mergeCell ref="F152:F157"/>
    <mergeCell ref="M152:M157"/>
    <mergeCell ref="D140:D145"/>
    <mergeCell ref="E140:E145"/>
    <mergeCell ref="F140:F145"/>
    <mergeCell ref="M140:M145"/>
    <mergeCell ref="N140:N145"/>
    <mergeCell ref="Q140:Q145"/>
    <mergeCell ref="N152:N157"/>
    <mergeCell ref="Q152:Q157"/>
    <mergeCell ref="R140:R145"/>
    <mergeCell ref="S140:S145"/>
    <mergeCell ref="T140:T145"/>
    <mergeCell ref="U140:U145"/>
    <mergeCell ref="A146:R146"/>
    <mergeCell ref="A147:U147"/>
    <mergeCell ref="A148:A151"/>
    <mergeCell ref="B148:B151"/>
    <mergeCell ref="C148:C151"/>
    <mergeCell ref="D148:D151"/>
    <mergeCell ref="E148:E151"/>
    <mergeCell ref="F148:F151"/>
    <mergeCell ref="M148:M151"/>
    <mergeCell ref="N148:N151"/>
    <mergeCell ref="Q148:Q151"/>
    <mergeCell ref="R148:R151"/>
    <mergeCell ref="S148:S151"/>
    <mergeCell ref="T148:T151"/>
    <mergeCell ref="U148:U151"/>
    <mergeCell ref="A140:A145"/>
    <mergeCell ref="B140:B145"/>
    <mergeCell ref="N104:N109"/>
    <mergeCell ref="Q104:Q109"/>
    <mergeCell ref="F134:F139"/>
    <mergeCell ref="M134:M139"/>
    <mergeCell ref="N134:N139"/>
    <mergeCell ref="Q134:Q139"/>
    <mergeCell ref="R134:R139"/>
    <mergeCell ref="S134:S139"/>
    <mergeCell ref="T134:T139"/>
    <mergeCell ref="U134:U139"/>
    <mergeCell ref="A128:A133"/>
    <mergeCell ref="B128:B133"/>
    <mergeCell ref="C128:C133"/>
    <mergeCell ref="D128:D133"/>
    <mergeCell ref="E128:E133"/>
    <mergeCell ref="F128:F133"/>
    <mergeCell ref="M128:M133"/>
    <mergeCell ref="N128:N133"/>
    <mergeCell ref="Q128:Q133"/>
    <mergeCell ref="R128:R133"/>
    <mergeCell ref="S128:S133"/>
    <mergeCell ref="T128:T133"/>
    <mergeCell ref="U128:U133"/>
    <mergeCell ref="A134:A139"/>
    <mergeCell ref="B134:B139"/>
    <mergeCell ref="C134:C139"/>
    <mergeCell ref="D134:D139"/>
    <mergeCell ref="E134:E139"/>
    <mergeCell ref="A122:A127"/>
    <mergeCell ref="B122:B127"/>
    <mergeCell ref="C122:C127"/>
    <mergeCell ref="D122:D127"/>
    <mergeCell ref="E122:E127"/>
    <mergeCell ref="F122:F127"/>
    <mergeCell ref="M122:M127"/>
    <mergeCell ref="N122:N127"/>
    <mergeCell ref="Q122:Q127"/>
    <mergeCell ref="R122:R127"/>
    <mergeCell ref="S122:S127"/>
    <mergeCell ref="T122:T127"/>
    <mergeCell ref="U122:U127"/>
    <mergeCell ref="A116:A121"/>
    <mergeCell ref="B116:B121"/>
    <mergeCell ref="C116:C121"/>
    <mergeCell ref="D116:D121"/>
    <mergeCell ref="E116:E121"/>
    <mergeCell ref="F116:F121"/>
    <mergeCell ref="M116:M121"/>
    <mergeCell ref="N116:N121"/>
    <mergeCell ref="Q116:Q121"/>
    <mergeCell ref="R104:R109"/>
    <mergeCell ref="S104:S109"/>
    <mergeCell ref="T104:T109"/>
    <mergeCell ref="U104:U109"/>
    <mergeCell ref="A110:R110"/>
    <mergeCell ref="A111:U111"/>
    <mergeCell ref="A112:A115"/>
    <mergeCell ref="B112:B115"/>
    <mergeCell ref="C112:C115"/>
    <mergeCell ref="D112:D115"/>
    <mergeCell ref="E112:E115"/>
    <mergeCell ref="F112:F115"/>
    <mergeCell ref="M112:M115"/>
    <mergeCell ref="N112:N115"/>
    <mergeCell ref="Q112:Q115"/>
    <mergeCell ref="R112:R115"/>
    <mergeCell ref="S112:S115"/>
    <mergeCell ref="T112:T115"/>
    <mergeCell ref="U112:U115"/>
    <mergeCell ref="A104:A109"/>
    <mergeCell ref="B104:B109"/>
    <mergeCell ref="C104:C109"/>
    <mergeCell ref="R116:R121"/>
    <mergeCell ref="S116:S121"/>
    <mergeCell ref="T116:T121"/>
    <mergeCell ref="U116:U121"/>
    <mergeCell ref="D104:D109"/>
    <mergeCell ref="E104:E109"/>
    <mergeCell ref="F104:F109"/>
    <mergeCell ref="M104:M109"/>
    <mergeCell ref="F98:F103"/>
    <mergeCell ref="M98:M103"/>
    <mergeCell ref="N98:N103"/>
    <mergeCell ref="Q98:Q103"/>
    <mergeCell ref="R98:R103"/>
    <mergeCell ref="S98:S103"/>
    <mergeCell ref="T98:T103"/>
    <mergeCell ref="U98:U103"/>
    <mergeCell ref="A92:A97"/>
    <mergeCell ref="B92:B97"/>
    <mergeCell ref="C92:C97"/>
    <mergeCell ref="D92:D97"/>
    <mergeCell ref="E92:E97"/>
    <mergeCell ref="F92:F97"/>
    <mergeCell ref="M92:M97"/>
    <mergeCell ref="N92:N97"/>
    <mergeCell ref="Q92:Q97"/>
    <mergeCell ref="R92:R97"/>
    <mergeCell ref="S92:S97"/>
    <mergeCell ref="T92:T97"/>
    <mergeCell ref="U92:U97"/>
    <mergeCell ref="A98:A103"/>
    <mergeCell ref="B98:B103"/>
    <mergeCell ref="C98:C103"/>
    <mergeCell ref="D98:D103"/>
    <mergeCell ref="E98:E103"/>
    <mergeCell ref="A86:A91"/>
    <mergeCell ref="B86:B91"/>
    <mergeCell ref="C86:C91"/>
    <mergeCell ref="D86:D91"/>
    <mergeCell ref="E86:E91"/>
    <mergeCell ref="F86:F91"/>
    <mergeCell ref="M86:M91"/>
    <mergeCell ref="N86:N91"/>
    <mergeCell ref="Q86:Q91"/>
    <mergeCell ref="R86:R91"/>
    <mergeCell ref="S86:S91"/>
    <mergeCell ref="T86:T91"/>
    <mergeCell ref="U86:U91"/>
    <mergeCell ref="A80:A85"/>
    <mergeCell ref="B80:B85"/>
    <mergeCell ref="C80:C85"/>
    <mergeCell ref="D80:D85"/>
    <mergeCell ref="E80:E85"/>
    <mergeCell ref="F80:F85"/>
    <mergeCell ref="M80:M85"/>
    <mergeCell ref="N80:N85"/>
    <mergeCell ref="Q80:Q85"/>
    <mergeCell ref="A75:U75"/>
    <mergeCell ref="A76:A79"/>
    <mergeCell ref="B76:B79"/>
    <mergeCell ref="C76:C79"/>
    <mergeCell ref="D76:D79"/>
    <mergeCell ref="E76:E79"/>
    <mergeCell ref="F76:F79"/>
    <mergeCell ref="M76:M79"/>
    <mergeCell ref="N76:N79"/>
    <mergeCell ref="Q76:Q79"/>
    <mergeCell ref="R76:R79"/>
    <mergeCell ref="S76:S79"/>
    <mergeCell ref="T76:T79"/>
    <mergeCell ref="U76:U79"/>
    <mergeCell ref="R80:R85"/>
    <mergeCell ref="S80:S85"/>
    <mergeCell ref="T80:T85"/>
    <mergeCell ref="U80:U85"/>
    <mergeCell ref="U68:U73"/>
    <mergeCell ref="A74:R74"/>
    <mergeCell ref="F68:F73"/>
    <mergeCell ref="M68:M73"/>
    <mergeCell ref="N68:N73"/>
    <mergeCell ref="Q68:Q73"/>
    <mergeCell ref="R68:R73"/>
    <mergeCell ref="A68:A73"/>
    <mergeCell ref="B68:B73"/>
    <mergeCell ref="C68:C73"/>
    <mergeCell ref="D68:D73"/>
    <mergeCell ref="E68:E73"/>
    <mergeCell ref="S68:S73"/>
    <mergeCell ref="T68:T73"/>
    <mergeCell ref="U56:U61"/>
    <mergeCell ref="A62:A67"/>
    <mergeCell ref="C44:C49"/>
    <mergeCell ref="D44:D49"/>
    <mergeCell ref="E44:E49"/>
    <mergeCell ref="B62:B67"/>
    <mergeCell ref="C62:C67"/>
    <mergeCell ref="D62:D67"/>
    <mergeCell ref="E62:E67"/>
    <mergeCell ref="F62:F67"/>
    <mergeCell ref="M62:M67"/>
    <mergeCell ref="N62:N67"/>
    <mergeCell ref="Q62:Q67"/>
    <mergeCell ref="R62:R67"/>
    <mergeCell ref="S62:S67"/>
    <mergeCell ref="T62:T67"/>
    <mergeCell ref="U62:U67"/>
    <mergeCell ref="F56:F61"/>
    <mergeCell ref="D56:D61"/>
    <mergeCell ref="E56:E61"/>
    <mergeCell ref="S44:S49"/>
    <mergeCell ref="T44:T49"/>
    <mergeCell ref="S56:S61"/>
    <mergeCell ref="T56:T61"/>
    <mergeCell ref="D50:D55"/>
    <mergeCell ref="E50:E55"/>
    <mergeCell ref="F50:F55"/>
    <mergeCell ref="M50:M55"/>
    <mergeCell ref="N50:N55"/>
    <mergeCell ref="Q50:Q55"/>
    <mergeCell ref="R50:R55"/>
    <mergeCell ref="S50:S55"/>
    <mergeCell ref="T50:T55"/>
    <mergeCell ref="A39:U39"/>
    <mergeCell ref="A40:A43"/>
    <mergeCell ref="B40:B43"/>
    <mergeCell ref="C40:C43"/>
    <mergeCell ref="D40:D43"/>
    <mergeCell ref="E40:E43"/>
    <mergeCell ref="F40:F43"/>
    <mergeCell ref="M40:M43"/>
    <mergeCell ref="N40:N43"/>
    <mergeCell ref="Q40:Q43"/>
    <mergeCell ref="R40:R43"/>
    <mergeCell ref="S40:S43"/>
    <mergeCell ref="T40:T43"/>
    <mergeCell ref="U40:U43"/>
    <mergeCell ref="M56:M61"/>
    <mergeCell ref="N56:N61"/>
    <mergeCell ref="U44:U49"/>
    <mergeCell ref="U14:U19"/>
    <mergeCell ref="R14:R19"/>
    <mergeCell ref="S14:S19"/>
    <mergeCell ref="T14:T19"/>
    <mergeCell ref="F8:F13"/>
    <mergeCell ref="M8:M13"/>
    <mergeCell ref="N8:N13"/>
    <mergeCell ref="Q8:Q13"/>
    <mergeCell ref="M14:M19"/>
    <mergeCell ref="U50:U55"/>
    <mergeCell ref="F44:F49"/>
    <mergeCell ref="M44:M49"/>
    <mergeCell ref="N44:N49"/>
    <mergeCell ref="Q44:Q49"/>
    <mergeCell ref="R44:R49"/>
    <mergeCell ref="A44:A49"/>
    <mergeCell ref="B44:B49"/>
    <mergeCell ref="A50:A55"/>
    <mergeCell ref="B50:B55"/>
    <mergeCell ref="C50:C55"/>
    <mergeCell ref="S20:S25"/>
    <mergeCell ref="T20:T25"/>
    <mergeCell ref="U20:U25"/>
    <mergeCell ref="A26:A31"/>
    <mergeCell ref="B26:B31"/>
    <mergeCell ref="C26:C31"/>
    <mergeCell ref="D26:D31"/>
    <mergeCell ref="E26:E31"/>
    <mergeCell ref="F26:F31"/>
    <mergeCell ref="U26:U31"/>
    <mergeCell ref="R26:R31"/>
    <mergeCell ref="S26:S31"/>
    <mergeCell ref="A3:U3"/>
    <mergeCell ref="F4:F7"/>
    <mergeCell ref="A4:A7"/>
    <mergeCell ref="B4:B7"/>
    <mergeCell ref="C4:C7"/>
    <mergeCell ref="D4:D7"/>
    <mergeCell ref="E4:E7"/>
    <mergeCell ref="U4:U7"/>
    <mergeCell ref="R4:R7"/>
    <mergeCell ref="S4:S7"/>
    <mergeCell ref="T4:T7"/>
    <mergeCell ref="M4:M7"/>
    <mergeCell ref="N4:N7"/>
    <mergeCell ref="Q4:Q7"/>
    <mergeCell ref="S8:S13"/>
    <mergeCell ref="T8:T13"/>
    <mergeCell ref="U8:U13"/>
    <mergeCell ref="T26:T31"/>
    <mergeCell ref="F20:F25"/>
    <mergeCell ref="M20:M25"/>
    <mergeCell ref="S32:S37"/>
    <mergeCell ref="M26:M31"/>
    <mergeCell ref="N26:N31"/>
    <mergeCell ref="Q26:Q31"/>
    <mergeCell ref="A20:A25"/>
    <mergeCell ref="B20:B25"/>
    <mergeCell ref="C20:C25"/>
    <mergeCell ref="D20:D25"/>
    <mergeCell ref="E20:E25"/>
    <mergeCell ref="N20:N25"/>
    <mergeCell ref="Q20:Q25"/>
    <mergeCell ref="N14:N19"/>
    <mergeCell ref="Q14:Q19"/>
    <mergeCell ref="R8:R13"/>
    <mergeCell ref="A14:A19"/>
    <mergeCell ref="B14:B19"/>
    <mergeCell ref="C14:C19"/>
    <mergeCell ref="D14:D19"/>
    <mergeCell ref="E14:E19"/>
    <mergeCell ref="A8:A13"/>
    <mergeCell ref="B8:B13"/>
    <mergeCell ref="C8:C13"/>
    <mergeCell ref="D8:D13"/>
    <mergeCell ref="E8:E13"/>
    <mergeCell ref="R20:R25"/>
    <mergeCell ref="F14:F19"/>
    <mergeCell ref="A219:U219"/>
    <mergeCell ref="A220:A223"/>
    <mergeCell ref="B220:B223"/>
    <mergeCell ref="C220:C223"/>
    <mergeCell ref="D220:D223"/>
    <mergeCell ref="E220:E223"/>
    <mergeCell ref="F220:F223"/>
    <mergeCell ref="M220:M223"/>
    <mergeCell ref="N220:N223"/>
    <mergeCell ref="Q220:Q223"/>
    <mergeCell ref="R220:R223"/>
    <mergeCell ref="S220:S223"/>
    <mergeCell ref="T220:T223"/>
    <mergeCell ref="U220:U223"/>
    <mergeCell ref="A38:R38"/>
    <mergeCell ref="F32:F37"/>
    <mergeCell ref="M32:M37"/>
    <mergeCell ref="N32:N37"/>
    <mergeCell ref="Q32:Q37"/>
    <mergeCell ref="A32:A37"/>
    <mergeCell ref="B32:B37"/>
    <mergeCell ref="C32:C37"/>
    <mergeCell ref="D32:D37"/>
    <mergeCell ref="E32:E37"/>
    <mergeCell ref="R32:R37"/>
    <mergeCell ref="T32:T37"/>
    <mergeCell ref="U32:U37"/>
    <mergeCell ref="Q56:Q61"/>
    <mergeCell ref="R56:R61"/>
    <mergeCell ref="A56:A61"/>
    <mergeCell ref="B56:B61"/>
    <mergeCell ref="C56:C61"/>
    <mergeCell ref="R224:R229"/>
    <mergeCell ref="S224:S229"/>
    <mergeCell ref="T224:T229"/>
    <mergeCell ref="U224:U229"/>
    <mergeCell ref="A230:A235"/>
    <mergeCell ref="B230:B235"/>
    <mergeCell ref="C230:C235"/>
    <mergeCell ref="D230:D235"/>
    <mergeCell ref="E230:E235"/>
    <mergeCell ref="F230:F235"/>
    <mergeCell ref="M230:M235"/>
    <mergeCell ref="N230:N235"/>
    <mergeCell ref="Q230:Q235"/>
    <mergeCell ref="R230:R235"/>
    <mergeCell ref="S230:S235"/>
    <mergeCell ref="T230:T235"/>
    <mergeCell ref="U230:U235"/>
    <mergeCell ref="A224:A229"/>
    <mergeCell ref="B224:B229"/>
    <mergeCell ref="C224:C229"/>
    <mergeCell ref="D224:D229"/>
    <mergeCell ref="E224:E229"/>
    <mergeCell ref="F224:F229"/>
    <mergeCell ref="M224:M229"/>
    <mergeCell ref="N224:N229"/>
    <mergeCell ref="Q224:Q229"/>
    <mergeCell ref="R236:R241"/>
    <mergeCell ref="S236:S241"/>
    <mergeCell ref="T236:T241"/>
    <mergeCell ref="U236:U241"/>
    <mergeCell ref="A242:A247"/>
    <mergeCell ref="B242:B247"/>
    <mergeCell ref="C242:C247"/>
    <mergeCell ref="D242:D247"/>
    <mergeCell ref="E242:E247"/>
    <mergeCell ref="F242:F247"/>
    <mergeCell ref="M242:M247"/>
    <mergeCell ref="N242:N247"/>
    <mergeCell ref="Q242:Q247"/>
    <mergeCell ref="R242:R247"/>
    <mergeCell ref="S242:S247"/>
    <mergeCell ref="T242:T247"/>
    <mergeCell ref="U242:U247"/>
    <mergeCell ref="A236:A241"/>
    <mergeCell ref="B236:B241"/>
    <mergeCell ref="C236:C241"/>
    <mergeCell ref="D236:D241"/>
    <mergeCell ref="E236:E241"/>
    <mergeCell ref="F236:F241"/>
    <mergeCell ref="M236:M241"/>
    <mergeCell ref="N236:N241"/>
    <mergeCell ref="Q236:Q241"/>
    <mergeCell ref="R248:R253"/>
    <mergeCell ref="S248:S253"/>
    <mergeCell ref="T248:T253"/>
    <mergeCell ref="U248:U253"/>
    <mergeCell ref="A254:R254"/>
    <mergeCell ref="A255:U255"/>
    <mergeCell ref="A256:A259"/>
    <mergeCell ref="B256:B259"/>
    <mergeCell ref="C256:C259"/>
    <mergeCell ref="D256:D259"/>
    <mergeCell ref="E256:E259"/>
    <mergeCell ref="F256:F259"/>
    <mergeCell ref="M256:M259"/>
    <mergeCell ref="N256:N259"/>
    <mergeCell ref="Q256:Q259"/>
    <mergeCell ref="R256:R259"/>
    <mergeCell ref="S256:S259"/>
    <mergeCell ref="T256:T259"/>
    <mergeCell ref="U256:U259"/>
    <mergeCell ref="A248:A253"/>
    <mergeCell ref="B248:B253"/>
    <mergeCell ref="C248:C253"/>
    <mergeCell ref="D248:D253"/>
    <mergeCell ref="E248:E253"/>
    <mergeCell ref="F248:F253"/>
    <mergeCell ref="M248:M253"/>
    <mergeCell ref="N248:N253"/>
    <mergeCell ref="Q248:Q253"/>
    <mergeCell ref="R260:R265"/>
    <mergeCell ref="S260:S265"/>
    <mergeCell ref="T260:T265"/>
    <mergeCell ref="U260:U265"/>
    <mergeCell ref="A266:A271"/>
    <mergeCell ref="B266:B271"/>
    <mergeCell ref="C266:C271"/>
    <mergeCell ref="D266:D271"/>
    <mergeCell ref="E266:E271"/>
    <mergeCell ref="F266:F271"/>
    <mergeCell ref="M266:M271"/>
    <mergeCell ref="N266:N271"/>
    <mergeCell ref="Q266:Q271"/>
    <mergeCell ref="R266:R271"/>
    <mergeCell ref="S266:S271"/>
    <mergeCell ref="T266:T271"/>
    <mergeCell ref="U266:U271"/>
    <mergeCell ref="A260:A265"/>
    <mergeCell ref="B260:B265"/>
    <mergeCell ref="C260:C265"/>
    <mergeCell ref="D260:D265"/>
    <mergeCell ref="E260:E265"/>
    <mergeCell ref="F260:F265"/>
    <mergeCell ref="M260:M265"/>
    <mergeCell ref="N260:N265"/>
    <mergeCell ref="Q260:Q265"/>
    <mergeCell ref="R272:R277"/>
    <mergeCell ref="S272:S277"/>
    <mergeCell ref="T272:T277"/>
    <mergeCell ref="U272:U277"/>
    <mergeCell ref="A278:A283"/>
    <mergeCell ref="B278:B283"/>
    <mergeCell ref="C278:C283"/>
    <mergeCell ref="D278:D283"/>
    <mergeCell ref="E278:E283"/>
    <mergeCell ref="F278:F283"/>
    <mergeCell ref="M278:M283"/>
    <mergeCell ref="N278:N283"/>
    <mergeCell ref="Q278:Q283"/>
    <mergeCell ref="R278:R283"/>
    <mergeCell ref="S278:S283"/>
    <mergeCell ref="T278:T283"/>
    <mergeCell ref="U278:U283"/>
    <mergeCell ref="A272:A277"/>
    <mergeCell ref="B272:B277"/>
    <mergeCell ref="C272:C277"/>
    <mergeCell ref="D272:D277"/>
    <mergeCell ref="E272:E277"/>
    <mergeCell ref="F272:F277"/>
    <mergeCell ref="M272:M277"/>
    <mergeCell ref="N272:N277"/>
    <mergeCell ref="Q272:Q277"/>
    <mergeCell ref="R284:R289"/>
    <mergeCell ref="S284:S289"/>
    <mergeCell ref="T284:T289"/>
    <mergeCell ref="U284:U289"/>
    <mergeCell ref="A290:R290"/>
    <mergeCell ref="A291:U291"/>
    <mergeCell ref="A292:A295"/>
    <mergeCell ref="B292:B295"/>
    <mergeCell ref="C292:C295"/>
    <mergeCell ref="D292:D295"/>
    <mergeCell ref="E292:E295"/>
    <mergeCell ref="F292:F295"/>
    <mergeCell ref="M292:M295"/>
    <mergeCell ref="N292:N295"/>
    <mergeCell ref="Q292:Q295"/>
    <mergeCell ref="R292:R295"/>
    <mergeCell ref="S292:S295"/>
    <mergeCell ref="T292:T295"/>
    <mergeCell ref="U292:U295"/>
    <mergeCell ref="A284:A289"/>
    <mergeCell ref="B284:B289"/>
    <mergeCell ref="C284:C289"/>
    <mergeCell ref="D284:D289"/>
    <mergeCell ref="E284:E289"/>
    <mergeCell ref="F284:F289"/>
    <mergeCell ref="M284:M289"/>
    <mergeCell ref="N284:N289"/>
    <mergeCell ref="Q284:Q289"/>
    <mergeCell ref="R296:R301"/>
    <mergeCell ref="S296:S301"/>
    <mergeCell ref="T296:T301"/>
    <mergeCell ref="U296:U301"/>
    <mergeCell ref="A302:A307"/>
    <mergeCell ref="B302:B307"/>
    <mergeCell ref="C302:C307"/>
    <mergeCell ref="D302:D307"/>
    <mergeCell ref="E302:E307"/>
    <mergeCell ref="F302:F307"/>
    <mergeCell ref="M302:M307"/>
    <mergeCell ref="N302:N307"/>
    <mergeCell ref="Q302:Q307"/>
    <mergeCell ref="R302:R307"/>
    <mergeCell ref="S302:S307"/>
    <mergeCell ref="T302:T307"/>
    <mergeCell ref="U302:U307"/>
    <mergeCell ref="A296:A301"/>
    <mergeCell ref="B296:B301"/>
    <mergeCell ref="C296:C301"/>
    <mergeCell ref="D296:D301"/>
    <mergeCell ref="E296:E301"/>
    <mergeCell ref="F296:F301"/>
    <mergeCell ref="M296:M301"/>
    <mergeCell ref="N296:N301"/>
    <mergeCell ref="Q296:Q301"/>
    <mergeCell ref="R308:R313"/>
    <mergeCell ref="S308:S313"/>
    <mergeCell ref="T308:T313"/>
    <mergeCell ref="U308:U313"/>
    <mergeCell ref="A314:A319"/>
    <mergeCell ref="B314:B319"/>
    <mergeCell ref="C314:C319"/>
    <mergeCell ref="D314:D319"/>
    <mergeCell ref="E314:E319"/>
    <mergeCell ref="F314:F319"/>
    <mergeCell ref="M314:M319"/>
    <mergeCell ref="N314:N319"/>
    <mergeCell ref="Q314:Q319"/>
    <mergeCell ref="R314:R319"/>
    <mergeCell ref="S314:S319"/>
    <mergeCell ref="T314:T319"/>
    <mergeCell ref="U314:U319"/>
    <mergeCell ref="A308:A313"/>
    <mergeCell ref="B308:B313"/>
    <mergeCell ref="C308:C313"/>
    <mergeCell ref="D308:D313"/>
    <mergeCell ref="E308:E313"/>
    <mergeCell ref="F308:F313"/>
    <mergeCell ref="M308:M313"/>
    <mergeCell ref="N308:N313"/>
    <mergeCell ref="Q308:Q313"/>
    <mergeCell ref="R320:R325"/>
    <mergeCell ref="S320:S325"/>
    <mergeCell ref="T320:T325"/>
    <mergeCell ref="U320:U325"/>
    <mergeCell ref="A326:R326"/>
    <mergeCell ref="A327:U327"/>
    <mergeCell ref="A328:A331"/>
    <mergeCell ref="B328:B331"/>
    <mergeCell ref="C328:C331"/>
    <mergeCell ref="D328:D331"/>
    <mergeCell ref="E328:E331"/>
    <mergeCell ref="F328:F331"/>
    <mergeCell ref="M328:M331"/>
    <mergeCell ref="N328:N331"/>
    <mergeCell ref="Q328:Q331"/>
    <mergeCell ref="R328:R331"/>
    <mergeCell ref="S328:S331"/>
    <mergeCell ref="T328:T331"/>
    <mergeCell ref="U328:U331"/>
    <mergeCell ref="A320:A325"/>
    <mergeCell ref="B320:B325"/>
    <mergeCell ref="C320:C325"/>
    <mergeCell ref="D320:D325"/>
    <mergeCell ref="E320:E325"/>
    <mergeCell ref="F320:F325"/>
    <mergeCell ref="M320:M325"/>
    <mergeCell ref="N320:N325"/>
    <mergeCell ref="Q320:Q325"/>
    <mergeCell ref="R332:R337"/>
    <mergeCell ref="S332:S337"/>
    <mergeCell ref="T332:T337"/>
    <mergeCell ref="U332:U337"/>
    <mergeCell ref="A338:A343"/>
    <mergeCell ref="B338:B343"/>
    <mergeCell ref="C338:C343"/>
    <mergeCell ref="D338:D343"/>
    <mergeCell ref="E338:E343"/>
    <mergeCell ref="F338:F343"/>
    <mergeCell ref="M338:M343"/>
    <mergeCell ref="N338:N343"/>
    <mergeCell ref="Q338:Q343"/>
    <mergeCell ref="R338:R343"/>
    <mergeCell ref="S338:S343"/>
    <mergeCell ref="T338:T343"/>
    <mergeCell ref="U338:U343"/>
    <mergeCell ref="A332:A337"/>
    <mergeCell ref="B332:B337"/>
    <mergeCell ref="C332:C337"/>
    <mergeCell ref="D332:D337"/>
    <mergeCell ref="E332:E337"/>
    <mergeCell ref="F332:F337"/>
    <mergeCell ref="M332:M337"/>
    <mergeCell ref="N332:N337"/>
    <mergeCell ref="Q332:Q337"/>
    <mergeCell ref="R344:R349"/>
    <mergeCell ref="S344:S349"/>
    <mergeCell ref="T344:T349"/>
    <mergeCell ref="U344:U349"/>
    <mergeCell ref="A350:A355"/>
    <mergeCell ref="B350:B355"/>
    <mergeCell ref="C350:C355"/>
    <mergeCell ref="D350:D355"/>
    <mergeCell ref="E350:E355"/>
    <mergeCell ref="F350:F355"/>
    <mergeCell ref="M350:M355"/>
    <mergeCell ref="N350:N355"/>
    <mergeCell ref="Q350:Q355"/>
    <mergeCell ref="R350:R355"/>
    <mergeCell ref="S350:S355"/>
    <mergeCell ref="T350:T355"/>
    <mergeCell ref="U350:U355"/>
    <mergeCell ref="A344:A349"/>
    <mergeCell ref="B344:B349"/>
    <mergeCell ref="C344:C349"/>
    <mergeCell ref="D344:D349"/>
    <mergeCell ref="E344:E349"/>
    <mergeCell ref="F344:F349"/>
    <mergeCell ref="M344:M349"/>
    <mergeCell ref="N344:N349"/>
    <mergeCell ref="Q344:Q349"/>
    <mergeCell ref="R356:R361"/>
    <mergeCell ref="S356:S361"/>
    <mergeCell ref="T356:T361"/>
    <mergeCell ref="U356:U361"/>
    <mergeCell ref="A362:R362"/>
    <mergeCell ref="A363:U363"/>
    <mergeCell ref="A364:A367"/>
    <mergeCell ref="B364:B367"/>
    <mergeCell ref="C364:C367"/>
    <mergeCell ref="D364:D367"/>
    <mergeCell ref="E364:E367"/>
    <mergeCell ref="F364:F367"/>
    <mergeCell ref="M364:M367"/>
    <mergeCell ref="N364:N367"/>
    <mergeCell ref="Q364:Q367"/>
    <mergeCell ref="R364:R367"/>
    <mergeCell ref="S364:S367"/>
    <mergeCell ref="T364:T367"/>
    <mergeCell ref="U364:U367"/>
    <mergeCell ref="A356:A361"/>
    <mergeCell ref="B356:B361"/>
    <mergeCell ref="C356:C361"/>
    <mergeCell ref="D356:D361"/>
    <mergeCell ref="E356:E361"/>
    <mergeCell ref="F356:F361"/>
    <mergeCell ref="M356:M361"/>
    <mergeCell ref="N356:N361"/>
    <mergeCell ref="Q356:Q361"/>
    <mergeCell ref="R368:R373"/>
    <mergeCell ref="S368:S373"/>
    <mergeCell ref="T368:T373"/>
    <mergeCell ref="U368:U373"/>
    <mergeCell ref="A374:A379"/>
    <mergeCell ref="B374:B379"/>
    <mergeCell ref="C374:C379"/>
    <mergeCell ref="D374:D379"/>
    <mergeCell ref="E374:E379"/>
    <mergeCell ref="F374:F379"/>
    <mergeCell ref="M374:M379"/>
    <mergeCell ref="N374:N379"/>
    <mergeCell ref="Q374:Q379"/>
    <mergeCell ref="R374:R379"/>
    <mergeCell ref="S374:S379"/>
    <mergeCell ref="T374:T379"/>
    <mergeCell ref="U374:U379"/>
    <mergeCell ref="A368:A373"/>
    <mergeCell ref="B368:B373"/>
    <mergeCell ref="C368:C373"/>
    <mergeCell ref="D368:D373"/>
    <mergeCell ref="E368:E373"/>
    <mergeCell ref="F368:F373"/>
    <mergeCell ref="M368:M373"/>
    <mergeCell ref="N368:N373"/>
    <mergeCell ref="Q368:Q373"/>
    <mergeCell ref="R380:R385"/>
    <mergeCell ref="S380:S385"/>
    <mergeCell ref="T380:T385"/>
    <mergeCell ref="U380:U385"/>
    <mergeCell ref="A386:A391"/>
    <mergeCell ref="B386:B391"/>
    <mergeCell ref="C386:C391"/>
    <mergeCell ref="D386:D391"/>
    <mergeCell ref="E386:E391"/>
    <mergeCell ref="F386:F391"/>
    <mergeCell ref="M386:M391"/>
    <mergeCell ref="N386:N391"/>
    <mergeCell ref="Q386:Q391"/>
    <mergeCell ref="R386:R391"/>
    <mergeCell ref="S386:S391"/>
    <mergeCell ref="T386:T391"/>
    <mergeCell ref="U386:U391"/>
    <mergeCell ref="A380:A385"/>
    <mergeCell ref="B380:B385"/>
    <mergeCell ref="C380:C385"/>
    <mergeCell ref="D380:D385"/>
    <mergeCell ref="E380:E385"/>
    <mergeCell ref="F380:F385"/>
    <mergeCell ref="M380:M385"/>
    <mergeCell ref="N380:N385"/>
    <mergeCell ref="Q380:Q385"/>
    <mergeCell ref="R392:R397"/>
    <mergeCell ref="S392:S397"/>
    <mergeCell ref="T392:T397"/>
    <mergeCell ref="U392:U397"/>
    <mergeCell ref="A398:R398"/>
    <mergeCell ref="A399:U399"/>
    <mergeCell ref="A400:A403"/>
    <mergeCell ref="B400:B403"/>
    <mergeCell ref="C400:C403"/>
    <mergeCell ref="D400:D403"/>
    <mergeCell ref="E400:E403"/>
    <mergeCell ref="F400:F403"/>
    <mergeCell ref="M400:M403"/>
    <mergeCell ref="N400:N403"/>
    <mergeCell ref="Q400:Q403"/>
    <mergeCell ref="R400:R403"/>
    <mergeCell ref="S400:S403"/>
    <mergeCell ref="T400:T403"/>
    <mergeCell ref="U400:U403"/>
    <mergeCell ref="A392:A397"/>
    <mergeCell ref="B392:B397"/>
    <mergeCell ref="C392:C397"/>
    <mergeCell ref="D392:D397"/>
    <mergeCell ref="E392:E397"/>
    <mergeCell ref="F392:F397"/>
    <mergeCell ref="M392:M397"/>
    <mergeCell ref="N392:N397"/>
    <mergeCell ref="Q392:Q397"/>
    <mergeCell ref="R404:R409"/>
    <mergeCell ref="S404:S409"/>
    <mergeCell ref="T404:T409"/>
    <mergeCell ref="U404:U409"/>
    <mergeCell ref="A410:A415"/>
    <mergeCell ref="B410:B415"/>
    <mergeCell ref="C410:C415"/>
    <mergeCell ref="D410:D415"/>
    <mergeCell ref="E410:E415"/>
    <mergeCell ref="F410:F415"/>
    <mergeCell ref="M410:M415"/>
    <mergeCell ref="N410:N415"/>
    <mergeCell ref="Q410:Q415"/>
    <mergeCell ref="R410:R415"/>
    <mergeCell ref="S410:S415"/>
    <mergeCell ref="T410:T415"/>
    <mergeCell ref="U410:U415"/>
    <mergeCell ref="A404:A409"/>
    <mergeCell ref="B404:B409"/>
    <mergeCell ref="C404:C409"/>
    <mergeCell ref="D404:D409"/>
    <mergeCell ref="E404:E409"/>
    <mergeCell ref="F404:F409"/>
    <mergeCell ref="M404:M409"/>
    <mergeCell ref="N404:N409"/>
    <mergeCell ref="Q404:Q409"/>
    <mergeCell ref="R416:R421"/>
    <mergeCell ref="S416:S421"/>
    <mergeCell ref="T416:T421"/>
    <mergeCell ref="U416:U421"/>
    <mergeCell ref="A422:A427"/>
    <mergeCell ref="B422:B427"/>
    <mergeCell ref="C422:C427"/>
    <mergeCell ref="D422:D427"/>
    <mergeCell ref="E422:E427"/>
    <mergeCell ref="F422:F427"/>
    <mergeCell ref="M422:M427"/>
    <mergeCell ref="N422:N427"/>
    <mergeCell ref="Q422:Q427"/>
    <mergeCell ref="R422:R427"/>
    <mergeCell ref="S422:S427"/>
    <mergeCell ref="T422:T427"/>
    <mergeCell ref="U422:U427"/>
    <mergeCell ref="A416:A421"/>
    <mergeCell ref="B416:B421"/>
    <mergeCell ref="C416:C421"/>
    <mergeCell ref="D416:D421"/>
    <mergeCell ref="E416:E421"/>
    <mergeCell ref="F416:F421"/>
    <mergeCell ref="M416:M421"/>
    <mergeCell ref="N416:N421"/>
    <mergeCell ref="Q416:Q421"/>
    <mergeCell ref="R428:R433"/>
    <mergeCell ref="S428:S433"/>
    <mergeCell ref="T428:T433"/>
    <mergeCell ref="U428:U433"/>
    <mergeCell ref="A434:R434"/>
    <mergeCell ref="A435:U435"/>
    <mergeCell ref="A436:A439"/>
    <mergeCell ref="B436:B439"/>
    <mergeCell ref="C436:C439"/>
    <mergeCell ref="D436:D439"/>
    <mergeCell ref="E436:E439"/>
    <mergeCell ref="F436:F439"/>
    <mergeCell ref="M436:M439"/>
    <mergeCell ref="N436:N439"/>
    <mergeCell ref="Q436:Q439"/>
    <mergeCell ref="R436:R439"/>
    <mergeCell ref="S436:S439"/>
    <mergeCell ref="T436:T439"/>
    <mergeCell ref="U436:U439"/>
    <mergeCell ref="A428:A433"/>
    <mergeCell ref="B428:B433"/>
    <mergeCell ref="C428:C433"/>
    <mergeCell ref="D428:D433"/>
    <mergeCell ref="E428:E433"/>
    <mergeCell ref="F428:F433"/>
    <mergeCell ref="M428:M433"/>
    <mergeCell ref="N428:N433"/>
    <mergeCell ref="Q428:Q433"/>
    <mergeCell ref="R440:R445"/>
    <mergeCell ref="S440:S445"/>
    <mergeCell ref="T440:T445"/>
    <mergeCell ref="U440:U445"/>
    <mergeCell ref="A446:A451"/>
    <mergeCell ref="B446:B451"/>
    <mergeCell ref="C446:C451"/>
    <mergeCell ref="D446:D451"/>
    <mergeCell ref="E446:E451"/>
    <mergeCell ref="F446:F451"/>
    <mergeCell ref="M446:M451"/>
    <mergeCell ref="N446:N451"/>
    <mergeCell ref="Q446:Q451"/>
    <mergeCell ref="R446:R451"/>
    <mergeCell ref="S446:S451"/>
    <mergeCell ref="T446:T451"/>
    <mergeCell ref="U446:U451"/>
    <mergeCell ref="A440:A445"/>
    <mergeCell ref="B440:B445"/>
    <mergeCell ref="C440:C445"/>
    <mergeCell ref="D440:D445"/>
    <mergeCell ref="E440:E445"/>
    <mergeCell ref="F440:F445"/>
    <mergeCell ref="M440:M445"/>
    <mergeCell ref="N440:N445"/>
    <mergeCell ref="Q440:Q445"/>
    <mergeCell ref="R452:R457"/>
    <mergeCell ref="S452:S457"/>
    <mergeCell ref="T452:T457"/>
    <mergeCell ref="U452:U457"/>
    <mergeCell ref="A458:A463"/>
    <mergeCell ref="B458:B463"/>
    <mergeCell ref="C458:C463"/>
    <mergeCell ref="D458:D463"/>
    <mergeCell ref="E458:E463"/>
    <mergeCell ref="F458:F463"/>
    <mergeCell ref="M458:M463"/>
    <mergeCell ref="N458:N463"/>
    <mergeCell ref="Q458:Q463"/>
    <mergeCell ref="R458:R463"/>
    <mergeCell ref="S458:S463"/>
    <mergeCell ref="T458:T463"/>
    <mergeCell ref="U458:U463"/>
    <mergeCell ref="A452:A457"/>
    <mergeCell ref="B452:B457"/>
    <mergeCell ref="C452:C457"/>
    <mergeCell ref="D452:D457"/>
    <mergeCell ref="E452:E457"/>
    <mergeCell ref="F452:F457"/>
    <mergeCell ref="M452:M457"/>
    <mergeCell ref="N452:N457"/>
    <mergeCell ref="Q452:Q457"/>
    <mergeCell ref="R464:R469"/>
    <mergeCell ref="S464:S469"/>
    <mergeCell ref="T464:T469"/>
    <mergeCell ref="U464:U469"/>
    <mergeCell ref="A470:R470"/>
    <mergeCell ref="A471:U471"/>
    <mergeCell ref="A472:A475"/>
    <mergeCell ref="B472:B475"/>
    <mergeCell ref="C472:C475"/>
    <mergeCell ref="D472:D475"/>
    <mergeCell ref="E472:E475"/>
    <mergeCell ref="F472:F475"/>
    <mergeCell ref="M472:M475"/>
    <mergeCell ref="N472:N475"/>
    <mergeCell ref="Q472:Q475"/>
    <mergeCell ref="R472:R475"/>
    <mergeCell ref="S472:S475"/>
    <mergeCell ref="T472:T475"/>
    <mergeCell ref="U472:U475"/>
    <mergeCell ref="A464:A469"/>
    <mergeCell ref="B464:B469"/>
    <mergeCell ref="C464:C469"/>
    <mergeCell ref="D464:D469"/>
    <mergeCell ref="E464:E469"/>
    <mergeCell ref="F464:F469"/>
    <mergeCell ref="M464:M469"/>
    <mergeCell ref="N464:N469"/>
    <mergeCell ref="Q464:Q469"/>
    <mergeCell ref="R476:R481"/>
    <mergeCell ref="S476:S481"/>
    <mergeCell ref="T476:T481"/>
    <mergeCell ref="U476:U481"/>
    <mergeCell ref="A482:A487"/>
    <mergeCell ref="B482:B487"/>
    <mergeCell ref="C482:C487"/>
    <mergeCell ref="D482:D487"/>
    <mergeCell ref="E482:E487"/>
    <mergeCell ref="F482:F487"/>
    <mergeCell ref="M482:M487"/>
    <mergeCell ref="N482:N487"/>
    <mergeCell ref="Q482:Q487"/>
    <mergeCell ref="R482:R487"/>
    <mergeCell ref="S482:S487"/>
    <mergeCell ref="T482:T487"/>
    <mergeCell ref="U482:U487"/>
    <mergeCell ref="A476:A481"/>
    <mergeCell ref="B476:B481"/>
    <mergeCell ref="C476:C481"/>
    <mergeCell ref="D476:D481"/>
    <mergeCell ref="E476:E481"/>
    <mergeCell ref="F476:F481"/>
    <mergeCell ref="M476:M481"/>
    <mergeCell ref="N476:N481"/>
    <mergeCell ref="Q476:Q481"/>
    <mergeCell ref="R488:R493"/>
    <mergeCell ref="S488:S493"/>
    <mergeCell ref="T488:T493"/>
    <mergeCell ref="U488:U493"/>
    <mergeCell ref="A494:A499"/>
    <mergeCell ref="B494:B499"/>
    <mergeCell ref="C494:C499"/>
    <mergeCell ref="D494:D499"/>
    <mergeCell ref="E494:E499"/>
    <mergeCell ref="F494:F499"/>
    <mergeCell ref="M494:M499"/>
    <mergeCell ref="N494:N499"/>
    <mergeCell ref="Q494:Q499"/>
    <mergeCell ref="R494:R499"/>
    <mergeCell ref="S494:S499"/>
    <mergeCell ref="T494:T499"/>
    <mergeCell ref="U494:U499"/>
    <mergeCell ref="A488:A493"/>
    <mergeCell ref="B488:B493"/>
    <mergeCell ref="C488:C493"/>
    <mergeCell ref="D488:D493"/>
    <mergeCell ref="E488:E493"/>
    <mergeCell ref="F488:F493"/>
    <mergeCell ref="M488:M493"/>
    <mergeCell ref="N488:N493"/>
    <mergeCell ref="Q488:Q493"/>
    <mergeCell ref="R500:R505"/>
    <mergeCell ref="S500:S505"/>
    <mergeCell ref="T500:T505"/>
    <mergeCell ref="U500:U505"/>
    <mergeCell ref="A506:R506"/>
    <mergeCell ref="A507:U507"/>
    <mergeCell ref="A508:A511"/>
    <mergeCell ref="B508:B511"/>
    <mergeCell ref="C508:C511"/>
    <mergeCell ref="D508:D511"/>
    <mergeCell ref="E508:E511"/>
    <mergeCell ref="F508:F511"/>
    <mergeCell ref="M508:M511"/>
    <mergeCell ref="N508:N511"/>
    <mergeCell ref="Q508:Q511"/>
    <mergeCell ref="R508:R511"/>
    <mergeCell ref="S508:S511"/>
    <mergeCell ref="T508:T511"/>
    <mergeCell ref="U508:U511"/>
    <mergeCell ref="A500:A505"/>
    <mergeCell ref="B500:B505"/>
    <mergeCell ref="C500:C505"/>
    <mergeCell ref="D500:D505"/>
    <mergeCell ref="E500:E505"/>
    <mergeCell ref="F500:F505"/>
    <mergeCell ref="M500:M505"/>
    <mergeCell ref="N500:N505"/>
    <mergeCell ref="Q500:Q505"/>
    <mergeCell ref="R512:R517"/>
    <mergeCell ref="S512:S517"/>
    <mergeCell ref="T512:T517"/>
    <mergeCell ref="U512:U517"/>
    <mergeCell ref="A518:A523"/>
    <mergeCell ref="B518:B523"/>
    <mergeCell ref="C518:C523"/>
    <mergeCell ref="D518:D523"/>
    <mergeCell ref="E518:E523"/>
    <mergeCell ref="F518:F523"/>
    <mergeCell ref="M518:M523"/>
    <mergeCell ref="N518:N523"/>
    <mergeCell ref="Q518:Q523"/>
    <mergeCell ref="R518:R523"/>
    <mergeCell ref="S518:S523"/>
    <mergeCell ref="T518:T523"/>
    <mergeCell ref="U518:U523"/>
    <mergeCell ref="A512:A517"/>
    <mergeCell ref="B512:B517"/>
    <mergeCell ref="C512:C517"/>
    <mergeCell ref="D512:D517"/>
    <mergeCell ref="E512:E517"/>
    <mergeCell ref="F512:F517"/>
    <mergeCell ref="M512:M517"/>
    <mergeCell ref="N512:N517"/>
    <mergeCell ref="Q512:Q517"/>
    <mergeCell ref="R524:R529"/>
    <mergeCell ref="S524:S529"/>
    <mergeCell ref="T524:T529"/>
    <mergeCell ref="U524:U529"/>
    <mergeCell ref="A530:A535"/>
    <mergeCell ref="B530:B535"/>
    <mergeCell ref="C530:C535"/>
    <mergeCell ref="D530:D535"/>
    <mergeCell ref="E530:E535"/>
    <mergeCell ref="F530:F535"/>
    <mergeCell ref="M530:M535"/>
    <mergeCell ref="N530:N535"/>
    <mergeCell ref="Q530:Q535"/>
    <mergeCell ref="R530:R535"/>
    <mergeCell ref="S530:S535"/>
    <mergeCell ref="T530:T535"/>
    <mergeCell ref="U530:U535"/>
    <mergeCell ref="A524:A529"/>
    <mergeCell ref="B524:B529"/>
    <mergeCell ref="C524:C529"/>
    <mergeCell ref="D524:D529"/>
    <mergeCell ref="E524:E529"/>
    <mergeCell ref="F524:F529"/>
    <mergeCell ref="M524:M529"/>
    <mergeCell ref="N524:N529"/>
    <mergeCell ref="Q524:Q529"/>
    <mergeCell ref="R536:R541"/>
    <mergeCell ref="S536:S541"/>
    <mergeCell ref="T536:T541"/>
    <mergeCell ref="U536:U541"/>
    <mergeCell ref="A542:R542"/>
    <mergeCell ref="A543:U543"/>
    <mergeCell ref="A544:A547"/>
    <mergeCell ref="B544:B547"/>
    <mergeCell ref="C544:C547"/>
    <mergeCell ref="D544:D547"/>
    <mergeCell ref="E544:E547"/>
    <mergeCell ref="F544:F547"/>
    <mergeCell ref="M544:M547"/>
    <mergeCell ref="N544:N547"/>
    <mergeCell ref="Q544:Q547"/>
    <mergeCell ref="R544:R547"/>
    <mergeCell ref="S544:S547"/>
    <mergeCell ref="T544:T547"/>
    <mergeCell ref="U544:U547"/>
    <mergeCell ref="A536:A541"/>
    <mergeCell ref="B536:B541"/>
    <mergeCell ref="C536:C541"/>
    <mergeCell ref="D536:D541"/>
    <mergeCell ref="E536:E541"/>
    <mergeCell ref="F536:F541"/>
    <mergeCell ref="M536:M541"/>
    <mergeCell ref="N536:N541"/>
    <mergeCell ref="Q536:Q541"/>
    <mergeCell ref="R548:R553"/>
    <mergeCell ref="S548:S553"/>
    <mergeCell ref="T548:T553"/>
    <mergeCell ref="U548:U553"/>
    <mergeCell ref="A554:A559"/>
    <mergeCell ref="B554:B559"/>
    <mergeCell ref="C554:C559"/>
    <mergeCell ref="D554:D559"/>
    <mergeCell ref="E554:E559"/>
    <mergeCell ref="F554:F559"/>
    <mergeCell ref="M554:M559"/>
    <mergeCell ref="N554:N559"/>
    <mergeCell ref="Q554:Q559"/>
    <mergeCell ref="R554:R559"/>
    <mergeCell ref="S554:S559"/>
    <mergeCell ref="T554:T559"/>
    <mergeCell ref="U554:U559"/>
    <mergeCell ref="A548:A553"/>
    <mergeCell ref="B548:B553"/>
    <mergeCell ref="C548:C553"/>
    <mergeCell ref="D548:D553"/>
    <mergeCell ref="E548:E553"/>
    <mergeCell ref="F548:F553"/>
    <mergeCell ref="M548:M553"/>
    <mergeCell ref="N548:N553"/>
    <mergeCell ref="Q548:Q553"/>
    <mergeCell ref="R560:R565"/>
    <mergeCell ref="S560:S565"/>
    <mergeCell ref="T560:T565"/>
    <mergeCell ref="U560:U565"/>
    <mergeCell ref="A566:A571"/>
    <mergeCell ref="B566:B571"/>
    <mergeCell ref="C566:C571"/>
    <mergeCell ref="D566:D571"/>
    <mergeCell ref="E566:E571"/>
    <mergeCell ref="F566:F571"/>
    <mergeCell ref="M566:M571"/>
    <mergeCell ref="N566:N571"/>
    <mergeCell ref="Q566:Q571"/>
    <mergeCell ref="R566:R571"/>
    <mergeCell ref="S566:S571"/>
    <mergeCell ref="T566:T571"/>
    <mergeCell ref="U566:U571"/>
    <mergeCell ref="A560:A565"/>
    <mergeCell ref="B560:B565"/>
    <mergeCell ref="C560:C565"/>
    <mergeCell ref="D560:D565"/>
    <mergeCell ref="E560:E565"/>
    <mergeCell ref="F560:F565"/>
    <mergeCell ref="M560:M565"/>
    <mergeCell ref="N560:N565"/>
    <mergeCell ref="Q560:Q565"/>
    <mergeCell ref="R572:R577"/>
    <mergeCell ref="S572:S577"/>
    <mergeCell ref="T572:T577"/>
    <mergeCell ref="U572:U577"/>
    <mergeCell ref="A578:R578"/>
    <mergeCell ref="A579:U579"/>
    <mergeCell ref="A580:A583"/>
    <mergeCell ref="B580:B583"/>
    <mergeCell ref="C580:C583"/>
    <mergeCell ref="D580:D583"/>
    <mergeCell ref="E580:E583"/>
    <mergeCell ref="F580:F583"/>
    <mergeCell ref="M580:M583"/>
    <mergeCell ref="N580:N583"/>
    <mergeCell ref="Q580:Q583"/>
    <mergeCell ref="R580:R583"/>
    <mergeCell ref="S580:S583"/>
    <mergeCell ref="T580:T583"/>
    <mergeCell ref="U580:U583"/>
    <mergeCell ref="A572:A577"/>
    <mergeCell ref="B572:B577"/>
    <mergeCell ref="C572:C577"/>
    <mergeCell ref="D572:D577"/>
    <mergeCell ref="E572:E577"/>
    <mergeCell ref="F572:F577"/>
    <mergeCell ref="M572:M577"/>
    <mergeCell ref="N572:N577"/>
    <mergeCell ref="Q572:Q577"/>
    <mergeCell ref="R584:R589"/>
    <mergeCell ref="S584:S589"/>
    <mergeCell ref="T584:T589"/>
    <mergeCell ref="U584:U589"/>
    <mergeCell ref="A590:A595"/>
    <mergeCell ref="B590:B595"/>
    <mergeCell ref="C590:C595"/>
    <mergeCell ref="D590:D595"/>
    <mergeCell ref="E590:E595"/>
    <mergeCell ref="F590:F595"/>
    <mergeCell ref="M590:M595"/>
    <mergeCell ref="N590:N595"/>
    <mergeCell ref="Q590:Q595"/>
    <mergeCell ref="R590:R595"/>
    <mergeCell ref="S590:S595"/>
    <mergeCell ref="T590:T595"/>
    <mergeCell ref="U590:U595"/>
    <mergeCell ref="A584:A589"/>
    <mergeCell ref="B584:B589"/>
    <mergeCell ref="C584:C589"/>
    <mergeCell ref="D584:D589"/>
    <mergeCell ref="E584:E589"/>
    <mergeCell ref="F584:F589"/>
    <mergeCell ref="M584:M589"/>
    <mergeCell ref="N584:N589"/>
    <mergeCell ref="Q584:Q589"/>
    <mergeCell ref="R596:R601"/>
    <mergeCell ref="S596:S601"/>
    <mergeCell ref="T596:T601"/>
    <mergeCell ref="U596:U601"/>
    <mergeCell ref="A602:A607"/>
    <mergeCell ref="B602:B607"/>
    <mergeCell ref="C602:C607"/>
    <mergeCell ref="D602:D607"/>
    <mergeCell ref="E602:E607"/>
    <mergeCell ref="F602:F607"/>
    <mergeCell ref="M602:M607"/>
    <mergeCell ref="N602:N607"/>
    <mergeCell ref="Q602:Q607"/>
    <mergeCell ref="R602:R607"/>
    <mergeCell ref="S602:S607"/>
    <mergeCell ref="T602:T607"/>
    <mergeCell ref="U602:U607"/>
    <mergeCell ref="A596:A601"/>
    <mergeCell ref="B596:B601"/>
    <mergeCell ref="C596:C601"/>
    <mergeCell ref="D596:D601"/>
    <mergeCell ref="E596:E601"/>
    <mergeCell ref="F596:F601"/>
    <mergeCell ref="M596:M601"/>
    <mergeCell ref="N596:N601"/>
    <mergeCell ref="Q596:Q601"/>
    <mergeCell ref="R608:R613"/>
    <mergeCell ref="S608:S613"/>
    <mergeCell ref="T608:T613"/>
    <mergeCell ref="U608:U613"/>
    <mergeCell ref="A614:R614"/>
    <mergeCell ref="A615:U615"/>
    <mergeCell ref="A616:A619"/>
    <mergeCell ref="B616:B619"/>
    <mergeCell ref="C616:C619"/>
    <mergeCell ref="D616:D619"/>
    <mergeCell ref="E616:E619"/>
    <mergeCell ref="F616:F619"/>
    <mergeCell ref="M616:M619"/>
    <mergeCell ref="N616:N619"/>
    <mergeCell ref="Q616:Q619"/>
    <mergeCell ref="R616:R619"/>
    <mergeCell ref="S616:S619"/>
    <mergeCell ref="T616:T619"/>
    <mergeCell ref="U616:U619"/>
    <mergeCell ref="A608:A613"/>
    <mergeCell ref="B608:B613"/>
    <mergeCell ref="C608:C613"/>
    <mergeCell ref="D608:D613"/>
    <mergeCell ref="E608:E613"/>
    <mergeCell ref="F608:F613"/>
    <mergeCell ref="M608:M613"/>
    <mergeCell ref="N608:N613"/>
    <mergeCell ref="Q608:Q613"/>
    <mergeCell ref="R620:R625"/>
    <mergeCell ref="S620:S625"/>
    <mergeCell ref="T620:T625"/>
    <mergeCell ref="U620:U625"/>
    <mergeCell ref="A626:A631"/>
    <mergeCell ref="B626:B631"/>
    <mergeCell ref="C626:C631"/>
    <mergeCell ref="D626:D631"/>
    <mergeCell ref="E626:E631"/>
    <mergeCell ref="F626:F631"/>
    <mergeCell ref="M626:M631"/>
    <mergeCell ref="N626:N631"/>
    <mergeCell ref="Q626:Q631"/>
    <mergeCell ref="R626:R631"/>
    <mergeCell ref="S626:S631"/>
    <mergeCell ref="T626:T631"/>
    <mergeCell ref="U626:U631"/>
    <mergeCell ref="A620:A625"/>
    <mergeCell ref="B620:B625"/>
    <mergeCell ref="C620:C625"/>
    <mergeCell ref="D620:D625"/>
    <mergeCell ref="E620:E625"/>
    <mergeCell ref="F620:F625"/>
    <mergeCell ref="M620:M625"/>
    <mergeCell ref="N620:N625"/>
    <mergeCell ref="Q620:Q625"/>
    <mergeCell ref="R632:R637"/>
    <mergeCell ref="S632:S637"/>
    <mergeCell ref="T632:T637"/>
    <mergeCell ref="U632:U637"/>
    <mergeCell ref="A638:A643"/>
    <mergeCell ref="B638:B643"/>
    <mergeCell ref="C638:C643"/>
    <mergeCell ref="D638:D643"/>
    <mergeCell ref="E638:E643"/>
    <mergeCell ref="F638:F643"/>
    <mergeCell ref="M638:M643"/>
    <mergeCell ref="N638:N643"/>
    <mergeCell ref="Q638:Q643"/>
    <mergeCell ref="R638:R643"/>
    <mergeCell ref="S638:S643"/>
    <mergeCell ref="T638:T643"/>
    <mergeCell ref="U638:U643"/>
    <mergeCell ref="A632:A637"/>
    <mergeCell ref="B632:B637"/>
    <mergeCell ref="C632:C637"/>
    <mergeCell ref="D632:D637"/>
    <mergeCell ref="E632:E637"/>
    <mergeCell ref="F632:F637"/>
    <mergeCell ref="M632:M637"/>
    <mergeCell ref="N632:N637"/>
    <mergeCell ref="Q632:Q637"/>
    <mergeCell ref="R644:R649"/>
    <mergeCell ref="S644:S649"/>
    <mergeCell ref="T644:T649"/>
    <mergeCell ref="U644:U649"/>
    <mergeCell ref="A650:R650"/>
    <mergeCell ref="A651:U651"/>
    <mergeCell ref="A652:A655"/>
    <mergeCell ref="B652:B655"/>
    <mergeCell ref="C652:C655"/>
    <mergeCell ref="D652:D655"/>
    <mergeCell ref="E652:E655"/>
    <mergeCell ref="F652:F655"/>
    <mergeCell ref="M652:M655"/>
    <mergeCell ref="N652:N655"/>
    <mergeCell ref="Q652:Q655"/>
    <mergeCell ref="R652:R655"/>
    <mergeCell ref="S652:S655"/>
    <mergeCell ref="T652:T655"/>
    <mergeCell ref="U652:U655"/>
    <mergeCell ref="A644:A649"/>
    <mergeCell ref="B644:B649"/>
    <mergeCell ref="C644:C649"/>
    <mergeCell ref="D644:D649"/>
    <mergeCell ref="E644:E649"/>
    <mergeCell ref="F644:F649"/>
    <mergeCell ref="M644:M649"/>
    <mergeCell ref="N644:N649"/>
    <mergeCell ref="Q644:Q649"/>
    <mergeCell ref="R656:R661"/>
    <mergeCell ref="S656:S661"/>
    <mergeCell ref="T656:T661"/>
    <mergeCell ref="U656:U661"/>
    <mergeCell ref="A662:A667"/>
    <mergeCell ref="B662:B667"/>
    <mergeCell ref="C662:C667"/>
    <mergeCell ref="D662:D667"/>
    <mergeCell ref="E662:E667"/>
    <mergeCell ref="F662:F667"/>
    <mergeCell ref="M662:M667"/>
    <mergeCell ref="N662:N667"/>
    <mergeCell ref="Q662:Q667"/>
    <mergeCell ref="R662:R667"/>
    <mergeCell ref="S662:S667"/>
    <mergeCell ref="T662:T667"/>
    <mergeCell ref="U662:U667"/>
    <mergeCell ref="A656:A661"/>
    <mergeCell ref="B656:B661"/>
    <mergeCell ref="C656:C661"/>
    <mergeCell ref="D656:D661"/>
    <mergeCell ref="E656:E661"/>
    <mergeCell ref="F656:F661"/>
    <mergeCell ref="M656:M661"/>
    <mergeCell ref="N656:N661"/>
    <mergeCell ref="Q656:Q661"/>
    <mergeCell ref="R668:R673"/>
    <mergeCell ref="S668:S673"/>
    <mergeCell ref="T668:T673"/>
    <mergeCell ref="U668:U673"/>
    <mergeCell ref="A674:A679"/>
    <mergeCell ref="B674:B679"/>
    <mergeCell ref="C674:C679"/>
    <mergeCell ref="D674:D679"/>
    <mergeCell ref="E674:E679"/>
    <mergeCell ref="F674:F679"/>
    <mergeCell ref="M674:M679"/>
    <mergeCell ref="N674:N679"/>
    <mergeCell ref="Q674:Q679"/>
    <mergeCell ref="R674:R679"/>
    <mergeCell ref="S674:S679"/>
    <mergeCell ref="T674:T679"/>
    <mergeCell ref="U674:U679"/>
    <mergeCell ref="A668:A673"/>
    <mergeCell ref="B668:B673"/>
    <mergeCell ref="C668:C673"/>
    <mergeCell ref="D668:D673"/>
    <mergeCell ref="E668:E673"/>
    <mergeCell ref="F668:F673"/>
    <mergeCell ref="M668:M673"/>
    <mergeCell ref="N668:N673"/>
    <mergeCell ref="Q668:Q673"/>
    <mergeCell ref="N692:N697"/>
    <mergeCell ref="Q692:Q697"/>
    <mergeCell ref="R680:R685"/>
    <mergeCell ref="S680:S685"/>
    <mergeCell ref="T680:T685"/>
    <mergeCell ref="U680:U685"/>
    <mergeCell ref="A686:R686"/>
    <mergeCell ref="A687:U687"/>
    <mergeCell ref="A688:A691"/>
    <mergeCell ref="B688:B691"/>
    <mergeCell ref="C688:C691"/>
    <mergeCell ref="D688:D691"/>
    <mergeCell ref="E688:E691"/>
    <mergeCell ref="F688:F691"/>
    <mergeCell ref="M688:M691"/>
    <mergeCell ref="N688:N691"/>
    <mergeCell ref="Q688:Q691"/>
    <mergeCell ref="R688:R691"/>
    <mergeCell ref="S688:S691"/>
    <mergeCell ref="T688:T691"/>
    <mergeCell ref="U688:U691"/>
    <mergeCell ref="A680:A685"/>
    <mergeCell ref="B680:B685"/>
    <mergeCell ref="C680:C685"/>
    <mergeCell ref="D680:D685"/>
    <mergeCell ref="E680:E685"/>
    <mergeCell ref="F680:F685"/>
    <mergeCell ref="M680:M685"/>
    <mergeCell ref="N680:N685"/>
    <mergeCell ref="Q680:Q685"/>
    <mergeCell ref="B704:B709"/>
    <mergeCell ref="C704:C709"/>
    <mergeCell ref="D704:D709"/>
    <mergeCell ref="E704:E709"/>
    <mergeCell ref="F704:F709"/>
    <mergeCell ref="M704:M709"/>
    <mergeCell ref="N704:N709"/>
    <mergeCell ref="Q704:Q709"/>
    <mergeCell ref="R692:R697"/>
    <mergeCell ref="S692:S697"/>
    <mergeCell ref="T692:T697"/>
    <mergeCell ref="U692:U697"/>
    <mergeCell ref="A698:A703"/>
    <mergeCell ref="B698:B703"/>
    <mergeCell ref="C698:C703"/>
    <mergeCell ref="D698:D703"/>
    <mergeCell ref="E698:E703"/>
    <mergeCell ref="F698:F703"/>
    <mergeCell ref="M698:M703"/>
    <mergeCell ref="N698:N703"/>
    <mergeCell ref="Q698:Q703"/>
    <mergeCell ref="R698:R703"/>
    <mergeCell ref="S698:S703"/>
    <mergeCell ref="T698:T703"/>
    <mergeCell ref="U698:U703"/>
    <mergeCell ref="A692:A697"/>
    <mergeCell ref="B692:B697"/>
    <mergeCell ref="C692:C697"/>
    <mergeCell ref="D692:D697"/>
    <mergeCell ref="E692:E697"/>
    <mergeCell ref="F692:F697"/>
    <mergeCell ref="M692:M697"/>
    <mergeCell ref="R716:R721"/>
    <mergeCell ref="S716:S721"/>
    <mergeCell ref="T716:T721"/>
    <mergeCell ref="U716:U721"/>
    <mergeCell ref="A722:R722"/>
    <mergeCell ref="A716:A721"/>
    <mergeCell ref="B716:B721"/>
    <mergeCell ref="C716:C721"/>
    <mergeCell ref="D716:D721"/>
    <mergeCell ref="E716:E721"/>
    <mergeCell ref="F716:F721"/>
    <mergeCell ref="M716:M721"/>
    <mergeCell ref="N716:N721"/>
    <mergeCell ref="Q716:Q721"/>
    <mergeCell ref="R704:R709"/>
    <mergeCell ref="S704:S709"/>
    <mergeCell ref="T704:T709"/>
    <mergeCell ref="U704:U709"/>
    <mergeCell ref="A710:A715"/>
    <mergeCell ref="B710:B715"/>
    <mergeCell ref="C710:C715"/>
    <mergeCell ref="D710:D715"/>
    <mergeCell ref="E710:E715"/>
    <mergeCell ref="F710:F715"/>
    <mergeCell ref="M710:M715"/>
    <mergeCell ref="N710:N715"/>
    <mergeCell ref="Q710:Q715"/>
    <mergeCell ref="R710:R715"/>
    <mergeCell ref="S710:S715"/>
    <mergeCell ref="T710:T715"/>
    <mergeCell ref="U710:U715"/>
    <mergeCell ref="A704:A70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471FC-56C7-403B-B396-F79CEF5340BA}">
  <dimension ref="A1:U722"/>
  <sheetViews>
    <sheetView topLeftCell="A337" workbookViewId="0">
      <selection activeCell="T1" sqref="T1:U1048576"/>
    </sheetView>
  </sheetViews>
  <sheetFormatPr defaultRowHeight="15" x14ac:dyDescent="0.25"/>
  <cols>
    <col min="1" max="1" width="9.140625" style="16"/>
    <col min="2" max="5" width="0" style="16" hidden="1" customWidth="1"/>
    <col min="6" max="8" width="9.140625" style="16"/>
    <col min="9" max="10" width="0" style="16" hidden="1" customWidth="1"/>
    <col min="11" max="11" width="9.140625" style="16"/>
    <col min="12" max="13" width="0" style="16" hidden="1" customWidth="1"/>
    <col min="14" max="15" width="9.140625" style="16"/>
    <col min="16" max="17" width="0" style="16" hidden="1" customWidth="1"/>
    <col min="18" max="19" width="9.140625" style="16"/>
    <col min="20" max="21" width="0" style="16" hidden="1" customWidth="1"/>
  </cols>
  <sheetData>
    <row r="1" spans="1:21" ht="45" x14ac:dyDescent="0.25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3" t="s">
        <v>5</v>
      </c>
      <c r="G1" s="13" t="s">
        <v>6</v>
      </c>
      <c r="H1" s="13" t="s">
        <v>7</v>
      </c>
      <c r="I1" s="15" t="s">
        <v>8</v>
      </c>
      <c r="J1" s="15" t="s">
        <v>9</v>
      </c>
      <c r="K1" s="13" t="s">
        <v>31</v>
      </c>
      <c r="L1" s="14" t="s">
        <v>10</v>
      </c>
      <c r="M1" s="14" t="s">
        <v>11</v>
      </c>
      <c r="N1" s="13" t="s">
        <v>12</v>
      </c>
      <c r="O1" s="13" t="s">
        <v>13</v>
      </c>
      <c r="P1" s="14" t="s">
        <v>14</v>
      </c>
      <c r="Q1" s="14" t="s">
        <v>15</v>
      </c>
      <c r="R1" s="13" t="s">
        <v>16</v>
      </c>
      <c r="S1" s="13" t="s">
        <v>17</v>
      </c>
      <c r="T1" s="14" t="s">
        <v>18</v>
      </c>
      <c r="U1" s="14" t="s">
        <v>19</v>
      </c>
    </row>
    <row r="2" spans="1:21" x14ac:dyDescent="0.25">
      <c r="A2" s="3">
        <v>1</v>
      </c>
      <c r="B2" s="4"/>
      <c r="C2" s="4"/>
      <c r="D2" s="4"/>
      <c r="E2" s="4"/>
      <c r="F2" s="3">
        <v>2</v>
      </c>
      <c r="G2" s="3">
        <v>3</v>
      </c>
      <c r="H2" s="3">
        <v>4</v>
      </c>
      <c r="I2" s="5"/>
      <c r="J2" s="6"/>
      <c r="K2" s="3">
        <v>5</v>
      </c>
      <c r="L2" s="4"/>
      <c r="M2" s="5"/>
      <c r="N2" s="3">
        <v>6</v>
      </c>
      <c r="O2" s="3">
        <v>7</v>
      </c>
      <c r="P2" s="4"/>
      <c r="Q2" s="5"/>
      <c r="R2" s="7">
        <v>8</v>
      </c>
      <c r="S2" s="7">
        <v>9</v>
      </c>
      <c r="T2" s="4"/>
      <c r="U2" s="4"/>
    </row>
    <row r="3" spans="1:21" x14ac:dyDescent="0.25">
      <c r="A3" s="27" t="s">
        <v>52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9"/>
    </row>
    <row r="4" spans="1:21" x14ac:dyDescent="0.25">
      <c r="A4" s="24">
        <v>250</v>
      </c>
      <c r="B4" s="24">
        <v>3</v>
      </c>
      <c r="C4" s="17">
        <v>0.5</v>
      </c>
      <c r="D4" s="24">
        <v>38</v>
      </c>
      <c r="E4" s="24">
        <v>4</v>
      </c>
      <c r="F4" s="25">
        <v>84</v>
      </c>
      <c r="G4" s="1">
        <v>175</v>
      </c>
      <c r="H4" s="2">
        <v>84.8</v>
      </c>
      <c r="I4" s="2">
        <v>-22.6</v>
      </c>
      <c r="J4" s="2">
        <v>-26.7</v>
      </c>
      <c r="K4" s="2">
        <f>I4</f>
        <v>-22.6</v>
      </c>
      <c r="L4" s="8">
        <f>10^((K4-H4)/10)</f>
        <v>1.8197008586099764E-11</v>
      </c>
      <c r="M4" s="26">
        <f>SUM(L4:L7)</f>
        <v>3.3003504070713611E-11</v>
      </c>
      <c r="N4" s="17">
        <f>10*LOG10(M4/E4)</f>
        <v>-110.83499938789907</v>
      </c>
      <c r="O4" s="9">
        <f>J4</f>
        <v>-26.7</v>
      </c>
      <c r="P4" s="8">
        <f>D4/B4*10^(O4/10)</f>
        <v>2.7080853133694936E-2</v>
      </c>
      <c r="Q4" s="26">
        <f>SUM(P4:P7)</f>
        <v>0.15840890812165165</v>
      </c>
      <c r="R4" s="17">
        <f>10*LOG10(Q4)</f>
        <v>-8.0022039951864716</v>
      </c>
      <c r="S4" s="18">
        <f>F4+N4-Kzt-H</f>
        <v>-26.834999387899074</v>
      </c>
      <c r="T4" s="17">
        <v>0.2</v>
      </c>
      <c r="U4" s="21">
        <f>T4*10^((S4-R4)/10)</f>
        <v>2.616679044458533E-3</v>
      </c>
    </row>
    <row r="5" spans="1:21" x14ac:dyDescent="0.25">
      <c r="A5" s="24"/>
      <c r="B5" s="24"/>
      <c r="C5" s="17"/>
      <c r="D5" s="24"/>
      <c r="E5" s="24"/>
      <c r="F5" s="25"/>
      <c r="G5" s="1">
        <v>225</v>
      </c>
      <c r="H5" s="2">
        <v>90</v>
      </c>
      <c r="I5" s="2">
        <v>-22.4</v>
      </c>
      <c r="J5" s="2">
        <v>-24.8</v>
      </c>
      <c r="K5" s="2">
        <f t="shared" ref="K5:K37" si="0">I5</f>
        <v>-22.4</v>
      </c>
      <c r="L5" s="8">
        <f t="shared" ref="L5:L37" si="1">10^((K5-H5)/10)</f>
        <v>5.7543993733715538E-12</v>
      </c>
      <c r="M5" s="26"/>
      <c r="N5" s="17"/>
      <c r="O5" s="9">
        <f t="shared" ref="O5:O37" si="2">J5</f>
        <v>-24.8</v>
      </c>
      <c r="P5" s="8">
        <f>D4/B4*10^(O5/10)</f>
        <v>4.1943275387794861E-2</v>
      </c>
      <c r="Q5" s="26"/>
      <c r="R5" s="17"/>
      <c r="S5" s="19"/>
      <c r="T5" s="17"/>
      <c r="U5" s="22"/>
    </row>
    <row r="6" spans="1:21" x14ac:dyDescent="0.25">
      <c r="A6" s="24"/>
      <c r="B6" s="24"/>
      <c r="C6" s="17"/>
      <c r="D6" s="24"/>
      <c r="E6" s="24"/>
      <c r="F6" s="25"/>
      <c r="G6" s="1">
        <v>275</v>
      </c>
      <c r="H6" s="2">
        <v>92.2</v>
      </c>
      <c r="I6" s="2">
        <v>-21.5</v>
      </c>
      <c r="J6" s="2">
        <v>-25.7</v>
      </c>
      <c r="K6" s="2">
        <f t="shared" si="0"/>
        <v>-21.5</v>
      </c>
      <c r="L6" s="8">
        <f t="shared" si="1"/>
        <v>4.2657951880159045E-12</v>
      </c>
      <c r="M6" s="26"/>
      <c r="N6" s="17"/>
      <c r="O6" s="9">
        <f t="shared" si="2"/>
        <v>-25.7</v>
      </c>
      <c r="P6" s="8">
        <f>D4/B4*10^(O6/10)</f>
        <v>3.409277418307425E-2</v>
      </c>
      <c r="Q6" s="26"/>
      <c r="R6" s="17"/>
      <c r="S6" s="19"/>
      <c r="T6" s="17"/>
      <c r="U6" s="22"/>
    </row>
    <row r="7" spans="1:21" x14ac:dyDescent="0.25">
      <c r="A7" s="24"/>
      <c r="B7" s="24"/>
      <c r="C7" s="17"/>
      <c r="D7" s="24"/>
      <c r="E7" s="24"/>
      <c r="F7" s="25"/>
      <c r="G7" s="1">
        <v>325</v>
      </c>
      <c r="H7" s="2">
        <v>93.3</v>
      </c>
      <c r="I7" s="2">
        <v>-19.899999999999999</v>
      </c>
      <c r="J7" s="2">
        <v>-23.6</v>
      </c>
      <c r="K7" s="2">
        <f t="shared" si="0"/>
        <v>-19.899999999999999</v>
      </c>
      <c r="L7" s="8">
        <f>10^((K7-H7)/10)</f>
        <v>4.7863009232263907E-12</v>
      </c>
      <c r="M7" s="26"/>
      <c r="N7" s="17"/>
      <c r="O7" s="9">
        <f t="shared" si="2"/>
        <v>-23.6</v>
      </c>
      <c r="P7" s="8">
        <f>D4/B4*10^(O7/10)</f>
        <v>5.5292005417087606E-2</v>
      </c>
      <c r="Q7" s="26"/>
      <c r="R7" s="17"/>
      <c r="S7" s="20"/>
      <c r="T7" s="17"/>
      <c r="U7" s="23"/>
    </row>
    <row r="8" spans="1:21" x14ac:dyDescent="0.25">
      <c r="A8" s="24">
        <v>500</v>
      </c>
      <c r="B8" s="24">
        <v>3</v>
      </c>
      <c r="C8" s="17">
        <v>0.5</v>
      </c>
      <c r="D8" s="24">
        <v>59</v>
      </c>
      <c r="E8" s="24">
        <v>6</v>
      </c>
      <c r="F8" s="25">
        <v>84</v>
      </c>
      <c r="G8" s="1">
        <v>375</v>
      </c>
      <c r="H8" s="2">
        <v>91.9</v>
      </c>
      <c r="I8" s="2">
        <v>-20.399999999999999</v>
      </c>
      <c r="J8" s="2">
        <v>-24.2</v>
      </c>
      <c r="K8" s="2">
        <f t="shared" si="0"/>
        <v>-20.399999999999999</v>
      </c>
      <c r="L8" s="8">
        <f t="shared" si="1"/>
        <v>5.8884365535558725E-12</v>
      </c>
      <c r="M8" s="26">
        <f>SUM(L8:L13)</f>
        <v>4.1313797692418472E-11</v>
      </c>
      <c r="N8" s="17">
        <f>10*LOG10(M8/E8)</f>
        <v>-111.62056131876342</v>
      </c>
      <c r="O8" s="9">
        <f t="shared" si="2"/>
        <v>-24.2</v>
      </c>
      <c r="P8" s="8">
        <f>D8/B8*10^(O8/10)</f>
        <v>7.4770581276377049E-2</v>
      </c>
      <c r="Q8" s="26">
        <f>SUM(P8:P13)</f>
        <v>0.30438176584774579</v>
      </c>
      <c r="R8" s="17">
        <f>10*LOG10(Q8)</f>
        <v>-5.1658136776512169</v>
      </c>
      <c r="S8" s="18">
        <f>F8+N8-Kzt-H</f>
        <v>-27.620561318763421</v>
      </c>
      <c r="T8" s="17">
        <v>0.5</v>
      </c>
      <c r="U8" s="21">
        <f>T8*10^((S8-R8)/10)</f>
        <v>2.8411570463353344E-3</v>
      </c>
    </row>
    <row r="9" spans="1:21" x14ac:dyDescent="0.25">
      <c r="A9" s="24"/>
      <c r="B9" s="24"/>
      <c r="C9" s="17"/>
      <c r="D9" s="24"/>
      <c r="E9" s="24"/>
      <c r="F9" s="25"/>
      <c r="G9" s="1">
        <v>425</v>
      </c>
      <c r="H9" s="2">
        <v>88.1</v>
      </c>
      <c r="I9" s="2">
        <v>-18.899999999999999</v>
      </c>
      <c r="J9" s="2">
        <v>-28.3</v>
      </c>
      <c r="K9" s="2">
        <f t="shared" si="0"/>
        <v>-18.899999999999999</v>
      </c>
      <c r="L9" s="8">
        <f t="shared" si="1"/>
        <v>1.995262314968878E-11</v>
      </c>
      <c r="M9" s="26"/>
      <c r="N9" s="17"/>
      <c r="O9" s="9">
        <f t="shared" si="2"/>
        <v>-28.3</v>
      </c>
      <c r="P9" s="8">
        <f>D8/B8*10^(O9/10)</f>
        <v>2.9089131633974731E-2</v>
      </c>
      <c r="Q9" s="26"/>
      <c r="R9" s="17"/>
      <c r="S9" s="19"/>
      <c r="T9" s="17"/>
      <c r="U9" s="22"/>
    </row>
    <row r="10" spans="1:21" x14ac:dyDescent="0.25">
      <c r="A10" s="24"/>
      <c r="B10" s="24"/>
      <c r="C10" s="17"/>
      <c r="D10" s="24"/>
      <c r="E10" s="24"/>
      <c r="F10" s="25"/>
      <c r="G10" s="1">
        <v>475</v>
      </c>
      <c r="H10" s="2">
        <v>90</v>
      </c>
      <c r="I10" s="2">
        <v>-21.4</v>
      </c>
      <c r="J10" s="2">
        <v>-24.6</v>
      </c>
      <c r="K10" s="2">
        <f t="shared" si="0"/>
        <v>-21.4</v>
      </c>
      <c r="L10" s="8">
        <f>10^((K10-H10)/10)</f>
        <v>7.2443596007498734E-12</v>
      </c>
      <c r="M10" s="26"/>
      <c r="N10" s="17"/>
      <c r="O10" s="9">
        <f t="shared" si="2"/>
        <v>-24.6</v>
      </c>
      <c r="P10" s="8">
        <f>D8/B8*10^(O10/10)</f>
        <v>6.8191580588997866E-2</v>
      </c>
      <c r="Q10" s="26"/>
      <c r="R10" s="17"/>
      <c r="S10" s="19"/>
      <c r="T10" s="17"/>
      <c r="U10" s="22"/>
    </row>
    <row r="11" spans="1:21" x14ac:dyDescent="0.25">
      <c r="A11" s="24"/>
      <c r="B11" s="24"/>
      <c r="C11" s="17"/>
      <c r="D11" s="24"/>
      <c r="E11" s="24"/>
      <c r="F11" s="25"/>
      <c r="G11" s="1">
        <v>575</v>
      </c>
      <c r="H11" s="2">
        <v>97</v>
      </c>
      <c r="I11" s="2">
        <v>-23.4</v>
      </c>
      <c r="J11" s="2">
        <v>-29.2</v>
      </c>
      <c r="K11" s="2">
        <f t="shared" si="0"/>
        <v>-23.4</v>
      </c>
      <c r="L11" s="8">
        <f t="shared" si="1"/>
        <v>9.1201083935590446E-13</v>
      </c>
      <c r="M11" s="26"/>
      <c r="N11" s="17"/>
      <c r="O11" s="9">
        <f t="shared" si="2"/>
        <v>-29.2</v>
      </c>
      <c r="P11" s="8">
        <f>D8/B8*10^(O11/10)</f>
        <v>2.3644533880809112E-2</v>
      </c>
      <c r="Q11" s="26"/>
      <c r="R11" s="17"/>
      <c r="S11" s="19"/>
      <c r="T11" s="17"/>
      <c r="U11" s="22"/>
    </row>
    <row r="12" spans="1:21" x14ac:dyDescent="0.25">
      <c r="A12" s="24"/>
      <c r="B12" s="24"/>
      <c r="C12" s="17"/>
      <c r="D12" s="24"/>
      <c r="E12" s="24"/>
      <c r="F12" s="25"/>
      <c r="G12" s="1">
        <v>625</v>
      </c>
      <c r="H12" s="2">
        <v>92</v>
      </c>
      <c r="I12" s="2">
        <v>-23.3</v>
      </c>
      <c r="J12" s="2">
        <v>-26.7</v>
      </c>
      <c r="K12" s="2">
        <f t="shared" si="0"/>
        <v>-23.3</v>
      </c>
      <c r="L12" s="8">
        <f t="shared" si="1"/>
        <v>2.9512092266663859E-12</v>
      </c>
      <c r="M12" s="26"/>
      <c r="N12" s="17"/>
      <c r="O12" s="9">
        <f t="shared" si="2"/>
        <v>-26.7</v>
      </c>
      <c r="P12" s="8">
        <f>D8/B8*10^(O12/10)</f>
        <v>4.2046587760210558E-2</v>
      </c>
      <c r="Q12" s="26"/>
      <c r="R12" s="17"/>
      <c r="S12" s="19"/>
      <c r="T12" s="17"/>
      <c r="U12" s="22"/>
    </row>
    <row r="13" spans="1:21" x14ac:dyDescent="0.25">
      <c r="A13" s="24"/>
      <c r="B13" s="24"/>
      <c r="C13" s="17"/>
      <c r="D13" s="24"/>
      <c r="E13" s="24"/>
      <c r="F13" s="25"/>
      <c r="G13" s="1">
        <v>675</v>
      </c>
      <c r="H13" s="2">
        <v>94.5</v>
      </c>
      <c r="I13" s="2">
        <v>-19.100000000000001</v>
      </c>
      <c r="J13" s="2">
        <v>-24.7</v>
      </c>
      <c r="K13" s="2">
        <f t="shared" si="0"/>
        <v>-19.100000000000001</v>
      </c>
      <c r="L13" s="8">
        <f t="shared" si="1"/>
        <v>4.3651583224016522E-12</v>
      </c>
      <c r="M13" s="26"/>
      <c r="N13" s="17"/>
      <c r="O13" s="9">
        <f t="shared" si="2"/>
        <v>-24.7</v>
      </c>
      <c r="P13" s="8">
        <f>D8/B8*10^(O13/10)</f>
        <v>6.6639350707376477E-2</v>
      </c>
      <c r="Q13" s="26"/>
      <c r="R13" s="17"/>
      <c r="S13" s="20"/>
      <c r="T13" s="17"/>
      <c r="U13" s="23"/>
    </row>
    <row r="14" spans="1:21" x14ac:dyDescent="0.25">
      <c r="A14" s="24">
        <v>1000</v>
      </c>
      <c r="B14" s="24">
        <v>3</v>
      </c>
      <c r="C14" s="17">
        <v>0.5</v>
      </c>
      <c r="D14" s="24">
        <v>117</v>
      </c>
      <c r="E14" s="24">
        <v>6</v>
      </c>
      <c r="F14" s="25">
        <v>76</v>
      </c>
      <c r="G14" s="1">
        <v>875</v>
      </c>
      <c r="H14" s="2">
        <v>91.1</v>
      </c>
      <c r="I14" s="2">
        <v>-22.6</v>
      </c>
      <c r="J14" s="2">
        <v>-24.6</v>
      </c>
      <c r="K14" s="2">
        <f t="shared" si="0"/>
        <v>-22.6</v>
      </c>
      <c r="L14" s="8">
        <f t="shared" si="1"/>
        <v>4.2657951880159207E-12</v>
      </c>
      <c r="M14" s="26">
        <f>SUM(L14:L19)</f>
        <v>9.0271608871753346E-12</v>
      </c>
      <c r="N14" s="17">
        <f>10*LOG10(M14/E14)</f>
        <v>-118.22600067612635</v>
      </c>
      <c r="O14" s="9">
        <f t="shared" si="2"/>
        <v>-24.6</v>
      </c>
      <c r="P14" s="8">
        <f>D14/B14*10^(O14/10)</f>
        <v>0.1352273716764873</v>
      </c>
      <c r="Q14" s="26">
        <f>SUM(P14:P19)</f>
        <v>0.42568507095889124</v>
      </c>
      <c r="R14" s="17">
        <f>10*LOG10(Q14)</f>
        <v>-3.7091158053431355</v>
      </c>
      <c r="S14" s="18">
        <f>F14+N14-Kzt-H</f>
        <v>-42.226000676126347</v>
      </c>
      <c r="T14" s="17">
        <v>0.8</v>
      </c>
      <c r="U14" s="21">
        <f>T14*10^((S14-R14)/10)</f>
        <v>1.1256451381860881E-4</v>
      </c>
    </row>
    <row r="15" spans="1:21" x14ac:dyDescent="0.25">
      <c r="A15" s="24"/>
      <c r="B15" s="24"/>
      <c r="C15" s="17"/>
      <c r="D15" s="24"/>
      <c r="E15" s="24"/>
      <c r="F15" s="25"/>
      <c r="G15" s="1">
        <v>975</v>
      </c>
      <c r="H15" s="2">
        <v>96.5</v>
      </c>
      <c r="I15" s="2">
        <v>-24.2</v>
      </c>
      <c r="J15" s="2">
        <v>-27.4</v>
      </c>
      <c r="K15" s="2">
        <f t="shared" si="0"/>
        <v>-24.2</v>
      </c>
      <c r="L15" s="8">
        <f t="shared" si="1"/>
        <v>8.5113803820237492E-13</v>
      </c>
      <c r="M15" s="26"/>
      <c r="N15" s="17"/>
      <c r="O15" s="9">
        <f t="shared" si="2"/>
        <v>-27.4</v>
      </c>
      <c r="P15" s="8">
        <f>D14/B14*10^(O15/10)</f>
        <v>7.096833348578932E-2</v>
      </c>
      <c r="Q15" s="26"/>
      <c r="R15" s="17"/>
      <c r="S15" s="19"/>
      <c r="T15" s="17"/>
      <c r="U15" s="22"/>
    </row>
    <row r="16" spans="1:21" x14ac:dyDescent="0.25">
      <c r="A16" s="24"/>
      <c r="B16" s="24"/>
      <c r="C16" s="17"/>
      <c r="D16" s="24"/>
      <c r="E16" s="24"/>
      <c r="F16" s="25"/>
      <c r="G16" s="1">
        <v>1075</v>
      </c>
      <c r="H16" s="2">
        <v>94.6</v>
      </c>
      <c r="I16" s="2">
        <v>-21.7</v>
      </c>
      <c r="J16" s="2">
        <v>-30.6</v>
      </c>
      <c r="K16" s="2">
        <f t="shared" si="0"/>
        <v>-21.7</v>
      </c>
      <c r="L16" s="8">
        <f t="shared" si="1"/>
        <v>2.3442288153199247E-12</v>
      </c>
      <c r="M16" s="26"/>
      <c r="N16" s="17"/>
      <c r="O16" s="9">
        <f t="shared" si="2"/>
        <v>-30.6</v>
      </c>
      <c r="P16" s="8">
        <f>D14/B14*10^(O16/10)</f>
        <v>3.3967580008287111E-2</v>
      </c>
      <c r="Q16" s="26"/>
      <c r="R16" s="17"/>
      <c r="S16" s="19"/>
      <c r="T16" s="17"/>
      <c r="U16" s="22"/>
    </row>
    <row r="17" spans="1:21" x14ac:dyDescent="0.25">
      <c r="A17" s="24"/>
      <c r="B17" s="24"/>
      <c r="C17" s="17"/>
      <c r="D17" s="24"/>
      <c r="E17" s="24"/>
      <c r="F17" s="25"/>
      <c r="G17" s="1">
        <v>1175</v>
      </c>
      <c r="H17" s="2">
        <v>97.8</v>
      </c>
      <c r="I17" s="2">
        <v>-23.9</v>
      </c>
      <c r="J17" s="2">
        <v>-26.6</v>
      </c>
      <c r="K17" s="2">
        <f t="shared" si="0"/>
        <v>-23.9</v>
      </c>
      <c r="L17" s="8">
        <f t="shared" si="1"/>
        <v>6.7608297539198353E-13</v>
      </c>
      <c r="M17" s="26"/>
      <c r="N17" s="17"/>
      <c r="O17" s="9">
        <f t="shared" si="2"/>
        <v>-26.6</v>
      </c>
      <c r="P17" s="8">
        <f>D14/B14*10^(O17/10)</f>
        <v>8.532270333403244E-2</v>
      </c>
      <c r="Q17" s="26"/>
      <c r="R17" s="17"/>
      <c r="S17" s="19"/>
      <c r="T17" s="17"/>
      <c r="U17" s="22"/>
    </row>
    <row r="18" spans="1:21" x14ac:dyDescent="0.25">
      <c r="A18" s="24"/>
      <c r="B18" s="24"/>
      <c r="C18" s="17"/>
      <c r="D18" s="24"/>
      <c r="E18" s="24"/>
      <c r="F18" s="25"/>
      <c r="G18" s="1">
        <v>1275</v>
      </c>
      <c r="H18" s="2">
        <v>100.1</v>
      </c>
      <c r="I18" s="2">
        <v>-27.3</v>
      </c>
      <c r="J18" s="2">
        <v>-30.6</v>
      </c>
      <c r="K18" s="2">
        <f t="shared" si="0"/>
        <v>-27.3</v>
      </c>
      <c r="L18" s="8">
        <f t="shared" si="1"/>
        <v>1.8197008586099852E-13</v>
      </c>
      <c r="M18" s="26"/>
      <c r="N18" s="17"/>
      <c r="O18" s="9">
        <f t="shared" si="2"/>
        <v>-30.6</v>
      </c>
      <c r="P18" s="8">
        <f>D14/B14*10^(O18/10)</f>
        <v>3.3967580008287111E-2</v>
      </c>
      <c r="Q18" s="26"/>
      <c r="R18" s="17"/>
      <c r="S18" s="19"/>
      <c r="T18" s="17"/>
      <c r="U18" s="22"/>
    </row>
    <row r="19" spans="1:21" x14ac:dyDescent="0.25">
      <c r="A19" s="24"/>
      <c r="B19" s="24"/>
      <c r="C19" s="17"/>
      <c r="D19" s="24"/>
      <c r="E19" s="24"/>
      <c r="F19" s="25"/>
      <c r="G19" s="1">
        <v>1375</v>
      </c>
      <c r="H19" s="2">
        <v>103</v>
      </c>
      <c r="I19" s="2">
        <v>-18.5</v>
      </c>
      <c r="J19" s="2">
        <v>-27.7</v>
      </c>
      <c r="K19" s="2">
        <f t="shared" si="0"/>
        <v>-18.5</v>
      </c>
      <c r="L19" s="8">
        <f t="shared" si="1"/>
        <v>7.0794578438413455E-13</v>
      </c>
      <c r="M19" s="26"/>
      <c r="N19" s="17"/>
      <c r="O19" s="9">
        <f t="shared" si="2"/>
        <v>-27.7</v>
      </c>
      <c r="P19" s="8">
        <f>D14/B14*10^(O19/10)</f>
        <v>6.6231502446007964E-2</v>
      </c>
      <c r="Q19" s="26"/>
      <c r="R19" s="17"/>
      <c r="S19" s="20"/>
      <c r="T19" s="17"/>
      <c r="U19" s="23"/>
    </row>
    <row r="20" spans="1:21" x14ac:dyDescent="0.25">
      <c r="A20" s="24">
        <v>2000</v>
      </c>
      <c r="B20" s="24">
        <v>3</v>
      </c>
      <c r="C20" s="17">
        <v>0.5</v>
      </c>
      <c r="D20" s="24">
        <v>234</v>
      </c>
      <c r="E20" s="24">
        <v>6</v>
      </c>
      <c r="F20" s="25">
        <v>68</v>
      </c>
      <c r="G20" s="1">
        <v>1425</v>
      </c>
      <c r="H20" s="2">
        <v>102.8</v>
      </c>
      <c r="I20" s="2">
        <v>-24.3</v>
      </c>
      <c r="J20" s="2">
        <v>-26.5</v>
      </c>
      <c r="K20" s="2">
        <f t="shared" si="0"/>
        <v>-24.3</v>
      </c>
      <c r="L20" s="8">
        <f t="shared" si="1"/>
        <v>1.9498445997580464E-13</v>
      </c>
      <c r="M20" s="26">
        <f>SUM(L20:L25)</f>
        <v>4.8726271559806931E-12</v>
      </c>
      <c r="N20" s="17">
        <f>10*LOG10(M20/E20)</f>
        <v>-120.90388069106001</v>
      </c>
      <c r="O20" s="9">
        <f t="shared" si="2"/>
        <v>-26.5</v>
      </c>
      <c r="P20" s="8">
        <f>D20/B20*10^(O20/10)</f>
        <v>0.17462024880833041</v>
      </c>
      <c r="Q20" s="26">
        <f>SUM(P20:P25)</f>
        <v>0.65653391743738165</v>
      </c>
      <c r="R20" s="17">
        <f>10*LOG10(Q20)</f>
        <v>-1.8274283274982763</v>
      </c>
      <c r="S20" s="18">
        <f>F20+N20-Kzt-H</f>
        <v>-52.90388069106001</v>
      </c>
      <c r="T20" s="17">
        <v>1</v>
      </c>
      <c r="U20" s="21">
        <f>T20*10^((S20-R20)/10)</f>
        <v>7.8046739331200951E-6</v>
      </c>
    </row>
    <row r="21" spans="1:21" x14ac:dyDescent="0.25">
      <c r="A21" s="24"/>
      <c r="B21" s="24"/>
      <c r="C21" s="17"/>
      <c r="D21" s="24"/>
      <c r="E21" s="24"/>
      <c r="F21" s="25"/>
      <c r="G21" s="1">
        <v>1625</v>
      </c>
      <c r="H21" s="2">
        <v>104.1</v>
      </c>
      <c r="I21" s="2">
        <v>-21.5</v>
      </c>
      <c r="J21" s="2">
        <v>-27</v>
      </c>
      <c r="K21" s="2">
        <f t="shared" si="0"/>
        <v>-21.5</v>
      </c>
      <c r="L21" s="8">
        <f t="shared" si="1"/>
        <v>2.754228703338164E-13</v>
      </c>
      <c r="M21" s="26"/>
      <c r="N21" s="17"/>
      <c r="O21" s="9">
        <f t="shared" si="2"/>
        <v>-27</v>
      </c>
      <c r="P21" s="8">
        <f>D20/B20*10^(O21/10)</f>
        <v>0.15563046056757249</v>
      </c>
      <c r="Q21" s="26"/>
      <c r="R21" s="17"/>
      <c r="S21" s="19"/>
      <c r="T21" s="17"/>
      <c r="U21" s="22"/>
    </row>
    <row r="22" spans="1:21" x14ac:dyDescent="0.25">
      <c r="A22" s="24"/>
      <c r="B22" s="24"/>
      <c r="C22" s="17"/>
      <c r="D22" s="24"/>
      <c r="E22" s="24"/>
      <c r="F22" s="25"/>
      <c r="G22" s="1">
        <v>1825</v>
      </c>
      <c r="H22" s="2">
        <v>107.6</v>
      </c>
      <c r="I22" s="2">
        <v>-20.6</v>
      </c>
      <c r="J22" s="2">
        <v>-31.5</v>
      </c>
      <c r="K22" s="2">
        <f t="shared" si="0"/>
        <v>-20.6</v>
      </c>
      <c r="L22" s="8">
        <f t="shared" si="1"/>
        <v>1.5135612484362107E-13</v>
      </c>
      <c r="M22" s="26"/>
      <c r="N22" s="17"/>
      <c r="O22" s="9">
        <f t="shared" si="2"/>
        <v>-31.5</v>
      </c>
      <c r="P22" s="8">
        <f>D20/B20*10^(O22/10)</f>
        <v>5.5219771181962751E-2</v>
      </c>
      <c r="Q22" s="26"/>
      <c r="R22" s="17"/>
      <c r="S22" s="19"/>
      <c r="T22" s="17"/>
      <c r="U22" s="22"/>
    </row>
    <row r="23" spans="1:21" x14ac:dyDescent="0.25">
      <c r="A23" s="24"/>
      <c r="B23" s="24"/>
      <c r="C23" s="17"/>
      <c r="D23" s="24"/>
      <c r="E23" s="24"/>
      <c r="F23" s="25"/>
      <c r="G23" s="1">
        <v>2125</v>
      </c>
      <c r="H23" s="2">
        <v>104.2</v>
      </c>
      <c r="I23" s="2">
        <v>-20.5</v>
      </c>
      <c r="J23" s="2">
        <v>-30.3</v>
      </c>
      <c r="K23" s="2">
        <f t="shared" si="0"/>
        <v>-20.5</v>
      </c>
      <c r="L23" s="8">
        <f t="shared" si="1"/>
        <v>3.3884415613920079E-13</v>
      </c>
      <c r="M23" s="26"/>
      <c r="N23" s="17"/>
      <c r="O23" s="9">
        <f t="shared" si="2"/>
        <v>-30.3</v>
      </c>
      <c r="P23" s="8">
        <f>D20/B20*10^(O23/10)</f>
        <v>7.279383546216521E-2</v>
      </c>
      <c r="Q23" s="26"/>
      <c r="R23" s="17"/>
      <c r="S23" s="19"/>
      <c r="T23" s="17"/>
      <c r="U23" s="22"/>
    </row>
    <row r="24" spans="1:21" x14ac:dyDescent="0.25">
      <c r="A24" s="24"/>
      <c r="B24" s="24"/>
      <c r="C24" s="17"/>
      <c r="D24" s="24"/>
      <c r="E24" s="24"/>
      <c r="F24" s="25"/>
      <c r="G24" s="1">
        <v>2425</v>
      </c>
      <c r="H24" s="2">
        <v>93.7</v>
      </c>
      <c r="I24" s="2">
        <v>-21.2</v>
      </c>
      <c r="J24" s="2">
        <v>-28.4</v>
      </c>
      <c r="K24" s="2">
        <f t="shared" si="0"/>
        <v>-21.2</v>
      </c>
      <c r="L24" s="8">
        <f t="shared" si="1"/>
        <v>3.2359365692962695E-12</v>
      </c>
      <c r="M24" s="26"/>
      <c r="N24" s="17"/>
      <c r="O24" s="9">
        <f t="shared" si="2"/>
        <v>-28.4</v>
      </c>
      <c r="P24" s="8">
        <f>D20/B20*10^(O24/10)</f>
        <v>0.11274430211818232</v>
      </c>
      <c r="Q24" s="26"/>
      <c r="R24" s="17"/>
      <c r="S24" s="19"/>
      <c r="T24" s="17"/>
      <c r="U24" s="22"/>
    </row>
    <row r="25" spans="1:21" x14ac:dyDescent="0.25">
      <c r="A25" s="24"/>
      <c r="B25" s="24"/>
      <c r="C25" s="17"/>
      <c r="D25" s="24"/>
      <c r="E25" s="24"/>
      <c r="F25" s="25"/>
      <c r="G25" s="1">
        <v>2775</v>
      </c>
      <c r="H25" s="2">
        <v>100.2</v>
      </c>
      <c r="I25" s="2">
        <v>-21.5</v>
      </c>
      <c r="J25" s="2">
        <v>-29.6</v>
      </c>
      <c r="K25" s="2">
        <f t="shared" si="0"/>
        <v>-21.5</v>
      </c>
      <c r="L25" s="8">
        <f t="shared" si="1"/>
        <v>6.7608297539198111E-13</v>
      </c>
      <c r="M25" s="26"/>
      <c r="N25" s="17"/>
      <c r="O25" s="9">
        <f t="shared" si="2"/>
        <v>-29.6</v>
      </c>
      <c r="P25" s="8">
        <f>D20/B20*10^(O25/10)</f>
        <v>8.5525299299168425E-2</v>
      </c>
      <c r="Q25" s="26"/>
      <c r="R25" s="17"/>
      <c r="S25" s="20"/>
      <c r="T25" s="17"/>
      <c r="U25" s="23"/>
    </row>
    <row r="26" spans="1:21" x14ac:dyDescent="0.25">
      <c r="A26" s="24">
        <v>4000</v>
      </c>
      <c r="B26" s="24">
        <v>3</v>
      </c>
      <c r="C26" s="17">
        <v>0.5</v>
      </c>
      <c r="D26" s="24">
        <v>470</v>
      </c>
      <c r="E26" s="24">
        <v>6</v>
      </c>
      <c r="F26" s="25">
        <v>62</v>
      </c>
      <c r="G26" s="1">
        <v>2825</v>
      </c>
      <c r="H26" s="2">
        <v>99.4</v>
      </c>
      <c r="I26" s="2">
        <v>-18.399999999999999</v>
      </c>
      <c r="J26" s="2">
        <v>-28.5</v>
      </c>
      <c r="K26" s="2">
        <f t="shared" si="0"/>
        <v>-18.399999999999999</v>
      </c>
      <c r="L26" s="8">
        <f t="shared" si="1"/>
        <v>1.6595869074375527E-12</v>
      </c>
      <c r="M26" s="26">
        <f>SUM(L26:L31)</f>
        <v>3.1720039479875747E-12</v>
      </c>
      <c r="N26" s="17">
        <f>10*LOG10(M26/E26)</f>
        <v>-122.76817531199568</v>
      </c>
      <c r="O26" s="9">
        <f t="shared" si="2"/>
        <v>-28.5</v>
      </c>
      <c r="P26" s="8">
        <f>D26/B26*10^(O26/10)</f>
        <v>0.22129754865756457</v>
      </c>
      <c r="Q26" s="26">
        <f>SUM(P26:P31)</f>
        <v>1.6782665330782209</v>
      </c>
      <c r="R26" s="17">
        <f>10*LOG10(Q26)</f>
        <v>2.2486093423578888</v>
      </c>
      <c r="S26" s="18">
        <f>F26+N26-Kzt-H</f>
        <v>-60.768175311995677</v>
      </c>
      <c r="T26" s="17">
        <v>0.9</v>
      </c>
      <c r="U26" s="21">
        <f>T26*10^((S26-R26)/10)</f>
        <v>4.4932858081883982E-7</v>
      </c>
    </row>
    <row r="27" spans="1:21" x14ac:dyDescent="0.25">
      <c r="A27" s="24"/>
      <c r="B27" s="24"/>
      <c r="C27" s="17"/>
      <c r="D27" s="24"/>
      <c r="E27" s="24"/>
      <c r="F27" s="25"/>
      <c r="G27" s="1">
        <v>3425</v>
      </c>
      <c r="H27" s="2">
        <v>103.5</v>
      </c>
      <c r="I27" s="2">
        <v>-27.8</v>
      </c>
      <c r="J27" s="2">
        <v>-32.6</v>
      </c>
      <c r="K27" s="2">
        <f t="shared" si="0"/>
        <v>-27.8</v>
      </c>
      <c r="L27" s="8">
        <f t="shared" si="1"/>
        <v>7.4131024130091305E-14</v>
      </c>
      <c r="M27" s="26"/>
      <c r="N27" s="17"/>
      <c r="O27" s="9">
        <f t="shared" si="2"/>
        <v>-32.6</v>
      </c>
      <c r="P27" s="8">
        <f>D26/B26*10^(O27/10)</f>
        <v>8.6094736904361091E-2</v>
      </c>
      <c r="Q27" s="26"/>
      <c r="R27" s="17"/>
      <c r="S27" s="19"/>
      <c r="T27" s="17"/>
      <c r="U27" s="22"/>
    </row>
    <row r="28" spans="1:21" x14ac:dyDescent="0.25">
      <c r="A28" s="24"/>
      <c r="B28" s="24"/>
      <c r="C28" s="17"/>
      <c r="D28" s="24"/>
      <c r="E28" s="24"/>
      <c r="F28" s="25"/>
      <c r="G28" s="1">
        <v>4025</v>
      </c>
      <c r="H28" s="2">
        <v>103.6</v>
      </c>
      <c r="I28" s="2">
        <v>-21.7</v>
      </c>
      <c r="J28" s="2">
        <v>-26.5</v>
      </c>
      <c r="K28" s="2">
        <f t="shared" si="0"/>
        <v>-21.7</v>
      </c>
      <c r="L28" s="8">
        <f t="shared" si="1"/>
        <v>2.9512092266663824E-13</v>
      </c>
      <c r="M28" s="26"/>
      <c r="N28" s="17"/>
      <c r="O28" s="9">
        <f t="shared" si="2"/>
        <v>-26.5</v>
      </c>
      <c r="P28" s="8">
        <f>D26/B26*10^(O28/10)</f>
        <v>0.35073297837570638</v>
      </c>
      <c r="Q28" s="26"/>
      <c r="R28" s="17"/>
      <c r="S28" s="19"/>
      <c r="T28" s="17"/>
      <c r="U28" s="22"/>
    </row>
    <row r="29" spans="1:21" x14ac:dyDescent="0.25">
      <c r="A29" s="24"/>
      <c r="B29" s="24"/>
      <c r="C29" s="17"/>
      <c r="D29" s="24"/>
      <c r="E29" s="24"/>
      <c r="F29" s="25"/>
      <c r="G29" s="1">
        <v>4625</v>
      </c>
      <c r="H29" s="2">
        <v>105.6</v>
      </c>
      <c r="I29" s="2">
        <v>-23.3</v>
      </c>
      <c r="J29" s="2">
        <v>-27.7</v>
      </c>
      <c r="K29" s="2">
        <f t="shared" si="0"/>
        <v>-23.3</v>
      </c>
      <c r="L29" s="8">
        <f t="shared" si="1"/>
        <v>1.288249551693128E-13</v>
      </c>
      <c r="M29" s="26"/>
      <c r="N29" s="17"/>
      <c r="O29" s="9">
        <f t="shared" si="2"/>
        <v>-27.7</v>
      </c>
      <c r="P29" s="8">
        <f>D26/B26*10^(O29/10)</f>
        <v>0.26605817221900629</v>
      </c>
      <c r="Q29" s="26"/>
      <c r="R29" s="17"/>
      <c r="S29" s="19"/>
      <c r="T29" s="17"/>
      <c r="U29" s="22"/>
    </row>
    <row r="30" spans="1:21" x14ac:dyDescent="0.25">
      <c r="A30" s="24"/>
      <c r="B30" s="24"/>
      <c r="C30" s="17"/>
      <c r="D30" s="24"/>
      <c r="E30" s="24"/>
      <c r="F30" s="25"/>
      <c r="G30" s="1">
        <v>5225</v>
      </c>
      <c r="H30" s="2">
        <v>103.5</v>
      </c>
      <c r="I30" s="2">
        <v>-26.4</v>
      </c>
      <c r="J30" s="2">
        <v>-27.3</v>
      </c>
      <c r="K30" s="2">
        <f t="shared" si="0"/>
        <v>-26.4</v>
      </c>
      <c r="L30" s="8">
        <f t="shared" si="1"/>
        <v>1.0232929922807502E-13</v>
      </c>
      <c r="M30" s="26"/>
      <c r="N30" s="17"/>
      <c r="O30" s="9">
        <f t="shared" si="2"/>
        <v>-27.3</v>
      </c>
      <c r="P30" s="8">
        <f>D26/B26*10^(O30/10)</f>
        <v>0.29172698474384906</v>
      </c>
      <c r="Q30" s="26"/>
      <c r="R30" s="17"/>
      <c r="S30" s="19"/>
      <c r="T30" s="17"/>
      <c r="U30" s="22"/>
    </row>
    <row r="31" spans="1:21" x14ac:dyDescent="0.25">
      <c r="A31" s="24"/>
      <c r="B31" s="24"/>
      <c r="C31" s="17"/>
      <c r="D31" s="24"/>
      <c r="E31" s="24"/>
      <c r="F31" s="25"/>
      <c r="G31" s="1">
        <v>5625</v>
      </c>
      <c r="H31" s="2">
        <v>99.5</v>
      </c>
      <c r="I31" s="2">
        <v>-20.9</v>
      </c>
      <c r="J31" s="2">
        <v>-25.3</v>
      </c>
      <c r="K31" s="2">
        <f t="shared" si="0"/>
        <v>-20.9</v>
      </c>
      <c r="L31" s="8">
        <f t="shared" si="1"/>
        <v>9.1201083935590446E-13</v>
      </c>
      <c r="M31" s="26"/>
      <c r="N31" s="17"/>
      <c r="O31" s="9">
        <f t="shared" si="2"/>
        <v>-25.3</v>
      </c>
      <c r="P31" s="8">
        <f>D26/B26*10^(O31/10)</f>
        <v>0.46235611217773342</v>
      </c>
      <c r="Q31" s="26"/>
      <c r="R31" s="17"/>
      <c r="S31" s="20"/>
      <c r="T31" s="17"/>
      <c r="U31" s="23"/>
    </row>
    <row r="32" spans="1:21" x14ac:dyDescent="0.25">
      <c r="A32" s="24">
        <v>8000</v>
      </c>
      <c r="B32" s="24">
        <v>3</v>
      </c>
      <c r="C32" s="17">
        <v>0.5</v>
      </c>
      <c r="D32" s="24">
        <v>943</v>
      </c>
      <c r="E32" s="24">
        <v>6</v>
      </c>
      <c r="F32" s="25">
        <v>54</v>
      </c>
      <c r="G32" s="1">
        <v>6025</v>
      </c>
      <c r="H32" s="2">
        <v>95</v>
      </c>
      <c r="I32" s="2">
        <v>-22.2</v>
      </c>
      <c r="J32" s="2">
        <v>-27.6</v>
      </c>
      <c r="K32" s="2">
        <f t="shared" si="0"/>
        <v>-22.2</v>
      </c>
      <c r="L32" s="8">
        <f t="shared" si="1"/>
        <v>1.905460717963237E-12</v>
      </c>
      <c r="M32" s="26">
        <f>SUM(L32:L37)</f>
        <v>3.2543624944586082E-11</v>
      </c>
      <c r="N32" s="17">
        <f>10*LOG10(M32/E32)</f>
        <v>-112.65685324224427</v>
      </c>
      <c r="O32" s="9">
        <f t="shared" si="2"/>
        <v>-27.6</v>
      </c>
      <c r="P32" s="8">
        <f>D32/B32*10^(O32/10)</f>
        <v>0.54624872717021966</v>
      </c>
      <c r="Q32" s="26">
        <f>SUM(P32:P37)</f>
        <v>3.2546548475330077</v>
      </c>
      <c r="R32" s="17">
        <f>10*LOG10(Q32)</f>
        <v>5.1250493890734568</v>
      </c>
      <c r="S32" s="18">
        <f>F32+N32-Kzt-H</f>
        <v>-58.656853242244267</v>
      </c>
      <c r="T32" s="17">
        <v>0.7</v>
      </c>
      <c r="U32" s="21">
        <f>T32*10^((S32-R32)/10)</f>
        <v>2.9302709315286993E-7</v>
      </c>
    </row>
    <row r="33" spans="1:21" x14ac:dyDescent="0.25">
      <c r="A33" s="24"/>
      <c r="B33" s="24"/>
      <c r="C33" s="17"/>
      <c r="D33" s="24"/>
      <c r="E33" s="24"/>
      <c r="F33" s="25"/>
      <c r="G33" s="1">
        <v>7025</v>
      </c>
      <c r="H33" s="2">
        <v>94.8</v>
      </c>
      <c r="I33" s="2">
        <v>-22.3</v>
      </c>
      <c r="J33" s="2">
        <v>-29.2</v>
      </c>
      <c r="K33" s="2">
        <f t="shared" si="0"/>
        <v>-22.3</v>
      </c>
      <c r="L33" s="8">
        <f t="shared" si="1"/>
        <v>1.9498445997580419E-12</v>
      </c>
      <c r="M33" s="26"/>
      <c r="N33" s="17"/>
      <c r="O33" s="9">
        <f t="shared" si="2"/>
        <v>-29.2</v>
      </c>
      <c r="P33" s="8">
        <f>D32/B32*10^(O33/10)</f>
        <v>0.37791178728140662</v>
      </c>
      <c r="Q33" s="26"/>
      <c r="R33" s="17"/>
      <c r="S33" s="19"/>
      <c r="T33" s="17"/>
      <c r="U33" s="22"/>
    </row>
    <row r="34" spans="1:21" x14ac:dyDescent="0.25">
      <c r="A34" s="24"/>
      <c r="B34" s="24"/>
      <c r="C34" s="17"/>
      <c r="D34" s="24"/>
      <c r="E34" s="24"/>
      <c r="F34" s="25"/>
      <c r="G34" s="1">
        <v>8025</v>
      </c>
      <c r="H34" s="2">
        <v>101.9</v>
      </c>
      <c r="I34" s="2">
        <v>-19.399999999999999</v>
      </c>
      <c r="J34" s="2">
        <v>-25.3</v>
      </c>
      <c r="K34" s="2">
        <f t="shared" si="0"/>
        <v>-19.399999999999999</v>
      </c>
      <c r="L34" s="8">
        <f t="shared" si="1"/>
        <v>7.4131024130091393E-13</v>
      </c>
      <c r="M34" s="26"/>
      <c r="N34" s="17"/>
      <c r="O34" s="9">
        <f t="shared" si="2"/>
        <v>-25.3</v>
      </c>
      <c r="P34" s="8">
        <f>D32/B32*10^(O34/10)</f>
        <v>0.92766343358213321</v>
      </c>
      <c r="Q34" s="26"/>
      <c r="R34" s="17"/>
      <c r="S34" s="19"/>
      <c r="T34" s="17"/>
      <c r="U34" s="22"/>
    </row>
    <row r="35" spans="1:21" x14ac:dyDescent="0.25">
      <c r="A35" s="24"/>
      <c r="B35" s="24"/>
      <c r="C35" s="17"/>
      <c r="D35" s="24"/>
      <c r="E35" s="24"/>
      <c r="F35" s="25"/>
      <c r="G35" s="1">
        <v>9025</v>
      </c>
      <c r="H35" s="2">
        <v>93.2</v>
      </c>
      <c r="I35" s="2">
        <v>-21.5</v>
      </c>
      <c r="J35" s="2">
        <v>-26.3</v>
      </c>
      <c r="K35" s="2">
        <f t="shared" si="0"/>
        <v>-21.5</v>
      </c>
      <c r="L35" s="8">
        <f t="shared" si="1"/>
        <v>3.3884415613920115E-12</v>
      </c>
      <c r="M35" s="26"/>
      <c r="N35" s="17"/>
      <c r="O35" s="9">
        <f t="shared" si="2"/>
        <v>-26.3</v>
      </c>
      <c r="P35" s="8">
        <f>D32/B32*10^(O35/10)</f>
        <v>0.73686925761556155</v>
      </c>
      <c r="Q35" s="26"/>
      <c r="R35" s="17"/>
      <c r="S35" s="19"/>
      <c r="T35" s="17"/>
      <c r="U35" s="22"/>
    </row>
    <row r="36" spans="1:21" x14ac:dyDescent="0.25">
      <c r="A36" s="24"/>
      <c r="B36" s="24"/>
      <c r="C36" s="17"/>
      <c r="D36" s="24"/>
      <c r="E36" s="24"/>
      <c r="F36" s="25"/>
      <c r="G36" s="1">
        <v>10025</v>
      </c>
      <c r="H36" s="2">
        <v>88.3</v>
      </c>
      <c r="I36" s="2">
        <v>-22.3</v>
      </c>
      <c r="J36" s="2">
        <v>-29.7</v>
      </c>
      <c r="K36" s="2">
        <f t="shared" si="0"/>
        <v>-22.3</v>
      </c>
      <c r="L36" s="8">
        <f t="shared" si="1"/>
        <v>8.7096358995607975E-12</v>
      </c>
      <c r="M36" s="26"/>
      <c r="N36" s="17"/>
      <c r="O36" s="9">
        <f t="shared" si="2"/>
        <v>-29.7</v>
      </c>
      <c r="P36" s="8">
        <f>D32/B32*10^(O36/10)</f>
        <v>0.33681423494635426</v>
      </c>
      <c r="Q36" s="26"/>
      <c r="R36" s="17"/>
      <c r="S36" s="19"/>
      <c r="T36" s="17"/>
      <c r="U36" s="22"/>
    </row>
    <row r="37" spans="1:21" x14ac:dyDescent="0.25">
      <c r="A37" s="24"/>
      <c r="B37" s="24"/>
      <c r="C37" s="17"/>
      <c r="D37" s="24"/>
      <c r="E37" s="24"/>
      <c r="F37" s="25"/>
      <c r="G37" s="1">
        <v>11025</v>
      </c>
      <c r="H37" s="2">
        <v>86</v>
      </c>
      <c r="I37" s="2">
        <v>-22</v>
      </c>
      <c r="J37" s="2">
        <v>-29.8</v>
      </c>
      <c r="K37" s="2">
        <f t="shared" si="0"/>
        <v>-22</v>
      </c>
      <c r="L37" s="8">
        <f t="shared" si="1"/>
        <v>1.5848931924611082E-11</v>
      </c>
      <c r="M37" s="26"/>
      <c r="N37" s="17"/>
      <c r="O37" s="9">
        <f t="shared" si="2"/>
        <v>-29.8</v>
      </c>
      <c r="P37" s="8">
        <f>D32/B32*10^(O37/10)</f>
        <v>0.32914740693733247</v>
      </c>
      <c r="Q37" s="26"/>
      <c r="R37" s="17"/>
      <c r="S37" s="20"/>
      <c r="T37" s="17"/>
      <c r="U37" s="23"/>
    </row>
    <row r="38" spans="1:21" x14ac:dyDescent="0.25">
      <c r="A38" s="24" t="s">
        <v>20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12">
        <f>U38</f>
        <v>5.9753882601053833E-2</v>
      </c>
      <c r="T38" s="2"/>
      <c r="U38" s="8">
        <f>0.8*SQRT(SUM(U4:U37))</f>
        <v>5.9753882601053833E-2</v>
      </c>
    </row>
    <row r="39" spans="1:21" x14ac:dyDescent="0.25">
      <c r="A39" s="27" t="s">
        <v>53</v>
      </c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9"/>
    </row>
    <row r="40" spans="1:21" x14ac:dyDescent="0.25">
      <c r="A40" s="24">
        <v>250</v>
      </c>
      <c r="B40" s="24">
        <v>3</v>
      </c>
      <c r="C40" s="17">
        <v>0.5</v>
      </c>
      <c r="D40" s="24">
        <v>38</v>
      </c>
      <c r="E40" s="24">
        <v>4</v>
      </c>
      <c r="F40" s="25">
        <v>84</v>
      </c>
      <c r="G40" s="1">
        <v>175</v>
      </c>
      <c r="H40" s="2">
        <v>84.8</v>
      </c>
      <c r="I40" s="2">
        <v>-22</v>
      </c>
      <c r="J40" s="2">
        <v>-30.5</v>
      </c>
      <c r="K40" s="2">
        <f>I40</f>
        <v>-22</v>
      </c>
      <c r="L40" s="8">
        <f>10^((K40-H40)/10)</f>
        <v>2.0892961308540373E-11</v>
      </c>
      <c r="M40" s="26">
        <f>SUM(L40:L43)</f>
        <v>3.9018833439788315E-11</v>
      </c>
      <c r="N40" s="17">
        <f>10*LOG10(M40/E40)</f>
        <v>-110.10785710334972</v>
      </c>
      <c r="O40" s="9">
        <f>J40</f>
        <v>-30.5</v>
      </c>
      <c r="P40" s="8">
        <f>D40/B40*10^(O40/10)</f>
        <v>1.1289178549694108E-2</v>
      </c>
      <c r="Q40" s="26">
        <f>SUM(P40:P43)</f>
        <v>0.10881605629408753</v>
      </c>
      <c r="R40" s="17">
        <f>10*LOG10(Q40)</f>
        <v>-9.6330701782316694</v>
      </c>
      <c r="S40" s="18">
        <f>F40+N40-Kzt-H</f>
        <v>-26.107857103349716</v>
      </c>
      <c r="T40" s="17">
        <v>0.2</v>
      </c>
      <c r="U40" s="21">
        <f>T40*10^((S40-R40)/10)</f>
        <v>4.5035117807362517E-3</v>
      </c>
    </row>
    <row r="41" spans="1:21" x14ac:dyDescent="0.25">
      <c r="A41" s="24"/>
      <c r="B41" s="24"/>
      <c r="C41" s="17"/>
      <c r="D41" s="24"/>
      <c r="E41" s="24"/>
      <c r="F41" s="25"/>
      <c r="G41" s="1">
        <v>225</v>
      </c>
      <c r="H41" s="2">
        <v>90</v>
      </c>
      <c r="I41" s="2">
        <v>-19.3</v>
      </c>
      <c r="J41" s="2">
        <v>-27.8</v>
      </c>
      <c r="K41" s="2">
        <f t="shared" ref="K41:K73" si="3">I41</f>
        <v>-19.3</v>
      </c>
      <c r="L41" s="8">
        <f t="shared" ref="L41:L42" si="4">10^((K41-H41)/10)</f>
        <v>1.1748975549395269E-11</v>
      </c>
      <c r="M41" s="26"/>
      <c r="N41" s="17"/>
      <c r="O41" s="9">
        <f t="shared" ref="O41:O73" si="5">J41</f>
        <v>-27.8</v>
      </c>
      <c r="P41" s="8">
        <f>D40/B40*10^(O41/10)</f>
        <v>2.1021434160875749E-2</v>
      </c>
      <c r="Q41" s="26"/>
      <c r="R41" s="17"/>
      <c r="S41" s="19"/>
      <c r="T41" s="17"/>
      <c r="U41" s="22"/>
    </row>
    <row r="42" spans="1:21" x14ac:dyDescent="0.25">
      <c r="A42" s="24"/>
      <c r="B42" s="24"/>
      <c r="C42" s="17"/>
      <c r="D42" s="24"/>
      <c r="E42" s="24"/>
      <c r="F42" s="25"/>
      <c r="G42" s="1">
        <v>275</v>
      </c>
      <c r="H42" s="2">
        <v>92.2</v>
      </c>
      <c r="I42" s="2">
        <v>-20.9</v>
      </c>
      <c r="J42" s="2">
        <v>-25.2</v>
      </c>
      <c r="K42" s="2">
        <f t="shared" si="3"/>
        <v>-20.9</v>
      </c>
      <c r="L42" s="8">
        <f t="shared" si="4"/>
        <v>4.8977881936844688E-12</v>
      </c>
      <c r="M42" s="26"/>
      <c r="N42" s="17"/>
      <c r="O42" s="9">
        <f t="shared" si="5"/>
        <v>-25.2</v>
      </c>
      <c r="P42" s="8">
        <f>D40/B40*10^(O42/10)</f>
        <v>3.8252721791758836E-2</v>
      </c>
      <c r="Q42" s="26"/>
      <c r="R42" s="17"/>
      <c r="S42" s="19"/>
      <c r="T42" s="17"/>
      <c r="U42" s="22"/>
    </row>
    <row r="43" spans="1:21" x14ac:dyDescent="0.25">
      <c r="A43" s="24"/>
      <c r="B43" s="24"/>
      <c r="C43" s="17"/>
      <c r="D43" s="24"/>
      <c r="E43" s="24"/>
      <c r="F43" s="25"/>
      <c r="G43" s="1">
        <v>325</v>
      </c>
      <c r="H43" s="2">
        <v>93.3</v>
      </c>
      <c r="I43" s="2">
        <v>-25</v>
      </c>
      <c r="J43" s="2">
        <v>-25.2</v>
      </c>
      <c r="K43" s="2">
        <f t="shared" si="3"/>
        <v>-25</v>
      </c>
      <c r="L43" s="8">
        <f>10^((K43-H43)/10)</f>
        <v>1.4791083881682012E-12</v>
      </c>
      <c r="M43" s="26"/>
      <c r="N43" s="17"/>
      <c r="O43" s="9">
        <f t="shared" si="5"/>
        <v>-25.2</v>
      </c>
      <c r="P43" s="8">
        <f>D40/B40*10^(O43/10)</f>
        <v>3.8252721791758836E-2</v>
      </c>
      <c r="Q43" s="26"/>
      <c r="R43" s="17"/>
      <c r="S43" s="20"/>
      <c r="T43" s="17"/>
      <c r="U43" s="23"/>
    </row>
    <row r="44" spans="1:21" x14ac:dyDescent="0.25">
      <c r="A44" s="24">
        <v>500</v>
      </c>
      <c r="B44" s="24">
        <v>3</v>
      </c>
      <c r="C44" s="17">
        <v>0.5</v>
      </c>
      <c r="D44" s="24">
        <v>59</v>
      </c>
      <c r="E44" s="24">
        <v>6</v>
      </c>
      <c r="F44" s="25">
        <v>84</v>
      </c>
      <c r="G44" s="1">
        <v>375</v>
      </c>
      <c r="H44" s="2">
        <v>91.9</v>
      </c>
      <c r="I44" s="2">
        <v>-25.6</v>
      </c>
      <c r="J44" s="2">
        <v>-26.4</v>
      </c>
      <c r="K44" s="2">
        <f t="shared" si="3"/>
        <v>-25.6</v>
      </c>
      <c r="L44" s="8">
        <f t="shared" ref="L44:L45" si="6">10^((K44-H44)/10)</f>
        <v>1.7782794100389204E-12</v>
      </c>
      <c r="M44" s="26">
        <f>SUM(L44:L49)</f>
        <v>4.2666818132012957E-11</v>
      </c>
      <c r="N44" s="17">
        <f>10*LOG10(M44/E44)</f>
        <v>-111.48060993726203</v>
      </c>
      <c r="O44" s="9">
        <f t="shared" si="5"/>
        <v>-26.4</v>
      </c>
      <c r="P44" s="8">
        <f>D44/B44*10^(O44/10)</f>
        <v>4.5053730504432885E-2</v>
      </c>
      <c r="Q44" s="26">
        <f>SUM(P44:P49)</f>
        <v>0.26372744159318129</v>
      </c>
      <c r="R44" s="17">
        <f>10*LOG10(Q44)</f>
        <v>-5.7884467827469344</v>
      </c>
      <c r="S44" s="18">
        <f>F44+N44-Kzt-H</f>
        <v>-27.480609937262031</v>
      </c>
      <c r="T44" s="17">
        <v>0.5</v>
      </c>
      <c r="U44" s="21">
        <f>T44*10^((S44-R44)/10)</f>
        <v>3.3865203438206669E-3</v>
      </c>
    </row>
    <row r="45" spans="1:21" x14ac:dyDescent="0.25">
      <c r="A45" s="24"/>
      <c r="B45" s="24"/>
      <c r="C45" s="17"/>
      <c r="D45" s="24"/>
      <c r="E45" s="24"/>
      <c r="F45" s="25"/>
      <c r="G45" s="1">
        <v>425</v>
      </c>
      <c r="H45" s="2">
        <v>88.1</v>
      </c>
      <c r="I45" s="2">
        <v>-18.3</v>
      </c>
      <c r="J45" s="2">
        <v>-25.3</v>
      </c>
      <c r="K45" s="2">
        <f t="shared" si="3"/>
        <v>-18.3</v>
      </c>
      <c r="L45" s="8">
        <f t="shared" si="6"/>
        <v>2.290867652767778E-11</v>
      </c>
      <c r="M45" s="26"/>
      <c r="N45" s="17"/>
      <c r="O45" s="9">
        <f t="shared" si="5"/>
        <v>-25.3</v>
      </c>
      <c r="P45" s="8">
        <f>D44/B44*10^(O45/10)</f>
        <v>5.8040448124438884E-2</v>
      </c>
      <c r="Q45" s="26"/>
      <c r="R45" s="17"/>
      <c r="S45" s="19"/>
      <c r="T45" s="17"/>
      <c r="U45" s="22"/>
    </row>
    <row r="46" spans="1:21" x14ac:dyDescent="0.25">
      <c r="A46" s="24"/>
      <c r="B46" s="24"/>
      <c r="C46" s="17"/>
      <c r="D46" s="24"/>
      <c r="E46" s="24"/>
      <c r="F46" s="25"/>
      <c r="G46" s="1">
        <v>475</v>
      </c>
      <c r="H46" s="2">
        <v>90</v>
      </c>
      <c r="I46" s="2">
        <v>-19.100000000000001</v>
      </c>
      <c r="J46" s="2">
        <v>-27.4</v>
      </c>
      <c r="K46" s="2">
        <f t="shared" si="3"/>
        <v>-19.100000000000001</v>
      </c>
      <c r="L46" s="8">
        <f>10^((K46-H46)/10)</f>
        <v>1.2302687708123787E-11</v>
      </c>
      <c r="M46" s="26"/>
      <c r="N46" s="17"/>
      <c r="O46" s="9">
        <f t="shared" si="5"/>
        <v>-27.4</v>
      </c>
      <c r="P46" s="8">
        <f>D44/B44*10^(O46/10)</f>
        <v>3.5787450219329664E-2</v>
      </c>
      <c r="Q46" s="26"/>
      <c r="R46" s="17"/>
      <c r="S46" s="19"/>
      <c r="T46" s="17"/>
      <c r="U46" s="22"/>
    </row>
    <row r="47" spans="1:21" x14ac:dyDescent="0.25">
      <c r="A47" s="24"/>
      <c r="B47" s="24"/>
      <c r="C47" s="17"/>
      <c r="D47" s="24"/>
      <c r="E47" s="24"/>
      <c r="F47" s="25"/>
      <c r="G47" s="1">
        <v>575</v>
      </c>
      <c r="H47" s="2">
        <v>97</v>
      </c>
      <c r="I47" s="2">
        <v>-24.5</v>
      </c>
      <c r="J47" s="2">
        <v>-26</v>
      </c>
      <c r="K47" s="2">
        <f t="shared" si="3"/>
        <v>-24.5</v>
      </c>
      <c r="L47" s="8">
        <f t="shared" ref="L47:L73" si="7">10^((K47-H47)/10)</f>
        <v>7.0794578438413455E-13</v>
      </c>
      <c r="M47" s="26"/>
      <c r="N47" s="17"/>
      <c r="O47" s="9">
        <f t="shared" si="5"/>
        <v>-26</v>
      </c>
      <c r="P47" s="8">
        <f>D44/B44*10^(O47/10)</f>
        <v>4.94004331530217E-2</v>
      </c>
      <c r="Q47" s="26"/>
      <c r="R47" s="17"/>
      <c r="S47" s="19"/>
      <c r="T47" s="17"/>
      <c r="U47" s="22"/>
    </row>
    <row r="48" spans="1:21" x14ac:dyDescent="0.25">
      <c r="A48" s="24"/>
      <c r="B48" s="24"/>
      <c r="C48" s="17"/>
      <c r="D48" s="24"/>
      <c r="E48" s="24"/>
      <c r="F48" s="25"/>
      <c r="G48" s="1">
        <v>625</v>
      </c>
      <c r="H48" s="2">
        <v>92</v>
      </c>
      <c r="I48" s="2">
        <v>-24.2</v>
      </c>
      <c r="J48" s="2">
        <v>-26.7</v>
      </c>
      <c r="K48" s="2">
        <f t="shared" si="3"/>
        <v>-24.2</v>
      </c>
      <c r="L48" s="8">
        <f t="shared" si="7"/>
        <v>2.3988329190194755E-12</v>
      </c>
      <c r="M48" s="26"/>
      <c r="N48" s="17"/>
      <c r="O48" s="9">
        <f t="shared" si="5"/>
        <v>-26.7</v>
      </c>
      <c r="P48" s="8">
        <f>D44/B44*10^(O48/10)</f>
        <v>4.2046587760210558E-2</v>
      </c>
      <c r="Q48" s="26"/>
      <c r="R48" s="17"/>
      <c r="S48" s="19"/>
      <c r="T48" s="17"/>
      <c r="U48" s="22"/>
    </row>
    <row r="49" spans="1:21" x14ac:dyDescent="0.25">
      <c r="A49" s="24"/>
      <c r="B49" s="24"/>
      <c r="C49" s="17"/>
      <c r="D49" s="24"/>
      <c r="E49" s="24"/>
      <c r="F49" s="25"/>
      <c r="G49" s="1">
        <v>675</v>
      </c>
      <c r="H49" s="2">
        <v>94.5</v>
      </c>
      <c r="I49" s="2">
        <v>-21.4</v>
      </c>
      <c r="J49" s="2">
        <v>-27.7</v>
      </c>
      <c r="K49" s="2">
        <f t="shared" si="3"/>
        <v>-21.4</v>
      </c>
      <c r="L49" s="8">
        <f t="shared" si="7"/>
        <v>2.5703957827688561E-12</v>
      </c>
      <c r="M49" s="26"/>
      <c r="N49" s="17"/>
      <c r="O49" s="9">
        <f t="shared" si="5"/>
        <v>-27.7</v>
      </c>
      <c r="P49" s="8">
        <f>D44/B44*10^(O49/10)</f>
        <v>3.3398791831747605E-2</v>
      </c>
      <c r="Q49" s="26"/>
      <c r="R49" s="17"/>
      <c r="S49" s="20"/>
      <c r="T49" s="17"/>
      <c r="U49" s="23"/>
    </row>
    <row r="50" spans="1:21" x14ac:dyDescent="0.25">
      <c r="A50" s="24">
        <v>1000</v>
      </c>
      <c r="B50" s="24">
        <v>3</v>
      </c>
      <c r="C50" s="17">
        <v>0.5</v>
      </c>
      <c r="D50" s="24">
        <v>117</v>
      </c>
      <c r="E50" s="24">
        <v>6</v>
      </c>
      <c r="F50" s="25">
        <v>76</v>
      </c>
      <c r="G50" s="1">
        <v>875</v>
      </c>
      <c r="H50" s="2">
        <v>91.1</v>
      </c>
      <c r="I50" s="2">
        <v>-24.5</v>
      </c>
      <c r="J50" s="2">
        <v>-24.7</v>
      </c>
      <c r="K50" s="2">
        <f t="shared" si="3"/>
        <v>-24.5</v>
      </c>
      <c r="L50" s="8">
        <f t="shared" si="7"/>
        <v>2.7542287033381671E-12</v>
      </c>
      <c r="M50" s="26">
        <f>SUM(L50:L55)</f>
        <v>5.9404012592161143E-12</v>
      </c>
      <c r="N50" s="17">
        <f>10*LOG10(M50/E50)</f>
        <v>-120.04335468907894</v>
      </c>
      <c r="O50" s="9">
        <f t="shared" si="5"/>
        <v>-24.7</v>
      </c>
      <c r="P50" s="8">
        <f>D50/B50*10^(O50/10)</f>
        <v>0.13214922089428893</v>
      </c>
      <c r="Q50" s="26">
        <f>SUM(P50:P55)</f>
        <v>0.50686523815985285</v>
      </c>
      <c r="R50" s="17">
        <f>10*LOG10(Q50)</f>
        <v>-2.9510749254663566</v>
      </c>
      <c r="S50" s="18">
        <f>F50+N50-Kzt-H</f>
        <v>-44.043354689078939</v>
      </c>
      <c r="T50" s="17">
        <v>0.8</v>
      </c>
      <c r="U50" s="21">
        <f>T50*10^((S50-R50)/10)</f>
        <v>6.2210259169864188E-5</v>
      </c>
    </row>
    <row r="51" spans="1:21" x14ac:dyDescent="0.25">
      <c r="A51" s="24"/>
      <c r="B51" s="24"/>
      <c r="C51" s="17"/>
      <c r="D51" s="24"/>
      <c r="E51" s="24"/>
      <c r="F51" s="25"/>
      <c r="G51" s="1">
        <v>975</v>
      </c>
      <c r="H51" s="2">
        <v>96.5</v>
      </c>
      <c r="I51" s="2">
        <v>-24</v>
      </c>
      <c r="J51" s="2">
        <v>-28.1</v>
      </c>
      <c r="K51" s="2">
        <f t="shared" si="3"/>
        <v>-24</v>
      </c>
      <c r="L51" s="8">
        <f t="shared" si="7"/>
        <v>8.9125093813374051E-13</v>
      </c>
      <c r="M51" s="26"/>
      <c r="N51" s="17"/>
      <c r="O51" s="9">
        <f t="shared" si="5"/>
        <v>-28.1</v>
      </c>
      <c r="P51" s="8">
        <f>D50/B50*10^(O51/10)</f>
        <v>6.040384813758673E-2</v>
      </c>
      <c r="Q51" s="26"/>
      <c r="R51" s="17"/>
      <c r="S51" s="19"/>
      <c r="T51" s="17"/>
      <c r="U51" s="22"/>
    </row>
    <row r="52" spans="1:21" x14ac:dyDescent="0.25">
      <c r="A52" s="24"/>
      <c r="B52" s="24"/>
      <c r="C52" s="17"/>
      <c r="D52" s="24"/>
      <c r="E52" s="24"/>
      <c r="F52" s="25"/>
      <c r="G52" s="1">
        <v>1075</v>
      </c>
      <c r="H52" s="2">
        <v>94.6</v>
      </c>
      <c r="I52" s="2">
        <v>-27.9</v>
      </c>
      <c r="J52" s="2">
        <v>-29.5</v>
      </c>
      <c r="K52" s="2">
        <f t="shared" si="3"/>
        <v>-27.9</v>
      </c>
      <c r="L52" s="8">
        <f t="shared" si="7"/>
        <v>5.6234132519034702E-13</v>
      </c>
      <c r="M52" s="26"/>
      <c r="N52" s="17"/>
      <c r="O52" s="9">
        <f t="shared" si="5"/>
        <v>-29.5</v>
      </c>
      <c r="P52" s="8">
        <f>D50/B50*10^(O52/10)</f>
        <v>4.3758719717776527E-2</v>
      </c>
      <c r="Q52" s="26"/>
      <c r="R52" s="17"/>
      <c r="S52" s="19"/>
      <c r="T52" s="17"/>
      <c r="U52" s="22"/>
    </row>
    <row r="53" spans="1:21" x14ac:dyDescent="0.25">
      <c r="A53" s="24"/>
      <c r="B53" s="24"/>
      <c r="C53" s="17"/>
      <c r="D53" s="24"/>
      <c r="E53" s="24"/>
      <c r="F53" s="25"/>
      <c r="G53" s="1">
        <v>1175</v>
      </c>
      <c r="H53" s="2">
        <v>97.8</v>
      </c>
      <c r="I53" s="2">
        <v>-21.6</v>
      </c>
      <c r="J53" s="2">
        <v>-23.6</v>
      </c>
      <c r="K53" s="2">
        <f t="shared" si="3"/>
        <v>-21.6</v>
      </c>
      <c r="L53" s="8">
        <f t="shared" si="7"/>
        <v>1.1481536214968749E-12</v>
      </c>
      <c r="M53" s="26"/>
      <c r="N53" s="17"/>
      <c r="O53" s="9">
        <f t="shared" si="5"/>
        <v>-23.6</v>
      </c>
      <c r="P53" s="8">
        <f>D50/B50*10^(O53/10)</f>
        <v>0.17024117457366447</v>
      </c>
      <c r="Q53" s="26"/>
      <c r="R53" s="17"/>
      <c r="S53" s="19"/>
      <c r="T53" s="17"/>
      <c r="U53" s="22"/>
    </row>
    <row r="54" spans="1:21" x14ac:dyDescent="0.25">
      <c r="A54" s="24"/>
      <c r="B54" s="24"/>
      <c r="C54" s="17"/>
      <c r="D54" s="24"/>
      <c r="E54" s="24"/>
      <c r="F54" s="25"/>
      <c r="G54" s="1">
        <v>1275</v>
      </c>
      <c r="H54" s="2">
        <v>100.1</v>
      </c>
      <c r="I54" s="2">
        <v>-23.5</v>
      </c>
      <c r="J54" s="2">
        <v>-29.9</v>
      </c>
      <c r="K54" s="2">
        <f t="shared" si="3"/>
        <v>-23.5</v>
      </c>
      <c r="L54" s="8">
        <f t="shared" si="7"/>
        <v>4.3651583224016479E-13</v>
      </c>
      <c r="M54" s="26"/>
      <c r="N54" s="17"/>
      <c r="O54" s="9">
        <f t="shared" si="5"/>
        <v>-29.9</v>
      </c>
      <c r="P54" s="8">
        <f>D50/B50*10^(O54/10)</f>
        <v>3.9908426698949416E-2</v>
      </c>
      <c r="Q54" s="26"/>
      <c r="R54" s="17"/>
      <c r="S54" s="19"/>
      <c r="T54" s="17"/>
      <c r="U54" s="22"/>
    </row>
    <row r="55" spans="1:21" x14ac:dyDescent="0.25">
      <c r="A55" s="24"/>
      <c r="B55" s="24"/>
      <c r="C55" s="17"/>
      <c r="D55" s="24"/>
      <c r="E55" s="24"/>
      <c r="F55" s="25"/>
      <c r="G55" s="1">
        <v>1375</v>
      </c>
      <c r="H55" s="2">
        <v>103</v>
      </c>
      <c r="I55" s="2">
        <v>-25.3</v>
      </c>
      <c r="J55" s="2">
        <v>-28.1</v>
      </c>
      <c r="K55" s="2">
        <f t="shared" si="3"/>
        <v>-25.3</v>
      </c>
      <c r="L55" s="8">
        <f t="shared" si="7"/>
        <v>1.4791083881681996E-13</v>
      </c>
      <c r="M55" s="26"/>
      <c r="N55" s="17"/>
      <c r="O55" s="9">
        <f t="shared" si="5"/>
        <v>-28.1</v>
      </c>
      <c r="P55" s="8">
        <f>D50/B50*10^(O55/10)</f>
        <v>6.040384813758673E-2</v>
      </c>
      <c r="Q55" s="26"/>
      <c r="R55" s="17"/>
      <c r="S55" s="20"/>
      <c r="T55" s="17"/>
      <c r="U55" s="23"/>
    </row>
    <row r="56" spans="1:21" x14ac:dyDescent="0.25">
      <c r="A56" s="24">
        <v>2000</v>
      </c>
      <c r="B56" s="24">
        <v>3</v>
      </c>
      <c r="C56" s="17">
        <v>0.5</v>
      </c>
      <c r="D56" s="24">
        <v>234</v>
      </c>
      <c r="E56" s="24">
        <v>6</v>
      </c>
      <c r="F56" s="25">
        <v>68</v>
      </c>
      <c r="G56" s="1">
        <v>1425</v>
      </c>
      <c r="H56" s="2">
        <v>102.8</v>
      </c>
      <c r="I56" s="2">
        <v>-23</v>
      </c>
      <c r="J56" s="2">
        <v>-25.7</v>
      </c>
      <c r="K56" s="2">
        <f t="shared" si="3"/>
        <v>-23</v>
      </c>
      <c r="L56" s="8">
        <f t="shared" si="7"/>
        <v>2.6302679918953709E-13</v>
      </c>
      <c r="M56" s="26">
        <f>SUM(L56:L61)</f>
        <v>1.7668942188249246E-12</v>
      </c>
      <c r="N56" s="17">
        <f>10*LOG10(M56/E56)</f>
        <v>-125.30940700625482</v>
      </c>
      <c r="O56" s="9">
        <f t="shared" si="5"/>
        <v>-25.7</v>
      </c>
      <c r="P56" s="8">
        <f>D56/B56*10^(O56/10)</f>
        <v>0.20993971470629935</v>
      </c>
      <c r="Q56" s="26">
        <f>SUM(P56:P61)</f>
        <v>0.92885341282635647</v>
      </c>
      <c r="R56" s="17">
        <f>10*LOG10(Q56)</f>
        <v>-0.32052818862959054</v>
      </c>
      <c r="S56" s="18">
        <f>F56+N56-Kzt-H</f>
        <v>-57.309407006254816</v>
      </c>
      <c r="T56" s="17">
        <v>1</v>
      </c>
      <c r="U56" s="21">
        <f>T56*10^((S56-R56)/10)</f>
        <v>2.0003782241859332E-6</v>
      </c>
    </row>
    <row r="57" spans="1:21" x14ac:dyDescent="0.25">
      <c r="A57" s="24"/>
      <c r="B57" s="24"/>
      <c r="C57" s="17"/>
      <c r="D57" s="24"/>
      <c r="E57" s="24"/>
      <c r="F57" s="25"/>
      <c r="G57" s="1">
        <v>1625</v>
      </c>
      <c r="H57" s="2">
        <v>104.1</v>
      </c>
      <c r="I57" s="2">
        <v>-22.9</v>
      </c>
      <c r="J57" s="2">
        <v>-27.5</v>
      </c>
      <c r="K57" s="2">
        <f t="shared" si="3"/>
        <v>-22.9</v>
      </c>
      <c r="L57" s="8">
        <f t="shared" si="7"/>
        <v>1.9952623149688807E-13</v>
      </c>
      <c r="M57" s="26"/>
      <c r="N57" s="17"/>
      <c r="O57" s="9">
        <f t="shared" si="5"/>
        <v>-27.5</v>
      </c>
      <c r="P57" s="8">
        <f>D56/B56*10^(O57/10)</f>
        <v>0.13870579398303595</v>
      </c>
      <c r="Q57" s="26"/>
      <c r="R57" s="17"/>
      <c r="S57" s="19"/>
      <c r="T57" s="17"/>
      <c r="U57" s="22"/>
    </row>
    <row r="58" spans="1:21" x14ac:dyDescent="0.25">
      <c r="A58" s="24"/>
      <c r="B58" s="24"/>
      <c r="C58" s="17"/>
      <c r="D58" s="24"/>
      <c r="E58" s="24"/>
      <c r="F58" s="25"/>
      <c r="G58" s="1">
        <v>1825</v>
      </c>
      <c r="H58" s="2">
        <v>107.6</v>
      </c>
      <c r="I58" s="2">
        <v>-25.3</v>
      </c>
      <c r="J58" s="2">
        <v>-27.3</v>
      </c>
      <c r="K58" s="2">
        <f t="shared" si="3"/>
        <v>-25.3</v>
      </c>
      <c r="L58" s="8">
        <f t="shared" si="7"/>
        <v>5.1286138399136257E-14</v>
      </c>
      <c r="M58" s="26"/>
      <c r="N58" s="17"/>
      <c r="O58" s="9">
        <f t="shared" si="5"/>
        <v>-27.3</v>
      </c>
      <c r="P58" s="8">
        <f>D56/B56*10^(O58/10)</f>
        <v>0.14524279665970358</v>
      </c>
      <c r="Q58" s="26"/>
      <c r="R58" s="17"/>
      <c r="S58" s="19"/>
      <c r="T58" s="17"/>
      <c r="U58" s="22"/>
    </row>
    <row r="59" spans="1:21" x14ac:dyDescent="0.25">
      <c r="A59" s="24"/>
      <c r="B59" s="24"/>
      <c r="C59" s="17"/>
      <c r="D59" s="24"/>
      <c r="E59" s="24"/>
      <c r="F59" s="25"/>
      <c r="G59" s="1">
        <v>2125</v>
      </c>
      <c r="H59" s="2">
        <v>104.2</v>
      </c>
      <c r="I59" s="2">
        <v>-26.4</v>
      </c>
      <c r="J59" s="2">
        <v>-26.9</v>
      </c>
      <c r="K59" s="2">
        <f t="shared" si="3"/>
        <v>-26.4</v>
      </c>
      <c r="L59" s="8">
        <f t="shared" si="7"/>
        <v>8.7096358995608097E-14</v>
      </c>
      <c r="M59" s="26"/>
      <c r="N59" s="17"/>
      <c r="O59" s="9">
        <f t="shared" si="5"/>
        <v>-26.9</v>
      </c>
      <c r="P59" s="8">
        <f>D56/B56*10^(O59/10)</f>
        <v>0.15925555968422328</v>
      </c>
      <c r="Q59" s="26"/>
      <c r="R59" s="17"/>
      <c r="S59" s="19"/>
      <c r="T59" s="17"/>
      <c r="U59" s="22"/>
    </row>
    <row r="60" spans="1:21" x14ac:dyDescent="0.25">
      <c r="A60" s="24"/>
      <c r="B60" s="24"/>
      <c r="C60" s="17"/>
      <c r="D60" s="24"/>
      <c r="E60" s="24"/>
      <c r="F60" s="25"/>
      <c r="G60" s="1">
        <v>2425</v>
      </c>
      <c r="H60" s="2">
        <v>93.7</v>
      </c>
      <c r="I60" s="2">
        <v>-26.3</v>
      </c>
      <c r="J60" s="2">
        <v>-27.1</v>
      </c>
      <c r="K60" s="2">
        <f t="shared" si="3"/>
        <v>-26.3</v>
      </c>
      <c r="L60" s="8">
        <f t="shared" si="7"/>
        <v>9.9999999999999998E-13</v>
      </c>
      <c r="M60" s="26"/>
      <c r="N60" s="17"/>
      <c r="O60" s="9">
        <f t="shared" si="5"/>
        <v>-27.1</v>
      </c>
      <c r="P60" s="8">
        <f>D56/B56*10^(O60/10)</f>
        <v>0.15208787878112745</v>
      </c>
      <c r="Q60" s="26"/>
      <c r="R60" s="17"/>
      <c r="S60" s="19"/>
      <c r="T60" s="17"/>
      <c r="U60" s="22"/>
    </row>
    <row r="61" spans="1:21" x14ac:dyDescent="0.25">
      <c r="A61" s="24"/>
      <c r="B61" s="24"/>
      <c r="C61" s="17"/>
      <c r="D61" s="24"/>
      <c r="E61" s="24"/>
      <c r="F61" s="25"/>
      <c r="G61" s="1">
        <v>2775</v>
      </c>
      <c r="H61" s="2">
        <v>100.2</v>
      </c>
      <c r="I61" s="2">
        <v>-27.6</v>
      </c>
      <c r="J61" s="2">
        <v>-28</v>
      </c>
      <c r="K61" s="2">
        <f t="shared" si="3"/>
        <v>-27.6</v>
      </c>
      <c r="L61" s="8">
        <f t="shared" si="7"/>
        <v>1.659586907437551E-13</v>
      </c>
      <c r="M61" s="26"/>
      <c r="N61" s="17"/>
      <c r="O61" s="9">
        <f t="shared" si="5"/>
        <v>-28</v>
      </c>
      <c r="P61" s="8">
        <f>D56/B56*10^(O61/10)</f>
        <v>0.12362166901196685</v>
      </c>
      <c r="Q61" s="26"/>
      <c r="R61" s="17"/>
      <c r="S61" s="20"/>
      <c r="T61" s="17"/>
      <c r="U61" s="23"/>
    </row>
    <row r="62" spans="1:21" x14ac:dyDescent="0.25">
      <c r="A62" s="24">
        <v>4000</v>
      </c>
      <c r="B62" s="24">
        <v>3</v>
      </c>
      <c r="C62" s="17">
        <v>0.5</v>
      </c>
      <c r="D62" s="24">
        <v>470</v>
      </c>
      <c r="E62" s="24">
        <v>6</v>
      </c>
      <c r="F62" s="25">
        <v>62</v>
      </c>
      <c r="G62" s="1">
        <v>2825</v>
      </c>
      <c r="H62" s="2">
        <v>99.4</v>
      </c>
      <c r="I62" s="2">
        <v>-22.9</v>
      </c>
      <c r="J62" s="2">
        <v>-23.6</v>
      </c>
      <c r="K62" s="2">
        <f t="shared" si="3"/>
        <v>-22.9</v>
      </c>
      <c r="L62" s="8">
        <f t="shared" si="7"/>
        <v>5.8884365535558666E-13</v>
      </c>
      <c r="M62" s="26">
        <f>SUM(L62:L67)</f>
        <v>1.9103981078351534E-12</v>
      </c>
      <c r="N62" s="17">
        <f>10*LOG10(M62/E62)</f>
        <v>-124.97027371083635</v>
      </c>
      <c r="O62" s="9">
        <f t="shared" si="5"/>
        <v>-23.6</v>
      </c>
      <c r="P62" s="8">
        <f>D62/B62*10^(O62/10)</f>
        <v>0.68387480384292565</v>
      </c>
      <c r="Q62" s="26">
        <f>SUM(P62:P67)</f>
        <v>2.1301147603517978</v>
      </c>
      <c r="R62" s="17">
        <f>10*LOG10(Q62)</f>
        <v>3.2840300176969488</v>
      </c>
      <c r="S62" s="18">
        <f>F62+N62-Kzt-H</f>
        <v>-62.970273710836352</v>
      </c>
      <c r="T62" s="17">
        <v>0.9</v>
      </c>
      <c r="U62" s="21">
        <f>T62*10^((S62-R62)/10)</f>
        <v>2.1321224182530458E-7</v>
      </c>
    </row>
    <row r="63" spans="1:21" x14ac:dyDescent="0.25">
      <c r="A63" s="24"/>
      <c r="B63" s="24"/>
      <c r="C63" s="17"/>
      <c r="D63" s="24"/>
      <c r="E63" s="24"/>
      <c r="F63" s="25"/>
      <c r="G63" s="1">
        <v>3425</v>
      </c>
      <c r="H63" s="2">
        <v>103.5</v>
      </c>
      <c r="I63" s="2">
        <v>-25.2</v>
      </c>
      <c r="J63" s="2">
        <v>-26.5</v>
      </c>
      <c r="K63" s="2">
        <f t="shared" si="3"/>
        <v>-25.2</v>
      </c>
      <c r="L63" s="8">
        <f t="shared" si="7"/>
        <v>1.3489628825916516E-13</v>
      </c>
      <c r="M63" s="26"/>
      <c r="N63" s="17"/>
      <c r="O63" s="9">
        <f t="shared" si="5"/>
        <v>-26.5</v>
      </c>
      <c r="P63" s="8">
        <f>D62/B62*10^(O63/10)</f>
        <v>0.35073297837570638</v>
      </c>
      <c r="Q63" s="26"/>
      <c r="R63" s="17"/>
      <c r="S63" s="19"/>
      <c r="T63" s="17"/>
      <c r="U63" s="22"/>
    </row>
    <row r="64" spans="1:21" x14ac:dyDescent="0.25">
      <c r="A64" s="24"/>
      <c r="B64" s="24"/>
      <c r="C64" s="17"/>
      <c r="D64" s="24"/>
      <c r="E64" s="24"/>
      <c r="F64" s="25"/>
      <c r="G64" s="1">
        <v>4025</v>
      </c>
      <c r="H64" s="2">
        <v>103.6</v>
      </c>
      <c r="I64" s="2">
        <v>-21.9</v>
      </c>
      <c r="J64" s="2">
        <v>-31</v>
      </c>
      <c r="K64" s="2">
        <f t="shared" si="3"/>
        <v>-21.9</v>
      </c>
      <c r="L64" s="8">
        <f t="shared" si="7"/>
        <v>2.8183829312644412E-13</v>
      </c>
      <c r="M64" s="26"/>
      <c r="N64" s="17"/>
      <c r="O64" s="9">
        <f t="shared" si="5"/>
        <v>-31</v>
      </c>
      <c r="P64" s="8">
        <f>D62/B62*10^(O64/10)</f>
        <v>0.12444475677347068</v>
      </c>
      <c r="Q64" s="26"/>
      <c r="R64" s="17"/>
      <c r="S64" s="19"/>
      <c r="T64" s="17"/>
      <c r="U64" s="22"/>
    </row>
    <row r="65" spans="1:21" x14ac:dyDescent="0.25">
      <c r="A65" s="24"/>
      <c r="B65" s="24"/>
      <c r="C65" s="17"/>
      <c r="D65" s="24"/>
      <c r="E65" s="24"/>
      <c r="F65" s="25"/>
      <c r="G65" s="1">
        <v>4625</v>
      </c>
      <c r="H65" s="2">
        <v>105.6</v>
      </c>
      <c r="I65" s="2">
        <v>-25</v>
      </c>
      <c r="J65" s="2">
        <v>-28.1</v>
      </c>
      <c r="K65" s="2">
        <f t="shared" si="3"/>
        <v>-25</v>
      </c>
      <c r="L65" s="8">
        <f t="shared" si="7"/>
        <v>8.7096358995608097E-14</v>
      </c>
      <c r="M65" s="26"/>
      <c r="N65" s="17"/>
      <c r="O65" s="9">
        <f t="shared" si="5"/>
        <v>-28.1</v>
      </c>
      <c r="P65" s="8">
        <f>D62/B62*10^(O65/10)</f>
        <v>0.24264793696295522</v>
      </c>
      <c r="Q65" s="26"/>
      <c r="R65" s="17"/>
      <c r="S65" s="19"/>
      <c r="T65" s="17"/>
      <c r="U65" s="22"/>
    </row>
    <row r="66" spans="1:21" x14ac:dyDescent="0.25">
      <c r="A66" s="24"/>
      <c r="B66" s="24"/>
      <c r="C66" s="17"/>
      <c r="D66" s="24"/>
      <c r="E66" s="24"/>
      <c r="F66" s="25"/>
      <c r="G66" s="1">
        <v>5225</v>
      </c>
      <c r="H66" s="2">
        <v>103.5</v>
      </c>
      <c r="I66" s="2">
        <v>-25.5</v>
      </c>
      <c r="J66" s="2">
        <v>-27.7</v>
      </c>
      <c r="K66" s="2">
        <f t="shared" si="3"/>
        <v>-25.5</v>
      </c>
      <c r="L66" s="8">
        <f t="shared" si="7"/>
        <v>1.2589254117941612E-13</v>
      </c>
      <c r="M66" s="26"/>
      <c r="N66" s="17"/>
      <c r="O66" s="9">
        <f t="shared" si="5"/>
        <v>-27.7</v>
      </c>
      <c r="P66" s="8">
        <f>D62/B62*10^(O66/10)</f>
        <v>0.26605817221900629</v>
      </c>
      <c r="Q66" s="26"/>
      <c r="R66" s="17"/>
      <c r="S66" s="19"/>
      <c r="T66" s="17"/>
      <c r="U66" s="22"/>
    </row>
    <row r="67" spans="1:21" x14ac:dyDescent="0.25">
      <c r="A67" s="24"/>
      <c r="B67" s="24"/>
      <c r="C67" s="17"/>
      <c r="D67" s="24"/>
      <c r="E67" s="24"/>
      <c r="F67" s="25"/>
      <c r="G67" s="1">
        <v>5625</v>
      </c>
      <c r="H67" s="2">
        <v>99.5</v>
      </c>
      <c r="I67" s="2">
        <v>-22.1</v>
      </c>
      <c r="J67" s="2">
        <v>-25.3</v>
      </c>
      <c r="K67" s="2">
        <f t="shared" si="3"/>
        <v>-22.1</v>
      </c>
      <c r="L67" s="8">
        <f t="shared" si="7"/>
        <v>6.9183097091893335E-13</v>
      </c>
      <c r="M67" s="26"/>
      <c r="N67" s="17"/>
      <c r="O67" s="9">
        <f t="shared" si="5"/>
        <v>-25.3</v>
      </c>
      <c r="P67" s="8">
        <f>D62/B62*10^(O67/10)</f>
        <v>0.46235611217773342</v>
      </c>
      <c r="Q67" s="26"/>
      <c r="R67" s="17"/>
      <c r="S67" s="20"/>
      <c r="T67" s="17"/>
      <c r="U67" s="23"/>
    </row>
    <row r="68" spans="1:21" x14ac:dyDescent="0.25">
      <c r="A68" s="24">
        <v>8000</v>
      </c>
      <c r="B68" s="24">
        <v>3</v>
      </c>
      <c r="C68" s="17">
        <v>0.5</v>
      </c>
      <c r="D68" s="24">
        <v>943</v>
      </c>
      <c r="E68" s="24">
        <v>6</v>
      </c>
      <c r="F68" s="25">
        <v>54</v>
      </c>
      <c r="G68" s="1">
        <v>6025</v>
      </c>
      <c r="H68" s="2">
        <v>95</v>
      </c>
      <c r="I68" s="2">
        <v>-22.3</v>
      </c>
      <c r="J68" s="2">
        <v>-30.8</v>
      </c>
      <c r="K68" s="2">
        <f t="shared" si="3"/>
        <v>-22.3</v>
      </c>
      <c r="L68" s="8">
        <f t="shared" si="7"/>
        <v>1.8620871366628578E-12</v>
      </c>
      <c r="M68" s="26">
        <f>SUM(L68:L73)</f>
        <v>2.7643908989329747E-11</v>
      </c>
      <c r="N68" s="17">
        <f>10*LOG10(M68/E68)</f>
        <v>-113.36551795890537</v>
      </c>
      <c r="O68" s="9">
        <f t="shared" si="5"/>
        <v>-30.8</v>
      </c>
      <c r="P68" s="8">
        <f>D68/B68*10^(O68/10)</f>
        <v>0.261451078716606</v>
      </c>
      <c r="Q68" s="26">
        <f>SUM(P68:P73)</f>
        <v>3.6784756631469389</v>
      </c>
      <c r="R68" s="17">
        <f>10*LOG10(Q68)</f>
        <v>5.6566788708887401</v>
      </c>
      <c r="S68" s="18">
        <f>F68+N68-Kzt-H</f>
        <v>-59.365517958905372</v>
      </c>
      <c r="T68" s="17">
        <v>0.7</v>
      </c>
      <c r="U68" s="21">
        <f>T68*10^((S68-R68)/10)</f>
        <v>2.2023095245629103E-7</v>
      </c>
    </row>
    <row r="69" spans="1:21" x14ac:dyDescent="0.25">
      <c r="A69" s="24"/>
      <c r="B69" s="24"/>
      <c r="C69" s="17"/>
      <c r="D69" s="24"/>
      <c r="E69" s="24"/>
      <c r="F69" s="25"/>
      <c r="G69" s="1">
        <v>7025</v>
      </c>
      <c r="H69" s="2">
        <v>94.8</v>
      </c>
      <c r="I69" s="2">
        <v>-22.3</v>
      </c>
      <c r="J69" s="2">
        <v>-27.1</v>
      </c>
      <c r="K69" s="2">
        <f t="shared" si="3"/>
        <v>-22.3</v>
      </c>
      <c r="L69" s="8">
        <f t="shared" si="7"/>
        <v>1.9498445997580419E-12</v>
      </c>
      <c r="M69" s="26"/>
      <c r="N69" s="17"/>
      <c r="O69" s="9">
        <f t="shared" si="5"/>
        <v>-27.1</v>
      </c>
      <c r="P69" s="8">
        <f>D68/B68*10^(O69/10)</f>
        <v>0.61290115252394517</v>
      </c>
      <c r="Q69" s="26"/>
      <c r="R69" s="17"/>
      <c r="S69" s="19"/>
      <c r="T69" s="17"/>
      <c r="U69" s="22"/>
    </row>
    <row r="70" spans="1:21" x14ac:dyDescent="0.25">
      <c r="A70" s="24"/>
      <c r="B70" s="24"/>
      <c r="C70" s="17"/>
      <c r="D70" s="24"/>
      <c r="E70" s="24"/>
      <c r="F70" s="25"/>
      <c r="G70" s="1">
        <v>8025</v>
      </c>
      <c r="H70" s="2">
        <v>101.9</v>
      </c>
      <c r="I70" s="2">
        <v>-25.1</v>
      </c>
      <c r="J70" s="2">
        <v>-26.4</v>
      </c>
      <c r="K70" s="2">
        <f t="shared" si="3"/>
        <v>-25.1</v>
      </c>
      <c r="L70" s="8">
        <f t="shared" si="7"/>
        <v>1.9952623149688807E-13</v>
      </c>
      <c r="M70" s="26"/>
      <c r="N70" s="17"/>
      <c r="O70" s="9">
        <f t="shared" si="5"/>
        <v>-26.4</v>
      </c>
      <c r="P70" s="8">
        <f>D68/B68*10^(O70/10)</f>
        <v>0.72009606552000349</v>
      </c>
      <c r="Q70" s="26"/>
      <c r="R70" s="17"/>
      <c r="S70" s="19"/>
      <c r="T70" s="17"/>
      <c r="U70" s="22"/>
    </row>
    <row r="71" spans="1:21" x14ac:dyDescent="0.25">
      <c r="A71" s="24"/>
      <c r="B71" s="24"/>
      <c r="C71" s="17"/>
      <c r="D71" s="24"/>
      <c r="E71" s="24"/>
      <c r="F71" s="25"/>
      <c r="G71" s="1">
        <v>9025</v>
      </c>
      <c r="H71" s="2">
        <v>93.2</v>
      </c>
      <c r="I71" s="2">
        <v>-22.3</v>
      </c>
      <c r="J71" s="2">
        <v>-25.6</v>
      </c>
      <c r="K71" s="2">
        <f t="shared" si="3"/>
        <v>-22.3</v>
      </c>
      <c r="L71" s="8">
        <f t="shared" si="7"/>
        <v>2.8183829312644444E-12</v>
      </c>
      <c r="M71" s="26"/>
      <c r="N71" s="17"/>
      <c r="O71" s="9">
        <f t="shared" si="5"/>
        <v>-25.6</v>
      </c>
      <c r="P71" s="8">
        <f>D68/B68*10^(O71/10)</f>
        <v>0.86574588908262984</v>
      </c>
      <c r="Q71" s="26"/>
      <c r="R71" s="17"/>
      <c r="S71" s="19"/>
      <c r="T71" s="17"/>
      <c r="U71" s="22"/>
    </row>
    <row r="72" spans="1:21" x14ac:dyDescent="0.25">
      <c r="A72" s="24"/>
      <c r="B72" s="24"/>
      <c r="C72" s="17"/>
      <c r="D72" s="24"/>
      <c r="E72" s="24"/>
      <c r="F72" s="25"/>
      <c r="G72" s="1">
        <v>10025</v>
      </c>
      <c r="H72" s="2">
        <v>88.3</v>
      </c>
      <c r="I72" s="2">
        <v>-20.8</v>
      </c>
      <c r="J72" s="2">
        <v>-26.7</v>
      </c>
      <c r="K72" s="2">
        <f t="shared" si="3"/>
        <v>-20.8</v>
      </c>
      <c r="L72" s="8">
        <f t="shared" si="7"/>
        <v>1.2302687708123787E-11</v>
      </c>
      <c r="M72" s="26"/>
      <c r="N72" s="17"/>
      <c r="O72" s="9">
        <f t="shared" si="5"/>
        <v>-26.7</v>
      </c>
      <c r="P72" s="8">
        <f>D68/B68*10^(O72/10)</f>
        <v>0.67203275013353481</v>
      </c>
      <c r="Q72" s="26"/>
      <c r="R72" s="17"/>
      <c r="S72" s="19"/>
      <c r="T72" s="17"/>
      <c r="U72" s="22"/>
    </row>
    <row r="73" spans="1:21" x14ac:dyDescent="0.25">
      <c r="A73" s="24"/>
      <c r="B73" s="24"/>
      <c r="C73" s="17"/>
      <c r="D73" s="24"/>
      <c r="E73" s="24"/>
      <c r="F73" s="25"/>
      <c r="G73" s="1">
        <v>11025</v>
      </c>
      <c r="H73" s="2">
        <v>86</v>
      </c>
      <c r="I73" s="2">
        <v>-24.7</v>
      </c>
      <c r="J73" s="2">
        <v>-27.6</v>
      </c>
      <c r="K73" s="2">
        <f t="shared" si="3"/>
        <v>-24.7</v>
      </c>
      <c r="L73" s="8">
        <f t="shared" si="7"/>
        <v>8.5113803820237273E-12</v>
      </c>
      <c r="M73" s="26"/>
      <c r="N73" s="17"/>
      <c r="O73" s="9">
        <f t="shared" si="5"/>
        <v>-27.6</v>
      </c>
      <c r="P73" s="8">
        <f>D68/B68*10^(O73/10)</f>
        <v>0.54624872717021966</v>
      </c>
      <c r="Q73" s="26"/>
      <c r="R73" s="17"/>
      <c r="S73" s="20"/>
      <c r="T73" s="17"/>
      <c r="U73" s="23"/>
    </row>
    <row r="74" spans="1:21" x14ac:dyDescent="0.25">
      <c r="A74" s="24" t="s">
        <v>20</v>
      </c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12">
        <f>U74</f>
        <v>7.1351193201606378E-2</v>
      </c>
      <c r="T74" s="2"/>
      <c r="U74" s="8">
        <f>0.8*SQRT(SUM(U40:U73))</f>
        <v>7.1351193201606378E-2</v>
      </c>
    </row>
    <row r="75" spans="1:21" x14ac:dyDescent="0.25">
      <c r="A75" s="27" t="s">
        <v>54</v>
      </c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9"/>
    </row>
    <row r="76" spans="1:21" x14ac:dyDescent="0.25">
      <c r="A76" s="24">
        <v>250</v>
      </c>
      <c r="B76" s="24">
        <v>3</v>
      </c>
      <c r="C76" s="17">
        <v>0.5</v>
      </c>
      <c r="D76" s="24">
        <v>38</v>
      </c>
      <c r="E76" s="24">
        <v>4</v>
      </c>
      <c r="F76" s="25">
        <v>84</v>
      </c>
      <c r="G76" s="1">
        <v>175</v>
      </c>
      <c r="H76" s="2">
        <v>84.8</v>
      </c>
      <c r="I76" s="2">
        <v>-24.8</v>
      </c>
      <c r="J76" s="2">
        <v>-27.9</v>
      </c>
      <c r="K76" s="2">
        <f>I76</f>
        <v>-24.8</v>
      </c>
      <c r="L76" s="8">
        <f>10^((K76-H76)/10)</f>
        <v>1.096478196143183E-11</v>
      </c>
      <c r="M76" s="26">
        <f>SUM(L76:L79)</f>
        <v>2.8610274326072803E-11</v>
      </c>
      <c r="N76" s="17">
        <f>10*LOG10(M76/E76)</f>
        <v>-111.45537969323871</v>
      </c>
      <c r="O76" s="9">
        <f>J76</f>
        <v>-27.9</v>
      </c>
      <c r="P76" s="8">
        <f>D76/B76*10^(O76/10)</f>
        <v>2.054292789987976E-2</v>
      </c>
      <c r="Q76" s="26">
        <f>SUM(P76:P79)</f>
        <v>0.13247728579320189</v>
      </c>
      <c r="R76" s="17">
        <f>10*LOG10(Q76)</f>
        <v>-8.7785857833327725</v>
      </c>
      <c r="S76" s="18">
        <f>F76+N76-Kzt-H</f>
        <v>-27.455379693238712</v>
      </c>
      <c r="T76" s="17">
        <v>0.2</v>
      </c>
      <c r="U76" s="21">
        <f>T76*10^((S76-R76)/10)</f>
        <v>2.7123804451131411E-3</v>
      </c>
    </row>
    <row r="77" spans="1:21" x14ac:dyDescent="0.25">
      <c r="A77" s="24"/>
      <c r="B77" s="24"/>
      <c r="C77" s="17"/>
      <c r="D77" s="24"/>
      <c r="E77" s="24"/>
      <c r="F77" s="25"/>
      <c r="G77" s="1">
        <v>225</v>
      </c>
      <c r="H77" s="2">
        <v>90</v>
      </c>
      <c r="I77" s="2">
        <v>-19.399999999999999</v>
      </c>
      <c r="J77" s="2">
        <v>-25.3</v>
      </c>
      <c r="K77" s="2">
        <f t="shared" ref="K77:K109" si="8">I77</f>
        <v>-19.399999999999999</v>
      </c>
      <c r="L77" s="8">
        <f t="shared" ref="L77:L78" si="9">10^((K77-H77)/10)</f>
        <v>1.1481536214968764E-11</v>
      </c>
      <c r="M77" s="26"/>
      <c r="N77" s="17"/>
      <c r="O77" s="9">
        <f t="shared" ref="O77:O109" si="10">J77</f>
        <v>-25.3</v>
      </c>
      <c r="P77" s="8">
        <f>D76/B76*10^(O77/10)</f>
        <v>3.7381983537774194E-2</v>
      </c>
      <c r="Q77" s="26"/>
      <c r="R77" s="17"/>
      <c r="S77" s="19"/>
      <c r="T77" s="17"/>
      <c r="U77" s="22"/>
    </row>
    <row r="78" spans="1:21" x14ac:dyDescent="0.25">
      <c r="A78" s="24"/>
      <c r="B78" s="24"/>
      <c r="C78" s="17"/>
      <c r="D78" s="24"/>
      <c r="E78" s="24"/>
      <c r="F78" s="25"/>
      <c r="G78" s="1">
        <v>275</v>
      </c>
      <c r="H78" s="2">
        <v>92.2</v>
      </c>
      <c r="I78" s="2">
        <v>-21.6</v>
      </c>
      <c r="J78" s="2">
        <v>-27</v>
      </c>
      <c r="K78" s="2">
        <f t="shared" si="8"/>
        <v>-21.6</v>
      </c>
      <c r="L78" s="8">
        <f t="shared" si="9"/>
        <v>4.1686938347033333E-12</v>
      </c>
      <c r="M78" s="26"/>
      <c r="N78" s="17"/>
      <c r="O78" s="9">
        <f t="shared" si="10"/>
        <v>-27</v>
      </c>
      <c r="P78" s="8">
        <f>D76/B76*10^(O78/10)</f>
        <v>2.5273322656272454E-2</v>
      </c>
      <c r="Q78" s="26"/>
      <c r="R78" s="17"/>
      <c r="S78" s="19"/>
      <c r="T78" s="17"/>
      <c r="U78" s="22"/>
    </row>
    <row r="79" spans="1:21" x14ac:dyDescent="0.25">
      <c r="A79" s="24"/>
      <c r="B79" s="24"/>
      <c r="C79" s="17"/>
      <c r="D79" s="24"/>
      <c r="E79" s="24"/>
      <c r="F79" s="25"/>
      <c r="G79" s="1">
        <v>325</v>
      </c>
      <c r="H79" s="2">
        <v>93.3</v>
      </c>
      <c r="I79" s="2">
        <v>-23.7</v>
      </c>
      <c r="J79" s="2">
        <v>-24.1</v>
      </c>
      <c r="K79" s="2">
        <f t="shared" si="8"/>
        <v>-23.7</v>
      </c>
      <c r="L79" s="8">
        <f>10^((K79-H79)/10)</f>
        <v>1.9952623149688759E-12</v>
      </c>
      <c r="M79" s="26"/>
      <c r="N79" s="17"/>
      <c r="O79" s="9">
        <f t="shared" si="10"/>
        <v>-24.1</v>
      </c>
      <c r="P79" s="8">
        <f>D76/B76*10^(O79/10)</f>
        <v>4.9279051699275496E-2</v>
      </c>
      <c r="Q79" s="26"/>
      <c r="R79" s="17"/>
      <c r="S79" s="20"/>
      <c r="T79" s="17"/>
      <c r="U79" s="23"/>
    </row>
    <row r="80" spans="1:21" x14ac:dyDescent="0.25">
      <c r="A80" s="24">
        <v>500</v>
      </c>
      <c r="B80" s="24">
        <v>3</v>
      </c>
      <c r="C80" s="17">
        <v>0.5</v>
      </c>
      <c r="D80" s="24">
        <v>59</v>
      </c>
      <c r="E80" s="24">
        <v>6</v>
      </c>
      <c r="F80" s="25">
        <v>84</v>
      </c>
      <c r="G80" s="1">
        <v>375</v>
      </c>
      <c r="H80" s="2">
        <v>91.9</v>
      </c>
      <c r="I80" s="2">
        <v>-23.4</v>
      </c>
      <c r="J80" s="2">
        <v>-27.2</v>
      </c>
      <c r="K80" s="2">
        <f t="shared" si="8"/>
        <v>-23.4</v>
      </c>
      <c r="L80" s="8">
        <f t="shared" ref="L80:L81" si="11">10^((K80-H80)/10)</f>
        <v>2.9512092266663754E-12</v>
      </c>
      <c r="M80" s="26">
        <f>SUM(L80:L85)</f>
        <v>3.428901452805592E-11</v>
      </c>
      <c r="N80" s="17">
        <f>10*LOG10(M80/E80)</f>
        <v>-112.4299624678452</v>
      </c>
      <c r="O80" s="9">
        <f t="shared" si="10"/>
        <v>-27.2</v>
      </c>
      <c r="P80" s="8">
        <f>D80/B80*10^(O80/10)</f>
        <v>3.7474060786610537E-2</v>
      </c>
      <c r="Q80" s="26">
        <f>SUM(P80:P85)</f>
        <v>0.26832246935899129</v>
      </c>
      <c r="R80" s="17">
        <f>10*LOG10(Q80)</f>
        <v>-5.7134295792802758</v>
      </c>
      <c r="S80" s="18">
        <f>F80+N80-Kzt-H</f>
        <v>-28.429962467845201</v>
      </c>
      <c r="T80" s="17">
        <v>0.5</v>
      </c>
      <c r="U80" s="21">
        <f>T80*10^((S80-R80)/10)</f>
        <v>2.6749564478833724E-3</v>
      </c>
    </row>
    <row r="81" spans="1:21" x14ac:dyDescent="0.25">
      <c r="A81" s="24"/>
      <c r="B81" s="24"/>
      <c r="C81" s="17"/>
      <c r="D81" s="24"/>
      <c r="E81" s="24"/>
      <c r="F81" s="25"/>
      <c r="G81" s="1">
        <v>425</v>
      </c>
      <c r="H81" s="2">
        <v>88.1</v>
      </c>
      <c r="I81" s="2">
        <v>-21.3</v>
      </c>
      <c r="J81" s="2">
        <v>-27.6</v>
      </c>
      <c r="K81" s="2">
        <f t="shared" si="8"/>
        <v>-21.3</v>
      </c>
      <c r="L81" s="8">
        <f t="shared" si="11"/>
        <v>1.1481536214968803E-11</v>
      </c>
      <c r="M81" s="26"/>
      <c r="N81" s="17"/>
      <c r="O81" s="9">
        <f t="shared" si="10"/>
        <v>-27.6</v>
      </c>
      <c r="P81" s="8">
        <f>D80/B80*10^(O81/10)</f>
        <v>3.4176749632071013E-2</v>
      </c>
      <c r="Q81" s="26"/>
      <c r="R81" s="17"/>
      <c r="S81" s="19"/>
      <c r="T81" s="17"/>
      <c r="U81" s="22"/>
    </row>
    <row r="82" spans="1:21" x14ac:dyDescent="0.25">
      <c r="A82" s="24"/>
      <c r="B82" s="24"/>
      <c r="C82" s="17"/>
      <c r="D82" s="24"/>
      <c r="E82" s="24"/>
      <c r="F82" s="25"/>
      <c r="G82" s="1">
        <v>475</v>
      </c>
      <c r="H82" s="2">
        <v>90</v>
      </c>
      <c r="I82" s="2">
        <v>-18.8</v>
      </c>
      <c r="J82" s="2">
        <v>-28.8</v>
      </c>
      <c r="K82" s="2">
        <f t="shared" si="8"/>
        <v>-18.8</v>
      </c>
      <c r="L82" s="8">
        <f>10^((K82-H82)/10)</f>
        <v>1.3182567385564083E-11</v>
      </c>
      <c r="M82" s="26"/>
      <c r="N82" s="17"/>
      <c r="O82" s="9">
        <f t="shared" si="10"/>
        <v>-28.8</v>
      </c>
      <c r="P82" s="8">
        <f>D80/B80*10^(O82/10)</f>
        <v>2.5925715858276008E-2</v>
      </c>
      <c r="Q82" s="26"/>
      <c r="R82" s="17"/>
      <c r="S82" s="19"/>
      <c r="T82" s="17"/>
      <c r="U82" s="22"/>
    </row>
    <row r="83" spans="1:21" x14ac:dyDescent="0.25">
      <c r="A83" s="24"/>
      <c r="B83" s="24"/>
      <c r="C83" s="17"/>
      <c r="D83" s="24"/>
      <c r="E83" s="24"/>
      <c r="F83" s="25"/>
      <c r="G83" s="1">
        <v>575</v>
      </c>
      <c r="H83" s="2">
        <v>97</v>
      </c>
      <c r="I83" s="2">
        <v>-24</v>
      </c>
      <c r="J83" s="2">
        <v>-25.8</v>
      </c>
      <c r="K83" s="2">
        <f t="shared" si="8"/>
        <v>-24</v>
      </c>
      <c r="L83" s="8">
        <f t="shared" ref="L83:L109" si="12">10^((K83-H83)/10)</f>
        <v>7.9432823472428024E-13</v>
      </c>
      <c r="M83" s="26"/>
      <c r="N83" s="17"/>
      <c r="O83" s="9">
        <f t="shared" si="10"/>
        <v>-25.8</v>
      </c>
      <c r="P83" s="8">
        <f>D80/B80*10^(O83/10)</f>
        <v>5.1728603840609129E-2</v>
      </c>
      <c r="Q83" s="26"/>
      <c r="R83" s="17"/>
      <c r="S83" s="19"/>
      <c r="T83" s="17"/>
      <c r="U83" s="22"/>
    </row>
    <row r="84" spans="1:21" x14ac:dyDescent="0.25">
      <c r="A84" s="24"/>
      <c r="B84" s="24"/>
      <c r="C84" s="17"/>
      <c r="D84" s="24"/>
      <c r="E84" s="24"/>
      <c r="F84" s="25"/>
      <c r="G84" s="1">
        <v>625</v>
      </c>
      <c r="H84" s="2">
        <v>92</v>
      </c>
      <c r="I84" s="2">
        <v>-21.5</v>
      </c>
      <c r="J84" s="2">
        <v>-23.5</v>
      </c>
      <c r="K84" s="2">
        <f t="shared" si="8"/>
        <v>-21.5</v>
      </c>
      <c r="L84" s="8">
        <f t="shared" si="12"/>
        <v>4.4668359215096234E-12</v>
      </c>
      <c r="M84" s="26"/>
      <c r="N84" s="17"/>
      <c r="O84" s="9">
        <f t="shared" si="10"/>
        <v>-23.5</v>
      </c>
      <c r="P84" s="8">
        <f>D80/B80*10^(O84/10)</f>
        <v>8.7847773123022693E-2</v>
      </c>
      <c r="Q84" s="26"/>
      <c r="R84" s="17"/>
      <c r="S84" s="19"/>
      <c r="T84" s="17"/>
      <c r="U84" s="22"/>
    </row>
    <row r="85" spans="1:21" x14ac:dyDescent="0.25">
      <c r="A85" s="24"/>
      <c r="B85" s="24"/>
      <c r="C85" s="17"/>
      <c r="D85" s="24"/>
      <c r="E85" s="24"/>
      <c r="F85" s="25"/>
      <c r="G85" s="1">
        <v>675</v>
      </c>
      <c r="H85" s="2">
        <v>94.5</v>
      </c>
      <c r="I85" s="2">
        <v>-24</v>
      </c>
      <c r="J85" s="2">
        <v>-28</v>
      </c>
      <c r="K85" s="2">
        <f t="shared" si="8"/>
        <v>-24</v>
      </c>
      <c r="L85" s="8">
        <f t="shared" si="12"/>
        <v>1.4125375446227535E-12</v>
      </c>
      <c r="M85" s="26"/>
      <c r="N85" s="17"/>
      <c r="O85" s="9">
        <f t="shared" si="10"/>
        <v>-28</v>
      </c>
      <c r="P85" s="8">
        <f>D80/B80*10^(O85/10)</f>
        <v>3.1169566118401899E-2</v>
      </c>
      <c r="Q85" s="26"/>
      <c r="R85" s="17"/>
      <c r="S85" s="20"/>
      <c r="T85" s="17"/>
      <c r="U85" s="23"/>
    </row>
    <row r="86" spans="1:21" x14ac:dyDescent="0.25">
      <c r="A86" s="24">
        <v>1000</v>
      </c>
      <c r="B86" s="24">
        <v>3</v>
      </c>
      <c r="C86" s="17">
        <v>0.5</v>
      </c>
      <c r="D86" s="24">
        <v>117</v>
      </c>
      <c r="E86" s="24">
        <v>6</v>
      </c>
      <c r="F86" s="25">
        <v>76</v>
      </c>
      <c r="G86" s="1">
        <v>875</v>
      </c>
      <c r="H86" s="2">
        <v>91.1</v>
      </c>
      <c r="I86" s="2">
        <v>-24.3</v>
      </c>
      <c r="J86" s="2">
        <v>-29.1</v>
      </c>
      <c r="K86" s="2">
        <f t="shared" si="8"/>
        <v>-24.3</v>
      </c>
      <c r="L86" s="8">
        <f t="shared" si="12"/>
        <v>2.884031503126606E-12</v>
      </c>
      <c r="M86" s="26">
        <f>SUM(L86:L91)</f>
        <v>6.9126665260048959E-12</v>
      </c>
      <c r="N86" s="17">
        <f>10*LOG10(M86/E86)</f>
        <v>-119.38505643799077</v>
      </c>
      <c r="O86" s="9">
        <f t="shared" si="10"/>
        <v>-29.1</v>
      </c>
      <c r="P86" s="8">
        <f>D86/B86*10^(O86/10)</f>
        <v>4.7980482061682851E-2</v>
      </c>
      <c r="Q86" s="26">
        <f>SUM(P86:P91)</f>
        <v>0.38293199695104579</v>
      </c>
      <c r="R86" s="17">
        <f>10*LOG10(Q86)</f>
        <v>-4.1687834344939496</v>
      </c>
      <c r="S86" s="18">
        <f>F86+N86-Kzt-H</f>
        <v>-43.385056437990769</v>
      </c>
      <c r="T86" s="17">
        <v>0.8</v>
      </c>
      <c r="U86" s="21">
        <f>T86*10^((S86-R86)/10)</f>
        <v>9.5821438569051805E-5</v>
      </c>
    </row>
    <row r="87" spans="1:21" x14ac:dyDescent="0.25">
      <c r="A87" s="24"/>
      <c r="B87" s="24"/>
      <c r="C87" s="17"/>
      <c r="D87" s="24"/>
      <c r="E87" s="24"/>
      <c r="F87" s="25"/>
      <c r="G87" s="1">
        <v>975</v>
      </c>
      <c r="H87" s="2">
        <v>96.5</v>
      </c>
      <c r="I87" s="2">
        <v>-21.9</v>
      </c>
      <c r="J87" s="2">
        <v>-29.3</v>
      </c>
      <c r="K87" s="2">
        <f t="shared" si="8"/>
        <v>-21.9</v>
      </c>
      <c r="L87" s="8">
        <f t="shared" si="12"/>
        <v>1.4454397707459267E-12</v>
      </c>
      <c r="M87" s="26"/>
      <c r="N87" s="17"/>
      <c r="O87" s="9">
        <f t="shared" si="10"/>
        <v>-29.3</v>
      </c>
      <c r="P87" s="8">
        <f>D86/B86*10^(O87/10)</f>
        <v>4.5821004642641591E-2</v>
      </c>
      <c r="Q87" s="26"/>
      <c r="R87" s="17"/>
      <c r="S87" s="19"/>
      <c r="T87" s="17"/>
      <c r="U87" s="22"/>
    </row>
    <row r="88" spans="1:21" x14ac:dyDescent="0.25">
      <c r="A88" s="24"/>
      <c r="B88" s="24"/>
      <c r="C88" s="17"/>
      <c r="D88" s="24"/>
      <c r="E88" s="24"/>
      <c r="F88" s="25"/>
      <c r="G88" s="1">
        <v>1075</v>
      </c>
      <c r="H88" s="2">
        <v>94.6</v>
      </c>
      <c r="I88" s="2">
        <v>-23.5</v>
      </c>
      <c r="J88" s="2">
        <v>-28.8</v>
      </c>
      <c r="K88" s="2">
        <f t="shared" si="8"/>
        <v>-23.5</v>
      </c>
      <c r="L88" s="8">
        <f t="shared" si="12"/>
        <v>1.5488166189124799E-12</v>
      </c>
      <c r="M88" s="26"/>
      <c r="N88" s="17"/>
      <c r="O88" s="9">
        <f t="shared" si="10"/>
        <v>-28.8</v>
      </c>
      <c r="P88" s="8">
        <f>D86/B86*10^(O88/10)</f>
        <v>5.1412012803699877E-2</v>
      </c>
      <c r="Q88" s="26"/>
      <c r="R88" s="17"/>
      <c r="S88" s="19"/>
      <c r="T88" s="17"/>
      <c r="U88" s="22"/>
    </row>
    <row r="89" spans="1:21" x14ac:dyDescent="0.25">
      <c r="A89" s="24"/>
      <c r="B89" s="24"/>
      <c r="C89" s="17"/>
      <c r="D89" s="24"/>
      <c r="E89" s="24"/>
      <c r="F89" s="25"/>
      <c r="G89" s="1">
        <v>1175</v>
      </c>
      <c r="H89" s="2">
        <v>97.8</v>
      </c>
      <c r="I89" s="2">
        <v>-26.8</v>
      </c>
      <c r="J89" s="2">
        <v>-26.8</v>
      </c>
      <c r="K89" s="2">
        <f t="shared" si="8"/>
        <v>-26.8</v>
      </c>
      <c r="L89" s="8">
        <f t="shared" si="12"/>
        <v>3.4673685045253105E-13</v>
      </c>
      <c r="M89" s="26"/>
      <c r="N89" s="17"/>
      <c r="O89" s="9">
        <f t="shared" si="10"/>
        <v>-26.8</v>
      </c>
      <c r="P89" s="8">
        <f>D86/B86*10^(O89/10)</f>
        <v>8.1482549103307447E-2</v>
      </c>
      <c r="Q89" s="26"/>
      <c r="R89" s="17"/>
      <c r="S89" s="19"/>
      <c r="T89" s="17"/>
      <c r="U89" s="22"/>
    </row>
    <row r="90" spans="1:21" x14ac:dyDescent="0.25">
      <c r="A90" s="24"/>
      <c r="B90" s="24"/>
      <c r="C90" s="17"/>
      <c r="D90" s="24"/>
      <c r="E90" s="24"/>
      <c r="F90" s="25"/>
      <c r="G90" s="1">
        <v>1275</v>
      </c>
      <c r="H90" s="2">
        <v>100.1</v>
      </c>
      <c r="I90" s="2">
        <v>-22.3</v>
      </c>
      <c r="J90" s="2">
        <v>-25.4</v>
      </c>
      <c r="K90" s="2">
        <f t="shared" si="8"/>
        <v>-22.3</v>
      </c>
      <c r="L90" s="8">
        <f t="shared" si="12"/>
        <v>5.7543993733715678E-13</v>
      </c>
      <c r="M90" s="26"/>
      <c r="N90" s="17"/>
      <c r="O90" s="9">
        <f t="shared" si="10"/>
        <v>-25.4</v>
      </c>
      <c r="P90" s="8">
        <f>D86/B86*10^(O90/10)</f>
        <v>0.11247722862193757</v>
      </c>
      <c r="Q90" s="26"/>
      <c r="R90" s="17"/>
      <c r="S90" s="19"/>
      <c r="T90" s="17"/>
      <c r="U90" s="22"/>
    </row>
    <row r="91" spans="1:21" x14ac:dyDescent="0.25">
      <c r="A91" s="24"/>
      <c r="B91" s="24"/>
      <c r="C91" s="17"/>
      <c r="D91" s="24"/>
      <c r="E91" s="24"/>
      <c r="F91" s="25"/>
      <c r="G91" s="1">
        <v>1375</v>
      </c>
      <c r="H91" s="2">
        <v>103</v>
      </c>
      <c r="I91" s="2">
        <v>-26.5</v>
      </c>
      <c r="J91" s="2">
        <v>-29.5</v>
      </c>
      <c r="K91" s="2">
        <f t="shared" si="8"/>
        <v>-26.5</v>
      </c>
      <c r="L91" s="8">
        <f t="shared" si="12"/>
        <v>1.1220184543019628E-13</v>
      </c>
      <c r="M91" s="26"/>
      <c r="N91" s="17"/>
      <c r="O91" s="9">
        <f t="shared" si="10"/>
        <v>-29.5</v>
      </c>
      <c r="P91" s="8">
        <f>D86/B86*10^(O91/10)</f>
        <v>4.3758719717776527E-2</v>
      </c>
      <c r="Q91" s="26"/>
      <c r="R91" s="17"/>
      <c r="S91" s="20"/>
      <c r="T91" s="17"/>
      <c r="U91" s="23"/>
    </row>
    <row r="92" spans="1:21" x14ac:dyDescent="0.25">
      <c r="A92" s="24">
        <v>2000</v>
      </c>
      <c r="B92" s="24">
        <v>3</v>
      </c>
      <c r="C92" s="17">
        <v>0.5</v>
      </c>
      <c r="D92" s="24">
        <v>234</v>
      </c>
      <c r="E92" s="24">
        <v>6</v>
      </c>
      <c r="F92" s="25">
        <v>68</v>
      </c>
      <c r="G92" s="1">
        <v>1425</v>
      </c>
      <c r="H92" s="2">
        <v>102.8</v>
      </c>
      <c r="I92" s="2">
        <v>-21.7</v>
      </c>
      <c r="J92" s="2">
        <v>-28.6</v>
      </c>
      <c r="K92" s="2">
        <f t="shared" si="8"/>
        <v>-21.7</v>
      </c>
      <c r="L92" s="8">
        <f t="shared" si="12"/>
        <v>3.5481338923357479E-13</v>
      </c>
      <c r="M92" s="26">
        <f>SUM(L92:L97)</f>
        <v>4.2314643010596279E-12</v>
      </c>
      <c r="N92" s="17">
        <f>10*LOG10(M92/E92)</f>
        <v>-121.51660569102222</v>
      </c>
      <c r="O92" s="9">
        <f t="shared" si="10"/>
        <v>-28.6</v>
      </c>
      <c r="P92" s="8">
        <f>D92/B92*10^(O92/10)</f>
        <v>0.10766997263902491</v>
      </c>
      <c r="Q92" s="26">
        <f>SUM(P92:P97)</f>
        <v>0.66411161358498405</v>
      </c>
      <c r="R92" s="17">
        <f>10*LOG10(Q92)</f>
        <v>-1.7775892501371926</v>
      </c>
      <c r="S92" s="18">
        <f>F92+N92-Kzt-H</f>
        <v>-53.516605691022221</v>
      </c>
      <c r="T92" s="17">
        <v>1</v>
      </c>
      <c r="U92" s="21">
        <f>T92*10^((S92-R92)/10)</f>
        <v>6.7003633727742906E-6</v>
      </c>
    </row>
    <row r="93" spans="1:21" x14ac:dyDescent="0.25">
      <c r="A93" s="24"/>
      <c r="B93" s="24"/>
      <c r="C93" s="17"/>
      <c r="D93" s="24"/>
      <c r="E93" s="24"/>
      <c r="F93" s="25"/>
      <c r="G93" s="1">
        <v>1625</v>
      </c>
      <c r="H93" s="2">
        <v>104.1</v>
      </c>
      <c r="I93" s="2">
        <v>-23</v>
      </c>
      <c r="J93" s="2">
        <v>-26</v>
      </c>
      <c r="K93" s="2">
        <f t="shared" si="8"/>
        <v>-23</v>
      </c>
      <c r="L93" s="8">
        <f t="shared" si="12"/>
        <v>1.9498445997580464E-13</v>
      </c>
      <c r="M93" s="26"/>
      <c r="N93" s="17"/>
      <c r="O93" s="9">
        <f t="shared" si="10"/>
        <v>-26</v>
      </c>
      <c r="P93" s="8">
        <f>D92/B92*10^(O93/10)</f>
        <v>0.19592714165774705</v>
      </c>
      <c r="Q93" s="26"/>
      <c r="R93" s="17"/>
      <c r="S93" s="19"/>
      <c r="T93" s="17"/>
      <c r="U93" s="22"/>
    </row>
    <row r="94" spans="1:21" x14ac:dyDescent="0.25">
      <c r="A94" s="24"/>
      <c r="B94" s="24"/>
      <c r="C94" s="17"/>
      <c r="D94" s="24"/>
      <c r="E94" s="24"/>
      <c r="F94" s="25"/>
      <c r="G94" s="1">
        <v>1825</v>
      </c>
      <c r="H94" s="2">
        <v>107.6</v>
      </c>
      <c r="I94" s="2">
        <v>-24.8</v>
      </c>
      <c r="J94" s="2">
        <v>-30.7</v>
      </c>
      <c r="K94" s="2">
        <f t="shared" si="8"/>
        <v>-24.8</v>
      </c>
      <c r="L94" s="8">
        <f t="shared" si="12"/>
        <v>5.7543993733715408E-14</v>
      </c>
      <c r="M94" s="26"/>
      <c r="N94" s="17"/>
      <c r="O94" s="9">
        <f t="shared" si="10"/>
        <v>-30.7</v>
      </c>
      <c r="P94" s="8">
        <f>D92/B92*10^(O94/10)</f>
        <v>6.6388766979785366E-2</v>
      </c>
      <c r="Q94" s="26"/>
      <c r="R94" s="17"/>
      <c r="S94" s="19"/>
      <c r="T94" s="17"/>
      <c r="U94" s="22"/>
    </row>
    <row r="95" spans="1:21" x14ac:dyDescent="0.25">
      <c r="A95" s="24"/>
      <c r="B95" s="24"/>
      <c r="C95" s="17"/>
      <c r="D95" s="24"/>
      <c r="E95" s="24"/>
      <c r="F95" s="25"/>
      <c r="G95" s="1">
        <v>2125</v>
      </c>
      <c r="H95" s="2">
        <v>104.2</v>
      </c>
      <c r="I95" s="2">
        <v>-22.8</v>
      </c>
      <c r="J95" s="2">
        <v>-29.8</v>
      </c>
      <c r="K95" s="2">
        <f t="shared" si="8"/>
        <v>-22.8</v>
      </c>
      <c r="L95" s="8">
        <f t="shared" si="12"/>
        <v>1.9952623149688807E-13</v>
      </c>
      <c r="M95" s="26"/>
      <c r="N95" s="17"/>
      <c r="O95" s="9">
        <f t="shared" si="10"/>
        <v>-29.8</v>
      </c>
      <c r="P95" s="8">
        <f>D92/B92*10^(O95/10)</f>
        <v>8.1676026747970101E-2</v>
      </c>
      <c r="Q95" s="26"/>
      <c r="R95" s="17"/>
      <c r="S95" s="19"/>
      <c r="T95" s="17"/>
      <c r="U95" s="22"/>
    </row>
    <row r="96" spans="1:21" x14ac:dyDescent="0.25">
      <c r="A96" s="24"/>
      <c r="B96" s="24"/>
      <c r="C96" s="17"/>
      <c r="D96" s="24"/>
      <c r="E96" s="24"/>
      <c r="F96" s="25"/>
      <c r="G96" s="1">
        <v>2425</v>
      </c>
      <c r="H96" s="2">
        <v>93.7</v>
      </c>
      <c r="I96" s="2">
        <v>-22.1</v>
      </c>
      <c r="J96" s="2">
        <v>-28.1</v>
      </c>
      <c r="K96" s="2">
        <f t="shared" si="8"/>
        <v>-22.1</v>
      </c>
      <c r="L96" s="8">
        <f t="shared" si="12"/>
        <v>2.6302679918953646E-12</v>
      </c>
      <c r="M96" s="26"/>
      <c r="N96" s="17"/>
      <c r="O96" s="9">
        <f t="shared" si="10"/>
        <v>-28.1</v>
      </c>
      <c r="P96" s="8">
        <f>D92/B92*10^(O96/10)</f>
        <v>0.12080769627517346</v>
      </c>
      <c r="Q96" s="26"/>
      <c r="R96" s="17"/>
      <c r="S96" s="19"/>
      <c r="T96" s="17"/>
      <c r="U96" s="22"/>
    </row>
    <row r="97" spans="1:21" x14ac:dyDescent="0.25">
      <c r="A97" s="24"/>
      <c r="B97" s="24"/>
      <c r="C97" s="17"/>
      <c r="D97" s="24"/>
      <c r="E97" s="24"/>
      <c r="F97" s="25"/>
      <c r="G97" s="1">
        <v>2775</v>
      </c>
      <c r="H97" s="2">
        <v>100.2</v>
      </c>
      <c r="I97" s="2">
        <v>-20.8</v>
      </c>
      <c r="J97" s="2">
        <v>-29.3</v>
      </c>
      <c r="K97" s="2">
        <f t="shared" si="8"/>
        <v>-20.8</v>
      </c>
      <c r="L97" s="8">
        <f t="shared" si="12"/>
        <v>7.9432823472428024E-13</v>
      </c>
      <c r="M97" s="26"/>
      <c r="N97" s="17"/>
      <c r="O97" s="9">
        <f t="shared" si="10"/>
        <v>-29.3</v>
      </c>
      <c r="P97" s="8">
        <f>D92/B92*10^(O97/10)</f>
        <v>9.1642009285283182E-2</v>
      </c>
      <c r="Q97" s="26"/>
      <c r="R97" s="17"/>
      <c r="S97" s="20"/>
      <c r="T97" s="17"/>
      <c r="U97" s="23"/>
    </row>
    <row r="98" spans="1:21" x14ac:dyDescent="0.25">
      <c r="A98" s="24">
        <v>4000</v>
      </c>
      <c r="B98" s="24">
        <v>3</v>
      </c>
      <c r="C98" s="17">
        <v>0.5</v>
      </c>
      <c r="D98" s="24">
        <v>470</v>
      </c>
      <c r="E98" s="24">
        <v>6</v>
      </c>
      <c r="F98" s="25">
        <v>62</v>
      </c>
      <c r="G98" s="1">
        <v>2825</v>
      </c>
      <c r="H98" s="2">
        <v>99.4</v>
      </c>
      <c r="I98" s="2">
        <v>-25.2</v>
      </c>
      <c r="J98" s="2">
        <v>-26</v>
      </c>
      <c r="K98" s="2">
        <f t="shared" si="8"/>
        <v>-25.2</v>
      </c>
      <c r="L98" s="8">
        <f t="shared" si="12"/>
        <v>3.4673685045252984E-13</v>
      </c>
      <c r="M98" s="26">
        <f>SUM(L98:L103)</f>
        <v>2.5313986167721624E-12</v>
      </c>
      <c r="N98" s="17">
        <f>10*LOG10(M98/E98)</f>
        <v>-123.7479071192885</v>
      </c>
      <c r="O98" s="9">
        <f t="shared" si="10"/>
        <v>-26</v>
      </c>
      <c r="P98" s="8">
        <f>D98/B98*10^(O98/10)</f>
        <v>0.39352887426983379</v>
      </c>
      <c r="Q98" s="26">
        <f>SUM(P98:P103)</f>
        <v>1.6379292356859649</v>
      </c>
      <c r="R98" s="17">
        <f>10*LOG10(Q98)</f>
        <v>2.1429513477789857</v>
      </c>
      <c r="S98" s="18">
        <f>F98+N98-Kzt-H</f>
        <v>-61.747907119288499</v>
      </c>
      <c r="T98" s="17">
        <v>0.9</v>
      </c>
      <c r="U98" s="21">
        <f>T98*10^((S98-R98)/10)</f>
        <v>3.6741481387449378E-7</v>
      </c>
    </row>
    <row r="99" spans="1:21" x14ac:dyDescent="0.25">
      <c r="A99" s="24"/>
      <c r="B99" s="24"/>
      <c r="C99" s="17"/>
      <c r="D99" s="24"/>
      <c r="E99" s="24"/>
      <c r="F99" s="25"/>
      <c r="G99" s="1">
        <v>3425</v>
      </c>
      <c r="H99" s="2">
        <v>103.5</v>
      </c>
      <c r="I99" s="2">
        <v>-25.8</v>
      </c>
      <c r="J99" s="2">
        <v>-28.9</v>
      </c>
      <c r="K99" s="2">
        <f t="shared" si="8"/>
        <v>-25.8</v>
      </c>
      <c r="L99" s="8">
        <f t="shared" si="12"/>
        <v>1.1748975549395202E-13</v>
      </c>
      <c r="M99" s="26"/>
      <c r="N99" s="17"/>
      <c r="O99" s="9">
        <f t="shared" si="10"/>
        <v>-28.9</v>
      </c>
      <c r="P99" s="8">
        <f>D98/B98*10^(O99/10)</f>
        <v>0.20182576309859099</v>
      </c>
      <c r="Q99" s="26"/>
      <c r="R99" s="17"/>
      <c r="S99" s="19"/>
      <c r="T99" s="17"/>
      <c r="U99" s="22"/>
    </row>
    <row r="100" spans="1:21" x14ac:dyDescent="0.25">
      <c r="A100" s="24"/>
      <c r="B100" s="24"/>
      <c r="C100" s="17"/>
      <c r="D100" s="24"/>
      <c r="E100" s="24"/>
      <c r="F100" s="25"/>
      <c r="G100" s="1">
        <v>4025</v>
      </c>
      <c r="H100" s="2">
        <v>103.6</v>
      </c>
      <c r="I100" s="2">
        <v>-26.1</v>
      </c>
      <c r="J100" s="2">
        <v>-26.2</v>
      </c>
      <c r="K100" s="2">
        <f t="shared" si="8"/>
        <v>-26.1</v>
      </c>
      <c r="L100" s="8">
        <f t="shared" si="12"/>
        <v>1.071519305237606E-13</v>
      </c>
      <c r="M100" s="26"/>
      <c r="N100" s="17"/>
      <c r="O100" s="9">
        <f t="shared" si="10"/>
        <v>-26.2</v>
      </c>
      <c r="P100" s="8">
        <f>D98/B98*10^(O100/10)</f>
        <v>0.37581715731305321</v>
      </c>
      <c r="Q100" s="26"/>
      <c r="R100" s="17"/>
      <c r="S100" s="19"/>
      <c r="T100" s="17"/>
      <c r="U100" s="22"/>
    </row>
    <row r="101" spans="1:21" x14ac:dyDescent="0.25">
      <c r="A101" s="24"/>
      <c r="B101" s="24"/>
      <c r="C101" s="17"/>
      <c r="D101" s="24"/>
      <c r="E101" s="24"/>
      <c r="F101" s="25"/>
      <c r="G101" s="1">
        <v>4625</v>
      </c>
      <c r="H101" s="2">
        <v>105.6</v>
      </c>
      <c r="I101" s="2">
        <v>-20.9</v>
      </c>
      <c r="J101" s="2">
        <v>-27.1</v>
      </c>
      <c r="K101" s="2">
        <f t="shared" si="8"/>
        <v>-20.9</v>
      </c>
      <c r="L101" s="8">
        <f t="shared" si="12"/>
        <v>2.238721138568332E-13</v>
      </c>
      <c r="M101" s="26"/>
      <c r="N101" s="17"/>
      <c r="O101" s="9">
        <f t="shared" si="10"/>
        <v>-27.1</v>
      </c>
      <c r="P101" s="8">
        <f>D98/B98*10^(O101/10)</f>
        <v>0.30547565396209353</v>
      </c>
      <c r="Q101" s="26"/>
      <c r="R101" s="17"/>
      <c r="S101" s="19"/>
      <c r="T101" s="17"/>
      <c r="U101" s="22"/>
    </row>
    <row r="102" spans="1:21" x14ac:dyDescent="0.25">
      <c r="A102" s="24"/>
      <c r="B102" s="24"/>
      <c r="C102" s="17"/>
      <c r="D102" s="24"/>
      <c r="E102" s="24"/>
      <c r="F102" s="25"/>
      <c r="G102" s="1">
        <v>5225</v>
      </c>
      <c r="H102" s="2">
        <v>103.5</v>
      </c>
      <c r="I102" s="2">
        <v>-22.4</v>
      </c>
      <c r="J102" s="2">
        <v>-29</v>
      </c>
      <c r="K102" s="2">
        <f t="shared" si="8"/>
        <v>-22.4</v>
      </c>
      <c r="L102" s="8">
        <f t="shared" si="12"/>
        <v>2.5703957827688533E-13</v>
      </c>
      <c r="M102" s="26"/>
      <c r="N102" s="17"/>
      <c r="O102" s="9">
        <f t="shared" si="10"/>
        <v>-29</v>
      </c>
      <c r="P102" s="8">
        <f>D98/B98*10^(O102/10)</f>
        <v>0.19723164784775268</v>
      </c>
      <c r="Q102" s="26"/>
      <c r="R102" s="17"/>
      <c r="S102" s="19"/>
      <c r="T102" s="17"/>
      <c r="U102" s="22"/>
    </row>
    <row r="103" spans="1:21" x14ac:dyDescent="0.25">
      <c r="A103" s="24"/>
      <c r="B103" s="24"/>
      <c r="C103" s="17"/>
      <c r="D103" s="24"/>
      <c r="E103" s="24"/>
      <c r="F103" s="25"/>
      <c r="G103" s="1">
        <v>5625</v>
      </c>
      <c r="H103" s="2">
        <v>99.5</v>
      </c>
      <c r="I103" s="2">
        <v>-18.8</v>
      </c>
      <c r="J103" s="2">
        <v>-29.8</v>
      </c>
      <c r="K103" s="2">
        <f t="shared" si="8"/>
        <v>-18.8</v>
      </c>
      <c r="L103" s="8">
        <f t="shared" si="12"/>
        <v>1.4791083881682012E-12</v>
      </c>
      <c r="M103" s="26"/>
      <c r="N103" s="17"/>
      <c r="O103" s="9">
        <f t="shared" si="10"/>
        <v>-29.8</v>
      </c>
      <c r="P103" s="8">
        <f>D98/B98*10^(O103/10)</f>
        <v>0.16405013919464079</v>
      </c>
      <c r="Q103" s="26"/>
      <c r="R103" s="17"/>
      <c r="S103" s="20"/>
      <c r="T103" s="17"/>
      <c r="U103" s="23"/>
    </row>
    <row r="104" spans="1:21" x14ac:dyDescent="0.25">
      <c r="A104" s="24">
        <v>8000</v>
      </c>
      <c r="B104" s="24">
        <v>3</v>
      </c>
      <c r="C104" s="17">
        <v>0.5</v>
      </c>
      <c r="D104" s="24">
        <v>943</v>
      </c>
      <c r="E104" s="24">
        <v>6</v>
      </c>
      <c r="F104" s="25">
        <v>54</v>
      </c>
      <c r="G104" s="1">
        <v>6025</v>
      </c>
      <c r="H104" s="2">
        <v>95</v>
      </c>
      <c r="I104" s="2">
        <v>-23.3</v>
      </c>
      <c r="J104" s="2">
        <v>-26.4</v>
      </c>
      <c r="K104" s="2">
        <f t="shared" si="8"/>
        <v>-23.3</v>
      </c>
      <c r="L104" s="8">
        <f t="shared" si="12"/>
        <v>1.4791083881682012E-12</v>
      </c>
      <c r="M104" s="26">
        <f>SUM(L104:L109)</f>
        <v>2.0519087076660075E-11</v>
      </c>
      <c r="N104" s="17">
        <f>10*LOG10(M104/E104)</f>
        <v>-114.65993215892632</v>
      </c>
      <c r="O104" s="9">
        <f t="shared" si="10"/>
        <v>-26.4</v>
      </c>
      <c r="P104" s="8">
        <f>D104/B104*10^(O104/10)</f>
        <v>0.72009606552000349</v>
      </c>
      <c r="Q104" s="26">
        <f>SUM(P104:P109)</f>
        <v>2.747466000919081</v>
      </c>
      <c r="R104" s="17">
        <f>10*LOG10(Q104)</f>
        <v>4.3893232686273738</v>
      </c>
      <c r="S104" s="18">
        <f>F104+N104-Kzt-H</f>
        <v>-60.659932158926324</v>
      </c>
      <c r="T104" s="17">
        <v>0.7</v>
      </c>
      <c r="U104" s="21">
        <f>T104*10^((S104-R104)/10)</f>
        <v>2.1886307527438626E-7</v>
      </c>
    </row>
    <row r="105" spans="1:21" x14ac:dyDescent="0.25">
      <c r="A105" s="24"/>
      <c r="B105" s="24"/>
      <c r="C105" s="17"/>
      <c r="D105" s="24"/>
      <c r="E105" s="24"/>
      <c r="F105" s="25"/>
      <c r="G105" s="1">
        <v>7025</v>
      </c>
      <c r="H105" s="2">
        <v>94.8</v>
      </c>
      <c r="I105" s="2">
        <v>-20.7</v>
      </c>
      <c r="J105" s="2">
        <v>-28.4</v>
      </c>
      <c r="K105" s="2">
        <f t="shared" si="8"/>
        <v>-20.7</v>
      </c>
      <c r="L105" s="8">
        <f t="shared" si="12"/>
        <v>2.8183829312644444E-12</v>
      </c>
      <c r="M105" s="26"/>
      <c r="N105" s="17"/>
      <c r="O105" s="9">
        <f t="shared" si="10"/>
        <v>-28.4</v>
      </c>
      <c r="P105" s="8">
        <f>D104/B104*10^(O105/10)</f>
        <v>0.45434990127113639</v>
      </c>
      <c r="Q105" s="26"/>
      <c r="R105" s="17"/>
      <c r="S105" s="19"/>
      <c r="T105" s="17"/>
      <c r="U105" s="22"/>
    </row>
    <row r="106" spans="1:21" x14ac:dyDescent="0.25">
      <c r="A106" s="24"/>
      <c r="B106" s="24"/>
      <c r="C106" s="17"/>
      <c r="D106" s="24"/>
      <c r="E106" s="24"/>
      <c r="F106" s="25"/>
      <c r="G106" s="1">
        <v>8025</v>
      </c>
      <c r="H106" s="2">
        <v>101.9</v>
      </c>
      <c r="I106" s="2">
        <v>-22.2</v>
      </c>
      <c r="J106" s="2">
        <v>-30.6</v>
      </c>
      <c r="K106" s="2">
        <f t="shared" si="8"/>
        <v>-22.2</v>
      </c>
      <c r="L106" s="8">
        <f t="shared" si="12"/>
        <v>3.8904514499427974E-13</v>
      </c>
      <c r="M106" s="26"/>
      <c r="N106" s="17"/>
      <c r="O106" s="9">
        <f t="shared" si="10"/>
        <v>-30.6</v>
      </c>
      <c r="P106" s="8">
        <f>D104/B104*10^(O106/10)</f>
        <v>0.27377288844286107</v>
      </c>
      <c r="Q106" s="26"/>
      <c r="R106" s="17"/>
      <c r="S106" s="19"/>
      <c r="T106" s="17"/>
      <c r="U106" s="22"/>
    </row>
    <row r="107" spans="1:21" x14ac:dyDescent="0.25">
      <c r="A107" s="24"/>
      <c r="B107" s="24"/>
      <c r="C107" s="17"/>
      <c r="D107" s="24"/>
      <c r="E107" s="24"/>
      <c r="F107" s="25"/>
      <c r="G107" s="1">
        <v>9025</v>
      </c>
      <c r="H107" s="2">
        <v>93.2</v>
      </c>
      <c r="I107" s="2">
        <v>-25.5</v>
      </c>
      <c r="J107" s="2">
        <v>-27.4</v>
      </c>
      <c r="K107" s="2">
        <f t="shared" si="8"/>
        <v>-25.5</v>
      </c>
      <c r="L107" s="8">
        <f t="shared" si="12"/>
        <v>1.3489628825916484E-12</v>
      </c>
      <c r="M107" s="26"/>
      <c r="N107" s="17"/>
      <c r="O107" s="9">
        <f t="shared" si="10"/>
        <v>-27.4</v>
      </c>
      <c r="P107" s="8">
        <f>D104/B104*10^(O107/10)</f>
        <v>0.57199263655640453</v>
      </c>
      <c r="Q107" s="26"/>
      <c r="R107" s="17"/>
      <c r="S107" s="19"/>
      <c r="T107" s="17"/>
      <c r="U107" s="22"/>
    </row>
    <row r="108" spans="1:21" x14ac:dyDescent="0.25">
      <c r="A108" s="24"/>
      <c r="B108" s="24"/>
      <c r="C108" s="17"/>
      <c r="D108" s="24"/>
      <c r="E108" s="24"/>
      <c r="F108" s="25"/>
      <c r="G108" s="1">
        <v>10025</v>
      </c>
      <c r="H108" s="2">
        <v>88.3</v>
      </c>
      <c r="I108" s="2">
        <v>-23.8</v>
      </c>
      <c r="J108" s="2">
        <v>-27.9</v>
      </c>
      <c r="K108" s="2">
        <f t="shared" si="8"/>
        <v>-23.8</v>
      </c>
      <c r="L108" s="8">
        <f t="shared" si="12"/>
        <v>6.1659500186148244E-12</v>
      </c>
      <c r="M108" s="26"/>
      <c r="N108" s="17"/>
      <c r="O108" s="9">
        <f t="shared" si="10"/>
        <v>-27.9</v>
      </c>
      <c r="P108" s="8">
        <f>D104/B104*10^(O108/10)</f>
        <v>0.50978897393648981</v>
      </c>
      <c r="Q108" s="26"/>
      <c r="R108" s="17"/>
      <c r="S108" s="19"/>
      <c r="T108" s="17"/>
      <c r="U108" s="22"/>
    </row>
    <row r="109" spans="1:21" x14ac:dyDescent="0.25">
      <c r="A109" s="24"/>
      <c r="B109" s="24"/>
      <c r="C109" s="17"/>
      <c r="D109" s="24"/>
      <c r="E109" s="24"/>
      <c r="F109" s="25"/>
      <c r="G109" s="1">
        <v>11025</v>
      </c>
      <c r="H109" s="2">
        <v>86</v>
      </c>
      <c r="I109" s="2">
        <v>-24.8</v>
      </c>
      <c r="J109" s="2">
        <v>-31.6</v>
      </c>
      <c r="K109" s="2">
        <f t="shared" si="8"/>
        <v>-24.8</v>
      </c>
      <c r="L109" s="8">
        <f t="shared" si="12"/>
        <v>8.3176377110266746E-12</v>
      </c>
      <c r="M109" s="26"/>
      <c r="N109" s="17"/>
      <c r="O109" s="9">
        <f t="shared" si="10"/>
        <v>-31.6</v>
      </c>
      <c r="P109" s="8">
        <f>D104/B104*10^(O109/10)</f>
        <v>0.21746553519218548</v>
      </c>
      <c r="Q109" s="26"/>
      <c r="R109" s="17"/>
      <c r="S109" s="20"/>
      <c r="T109" s="17"/>
      <c r="U109" s="23"/>
    </row>
    <row r="110" spans="1:21" x14ac:dyDescent="0.25">
      <c r="A110" s="24" t="s">
        <v>20</v>
      </c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12">
        <f>U110</f>
        <v>5.92780295101785E-2</v>
      </c>
      <c r="T110" s="2"/>
      <c r="U110" s="8">
        <f>0.8*SQRT(SUM(U76:U109))</f>
        <v>5.92780295101785E-2</v>
      </c>
    </row>
    <row r="111" spans="1:21" x14ac:dyDescent="0.25">
      <c r="A111" s="27" t="s">
        <v>55</v>
      </c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9"/>
    </row>
    <row r="112" spans="1:21" x14ac:dyDescent="0.25">
      <c r="A112" s="24">
        <v>250</v>
      </c>
      <c r="B112" s="24">
        <v>3</v>
      </c>
      <c r="C112" s="17">
        <v>0.5</v>
      </c>
      <c r="D112" s="24">
        <v>38</v>
      </c>
      <c r="E112" s="24">
        <v>4</v>
      </c>
      <c r="F112" s="25">
        <v>84</v>
      </c>
      <c r="G112" s="1">
        <v>175</v>
      </c>
      <c r="H112" s="2">
        <v>84.8</v>
      </c>
      <c r="I112" s="2">
        <v>-22.1</v>
      </c>
      <c r="J112" s="2">
        <v>-26.5</v>
      </c>
      <c r="K112" s="2">
        <f>I112</f>
        <v>-22.1</v>
      </c>
      <c r="L112" s="8">
        <f>10^((K112-H112)/10)</f>
        <v>2.04173794466952E-11</v>
      </c>
      <c r="M112" s="26">
        <f>SUM(L112:L115)</f>
        <v>3.9196901006451601E-11</v>
      </c>
      <c r="N112" s="17">
        <f>10*LOG10(M112/E112)</f>
        <v>-110.08808259230976</v>
      </c>
      <c r="O112" s="9">
        <f>J112</f>
        <v>-26.5</v>
      </c>
      <c r="P112" s="8">
        <f>D112/B112*10^(O112/10)</f>
        <v>2.8357134421865621E-2</v>
      </c>
      <c r="Q112" s="26">
        <f>SUM(P112:P115)</f>
        <v>0.10265660586295353</v>
      </c>
      <c r="R112" s="17">
        <f>10*LOG10(Q112)</f>
        <v>-9.8861309892347542</v>
      </c>
      <c r="S112" s="18">
        <f>F112+N112-Kzt-H</f>
        <v>-26.08808259230976</v>
      </c>
      <c r="T112" s="17">
        <v>0.2</v>
      </c>
      <c r="U112" s="21">
        <f>T112*10^((S112-R112)/10)</f>
        <v>4.7955103798566837E-3</v>
      </c>
    </row>
    <row r="113" spans="1:21" x14ac:dyDescent="0.25">
      <c r="A113" s="24"/>
      <c r="B113" s="24"/>
      <c r="C113" s="17"/>
      <c r="D113" s="24"/>
      <c r="E113" s="24"/>
      <c r="F113" s="25"/>
      <c r="G113" s="1">
        <v>225</v>
      </c>
      <c r="H113" s="2">
        <v>90</v>
      </c>
      <c r="I113" s="2">
        <v>-21.1</v>
      </c>
      <c r="J113" s="2">
        <v>-26.3</v>
      </c>
      <c r="K113" s="2">
        <f t="shared" ref="K113:K145" si="13">I113</f>
        <v>-21.1</v>
      </c>
      <c r="L113" s="8">
        <f t="shared" ref="L113:L114" si="14">10^((K113-H113)/10)</f>
        <v>7.762471166286914E-12</v>
      </c>
      <c r="M113" s="26"/>
      <c r="N113" s="17"/>
      <c r="O113" s="9">
        <f t="shared" ref="O113:O145" si="15">J113</f>
        <v>-26.3</v>
      </c>
      <c r="P113" s="8">
        <f>D112/B112*10^(O113/10)</f>
        <v>2.9693564994052322E-2</v>
      </c>
      <c r="Q113" s="26"/>
      <c r="R113" s="17"/>
      <c r="S113" s="19"/>
      <c r="T113" s="17"/>
      <c r="U113" s="22"/>
    </row>
    <row r="114" spans="1:21" x14ac:dyDescent="0.25">
      <c r="A114" s="24"/>
      <c r="B114" s="24"/>
      <c r="C114" s="17"/>
      <c r="D114" s="24"/>
      <c r="E114" s="24"/>
      <c r="F114" s="25"/>
      <c r="G114" s="1">
        <v>275</v>
      </c>
      <c r="H114" s="2">
        <v>92.2</v>
      </c>
      <c r="I114" s="2">
        <v>-20.7</v>
      </c>
      <c r="J114" s="2">
        <v>-25.8</v>
      </c>
      <c r="K114" s="2">
        <f t="shared" si="13"/>
        <v>-20.7</v>
      </c>
      <c r="L114" s="8">
        <f t="shared" si="14"/>
        <v>5.1286138399136186E-12</v>
      </c>
      <c r="M114" s="26"/>
      <c r="N114" s="17"/>
      <c r="O114" s="9">
        <f t="shared" si="15"/>
        <v>-25.8</v>
      </c>
      <c r="P114" s="8">
        <f>D112/B112*10^(O114/10)</f>
        <v>3.3316727897341469E-2</v>
      </c>
      <c r="Q114" s="26"/>
      <c r="R114" s="17"/>
      <c r="S114" s="19"/>
      <c r="T114" s="17"/>
      <c r="U114" s="22"/>
    </row>
    <row r="115" spans="1:21" x14ac:dyDescent="0.25">
      <c r="A115" s="24"/>
      <c r="B115" s="24"/>
      <c r="C115" s="17"/>
      <c r="D115" s="24"/>
      <c r="E115" s="24"/>
      <c r="F115" s="25"/>
      <c r="G115" s="1">
        <v>325</v>
      </c>
      <c r="H115" s="2">
        <v>93.3</v>
      </c>
      <c r="I115" s="2">
        <v>-19</v>
      </c>
      <c r="J115" s="2">
        <v>-30.5</v>
      </c>
      <c r="K115" s="2">
        <f t="shared" si="13"/>
        <v>-19</v>
      </c>
      <c r="L115" s="8">
        <f>10^((K115-H115)/10)</f>
        <v>5.8884365535558725E-12</v>
      </c>
      <c r="M115" s="26"/>
      <c r="N115" s="17"/>
      <c r="O115" s="9">
        <f t="shared" si="15"/>
        <v>-30.5</v>
      </c>
      <c r="P115" s="8">
        <f>D112/B112*10^(O115/10)</f>
        <v>1.1289178549694108E-2</v>
      </c>
      <c r="Q115" s="26"/>
      <c r="R115" s="17"/>
      <c r="S115" s="20"/>
      <c r="T115" s="17"/>
      <c r="U115" s="23"/>
    </row>
    <row r="116" spans="1:21" x14ac:dyDescent="0.25">
      <c r="A116" s="24">
        <v>500</v>
      </c>
      <c r="B116" s="24">
        <v>3</v>
      </c>
      <c r="C116" s="17">
        <v>0.5</v>
      </c>
      <c r="D116" s="24">
        <v>59</v>
      </c>
      <c r="E116" s="24">
        <v>6</v>
      </c>
      <c r="F116" s="25">
        <v>84</v>
      </c>
      <c r="G116" s="1">
        <v>375</v>
      </c>
      <c r="H116" s="2">
        <v>91.9</v>
      </c>
      <c r="I116" s="2">
        <v>-22.9</v>
      </c>
      <c r="J116" s="2">
        <v>-26.6</v>
      </c>
      <c r="K116" s="2">
        <f t="shared" si="13"/>
        <v>-22.9</v>
      </c>
      <c r="L116" s="8">
        <f t="shared" ref="L116:L117" si="16">10^((K116-H116)/10)</f>
        <v>3.3113112148258976E-12</v>
      </c>
      <c r="M116" s="26">
        <f>SUM(L116:L121)</f>
        <v>3.5700366066091726E-11</v>
      </c>
      <c r="N116" s="17">
        <f>10*LOG10(M116/E116)</f>
        <v>-112.25478581059447</v>
      </c>
      <c r="O116" s="9">
        <f t="shared" si="15"/>
        <v>-26.6</v>
      </c>
      <c r="P116" s="8">
        <f>D116/B116*10^(O116/10)</f>
        <v>4.3025978604341153E-2</v>
      </c>
      <c r="Q116" s="26">
        <f>SUM(P116:P121)</f>
        <v>0.20994431062054603</v>
      </c>
      <c r="R116" s="17">
        <f>10*LOG10(Q116)</f>
        <v>-6.7789589001666597</v>
      </c>
      <c r="S116" s="18">
        <f>F116+N116-Kzt-H</f>
        <v>-28.25478581059447</v>
      </c>
      <c r="T116" s="17">
        <v>0.5</v>
      </c>
      <c r="U116" s="21">
        <f>T116*10^((S116-R116)/10)</f>
        <v>3.5594861980415018E-3</v>
      </c>
    </row>
    <row r="117" spans="1:21" x14ac:dyDescent="0.25">
      <c r="A117" s="24"/>
      <c r="B117" s="24"/>
      <c r="C117" s="17"/>
      <c r="D117" s="24"/>
      <c r="E117" s="24"/>
      <c r="F117" s="25"/>
      <c r="G117" s="1">
        <v>425</v>
      </c>
      <c r="H117" s="2">
        <v>88.1</v>
      </c>
      <c r="I117" s="2">
        <v>-19.2</v>
      </c>
      <c r="J117" s="2">
        <v>-26.2</v>
      </c>
      <c r="K117" s="2">
        <f t="shared" si="13"/>
        <v>-19.2</v>
      </c>
      <c r="L117" s="8">
        <f t="shared" si="16"/>
        <v>1.8620871366628599E-11</v>
      </c>
      <c r="M117" s="26"/>
      <c r="N117" s="17"/>
      <c r="O117" s="9">
        <f t="shared" si="15"/>
        <v>-26.2</v>
      </c>
      <c r="P117" s="8">
        <f>D116/B116*10^(O117/10)</f>
        <v>4.717704740738328E-2</v>
      </c>
      <c r="Q117" s="26"/>
      <c r="R117" s="17"/>
      <c r="S117" s="19"/>
      <c r="T117" s="17"/>
      <c r="U117" s="22"/>
    </row>
    <row r="118" spans="1:21" x14ac:dyDescent="0.25">
      <c r="A118" s="24"/>
      <c r="B118" s="24"/>
      <c r="C118" s="17"/>
      <c r="D118" s="24"/>
      <c r="E118" s="24"/>
      <c r="F118" s="25"/>
      <c r="G118" s="1">
        <v>475</v>
      </c>
      <c r="H118" s="2">
        <v>90</v>
      </c>
      <c r="I118" s="2">
        <v>-21.9</v>
      </c>
      <c r="J118" s="2">
        <v>-27.1</v>
      </c>
      <c r="K118" s="2">
        <f t="shared" si="13"/>
        <v>-21.9</v>
      </c>
      <c r="L118" s="8">
        <f>10^((K118-H118)/10)</f>
        <v>6.4565422903465118E-12</v>
      </c>
      <c r="M118" s="26"/>
      <c r="N118" s="17"/>
      <c r="O118" s="9">
        <f t="shared" si="15"/>
        <v>-27.1</v>
      </c>
      <c r="P118" s="8">
        <f>D116/B116*10^(O118/10)</f>
        <v>3.8346943795241534E-2</v>
      </c>
      <c r="Q118" s="26"/>
      <c r="R118" s="17"/>
      <c r="S118" s="19"/>
      <c r="T118" s="17"/>
      <c r="U118" s="22"/>
    </row>
    <row r="119" spans="1:21" x14ac:dyDescent="0.25">
      <c r="A119" s="24"/>
      <c r="B119" s="24"/>
      <c r="C119" s="17"/>
      <c r="D119" s="24"/>
      <c r="E119" s="24"/>
      <c r="F119" s="25"/>
      <c r="G119" s="1">
        <v>575</v>
      </c>
      <c r="H119" s="2">
        <v>97</v>
      </c>
      <c r="I119" s="2">
        <v>-19.2</v>
      </c>
      <c r="J119" s="2">
        <v>-30</v>
      </c>
      <c r="K119" s="2">
        <f t="shared" si="13"/>
        <v>-19.2</v>
      </c>
      <c r="L119" s="8">
        <f t="shared" ref="L119:L145" si="17">10^((K119-H119)/10)</f>
        <v>2.3988329190194755E-12</v>
      </c>
      <c r="M119" s="26"/>
      <c r="N119" s="17"/>
      <c r="O119" s="9">
        <f t="shared" si="15"/>
        <v>-30</v>
      </c>
      <c r="P119" s="8">
        <f>D116/B116*10^(O119/10)</f>
        <v>1.9666666666666669E-2</v>
      </c>
      <c r="Q119" s="26"/>
      <c r="R119" s="17"/>
      <c r="S119" s="19"/>
      <c r="T119" s="17"/>
      <c r="U119" s="22"/>
    </row>
    <row r="120" spans="1:21" x14ac:dyDescent="0.25">
      <c r="A120" s="24"/>
      <c r="B120" s="24"/>
      <c r="C120" s="17"/>
      <c r="D120" s="24"/>
      <c r="E120" s="24"/>
      <c r="F120" s="25"/>
      <c r="G120" s="1">
        <v>625</v>
      </c>
      <c r="H120" s="2">
        <v>92</v>
      </c>
      <c r="I120" s="2">
        <v>-22.6</v>
      </c>
      <c r="J120" s="2">
        <v>-28.3</v>
      </c>
      <c r="K120" s="2">
        <f t="shared" si="13"/>
        <v>-22.6</v>
      </c>
      <c r="L120" s="8">
        <f t="shared" si="17"/>
        <v>3.4673685045253144E-12</v>
      </c>
      <c r="M120" s="26"/>
      <c r="N120" s="17"/>
      <c r="O120" s="9">
        <f t="shared" si="15"/>
        <v>-28.3</v>
      </c>
      <c r="P120" s="8">
        <f>D116/B116*10^(O120/10)</f>
        <v>2.9089131633974731E-2</v>
      </c>
      <c r="Q120" s="26"/>
      <c r="R120" s="17"/>
      <c r="S120" s="19"/>
      <c r="T120" s="17"/>
      <c r="U120" s="22"/>
    </row>
    <row r="121" spans="1:21" x14ac:dyDescent="0.25">
      <c r="A121" s="24"/>
      <c r="B121" s="24"/>
      <c r="C121" s="17"/>
      <c r="D121" s="24"/>
      <c r="E121" s="24"/>
      <c r="F121" s="25"/>
      <c r="G121" s="1">
        <v>675</v>
      </c>
      <c r="H121" s="2">
        <v>94.5</v>
      </c>
      <c r="I121" s="2">
        <v>-23.9</v>
      </c>
      <c r="J121" s="2">
        <v>-27.8</v>
      </c>
      <c r="K121" s="2">
        <f t="shared" si="13"/>
        <v>-23.9</v>
      </c>
      <c r="L121" s="8">
        <f t="shared" si="17"/>
        <v>1.4454397707459267E-12</v>
      </c>
      <c r="M121" s="26"/>
      <c r="N121" s="17"/>
      <c r="O121" s="9">
        <f t="shared" si="15"/>
        <v>-27.8</v>
      </c>
      <c r="P121" s="8">
        <f>D116/B116*10^(O121/10)</f>
        <v>3.2638542512938663E-2</v>
      </c>
      <c r="Q121" s="26"/>
      <c r="R121" s="17"/>
      <c r="S121" s="20"/>
      <c r="T121" s="17"/>
      <c r="U121" s="23"/>
    </row>
    <row r="122" spans="1:21" x14ac:dyDescent="0.25">
      <c r="A122" s="24">
        <v>1000</v>
      </c>
      <c r="B122" s="24">
        <v>3</v>
      </c>
      <c r="C122" s="17">
        <v>0.5</v>
      </c>
      <c r="D122" s="24">
        <v>117</v>
      </c>
      <c r="E122" s="24">
        <v>6</v>
      </c>
      <c r="F122" s="25">
        <v>76</v>
      </c>
      <c r="G122" s="1">
        <v>875</v>
      </c>
      <c r="H122" s="2">
        <v>91.1</v>
      </c>
      <c r="I122" s="2">
        <v>-20.8</v>
      </c>
      <c r="J122" s="2">
        <v>-29.5</v>
      </c>
      <c r="K122" s="2">
        <f t="shared" si="13"/>
        <v>-20.8</v>
      </c>
      <c r="L122" s="8">
        <f t="shared" si="17"/>
        <v>6.4565422903465579E-12</v>
      </c>
      <c r="M122" s="26">
        <f>SUM(L122:L127)</f>
        <v>1.2052815772618028E-11</v>
      </c>
      <c r="N122" s="17">
        <f>10*LOG10(M122/E122)</f>
        <v>-116.97062731966074</v>
      </c>
      <c r="O122" s="9">
        <f t="shared" si="15"/>
        <v>-29.5</v>
      </c>
      <c r="P122" s="8">
        <f>D122/B122*10^(O122/10)</f>
        <v>4.3758719717776527E-2</v>
      </c>
      <c r="Q122" s="26">
        <f>SUM(P122:P127)</f>
        <v>0.46483829040906344</v>
      </c>
      <c r="R122" s="17">
        <f>10*LOG10(Q122)</f>
        <v>-3.3269810473898436</v>
      </c>
      <c r="S122" s="18">
        <f>F122+N122-Kzt-H</f>
        <v>-40.970627319660736</v>
      </c>
      <c r="T122" s="17">
        <v>0.8</v>
      </c>
      <c r="U122" s="21">
        <f>T122*10^((S122-R122)/10)</f>
        <v>1.3763388210315611E-4</v>
      </c>
    </row>
    <row r="123" spans="1:21" x14ac:dyDescent="0.25">
      <c r="A123" s="24"/>
      <c r="B123" s="24"/>
      <c r="C123" s="17"/>
      <c r="D123" s="24"/>
      <c r="E123" s="24"/>
      <c r="F123" s="25"/>
      <c r="G123" s="1">
        <v>975</v>
      </c>
      <c r="H123" s="2">
        <v>96.5</v>
      </c>
      <c r="I123" s="2">
        <v>-21.5</v>
      </c>
      <c r="J123" s="2">
        <v>-27.9</v>
      </c>
      <c r="K123" s="2">
        <f t="shared" si="13"/>
        <v>-21.5</v>
      </c>
      <c r="L123" s="8">
        <f t="shared" si="17"/>
        <v>1.5848931924611065E-12</v>
      </c>
      <c r="M123" s="26"/>
      <c r="N123" s="17"/>
      <c r="O123" s="9">
        <f t="shared" si="15"/>
        <v>-27.9</v>
      </c>
      <c r="P123" s="8">
        <f>D122/B122*10^(O123/10)</f>
        <v>6.3250593796998211E-2</v>
      </c>
      <c r="Q123" s="26"/>
      <c r="R123" s="17"/>
      <c r="S123" s="19"/>
      <c r="T123" s="17"/>
      <c r="U123" s="22"/>
    </row>
    <row r="124" spans="1:21" x14ac:dyDescent="0.25">
      <c r="A124" s="24"/>
      <c r="B124" s="24"/>
      <c r="C124" s="17"/>
      <c r="D124" s="24"/>
      <c r="E124" s="24"/>
      <c r="F124" s="25"/>
      <c r="G124" s="1">
        <v>1075</v>
      </c>
      <c r="H124" s="2">
        <v>94.6</v>
      </c>
      <c r="I124" s="2">
        <v>-22.6</v>
      </c>
      <c r="J124" s="2">
        <v>-25.2</v>
      </c>
      <c r="K124" s="2">
        <f t="shared" si="13"/>
        <v>-22.6</v>
      </c>
      <c r="L124" s="8">
        <f t="shared" si="17"/>
        <v>1.9054607179632507E-12</v>
      </c>
      <c r="M124" s="26"/>
      <c r="N124" s="17"/>
      <c r="O124" s="9">
        <f t="shared" si="15"/>
        <v>-25.2</v>
      </c>
      <c r="P124" s="8">
        <f>D122/B122*10^(O124/10)</f>
        <v>0.11777811709567852</v>
      </c>
      <c r="Q124" s="26"/>
      <c r="R124" s="17"/>
      <c r="S124" s="19"/>
      <c r="T124" s="17"/>
      <c r="U124" s="22"/>
    </row>
    <row r="125" spans="1:21" x14ac:dyDescent="0.25">
      <c r="A125" s="24"/>
      <c r="B125" s="24"/>
      <c r="C125" s="17"/>
      <c r="D125" s="24"/>
      <c r="E125" s="24"/>
      <c r="F125" s="25"/>
      <c r="G125" s="1">
        <v>1175</v>
      </c>
      <c r="H125" s="2">
        <v>97.8</v>
      </c>
      <c r="I125" s="2">
        <v>-20.6</v>
      </c>
      <c r="J125" s="2">
        <v>-27.2</v>
      </c>
      <c r="K125" s="2">
        <f t="shared" si="13"/>
        <v>-20.6</v>
      </c>
      <c r="L125" s="8">
        <f t="shared" si="17"/>
        <v>1.4454397707459267E-12</v>
      </c>
      <c r="M125" s="26"/>
      <c r="N125" s="17"/>
      <c r="O125" s="9">
        <f t="shared" si="15"/>
        <v>-27.2</v>
      </c>
      <c r="P125" s="8">
        <f>D122/B122*10^(O125/10)</f>
        <v>7.4312968000566651E-2</v>
      </c>
      <c r="Q125" s="26"/>
      <c r="R125" s="17"/>
      <c r="S125" s="19"/>
      <c r="T125" s="17"/>
      <c r="U125" s="22"/>
    </row>
    <row r="126" spans="1:21" x14ac:dyDescent="0.25">
      <c r="A126" s="24"/>
      <c r="B126" s="24"/>
      <c r="C126" s="17"/>
      <c r="D126" s="24"/>
      <c r="E126" s="24"/>
      <c r="F126" s="25"/>
      <c r="G126" s="1">
        <v>1275</v>
      </c>
      <c r="H126" s="2">
        <v>100.1</v>
      </c>
      <c r="I126" s="2">
        <v>-23.4</v>
      </c>
      <c r="J126" s="2">
        <v>-27.2</v>
      </c>
      <c r="K126" s="2">
        <f t="shared" si="13"/>
        <v>-23.4</v>
      </c>
      <c r="L126" s="8">
        <f t="shared" si="17"/>
        <v>4.4668359215096191E-13</v>
      </c>
      <c r="M126" s="26"/>
      <c r="N126" s="17"/>
      <c r="O126" s="9">
        <f t="shared" si="15"/>
        <v>-27.2</v>
      </c>
      <c r="P126" s="8">
        <f>D122/B122*10^(O126/10)</f>
        <v>7.4312968000566651E-2</v>
      </c>
      <c r="Q126" s="26"/>
      <c r="R126" s="17"/>
      <c r="S126" s="19"/>
      <c r="T126" s="17"/>
      <c r="U126" s="22"/>
    </row>
    <row r="127" spans="1:21" x14ac:dyDescent="0.25">
      <c r="A127" s="24"/>
      <c r="B127" s="24"/>
      <c r="C127" s="17"/>
      <c r="D127" s="24"/>
      <c r="E127" s="24"/>
      <c r="F127" s="25"/>
      <c r="G127" s="1">
        <v>1375</v>
      </c>
      <c r="H127" s="2">
        <v>103</v>
      </c>
      <c r="I127" s="2">
        <v>-23.7</v>
      </c>
      <c r="J127" s="2">
        <v>-26.3</v>
      </c>
      <c r="K127" s="2">
        <f t="shared" si="13"/>
        <v>-23.7</v>
      </c>
      <c r="L127" s="8">
        <f t="shared" si="17"/>
        <v>2.1379620895022253E-13</v>
      </c>
      <c r="M127" s="26"/>
      <c r="N127" s="17"/>
      <c r="O127" s="9">
        <f t="shared" si="15"/>
        <v>-26.3</v>
      </c>
      <c r="P127" s="8">
        <f>D122/B122*10^(O127/10)</f>
        <v>9.1424923797476895E-2</v>
      </c>
      <c r="Q127" s="26"/>
      <c r="R127" s="17"/>
      <c r="S127" s="20"/>
      <c r="T127" s="17"/>
      <c r="U127" s="23"/>
    </row>
    <row r="128" spans="1:21" x14ac:dyDescent="0.25">
      <c r="A128" s="24">
        <v>2000</v>
      </c>
      <c r="B128" s="24">
        <v>3</v>
      </c>
      <c r="C128" s="17">
        <v>0.5</v>
      </c>
      <c r="D128" s="24">
        <v>234</v>
      </c>
      <c r="E128" s="24">
        <v>6</v>
      </c>
      <c r="F128" s="25">
        <v>68</v>
      </c>
      <c r="G128" s="1">
        <v>1425</v>
      </c>
      <c r="H128" s="2">
        <v>102.8</v>
      </c>
      <c r="I128" s="2">
        <v>-23</v>
      </c>
      <c r="J128" s="2">
        <v>-28.7</v>
      </c>
      <c r="K128" s="2">
        <f t="shared" si="13"/>
        <v>-23</v>
      </c>
      <c r="L128" s="8">
        <f t="shared" si="17"/>
        <v>2.6302679918953709E-13</v>
      </c>
      <c r="M128" s="26">
        <f>SUM(L128:L133)</f>
        <v>3.0168910202620733E-12</v>
      </c>
      <c r="N128" s="17">
        <f>10*LOG10(M128/E128)</f>
        <v>-122.9859162802889</v>
      </c>
      <c r="O128" s="9">
        <f t="shared" si="15"/>
        <v>-28.7</v>
      </c>
      <c r="P128" s="8">
        <f>D128/B128*10^(O128/10)</f>
        <v>0.10521910484214889</v>
      </c>
      <c r="Q128" s="26">
        <f>SUM(P128:P133)</f>
        <v>1.1024909060379264</v>
      </c>
      <c r="R128" s="17">
        <f>10*LOG10(Q128)</f>
        <v>0.42375015850682662</v>
      </c>
      <c r="S128" s="18">
        <f>F128+N128-Kzt-H</f>
        <v>-54.985916280288905</v>
      </c>
      <c r="T128" s="17">
        <v>1</v>
      </c>
      <c r="U128" s="21">
        <f>T128*10^((S128-R128)/10)</f>
        <v>2.8776194226875842E-6</v>
      </c>
    </row>
    <row r="129" spans="1:21" x14ac:dyDescent="0.25">
      <c r="A129" s="24"/>
      <c r="B129" s="24"/>
      <c r="C129" s="17"/>
      <c r="D129" s="24"/>
      <c r="E129" s="24"/>
      <c r="F129" s="25"/>
      <c r="G129" s="1">
        <v>1625</v>
      </c>
      <c r="H129" s="2">
        <v>104.1</v>
      </c>
      <c r="I129" s="2">
        <v>-18.8</v>
      </c>
      <c r="J129" s="2">
        <v>-28.8</v>
      </c>
      <c r="K129" s="2">
        <f t="shared" si="13"/>
        <v>-18.8</v>
      </c>
      <c r="L129" s="8">
        <f t="shared" si="17"/>
        <v>5.1286138399136499E-13</v>
      </c>
      <c r="M129" s="26"/>
      <c r="N129" s="17"/>
      <c r="O129" s="9">
        <f t="shared" si="15"/>
        <v>-28.8</v>
      </c>
      <c r="P129" s="8">
        <f>D128/B128*10^(O129/10)</f>
        <v>0.10282402560739975</v>
      </c>
      <c r="Q129" s="26"/>
      <c r="R129" s="17"/>
      <c r="S129" s="19"/>
      <c r="T129" s="17"/>
      <c r="U129" s="22"/>
    </row>
    <row r="130" spans="1:21" x14ac:dyDescent="0.25">
      <c r="A130" s="24"/>
      <c r="B130" s="24"/>
      <c r="C130" s="17"/>
      <c r="D130" s="24"/>
      <c r="E130" s="24"/>
      <c r="F130" s="25"/>
      <c r="G130" s="1">
        <v>1825</v>
      </c>
      <c r="H130" s="2">
        <v>107.6</v>
      </c>
      <c r="I130" s="2">
        <v>-27.8</v>
      </c>
      <c r="J130" s="2">
        <v>-28.3</v>
      </c>
      <c r="K130" s="2">
        <f t="shared" si="13"/>
        <v>-27.8</v>
      </c>
      <c r="L130" s="8">
        <f t="shared" si="17"/>
        <v>2.8840315031265896E-14</v>
      </c>
      <c r="M130" s="26"/>
      <c r="N130" s="17"/>
      <c r="O130" s="9">
        <f t="shared" si="15"/>
        <v>-28.3</v>
      </c>
      <c r="P130" s="8">
        <f>D128/B128*10^(O130/10)</f>
        <v>0.11537045427712012</v>
      </c>
      <c r="Q130" s="26"/>
      <c r="R130" s="17"/>
      <c r="S130" s="19"/>
      <c r="T130" s="17"/>
      <c r="U130" s="22"/>
    </row>
    <row r="131" spans="1:21" x14ac:dyDescent="0.25">
      <c r="A131" s="24"/>
      <c r="B131" s="24"/>
      <c r="C131" s="17"/>
      <c r="D131" s="24"/>
      <c r="E131" s="24"/>
      <c r="F131" s="25"/>
      <c r="G131" s="1">
        <v>2125</v>
      </c>
      <c r="H131" s="2">
        <v>104.2</v>
      </c>
      <c r="I131" s="2">
        <v>-19.2</v>
      </c>
      <c r="J131" s="2">
        <v>-25.2</v>
      </c>
      <c r="K131" s="2">
        <f t="shared" si="13"/>
        <v>-19.2</v>
      </c>
      <c r="L131" s="8">
        <f t="shared" si="17"/>
        <v>4.5708818961487372E-13</v>
      </c>
      <c r="M131" s="26"/>
      <c r="N131" s="17"/>
      <c r="O131" s="9">
        <f t="shared" si="15"/>
        <v>-25.2</v>
      </c>
      <c r="P131" s="8">
        <f>D128/B128*10^(O131/10)</f>
        <v>0.23555623419135704</v>
      </c>
      <c r="Q131" s="26"/>
      <c r="R131" s="17"/>
      <c r="S131" s="19"/>
      <c r="T131" s="17"/>
      <c r="U131" s="22"/>
    </row>
    <row r="132" spans="1:21" x14ac:dyDescent="0.25">
      <c r="A132" s="24"/>
      <c r="B132" s="24"/>
      <c r="C132" s="17"/>
      <c r="D132" s="24"/>
      <c r="E132" s="24"/>
      <c r="F132" s="25"/>
      <c r="G132" s="1">
        <v>2425</v>
      </c>
      <c r="H132" s="2">
        <v>93.7</v>
      </c>
      <c r="I132" s="2">
        <v>-26.1</v>
      </c>
      <c r="J132" s="2">
        <v>-26.4</v>
      </c>
      <c r="K132" s="2">
        <f t="shared" si="13"/>
        <v>-26.1</v>
      </c>
      <c r="L132" s="8">
        <f t="shared" si="17"/>
        <v>1.0471285480508967E-12</v>
      </c>
      <c r="M132" s="26"/>
      <c r="N132" s="17"/>
      <c r="O132" s="9">
        <f t="shared" si="15"/>
        <v>-26.4</v>
      </c>
      <c r="P132" s="8">
        <f>D128/B128*10^(O132/10)</f>
        <v>0.17868767691588636</v>
      </c>
      <c r="Q132" s="26"/>
      <c r="R132" s="17"/>
      <c r="S132" s="19"/>
      <c r="T132" s="17"/>
      <c r="U132" s="22"/>
    </row>
    <row r="133" spans="1:21" x14ac:dyDescent="0.25">
      <c r="A133" s="24"/>
      <c r="B133" s="24"/>
      <c r="C133" s="17"/>
      <c r="D133" s="24"/>
      <c r="E133" s="24"/>
      <c r="F133" s="25"/>
      <c r="G133" s="1">
        <v>2775</v>
      </c>
      <c r="H133" s="2">
        <v>100.2</v>
      </c>
      <c r="I133" s="2">
        <v>-21.3</v>
      </c>
      <c r="J133" s="2">
        <v>-23.3</v>
      </c>
      <c r="K133" s="2">
        <f t="shared" si="13"/>
        <v>-21.3</v>
      </c>
      <c r="L133" s="8">
        <f t="shared" si="17"/>
        <v>7.0794578438413455E-13</v>
      </c>
      <c r="M133" s="26"/>
      <c r="N133" s="17"/>
      <c r="O133" s="9">
        <f t="shared" si="15"/>
        <v>-23.3</v>
      </c>
      <c r="P133" s="8">
        <f>D128/B128*10^(O133/10)</f>
        <v>0.36483341020401427</v>
      </c>
      <c r="Q133" s="26"/>
      <c r="R133" s="17"/>
      <c r="S133" s="20"/>
      <c r="T133" s="17"/>
      <c r="U133" s="23"/>
    </row>
    <row r="134" spans="1:21" x14ac:dyDescent="0.25">
      <c r="A134" s="24">
        <v>4000</v>
      </c>
      <c r="B134" s="24">
        <v>3</v>
      </c>
      <c r="C134" s="17">
        <v>0.5</v>
      </c>
      <c r="D134" s="24">
        <v>470</v>
      </c>
      <c r="E134" s="24">
        <v>6</v>
      </c>
      <c r="F134" s="25">
        <v>62</v>
      </c>
      <c r="G134" s="1">
        <v>2825</v>
      </c>
      <c r="H134" s="2">
        <v>99.4</v>
      </c>
      <c r="I134" s="2">
        <v>-21.1</v>
      </c>
      <c r="J134" s="2">
        <v>-26.1</v>
      </c>
      <c r="K134" s="2">
        <f t="shared" si="13"/>
        <v>-21.1</v>
      </c>
      <c r="L134" s="8">
        <f t="shared" si="17"/>
        <v>8.9125093813374051E-13</v>
      </c>
      <c r="M134" s="26">
        <f>SUM(L134:L139)</f>
        <v>2.0263786793267675E-12</v>
      </c>
      <c r="N134" s="17">
        <f>10*LOG10(M134/E134)</f>
        <v>-124.71430643034358</v>
      </c>
      <c r="O134" s="9">
        <f t="shared" si="15"/>
        <v>-26.1</v>
      </c>
      <c r="P134" s="8">
        <f>D134/B134*10^(O134/10)</f>
        <v>0.38457106345732078</v>
      </c>
      <c r="Q134" s="26">
        <f>SUM(P134:P139)</f>
        <v>2.3781698829596891</v>
      </c>
      <c r="R134" s="17">
        <f>10*LOG10(Q134)</f>
        <v>3.7624287492384805</v>
      </c>
      <c r="S134" s="18">
        <f>F134+N134-Kzt-H</f>
        <v>-62.714306430343584</v>
      </c>
      <c r="T134" s="17">
        <v>0.9</v>
      </c>
      <c r="U134" s="21">
        <f>T134*10^((S134-R134)/10)</f>
        <v>2.0256713769012299E-7</v>
      </c>
    </row>
    <row r="135" spans="1:21" x14ac:dyDescent="0.25">
      <c r="A135" s="24"/>
      <c r="B135" s="24"/>
      <c r="C135" s="17"/>
      <c r="D135" s="24"/>
      <c r="E135" s="24"/>
      <c r="F135" s="25"/>
      <c r="G135" s="1">
        <v>3425</v>
      </c>
      <c r="H135" s="2">
        <v>103.5</v>
      </c>
      <c r="I135" s="2">
        <v>-21.6</v>
      </c>
      <c r="J135" s="2">
        <v>-22.3</v>
      </c>
      <c r="K135" s="2">
        <f t="shared" si="13"/>
        <v>-21.6</v>
      </c>
      <c r="L135" s="8">
        <f t="shared" si="17"/>
        <v>3.0902954325135866E-13</v>
      </c>
      <c r="M135" s="26"/>
      <c r="N135" s="17"/>
      <c r="O135" s="9">
        <f t="shared" si="15"/>
        <v>-22.3</v>
      </c>
      <c r="P135" s="8">
        <f>D134/B134*10^(O135/10)</f>
        <v>0.92252172672375599</v>
      </c>
      <c r="Q135" s="26"/>
      <c r="R135" s="17"/>
      <c r="S135" s="19"/>
      <c r="T135" s="17"/>
      <c r="U135" s="22"/>
    </row>
    <row r="136" spans="1:21" x14ac:dyDescent="0.25">
      <c r="A136" s="24"/>
      <c r="B136" s="24"/>
      <c r="C136" s="17"/>
      <c r="D136" s="24"/>
      <c r="E136" s="24"/>
      <c r="F136" s="25"/>
      <c r="G136" s="1">
        <v>4025</v>
      </c>
      <c r="H136" s="2">
        <v>103.6</v>
      </c>
      <c r="I136" s="2">
        <v>-22.6</v>
      </c>
      <c r="J136" s="2">
        <v>-29.8</v>
      </c>
      <c r="K136" s="2">
        <f t="shared" si="13"/>
        <v>-22.6</v>
      </c>
      <c r="L136" s="8">
        <f t="shared" si="17"/>
        <v>2.3988329190194898E-13</v>
      </c>
      <c r="M136" s="26"/>
      <c r="N136" s="17"/>
      <c r="O136" s="9">
        <f t="shared" si="15"/>
        <v>-29.8</v>
      </c>
      <c r="P136" s="8">
        <f>D134/B134*10^(O136/10)</f>
        <v>0.16405013919464079</v>
      </c>
      <c r="Q136" s="26"/>
      <c r="R136" s="17"/>
      <c r="S136" s="19"/>
      <c r="T136" s="17"/>
      <c r="U136" s="22"/>
    </row>
    <row r="137" spans="1:21" x14ac:dyDescent="0.25">
      <c r="A137" s="24"/>
      <c r="B137" s="24"/>
      <c r="C137" s="17"/>
      <c r="D137" s="24"/>
      <c r="E137" s="24"/>
      <c r="F137" s="25"/>
      <c r="G137" s="1">
        <v>4625</v>
      </c>
      <c r="H137" s="2">
        <v>105.6</v>
      </c>
      <c r="I137" s="2">
        <v>-24.9</v>
      </c>
      <c r="J137" s="2">
        <v>-26.2</v>
      </c>
      <c r="K137" s="2">
        <f t="shared" si="13"/>
        <v>-24.9</v>
      </c>
      <c r="L137" s="8">
        <f t="shared" si="17"/>
        <v>8.9125093813374273E-14</v>
      </c>
      <c r="M137" s="26"/>
      <c r="N137" s="17"/>
      <c r="O137" s="9">
        <f t="shared" si="15"/>
        <v>-26.2</v>
      </c>
      <c r="P137" s="8">
        <f>D134/B134*10^(O137/10)</f>
        <v>0.37581715731305321</v>
      </c>
      <c r="Q137" s="26"/>
      <c r="R137" s="17"/>
      <c r="S137" s="19"/>
      <c r="T137" s="17"/>
      <c r="U137" s="22"/>
    </row>
    <row r="138" spans="1:21" x14ac:dyDescent="0.25">
      <c r="A138" s="24"/>
      <c r="B138" s="24"/>
      <c r="C138" s="17"/>
      <c r="D138" s="24"/>
      <c r="E138" s="24"/>
      <c r="F138" s="25"/>
      <c r="G138" s="1">
        <v>5225</v>
      </c>
      <c r="H138" s="2">
        <v>103.5</v>
      </c>
      <c r="I138" s="2">
        <v>-24.3</v>
      </c>
      <c r="J138" s="2">
        <v>-26.9</v>
      </c>
      <c r="K138" s="2">
        <f t="shared" si="13"/>
        <v>-24.3</v>
      </c>
      <c r="L138" s="8">
        <f t="shared" si="17"/>
        <v>1.6595869074375568E-13</v>
      </c>
      <c r="M138" s="26"/>
      <c r="N138" s="17"/>
      <c r="O138" s="9">
        <f t="shared" si="15"/>
        <v>-26.9</v>
      </c>
      <c r="P138" s="8">
        <f>D134/B134*10^(O138/10)</f>
        <v>0.31987227799822626</v>
      </c>
      <c r="Q138" s="26"/>
      <c r="R138" s="17"/>
      <c r="S138" s="19"/>
      <c r="T138" s="17"/>
      <c r="U138" s="22"/>
    </row>
    <row r="139" spans="1:21" x14ac:dyDescent="0.25">
      <c r="A139" s="24"/>
      <c r="B139" s="24"/>
      <c r="C139" s="17"/>
      <c r="D139" s="24"/>
      <c r="E139" s="24"/>
      <c r="F139" s="25"/>
      <c r="G139" s="1">
        <v>5625</v>
      </c>
      <c r="H139" s="2">
        <v>99.5</v>
      </c>
      <c r="I139" s="2">
        <v>-25.3</v>
      </c>
      <c r="J139" s="2">
        <v>-28.7</v>
      </c>
      <c r="K139" s="2">
        <f t="shared" si="13"/>
        <v>-25.3</v>
      </c>
      <c r="L139" s="8">
        <f t="shared" si="17"/>
        <v>3.311311214825894E-13</v>
      </c>
      <c r="M139" s="26"/>
      <c r="N139" s="17"/>
      <c r="O139" s="9">
        <f t="shared" si="15"/>
        <v>-28.7</v>
      </c>
      <c r="P139" s="8">
        <f>D134/B134*10^(O139/10)</f>
        <v>0.21133751827269218</v>
      </c>
      <c r="Q139" s="26"/>
      <c r="R139" s="17"/>
      <c r="S139" s="20"/>
      <c r="T139" s="17"/>
      <c r="U139" s="23"/>
    </row>
    <row r="140" spans="1:21" x14ac:dyDescent="0.25">
      <c r="A140" s="24">
        <v>8000</v>
      </c>
      <c r="B140" s="24">
        <v>3</v>
      </c>
      <c r="C140" s="17">
        <v>0.5</v>
      </c>
      <c r="D140" s="24">
        <v>943</v>
      </c>
      <c r="E140" s="24">
        <v>6</v>
      </c>
      <c r="F140" s="25">
        <v>54</v>
      </c>
      <c r="G140" s="1">
        <v>6025</v>
      </c>
      <c r="H140" s="2">
        <v>95</v>
      </c>
      <c r="I140" s="2">
        <v>-23.1</v>
      </c>
      <c r="J140" s="2">
        <v>-25.5</v>
      </c>
      <c r="K140" s="2">
        <f t="shared" si="13"/>
        <v>-23.1</v>
      </c>
      <c r="L140" s="8">
        <f t="shared" si="17"/>
        <v>1.5488166189124799E-12</v>
      </c>
      <c r="M140" s="26">
        <f>SUM(L140:L145)</f>
        <v>3.0234293032563521E-11</v>
      </c>
      <c r="N140" s="17">
        <f>10*LOG10(M140/E140)</f>
        <v>-112.97651432415924</v>
      </c>
      <c r="O140" s="9">
        <f t="shared" si="15"/>
        <v>-25.5</v>
      </c>
      <c r="P140" s="8">
        <f>D140/B140*10^(O140/10)</f>
        <v>0.88591170139412612</v>
      </c>
      <c r="Q140" s="26">
        <f>SUM(P140:P145)</f>
        <v>4.3400253124477874</v>
      </c>
      <c r="R140" s="17">
        <f>10*LOG10(Q140)</f>
        <v>6.3749226246742774</v>
      </c>
      <c r="S140" s="18">
        <f>F140+N140-Kzt-H</f>
        <v>-58.97651432415924</v>
      </c>
      <c r="T140" s="17">
        <v>0.7</v>
      </c>
      <c r="U140" s="21">
        <f>T140*10^((S140-R140)/10)</f>
        <v>2.0415233198399338E-7</v>
      </c>
    </row>
    <row r="141" spans="1:21" x14ac:dyDescent="0.25">
      <c r="A141" s="24"/>
      <c r="B141" s="24"/>
      <c r="C141" s="17"/>
      <c r="D141" s="24"/>
      <c r="E141" s="24"/>
      <c r="F141" s="25"/>
      <c r="G141" s="1">
        <v>7025</v>
      </c>
      <c r="H141" s="2">
        <v>94.8</v>
      </c>
      <c r="I141" s="2">
        <v>-21.7</v>
      </c>
      <c r="J141" s="2">
        <v>-26.2</v>
      </c>
      <c r="K141" s="2">
        <f t="shared" si="13"/>
        <v>-21.7</v>
      </c>
      <c r="L141" s="8">
        <f t="shared" si="17"/>
        <v>2.2387211385683343E-12</v>
      </c>
      <c r="M141" s="26"/>
      <c r="N141" s="17"/>
      <c r="O141" s="9">
        <f t="shared" si="15"/>
        <v>-26.2</v>
      </c>
      <c r="P141" s="8">
        <f>D140/B140*10^(O141/10)</f>
        <v>0.75403314754512585</v>
      </c>
      <c r="Q141" s="26"/>
      <c r="R141" s="17"/>
      <c r="S141" s="19"/>
      <c r="T141" s="17"/>
      <c r="U141" s="22"/>
    </row>
    <row r="142" spans="1:21" x14ac:dyDescent="0.25">
      <c r="A142" s="24"/>
      <c r="B142" s="24"/>
      <c r="C142" s="17"/>
      <c r="D142" s="24"/>
      <c r="E142" s="24"/>
      <c r="F142" s="25"/>
      <c r="G142" s="1">
        <v>8025</v>
      </c>
      <c r="H142" s="2">
        <v>101.9</v>
      </c>
      <c r="I142" s="2">
        <v>-22.4</v>
      </c>
      <c r="J142" s="2">
        <v>-27.4</v>
      </c>
      <c r="K142" s="2">
        <f t="shared" si="13"/>
        <v>-22.4</v>
      </c>
      <c r="L142" s="8">
        <f t="shared" si="17"/>
        <v>3.7153522909717049E-13</v>
      </c>
      <c r="M142" s="26"/>
      <c r="N142" s="17"/>
      <c r="O142" s="9">
        <f t="shared" si="15"/>
        <v>-27.4</v>
      </c>
      <c r="P142" s="8">
        <f>D140/B140*10^(O142/10)</f>
        <v>0.57199263655640453</v>
      </c>
      <c r="Q142" s="26"/>
      <c r="R142" s="17"/>
      <c r="S142" s="19"/>
      <c r="T142" s="17"/>
      <c r="U142" s="22"/>
    </row>
    <row r="143" spans="1:21" x14ac:dyDescent="0.25">
      <c r="A143" s="24"/>
      <c r="B143" s="24"/>
      <c r="C143" s="17"/>
      <c r="D143" s="24"/>
      <c r="E143" s="24"/>
      <c r="F143" s="25"/>
      <c r="G143" s="1">
        <v>9025</v>
      </c>
      <c r="H143" s="2">
        <v>93.2</v>
      </c>
      <c r="I143" s="2">
        <v>-23.900000000000002</v>
      </c>
      <c r="J143" s="2">
        <v>-24.1</v>
      </c>
      <c r="K143" s="2">
        <f t="shared" si="13"/>
        <v>-23.900000000000002</v>
      </c>
      <c r="L143" s="8">
        <f t="shared" si="17"/>
        <v>1.9498445997580347E-12</v>
      </c>
      <c r="M143" s="26"/>
      <c r="N143" s="17"/>
      <c r="O143" s="9">
        <f t="shared" si="15"/>
        <v>-24.1</v>
      </c>
      <c r="P143" s="8">
        <f>D140/B140*10^(O143/10)</f>
        <v>1.2228985724320207</v>
      </c>
      <c r="Q143" s="26"/>
      <c r="R143" s="17"/>
      <c r="S143" s="19"/>
      <c r="T143" s="17"/>
      <c r="U143" s="22"/>
    </row>
    <row r="144" spans="1:21" x14ac:dyDescent="0.25">
      <c r="A144" s="24"/>
      <c r="B144" s="24"/>
      <c r="C144" s="17"/>
      <c r="D144" s="24"/>
      <c r="E144" s="24"/>
      <c r="F144" s="25"/>
      <c r="G144" s="1">
        <v>10025</v>
      </c>
      <c r="H144" s="2">
        <v>88.3</v>
      </c>
      <c r="I144" s="2">
        <v>-21.7</v>
      </c>
      <c r="J144" s="2">
        <v>-32.299999999999997</v>
      </c>
      <c r="K144" s="2">
        <f t="shared" si="13"/>
        <v>-21.7</v>
      </c>
      <c r="L144" s="8">
        <f t="shared" si="17"/>
        <v>9.9999999999999994E-12</v>
      </c>
      <c r="M144" s="26"/>
      <c r="N144" s="17"/>
      <c r="O144" s="9">
        <f t="shared" si="15"/>
        <v>-32.299999999999997</v>
      </c>
      <c r="P144" s="8">
        <f>D140/B140*10^(O144/10)</f>
        <v>0.18509318900010691</v>
      </c>
      <c r="Q144" s="26"/>
      <c r="R144" s="17"/>
      <c r="S144" s="19"/>
      <c r="T144" s="17"/>
      <c r="U144" s="22"/>
    </row>
    <row r="145" spans="1:21" x14ac:dyDescent="0.25">
      <c r="A145" s="24"/>
      <c r="B145" s="24"/>
      <c r="C145" s="17"/>
      <c r="D145" s="24"/>
      <c r="E145" s="24"/>
      <c r="F145" s="25"/>
      <c r="G145" s="1">
        <v>11025</v>
      </c>
      <c r="H145" s="2">
        <v>86</v>
      </c>
      <c r="I145" s="2">
        <v>-22.5</v>
      </c>
      <c r="J145" s="2">
        <v>-26.4</v>
      </c>
      <c r="K145" s="2">
        <f t="shared" si="13"/>
        <v>-22.5</v>
      </c>
      <c r="L145" s="8">
        <f t="shared" si="17"/>
        <v>1.4125375446227501E-11</v>
      </c>
      <c r="M145" s="26"/>
      <c r="N145" s="17"/>
      <c r="O145" s="9">
        <f t="shared" si="15"/>
        <v>-26.4</v>
      </c>
      <c r="P145" s="8">
        <f>D140/B140*10^(O145/10)</f>
        <v>0.72009606552000349</v>
      </c>
      <c r="Q145" s="26"/>
      <c r="R145" s="17"/>
      <c r="S145" s="20"/>
      <c r="T145" s="17"/>
      <c r="U145" s="23"/>
    </row>
    <row r="146" spans="1:21" x14ac:dyDescent="0.25">
      <c r="A146" s="24" t="s">
        <v>20</v>
      </c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12">
        <f>U146</f>
        <v>7.3738629437303554E-2</v>
      </c>
      <c r="T146" s="2"/>
      <c r="U146" s="8">
        <f>0.8*SQRT(SUM(U112:U145))</f>
        <v>7.3738629437303554E-2</v>
      </c>
    </row>
    <row r="147" spans="1:21" x14ac:dyDescent="0.25">
      <c r="A147" s="27" t="s">
        <v>56</v>
      </c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9"/>
    </row>
    <row r="148" spans="1:21" x14ac:dyDescent="0.25">
      <c r="A148" s="24">
        <v>250</v>
      </c>
      <c r="B148" s="24">
        <v>3</v>
      </c>
      <c r="C148" s="17">
        <v>0.5</v>
      </c>
      <c r="D148" s="24">
        <v>38</v>
      </c>
      <c r="E148" s="24">
        <v>4</v>
      </c>
      <c r="F148" s="25">
        <v>84</v>
      </c>
      <c r="G148" s="1">
        <v>175</v>
      </c>
      <c r="H148" s="2">
        <v>84.8</v>
      </c>
      <c r="I148" s="2">
        <v>-20.6</v>
      </c>
      <c r="J148" s="2">
        <v>-26.9</v>
      </c>
      <c r="K148" s="2">
        <f>I148</f>
        <v>-20.6</v>
      </c>
      <c r="L148" s="8">
        <f>10^((K148-H148)/10)</f>
        <v>2.8840315031265894E-11</v>
      </c>
      <c r="M148" s="26">
        <f>SUM(L148:L151)</f>
        <v>4.1977941410350001E-11</v>
      </c>
      <c r="N148" s="17">
        <f>10*LOG10(M148/E148)</f>
        <v>-109.79038854271833</v>
      </c>
      <c r="O148" s="9">
        <f>J148</f>
        <v>-26.9</v>
      </c>
      <c r="P148" s="8">
        <f>D148/B148*10^(O148/10)</f>
        <v>2.5862013965814036E-2</v>
      </c>
      <c r="Q148" s="26">
        <f>SUM(P148:P151)</f>
        <v>0.14365995740303017</v>
      </c>
      <c r="R148" s="17">
        <f>10*LOG10(Q148)</f>
        <v>-8.4266426667643337</v>
      </c>
      <c r="S148" s="18">
        <f>F148+N148-Kzt-H</f>
        <v>-25.790388542718333</v>
      </c>
      <c r="T148" s="17">
        <v>0.2</v>
      </c>
      <c r="U148" s="21">
        <f>T148*10^((S148-R148)/10)</f>
        <v>3.6699099511614489E-3</v>
      </c>
    </row>
    <row r="149" spans="1:21" x14ac:dyDescent="0.25">
      <c r="A149" s="24"/>
      <c r="B149" s="24"/>
      <c r="C149" s="17"/>
      <c r="D149" s="24"/>
      <c r="E149" s="24"/>
      <c r="F149" s="25"/>
      <c r="G149" s="1">
        <v>225</v>
      </c>
      <c r="H149" s="2">
        <v>90</v>
      </c>
      <c r="I149" s="2">
        <v>-22.3</v>
      </c>
      <c r="J149" s="2">
        <v>-26.4</v>
      </c>
      <c r="K149" s="2">
        <f t="shared" ref="K149:K181" si="18">I149</f>
        <v>-22.3</v>
      </c>
      <c r="L149" s="8">
        <f t="shared" ref="L149:L150" si="19">10^((K149-H149)/10)</f>
        <v>5.8884365535558725E-12</v>
      </c>
      <c r="M149" s="26"/>
      <c r="N149" s="17"/>
      <c r="O149" s="9">
        <f t="shared" ref="O149:O181" si="20">J149</f>
        <v>-26.4</v>
      </c>
      <c r="P149" s="8">
        <f>D148/B148*10^(O149/10)</f>
        <v>2.9017656935058464E-2</v>
      </c>
      <c r="Q149" s="26"/>
      <c r="R149" s="17"/>
      <c r="S149" s="19"/>
      <c r="T149" s="17"/>
      <c r="U149" s="22"/>
    </row>
    <row r="150" spans="1:21" x14ac:dyDescent="0.25">
      <c r="A150" s="24"/>
      <c r="B150" s="24"/>
      <c r="C150" s="17"/>
      <c r="D150" s="24"/>
      <c r="E150" s="24"/>
      <c r="F150" s="25"/>
      <c r="G150" s="1">
        <v>275</v>
      </c>
      <c r="H150" s="2">
        <v>92.2</v>
      </c>
      <c r="I150" s="2">
        <v>-21.400000000000002</v>
      </c>
      <c r="J150" s="2">
        <v>-22.6</v>
      </c>
      <c r="K150" s="2">
        <f t="shared" si="18"/>
        <v>-21.400000000000002</v>
      </c>
      <c r="L150" s="8">
        <f t="shared" si="19"/>
        <v>4.3651583224016369E-12</v>
      </c>
      <c r="M150" s="26"/>
      <c r="N150" s="17"/>
      <c r="O150" s="9">
        <f t="shared" si="20"/>
        <v>-22.6</v>
      </c>
      <c r="P150" s="8">
        <f>D148/B148*10^(O150/10)</f>
        <v>6.96085106886324E-2</v>
      </c>
      <c r="Q150" s="26"/>
      <c r="R150" s="17"/>
      <c r="S150" s="19"/>
      <c r="T150" s="17"/>
      <c r="U150" s="22"/>
    </row>
    <row r="151" spans="1:21" x14ac:dyDescent="0.25">
      <c r="A151" s="24"/>
      <c r="B151" s="24"/>
      <c r="C151" s="17"/>
      <c r="D151" s="24"/>
      <c r="E151" s="24"/>
      <c r="F151" s="25"/>
      <c r="G151" s="1">
        <v>325</v>
      </c>
      <c r="H151" s="2">
        <v>93.3</v>
      </c>
      <c r="I151" s="2">
        <v>-22.1</v>
      </c>
      <c r="J151" s="2">
        <v>-28.2</v>
      </c>
      <c r="K151" s="2">
        <f t="shared" si="18"/>
        <v>-22.1</v>
      </c>
      <c r="L151" s="8">
        <f>10^((K151-H151)/10)</f>
        <v>2.8840315031265959E-12</v>
      </c>
      <c r="M151" s="26"/>
      <c r="N151" s="17"/>
      <c r="O151" s="9">
        <f t="shared" si="20"/>
        <v>-28.2</v>
      </c>
      <c r="P151" s="8">
        <f>D148/B148*10^(O151/10)</f>
        <v>1.9171775813525291E-2</v>
      </c>
      <c r="Q151" s="26"/>
      <c r="R151" s="17"/>
      <c r="S151" s="20"/>
      <c r="T151" s="17"/>
      <c r="U151" s="23"/>
    </row>
    <row r="152" spans="1:21" x14ac:dyDescent="0.25">
      <c r="A152" s="24">
        <v>500</v>
      </c>
      <c r="B152" s="24">
        <v>3</v>
      </c>
      <c r="C152" s="17">
        <v>0.5</v>
      </c>
      <c r="D152" s="24">
        <v>59</v>
      </c>
      <c r="E152" s="24">
        <v>6</v>
      </c>
      <c r="F152" s="25">
        <v>84</v>
      </c>
      <c r="G152" s="1">
        <v>375</v>
      </c>
      <c r="H152" s="2">
        <v>91.9</v>
      </c>
      <c r="I152" s="2">
        <v>-21.3</v>
      </c>
      <c r="J152" s="2">
        <v>-25.8</v>
      </c>
      <c r="K152" s="2">
        <f t="shared" si="18"/>
        <v>-21.3</v>
      </c>
      <c r="L152" s="8">
        <f t="shared" ref="L152:L153" si="21">10^((K152-H152)/10)</f>
        <v>4.7863009232263738E-12</v>
      </c>
      <c r="M152" s="26">
        <f>SUM(L152:L157)</f>
        <v>3.3265025065076957E-11</v>
      </c>
      <c r="N152" s="17">
        <f>10*LOG10(M152/E152)</f>
        <v>-112.5616339536212</v>
      </c>
      <c r="O152" s="9">
        <f t="shared" si="20"/>
        <v>-25.8</v>
      </c>
      <c r="P152" s="8">
        <f>D152/B152*10^(O152/10)</f>
        <v>5.1728603840609129E-2</v>
      </c>
      <c r="Q152" s="26">
        <f>SUM(P152:P157)</f>
        <v>0.32052682342822847</v>
      </c>
      <c r="R152" s="17">
        <f>10*LOG10(Q152)</f>
        <v>-4.941356204995639</v>
      </c>
      <c r="S152" s="18">
        <f>F152+N152-Kzt-H</f>
        <v>-28.561633953621197</v>
      </c>
      <c r="T152" s="17">
        <v>0.5</v>
      </c>
      <c r="U152" s="21">
        <f>T152*10^((S152-R152)/10)</f>
        <v>2.1724121820000828E-3</v>
      </c>
    </row>
    <row r="153" spans="1:21" x14ac:dyDescent="0.25">
      <c r="A153" s="24"/>
      <c r="B153" s="24"/>
      <c r="C153" s="17"/>
      <c r="D153" s="24"/>
      <c r="E153" s="24"/>
      <c r="F153" s="25"/>
      <c r="G153" s="1">
        <v>425</v>
      </c>
      <c r="H153" s="2">
        <v>88.1</v>
      </c>
      <c r="I153" s="2">
        <v>-19.7</v>
      </c>
      <c r="J153" s="2">
        <v>-28.9</v>
      </c>
      <c r="K153" s="2">
        <f t="shared" si="18"/>
        <v>-19.7</v>
      </c>
      <c r="L153" s="8">
        <f t="shared" si="21"/>
        <v>1.6595869074375605E-11</v>
      </c>
      <c r="M153" s="26"/>
      <c r="N153" s="17"/>
      <c r="O153" s="9">
        <f t="shared" si="20"/>
        <v>-28.9</v>
      </c>
      <c r="P153" s="8">
        <f>D152/B152*10^(O153/10)</f>
        <v>2.533557451663164E-2</v>
      </c>
      <c r="Q153" s="26"/>
      <c r="R153" s="17"/>
      <c r="S153" s="19"/>
      <c r="T153" s="17"/>
      <c r="U153" s="22"/>
    </row>
    <row r="154" spans="1:21" x14ac:dyDescent="0.25">
      <c r="A154" s="24"/>
      <c r="B154" s="24"/>
      <c r="C154" s="17"/>
      <c r="D154" s="24"/>
      <c r="E154" s="24"/>
      <c r="F154" s="25"/>
      <c r="G154" s="1">
        <v>475</v>
      </c>
      <c r="H154" s="2">
        <v>90</v>
      </c>
      <c r="I154" s="2">
        <v>-23.5</v>
      </c>
      <c r="J154" s="2">
        <v>-26.6</v>
      </c>
      <c r="K154" s="2">
        <f t="shared" si="18"/>
        <v>-23.5</v>
      </c>
      <c r="L154" s="8">
        <f>10^((K154-H154)/10)</f>
        <v>4.4668359215096234E-12</v>
      </c>
      <c r="M154" s="26"/>
      <c r="N154" s="17"/>
      <c r="O154" s="9">
        <f t="shared" si="20"/>
        <v>-26.6</v>
      </c>
      <c r="P154" s="8">
        <f>D152/B152*10^(O154/10)</f>
        <v>4.3025978604341153E-2</v>
      </c>
      <c r="Q154" s="26"/>
      <c r="R154" s="17"/>
      <c r="S154" s="19"/>
      <c r="T154" s="17"/>
      <c r="U154" s="22"/>
    </row>
    <row r="155" spans="1:21" x14ac:dyDescent="0.25">
      <c r="A155" s="24"/>
      <c r="B155" s="24"/>
      <c r="C155" s="17"/>
      <c r="D155" s="24"/>
      <c r="E155" s="24"/>
      <c r="F155" s="25"/>
      <c r="G155" s="1">
        <v>575</v>
      </c>
      <c r="H155" s="2">
        <v>97</v>
      </c>
      <c r="I155" s="2">
        <v>-19.7</v>
      </c>
      <c r="J155" s="2">
        <v>-27.2</v>
      </c>
      <c r="K155" s="2">
        <f t="shared" si="18"/>
        <v>-19.7</v>
      </c>
      <c r="L155" s="8">
        <f t="shared" ref="L155:L181" si="22">10^((K155-H155)/10)</f>
        <v>2.1379620895022273E-12</v>
      </c>
      <c r="M155" s="26"/>
      <c r="N155" s="17"/>
      <c r="O155" s="9">
        <f t="shared" si="20"/>
        <v>-27.2</v>
      </c>
      <c r="P155" s="8">
        <f>D152/B152*10^(O155/10)</f>
        <v>3.7474060786610537E-2</v>
      </c>
      <c r="Q155" s="26"/>
      <c r="R155" s="17"/>
      <c r="S155" s="19"/>
      <c r="T155" s="17"/>
      <c r="U155" s="22"/>
    </row>
    <row r="156" spans="1:21" x14ac:dyDescent="0.25">
      <c r="A156" s="24"/>
      <c r="B156" s="24"/>
      <c r="C156" s="17"/>
      <c r="D156" s="24"/>
      <c r="E156" s="24"/>
      <c r="F156" s="25"/>
      <c r="G156" s="1">
        <v>625</v>
      </c>
      <c r="H156" s="2">
        <v>92</v>
      </c>
      <c r="I156" s="2">
        <v>-23.1</v>
      </c>
      <c r="J156" s="2">
        <v>-23.4</v>
      </c>
      <c r="K156" s="2">
        <f t="shared" si="18"/>
        <v>-23.1</v>
      </c>
      <c r="L156" s="8">
        <f t="shared" si="22"/>
        <v>3.0902954325135792E-12</v>
      </c>
      <c r="M156" s="26"/>
      <c r="N156" s="17"/>
      <c r="O156" s="9">
        <f t="shared" si="20"/>
        <v>-23.4</v>
      </c>
      <c r="P156" s="8">
        <f>D152/B152*10^(O156/10)</f>
        <v>8.9894010624258766E-2</v>
      </c>
      <c r="Q156" s="26"/>
      <c r="R156" s="17"/>
      <c r="S156" s="19"/>
      <c r="T156" s="17"/>
      <c r="U156" s="22"/>
    </row>
    <row r="157" spans="1:21" x14ac:dyDescent="0.25">
      <c r="A157" s="24"/>
      <c r="B157" s="24"/>
      <c r="C157" s="17"/>
      <c r="D157" s="24"/>
      <c r="E157" s="24"/>
      <c r="F157" s="25"/>
      <c r="G157" s="1">
        <v>675</v>
      </c>
      <c r="H157" s="2">
        <v>94.5</v>
      </c>
      <c r="I157" s="2">
        <v>-22.1</v>
      </c>
      <c r="J157" s="2">
        <v>-24.3</v>
      </c>
      <c r="K157" s="2">
        <f t="shared" si="18"/>
        <v>-22.1</v>
      </c>
      <c r="L157" s="8">
        <f t="shared" si="22"/>
        <v>2.1877616239495474E-12</v>
      </c>
      <c r="M157" s="26"/>
      <c r="N157" s="17"/>
      <c r="O157" s="9">
        <f t="shared" si="20"/>
        <v>-24.3</v>
      </c>
      <c r="P157" s="8">
        <f>D152/B152*10^(O157/10)</f>
        <v>7.3068595055777216E-2</v>
      </c>
      <c r="Q157" s="26"/>
      <c r="R157" s="17"/>
      <c r="S157" s="20"/>
      <c r="T157" s="17"/>
      <c r="U157" s="23"/>
    </row>
    <row r="158" spans="1:21" x14ac:dyDescent="0.25">
      <c r="A158" s="24">
        <v>1000</v>
      </c>
      <c r="B158" s="24">
        <v>3</v>
      </c>
      <c r="C158" s="17">
        <v>0.5</v>
      </c>
      <c r="D158" s="24">
        <v>117</v>
      </c>
      <c r="E158" s="24">
        <v>6</v>
      </c>
      <c r="F158" s="25">
        <v>76</v>
      </c>
      <c r="G158" s="1">
        <v>875</v>
      </c>
      <c r="H158" s="2">
        <v>91.1</v>
      </c>
      <c r="I158" s="2">
        <v>-24.9</v>
      </c>
      <c r="J158" s="2">
        <v>-26.3</v>
      </c>
      <c r="K158" s="2">
        <f t="shared" si="18"/>
        <v>-24.9</v>
      </c>
      <c r="L158" s="8">
        <f t="shared" si="22"/>
        <v>2.5118864315095726E-12</v>
      </c>
      <c r="M158" s="26">
        <f>SUM(L158:L163)</f>
        <v>1.080049891905077E-11</v>
      </c>
      <c r="N158" s="17">
        <f>10*LOG10(M158/E158)</f>
        <v>-117.44707432601697</v>
      </c>
      <c r="O158" s="9">
        <f t="shared" si="20"/>
        <v>-26.3</v>
      </c>
      <c r="P158" s="8">
        <f>D158/B158*10^(O158/10)</f>
        <v>9.1424923797476895E-2</v>
      </c>
      <c r="Q158" s="26">
        <f>SUM(P158:P163)</f>
        <v>0.65527432751017389</v>
      </c>
      <c r="R158" s="17">
        <f>10*LOG10(Q158)</f>
        <v>-1.8357684660066378</v>
      </c>
      <c r="S158" s="18">
        <f>F158+N158-Kzt-H</f>
        <v>-41.447074326016974</v>
      </c>
      <c r="T158" s="17">
        <v>0.8</v>
      </c>
      <c r="U158" s="21">
        <f>T158*10^((S158-R158)/10)</f>
        <v>8.7490198322831753E-5</v>
      </c>
    </row>
    <row r="159" spans="1:21" x14ac:dyDescent="0.25">
      <c r="A159" s="24"/>
      <c r="B159" s="24"/>
      <c r="C159" s="17"/>
      <c r="D159" s="24"/>
      <c r="E159" s="24"/>
      <c r="F159" s="25"/>
      <c r="G159" s="1">
        <v>975</v>
      </c>
      <c r="H159" s="2">
        <v>96.5</v>
      </c>
      <c r="I159" s="2">
        <v>-20.8</v>
      </c>
      <c r="J159" s="2">
        <v>-29.3</v>
      </c>
      <c r="K159" s="2">
        <f t="shared" si="18"/>
        <v>-20.8</v>
      </c>
      <c r="L159" s="8">
        <f t="shared" si="22"/>
        <v>1.8620871366628578E-12</v>
      </c>
      <c r="M159" s="26"/>
      <c r="N159" s="17"/>
      <c r="O159" s="9">
        <f t="shared" si="20"/>
        <v>-29.3</v>
      </c>
      <c r="P159" s="8">
        <f>D158/B158*10^(O159/10)</f>
        <v>4.5821004642641591E-2</v>
      </c>
      <c r="Q159" s="26"/>
      <c r="R159" s="17"/>
      <c r="S159" s="19"/>
      <c r="T159" s="17"/>
      <c r="U159" s="22"/>
    </row>
    <row r="160" spans="1:21" x14ac:dyDescent="0.25">
      <c r="A160" s="24"/>
      <c r="B160" s="24"/>
      <c r="C160" s="17"/>
      <c r="D160" s="24"/>
      <c r="E160" s="24"/>
      <c r="F160" s="25"/>
      <c r="G160" s="1">
        <v>1075</v>
      </c>
      <c r="H160" s="2">
        <v>94.6</v>
      </c>
      <c r="I160" s="2">
        <v>-19.2</v>
      </c>
      <c r="J160" s="2">
        <v>-25.7</v>
      </c>
      <c r="K160" s="2">
        <f t="shared" si="18"/>
        <v>-19.2</v>
      </c>
      <c r="L160" s="8">
        <f t="shared" si="22"/>
        <v>4.1686938347033479E-12</v>
      </c>
      <c r="M160" s="26"/>
      <c r="N160" s="17"/>
      <c r="O160" s="9">
        <f t="shared" si="20"/>
        <v>-25.7</v>
      </c>
      <c r="P160" s="8">
        <f>D158/B158*10^(O160/10)</f>
        <v>0.10496985735314968</v>
      </c>
      <c r="Q160" s="26"/>
      <c r="R160" s="17"/>
      <c r="S160" s="19"/>
      <c r="T160" s="17"/>
      <c r="U160" s="22"/>
    </row>
    <row r="161" spans="1:21" x14ac:dyDescent="0.25">
      <c r="A161" s="24"/>
      <c r="B161" s="24"/>
      <c r="C161" s="17"/>
      <c r="D161" s="24"/>
      <c r="E161" s="24"/>
      <c r="F161" s="25"/>
      <c r="G161" s="1">
        <v>1175</v>
      </c>
      <c r="H161" s="2">
        <v>97.8</v>
      </c>
      <c r="I161" s="2">
        <v>-21.4</v>
      </c>
      <c r="J161" s="2">
        <v>-24.6</v>
      </c>
      <c r="K161" s="2">
        <f t="shared" si="18"/>
        <v>-21.4</v>
      </c>
      <c r="L161" s="8">
        <f t="shared" si="22"/>
        <v>1.202264434617413E-12</v>
      </c>
      <c r="M161" s="26"/>
      <c r="N161" s="17"/>
      <c r="O161" s="9">
        <f t="shared" si="20"/>
        <v>-24.6</v>
      </c>
      <c r="P161" s="8">
        <f>D158/B158*10^(O161/10)</f>
        <v>0.1352273716764873</v>
      </c>
      <c r="Q161" s="26"/>
      <c r="R161" s="17"/>
      <c r="S161" s="19"/>
      <c r="T161" s="17"/>
      <c r="U161" s="22"/>
    </row>
    <row r="162" spans="1:21" x14ac:dyDescent="0.25">
      <c r="A162" s="24"/>
      <c r="B162" s="24"/>
      <c r="C162" s="17"/>
      <c r="D162" s="24"/>
      <c r="E162" s="24"/>
      <c r="F162" s="25"/>
      <c r="G162" s="1">
        <v>1275</v>
      </c>
      <c r="H162" s="2">
        <v>100.1</v>
      </c>
      <c r="I162" s="2">
        <v>-21.3</v>
      </c>
      <c r="J162" s="2">
        <v>-22.9</v>
      </c>
      <c r="K162" s="2">
        <f t="shared" si="18"/>
        <v>-21.3</v>
      </c>
      <c r="L162" s="8">
        <f t="shared" si="22"/>
        <v>7.2443596007498915E-13</v>
      </c>
      <c r="M162" s="26"/>
      <c r="N162" s="17"/>
      <c r="O162" s="9">
        <f t="shared" si="20"/>
        <v>-22.9</v>
      </c>
      <c r="P162" s="8">
        <f>D158/B158*10^(O162/10)</f>
        <v>0.20001593975663223</v>
      </c>
      <c r="Q162" s="26"/>
      <c r="R162" s="17"/>
      <c r="S162" s="19"/>
      <c r="T162" s="17"/>
      <c r="U162" s="22"/>
    </row>
    <row r="163" spans="1:21" x14ac:dyDescent="0.25">
      <c r="A163" s="24"/>
      <c r="B163" s="24"/>
      <c r="C163" s="17"/>
      <c r="D163" s="24"/>
      <c r="E163" s="24"/>
      <c r="F163" s="25"/>
      <c r="G163" s="1">
        <v>1375</v>
      </c>
      <c r="H163" s="2">
        <v>103</v>
      </c>
      <c r="I163" s="2">
        <v>-21.8</v>
      </c>
      <c r="J163" s="2">
        <v>-27</v>
      </c>
      <c r="K163" s="2">
        <f t="shared" si="18"/>
        <v>-21.8</v>
      </c>
      <c r="L163" s="8">
        <f t="shared" si="22"/>
        <v>3.311311214825894E-13</v>
      </c>
      <c r="M163" s="26"/>
      <c r="N163" s="17"/>
      <c r="O163" s="9">
        <f t="shared" si="20"/>
        <v>-27</v>
      </c>
      <c r="P163" s="8">
        <f>D158/B158*10^(O163/10)</f>
        <v>7.7815230283786244E-2</v>
      </c>
      <c r="Q163" s="26"/>
      <c r="R163" s="17"/>
      <c r="S163" s="20"/>
      <c r="T163" s="17"/>
      <c r="U163" s="23"/>
    </row>
    <row r="164" spans="1:21" x14ac:dyDescent="0.25">
      <c r="A164" s="24">
        <v>2000</v>
      </c>
      <c r="B164" s="24">
        <v>3</v>
      </c>
      <c r="C164" s="17">
        <v>0.5</v>
      </c>
      <c r="D164" s="24">
        <v>234</v>
      </c>
      <c r="E164" s="24">
        <v>6</v>
      </c>
      <c r="F164" s="25">
        <v>68</v>
      </c>
      <c r="G164" s="1">
        <v>1425</v>
      </c>
      <c r="H164" s="2">
        <v>102.8</v>
      </c>
      <c r="I164" s="2">
        <v>-24.4</v>
      </c>
      <c r="J164" s="2">
        <v>-26.6</v>
      </c>
      <c r="K164" s="2">
        <f t="shared" si="18"/>
        <v>-24.4</v>
      </c>
      <c r="L164" s="8">
        <f t="shared" si="22"/>
        <v>1.9054607179632483E-13</v>
      </c>
      <c r="M164" s="26">
        <f>SUM(L164:L169)</f>
        <v>5.547750205187747E-12</v>
      </c>
      <c r="N164" s="17">
        <f>10*LOG10(M164/E164)</f>
        <v>-120.34034352227324</v>
      </c>
      <c r="O164" s="9">
        <f t="shared" si="20"/>
        <v>-26.6</v>
      </c>
      <c r="P164" s="8">
        <f>D164/B164*10^(O164/10)</f>
        <v>0.17064540666806488</v>
      </c>
      <c r="Q164" s="26">
        <f>SUM(P164:P169)</f>
        <v>1.0305489438838356</v>
      </c>
      <c r="R164" s="17">
        <f>10*LOG10(Q164)</f>
        <v>0.13068622562497537</v>
      </c>
      <c r="S164" s="18">
        <f>F164+N164-Kzt-H</f>
        <v>-52.340343522273244</v>
      </c>
      <c r="T164" s="17">
        <v>1</v>
      </c>
      <c r="U164" s="21">
        <f>T164*10^((S164-R164)/10)</f>
        <v>5.6610504496641586E-6</v>
      </c>
    </row>
    <row r="165" spans="1:21" x14ac:dyDescent="0.25">
      <c r="A165" s="24"/>
      <c r="B165" s="24"/>
      <c r="C165" s="17"/>
      <c r="D165" s="24"/>
      <c r="E165" s="24"/>
      <c r="F165" s="25"/>
      <c r="G165" s="1">
        <v>1625</v>
      </c>
      <c r="H165" s="2">
        <v>104.1</v>
      </c>
      <c r="I165" s="2">
        <v>-22.9</v>
      </c>
      <c r="J165" s="2">
        <v>-24.8</v>
      </c>
      <c r="K165" s="2">
        <f t="shared" si="18"/>
        <v>-22.9</v>
      </c>
      <c r="L165" s="8">
        <f t="shared" si="22"/>
        <v>1.9952623149688807E-13</v>
      </c>
      <c r="M165" s="26"/>
      <c r="N165" s="17"/>
      <c r="O165" s="9">
        <f t="shared" si="20"/>
        <v>-24.8</v>
      </c>
      <c r="P165" s="8">
        <f>D164/B164*10^(O165/10)</f>
        <v>0.25828227475642102</v>
      </c>
      <c r="Q165" s="26"/>
      <c r="R165" s="17"/>
      <c r="S165" s="19"/>
      <c r="T165" s="17"/>
      <c r="U165" s="22"/>
    </row>
    <row r="166" spans="1:21" x14ac:dyDescent="0.25">
      <c r="A166" s="24"/>
      <c r="B166" s="24"/>
      <c r="C166" s="17"/>
      <c r="D166" s="24"/>
      <c r="E166" s="24"/>
      <c r="F166" s="25"/>
      <c r="G166" s="1">
        <v>1825</v>
      </c>
      <c r="H166" s="2">
        <v>107.6</v>
      </c>
      <c r="I166" s="2">
        <v>-23.8</v>
      </c>
      <c r="J166" s="2">
        <v>-27.6</v>
      </c>
      <c r="K166" s="2">
        <f t="shared" si="18"/>
        <v>-23.8</v>
      </c>
      <c r="L166" s="8">
        <f t="shared" si="22"/>
        <v>7.2443596007498585E-14</v>
      </c>
      <c r="M166" s="26"/>
      <c r="N166" s="17"/>
      <c r="O166" s="9">
        <f t="shared" si="20"/>
        <v>-27.6</v>
      </c>
      <c r="P166" s="8">
        <f>D164/B164*10^(O166/10)</f>
        <v>0.13554846464245113</v>
      </c>
      <c r="Q166" s="26"/>
      <c r="R166" s="17"/>
      <c r="S166" s="19"/>
      <c r="T166" s="17"/>
      <c r="U166" s="22"/>
    </row>
    <row r="167" spans="1:21" x14ac:dyDescent="0.25">
      <c r="A167" s="24"/>
      <c r="B167" s="24"/>
      <c r="C167" s="17"/>
      <c r="D167" s="24"/>
      <c r="E167" s="24"/>
      <c r="F167" s="25"/>
      <c r="G167" s="1">
        <v>2125</v>
      </c>
      <c r="H167" s="2">
        <v>104.2</v>
      </c>
      <c r="I167" s="2">
        <v>-22.9</v>
      </c>
      <c r="J167" s="2">
        <v>-28.2</v>
      </c>
      <c r="K167" s="2">
        <f t="shared" si="18"/>
        <v>-22.9</v>
      </c>
      <c r="L167" s="8">
        <f t="shared" si="22"/>
        <v>1.9498445997580464E-13</v>
      </c>
      <c r="M167" s="26"/>
      <c r="N167" s="17"/>
      <c r="O167" s="9">
        <f t="shared" si="20"/>
        <v>-28.2</v>
      </c>
      <c r="P167" s="8">
        <f>D164/B164*10^(O167/10)</f>
        <v>0.11805777737802417</v>
      </c>
      <c r="Q167" s="26"/>
      <c r="R167" s="17"/>
      <c r="S167" s="19"/>
      <c r="T167" s="17"/>
      <c r="U167" s="22"/>
    </row>
    <row r="168" spans="1:21" x14ac:dyDescent="0.25">
      <c r="A168" s="24"/>
      <c r="B168" s="24"/>
      <c r="C168" s="17"/>
      <c r="D168" s="24"/>
      <c r="E168" s="24"/>
      <c r="F168" s="25"/>
      <c r="G168" s="1">
        <v>2425</v>
      </c>
      <c r="H168" s="2">
        <v>93.7</v>
      </c>
      <c r="I168" s="2">
        <v>-20.6</v>
      </c>
      <c r="J168" s="2">
        <v>-27.1</v>
      </c>
      <c r="K168" s="2">
        <f t="shared" si="18"/>
        <v>-20.6</v>
      </c>
      <c r="L168" s="8">
        <f t="shared" si="22"/>
        <v>3.715352290971709E-12</v>
      </c>
      <c r="M168" s="26"/>
      <c r="N168" s="17"/>
      <c r="O168" s="9">
        <f t="shared" si="20"/>
        <v>-27.1</v>
      </c>
      <c r="P168" s="8">
        <f>D164/B164*10^(O168/10)</f>
        <v>0.15208787878112745</v>
      </c>
      <c r="Q168" s="26"/>
      <c r="R168" s="17"/>
      <c r="S168" s="19"/>
      <c r="T168" s="17"/>
      <c r="U168" s="22"/>
    </row>
    <row r="169" spans="1:21" x14ac:dyDescent="0.25">
      <c r="A169" s="24"/>
      <c r="B169" s="24"/>
      <c r="C169" s="17"/>
      <c r="D169" s="24"/>
      <c r="E169" s="24"/>
      <c r="F169" s="25"/>
      <c r="G169" s="1">
        <v>2775</v>
      </c>
      <c r="H169" s="2">
        <v>100.2</v>
      </c>
      <c r="I169" s="2">
        <v>-19.100000000000001</v>
      </c>
      <c r="J169" s="2">
        <v>-26</v>
      </c>
      <c r="K169" s="2">
        <f t="shared" si="18"/>
        <v>-19.100000000000001</v>
      </c>
      <c r="L169" s="8">
        <f t="shared" si="22"/>
        <v>1.1748975549395215E-12</v>
      </c>
      <c r="M169" s="26"/>
      <c r="N169" s="17"/>
      <c r="O169" s="9">
        <f t="shared" si="20"/>
        <v>-26</v>
      </c>
      <c r="P169" s="8">
        <f>D164/B164*10^(O169/10)</f>
        <v>0.19592714165774705</v>
      </c>
      <c r="Q169" s="26"/>
      <c r="R169" s="17"/>
      <c r="S169" s="20"/>
      <c r="T169" s="17"/>
      <c r="U169" s="23"/>
    </row>
    <row r="170" spans="1:21" x14ac:dyDescent="0.25">
      <c r="A170" s="24">
        <v>4000</v>
      </c>
      <c r="B170" s="24">
        <v>3</v>
      </c>
      <c r="C170" s="17">
        <v>0.5</v>
      </c>
      <c r="D170" s="24">
        <v>470</v>
      </c>
      <c r="E170" s="24">
        <v>6</v>
      </c>
      <c r="F170" s="25">
        <v>62</v>
      </c>
      <c r="G170" s="1">
        <v>2825</v>
      </c>
      <c r="H170" s="2">
        <v>99.4</v>
      </c>
      <c r="I170" s="2">
        <v>-19.5</v>
      </c>
      <c r="J170" s="2">
        <v>-26.6</v>
      </c>
      <c r="K170" s="2">
        <f t="shared" si="18"/>
        <v>-19.5</v>
      </c>
      <c r="L170" s="8">
        <f t="shared" si="22"/>
        <v>1.2882495516931293E-12</v>
      </c>
      <c r="M170" s="26">
        <f>SUM(L170:L175)</f>
        <v>2.4350533723459124E-12</v>
      </c>
      <c r="N170" s="17">
        <f>10*LOG10(M170/E170)</f>
        <v>-123.91642765711312</v>
      </c>
      <c r="O170" s="9">
        <f t="shared" si="20"/>
        <v>-26.6</v>
      </c>
      <c r="P170" s="8">
        <f>D170/B170*10^(O170/10)</f>
        <v>0.34274932108542944</v>
      </c>
      <c r="Q170" s="26">
        <f>SUM(P170:P175)</f>
        <v>1.5844218732127051</v>
      </c>
      <c r="R170" s="17">
        <f>10*LOG10(Q170)</f>
        <v>1.9987082928262674</v>
      </c>
      <c r="S170" s="18">
        <f>F170+N170-Kzt-H</f>
        <v>-61.916427657113118</v>
      </c>
      <c r="T170" s="17">
        <v>0.9</v>
      </c>
      <c r="U170" s="21">
        <f>T170*10^((S170-R170)/10)</f>
        <v>3.6536665944453342E-7</v>
      </c>
    </row>
    <row r="171" spans="1:21" x14ac:dyDescent="0.25">
      <c r="A171" s="24"/>
      <c r="B171" s="24"/>
      <c r="C171" s="17"/>
      <c r="D171" s="24"/>
      <c r="E171" s="24"/>
      <c r="F171" s="25"/>
      <c r="G171" s="1">
        <v>3425</v>
      </c>
      <c r="H171" s="2">
        <v>103.5</v>
      </c>
      <c r="I171" s="2">
        <v>-24.5</v>
      </c>
      <c r="J171" s="2">
        <v>-26.3</v>
      </c>
      <c r="K171" s="2">
        <f t="shared" si="18"/>
        <v>-24.5</v>
      </c>
      <c r="L171" s="8">
        <f t="shared" si="22"/>
        <v>1.5848931924611046E-13</v>
      </c>
      <c r="M171" s="26"/>
      <c r="N171" s="17"/>
      <c r="O171" s="9">
        <f t="shared" si="20"/>
        <v>-26.3</v>
      </c>
      <c r="P171" s="8">
        <f>D170/B170*10^(O171/10)</f>
        <v>0.36726251440012081</v>
      </c>
      <c r="Q171" s="26"/>
      <c r="R171" s="17"/>
      <c r="S171" s="19"/>
      <c r="T171" s="17"/>
      <c r="U171" s="22"/>
    </row>
    <row r="172" spans="1:21" x14ac:dyDescent="0.25">
      <c r="A172" s="24"/>
      <c r="B172" s="24"/>
      <c r="C172" s="17"/>
      <c r="D172" s="24"/>
      <c r="E172" s="24"/>
      <c r="F172" s="25"/>
      <c r="G172" s="1">
        <v>4025</v>
      </c>
      <c r="H172" s="2">
        <v>103.6</v>
      </c>
      <c r="I172" s="2">
        <v>-28.8</v>
      </c>
      <c r="J172" s="2">
        <v>-30.1</v>
      </c>
      <c r="K172" s="2">
        <f t="shared" si="18"/>
        <v>-28.8</v>
      </c>
      <c r="L172" s="8">
        <f t="shared" si="22"/>
        <v>5.7543993733715408E-14</v>
      </c>
      <c r="M172" s="26"/>
      <c r="N172" s="17"/>
      <c r="O172" s="9">
        <f t="shared" si="20"/>
        <v>-30.1</v>
      </c>
      <c r="P172" s="8">
        <f>D170/B170*10^(O172/10)</f>
        <v>0.15310049794974345</v>
      </c>
      <c r="Q172" s="26"/>
      <c r="R172" s="17"/>
      <c r="S172" s="19"/>
      <c r="T172" s="17"/>
      <c r="U172" s="22"/>
    </row>
    <row r="173" spans="1:21" x14ac:dyDescent="0.25">
      <c r="A173" s="24"/>
      <c r="B173" s="24"/>
      <c r="C173" s="17"/>
      <c r="D173" s="24"/>
      <c r="E173" s="24"/>
      <c r="F173" s="25"/>
      <c r="G173" s="1">
        <v>4625</v>
      </c>
      <c r="H173" s="2">
        <v>105.6</v>
      </c>
      <c r="I173" s="2">
        <v>-26.4</v>
      </c>
      <c r="J173" s="2">
        <v>-27.5</v>
      </c>
      <c r="K173" s="2">
        <f t="shared" si="18"/>
        <v>-26.4</v>
      </c>
      <c r="L173" s="8">
        <f t="shared" si="22"/>
        <v>6.3095734448019215E-14</v>
      </c>
      <c r="M173" s="26"/>
      <c r="N173" s="17"/>
      <c r="O173" s="9">
        <f t="shared" si="20"/>
        <v>-27.5</v>
      </c>
      <c r="P173" s="8">
        <f>D170/B170*10^(O173/10)</f>
        <v>0.27859710757276446</v>
      </c>
      <c r="Q173" s="26"/>
      <c r="R173" s="17"/>
      <c r="S173" s="19"/>
      <c r="T173" s="17"/>
      <c r="U173" s="22"/>
    </row>
    <row r="174" spans="1:21" x14ac:dyDescent="0.25">
      <c r="A174" s="24"/>
      <c r="B174" s="24"/>
      <c r="C174" s="17"/>
      <c r="D174" s="24"/>
      <c r="E174" s="24"/>
      <c r="F174" s="25"/>
      <c r="G174" s="1">
        <v>5225</v>
      </c>
      <c r="H174" s="2">
        <v>103.5</v>
      </c>
      <c r="I174" s="2">
        <v>-21</v>
      </c>
      <c r="J174" s="2">
        <v>-28.6</v>
      </c>
      <c r="K174" s="2">
        <f t="shared" si="18"/>
        <v>-21</v>
      </c>
      <c r="L174" s="8">
        <f t="shared" si="22"/>
        <v>3.5481338923357479E-13</v>
      </c>
      <c r="M174" s="26"/>
      <c r="N174" s="17"/>
      <c r="O174" s="9">
        <f t="shared" si="20"/>
        <v>-28.6</v>
      </c>
      <c r="P174" s="8">
        <f>D170/B170*10^(O174/10)</f>
        <v>0.21626020145445171</v>
      </c>
      <c r="Q174" s="26"/>
      <c r="R174" s="17"/>
      <c r="S174" s="19"/>
      <c r="T174" s="17"/>
      <c r="U174" s="22"/>
    </row>
    <row r="175" spans="1:21" x14ac:dyDescent="0.25">
      <c r="A175" s="24"/>
      <c r="B175" s="24"/>
      <c r="C175" s="17"/>
      <c r="D175" s="24"/>
      <c r="E175" s="24"/>
      <c r="F175" s="25"/>
      <c r="G175" s="1">
        <v>5625</v>
      </c>
      <c r="H175" s="2">
        <v>99.5</v>
      </c>
      <c r="I175" s="2">
        <v>-23.4</v>
      </c>
      <c r="J175" s="2">
        <v>-28.4</v>
      </c>
      <c r="K175" s="2">
        <f t="shared" si="18"/>
        <v>-23.4</v>
      </c>
      <c r="L175" s="8">
        <f t="shared" si="22"/>
        <v>5.1286138399136307E-13</v>
      </c>
      <c r="M175" s="26"/>
      <c r="N175" s="17"/>
      <c r="O175" s="9">
        <f t="shared" si="20"/>
        <v>-28.4</v>
      </c>
      <c r="P175" s="8">
        <f>D170/B170*10^(O175/10)</f>
        <v>0.22645223075019524</v>
      </c>
      <c r="Q175" s="26"/>
      <c r="R175" s="17"/>
      <c r="S175" s="20"/>
      <c r="T175" s="17"/>
      <c r="U175" s="23"/>
    </row>
    <row r="176" spans="1:21" x14ac:dyDescent="0.25">
      <c r="A176" s="24">
        <v>8000</v>
      </c>
      <c r="B176" s="24">
        <v>3</v>
      </c>
      <c r="C176" s="17">
        <v>0.5</v>
      </c>
      <c r="D176" s="24">
        <v>943</v>
      </c>
      <c r="E176" s="24">
        <v>6</v>
      </c>
      <c r="F176" s="25">
        <v>54</v>
      </c>
      <c r="G176" s="1">
        <v>6025</v>
      </c>
      <c r="H176" s="2">
        <v>95</v>
      </c>
      <c r="I176" s="2">
        <v>-25</v>
      </c>
      <c r="J176" s="2">
        <v>-30.2</v>
      </c>
      <c r="K176" s="2">
        <f t="shared" si="18"/>
        <v>-25</v>
      </c>
      <c r="L176" s="8">
        <f t="shared" si="22"/>
        <v>9.9999999999999998E-13</v>
      </c>
      <c r="M176" s="26">
        <f>SUM(L176:L181)</f>
        <v>3.4622479977024673E-11</v>
      </c>
      <c r="N176" s="17">
        <f>10*LOG10(M176/E176)</f>
        <v>-112.3879307760792</v>
      </c>
      <c r="O176" s="9">
        <f t="shared" si="20"/>
        <v>-30.2</v>
      </c>
      <c r="P176" s="8">
        <f>D176/B176*10^(O176/10)</f>
        <v>0.30018600287273789</v>
      </c>
      <c r="Q176" s="26">
        <f>SUM(P176:P181)</f>
        <v>2.6615038888361959</v>
      </c>
      <c r="R176" s="17">
        <f>10*LOG10(Q176)</f>
        <v>4.251271050753215</v>
      </c>
      <c r="S176" s="18">
        <f>F176+N176-Kzt-H</f>
        <v>-58.387930776079202</v>
      </c>
      <c r="T176" s="17">
        <v>0.7</v>
      </c>
      <c r="U176" s="21">
        <f>T176*10^((S176-R176)/10)</f>
        <v>3.8122191386483432E-7</v>
      </c>
    </row>
    <row r="177" spans="1:21" x14ac:dyDescent="0.25">
      <c r="A177" s="24"/>
      <c r="B177" s="24"/>
      <c r="C177" s="17"/>
      <c r="D177" s="24"/>
      <c r="E177" s="24"/>
      <c r="F177" s="25"/>
      <c r="G177" s="1">
        <v>7025</v>
      </c>
      <c r="H177" s="2">
        <v>94.8</v>
      </c>
      <c r="I177" s="2">
        <v>-20.6</v>
      </c>
      <c r="J177" s="2">
        <v>-29.7</v>
      </c>
      <c r="K177" s="2">
        <f t="shared" si="18"/>
        <v>-20.6</v>
      </c>
      <c r="L177" s="8">
        <f t="shared" si="22"/>
        <v>2.8840315031265959E-12</v>
      </c>
      <c r="M177" s="26"/>
      <c r="N177" s="17"/>
      <c r="O177" s="9">
        <f t="shared" si="20"/>
        <v>-29.7</v>
      </c>
      <c r="P177" s="8">
        <f>D176/B176*10^(O177/10)</f>
        <v>0.33681423494635426</v>
      </c>
      <c r="Q177" s="26"/>
      <c r="R177" s="17"/>
      <c r="S177" s="19"/>
      <c r="T177" s="17"/>
      <c r="U177" s="22"/>
    </row>
    <row r="178" spans="1:21" x14ac:dyDescent="0.25">
      <c r="A178" s="24"/>
      <c r="B178" s="24"/>
      <c r="C178" s="17"/>
      <c r="D178" s="24"/>
      <c r="E178" s="24"/>
      <c r="F178" s="25"/>
      <c r="G178" s="1">
        <v>8025</v>
      </c>
      <c r="H178" s="2">
        <v>101.9</v>
      </c>
      <c r="I178" s="2">
        <v>-20.9</v>
      </c>
      <c r="J178" s="2">
        <v>-28.3</v>
      </c>
      <c r="K178" s="2">
        <f t="shared" si="18"/>
        <v>-20.9</v>
      </c>
      <c r="L178" s="8">
        <f t="shared" si="22"/>
        <v>5.2480746024976895E-13</v>
      </c>
      <c r="M178" s="26"/>
      <c r="N178" s="17"/>
      <c r="O178" s="9">
        <f t="shared" si="20"/>
        <v>-28.3</v>
      </c>
      <c r="P178" s="8">
        <f>D176/B176*10^(O178/10)</f>
        <v>0.46493307001420625</v>
      </c>
      <c r="Q178" s="26"/>
      <c r="R178" s="17"/>
      <c r="S178" s="19"/>
      <c r="T178" s="17"/>
      <c r="U178" s="22"/>
    </row>
    <row r="179" spans="1:21" x14ac:dyDescent="0.25">
      <c r="A179" s="24"/>
      <c r="B179" s="24"/>
      <c r="C179" s="17"/>
      <c r="D179" s="24"/>
      <c r="E179" s="24"/>
      <c r="F179" s="25"/>
      <c r="G179" s="1">
        <v>9025</v>
      </c>
      <c r="H179" s="2">
        <v>93.2</v>
      </c>
      <c r="I179" s="2">
        <v>-26.9</v>
      </c>
      <c r="J179" s="2">
        <v>-27.2</v>
      </c>
      <c r="K179" s="2">
        <f t="shared" si="18"/>
        <v>-26.9</v>
      </c>
      <c r="L179" s="8">
        <f t="shared" si="22"/>
        <v>9.7723722095580816E-13</v>
      </c>
      <c r="M179" s="26"/>
      <c r="N179" s="17"/>
      <c r="O179" s="9">
        <f t="shared" si="20"/>
        <v>-27.2</v>
      </c>
      <c r="P179" s="8">
        <f>D176/B176*10^(O179/10)</f>
        <v>0.59894981901311406</v>
      </c>
      <c r="Q179" s="26"/>
      <c r="R179" s="17"/>
      <c r="S179" s="19"/>
      <c r="T179" s="17"/>
      <c r="U179" s="22"/>
    </row>
    <row r="180" spans="1:21" x14ac:dyDescent="0.25">
      <c r="A180" s="24"/>
      <c r="B180" s="24"/>
      <c r="C180" s="17"/>
      <c r="D180" s="24"/>
      <c r="E180" s="24"/>
      <c r="F180" s="25"/>
      <c r="G180" s="1">
        <v>10025</v>
      </c>
      <c r="H180" s="2">
        <v>88.3</v>
      </c>
      <c r="I180" s="2">
        <v>-24.5</v>
      </c>
      <c r="J180" s="2">
        <v>-27.6</v>
      </c>
      <c r="K180" s="2">
        <f t="shared" si="18"/>
        <v>-24.5</v>
      </c>
      <c r="L180" s="8">
        <f t="shared" si="22"/>
        <v>5.2480746024977136E-12</v>
      </c>
      <c r="M180" s="26"/>
      <c r="N180" s="17"/>
      <c r="O180" s="9">
        <f t="shared" si="20"/>
        <v>-27.6</v>
      </c>
      <c r="P180" s="8">
        <f>D176/B176*10^(O180/10)</f>
        <v>0.54624872717021966</v>
      </c>
      <c r="Q180" s="26"/>
      <c r="R180" s="17"/>
      <c r="S180" s="19"/>
      <c r="T180" s="17"/>
      <c r="U180" s="22"/>
    </row>
    <row r="181" spans="1:21" x14ac:dyDescent="0.25">
      <c r="A181" s="24"/>
      <c r="B181" s="24"/>
      <c r="C181" s="17"/>
      <c r="D181" s="24"/>
      <c r="E181" s="24"/>
      <c r="F181" s="25"/>
      <c r="G181" s="1">
        <v>11025</v>
      </c>
      <c r="H181" s="2">
        <v>86</v>
      </c>
      <c r="I181" s="2">
        <v>-20.2</v>
      </c>
      <c r="J181" s="2">
        <v>-28.8</v>
      </c>
      <c r="K181" s="2">
        <f t="shared" si="18"/>
        <v>-20.2</v>
      </c>
      <c r="L181" s="8">
        <f t="shared" si="22"/>
        <v>2.3988329190194783E-11</v>
      </c>
      <c r="M181" s="26"/>
      <c r="N181" s="17"/>
      <c r="O181" s="9">
        <f t="shared" si="20"/>
        <v>-28.8</v>
      </c>
      <c r="P181" s="8">
        <f>D176/B176*10^(O181/10)</f>
        <v>0.41437203481956392</v>
      </c>
      <c r="Q181" s="26"/>
      <c r="R181" s="17"/>
      <c r="S181" s="20"/>
      <c r="T181" s="17"/>
      <c r="U181" s="23"/>
    </row>
    <row r="182" spans="1:21" x14ac:dyDescent="0.25">
      <c r="A182" s="24" t="s">
        <v>20</v>
      </c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12">
        <f>U182</f>
        <v>6.1637494929017815E-2</v>
      </c>
      <c r="T182" s="2"/>
      <c r="U182" s="8">
        <f>0.8*SQRT(SUM(U148:U181))</f>
        <v>6.1637494929017815E-2</v>
      </c>
    </row>
    <row r="183" spans="1:21" x14ac:dyDescent="0.25">
      <c r="A183" s="27" t="s">
        <v>57</v>
      </c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9"/>
    </row>
    <row r="184" spans="1:21" x14ac:dyDescent="0.25">
      <c r="A184" s="24">
        <v>250</v>
      </c>
      <c r="B184" s="24">
        <v>3</v>
      </c>
      <c r="C184" s="17">
        <v>0.5</v>
      </c>
      <c r="D184" s="24">
        <v>38</v>
      </c>
      <c r="E184" s="24">
        <v>4</v>
      </c>
      <c r="F184" s="25">
        <v>84</v>
      </c>
      <c r="G184" s="1">
        <v>175</v>
      </c>
      <c r="H184" s="2">
        <v>84.8</v>
      </c>
      <c r="I184" s="2">
        <v>-10.9</v>
      </c>
      <c r="J184" s="2">
        <v>-17.399999999999999</v>
      </c>
      <c r="K184" s="2">
        <f>I184</f>
        <v>-10.9</v>
      </c>
      <c r="L184" s="8">
        <f>10^((K184-H184)/10)</f>
        <v>2.6915348039269034E-10</v>
      </c>
      <c r="M184" s="26">
        <f>SUM(L184:L187)</f>
        <v>3.516421329907897E-10</v>
      </c>
      <c r="N184" s="17">
        <f>10*LOG10(M184/E184)</f>
        <v>-100.55959085594198</v>
      </c>
      <c r="O184" s="9">
        <f>J184</f>
        <v>-17.399999999999999</v>
      </c>
      <c r="P184" s="8">
        <f>D184/B184*10^(O184/10)</f>
        <v>0.23049544209059783</v>
      </c>
      <c r="Q184" s="26">
        <f>SUM(P184:P187)</f>
        <v>0.86801143824946192</v>
      </c>
      <c r="R184" s="17">
        <f>10*LOG10(Q184)</f>
        <v>-0.61474551855888693</v>
      </c>
      <c r="S184" s="18">
        <f>F184+N184-Kzt-H</f>
        <v>-16.559590855941977</v>
      </c>
      <c r="T184" s="17">
        <v>0.2</v>
      </c>
      <c r="U184" s="21">
        <f>T184*10^((S184-R184)/10)</f>
        <v>5.0879807781565338E-3</v>
      </c>
    </row>
    <row r="185" spans="1:21" x14ac:dyDescent="0.25">
      <c r="A185" s="24"/>
      <c r="B185" s="24"/>
      <c r="C185" s="17"/>
      <c r="D185" s="24"/>
      <c r="E185" s="24"/>
      <c r="F185" s="25"/>
      <c r="G185" s="1">
        <v>225</v>
      </c>
      <c r="H185" s="2">
        <v>90</v>
      </c>
      <c r="I185" s="2">
        <v>-14.3</v>
      </c>
      <c r="J185" s="2">
        <v>-22.5</v>
      </c>
      <c r="K185" s="2">
        <f t="shared" ref="K185:K217" si="23">I185</f>
        <v>-14.3</v>
      </c>
      <c r="L185" s="8">
        <f t="shared" ref="L185:L186" si="24">10^((K185-H185)/10)</f>
        <v>3.7153522909717256E-11</v>
      </c>
      <c r="M185" s="26"/>
      <c r="N185" s="17"/>
      <c r="O185" s="9">
        <f t="shared" ref="O185:O217" si="25">J185</f>
        <v>-22.5</v>
      </c>
      <c r="P185" s="8">
        <f>D184/B184*10^(O185/10)</f>
        <v>7.1229901190777489E-2</v>
      </c>
      <c r="Q185" s="26"/>
      <c r="R185" s="17"/>
      <c r="S185" s="19"/>
      <c r="T185" s="17"/>
      <c r="U185" s="22"/>
    </row>
    <row r="186" spans="1:21" x14ac:dyDescent="0.25">
      <c r="A186" s="24"/>
      <c r="B186" s="24"/>
      <c r="C186" s="17"/>
      <c r="D186" s="24"/>
      <c r="E186" s="24"/>
      <c r="F186" s="25"/>
      <c r="G186" s="1">
        <v>275</v>
      </c>
      <c r="H186" s="2">
        <v>92.2</v>
      </c>
      <c r="I186" s="2">
        <v>-13</v>
      </c>
      <c r="J186" s="2">
        <v>-18.600000000000001</v>
      </c>
      <c r="K186" s="2">
        <f t="shared" si="23"/>
        <v>-13</v>
      </c>
      <c r="L186" s="8">
        <f t="shared" si="24"/>
        <v>3.0199517204020087E-11</v>
      </c>
      <c r="M186" s="26"/>
      <c r="N186" s="17"/>
      <c r="O186" s="9">
        <f t="shared" si="25"/>
        <v>-18.600000000000001</v>
      </c>
      <c r="P186" s="8">
        <f>D184/B184*10^(O186/10)</f>
        <v>0.17484867351636527</v>
      </c>
      <c r="Q186" s="26"/>
      <c r="R186" s="17"/>
      <c r="S186" s="19"/>
      <c r="T186" s="17"/>
      <c r="U186" s="22"/>
    </row>
    <row r="187" spans="1:21" x14ac:dyDescent="0.25">
      <c r="A187" s="24"/>
      <c r="B187" s="24"/>
      <c r="C187" s="17"/>
      <c r="D187" s="24"/>
      <c r="E187" s="24"/>
      <c r="F187" s="25"/>
      <c r="G187" s="1">
        <v>325</v>
      </c>
      <c r="H187" s="2">
        <v>93.3</v>
      </c>
      <c r="I187" s="2">
        <v>-14.9</v>
      </c>
      <c r="J187" s="2">
        <v>-15.1</v>
      </c>
      <c r="K187" s="2">
        <f t="shared" si="23"/>
        <v>-14.9</v>
      </c>
      <c r="L187" s="8">
        <f>10^((K187-H187)/10)</f>
        <v>1.5135612484362034E-11</v>
      </c>
      <c r="M187" s="26"/>
      <c r="N187" s="17"/>
      <c r="O187" s="9">
        <f t="shared" si="25"/>
        <v>-15.1</v>
      </c>
      <c r="P187" s="8">
        <f>D184/B184*10^(O187/10)</f>
        <v>0.39143742145172139</v>
      </c>
      <c r="Q187" s="26"/>
      <c r="R187" s="17"/>
      <c r="S187" s="20"/>
      <c r="T187" s="17"/>
      <c r="U187" s="23"/>
    </row>
    <row r="188" spans="1:21" x14ac:dyDescent="0.25">
      <c r="A188" s="24">
        <v>500</v>
      </c>
      <c r="B188" s="24">
        <v>3</v>
      </c>
      <c r="C188" s="17">
        <v>0.5</v>
      </c>
      <c r="D188" s="24">
        <v>59</v>
      </c>
      <c r="E188" s="24">
        <v>6</v>
      </c>
      <c r="F188" s="25">
        <v>84</v>
      </c>
      <c r="G188" s="1">
        <v>375</v>
      </c>
      <c r="H188" s="2">
        <v>91.9</v>
      </c>
      <c r="I188" s="2">
        <v>-14.3</v>
      </c>
      <c r="J188" s="2">
        <v>-19.8</v>
      </c>
      <c r="K188" s="2">
        <f t="shared" si="23"/>
        <v>-14.3</v>
      </c>
      <c r="L188" s="8">
        <f t="shared" ref="L188:L189" si="26">10^((K188-H188)/10)</f>
        <v>2.3988329190194783E-11</v>
      </c>
      <c r="M188" s="26">
        <f>SUM(L188:L193)</f>
        <v>1.3077471270637035E-10</v>
      </c>
      <c r="N188" s="17">
        <f>10*LOG10(M188/E188)</f>
        <v>-106.61627475766947</v>
      </c>
      <c r="O188" s="9">
        <f t="shared" si="25"/>
        <v>-19.8</v>
      </c>
      <c r="P188" s="8">
        <f>D188/B188*10^(O188/10)</f>
        <v>0.2059352811166768</v>
      </c>
      <c r="Q188" s="26">
        <f>SUM(P188:P193)</f>
        <v>1.3948101487936224</v>
      </c>
      <c r="R188" s="17">
        <f>10*LOG10(Q188)</f>
        <v>1.4451509869034069</v>
      </c>
      <c r="S188" s="18">
        <f>F188+N188-Kzt-H</f>
        <v>-22.616274757669473</v>
      </c>
      <c r="T188" s="17">
        <v>0.5</v>
      </c>
      <c r="U188" s="21">
        <f>T188*10^((S188-R188)/10)</f>
        <v>1.9625802761030955E-3</v>
      </c>
    </row>
    <row r="189" spans="1:21" x14ac:dyDescent="0.25">
      <c r="A189" s="24"/>
      <c r="B189" s="24"/>
      <c r="C189" s="17"/>
      <c r="D189" s="24"/>
      <c r="E189" s="24"/>
      <c r="F189" s="25"/>
      <c r="G189" s="1">
        <v>425</v>
      </c>
      <c r="H189" s="2">
        <v>88.1</v>
      </c>
      <c r="I189" s="2">
        <v>-16.100000000000001</v>
      </c>
      <c r="J189" s="2">
        <v>-17.100000000000001</v>
      </c>
      <c r="K189" s="2">
        <f t="shared" si="23"/>
        <v>-16.100000000000001</v>
      </c>
      <c r="L189" s="8">
        <f t="shared" si="26"/>
        <v>3.8018939632056257E-11</v>
      </c>
      <c r="M189" s="26"/>
      <c r="N189" s="17"/>
      <c r="O189" s="9">
        <f t="shared" si="25"/>
        <v>-17.100000000000001</v>
      </c>
      <c r="P189" s="8">
        <f>D188/B188*10^(O189/10)</f>
        <v>0.38346943795241523</v>
      </c>
      <c r="Q189" s="26"/>
      <c r="R189" s="17"/>
      <c r="S189" s="19"/>
      <c r="T189" s="17"/>
      <c r="U189" s="22"/>
    </row>
    <row r="190" spans="1:21" x14ac:dyDescent="0.25">
      <c r="A190" s="24"/>
      <c r="B190" s="24"/>
      <c r="C190" s="17"/>
      <c r="D190" s="24"/>
      <c r="E190" s="24"/>
      <c r="F190" s="25"/>
      <c r="G190" s="1">
        <v>475</v>
      </c>
      <c r="H190" s="2">
        <v>90</v>
      </c>
      <c r="I190" s="2">
        <v>-14.5</v>
      </c>
      <c r="J190" s="2">
        <v>-19.3</v>
      </c>
      <c r="K190" s="2">
        <f t="shared" si="23"/>
        <v>-14.5</v>
      </c>
      <c r="L190" s="8">
        <f>10^((K190-H190)/10)</f>
        <v>3.5481338923357562E-11</v>
      </c>
      <c r="M190" s="26"/>
      <c r="N190" s="17"/>
      <c r="O190" s="9">
        <f t="shared" si="25"/>
        <v>-19.3</v>
      </c>
      <c r="P190" s="8">
        <f>D188/B188*10^(O190/10)</f>
        <v>0.23106318580477392</v>
      </c>
      <c r="Q190" s="26"/>
      <c r="R190" s="17"/>
      <c r="S190" s="19"/>
      <c r="T190" s="17"/>
      <c r="U190" s="22"/>
    </row>
    <row r="191" spans="1:21" x14ac:dyDescent="0.25">
      <c r="A191" s="24"/>
      <c r="B191" s="24"/>
      <c r="C191" s="17"/>
      <c r="D191" s="24"/>
      <c r="E191" s="24"/>
      <c r="F191" s="25"/>
      <c r="G191" s="1">
        <v>575</v>
      </c>
      <c r="H191" s="2">
        <v>97</v>
      </c>
      <c r="I191" s="2">
        <v>-14.2</v>
      </c>
      <c r="J191" s="2">
        <v>-20.8</v>
      </c>
      <c r="K191" s="2">
        <f t="shared" si="23"/>
        <v>-14.2</v>
      </c>
      <c r="L191" s="8">
        <f t="shared" ref="L191:L217" si="27">10^((K191-H191)/10)</f>
        <v>7.5857757502918081E-12</v>
      </c>
      <c r="M191" s="26"/>
      <c r="N191" s="17"/>
      <c r="O191" s="9">
        <f t="shared" si="25"/>
        <v>-20.8</v>
      </c>
      <c r="P191" s="8">
        <f>D188/B188*10^(O191/10)</f>
        <v>0.16358020831685854</v>
      </c>
      <c r="Q191" s="26"/>
      <c r="R191" s="17"/>
      <c r="S191" s="19"/>
      <c r="T191" s="17"/>
      <c r="U191" s="22"/>
    </row>
    <row r="192" spans="1:21" x14ac:dyDescent="0.25">
      <c r="A192" s="24"/>
      <c r="B192" s="24"/>
      <c r="C192" s="17"/>
      <c r="D192" s="24"/>
      <c r="E192" s="24"/>
      <c r="F192" s="25"/>
      <c r="G192" s="1">
        <v>625</v>
      </c>
      <c r="H192" s="2">
        <v>92</v>
      </c>
      <c r="I192" s="2">
        <v>-15.3</v>
      </c>
      <c r="J192" s="2">
        <v>-18.5</v>
      </c>
      <c r="K192" s="2">
        <f t="shared" si="23"/>
        <v>-15.3</v>
      </c>
      <c r="L192" s="8">
        <f t="shared" si="27"/>
        <v>1.8620871366628599E-11</v>
      </c>
      <c r="M192" s="26"/>
      <c r="N192" s="17"/>
      <c r="O192" s="9">
        <f t="shared" si="25"/>
        <v>-18.5</v>
      </c>
      <c r="P192" s="8">
        <f>D188/B188*10^(O192/10)</f>
        <v>0.27779905044247472</v>
      </c>
      <c r="Q192" s="26"/>
      <c r="R192" s="17"/>
      <c r="S192" s="19"/>
      <c r="T192" s="17"/>
      <c r="U192" s="22"/>
    </row>
    <row r="193" spans="1:21" x14ac:dyDescent="0.25">
      <c r="A193" s="24"/>
      <c r="B193" s="24"/>
      <c r="C193" s="17"/>
      <c r="D193" s="24"/>
      <c r="E193" s="24"/>
      <c r="F193" s="25"/>
      <c r="G193" s="1">
        <v>675</v>
      </c>
      <c r="H193" s="2">
        <v>94.5</v>
      </c>
      <c r="I193" s="2">
        <v>-17</v>
      </c>
      <c r="J193" s="2">
        <v>-21.7</v>
      </c>
      <c r="K193" s="2">
        <f t="shared" si="23"/>
        <v>-17</v>
      </c>
      <c r="L193" s="8">
        <f t="shared" si="27"/>
        <v>7.0794578438413538E-12</v>
      </c>
      <c r="M193" s="26"/>
      <c r="N193" s="17"/>
      <c r="O193" s="9">
        <f t="shared" si="25"/>
        <v>-21.7</v>
      </c>
      <c r="P193" s="8">
        <f>D188/B188*10^(O193/10)</f>
        <v>0.13296298516042301</v>
      </c>
      <c r="Q193" s="26"/>
      <c r="R193" s="17"/>
      <c r="S193" s="20"/>
      <c r="T193" s="17"/>
      <c r="U193" s="23"/>
    </row>
    <row r="194" spans="1:21" x14ac:dyDescent="0.25">
      <c r="A194" s="24">
        <v>1000</v>
      </c>
      <c r="B194" s="24">
        <v>3</v>
      </c>
      <c r="C194" s="17">
        <v>0.5</v>
      </c>
      <c r="D194" s="24">
        <v>117</v>
      </c>
      <c r="E194" s="24">
        <v>6</v>
      </c>
      <c r="F194" s="25">
        <v>76</v>
      </c>
      <c r="G194" s="1">
        <v>875</v>
      </c>
      <c r="H194" s="2">
        <v>91.1</v>
      </c>
      <c r="I194" s="2">
        <v>-17</v>
      </c>
      <c r="J194" s="2">
        <v>-18.100000000000001</v>
      </c>
      <c r="K194" s="2">
        <f t="shared" si="23"/>
        <v>-17</v>
      </c>
      <c r="L194" s="8">
        <f t="shared" si="27"/>
        <v>1.5488166189124818E-11</v>
      </c>
      <c r="M194" s="26">
        <f>SUM(L194:L199)</f>
        <v>4.5871537913469219E-11</v>
      </c>
      <c r="N194" s="17">
        <f>10*LOG10(M194/E194)</f>
        <v>-111.16607949620816</v>
      </c>
      <c r="O194" s="9">
        <f t="shared" si="25"/>
        <v>-18.100000000000001</v>
      </c>
      <c r="P194" s="8">
        <f>D194/B194*10^(O194/10)</f>
        <v>0.60403848137586735</v>
      </c>
      <c r="Q194" s="26">
        <f>SUM(P194:P199)</f>
        <v>2.0733099447049876</v>
      </c>
      <c r="R194" s="17">
        <f>10*LOG10(Q194)</f>
        <v>3.1666423080257635</v>
      </c>
      <c r="S194" s="18">
        <f>F194+N194-Kzt-H</f>
        <v>-35.166079496208155</v>
      </c>
      <c r="T194" s="17">
        <v>0.8</v>
      </c>
      <c r="U194" s="21">
        <f>T194*10^((S194-R194)/10)</f>
        <v>1.1744047701314413E-4</v>
      </c>
    </row>
    <row r="195" spans="1:21" x14ac:dyDescent="0.25">
      <c r="A195" s="24"/>
      <c r="B195" s="24"/>
      <c r="C195" s="17"/>
      <c r="D195" s="24"/>
      <c r="E195" s="24"/>
      <c r="F195" s="25"/>
      <c r="G195" s="1">
        <v>975</v>
      </c>
      <c r="H195" s="2">
        <v>96.5</v>
      </c>
      <c r="I195" s="2">
        <v>-13.2</v>
      </c>
      <c r="J195" s="2">
        <v>-27.8</v>
      </c>
      <c r="K195" s="2">
        <f t="shared" si="23"/>
        <v>-13.2</v>
      </c>
      <c r="L195" s="8">
        <f t="shared" si="27"/>
        <v>1.0715193052376007E-11</v>
      </c>
      <c r="M195" s="26"/>
      <c r="N195" s="17"/>
      <c r="O195" s="9">
        <f t="shared" si="25"/>
        <v>-27.8</v>
      </c>
      <c r="P195" s="8">
        <f>D194/B194*10^(O195/10)</f>
        <v>6.4723889390064807E-2</v>
      </c>
      <c r="Q195" s="26"/>
      <c r="R195" s="17"/>
      <c r="S195" s="19"/>
      <c r="T195" s="17"/>
      <c r="U195" s="22"/>
    </row>
    <row r="196" spans="1:21" x14ac:dyDescent="0.25">
      <c r="A196" s="24"/>
      <c r="B196" s="24"/>
      <c r="C196" s="17"/>
      <c r="D196" s="24"/>
      <c r="E196" s="24"/>
      <c r="F196" s="25"/>
      <c r="G196" s="1">
        <v>1075</v>
      </c>
      <c r="H196" s="2">
        <v>94.6</v>
      </c>
      <c r="I196" s="2">
        <v>-14.8</v>
      </c>
      <c r="J196" s="2">
        <v>-18.899999999999999</v>
      </c>
      <c r="K196" s="2">
        <f t="shared" si="23"/>
        <v>-14.8</v>
      </c>
      <c r="L196" s="8">
        <f t="shared" si="27"/>
        <v>1.1481536214968803E-11</v>
      </c>
      <c r="M196" s="26"/>
      <c r="N196" s="17"/>
      <c r="O196" s="9">
        <f t="shared" si="25"/>
        <v>-18.899999999999999</v>
      </c>
      <c r="P196" s="8">
        <f>D194/B194*10^(O196/10)</f>
        <v>0.50241732516032189</v>
      </c>
      <c r="Q196" s="26"/>
      <c r="R196" s="17"/>
      <c r="S196" s="19"/>
      <c r="T196" s="17"/>
      <c r="U196" s="22"/>
    </row>
    <row r="197" spans="1:21" x14ac:dyDescent="0.25">
      <c r="A197" s="24"/>
      <c r="B197" s="24"/>
      <c r="C197" s="17"/>
      <c r="D197" s="24"/>
      <c r="E197" s="24"/>
      <c r="F197" s="25"/>
      <c r="G197" s="1">
        <v>1175</v>
      </c>
      <c r="H197" s="2">
        <v>97.8</v>
      </c>
      <c r="I197" s="2">
        <v>-17.2</v>
      </c>
      <c r="J197" s="2">
        <v>-19.8</v>
      </c>
      <c r="K197" s="2">
        <f t="shared" si="23"/>
        <v>-17.2</v>
      </c>
      <c r="L197" s="8">
        <f t="shared" si="27"/>
        <v>3.1622776601683669E-12</v>
      </c>
      <c r="M197" s="26"/>
      <c r="N197" s="17"/>
      <c r="O197" s="9">
        <f t="shared" si="25"/>
        <v>-19.8</v>
      </c>
      <c r="P197" s="8">
        <f>D194/B194*10^(O197/10)</f>
        <v>0.40838013373985055</v>
      </c>
      <c r="Q197" s="26"/>
      <c r="R197" s="17"/>
      <c r="S197" s="19"/>
      <c r="T197" s="17"/>
      <c r="U197" s="22"/>
    </row>
    <row r="198" spans="1:21" x14ac:dyDescent="0.25">
      <c r="A198" s="24"/>
      <c r="B198" s="24"/>
      <c r="C198" s="17"/>
      <c r="D198" s="24"/>
      <c r="E198" s="24"/>
      <c r="F198" s="25"/>
      <c r="G198" s="1">
        <v>1275</v>
      </c>
      <c r="H198" s="2">
        <v>100.1</v>
      </c>
      <c r="I198" s="2">
        <v>-14.9</v>
      </c>
      <c r="J198" s="2">
        <v>-23.1</v>
      </c>
      <c r="K198" s="2">
        <f t="shared" si="23"/>
        <v>-14.9</v>
      </c>
      <c r="L198" s="8">
        <f t="shared" si="27"/>
        <v>3.1622776601683669E-12</v>
      </c>
      <c r="M198" s="26"/>
      <c r="N198" s="17"/>
      <c r="O198" s="9">
        <f t="shared" si="25"/>
        <v>-23.1</v>
      </c>
      <c r="P198" s="8">
        <f>D194/B194*10^(O198/10)</f>
        <v>0.1910137395536938</v>
      </c>
      <c r="Q198" s="26"/>
      <c r="R198" s="17"/>
      <c r="S198" s="19"/>
      <c r="T198" s="17"/>
      <c r="U198" s="22"/>
    </row>
    <row r="199" spans="1:21" x14ac:dyDescent="0.25">
      <c r="A199" s="24"/>
      <c r="B199" s="24"/>
      <c r="C199" s="17"/>
      <c r="D199" s="24"/>
      <c r="E199" s="24"/>
      <c r="F199" s="25"/>
      <c r="G199" s="1">
        <v>1375</v>
      </c>
      <c r="H199" s="2">
        <v>103</v>
      </c>
      <c r="I199" s="2">
        <v>-14.3</v>
      </c>
      <c r="J199" s="2">
        <v>-21.1</v>
      </c>
      <c r="K199" s="2">
        <f t="shared" si="23"/>
        <v>-14.3</v>
      </c>
      <c r="L199" s="8">
        <f t="shared" si="27"/>
        <v>1.8620871366628578E-12</v>
      </c>
      <c r="M199" s="26"/>
      <c r="N199" s="17"/>
      <c r="O199" s="9">
        <f t="shared" si="25"/>
        <v>-21.1</v>
      </c>
      <c r="P199" s="8">
        <f>D194/B194*10^(O199/10)</f>
        <v>0.30273637548518945</v>
      </c>
      <c r="Q199" s="26"/>
      <c r="R199" s="17"/>
      <c r="S199" s="20"/>
      <c r="T199" s="17"/>
      <c r="U199" s="23"/>
    </row>
    <row r="200" spans="1:21" x14ac:dyDescent="0.25">
      <c r="A200" s="24">
        <v>2000</v>
      </c>
      <c r="B200" s="24">
        <v>3</v>
      </c>
      <c r="C200" s="17">
        <v>0.5</v>
      </c>
      <c r="D200" s="24">
        <v>234</v>
      </c>
      <c r="E200" s="24">
        <v>6</v>
      </c>
      <c r="F200" s="25">
        <v>68</v>
      </c>
      <c r="G200" s="1">
        <v>1425</v>
      </c>
      <c r="H200" s="2">
        <v>102.8</v>
      </c>
      <c r="I200" s="2">
        <v>-15.4</v>
      </c>
      <c r="J200" s="2">
        <v>-21.2</v>
      </c>
      <c r="K200" s="2">
        <f t="shared" si="23"/>
        <v>-15.4</v>
      </c>
      <c r="L200" s="8">
        <f t="shared" si="27"/>
        <v>1.5135612484362015E-12</v>
      </c>
      <c r="M200" s="26">
        <f>SUM(L200:L205)</f>
        <v>1.4405615248983775E-11</v>
      </c>
      <c r="N200" s="17">
        <f>10*LOG10(M200/E200)</f>
        <v>-116.19619439101285</v>
      </c>
      <c r="O200" s="9">
        <f t="shared" si="25"/>
        <v>-21.2</v>
      </c>
      <c r="P200" s="8">
        <f>D200/B200*10^(O200/10)</f>
        <v>0.59169050852276273</v>
      </c>
      <c r="Q200" s="26">
        <f>SUM(P200:P205)</f>
        <v>4.0979342658669466</v>
      </c>
      <c r="R200" s="17">
        <f>10*LOG10(Q200)</f>
        <v>6.12564987691281</v>
      </c>
      <c r="S200" s="18">
        <f>F200+N200-Kzt-H</f>
        <v>-48.196194391012853</v>
      </c>
      <c r="T200" s="17">
        <v>1</v>
      </c>
      <c r="U200" s="21">
        <f>T200*10^((S200-R200)/10)</f>
        <v>3.6967116248505243E-6</v>
      </c>
    </row>
    <row r="201" spans="1:21" x14ac:dyDescent="0.25">
      <c r="A201" s="24"/>
      <c r="B201" s="24"/>
      <c r="C201" s="17"/>
      <c r="D201" s="24"/>
      <c r="E201" s="24"/>
      <c r="F201" s="25"/>
      <c r="G201" s="1">
        <v>1625</v>
      </c>
      <c r="H201" s="2">
        <v>104.1</v>
      </c>
      <c r="I201" s="2">
        <v>-15.1</v>
      </c>
      <c r="J201" s="2">
        <v>-20.399999999999999</v>
      </c>
      <c r="K201" s="2">
        <f t="shared" si="23"/>
        <v>-15.1</v>
      </c>
      <c r="L201" s="8">
        <f t="shared" si="27"/>
        <v>1.202264434617413E-12</v>
      </c>
      <c r="M201" s="26"/>
      <c r="N201" s="17"/>
      <c r="O201" s="9">
        <f t="shared" si="25"/>
        <v>-20.399999999999999</v>
      </c>
      <c r="P201" s="8">
        <f>D200/B200*10^(O201/10)</f>
        <v>0.7113684546976089</v>
      </c>
      <c r="Q201" s="26"/>
      <c r="R201" s="17"/>
      <c r="S201" s="19"/>
      <c r="T201" s="17"/>
      <c r="U201" s="22"/>
    </row>
    <row r="202" spans="1:21" x14ac:dyDescent="0.25">
      <c r="A202" s="24"/>
      <c r="B202" s="24"/>
      <c r="C202" s="17"/>
      <c r="D202" s="24"/>
      <c r="E202" s="24"/>
      <c r="F202" s="25"/>
      <c r="G202" s="1">
        <v>1825</v>
      </c>
      <c r="H202" s="2">
        <v>107.6</v>
      </c>
      <c r="I202" s="2">
        <v>-16.399999999999999</v>
      </c>
      <c r="J202" s="2">
        <v>-17.7</v>
      </c>
      <c r="K202" s="2">
        <f t="shared" si="23"/>
        <v>-16.399999999999999</v>
      </c>
      <c r="L202" s="8">
        <f t="shared" si="27"/>
        <v>3.9810717055349631E-13</v>
      </c>
      <c r="M202" s="26"/>
      <c r="N202" s="17"/>
      <c r="O202" s="9">
        <f t="shared" si="25"/>
        <v>-17.7</v>
      </c>
      <c r="P202" s="8">
        <f>D200/B200*10^(O202/10)</f>
        <v>1.3246300489201595</v>
      </c>
      <c r="Q202" s="26"/>
      <c r="R202" s="17"/>
      <c r="S202" s="19"/>
      <c r="T202" s="17"/>
      <c r="U202" s="22"/>
    </row>
    <row r="203" spans="1:21" x14ac:dyDescent="0.25">
      <c r="A203" s="24"/>
      <c r="B203" s="24"/>
      <c r="C203" s="17"/>
      <c r="D203" s="24"/>
      <c r="E203" s="24"/>
      <c r="F203" s="25"/>
      <c r="G203" s="1">
        <v>2125</v>
      </c>
      <c r="H203" s="2">
        <v>104.2</v>
      </c>
      <c r="I203" s="2">
        <v>-15.6</v>
      </c>
      <c r="J203" s="2">
        <v>-25</v>
      </c>
      <c r="K203" s="2">
        <f t="shared" si="23"/>
        <v>-15.6</v>
      </c>
      <c r="L203" s="8">
        <f t="shared" si="27"/>
        <v>1.0471285480508967E-12</v>
      </c>
      <c r="M203" s="26"/>
      <c r="N203" s="17"/>
      <c r="O203" s="9">
        <f t="shared" si="25"/>
        <v>-25</v>
      </c>
      <c r="P203" s="8">
        <f>D200/B200*10^(O203/10)</f>
        <v>0.24665765749313334</v>
      </c>
      <c r="Q203" s="26"/>
      <c r="R203" s="17"/>
      <c r="S203" s="19"/>
      <c r="T203" s="17"/>
      <c r="U203" s="22"/>
    </row>
    <row r="204" spans="1:21" x14ac:dyDescent="0.25">
      <c r="A204" s="24"/>
      <c r="B204" s="24"/>
      <c r="C204" s="17"/>
      <c r="D204" s="24"/>
      <c r="E204" s="24"/>
      <c r="F204" s="25"/>
      <c r="G204" s="1">
        <v>2425</v>
      </c>
      <c r="H204" s="2">
        <v>93.7</v>
      </c>
      <c r="I204" s="2">
        <v>-16.600000000000001</v>
      </c>
      <c r="J204" s="2">
        <v>-19.5</v>
      </c>
      <c r="K204" s="2">
        <f t="shared" si="23"/>
        <v>-16.600000000000001</v>
      </c>
      <c r="L204" s="8">
        <f t="shared" si="27"/>
        <v>9.3325430079698653E-12</v>
      </c>
      <c r="M204" s="26"/>
      <c r="N204" s="17"/>
      <c r="O204" s="9">
        <f t="shared" si="25"/>
        <v>-19.5</v>
      </c>
      <c r="P204" s="8">
        <f>D200/B200*10^(O204/10)</f>
        <v>0.87517439435553146</v>
      </c>
      <c r="Q204" s="26"/>
      <c r="R204" s="17"/>
      <c r="S204" s="19"/>
      <c r="T204" s="17"/>
      <c r="U204" s="22"/>
    </row>
    <row r="205" spans="1:21" x14ac:dyDescent="0.25">
      <c r="A205" s="24"/>
      <c r="B205" s="24"/>
      <c r="C205" s="17"/>
      <c r="D205" s="24"/>
      <c r="E205" s="24"/>
      <c r="F205" s="25"/>
      <c r="G205" s="1">
        <v>2775</v>
      </c>
      <c r="H205" s="2">
        <v>100.2</v>
      </c>
      <c r="I205" s="2">
        <v>-20.2</v>
      </c>
      <c r="J205" s="2">
        <v>-23.5</v>
      </c>
      <c r="K205" s="2">
        <f t="shared" si="23"/>
        <v>-20.2</v>
      </c>
      <c r="L205" s="8">
        <f t="shared" si="27"/>
        <v>9.1201083935590446E-13</v>
      </c>
      <c r="M205" s="26"/>
      <c r="N205" s="17"/>
      <c r="O205" s="9">
        <f t="shared" si="25"/>
        <v>-23.5</v>
      </c>
      <c r="P205" s="8">
        <f>D200/B200*10^(O205/10)</f>
        <v>0.34841320187775099</v>
      </c>
      <c r="Q205" s="26"/>
      <c r="R205" s="17"/>
      <c r="S205" s="20"/>
      <c r="T205" s="17"/>
      <c r="U205" s="23"/>
    </row>
    <row r="206" spans="1:21" x14ac:dyDescent="0.25">
      <c r="A206" s="24">
        <v>4000</v>
      </c>
      <c r="B206" s="24">
        <v>3</v>
      </c>
      <c r="C206" s="17">
        <v>0.5</v>
      </c>
      <c r="D206" s="24">
        <v>470</v>
      </c>
      <c r="E206" s="24">
        <v>6</v>
      </c>
      <c r="F206" s="25">
        <v>62</v>
      </c>
      <c r="G206" s="1">
        <v>2825</v>
      </c>
      <c r="H206" s="2">
        <v>99.4</v>
      </c>
      <c r="I206" s="2">
        <v>-15.8</v>
      </c>
      <c r="J206" s="2">
        <v>-20.3</v>
      </c>
      <c r="K206" s="2">
        <f t="shared" si="23"/>
        <v>-15.8</v>
      </c>
      <c r="L206" s="8">
        <f t="shared" si="27"/>
        <v>3.0199517204020161E-12</v>
      </c>
      <c r="M206" s="26">
        <f>SUM(L206:L211)</f>
        <v>8.2934904690818821E-12</v>
      </c>
      <c r="N206" s="17">
        <f>10*LOG10(M206/E206)</f>
        <v>-118.59413900482194</v>
      </c>
      <c r="O206" s="9">
        <f t="shared" si="25"/>
        <v>-20.3</v>
      </c>
      <c r="P206" s="8">
        <f>D206/B206*10^(O206/10)</f>
        <v>1.4620984045819512</v>
      </c>
      <c r="Q206" s="26">
        <f>SUM(P206:P211)</f>
        <v>6.562336554801024</v>
      </c>
      <c r="R206" s="17">
        <f>10*LOG10(Q206)</f>
        <v>8.1705849976914067</v>
      </c>
      <c r="S206" s="18">
        <f>F206+N206-Kzt-H</f>
        <v>-56.59413900482194</v>
      </c>
      <c r="T206" s="17">
        <v>0.9</v>
      </c>
      <c r="U206" s="21">
        <f>T206*10^((S206-R206)/10)</f>
        <v>3.0044854777920317E-7</v>
      </c>
    </row>
    <row r="207" spans="1:21" x14ac:dyDescent="0.25">
      <c r="A207" s="24"/>
      <c r="B207" s="24"/>
      <c r="C207" s="17"/>
      <c r="D207" s="24"/>
      <c r="E207" s="24"/>
      <c r="F207" s="25"/>
      <c r="G207" s="1">
        <v>3425</v>
      </c>
      <c r="H207" s="2">
        <v>103.5</v>
      </c>
      <c r="I207" s="2">
        <v>-16</v>
      </c>
      <c r="J207" s="2">
        <v>-20.9</v>
      </c>
      <c r="K207" s="2">
        <f t="shared" si="23"/>
        <v>-16</v>
      </c>
      <c r="L207" s="8">
        <f t="shared" si="27"/>
        <v>1.122018454301964E-12</v>
      </c>
      <c r="M207" s="26"/>
      <c r="N207" s="17"/>
      <c r="O207" s="9">
        <f t="shared" si="25"/>
        <v>-20.9</v>
      </c>
      <c r="P207" s="8">
        <f>D206/B206*10^(O207/10)</f>
        <v>1.273434475323755</v>
      </c>
      <c r="Q207" s="26"/>
      <c r="R207" s="17"/>
      <c r="S207" s="19"/>
      <c r="T207" s="17"/>
      <c r="U207" s="22"/>
    </row>
    <row r="208" spans="1:21" x14ac:dyDescent="0.25">
      <c r="A208" s="24"/>
      <c r="B208" s="24"/>
      <c r="C208" s="17"/>
      <c r="D208" s="24"/>
      <c r="E208" s="24"/>
      <c r="F208" s="25"/>
      <c r="G208" s="1">
        <v>4025</v>
      </c>
      <c r="H208" s="2">
        <v>103.6</v>
      </c>
      <c r="I208" s="2">
        <v>-19.700000000000003</v>
      </c>
      <c r="J208" s="2">
        <v>-20.100000000000001</v>
      </c>
      <c r="K208" s="2">
        <f t="shared" si="23"/>
        <v>-19.700000000000003</v>
      </c>
      <c r="L208" s="8">
        <f t="shared" si="27"/>
        <v>4.6773514128719676E-13</v>
      </c>
      <c r="M208" s="26"/>
      <c r="N208" s="17"/>
      <c r="O208" s="9">
        <f t="shared" si="25"/>
        <v>-20.100000000000001</v>
      </c>
      <c r="P208" s="8">
        <f>D206/B206*10^(O208/10)</f>
        <v>1.5310049794974347</v>
      </c>
      <c r="Q208" s="26"/>
      <c r="R208" s="17"/>
      <c r="S208" s="19"/>
      <c r="T208" s="17"/>
      <c r="U208" s="22"/>
    </row>
    <row r="209" spans="1:21" x14ac:dyDescent="0.25">
      <c r="A209" s="24"/>
      <c r="B209" s="24"/>
      <c r="C209" s="17"/>
      <c r="D209" s="24"/>
      <c r="E209" s="24"/>
      <c r="F209" s="25"/>
      <c r="G209" s="1">
        <v>4625</v>
      </c>
      <c r="H209" s="2">
        <v>105.6</v>
      </c>
      <c r="I209" s="2">
        <v>-17.7</v>
      </c>
      <c r="J209" s="2">
        <v>-26</v>
      </c>
      <c r="K209" s="2">
        <f t="shared" si="23"/>
        <v>-17.7</v>
      </c>
      <c r="L209" s="8">
        <f t="shared" si="27"/>
        <v>4.6773514128719676E-13</v>
      </c>
      <c r="M209" s="26"/>
      <c r="N209" s="17"/>
      <c r="O209" s="9">
        <f t="shared" si="25"/>
        <v>-26</v>
      </c>
      <c r="P209" s="8">
        <f>D206/B206*10^(O209/10)</f>
        <v>0.39352887426983379</v>
      </c>
      <c r="Q209" s="26"/>
      <c r="R209" s="17"/>
      <c r="S209" s="19"/>
      <c r="T209" s="17"/>
      <c r="U209" s="22"/>
    </row>
    <row r="210" spans="1:21" x14ac:dyDescent="0.25">
      <c r="A210" s="24"/>
      <c r="B210" s="24"/>
      <c r="C210" s="17"/>
      <c r="D210" s="24"/>
      <c r="E210" s="24"/>
      <c r="F210" s="25"/>
      <c r="G210" s="1">
        <v>5225</v>
      </c>
      <c r="H210" s="2">
        <v>103.5</v>
      </c>
      <c r="I210" s="2">
        <v>-18.399999999999999</v>
      </c>
      <c r="J210" s="2">
        <v>-23.1</v>
      </c>
      <c r="K210" s="2">
        <f t="shared" si="23"/>
        <v>-18.399999999999999</v>
      </c>
      <c r="L210" s="8">
        <f t="shared" si="27"/>
        <v>6.456542290346527E-13</v>
      </c>
      <c r="M210" s="26"/>
      <c r="N210" s="17"/>
      <c r="O210" s="9">
        <f t="shared" si="25"/>
        <v>-23.1</v>
      </c>
      <c r="P210" s="8">
        <f>D206/B206*10^(O210/10)</f>
        <v>0.76732015034389811</v>
      </c>
      <c r="Q210" s="26"/>
      <c r="R210" s="17"/>
      <c r="S210" s="19"/>
      <c r="T210" s="17"/>
      <c r="U210" s="22"/>
    </row>
    <row r="211" spans="1:21" x14ac:dyDescent="0.25">
      <c r="A211" s="24"/>
      <c r="B211" s="24"/>
      <c r="C211" s="17"/>
      <c r="D211" s="24"/>
      <c r="E211" s="24"/>
      <c r="F211" s="25"/>
      <c r="G211" s="1">
        <v>5625</v>
      </c>
      <c r="H211" s="2">
        <v>99.5</v>
      </c>
      <c r="I211" s="2">
        <v>-16.399999999999999</v>
      </c>
      <c r="J211" s="2">
        <v>-21.4</v>
      </c>
      <c r="K211" s="2">
        <f t="shared" si="23"/>
        <v>-16.399999999999999</v>
      </c>
      <c r="L211" s="8">
        <f t="shared" si="27"/>
        <v>2.5703957827688561E-12</v>
      </c>
      <c r="M211" s="26"/>
      <c r="N211" s="17"/>
      <c r="O211" s="9">
        <f t="shared" si="25"/>
        <v>-21.4</v>
      </c>
      <c r="P211" s="8">
        <f>D206/B206*10^(O211/10)</f>
        <v>1.1349496707841509</v>
      </c>
      <c r="Q211" s="26"/>
      <c r="R211" s="17"/>
      <c r="S211" s="20"/>
      <c r="T211" s="17"/>
      <c r="U211" s="23"/>
    </row>
    <row r="212" spans="1:21" x14ac:dyDescent="0.25">
      <c r="A212" s="24">
        <v>8000</v>
      </c>
      <c r="B212" s="24">
        <v>3</v>
      </c>
      <c r="C212" s="17">
        <v>0.5</v>
      </c>
      <c r="D212" s="24">
        <v>943</v>
      </c>
      <c r="E212" s="24">
        <v>6</v>
      </c>
      <c r="F212" s="25">
        <v>54</v>
      </c>
      <c r="G212" s="1">
        <v>6025</v>
      </c>
      <c r="H212" s="2">
        <v>95</v>
      </c>
      <c r="I212" s="2">
        <v>-18.600000000000001</v>
      </c>
      <c r="J212" s="2">
        <v>-20.399999999999999</v>
      </c>
      <c r="K212" s="2">
        <f t="shared" si="23"/>
        <v>-18.600000000000001</v>
      </c>
      <c r="L212" s="8">
        <f t="shared" si="27"/>
        <v>4.3651583224016522E-12</v>
      </c>
      <c r="M212" s="26">
        <f>SUM(L212:L217)</f>
        <v>2.1347406368858641E-10</v>
      </c>
      <c r="N212" s="17">
        <f>10*LOG10(M212/E212)</f>
        <v>-104.48806132995281</v>
      </c>
      <c r="O212" s="9">
        <f t="shared" si="25"/>
        <v>-20.399999999999999</v>
      </c>
      <c r="P212" s="8">
        <f>D212/B212*10^(O212/10)</f>
        <v>2.8667540717087401</v>
      </c>
      <c r="Q212" s="26">
        <f>SUM(P212:P217)</f>
        <v>14.789607076594152</v>
      </c>
      <c r="R212" s="17">
        <f>10*LOG10(Q212)</f>
        <v>11.699566360162466</v>
      </c>
      <c r="S212" s="18">
        <f>F212+N212-Kzt-H</f>
        <v>-50.488061329952814</v>
      </c>
      <c r="T212" s="17">
        <v>0.7</v>
      </c>
      <c r="U212" s="21">
        <f>T212*10^((S212-R212)/10)</f>
        <v>4.2299503619564598E-7</v>
      </c>
    </row>
    <row r="213" spans="1:21" x14ac:dyDescent="0.25">
      <c r="A213" s="24"/>
      <c r="B213" s="24"/>
      <c r="C213" s="17"/>
      <c r="D213" s="24"/>
      <c r="E213" s="24"/>
      <c r="F213" s="25"/>
      <c r="G213" s="1">
        <v>7025</v>
      </c>
      <c r="H213" s="2">
        <v>94.8</v>
      </c>
      <c r="I213" s="2">
        <v>-12.7</v>
      </c>
      <c r="J213" s="2">
        <v>-21.9</v>
      </c>
      <c r="K213" s="2">
        <f t="shared" si="23"/>
        <v>-12.7</v>
      </c>
      <c r="L213" s="8">
        <f t="shared" si="27"/>
        <v>1.7782794100389159E-11</v>
      </c>
      <c r="M213" s="26"/>
      <c r="N213" s="17"/>
      <c r="O213" s="9">
        <f t="shared" si="25"/>
        <v>-21.9</v>
      </c>
      <c r="P213" s="8">
        <f>D212/B212*10^(O213/10)</f>
        <v>2.0295064599322661</v>
      </c>
      <c r="Q213" s="26"/>
      <c r="R213" s="17"/>
      <c r="S213" s="19"/>
      <c r="T213" s="17"/>
      <c r="U213" s="22"/>
    </row>
    <row r="214" spans="1:21" x14ac:dyDescent="0.25">
      <c r="A214" s="24"/>
      <c r="B214" s="24"/>
      <c r="C214" s="17"/>
      <c r="D214" s="24"/>
      <c r="E214" s="24"/>
      <c r="F214" s="25"/>
      <c r="G214" s="1">
        <v>8025</v>
      </c>
      <c r="H214" s="2">
        <v>101.9</v>
      </c>
      <c r="I214" s="2">
        <v>-15</v>
      </c>
      <c r="J214" s="2">
        <v>-18</v>
      </c>
      <c r="K214" s="2">
        <f t="shared" si="23"/>
        <v>-15</v>
      </c>
      <c r="L214" s="8">
        <f t="shared" si="27"/>
        <v>2.0417379446695178E-12</v>
      </c>
      <c r="M214" s="26"/>
      <c r="N214" s="17"/>
      <c r="O214" s="9">
        <f t="shared" si="25"/>
        <v>-18</v>
      </c>
      <c r="P214" s="8">
        <f>D212/B212*10^(O214/10)</f>
        <v>4.9818476016360966</v>
      </c>
      <c r="Q214" s="26"/>
      <c r="R214" s="17"/>
      <c r="S214" s="19"/>
      <c r="T214" s="17"/>
      <c r="U214" s="22"/>
    </row>
    <row r="215" spans="1:21" x14ac:dyDescent="0.25">
      <c r="A215" s="24"/>
      <c r="B215" s="24"/>
      <c r="C215" s="17"/>
      <c r="D215" s="24"/>
      <c r="E215" s="24"/>
      <c r="F215" s="25"/>
      <c r="G215" s="1">
        <v>9025</v>
      </c>
      <c r="H215" s="2">
        <v>93.2</v>
      </c>
      <c r="I215" s="2">
        <v>-16.2</v>
      </c>
      <c r="J215" s="2">
        <v>-21.6</v>
      </c>
      <c r="K215" s="2">
        <f t="shared" si="23"/>
        <v>-16.2</v>
      </c>
      <c r="L215" s="8">
        <f t="shared" si="27"/>
        <v>1.1481536214968764E-11</v>
      </c>
      <c r="M215" s="26"/>
      <c r="N215" s="17"/>
      <c r="O215" s="9">
        <f t="shared" si="25"/>
        <v>-21.6</v>
      </c>
      <c r="P215" s="8">
        <f>D212/B212*10^(O215/10)</f>
        <v>2.1746553519218552</v>
      </c>
      <c r="Q215" s="26"/>
      <c r="R215" s="17"/>
      <c r="S215" s="19"/>
      <c r="T215" s="17"/>
      <c r="U215" s="22"/>
    </row>
    <row r="216" spans="1:21" x14ac:dyDescent="0.25">
      <c r="A216" s="24"/>
      <c r="B216" s="24"/>
      <c r="C216" s="17"/>
      <c r="D216" s="24"/>
      <c r="E216" s="24"/>
      <c r="F216" s="25"/>
      <c r="G216" s="1">
        <v>10025</v>
      </c>
      <c r="H216" s="2">
        <v>88.3</v>
      </c>
      <c r="I216" s="2">
        <v>-14.8</v>
      </c>
      <c r="J216" s="2">
        <v>-25.5</v>
      </c>
      <c r="K216" s="2">
        <f t="shared" si="23"/>
        <v>-14.8</v>
      </c>
      <c r="L216" s="8">
        <f t="shared" si="27"/>
        <v>4.8977881936844573E-11</v>
      </c>
      <c r="M216" s="26"/>
      <c r="N216" s="17"/>
      <c r="O216" s="9">
        <f t="shared" si="25"/>
        <v>-25.5</v>
      </c>
      <c r="P216" s="8">
        <f>D212/B212*10^(O216/10)</f>
        <v>0.88591170139412612</v>
      </c>
      <c r="Q216" s="26"/>
      <c r="R216" s="17"/>
      <c r="S216" s="19"/>
      <c r="T216" s="17"/>
      <c r="U216" s="22"/>
    </row>
    <row r="217" spans="1:21" x14ac:dyDescent="0.25">
      <c r="A217" s="24"/>
      <c r="B217" s="24"/>
      <c r="C217" s="17"/>
      <c r="D217" s="24"/>
      <c r="E217" s="24"/>
      <c r="F217" s="25"/>
      <c r="G217" s="1">
        <v>11025</v>
      </c>
      <c r="H217" s="2">
        <v>86</v>
      </c>
      <c r="I217" s="2">
        <v>-12.9</v>
      </c>
      <c r="J217" s="2">
        <v>-22.3</v>
      </c>
      <c r="K217" s="2">
        <f t="shared" si="23"/>
        <v>-12.9</v>
      </c>
      <c r="L217" s="8">
        <f t="shared" si="27"/>
        <v>1.2882495516931275E-10</v>
      </c>
      <c r="M217" s="26"/>
      <c r="N217" s="17"/>
      <c r="O217" s="9">
        <f t="shared" si="25"/>
        <v>-22.3</v>
      </c>
      <c r="P217" s="8">
        <f>D212/B212*10^(O217/10)</f>
        <v>1.8509318900010678</v>
      </c>
      <c r="Q217" s="26"/>
      <c r="R217" s="17"/>
      <c r="S217" s="20"/>
      <c r="T217" s="17"/>
      <c r="U217" s="23"/>
    </row>
    <row r="218" spans="1:21" x14ac:dyDescent="0.25">
      <c r="A218" s="24" t="s">
        <v>20</v>
      </c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12">
        <f>U218</f>
        <v>6.7752120847603167E-2</v>
      </c>
      <c r="T218" s="2"/>
      <c r="U218" s="8">
        <f>0.8*SQRT(SUM(U184:U217))</f>
        <v>6.7752120847603167E-2</v>
      </c>
    </row>
    <row r="219" spans="1:21" x14ac:dyDescent="0.25">
      <c r="A219" s="27" t="s">
        <v>58</v>
      </c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9"/>
    </row>
    <row r="220" spans="1:21" x14ac:dyDescent="0.25">
      <c r="A220" s="24">
        <v>250</v>
      </c>
      <c r="B220" s="24">
        <v>3</v>
      </c>
      <c r="C220" s="17">
        <v>0.5</v>
      </c>
      <c r="D220" s="24">
        <v>38</v>
      </c>
      <c r="E220" s="24">
        <v>4</v>
      </c>
      <c r="F220" s="25">
        <v>84</v>
      </c>
      <c r="G220" s="1">
        <v>175</v>
      </c>
      <c r="H220" s="2">
        <v>84.8</v>
      </c>
      <c r="I220" s="2">
        <v>-19.899999999999999</v>
      </c>
      <c r="J220" s="2">
        <v>-29.5</v>
      </c>
      <c r="K220" s="2">
        <f>I220</f>
        <v>-19.899999999999999</v>
      </c>
      <c r="L220" s="8">
        <f>10^((K220-H220)/10)</f>
        <v>3.3884415613920273E-11</v>
      </c>
      <c r="M220" s="26">
        <f>SUM(L220:L223)</f>
        <v>5.4980275214221714E-11</v>
      </c>
      <c r="N220" s="17">
        <f>10*LOG10(M220/E220)</f>
        <v>-108.61853081871465</v>
      </c>
      <c r="O220" s="9">
        <f>J220</f>
        <v>-29.5</v>
      </c>
      <c r="P220" s="8">
        <f>D220/B220*10^(O220/10)</f>
        <v>1.4212233754491521E-2</v>
      </c>
      <c r="Q220" s="26">
        <f>SUM(P220:P223)</f>
        <v>0.10272140048918899</v>
      </c>
      <c r="R220" s="17">
        <f>10*LOG10(Q220)</f>
        <v>-9.8833906812471088</v>
      </c>
      <c r="S220" s="18">
        <f>F220+N220-Kzt-H</f>
        <v>-24.618530818714646</v>
      </c>
      <c r="T220" s="17">
        <v>0.2</v>
      </c>
      <c r="U220" s="21">
        <f>T220*10^((S220-R220)/10)</f>
        <v>6.7222704642642007E-3</v>
      </c>
    </row>
    <row r="221" spans="1:21" x14ac:dyDescent="0.25">
      <c r="A221" s="24"/>
      <c r="B221" s="24"/>
      <c r="C221" s="17"/>
      <c r="D221" s="24"/>
      <c r="E221" s="24"/>
      <c r="F221" s="25"/>
      <c r="G221" s="1">
        <v>225</v>
      </c>
      <c r="H221" s="2">
        <v>90</v>
      </c>
      <c r="I221" s="2">
        <v>-23.6</v>
      </c>
      <c r="J221" s="2">
        <v>-25.6</v>
      </c>
      <c r="K221" s="2">
        <f t="shared" ref="K221:K253" si="28">I221</f>
        <v>-23.6</v>
      </c>
      <c r="L221" s="8">
        <f t="shared" ref="L221:L222" si="29">10^((K221-H221)/10)</f>
        <v>4.3651583224016522E-12</v>
      </c>
      <c r="M221" s="26"/>
      <c r="N221" s="17"/>
      <c r="O221" s="9">
        <f t="shared" ref="O221:O253" si="30">J221</f>
        <v>-25.6</v>
      </c>
      <c r="P221" s="8">
        <f>D220/B220*10^(O221/10)</f>
        <v>3.4886896908950089E-2</v>
      </c>
      <c r="Q221" s="26"/>
      <c r="R221" s="17"/>
      <c r="S221" s="19"/>
      <c r="T221" s="17"/>
      <c r="U221" s="22"/>
    </row>
    <row r="222" spans="1:21" x14ac:dyDescent="0.25">
      <c r="A222" s="24"/>
      <c r="B222" s="24"/>
      <c r="C222" s="17"/>
      <c r="D222" s="24"/>
      <c r="E222" s="24"/>
      <c r="F222" s="25"/>
      <c r="G222" s="1">
        <v>275</v>
      </c>
      <c r="H222" s="2">
        <v>92.2</v>
      </c>
      <c r="I222" s="2">
        <v>-16.600000000000001</v>
      </c>
      <c r="J222" s="2">
        <v>-28.3</v>
      </c>
      <c r="K222" s="2">
        <f t="shared" si="28"/>
        <v>-16.600000000000001</v>
      </c>
      <c r="L222" s="8">
        <f t="shared" si="29"/>
        <v>1.3182567385564036E-11</v>
      </c>
      <c r="M222" s="26"/>
      <c r="N222" s="17"/>
      <c r="O222" s="9">
        <f t="shared" si="30"/>
        <v>-28.3</v>
      </c>
      <c r="P222" s="8">
        <f>D220/B220*10^(O222/10)</f>
        <v>1.8735372916797284E-2</v>
      </c>
      <c r="Q222" s="26"/>
      <c r="R222" s="17"/>
      <c r="S222" s="19"/>
      <c r="T222" s="17"/>
      <c r="U222" s="22"/>
    </row>
    <row r="223" spans="1:21" x14ac:dyDescent="0.25">
      <c r="A223" s="24"/>
      <c r="B223" s="24"/>
      <c r="C223" s="17"/>
      <c r="D223" s="24"/>
      <c r="E223" s="24"/>
      <c r="F223" s="25"/>
      <c r="G223" s="1">
        <v>325</v>
      </c>
      <c r="H223" s="2">
        <v>93.3</v>
      </c>
      <c r="I223" s="2">
        <v>-21.2</v>
      </c>
      <c r="J223" s="2">
        <v>-25.6</v>
      </c>
      <c r="K223" s="2">
        <f t="shared" si="28"/>
        <v>-21.2</v>
      </c>
      <c r="L223" s="8">
        <f>10^((K223-H223)/10)</f>
        <v>3.5481338923357515E-12</v>
      </c>
      <c r="M223" s="26"/>
      <c r="N223" s="17"/>
      <c r="O223" s="9">
        <f t="shared" si="30"/>
        <v>-25.6</v>
      </c>
      <c r="P223" s="8">
        <f>D220/B220*10^(O223/10)</f>
        <v>3.4886896908950089E-2</v>
      </c>
      <c r="Q223" s="26"/>
      <c r="R223" s="17"/>
      <c r="S223" s="20"/>
      <c r="T223" s="17"/>
      <c r="U223" s="23"/>
    </row>
    <row r="224" spans="1:21" x14ac:dyDescent="0.25">
      <c r="A224" s="24">
        <v>500</v>
      </c>
      <c r="B224" s="24">
        <v>3</v>
      </c>
      <c r="C224" s="17">
        <v>0.5</v>
      </c>
      <c r="D224" s="24">
        <v>59</v>
      </c>
      <c r="E224" s="24">
        <v>6</v>
      </c>
      <c r="F224" s="25">
        <v>84</v>
      </c>
      <c r="G224" s="1">
        <v>375</v>
      </c>
      <c r="H224" s="2">
        <v>91.9</v>
      </c>
      <c r="I224" s="2">
        <v>-24.9</v>
      </c>
      <c r="J224" s="2">
        <v>-27.4</v>
      </c>
      <c r="K224" s="2">
        <f t="shared" si="28"/>
        <v>-24.9</v>
      </c>
      <c r="L224" s="8">
        <f t="shared" ref="L224:L225" si="31">10^((K224-H224)/10)</f>
        <v>2.0892961308540277E-12</v>
      </c>
      <c r="M224" s="26">
        <f>SUM(L224:L229)</f>
        <v>2.0282171497475206E-11</v>
      </c>
      <c r="N224" s="17">
        <f>10*LOG10(M224/E224)</f>
        <v>-114.71036799777346</v>
      </c>
      <c r="O224" s="9">
        <f t="shared" si="30"/>
        <v>-27.4</v>
      </c>
      <c r="P224" s="8">
        <f>D224/B224*10^(O224/10)</f>
        <v>3.5787450219329664E-2</v>
      </c>
      <c r="Q224" s="26">
        <f>SUM(P224:P229)</f>
        <v>0.23459565485100486</v>
      </c>
      <c r="R224" s="17">
        <f>10*LOG10(Q224)</f>
        <v>-6.2968003608966097</v>
      </c>
      <c r="S224" s="18">
        <f>F224+N224-Kzt-H</f>
        <v>-30.71036799777346</v>
      </c>
      <c r="T224" s="17">
        <v>0.5</v>
      </c>
      <c r="U224" s="21">
        <f>T224*10^((S224-R224)/10)</f>
        <v>1.8097277284190377E-3</v>
      </c>
    </row>
    <row r="225" spans="1:21" x14ac:dyDescent="0.25">
      <c r="A225" s="24"/>
      <c r="B225" s="24"/>
      <c r="C225" s="17"/>
      <c r="D225" s="24"/>
      <c r="E225" s="24"/>
      <c r="F225" s="25"/>
      <c r="G225" s="1">
        <v>425</v>
      </c>
      <c r="H225" s="2">
        <v>88.1</v>
      </c>
      <c r="I225" s="2">
        <v>-22.6</v>
      </c>
      <c r="J225" s="2">
        <v>-25.3</v>
      </c>
      <c r="K225" s="2">
        <f t="shared" si="28"/>
        <v>-22.6</v>
      </c>
      <c r="L225" s="8">
        <f t="shared" si="31"/>
        <v>8.5113803820237871E-12</v>
      </c>
      <c r="M225" s="26"/>
      <c r="N225" s="17"/>
      <c r="O225" s="9">
        <f t="shared" si="30"/>
        <v>-25.3</v>
      </c>
      <c r="P225" s="8">
        <f>D224/B224*10^(O225/10)</f>
        <v>5.8040448124438884E-2</v>
      </c>
      <c r="Q225" s="26"/>
      <c r="R225" s="17"/>
      <c r="S225" s="19"/>
      <c r="T225" s="17"/>
      <c r="U225" s="22"/>
    </row>
    <row r="226" spans="1:21" x14ac:dyDescent="0.25">
      <c r="A226" s="24"/>
      <c r="B226" s="24"/>
      <c r="C226" s="17"/>
      <c r="D226" s="24"/>
      <c r="E226" s="24"/>
      <c r="F226" s="25"/>
      <c r="G226" s="1">
        <v>475</v>
      </c>
      <c r="H226" s="2">
        <v>90</v>
      </c>
      <c r="I226" s="2">
        <v>-26.6</v>
      </c>
      <c r="J226" s="2">
        <v>-27.2</v>
      </c>
      <c r="K226" s="2">
        <f t="shared" si="28"/>
        <v>-26.6</v>
      </c>
      <c r="L226" s="8">
        <f>10^((K226-H226)/10)</f>
        <v>2.1877616239495474E-12</v>
      </c>
      <c r="M226" s="26"/>
      <c r="N226" s="17"/>
      <c r="O226" s="9">
        <f t="shared" si="30"/>
        <v>-27.2</v>
      </c>
      <c r="P226" s="8">
        <f>D224/B224*10^(O226/10)</f>
        <v>3.7474060786610537E-2</v>
      </c>
      <c r="Q226" s="26"/>
      <c r="R226" s="17"/>
      <c r="S226" s="19"/>
      <c r="T226" s="17"/>
      <c r="U226" s="22"/>
    </row>
    <row r="227" spans="1:21" x14ac:dyDescent="0.25">
      <c r="A227" s="24"/>
      <c r="B227" s="24"/>
      <c r="C227" s="17"/>
      <c r="D227" s="24"/>
      <c r="E227" s="24"/>
      <c r="F227" s="25"/>
      <c r="G227" s="1">
        <v>575</v>
      </c>
      <c r="H227" s="2">
        <v>97</v>
      </c>
      <c r="I227" s="2">
        <v>-22.8</v>
      </c>
      <c r="J227" s="2">
        <v>-26.4</v>
      </c>
      <c r="K227" s="2">
        <f t="shared" si="28"/>
        <v>-22.8</v>
      </c>
      <c r="L227" s="8">
        <f t="shared" ref="L227:L253" si="32">10^((K227-H227)/10)</f>
        <v>1.0471285480508967E-12</v>
      </c>
      <c r="M227" s="26"/>
      <c r="N227" s="17"/>
      <c r="O227" s="9">
        <f t="shared" si="30"/>
        <v>-26.4</v>
      </c>
      <c r="P227" s="8">
        <f>D224/B224*10^(O227/10)</f>
        <v>4.5053730504432885E-2</v>
      </c>
      <c r="Q227" s="26"/>
      <c r="R227" s="17"/>
      <c r="S227" s="19"/>
      <c r="T227" s="17"/>
      <c r="U227" s="22"/>
    </row>
    <row r="228" spans="1:21" x14ac:dyDescent="0.25">
      <c r="A228" s="24"/>
      <c r="B228" s="24"/>
      <c r="C228" s="17"/>
      <c r="D228" s="24"/>
      <c r="E228" s="24"/>
      <c r="F228" s="25"/>
      <c r="G228" s="1">
        <v>625</v>
      </c>
      <c r="H228" s="2">
        <v>92</v>
      </c>
      <c r="I228" s="2">
        <v>-21.1</v>
      </c>
      <c r="J228" s="2">
        <v>-28.5</v>
      </c>
      <c r="K228" s="2">
        <f t="shared" si="28"/>
        <v>-21.1</v>
      </c>
      <c r="L228" s="8">
        <f t="shared" si="32"/>
        <v>4.8977881936844688E-12</v>
      </c>
      <c r="M228" s="26"/>
      <c r="N228" s="17"/>
      <c r="O228" s="9">
        <f t="shared" si="30"/>
        <v>-28.5</v>
      </c>
      <c r="P228" s="8">
        <f>D224/B224*10^(O228/10)</f>
        <v>2.7779905044247471E-2</v>
      </c>
      <c r="Q228" s="26"/>
      <c r="R228" s="17"/>
      <c r="S228" s="19"/>
      <c r="T228" s="17"/>
      <c r="U228" s="22"/>
    </row>
    <row r="229" spans="1:21" x14ac:dyDescent="0.25">
      <c r="A229" s="24"/>
      <c r="B229" s="24"/>
      <c r="C229" s="17"/>
      <c r="D229" s="24"/>
      <c r="E229" s="24"/>
      <c r="F229" s="25"/>
      <c r="G229" s="1">
        <v>675</v>
      </c>
      <c r="H229" s="2">
        <v>94.5</v>
      </c>
      <c r="I229" s="2">
        <v>-23.6</v>
      </c>
      <c r="J229" s="2">
        <v>-28.1</v>
      </c>
      <c r="K229" s="2">
        <f t="shared" si="28"/>
        <v>-23.6</v>
      </c>
      <c r="L229" s="8">
        <f t="shared" si="32"/>
        <v>1.5488166189124799E-12</v>
      </c>
      <c r="M229" s="26"/>
      <c r="N229" s="17"/>
      <c r="O229" s="9">
        <f t="shared" si="30"/>
        <v>-28.1</v>
      </c>
      <c r="P229" s="8">
        <f>D224/B224*10^(O229/10)</f>
        <v>3.0460060171945448E-2</v>
      </c>
      <c r="Q229" s="26"/>
      <c r="R229" s="17"/>
      <c r="S229" s="20"/>
      <c r="T229" s="17"/>
      <c r="U229" s="23"/>
    </row>
    <row r="230" spans="1:21" x14ac:dyDescent="0.25">
      <c r="A230" s="24">
        <v>1000</v>
      </c>
      <c r="B230" s="24">
        <v>3</v>
      </c>
      <c r="C230" s="17">
        <v>0.5</v>
      </c>
      <c r="D230" s="24">
        <v>117</v>
      </c>
      <c r="E230" s="24">
        <v>6</v>
      </c>
      <c r="F230" s="25">
        <v>76</v>
      </c>
      <c r="G230" s="1">
        <v>875</v>
      </c>
      <c r="H230" s="2">
        <v>91.1</v>
      </c>
      <c r="I230" s="2">
        <v>-23.6</v>
      </c>
      <c r="J230" s="2">
        <v>-29.7</v>
      </c>
      <c r="K230" s="2">
        <f t="shared" si="28"/>
        <v>-23.6</v>
      </c>
      <c r="L230" s="8">
        <f t="shared" si="32"/>
        <v>3.3884415613920236E-12</v>
      </c>
      <c r="M230" s="26">
        <f>SUM(L230:L235)</f>
        <v>8.2296976362001218E-12</v>
      </c>
      <c r="N230" s="17">
        <f>10*LOG10(M230/E230)</f>
        <v>-118.62767371106014</v>
      </c>
      <c r="O230" s="9">
        <f t="shared" si="30"/>
        <v>-29.7</v>
      </c>
      <c r="P230" s="8">
        <f>D230/B230*10^(O230/10)</f>
        <v>4.1789252904266647E-2</v>
      </c>
      <c r="Q230" s="26">
        <f>SUM(P230:P235)</f>
        <v>0.50295913000564463</v>
      </c>
      <c r="R230" s="17">
        <f>10*LOG10(Q230)</f>
        <v>-2.9846730387879026</v>
      </c>
      <c r="S230" s="18">
        <f>F230+N230-Kzt-H</f>
        <v>-42.62767371106014</v>
      </c>
      <c r="T230" s="17">
        <v>0.8</v>
      </c>
      <c r="U230" s="21">
        <f>T230*10^((S230-R230)/10)</f>
        <v>8.6854019077631028E-5</v>
      </c>
    </row>
    <row r="231" spans="1:21" x14ac:dyDescent="0.25">
      <c r="A231" s="24"/>
      <c r="B231" s="24"/>
      <c r="C231" s="17"/>
      <c r="D231" s="24"/>
      <c r="E231" s="24"/>
      <c r="F231" s="25"/>
      <c r="G231" s="1">
        <v>975</v>
      </c>
      <c r="H231" s="2">
        <v>96.5</v>
      </c>
      <c r="I231" s="2">
        <v>-23.1</v>
      </c>
      <c r="J231" s="2">
        <v>-28.1</v>
      </c>
      <c r="K231" s="2">
        <f t="shared" si="28"/>
        <v>-23.1</v>
      </c>
      <c r="L231" s="8">
        <f t="shared" si="32"/>
        <v>1.0964781961431857E-12</v>
      </c>
      <c r="M231" s="26"/>
      <c r="N231" s="17"/>
      <c r="O231" s="9">
        <f t="shared" si="30"/>
        <v>-28.1</v>
      </c>
      <c r="P231" s="8">
        <f>D230/B230*10^(O231/10)</f>
        <v>6.040384813758673E-2</v>
      </c>
      <c r="Q231" s="26"/>
      <c r="R231" s="17"/>
      <c r="S231" s="19"/>
      <c r="T231" s="17"/>
      <c r="U231" s="22"/>
    </row>
    <row r="232" spans="1:21" x14ac:dyDescent="0.25">
      <c r="A232" s="24"/>
      <c r="B232" s="24"/>
      <c r="C232" s="17"/>
      <c r="D232" s="24"/>
      <c r="E232" s="24"/>
      <c r="F232" s="25"/>
      <c r="G232" s="1">
        <v>1075</v>
      </c>
      <c r="H232" s="2">
        <v>94.6</v>
      </c>
      <c r="I232" s="2">
        <v>-26.5</v>
      </c>
      <c r="J232" s="2">
        <v>-29.2</v>
      </c>
      <c r="K232" s="2">
        <f t="shared" si="28"/>
        <v>-26.5</v>
      </c>
      <c r="L232" s="8">
        <f t="shared" si="32"/>
        <v>7.7624711662869047E-13</v>
      </c>
      <c r="M232" s="26"/>
      <c r="N232" s="17"/>
      <c r="O232" s="9">
        <f t="shared" si="30"/>
        <v>-29.2</v>
      </c>
      <c r="P232" s="8">
        <f>D230/B230*10^(O232/10)</f>
        <v>4.6888312950079079E-2</v>
      </c>
      <c r="Q232" s="26"/>
      <c r="R232" s="17"/>
      <c r="S232" s="19"/>
      <c r="T232" s="17"/>
      <c r="U232" s="22"/>
    </row>
    <row r="233" spans="1:21" x14ac:dyDescent="0.25">
      <c r="A233" s="24"/>
      <c r="B233" s="24"/>
      <c r="C233" s="17"/>
      <c r="D233" s="24"/>
      <c r="E233" s="24"/>
      <c r="F233" s="25"/>
      <c r="G233" s="1">
        <v>1175</v>
      </c>
      <c r="H233" s="2">
        <v>97.8</v>
      </c>
      <c r="I233" s="2">
        <v>-23.7</v>
      </c>
      <c r="J233" s="2">
        <v>-24</v>
      </c>
      <c r="K233" s="2">
        <f t="shared" si="28"/>
        <v>-23.7</v>
      </c>
      <c r="L233" s="8">
        <f t="shared" si="32"/>
        <v>7.0794578438413455E-13</v>
      </c>
      <c r="M233" s="26"/>
      <c r="N233" s="17"/>
      <c r="O233" s="9">
        <f t="shared" si="30"/>
        <v>-24</v>
      </c>
      <c r="P233" s="8">
        <f>D230/B230*10^(O233/10)</f>
        <v>0.15526179651586389</v>
      </c>
      <c r="Q233" s="26"/>
      <c r="R233" s="17"/>
      <c r="S233" s="19"/>
      <c r="T233" s="17"/>
      <c r="U233" s="22"/>
    </row>
    <row r="234" spans="1:21" x14ac:dyDescent="0.25">
      <c r="A234" s="24"/>
      <c r="B234" s="24"/>
      <c r="C234" s="17"/>
      <c r="D234" s="24"/>
      <c r="E234" s="24"/>
      <c r="F234" s="25"/>
      <c r="G234" s="1">
        <v>1275</v>
      </c>
      <c r="H234" s="2">
        <v>100.1</v>
      </c>
      <c r="I234" s="2">
        <v>-17.600000000000001</v>
      </c>
      <c r="J234" s="2">
        <v>-29.2</v>
      </c>
      <c r="K234" s="2">
        <f t="shared" si="28"/>
        <v>-17.600000000000001</v>
      </c>
      <c r="L234" s="8">
        <f t="shared" si="32"/>
        <v>1.6982436524617421E-12</v>
      </c>
      <c r="M234" s="26"/>
      <c r="N234" s="17"/>
      <c r="O234" s="9">
        <f t="shared" si="30"/>
        <v>-29.2</v>
      </c>
      <c r="P234" s="8">
        <f>D230/B230*10^(O234/10)</f>
        <v>4.6888312950079079E-2</v>
      </c>
      <c r="Q234" s="26"/>
      <c r="R234" s="17"/>
      <c r="S234" s="19"/>
      <c r="T234" s="17"/>
      <c r="U234" s="22"/>
    </row>
    <row r="235" spans="1:21" x14ac:dyDescent="0.25">
      <c r="A235" s="24"/>
      <c r="B235" s="24"/>
      <c r="C235" s="17"/>
      <c r="D235" s="24"/>
      <c r="E235" s="24"/>
      <c r="F235" s="25"/>
      <c r="G235" s="1">
        <v>1375</v>
      </c>
      <c r="H235" s="2">
        <v>103</v>
      </c>
      <c r="I235" s="2">
        <v>-19.5</v>
      </c>
      <c r="J235" s="2">
        <v>-24.1</v>
      </c>
      <c r="K235" s="2">
        <f t="shared" si="28"/>
        <v>-19.5</v>
      </c>
      <c r="L235" s="8">
        <f t="shared" si="32"/>
        <v>5.6234132519034702E-13</v>
      </c>
      <c r="M235" s="26"/>
      <c r="N235" s="17"/>
      <c r="O235" s="9">
        <f t="shared" si="30"/>
        <v>-24.1</v>
      </c>
      <c r="P235" s="8">
        <f>D230/B230*10^(O235/10)</f>
        <v>0.15172760654776929</v>
      </c>
      <c r="Q235" s="26"/>
      <c r="R235" s="17"/>
      <c r="S235" s="20"/>
      <c r="T235" s="17"/>
      <c r="U235" s="23"/>
    </row>
    <row r="236" spans="1:21" x14ac:dyDescent="0.25">
      <c r="A236" s="24">
        <v>2000</v>
      </c>
      <c r="B236" s="24">
        <v>3</v>
      </c>
      <c r="C236" s="17">
        <v>0.5</v>
      </c>
      <c r="D236" s="24">
        <v>234</v>
      </c>
      <c r="E236" s="24">
        <v>6</v>
      </c>
      <c r="F236" s="25">
        <v>68</v>
      </c>
      <c r="G236" s="1">
        <v>1425</v>
      </c>
      <c r="H236" s="2">
        <v>102.8</v>
      </c>
      <c r="I236" s="2">
        <v>-23</v>
      </c>
      <c r="J236" s="2">
        <v>-28.5</v>
      </c>
      <c r="K236" s="2">
        <f t="shared" si="28"/>
        <v>-23</v>
      </c>
      <c r="L236" s="8">
        <f t="shared" si="32"/>
        <v>2.6302679918953709E-13</v>
      </c>
      <c r="M236" s="26">
        <f>SUM(L236:L241)</f>
        <v>4.0891328668389529E-12</v>
      </c>
      <c r="N236" s="17">
        <f>10*LOG10(M236/E236)</f>
        <v>-121.66520028213385</v>
      </c>
      <c r="O236" s="9">
        <f t="shared" si="30"/>
        <v>-28.5</v>
      </c>
      <c r="P236" s="8">
        <f>D236/B236*10^(O236/10)</f>
        <v>0.11017792848057471</v>
      </c>
      <c r="Q236" s="26">
        <f>SUM(P236:P241)</f>
        <v>0.95334075524297845</v>
      </c>
      <c r="R236" s="17">
        <f>10*LOG10(Q236)</f>
        <v>-0.20751840525734364</v>
      </c>
      <c r="S236" s="18">
        <f>F236+N236-Kzt-H</f>
        <v>-53.665200282133853</v>
      </c>
      <c r="T236" s="17">
        <v>1</v>
      </c>
      <c r="U236" s="21">
        <f>T236*10^((S236-R236)/10)</f>
        <v>4.5105740011254783E-6</v>
      </c>
    </row>
    <row r="237" spans="1:21" x14ac:dyDescent="0.25">
      <c r="A237" s="24"/>
      <c r="B237" s="24"/>
      <c r="C237" s="17"/>
      <c r="D237" s="24"/>
      <c r="E237" s="24"/>
      <c r="F237" s="25"/>
      <c r="G237" s="1">
        <v>1625</v>
      </c>
      <c r="H237" s="2">
        <v>104.1</v>
      </c>
      <c r="I237" s="2">
        <v>-22.2</v>
      </c>
      <c r="J237" s="2">
        <v>-27</v>
      </c>
      <c r="K237" s="2">
        <f t="shared" si="28"/>
        <v>-22.2</v>
      </c>
      <c r="L237" s="8">
        <f t="shared" si="32"/>
        <v>2.3442288153199217E-13</v>
      </c>
      <c r="M237" s="26"/>
      <c r="N237" s="17"/>
      <c r="O237" s="9">
        <f t="shared" si="30"/>
        <v>-27</v>
      </c>
      <c r="P237" s="8">
        <f>D236/B236*10^(O237/10)</f>
        <v>0.15563046056757249</v>
      </c>
      <c r="Q237" s="26"/>
      <c r="R237" s="17"/>
      <c r="S237" s="19"/>
      <c r="T237" s="17"/>
      <c r="U237" s="22"/>
    </row>
    <row r="238" spans="1:21" x14ac:dyDescent="0.25">
      <c r="A238" s="24"/>
      <c r="B238" s="24"/>
      <c r="C238" s="17"/>
      <c r="D238" s="24"/>
      <c r="E238" s="24"/>
      <c r="F238" s="25"/>
      <c r="G238" s="1">
        <v>1825</v>
      </c>
      <c r="H238" s="2">
        <v>107.6</v>
      </c>
      <c r="I238" s="2">
        <v>-25.5</v>
      </c>
      <c r="J238" s="2">
        <v>-30.1</v>
      </c>
      <c r="K238" s="2">
        <f t="shared" si="28"/>
        <v>-25.5</v>
      </c>
      <c r="L238" s="8">
        <f t="shared" si="32"/>
        <v>4.8977881936844584E-14</v>
      </c>
      <c r="M238" s="26"/>
      <c r="N238" s="17"/>
      <c r="O238" s="9">
        <f t="shared" si="30"/>
        <v>-30.1</v>
      </c>
      <c r="P238" s="8">
        <f>D236/B236*10^(O238/10)</f>
        <v>7.6224503234553126E-2</v>
      </c>
      <c r="Q238" s="26"/>
      <c r="R238" s="17"/>
      <c r="S238" s="19"/>
      <c r="T238" s="17"/>
      <c r="U238" s="22"/>
    </row>
    <row r="239" spans="1:21" x14ac:dyDescent="0.25">
      <c r="A239" s="24"/>
      <c r="B239" s="24"/>
      <c r="C239" s="17"/>
      <c r="D239" s="24"/>
      <c r="E239" s="24"/>
      <c r="F239" s="25"/>
      <c r="G239" s="1">
        <v>2125</v>
      </c>
      <c r="H239" s="2">
        <v>104.2</v>
      </c>
      <c r="I239" s="2">
        <v>-20.7</v>
      </c>
      <c r="J239" s="2">
        <v>-29.8</v>
      </c>
      <c r="K239" s="2">
        <f t="shared" si="28"/>
        <v>-20.7</v>
      </c>
      <c r="L239" s="8">
        <f t="shared" si="32"/>
        <v>3.2359365692962775E-13</v>
      </c>
      <c r="M239" s="26"/>
      <c r="N239" s="17"/>
      <c r="O239" s="9">
        <f t="shared" si="30"/>
        <v>-29.8</v>
      </c>
      <c r="P239" s="8">
        <f>D236/B236*10^(O239/10)</f>
        <v>8.1676026747970101E-2</v>
      </c>
      <c r="Q239" s="26"/>
      <c r="R239" s="17"/>
      <c r="S239" s="19"/>
      <c r="T239" s="17"/>
      <c r="U239" s="22"/>
    </row>
    <row r="240" spans="1:21" x14ac:dyDescent="0.25">
      <c r="A240" s="24"/>
      <c r="B240" s="24"/>
      <c r="C240" s="17"/>
      <c r="D240" s="24"/>
      <c r="E240" s="24"/>
      <c r="F240" s="25"/>
      <c r="G240" s="1">
        <v>2425</v>
      </c>
      <c r="H240" s="2">
        <v>93.7</v>
      </c>
      <c r="I240" s="2">
        <v>-22.1</v>
      </c>
      <c r="J240" s="2">
        <v>-27.5</v>
      </c>
      <c r="K240" s="2">
        <f t="shared" si="28"/>
        <v>-22.1</v>
      </c>
      <c r="L240" s="8">
        <f t="shared" si="32"/>
        <v>2.6302679918953646E-12</v>
      </c>
      <c r="M240" s="26"/>
      <c r="N240" s="17"/>
      <c r="O240" s="9">
        <f t="shared" si="30"/>
        <v>-27.5</v>
      </c>
      <c r="P240" s="8">
        <f>D236/B236*10^(O240/10)</f>
        <v>0.13870579398303595</v>
      </c>
      <c r="Q240" s="26"/>
      <c r="R240" s="17"/>
      <c r="S240" s="19"/>
      <c r="T240" s="17"/>
      <c r="U240" s="22"/>
    </row>
    <row r="241" spans="1:21" x14ac:dyDescent="0.25">
      <c r="A241" s="24"/>
      <c r="B241" s="24"/>
      <c r="C241" s="17"/>
      <c r="D241" s="24"/>
      <c r="E241" s="24"/>
      <c r="F241" s="25"/>
      <c r="G241" s="1">
        <v>2775</v>
      </c>
      <c r="H241" s="2">
        <v>100.2</v>
      </c>
      <c r="I241" s="2">
        <v>-22.1</v>
      </c>
      <c r="J241" s="2">
        <v>-23</v>
      </c>
      <c r="K241" s="2">
        <f t="shared" si="28"/>
        <v>-22.1</v>
      </c>
      <c r="L241" s="8">
        <f t="shared" si="32"/>
        <v>5.8884365535558666E-13</v>
      </c>
      <c r="M241" s="26"/>
      <c r="N241" s="17"/>
      <c r="O241" s="9">
        <f t="shared" si="30"/>
        <v>-23</v>
      </c>
      <c r="P241" s="8">
        <f>D236/B236*10^(O241/10)</f>
        <v>0.39092604222927224</v>
      </c>
      <c r="Q241" s="26"/>
      <c r="R241" s="17"/>
      <c r="S241" s="20"/>
      <c r="T241" s="17"/>
      <c r="U241" s="23"/>
    </row>
    <row r="242" spans="1:21" x14ac:dyDescent="0.25">
      <c r="A242" s="24">
        <v>4000</v>
      </c>
      <c r="B242" s="24">
        <v>3</v>
      </c>
      <c r="C242" s="17">
        <v>0.5</v>
      </c>
      <c r="D242" s="24">
        <v>470</v>
      </c>
      <c r="E242" s="24">
        <v>6</v>
      </c>
      <c r="F242" s="25">
        <v>62</v>
      </c>
      <c r="G242" s="1">
        <v>2825</v>
      </c>
      <c r="H242" s="2">
        <v>99.4</v>
      </c>
      <c r="I242" s="2">
        <v>-20.8</v>
      </c>
      <c r="J242" s="2">
        <v>-31</v>
      </c>
      <c r="K242" s="2">
        <f t="shared" si="28"/>
        <v>-20.8</v>
      </c>
      <c r="L242" s="8">
        <f t="shared" si="32"/>
        <v>9.5499258602143367E-13</v>
      </c>
      <c r="M242" s="26">
        <f>SUM(L242:L247)</f>
        <v>3.097948155811787E-12</v>
      </c>
      <c r="N242" s="17">
        <f>10*LOG10(M242/E242)</f>
        <v>-122.87077104821418</v>
      </c>
      <c r="O242" s="9">
        <f t="shared" si="30"/>
        <v>-31</v>
      </c>
      <c r="P242" s="8">
        <f>D242/B242*10^(O242/10)</f>
        <v>0.12444475677347068</v>
      </c>
      <c r="Q242" s="26">
        <f>SUM(P242:P247)</f>
        <v>1.592594003214753</v>
      </c>
      <c r="R242" s="17">
        <f>10*LOG10(Q242)</f>
        <v>2.0210507609220443</v>
      </c>
      <c r="S242" s="18">
        <f>F242+N242-Kzt-H</f>
        <v>-60.870771048214181</v>
      </c>
      <c r="T242" s="17">
        <v>0.9</v>
      </c>
      <c r="U242" s="21">
        <f>T242*10^((S242-R242)/10)</f>
        <v>4.6244525593144662E-7</v>
      </c>
    </row>
    <row r="243" spans="1:21" x14ac:dyDescent="0.25">
      <c r="A243" s="24"/>
      <c r="B243" s="24"/>
      <c r="C243" s="17"/>
      <c r="D243" s="24"/>
      <c r="E243" s="24"/>
      <c r="F243" s="25"/>
      <c r="G243" s="1">
        <v>3425</v>
      </c>
      <c r="H243" s="2">
        <v>103.5</v>
      </c>
      <c r="I243" s="2">
        <v>-23.1</v>
      </c>
      <c r="J243" s="2">
        <v>-27.5</v>
      </c>
      <c r="K243" s="2">
        <f t="shared" si="28"/>
        <v>-23.1</v>
      </c>
      <c r="L243" s="8">
        <f t="shared" si="32"/>
        <v>2.1877616239495453E-13</v>
      </c>
      <c r="M243" s="26"/>
      <c r="N243" s="17"/>
      <c r="O243" s="9">
        <f t="shared" si="30"/>
        <v>-27.5</v>
      </c>
      <c r="P243" s="8">
        <f>D242/B242*10^(O243/10)</f>
        <v>0.27859710757276446</v>
      </c>
      <c r="Q243" s="26"/>
      <c r="R243" s="17"/>
      <c r="S243" s="19"/>
      <c r="T243" s="17"/>
      <c r="U243" s="22"/>
    </row>
    <row r="244" spans="1:21" x14ac:dyDescent="0.25">
      <c r="A244" s="24"/>
      <c r="B244" s="24"/>
      <c r="C244" s="17"/>
      <c r="D244" s="24"/>
      <c r="E244" s="24"/>
      <c r="F244" s="25"/>
      <c r="G244" s="1">
        <v>4025</v>
      </c>
      <c r="H244" s="2">
        <v>103.6</v>
      </c>
      <c r="I244" s="2">
        <v>-24.6</v>
      </c>
      <c r="J244" s="2">
        <v>-31</v>
      </c>
      <c r="K244" s="2">
        <f t="shared" si="28"/>
        <v>-24.6</v>
      </c>
      <c r="L244" s="8">
        <f t="shared" si="32"/>
        <v>1.5135612484362107E-13</v>
      </c>
      <c r="M244" s="26"/>
      <c r="N244" s="17"/>
      <c r="O244" s="9">
        <f t="shared" si="30"/>
        <v>-31</v>
      </c>
      <c r="P244" s="8">
        <f>D242/B242*10^(O244/10)</f>
        <v>0.12444475677347068</v>
      </c>
      <c r="Q244" s="26"/>
      <c r="R244" s="17"/>
      <c r="S244" s="19"/>
      <c r="T244" s="17"/>
      <c r="U244" s="22"/>
    </row>
    <row r="245" spans="1:21" x14ac:dyDescent="0.25">
      <c r="A245" s="24"/>
      <c r="B245" s="24"/>
      <c r="C245" s="17"/>
      <c r="D245" s="24"/>
      <c r="E245" s="24"/>
      <c r="F245" s="25"/>
      <c r="G245" s="1">
        <v>4625</v>
      </c>
      <c r="H245" s="2">
        <v>105.6</v>
      </c>
      <c r="I245" s="2">
        <v>-21.2</v>
      </c>
      <c r="J245" s="2">
        <v>-26.6</v>
      </c>
      <c r="K245" s="2">
        <f t="shared" si="28"/>
        <v>-21.2</v>
      </c>
      <c r="L245" s="8">
        <f t="shared" si="32"/>
        <v>2.0892961308540331E-13</v>
      </c>
      <c r="M245" s="26"/>
      <c r="N245" s="17"/>
      <c r="O245" s="9">
        <f t="shared" si="30"/>
        <v>-26.6</v>
      </c>
      <c r="P245" s="8">
        <f>D242/B242*10^(O245/10)</f>
        <v>0.34274932108542944</v>
      </c>
      <c r="Q245" s="26"/>
      <c r="R245" s="17"/>
      <c r="S245" s="19"/>
      <c r="T245" s="17"/>
      <c r="U245" s="22"/>
    </row>
    <row r="246" spans="1:21" x14ac:dyDescent="0.25">
      <c r="A246" s="24"/>
      <c r="B246" s="24"/>
      <c r="C246" s="17"/>
      <c r="D246" s="24"/>
      <c r="E246" s="24"/>
      <c r="F246" s="25"/>
      <c r="G246" s="1">
        <v>5225</v>
      </c>
      <c r="H246" s="2">
        <v>103.5</v>
      </c>
      <c r="I246" s="2">
        <v>-24.7</v>
      </c>
      <c r="J246" s="2">
        <v>-25.3</v>
      </c>
      <c r="K246" s="2">
        <f t="shared" si="28"/>
        <v>-24.7</v>
      </c>
      <c r="L246" s="8">
        <f t="shared" si="32"/>
        <v>1.5135612484362107E-13</v>
      </c>
      <c r="M246" s="26"/>
      <c r="N246" s="17"/>
      <c r="O246" s="9">
        <f t="shared" si="30"/>
        <v>-25.3</v>
      </c>
      <c r="P246" s="8">
        <f>D242/B242*10^(O246/10)</f>
        <v>0.46235611217773342</v>
      </c>
      <c r="Q246" s="26"/>
      <c r="R246" s="17"/>
      <c r="S246" s="19"/>
      <c r="T246" s="17"/>
      <c r="U246" s="22"/>
    </row>
    <row r="247" spans="1:21" x14ac:dyDescent="0.25">
      <c r="A247" s="24"/>
      <c r="B247" s="24"/>
      <c r="C247" s="17"/>
      <c r="D247" s="24"/>
      <c r="E247" s="24"/>
      <c r="F247" s="25"/>
      <c r="G247" s="1">
        <v>5625</v>
      </c>
      <c r="H247" s="2">
        <v>99.5</v>
      </c>
      <c r="I247" s="2">
        <v>-19</v>
      </c>
      <c r="J247" s="2">
        <v>-27.8</v>
      </c>
      <c r="K247" s="2">
        <f t="shared" si="28"/>
        <v>-19</v>
      </c>
      <c r="L247" s="8">
        <f t="shared" si="32"/>
        <v>1.4125375446227535E-12</v>
      </c>
      <c r="M247" s="26"/>
      <c r="N247" s="17"/>
      <c r="O247" s="9">
        <f t="shared" si="30"/>
        <v>-27.8</v>
      </c>
      <c r="P247" s="8">
        <f>D242/B242*10^(O247/10)</f>
        <v>0.26000194883188427</v>
      </c>
      <c r="Q247" s="26"/>
      <c r="R247" s="17"/>
      <c r="S247" s="20"/>
      <c r="T247" s="17"/>
      <c r="U247" s="23"/>
    </row>
    <row r="248" spans="1:21" x14ac:dyDescent="0.25">
      <c r="A248" s="24">
        <v>8000</v>
      </c>
      <c r="B248" s="24">
        <v>3</v>
      </c>
      <c r="C248" s="17">
        <v>0.5</v>
      </c>
      <c r="D248" s="24">
        <v>943</v>
      </c>
      <c r="E248" s="24">
        <v>6</v>
      </c>
      <c r="F248" s="25">
        <v>54</v>
      </c>
      <c r="G248" s="1">
        <v>6025</v>
      </c>
      <c r="H248" s="2">
        <v>95</v>
      </c>
      <c r="I248" s="2">
        <v>-18.8</v>
      </c>
      <c r="J248" s="2">
        <v>-26.5</v>
      </c>
      <c r="K248" s="2">
        <f t="shared" si="28"/>
        <v>-18.8</v>
      </c>
      <c r="L248" s="8">
        <f t="shared" si="32"/>
        <v>4.1686938347033479E-12</v>
      </c>
      <c r="M248" s="26">
        <f>SUM(L248:L253)</f>
        <v>2.3205451163552077E-11</v>
      </c>
      <c r="N248" s="17">
        <f>10*LOG10(M248/E248)</f>
        <v>-114.12561233933857</v>
      </c>
      <c r="O248" s="9">
        <f t="shared" si="30"/>
        <v>-26.5</v>
      </c>
      <c r="P248" s="8">
        <f>D248/B248*10^(O248/10)</f>
        <v>0.70370467788998103</v>
      </c>
      <c r="Q248" s="26">
        <f>SUM(P248:P253)</f>
        <v>3.9974419304093414</v>
      </c>
      <c r="R248" s="17">
        <f>10*LOG10(Q248)</f>
        <v>6.0178216360377199</v>
      </c>
      <c r="S248" s="18">
        <f>F248+N248-Kzt-H</f>
        <v>-60.125612339338574</v>
      </c>
      <c r="T248" s="17">
        <v>0.7</v>
      </c>
      <c r="U248" s="21">
        <f>T248*10^((S248-R248)/10)</f>
        <v>1.7011971343454903E-7</v>
      </c>
    </row>
    <row r="249" spans="1:21" x14ac:dyDescent="0.25">
      <c r="A249" s="24"/>
      <c r="B249" s="24"/>
      <c r="C249" s="17"/>
      <c r="D249" s="24"/>
      <c r="E249" s="24"/>
      <c r="F249" s="25"/>
      <c r="G249" s="1">
        <v>7025</v>
      </c>
      <c r="H249" s="2">
        <v>94.8</v>
      </c>
      <c r="I249" s="2">
        <v>-21.7</v>
      </c>
      <c r="J249" s="2">
        <v>-30.6</v>
      </c>
      <c r="K249" s="2">
        <f t="shared" si="28"/>
        <v>-21.7</v>
      </c>
      <c r="L249" s="8">
        <f t="shared" si="32"/>
        <v>2.2387211385683343E-12</v>
      </c>
      <c r="M249" s="26"/>
      <c r="N249" s="17"/>
      <c r="O249" s="9">
        <f t="shared" si="30"/>
        <v>-30.6</v>
      </c>
      <c r="P249" s="8">
        <f>D248/B248*10^(O249/10)</f>
        <v>0.27377288844286107</v>
      </c>
      <c r="Q249" s="26"/>
      <c r="R249" s="17"/>
      <c r="S249" s="19"/>
      <c r="T249" s="17"/>
      <c r="U249" s="22"/>
    </row>
    <row r="250" spans="1:21" x14ac:dyDescent="0.25">
      <c r="A250" s="24"/>
      <c r="B250" s="24"/>
      <c r="C250" s="17"/>
      <c r="D250" s="24"/>
      <c r="E250" s="24"/>
      <c r="F250" s="25"/>
      <c r="G250" s="1">
        <v>8025</v>
      </c>
      <c r="H250" s="2">
        <v>101.9</v>
      </c>
      <c r="I250" s="2">
        <v>-26.3</v>
      </c>
      <c r="J250" s="2">
        <v>-27.2</v>
      </c>
      <c r="K250" s="2">
        <f t="shared" si="28"/>
        <v>-26.3</v>
      </c>
      <c r="L250" s="8">
        <f t="shared" si="32"/>
        <v>1.5135612484361945E-13</v>
      </c>
      <c r="M250" s="26"/>
      <c r="N250" s="17"/>
      <c r="O250" s="9">
        <f t="shared" si="30"/>
        <v>-27.2</v>
      </c>
      <c r="P250" s="8">
        <f>D248/B248*10^(O250/10)</f>
        <v>0.59894981901311406</v>
      </c>
      <c r="Q250" s="26"/>
      <c r="R250" s="17"/>
      <c r="S250" s="19"/>
      <c r="T250" s="17"/>
      <c r="U250" s="22"/>
    </row>
    <row r="251" spans="1:21" x14ac:dyDescent="0.25">
      <c r="A251" s="24"/>
      <c r="B251" s="24"/>
      <c r="C251" s="17"/>
      <c r="D251" s="24"/>
      <c r="E251" s="24"/>
      <c r="F251" s="25"/>
      <c r="G251" s="1">
        <v>9025</v>
      </c>
      <c r="H251" s="2">
        <v>93.2</v>
      </c>
      <c r="I251" s="2">
        <v>-22.8</v>
      </c>
      <c r="J251" s="2">
        <v>-25.4</v>
      </c>
      <c r="K251" s="2">
        <f t="shared" si="28"/>
        <v>-22.8</v>
      </c>
      <c r="L251" s="8">
        <f t="shared" si="32"/>
        <v>2.5118864315095726E-12</v>
      </c>
      <c r="M251" s="26"/>
      <c r="N251" s="17"/>
      <c r="O251" s="9">
        <f t="shared" si="30"/>
        <v>-25.4</v>
      </c>
      <c r="P251" s="8">
        <f>D248/B248*10^(O251/10)</f>
        <v>0.90654723581612917</v>
      </c>
      <c r="Q251" s="26"/>
      <c r="R251" s="17"/>
      <c r="S251" s="19"/>
      <c r="T251" s="17"/>
      <c r="U251" s="22"/>
    </row>
    <row r="252" spans="1:21" x14ac:dyDescent="0.25">
      <c r="A252" s="24"/>
      <c r="B252" s="24"/>
      <c r="C252" s="17"/>
      <c r="D252" s="24"/>
      <c r="E252" s="24"/>
      <c r="F252" s="25"/>
      <c r="G252" s="1">
        <v>10025</v>
      </c>
      <c r="H252" s="2">
        <v>88.3</v>
      </c>
      <c r="I252" s="2">
        <v>-24.2</v>
      </c>
      <c r="J252" s="2">
        <v>-25.8</v>
      </c>
      <c r="K252" s="2">
        <f t="shared" si="28"/>
        <v>-24.2</v>
      </c>
      <c r="L252" s="8">
        <f t="shared" si="32"/>
        <v>5.6234132519034759E-12</v>
      </c>
      <c r="M252" s="26"/>
      <c r="N252" s="17"/>
      <c r="O252" s="9">
        <f t="shared" si="30"/>
        <v>-25.8</v>
      </c>
      <c r="P252" s="8">
        <f>D248/B248*10^(O252/10)</f>
        <v>0.82678090545244742</v>
      </c>
      <c r="Q252" s="26"/>
      <c r="R252" s="17"/>
      <c r="S252" s="19"/>
      <c r="T252" s="17"/>
      <c r="U252" s="22"/>
    </row>
    <row r="253" spans="1:21" x14ac:dyDescent="0.25">
      <c r="A253" s="24"/>
      <c r="B253" s="24"/>
      <c r="C253" s="17"/>
      <c r="D253" s="24"/>
      <c r="E253" s="24"/>
      <c r="F253" s="25"/>
      <c r="G253" s="1">
        <v>11025</v>
      </c>
      <c r="H253" s="2">
        <v>86</v>
      </c>
      <c r="I253" s="2">
        <v>-24.7</v>
      </c>
      <c r="J253" s="2">
        <v>-26.6</v>
      </c>
      <c r="K253" s="2">
        <f t="shared" si="28"/>
        <v>-24.7</v>
      </c>
      <c r="L253" s="8">
        <f t="shared" si="32"/>
        <v>8.5113803820237273E-12</v>
      </c>
      <c r="M253" s="26"/>
      <c r="N253" s="17"/>
      <c r="O253" s="9">
        <f t="shared" si="30"/>
        <v>-26.6</v>
      </c>
      <c r="P253" s="8">
        <f>D248/B248*10^(O253/10)</f>
        <v>0.6876864037948085</v>
      </c>
      <c r="Q253" s="26"/>
      <c r="R253" s="17"/>
      <c r="S253" s="20"/>
      <c r="T253" s="17"/>
      <c r="U253" s="23"/>
    </row>
    <row r="254" spans="1:21" x14ac:dyDescent="0.25">
      <c r="A254" s="24" t="s">
        <v>20</v>
      </c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12">
        <f>U254</f>
        <v>7.429237527814056E-2</v>
      </c>
      <c r="T254" s="2"/>
      <c r="U254" s="8">
        <f>0.8*SQRT(SUM(U220:U253))</f>
        <v>7.429237527814056E-2</v>
      </c>
    </row>
    <row r="255" spans="1:21" x14ac:dyDescent="0.25">
      <c r="A255" s="27" t="s">
        <v>59</v>
      </c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9"/>
    </row>
    <row r="256" spans="1:21" x14ac:dyDescent="0.25">
      <c r="A256" s="24">
        <v>250</v>
      </c>
      <c r="B256" s="24">
        <v>3</v>
      </c>
      <c r="C256" s="17">
        <v>0.5</v>
      </c>
      <c r="D256" s="24">
        <v>38</v>
      </c>
      <c r="E256" s="24">
        <v>4</v>
      </c>
      <c r="F256" s="25">
        <v>84</v>
      </c>
      <c r="G256" s="1">
        <v>175</v>
      </c>
      <c r="H256" s="2">
        <v>84.8</v>
      </c>
      <c r="I256" s="2">
        <v>-19.3</v>
      </c>
      <c r="J256" s="2">
        <v>-24.9</v>
      </c>
      <c r="K256" s="2">
        <f>I256</f>
        <v>-19.3</v>
      </c>
      <c r="L256" s="8">
        <f>10^((K256-H256)/10)</f>
        <v>3.8904514499427922E-11</v>
      </c>
      <c r="M256" s="26">
        <f>SUM(L256:L259)</f>
        <v>6.2901308765262411E-11</v>
      </c>
      <c r="N256" s="17">
        <f>10*LOG10(M256/E256)</f>
        <v>-108.03400309577155</v>
      </c>
      <c r="O256" s="9">
        <f>J256</f>
        <v>-24.9</v>
      </c>
      <c r="P256" s="8">
        <f>D256/B256*10^(O256/10)</f>
        <v>4.0988529877752908E-2</v>
      </c>
      <c r="Q256" s="26">
        <f>SUM(P256:P259)</f>
        <v>0.17722555555340835</v>
      </c>
      <c r="R256" s="17">
        <f>10*LOG10(Q256)</f>
        <v>-7.5147365357995701</v>
      </c>
      <c r="S256" s="18">
        <f>F256+N256-Kzt-H</f>
        <v>-24.034003095771553</v>
      </c>
      <c r="T256" s="17">
        <v>0.2</v>
      </c>
      <c r="U256" s="21">
        <f>T256*10^((S256-R256)/10)</f>
        <v>4.4576230419557696E-3</v>
      </c>
    </row>
    <row r="257" spans="1:21" x14ac:dyDescent="0.25">
      <c r="A257" s="24"/>
      <c r="B257" s="24"/>
      <c r="C257" s="17"/>
      <c r="D257" s="24"/>
      <c r="E257" s="24"/>
      <c r="F257" s="25"/>
      <c r="G257" s="1">
        <v>225</v>
      </c>
      <c r="H257" s="2">
        <v>90</v>
      </c>
      <c r="I257" s="2">
        <v>-22.4</v>
      </c>
      <c r="J257" s="2">
        <v>-24</v>
      </c>
      <c r="K257" s="2">
        <f t="shared" ref="K257:K289" si="33">I257</f>
        <v>-22.4</v>
      </c>
      <c r="L257" s="8">
        <f t="shared" ref="L257:L258" si="34">10^((K257-H257)/10)</f>
        <v>5.7543993733715538E-12</v>
      </c>
      <c r="M257" s="26"/>
      <c r="N257" s="17"/>
      <c r="O257" s="9">
        <f t="shared" ref="O257:O289" si="35">J257</f>
        <v>-24</v>
      </c>
      <c r="P257" s="8">
        <f>D256/B256*10^(O257/10)</f>
        <v>5.0426908270109636E-2</v>
      </c>
      <c r="Q257" s="26"/>
      <c r="R257" s="17"/>
      <c r="S257" s="19"/>
      <c r="T257" s="17"/>
      <c r="U257" s="22"/>
    </row>
    <row r="258" spans="1:21" x14ac:dyDescent="0.25">
      <c r="A258" s="24"/>
      <c r="B258" s="24"/>
      <c r="C258" s="17"/>
      <c r="D258" s="24"/>
      <c r="E258" s="24"/>
      <c r="F258" s="25"/>
      <c r="G258" s="1">
        <v>275</v>
      </c>
      <c r="H258" s="2">
        <v>92.2</v>
      </c>
      <c r="I258" s="2">
        <v>-15.9</v>
      </c>
      <c r="J258" s="2">
        <v>-25.4</v>
      </c>
      <c r="K258" s="2">
        <f t="shared" si="33"/>
        <v>-15.9</v>
      </c>
      <c r="L258" s="8">
        <f t="shared" si="34"/>
        <v>1.5488166189124763E-11</v>
      </c>
      <c r="M258" s="26"/>
      <c r="N258" s="17"/>
      <c r="O258" s="9">
        <f t="shared" si="35"/>
        <v>-25.4</v>
      </c>
      <c r="P258" s="8">
        <f>D256/B256*10^(O258/10)</f>
        <v>3.6531065706270321E-2</v>
      </c>
      <c r="Q258" s="26"/>
      <c r="R258" s="17"/>
      <c r="S258" s="19"/>
      <c r="T258" s="17"/>
      <c r="U258" s="22"/>
    </row>
    <row r="259" spans="1:21" x14ac:dyDescent="0.25">
      <c r="A259" s="24"/>
      <c r="B259" s="24"/>
      <c r="C259" s="17"/>
      <c r="D259" s="24"/>
      <c r="E259" s="24"/>
      <c r="F259" s="25"/>
      <c r="G259" s="1">
        <v>325</v>
      </c>
      <c r="H259" s="2">
        <v>93.3</v>
      </c>
      <c r="I259" s="2">
        <v>-22.3</v>
      </c>
      <c r="J259" s="2">
        <v>-24.1</v>
      </c>
      <c r="K259" s="2">
        <f t="shared" si="33"/>
        <v>-22.3</v>
      </c>
      <c r="L259" s="8">
        <f>10^((K259-H259)/10)</f>
        <v>2.7542287033381671E-12</v>
      </c>
      <c r="M259" s="26"/>
      <c r="N259" s="17"/>
      <c r="O259" s="9">
        <f t="shared" si="35"/>
        <v>-24.1</v>
      </c>
      <c r="P259" s="8">
        <f>D256/B256*10^(O259/10)</f>
        <v>4.9279051699275496E-2</v>
      </c>
      <c r="Q259" s="26"/>
      <c r="R259" s="17"/>
      <c r="S259" s="20"/>
      <c r="T259" s="17"/>
      <c r="U259" s="23"/>
    </row>
    <row r="260" spans="1:21" x14ac:dyDescent="0.25">
      <c r="A260" s="24">
        <v>500</v>
      </c>
      <c r="B260" s="24">
        <v>3</v>
      </c>
      <c r="C260" s="17">
        <v>0.5</v>
      </c>
      <c r="D260" s="24">
        <v>59</v>
      </c>
      <c r="E260" s="24">
        <v>6</v>
      </c>
      <c r="F260" s="25">
        <v>84</v>
      </c>
      <c r="G260" s="1">
        <v>375</v>
      </c>
      <c r="H260" s="2">
        <v>91.9</v>
      </c>
      <c r="I260" s="2">
        <v>-21.6</v>
      </c>
      <c r="J260" s="2">
        <v>-26.5</v>
      </c>
      <c r="K260" s="2">
        <f t="shared" si="33"/>
        <v>-21.6</v>
      </c>
      <c r="L260" s="8">
        <f t="shared" ref="L260:L261" si="36">10^((K260-H260)/10)</f>
        <v>4.4668359215096234E-12</v>
      </c>
      <c r="M260" s="26">
        <f>SUM(L260:L265)</f>
        <v>2.5471759548692673E-11</v>
      </c>
      <c r="N260" s="17">
        <f>10*LOG10(M260/E260)</f>
        <v>-113.72092304010775</v>
      </c>
      <c r="O260" s="9">
        <f t="shared" si="35"/>
        <v>-26.5</v>
      </c>
      <c r="P260" s="8">
        <f>D260/B260*10^(O260/10)</f>
        <v>4.4028182391843994E-2</v>
      </c>
      <c r="Q260" s="26">
        <f>SUM(P260:P265)</f>
        <v>0.26005764525780029</v>
      </c>
      <c r="R260" s="17">
        <f>10*LOG10(Q260)</f>
        <v>-5.8493037417344285</v>
      </c>
      <c r="S260" s="18">
        <f>F260+N260-Kzt-H</f>
        <v>-29.720923040107749</v>
      </c>
      <c r="T260" s="17">
        <v>0.5</v>
      </c>
      <c r="U260" s="21">
        <f>T260*10^((S260-R260)/10)</f>
        <v>2.0502559196573767E-3</v>
      </c>
    </row>
    <row r="261" spans="1:21" x14ac:dyDescent="0.25">
      <c r="A261" s="24"/>
      <c r="B261" s="24"/>
      <c r="C261" s="17"/>
      <c r="D261" s="24"/>
      <c r="E261" s="24"/>
      <c r="F261" s="25"/>
      <c r="G261" s="1">
        <v>425</v>
      </c>
      <c r="H261" s="2">
        <v>88.1</v>
      </c>
      <c r="I261" s="2">
        <v>-23.2</v>
      </c>
      <c r="J261" s="2">
        <v>-25.7</v>
      </c>
      <c r="K261" s="2">
        <f t="shared" si="33"/>
        <v>-23.2</v>
      </c>
      <c r="L261" s="8">
        <f t="shared" si="36"/>
        <v>7.4131024130091739E-12</v>
      </c>
      <c r="M261" s="26"/>
      <c r="N261" s="17"/>
      <c r="O261" s="9">
        <f t="shared" si="35"/>
        <v>-25.7</v>
      </c>
      <c r="P261" s="8">
        <f>D260/B260*10^(O261/10)</f>
        <v>5.2933517810562658E-2</v>
      </c>
      <c r="Q261" s="26"/>
      <c r="R261" s="17"/>
      <c r="S261" s="19"/>
      <c r="T261" s="17"/>
      <c r="U261" s="22"/>
    </row>
    <row r="262" spans="1:21" x14ac:dyDescent="0.25">
      <c r="A262" s="24"/>
      <c r="B262" s="24"/>
      <c r="C262" s="17"/>
      <c r="D262" s="24"/>
      <c r="E262" s="24"/>
      <c r="F262" s="25"/>
      <c r="G262" s="1">
        <v>475</v>
      </c>
      <c r="H262" s="2">
        <v>90</v>
      </c>
      <c r="I262" s="2">
        <v>-20.8</v>
      </c>
      <c r="J262" s="2">
        <v>-25.9</v>
      </c>
      <c r="K262" s="2">
        <f t="shared" si="33"/>
        <v>-20.8</v>
      </c>
      <c r="L262" s="8">
        <f>10^((K262-H262)/10)</f>
        <v>8.3176377110266746E-12</v>
      </c>
      <c r="M262" s="26"/>
      <c r="N262" s="17"/>
      <c r="O262" s="9">
        <f t="shared" si="35"/>
        <v>-25.9</v>
      </c>
      <c r="P262" s="8">
        <f>D260/B260*10^(O262/10)</f>
        <v>5.055111706112099E-2</v>
      </c>
      <c r="Q262" s="26"/>
      <c r="R262" s="17"/>
      <c r="S262" s="19"/>
      <c r="T262" s="17"/>
      <c r="U262" s="22"/>
    </row>
    <row r="263" spans="1:21" x14ac:dyDescent="0.25">
      <c r="A263" s="24"/>
      <c r="B263" s="24"/>
      <c r="C263" s="17"/>
      <c r="D263" s="24"/>
      <c r="E263" s="24"/>
      <c r="F263" s="25"/>
      <c r="G263" s="1">
        <v>575</v>
      </c>
      <c r="H263" s="2">
        <v>97</v>
      </c>
      <c r="I263" s="2">
        <v>-21.6</v>
      </c>
      <c r="J263" s="2">
        <v>-27.3</v>
      </c>
      <c r="K263" s="2">
        <f t="shared" si="33"/>
        <v>-21.6</v>
      </c>
      <c r="L263" s="8">
        <f t="shared" ref="L263:L289" si="37">10^((K263-H263)/10)</f>
        <v>1.3803842646028842E-12</v>
      </c>
      <c r="M263" s="26"/>
      <c r="N263" s="17"/>
      <c r="O263" s="9">
        <f t="shared" si="35"/>
        <v>-27.3</v>
      </c>
      <c r="P263" s="8">
        <f>D260/B260*10^(O263/10)</f>
        <v>3.6621047021036378E-2</v>
      </c>
      <c r="Q263" s="26"/>
      <c r="R263" s="17"/>
      <c r="S263" s="19"/>
      <c r="T263" s="17"/>
      <c r="U263" s="22"/>
    </row>
    <row r="264" spans="1:21" x14ac:dyDescent="0.25">
      <c r="A264" s="24"/>
      <c r="B264" s="24"/>
      <c r="C264" s="17"/>
      <c r="D264" s="24"/>
      <c r="E264" s="24"/>
      <c r="F264" s="25"/>
      <c r="G264" s="1">
        <v>625</v>
      </c>
      <c r="H264" s="2">
        <v>92</v>
      </c>
      <c r="I264" s="2">
        <v>-23.7</v>
      </c>
      <c r="J264" s="2">
        <v>-27.9</v>
      </c>
      <c r="K264" s="2">
        <f t="shared" si="33"/>
        <v>-23.7</v>
      </c>
      <c r="L264" s="8">
        <f t="shared" si="37"/>
        <v>2.6915348039269074E-12</v>
      </c>
      <c r="M264" s="26"/>
      <c r="N264" s="17"/>
      <c r="O264" s="9">
        <f t="shared" si="35"/>
        <v>-27.9</v>
      </c>
      <c r="P264" s="8">
        <f>D260/B260*10^(O264/10)</f>
        <v>3.1895598581392258E-2</v>
      </c>
      <c r="Q264" s="26"/>
      <c r="R264" s="17"/>
      <c r="S264" s="19"/>
      <c r="T264" s="17"/>
      <c r="U264" s="22"/>
    </row>
    <row r="265" spans="1:21" x14ac:dyDescent="0.25">
      <c r="A265" s="24"/>
      <c r="B265" s="24"/>
      <c r="C265" s="17"/>
      <c r="D265" s="24"/>
      <c r="E265" s="24"/>
      <c r="F265" s="25"/>
      <c r="G265" s="1">
        <v>675</v>
      </c>
      <c r="H265" s="2">
        <v>94.5</v>
      </c>
      <c r="I265" s="2">
        <v>-24.7</v>
      </c>
      <c r="J265" s="2">
        <v>-26.5</v>
      </c>
      <c r="K265" s="2">
        <f t="shared" si="33"/>
        <v>-24.7</v>
      </c>
      <c r="L265" s="8">
        <f t="shared" si="37"/>
        <v>1.2022644346174088E-12</v>
      </c>
      <c r="M265" s="26"/>
      <c r="N265" s="17"/>
      <c r="O265" s="9">
        <f t="shared" si="35"/>
        <v>-26.5</v>
      </c>
      <c r="P265" s="8">
        <f>D260/B260*10^(O265/10)</f>
        <v>4.4028182391843994E-2</v>
      </c>
      <c r="Q265" s="26"/>
      <c r="R265" s="17"/>
      <c r="S265" s="20"/>
      <c r="T265" s="17"/>
      <c r="U265" s="23"/>
    </row>
    <row r="266" spans="1:21" x14ac:dyDescent="0.25">
      <c r="A266" s="24">
        <v>1000</v>
      </c>
      <c r="B266" s="24">
        <v>3</v>
      </c>
      <c r="C266" s="17">
        <v>0.5</v>
      </c>
      <c r="D266" s="24">
        <v>117</v>
      </c>
      <c r="E266" s="24">
        <v>6</v>
      </c>
      <c r="F266" s="25">
        <v>76</v>
      </c>
      <c r="G266" s="1">
        <v>875</v>
      </c>
      <c r="H266" s="2">
        <v>91.1</v>
      </c>
      <c r="I266" s="2">
        <v>-19.7</v>
      </c>
      <c r="J266" s="2">
        <v>-24.6</v>
      </c>
      <c r="K266" s="2">
        <f t="shared" si="33"/>
        <v>-19.7</v>
      </c>
      <c r="L266" s="8">
        <f t="shared" si="37"/>
        <v>8.3176377110266746E-12</v>
      </c>
      <c r="M266" s="26">
        <f>SUM(L266:L271)</f>
        <v>1.3138293225208826E-11</v>
      </c>
      <c r="N266" s="17">
        <f>10*LOG10(M266/E266)</f>
        <v>-116.59612300001467</v>
      </c>
      <c r="O266" s="9">
        <f t="shared" si="35"/>
        <v>-24.6</v>
      </c>
      <c r="P266" s="8">
        <f>D266/B266*10^(O266/10)</f>
        <v>0.1352273716764873</v>
      </c>
      <c r="Q266" s="26">
        <f>SUM(P266:P271)</f>
        <v>0.725263304152023</v>
      </c>
      <c r="R266" s="17">
        <f>10*LOG10(Q266)</f>
        <v>-1.3950429580097579</v>
      </c>
      <c r="S266" s="18">
        <f>F266+N266-Kzt-H</f>
        <v>-40.596123000014671</v>
      </c>
      <c r="T266" s="17">
        <v>0.8</v>
      </c>
      <c r="U266" s="21">
        <f>T266*10^((S266-R266)/10)</f>
        <v>9.6157238561435127E-5</v>
      </c>
    </row>
    <row r="267" spans="1:21" x14ac:dyDescent="0.25">
      <c r="A267" s="24"/>
      <c r="B267" s="24"/>
      <c r="C267" s="17"/>
      <c r="D267" s="24"/>
      <c r="E267" s="24"/>
      <c r="F267" s="25"/>
      <c r="G267" s="1">
        <v>975</v>
      </c>
      <c r="H267" s="2">
        <v>96.5</v>
      </c>
      <c r="I267" s="2">
        <v>-22.4</v>
      </c>
      <c r="J267" s="2">
        <v>-22.9</v>
      </c>
      <c r="K267" s="2">
        <f t="shared" si="33"/>
        <v>-22.4</v>
      </c>
      <c r="L267" s="8">
        <f t="shared" si="37"/>
        <v>1.2882495516931293E-12</v>
      </c>
      <c r="M267" s="26"/>
      <c r="N267" s="17"/>
      <c r="O267" s="9">
        <f t="shared" si="35"/>
        <v>-22.9</v>
      </c>
      <c r="P267" s="8">
        <f>D266/B266*10^(O267/10)</f>
        <v>0.20001593975663223</v>
      </c>
      <c r="Q267" s="26"/>
      <c r="R267" s="17"/>
      <c r="S267" s="19"/>
      <c r="T267" s="17"/>
      <c r="U267" s="22"/>
    </row>
    <row r="268" spans="1:21" x14ac:dyDescent="0.25">
      <c r="A268" s="24"/>
      <c r="B268" s="24"/>
      <c r="C268" s="17"/>
      <c r="D268" s="24"/>
      <c r="E268" s="24"/>
      <c r="F268" s="25"/>
      <c r="G268" s="1">
        <v>1075</v>
      </c>
      <c r="H268" s="2">
        <v>94.6</v>
      </c>
      <c r="I268" s="2">
        <v>-23.5</v>
      </c>
      <c r="J268" s="2">
        <v>-25.5</v>
      </c>
      <c r="K268" s="2">
        <f t="shared" si="33"/>
        <v>-23.5</v>
      </c>
      <c r="L268" s="8">
        <f t="shared" si="37"/>
        <v>1.5488166189124799E-12</v>
      </c>
      <c r="M268" s="26"/>
      <c r="N268" s="17"/>
      <c r="O268" s="9">
        <f t="shared" si="35"/>
        <v>-25.5</v>
      </c>
      <c r="P268" s="8">
        <f>D266/B266*10^(O268/10)</f>
        <v>0.10991693431931364</v>
      </c>
      <c r="Q268" s="26"/>
      <c r="R268" s="17"/>
      <c r="S268" s="19"/>
      <c r="T268" s="17"/>
      <c r="U268" s="22"/>
    </row>
    <row r="269" spans="1:21" x14ac:dyDescent="0.25">
      <c r="A269" s="24"/>
      <c r="B269" s="24"/>
      <c r="C269" s="17"/>
      <c r="D269" s="24"/>
      <c r="E269" s="24"/>
      <c r="F269" s="25"/>
      <c r="G269" s="1">
        <v>1175</v>
      </c>
      <c r="H269" s="2">
        <v>97.8</v>
      </c>
      <c r="I269" s="2">
        <v>-22.7</v>
      </c>
      <c r="J269" s="2">
        <v>-25.3</v>
      </c>
      <c r="K269" s="2">
        <f t="shared" si="33"/>
        <v>-22.7</v>
      </c>
      <c r="L269" s="8">
        <f t="shared" si="37"/>
        <v>8.9125093813374051E-13</v>
      </c>
      <c r="M269" s="26"/>
      <c r="N269" s="17"/>
      <c r="O269" s="9">
        <f t="shared" si="35"/>
        <v>-25.3</v>
      </c>
      <c r="P269" s="8">
        <f>D266/B266*10^(O269/10)</f>
        <v>0.11509715983998897</v>
      </c>
      <c r="Q269" s="26"/>
      <c r="R269" s="17"/>
      <c r="S269" s="19"/>
      <c r="T269" s="17"/>
      <c r="U269" s="22"/>
    </row>
    <row r="270" spans="1:21" x14ac:dyDescent="0.25">
      <c r="A270" s="24"/>
      <c r="B270" s="24"/>
      <c r="C270" s="17"/>
      <c r="D270" s="24"/>
      <c r="E270" s="24"/>
      <c r="F270" s="25"/>
      <c r="G270" s="1">
        <v>1275</v>
      </c>
      <c r="H270" s="2">
        <v>100.1</v>
      </c>
      <c r="I270" s="2">
        <v>-23</v>
      </c>
      <c r="J270" s="2">
        <v>-25.5</v>
      </c>
      <c r="K270" s="2">
        <f t="shared" si="33"/>
        <v>-23</v>
      </c>
      <c r="L270" s="8">
        <f t="shared" si="37"/>
        <v>4.8977881936844633E-13</v>
      </c>
      <c r="M270" s="26"/>
      <c r="N270" s="17"/>
      <c r="O270" s="9">
        <f t="shared" si="35"/>
        <v>-25.5</v>
      </c>
      <c r="P270" s="8">
        <f>D266/B266*10^(O270/10)</f>
        <v>0.10991693431931364</v>
      </c>
      <c r="Q270" s="26"/>
      <c r="R270" s="17"/>
      <c r="S270" s="19"/>
      <c r="T270" s="17"/>
      <c r="U270" s="22"/>
    </row>
    <row r="271" spans="1:21" x14ac:dyDescent="0.25">
      <c r="A271" s="24"/>
      <c r="B271" s="24"/>
      <c r="C271" s="17"/>
      <c r="D271" s="24"/>
      <c r="E271" s="24"/>
      <c r="F271" s="25"/>
      <c r="G271" s="1">
        <v>1375</v>
      </c>
      <c r="H271" s="2">
        <v>103</v>
      </c>
      <c r="I271" s="2">
        <v>-19.2</v>
      </c>
      <c r="J271" s="2">
        <v>-28.5</v>
      </c>
      <c r="K271" s="2">
        <f t="shared" si="33"/>
        <v>-19.2</v>
      </c>
      <c r="L271" s="8">
        <f t="shared" si="37"/>
        <v>6.025595860743553E-13</v>
      </c>
      <c r="M271" s="26"/>
      <c r="N271" s="17"/>
      <c r="O271" s="9">
        <f t="shared" si="35"/>
        <v>-28.5</v>
      </c>
      <c r="P271" s="8">
        <f>D266/B266*10^(O271/10)</f>
        <v>5.5088964240287357E-2</v>
      </c>
      <c r="Q271" s="26"/>
      <c r="R271" s="17"/>
      <c r="S271" s="20"/>
      <c r="T271" s="17"/>
      <c r="U271" s="23"/>
    </row>
    <row r="272" spans="1:21" x14ac:dyDescent="0.25">
      <c r="A272" s="24">
        <v>2000</v>
      </c>
      <c r="B272" s="24">
        <v>3</v>
      </c>
      <c r="C272" s="17">
        <v>0.5</v>
      </c>
      <c r="D272" s="24">
        <v>234</v>
      </c>
      <c r="E272" s="24">
        <v>6</v>
      </c>
      <c r="F272" s="25">
        <v>68</v>
      </c>
      <c r="G272" s="1">
        <v>1425</v>
      </c>
      <c r="H272" s="2">
        <v>102.8</v>
      </c>
      <c r="I272" s="2">
        <v>-19</v>
      </c>
      <c r="J272" s="2">
        <v>-26</v>
      </c>
      <c r="K272" s="2">
        <f t="shared" si="33"/>
        <v>-19</v>
      </c>
      <c r="L272" s="8">
        <f t="shared" si="37"/>
        <v>6.606934480075954E-13</v>
      </c>
      <c r="M272" s="26">
        <f>SUM(L272:L277)</f>
        <v>5.2639238413951744E-12</v>
      </c>
      <c r="N272" s="17">
        <f>10*LOG10(M272/E272)</f>
        <v>-120.56841653117617</v>
      </c>
      <c r="O272" s="9">
        <f t="shared" si="35"/>
        <v>-26</v>
      </c>
      <c r="P272" s="8">
        <f>D272/B272*10^(O272/10)</f>
        <v>0.19592714165774705</v>
      </c>
      <c r="Q272" s="26">
        <f>SUM(P272:P277)</f>
        <v>0.88955262290755521</v>
      </c>
      <c r="R272" s="17">
        <f>10*LOG10(Q272)</f>
        <v>-0.50828355435725703</v>
      </c>
      <c r="S272" s="18">
        <f>F272+N272-Kzt-H</f>
        <v>-52.568416531176169</v>
      </c>
      <c r="T272" s="17">
        <v>1</v>
      </c>
      <c r="U272" s="21">
        <f>T272*10^((S272-R272)/10)</f>
        <v>6.2228123122099555E-6</v>
      </c>
    </row>
    <row r="273" spans="1:21" x14ac:dyDescent="0.25">
      <c r="A273" s="24"/>
      <c r="B273" s="24"/>
      <c r="C273" s="17"/>
      <c r="D273" s="24"/>
      <c r="E273" s="24"/>
      <c r="F273" s="25"/>
      <c r="G273" s="1">
        <v>1625</v>
      </c>
      <c r="H273" s="2">
        <v>104.1</v>
      </c>
      <c r="I273" s="2">
        <v>-24.2</v>
      </c>
      <c r="J273" s="2">
        <v>-25.1</v>
      </c>
      <c r="K273" s="2">
        <f t="shared" si="33"/>
        <v>-24.2</v>
      </c>
      <c r="L273" s="8">
        <f t="shared" si="37"/>
        <v>1.47910838816821E-13</v>
      </c>
      <c r="M273" s="26"/>
      <c r="N273" s="17"/>
      <c r="O273" s="9">
        <f t="shared" si="35"/>
        <v>-25.1</v>
      </c>
      <c r="P273" s="8">
        <f>D272/B272*10^(O273/10)</f>
        <v>0.24104304373605984</v>
      </c>
      <c r="Q273" s="26"/>
      <c r="R273" s="17"/>
      <c r="S273" s="19"/>
      <c r="T273" s="17"/>
      <c r="U273" s="22"/>
    </row>
    <row r="274" spans="1:21" x14ac:dyDescent="0.25">
      <c r="A274" s="24"/>
      <c r="B274" s="24"/>
      <c r="C274" s="17"/>
      <c r="D274" s="24"/>
      <c r="E274" s="24"/>
      <c r="F274" s="25"/>
      <c r="G274" s="1">
        <v>1825</v>
      </c>
      <c r="H274" s="2">
        <v>107.6</v>
      </c>
      <c r="I274" s="2">
        <v>-21.2</v>
      </c>
      <c r="J274" s="2">
        <v>-27.4</v>
      </c>
      <c r="K274" s="2">
        <f t="shared" si="33"/>
        <v>-21.2</v>
      </c>
      <c r="L274" s="8">
        <f t="shared" si="37"/>
        <v>1.3182567385564054E-13</v>
      </c>
      <c r="M274" s="26"/>
      <c r="N274" s="17"/>
      <c r="O274" s="9">
        <f t="shared" si="35"/>
        <v>-27.4</v>
      </c>
      <c r="P274" s="8">
        <f>D272/B272*10^(O274/10)</f>
        <v>0.14193666697157864</v>
      </c>
      <c r="Q274" s="26"/>
      <c r="R274" s="17"/>
      <c r="S274" s="19"/>
      <c r="T274" s="17"/>
      <c r="U274" s="22"/>
    </row>
    <row r="275" spans="1:21" x14ac:dyDescent="0.25">
      <c r="A275" s="24"/>
      <c r="B275" s="24"/>
      <c r="C275" s="17"/>
      <c r="D275" s="24"/>
      <c r="E275" s="24"/>
      <c r="F275" s="25"/>
      <c r="G275" s="1">
        <v>2125</v>
      </c>
      <c r="H275" s="2">
        <v>104.2</v>
      </c>
      <c r="I275" s="2">
        <v>-20.5</v>
      </c>
      <c r="J275" s="2">
        <v>-29.4</v>
      </c>
      <c r="K275" s="2">
        <f t="shared" si="33"/>
        <v>-20.5</v>
      </c>
      <c r="L275" s="8">
        <f t="shared" si="37"/>
        <v>3.3884415613920079E-13</v>
      </c>
      <c r="M275" s="26"/>
      <c r="N275" s="17"/>
      <c r="O275" s="9">
        <f t="shared" si="35"/>
        <v>-29.4</v>
      </c>
      <c r="P275" s="8">
        <f>D272/B272*10^(O275/10)</f>
        <v>8.9555982476756835E-2</v>
      </c>
      <c r="Q275" s="26"/>
      <c r="R275" s="17"/>
      <c r="S275" s="19"/>
      <c r="T275" s="17"/>
      <c r="U275" s="22"/>
    </row>
    <row r="276" spans="1:21" x14ac:dyDescent="0.25">
      <c r="A276" s="24"/>
      <c r="B276" s="24"/>
      <c r="C276" s="17"/>
      <c r="D276" s="24"/>
      <c r="E276" s="24"/>
      <c r="F276" s="25"/>
      <c r="G276" s="1">
        <v>2425</v>
      </c>
      <c r="H276" s="2">
        <v>93.7</v>
      </c>
      <c r="I276" s="2">
        <v>-20.8</v>
      </c>
      <c r="J276" s="2">
        <v>-27.8</v>
      </c>
      <c r="K276" s="2">
        <f t="shared" si="33"/>
        <v>-20.8</v>
      </c>
      <c r="L276" s="8">
        <f t="shared" si="37"/>
        <v>3.5481338923357515E-12</v>
      </c>
      <c r="M276" s="26"/>
      <c r="N276" s="17"/>
      <c r="O276" s="9">
        <f t="shared" si="35"/>
        <v>-27.8</v>
      </c>
      <c r="P276" s="8">
        <f>D272/B272*10^(O276/10)</f>
        <v>0.12944777878012961</v>
      </c>
      <c r="Q276" s="26"/>
      <c r="R276" s="17"/>
      <c r="S276" s="19"/>
      <c r="T276" s="17"/>
      <c r="U276" s="22"/>
    </row>
    <row r="277" spans="1:21" x14ac:dyDescent="0.25">
      <c r="A277" s="24"/>
      <c r="B277" s="24"/>
      <c r="C277" s="17"/>
      <c r="D277" s="24"/>
      <c r="E277" s="24"/>
      <c r="F277" s="25"/>
      <c r="G277" s="1">
        <v>2775</v>
      </c>
      <c r="H277" s="2">
        <v>100.2</v>
      </c>
      <c r="I277" s="2">
        <v>-23.4</v>
      </c>
      <c r="J277" s="2">
        <v>-29.3</v>
      </c>
      <c r="K277" s="2">
        <f t="shared" si="33"/>
        <v>-23.4</v>
      </c>
      <c r="L277" s="8">
        <f t="shared" si="37"/>
        <v>4.3651583224016479E-13</v>
      </c>
      <c r="M277" s="26"/>
      <c r="N277" s="17"/>
      <c r="O277" s="9">
        <f t="shared" si="35"/>
        <v>-29.3</v>
      </c>
      <c r="P277" s="8">
        <f>D272/B272*10^(O277/10)</f>
        <v>9.1642009285283182E-2</v>
      </c>
      <c r="Q277" s="26"/>
      <c r="R277" s="17"/>
      <c r="S277" s="20"/>
      <c r="T277" s="17"/>
      <c r="U277" s="23"/>
    </row>
    <row r="278" spans="1:21" x14ac:dyDescent="0.25">
      <c r="A278" s="24">
        <v>4000</v>
      </c>
      <c r="B278" s="24">
        <v>3</v>
      </c>
      <c r="C278" s="17">
        <v>0.5</v>
      </c>
      <c r="D278" s="24">
        <v>470</v>
      </c>
      <c r="E278" s="24">
        <v>6</v>
      </c>
      <c r="F278" s="25">
        <v>62</v>
      </c>
      <c r="G278" s="1">
        <v>2825</v>
      </c>
      <c r="H278" s="2">
        <v>99.4</v>
      </c>
      <c r="I278" s="2">
        <v>-21</v>
      </c>
      <c r="J278" s="2">
        <v>-28.4</v>
      </c>
      <c r="K278" s="2">
        <f t="shared" si="33"/>
        <v>-21</v>
      </c>
      <c r="L278" s="8">
        <f t="shared" si="37"/>
        <v>9.1201083935590446E-13</v>
      </c>
      <c r="M278" s="26">
        <f>SUM(L278:L283)</f>
        <v>2.2017956104744973E-12</v>
      </c>
      <c r="N278" s="17">
        <f>10*LOG10(M278/E278)</f>
        <v>-124.35374248810095</v>
      </c>
      <c r="O278" s="9">
        <f t="shared" si="35"/>
        <v>-28.4</v>
      </c>
      <c r="P278" s="8">
        <f>D278/B278*10^(O278/10)</f>
        <v>0.22645223075019524</v>
      </c>
      <c r="Q278" s="26">
        <f>SUM(P278:P283)</f>
        <v>1.8357368047130151</v>
      </c>
      <c r="R278" s="17">
        <f>10*LOG10(Q278)</f>
        <v>2.6381041517977302</v>
      </c>
      <c r="S278" s="18">
        <f>F278+N278-Kzt-H</f>
        <v>-62.353742488100949</v>
      </c>
      <c r="T278" s="17">
        <v>0.9</v>
      </c>
      <c r="U278" s="21">
        <f>T278*10^((S278-R278)/10)</f>
        <v>2.8513980315201049E-7</v>
      </c>
    </row>
    <row r="279" spans="1:21" x14ac:dyDescent="0.25">
      <c r="A279" s="24"/>
      <c r="B279" s="24"/>
      <c r="C279" s="17"/>
      <c r="D279" s="24"/>
      <c r="E279" s="24"/>
      <c r="F279" s="25"/>
      <c r="G279" s="1">
        <v>3425</v>
      </c>
      <c r="H279" s="2">
        <v>103.5</v>
      </c>
      <c r="I279" s="2">
        <v>-21.7</v>
      </c>
      <c r="J279" s="2">
        <v>-25.2</v>
      </c>
      <c r="K279" s="2">
        <f t="shared" si="33"/>
        <v>-21.7</v>
      </c>
      <c r="L279" s="8">
        <f t="shared" si="37"/>
        <v>3.0199517204020122E-13</v>
      </c>
      <c r="M279" s="26"/>
      <c r="N279" s="17"/>
      <c r="O279" s="9">
        <f t="shared" si="35"/>
        <v>-25.2</v>
      </c>
      <c r="P279" s="8">
        <f>D278/B278*10^(O279/10)</f>
        <v>0.47312576952964874</v>
      </c>
      <c r="Q279" s="26"/>
      <c r="R279" s="17"/>
      <c r="S279" s="19"/>
      <c r="T279" s="17"/>
      <c r="U279" s="22"/>
    </row>
    <row r="280" spans="1:21" x14ac:dyDescent="0.25">
      <c r="A280" s="24"/>
      <c r="B280" s="24"/>
      <c r="C280" s="17"/>
      <c r="D280" s="24"/>
      <c r="E280" s="24"/>
      <c r="F280" s="25"/>
      <c r="G280" s="1">
        <v>4025</v>
      </c>
      <c r="H280" s="2">
        <v>103.6</v>
      </c>
      <c r="I280" s="2">
        <v>-26</v>
      </c>
      <c r="J280" s="2">
        <v>-26.3</v>
      </c>
      <c r="K280" s="2">
        <f t="shared" si="33"/>
        <v>-26</v>
      </c>
      <c r="L280" s="8">
        <f t="shared" si="37"/>
        <v>1.0964781961431845E-13</v>
      </c>
      <c r="M280" s="26"/>
      <c r="N280" s="17"/>
      <c r="O280" s="9">
        <f t="shared" si="35"/>
        <v>-26.3</v>
      </c>
      <c r="P280" s="8">
        <f>D278/B278*10^(O280/10)</f>
        <v>0.36726251440012081</v>
      </c>
      <c r="Q280" s="26"/>
      <c r="R280" s="17"/>
      <c r="S280" s="19"/>
      <c r="T280" s="17"/>
      <c r="U280" s="22"/>
    </row>
    <row r="281" spans="1:21" x14ac:dyDescent="0.25">
      <c r="A281" s="24"/>
      <c r="B281" s="24"/>
      <c r="C281" s="17"/>
      <c r="D281" s="24"/>
      <c r="E281" s="24"/>
      <c r="F281" s="25"/>
      <c r="G281" s="1">
        <v>4625</v>
      </c>
      <c r="H281" s="2">
        <v>105.6</v>
      </c>
      <c r="I281" s="2">
        <v>-21.5</v>
      </c>
      <c r="J281" s="2">
        <v>-26.2</v>
      </c>
      <c r="K281" s="2">
        <f t="shared" si="33"/>
        <v>-21.5</v>
      </c>
      <c r="L281" s="8">
        <f t="shared" si="37"/>
        <v>1.9498445997580464E-13</v>
      </c>
      <c r="M281" s="26"/>
      <c r="N281" s="17"/>
      <c r="O281" s="9">
        <f t="shared" si="35"/>
        <v>-26.2</v>
      </c>
      <c r="P281" s="8">
        <f>D278/B278*10^(O281/10)</f>
        <v>0.37581715731305321</v>
      </c>
      <c r="Q281" s="26"/>
      <c r="R281" s="17"/>
      <c r="S281" s="19"/>
      <c r="T281" s="17"/>
      <c r="U281" s="22"/>
    </row>
    <row r="282" spans="1:21" x14ac:dyDescent="0.25">
      <c r="A282" s="24"/>
      <c r="B282" s="24"/>
      <c r="C282" s="17"/>
      <c r="D282" s="24"/>
      <c r="E282" s="24"/>
      <c r="F282" s="25"/>
      <c r="G282" s="1">
        <v>5225</v>
      </c>
      <c r="H282" s="2">
        <v>103.5</v>
      </c>
      <c r="I282" s="2">
        <v>-23.9</v>
      </c>
      <c r="J282" s="2">
        <v>-29.6</v>
      </c>
      <c r="K282" s="2">
        <f t="shared" si="33"/>
        <v>-23.9</v>
      </c>
      <c r="L282" s="8">
        <f t="shared" si="37"/>
        <v>1.8197008586099787E-13</v>
      </c>
      <c r="M282" s="26"/>
      <c r="N282" s="17"/>
      <c r="O282" s="9">
        <f t="shared" si="35"/>
        <v>-29.6</v>
      </c>
      <c r="P282" s="8">
        <f>D278/B278*10^(O282/10)</f>
        <v>0.1717815840624323</v>
      </c>
      <c r="Q282" s="26"/>
      <c r="R282" s="17"/>
      <c r="S282" s="19"/>
      <c r="T282" s="17"/>
      <c r="U282" s="22"/>
    </row>
    <row r="283" spans="1:21" x14ac:dyDescent="0.25">
      <c r="A283" s="24"/>
      <c r="B283" s="24"/>
      <c r="C283" s="17"/>
      <c r="D283" s="24"/>
      <c r="E283" s="24"/>
      <c r="F283" s="25"/>
      <c r="G283" s="1">
        <v>5625</v>
      </c>
      <c r="H283" s="2">
        <v>99.5</v>
      </c>
      <c r="I283" s="2">
        <v>-23.5</v>
      </c>
      <c r="J283" s="2">
        <v>-28.5</v>
      </c>
      <c r="K283" s="2">
        <f t="shared" si="33"/>
        <v>-23.5</v>
      </c>
      <c r="L283" s="8">
        <f t="shared" si="37"/>
        <v>5.0118723362727066E-13</v>
      </c>
      <c r="M283" s="26"/>
      <c r="N283" s="17"/>
      <c r="O283" s="9">
        <f t="shared" si="35"/>
        <v>-28.5</v>
      </c>
      <c r="P283" s="8">
        <f>D278/B278*10^(O283/10)</f>
        <v>0.22129754865756457</v>
      </c>
      <c r="Q283" s="26"/>
      <c r="R283" s="17"/>
      <c r="S283" s="20"/>
      <c r="T283" s="17"/>
      <c r="U283" s="23"/>
    </row>
    <row r="284" spans="1:21" x14ac:dyDescent="0.25">
      <c r="A284" s="24">
        <v>8000</v>
      </c>
      <c r="B284" s="24">
        <v>3</v>
      </c>
      <c r="C284" s="17">
        <v>0.5</v>
      </c>
      <c r="D284" s="24">
        <v>943</v>
      </c>
      <c r="E284" s="24">
        <v>6</v>
      </c>
      <c r="F284" s="25">
        <v>54</v>
      </c>
      <c r="G284" s="1">
        <v>6025</v>
      </c>
      <c r="H284" s="2">
        <v>95</v>
      </c>
      <c r="I284" s="2">
        <v>-23.3</v>
      </c>
      <c r="J284" s="2">
        <v>-31.6</v>
      </c>
      <c r="K284" s="2">
        <f t="shared" si="33"/>
        <v>-23.3</v>
      </c>
      <c r="L284" s="8">
        <f t="shared" si="37"/>
        <v>1.4791083881682012E-12</v>
      </c>
      <c r="M284" s="26">
        <f>SUM(L284:L289)</f>
        <v>2.6387820347207996E-11</v>
      </c>
      <c r="N284" s="17">
        <f>10*LOG10(M284/E284)</f>
        <v>-113.5674773171624</v>
      </c>
      <c r="O284" s="9">
        <f t="shared" si="35"/>
        <v>-31.6</v>
      </c>
      <c r="P284" s="8">
        <f>D284/B284*10^(O284/10)</f>
        <v>0.21746553519218548</v>
      </c>
      <c r="Q284" s="26">
        <f>SUM(P284:P289)</f>
        <v>3.054832107528906</v>
      </c>
      <c r="R284" s="17">
        <f>10*LOG10(Q284)</f>
        <v>4.8498734656633165</v>
      </c>
      <c r="S284" s="18">
        <f>F284+N284-Kzt-H</f>
        <v>-59.5674773171624</v>
      </c>
      <c r="T284" s="17">
        <v>0.7</v>
      </c>
      <c r="U284" s="21">
        <f>T284*10^((S284-R284)/10)</f>
        <v>2.5314127415127131E-7</v>
      </c>
    </row>
    <row r="285" spans="1:21" x14ac:dyDescent="0.25">
      <c r="A285" s="24"/>
      <c r="B285" s="24"/>
      <c r="C285" s="17"/>
      <c r="D285" s="24"/>
      <c r="E285" s="24"/>
      <c r="F285" s="25"/>
      <c r="G285" s="1">
        <v>7025</v>
      </c>
      <c r="H285" s="2">
        <v>94.8</v>
      </c>
      <c r="I285" s="2">
        <v>-23.2</v>
      </c>
      <c r="J285" s="2">
        <v>-25.5</v>
      </c>
      <c r="K285" s="2">
        <f t="shared" si="33"/>
        <v>-23.2</v>
      </c>
      <c r="L285" s="8">
        <f t="shared" si="37"/>
        <v>1.5848931924611065E-12</v>
      </c>
      <c r="M285" s="26"/>
      <c r="N285" s="17"/>
      <c r="O285" s="9">
        <f t="shared" si="35"/>
        <v>-25.5</v>
      </c>
      <c r="P285" s="8">
        <f>D284/B284*10^(O285/10)</f>
        <v>0.88591170139412612</v>
      </c>
      <c r="Q285" s="26"/>
      <c r="R285" s="17"/>
      <c r="S285" s="19"/>
      <c r="T285" s="17"/>
      <c r="U285" s="22"/>
    </row>
    <row r="286" spans="1:21" x14ac:dyDescent="0.25">
      <c r="A286" s="24"/>
      <c r="B286" s="24"/>
      <c r="C286" s="17"/>
      <c r="D286" s="24"/>
      <c r="E286" s="24"/>
      <c r="F286" s="25"/>
      <c r="G286" s="1">
        <v>8025</v>
      </c>
      <c r="H286" s="2">
        <v>101.9</v>
      </c>
      <c r="I286" s="2">
        <v>-20.399999999999999</v>
      </c>
      <c r="J286" s="2">
        <v>-27</v>
      </c>
      <c r="K286" s="2">
        <f t="shared" si="33"/>
        <v>-20.399999999999999</v>
      </c>
      <c r="L286" s="8">
        <f t="shared" si="37"/>
        <v>5.8884365535558666E-13</v>
      </c>
      <c r="M286" s="26"/>
      <c r="N286" s="17"/>
      <c r="O286" s="9">
        <f t="shared" si="35"/>
        <v>-27</v>
      </c>
      <c r="P286" s="8">
        <f>D284/B284*10^(O286/10)</f>
        <v>0.62717745433855066</v>
      </c>
      <c r="Q286" s="26"/>
      <c r="R286" s="17"/>
      <c r="S286" s="19"/>
      <c r="T286" s="17"/>
      <c r="U286" s="22"/>
    </row>
    <row r="287" spans="1:21" x14ac:dyDescent="0.25">
      <c r="A287" s="24"/>
      <c r="B287" s="24"/>
      <c r="C287" s="17"/>
      <c r="D287" s="24"/>
      <c r="E287" s="24"/>
      <c r="F287" s="25"/>
      <c r="G287" s="1">
        <v>9025</v>
      </c>
      <c r="H287" s="2">
        <v>93.2</v>
      </c>
      <c r="I287" s="2">
        <v>-24.099999999999998</v>
      </c>
      <c r="J287" s="2">
        <v>-25.2</v>
      </c>
      <c r="K287" s="2">
        <f t="shared" si="33"/>
        <v>-24.099999999999998</v>
      </c>
      <c r="L287" s="8">
        <f t="shared" si="37"/>
        <v>1.8620871366628578E-12</v>
      </c>
      <c r="M287" s="26"/>
      <c r="N287" s="17"/>
      <c r="O287" s="9">
        <f t="shared" si="35"/>
        <v>-25.2</v>
      </c>
      <c r="P287" s="8">
        <f>D284/B284*10^(O287/10)</f>
        <v>0.94927149077969952</v>
      </c>
      <c r="Q287" s="26"/>
      <c r="R287" s="17"/>
      <c r="S287" s="19"/>
      <c r="T287" s="17"/>
      <c r="U287" s="22"/>
    </row>
    <row r="288" spans="1:21" x14ac:dyDescent="0.25">
      <c r="A288" s="24"/>
      <c r="B288" s="24"/>
      <c r="C288" s="17"/>
      <c r="D288" s="24"/>
      <c r="E288" s="24"/>
      <c r="F288" s="25"/>
      <c r="G288" s="1">
        <v>10025</v>
      </c>
      <c r="H288" s="2">
        <v>88.3</v>
      </c>
      <c r="I288" s="2">
        <v>-25.8</v>
      </c>
      <c r="J288" s="2">
        <v>-30.9</v>
      </c>
      <c r="K288" s="2">
        <f t="shared" si="33"/>
        <v>-25.8</v>
      </c>
      <c r="L288" s="8">
        <f t="shared" si="37"/>
        <v>3.890451449942802E-12</v>
      </c>
      <c r="M288" s="26"/>
      <c r="N288" s="17"/>
      <c r="O288" s="9">
        <f t="shared" si="35"/>
        <v>-30.9</v>
      </c>
      <c r="P288" s="8">
        <f>D284/B284*10^(O288/10)</f>
        <v>0.25549972558091499</v>
      </c>
      <c r="Q288" s="26"/>
      <c r="R288" s="17"/>
      <c r="S288" s="19"/>
      <c r="T288" s="17"/>
      <c r="U288" s="22"/>
    </row>
    <row r="289" spans="1:21" x14ac:dyDescent="0.25">
      <c r="A289" s="24"/>
      <c r="B289" s="24"/>
      <c r="C289" s="17"/>
      <c r="D289" s="24"/>
      <c r="E289" s="24"/>
      <c r="F289" s="25"/>
      <c r="G289" s="1">
        <v>11025</v>
      </c>
      <c r="H289" s="2">
        <v>86</v>
      </c>
      <c r="I289" s="2">
        <v>-21.7</v>
      </c>
      <c r="J289" s="2">
        <v>-34.200000000000003</v>
      </c>
      <c r="K289" s="2">
        <f t="shared" si="33"/>
        <v>-21.7</v>
      </c>
      <c r="L289" s="8">
        <f t="shared" si="37"/>
        <v>1.6982436524617441E-11</v>
      </c>
      <c r="M289" s="26"/>
      <c r="N289" s="17"/>
      <c r="O289" s="9">
        <f t="shared" si="35"/>
        <v>-34.200000000000003</v>
      </c>
      <c r="P289" s="8">
        <f>D284/B284*10^(O289/10)</f>
        <v>0.11950620024342949</v>
      </c>
      <c r="Q289" s="26"/>
      <c r="R289" s="17"/>
      <c r="S289" s="20"/>
      <c r="T289" s="17"/>
      <c r="U289" s="23"/>
    </row>
    <row r="290" spans="1:21" x14ac:dyDescent="0.25">
      <c r="A290" s="24" t="s">
        <v>20</v>
      </c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12">
        <f>U290</f>
        <v>6.5045447710666268E-2</v>
      </c>
      <c r="T290" s="2"/>
      <c r="U290" s="8">
        <f>0.8*SQRT(SUM(U256:U289))</f>
        <v>6.5045447710666268E-2</v>
      </c>
    </row>
    <row r="291" spans="1:21" x14ac:dyDescent="0.25">
      <c r="A291" s="27" t="s">
        <v>60</v>
      </c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9"/>
    </row>
    <row r="292" spans="1:21" x14ac:dyDescent="0.25">
      <c r="A292" s="24">
        <v>250</v>
      </c>
      <c r="B292" s="24">
        <v>3</v>
      </c>
      <c r="C292" s="17">
        <v>0.5</v>
      </c>
      <c r="D292" s="24">
        <v>38</v>
      </c>
      <c r="E292" s="24">
        <v>4</v>
      </c>
      <c r="F292" s="25">
        <v>84</v>
      </c>
      <c r="G292" s="1">
        <v>175</v>
      </c>
      <c r="H292" s="2">
        <v>84.8</v>
      </c>
      <c r="I292" s="2">
        <v>-18.899999999999999</v>
      </c>
      <c r="J292" s="2">
        <v>-21.6</v>
      </c>
      <c r="K292" s="2">
        <f>I292</f>
        <v>-18.899999999999999</v>
      </c>
      <c r="L292" s="8">
        <f>10^((K292-H292)/10)</f>
        <v>4.2657951880159247E-11</v>
      </c>
      <c r="M292" s="26">
        <f>SUM(L292:L295)</f>
        <v>9.4613397631323837E-11</v>
      </c>
      <c r="N292" s="17">
        <f>10*LOG10(M292/E292)</f>
        <v>-106.26107352755213</v>
      </c>
      <c r="O292" s="9">
        <f>J292</f>
        <v>-21.6</v>
      </c>
      <c r="P292" s="8">
        <f>D292/B292*10^(O292/10)</f>
        <v>8.7631922983065227E-2</v>
      </c>
      <c r="Q292" s="26">
        <f>SUM(P292:P295)</f>
        <v>0.15114107083674624</v>
      </c>
      <c r="R292" s="17">
        <f>10*LOG10(Q292)</f>
        <v>-8.2061750512444664</v>
      </c>
      <c r="S292" s="18">
        <f>F292+N292-Kzt-H</f>
        <v>-22.261073527552128</v>
      </c>
      <c r="T292" s="17">
        <v>0.2</v>
      </c>
      <c r="U292" s="21">
        <f>T292*10^((S292-R292)/10)</f>
        <v>7.8621286865780907E-3</v>
      </c>
    </row>
    <row r="293" spans="1:21" x14ac:dyDescent="0.25">
      <c r="A293" s="24"/>
      <c r="B293" s="24"/>
      <c r="C293" s="17"/>
      <c r="D293" s="24"/>
      <c r="E293" s="24"/>
      <c r="F293" s="25"/>
      <c r="G293" s="1">
        <v>225</v>
      </c>
      <c r="H293" s="2">
        <v>90</v>
      </c>
      <c r="I293" s="2">
        <v>-17.2</v>
      </c>
      <c r="J293" s="2">
        <v>-24.5</v>
      </c>
      <c r="K293" s="2">
        <f t="shared" ref="K293:K325" si="38">I293</f>
        <v>-17.2</v>
      </c>
      <c r="L293" s="8">
        <f t="shared" ref="L293:L294" si="39">10^((K293-H293)/10)</f>
        <v>1.9054607179632392E-11</v>
      </c>
      <c r="M293" s="26"/>
      <c r="N293" s="17"/>
      <c r="O293" s="9">
        <f t="shared" ref="O293:O325" si="40">J293</f>
        <v>-24.5</v>
      </c>
      <c r="P293" s="8">
        <f>D292/B292*10^(O293/10)</f>
        <v>4.4943029302919532E-2</v>
      </c>
      <c r="Q293" s="26"/>
      <c r="R293" s="17"/>
      <c r="S293" s="19"/>
      <c r="T293" s="17"/>
      <c r="U293" s="22"/>
    </row>
    <row r="294" spans="1:21" x14ac:dyDescent="0.25">
      <c r="A294" s="24"/>
      <c r="B294" s="24"/>
      <c r="C294" s="17"/>
      <c r="D294" s="24"/>
      <c r="E294" s="24"/>
      <c r="F294" s="25"/>
      <c r="G294" s="1">
        <v>275</v>
      </c>
      <c r="H294" s="2">
        <v>92.2</v>
      </c>
      <c r="I294" s="2">
        <v>-14</v>
      </c>
      <c r="J294" s="2">
        <v>-31.4</v>
      </c>
      <c r="K294" s="2">
        <f t="shared" si="38"/>
        <v>-14</v>
      </c>
      <c r="L294" s="8">
        <f t="shared" si="39"/>
        <v>2.3988329190194783E-11</v>
      </c>
      <c r="M294" s="26"/>
      <c r="N294" s="17"/>
      <c r="O294" s="9">
        <f t="shared" si="40"/>
        <v>-31.4</v>
      </c>
      <c r="P294" s="8">
        <f>D292/B292*10^(O294/10)</f>
        <v>9.1761888276165379E-3</v>
      </c>
      <c r="Q294" s="26"/>
      <c r="R294" s="17"/>
      <c r="S294" s="19"/>
      <c r="T294" s="17"/>
      <c r="U294" s="22"/>
    </row>
    <row r="295" spans="1:21" x14ac:dyDescent="0.25">
      <c r="A295" s="24"/>
      <c r="B295" s="24"/>
      <c r="C295" s="17"/>
      <c r="D295" s="24"/>
      <c r="E295" s="24"/>
      <c r="F295" s="25"/>
      <c r="G295" s="1">
        <v>325</v>
      </c>
      <c r="H295" s="2">
        <v>93.3</v>
      </c>
      <c r="I295" s="2">
        <v>-17.2</v>
      </c>
      <c r="J295" s="2">
        <v>-31.3</v>
      </c>
      <c r="K295" s="2">
        <f t="shared" si="38"/>
        <v>-17.2</v>
      </c>
      <c r="L295" s="8">
        <f>10^((K295-H295)/10)</f>
        <v>8.9125093813374152E-12</v>
      </c>
      <c r="M295" s="26"/>
      <c r="N295" s="17"/>
      <c r="O295" s="9">
        <f t="shared" si="40"/>
        <v>-31.3</v>
      </c>
      <c r="P295" s="8">
        <f>D292/B292*10^(O295/10)</f>
        <v>9.3899297231449519E-3</v>
      </c>
      <c r="Q295" s="26"/>
      <c r="R295" s="17"/>
      <c r="S295" s="20"/>
      <c r="T295" s="17"/>
      <c r="U295" s="23"/>
    </row>
    <row r="296" spans="1:21" x14ac:dyDescent="0.25">
      <c r="A296" s="24">
        <v>500</v>
      </c>
      <c r="B296" s="24">
        <v>3</v>
      </c>
      <c r="C296" s="17">
        <v>0.5</v>
      </c>
      <c r="D296" s="24">
        <v>59</v>
      </c>
      <c r="E296" s="24">
        <v>6</v>
      </c>
      <c r="F296" s="25">
        <v>84</v>
      </c>
      <c r="G296" s="1">
        <v>375</v>
      </c>
      <c r="H296" s="2">
        <v>91.9</v>
      </c>
      <c r="I296" s="2">
        <v>-20</v>
      </c>
      <c r="J296" s="2">
        <v>-24.3</v>
      </c>
      <c r="K296" s="2">
        <f t="shared" si="38"/>
        <v>-20</v>
      </c>
      <c r="L296" s="8">
        <f t="shared" ref="L296:L297" si="41">10^((K296-H296)/10)</f>
        <v>6.4565422903465118E-12</v>
      </c>
      <c r="M296" s="26">
        <f>SUM(L296:L301)</f>
        <v>1.1666710438337276E-10</v>
      </c>
      <c r="N296" s="17">
        <f>10*LOG10(M296/E296)</f>
        <v>-107.11202831345088</v>
      </c>
      <c r="O296" s="9">
        <f t="shared" si="40"/>
        <v>-24.3</v>
      </c>
      <c r="P296" s="8">
        <f>D296/B296*10^(O296/10)</f>
        <v>7.3068595055777216E-2</v>
      </c>
      <c r="Q296" s="26">
        <f>SUM(P296:P301)</f>
        <v>0.33670225650229424</v>
      </c>
      <c r="R296" s="17">
        <f>10*LOG10(Q296)</f>
        <v>-4.7275397305886431</v>
      </c>
      <c r="S296" s="18">
        <f>F296+N296-Kzt-H</f>
        <v>-23.112028313450878</v>
      </c>
      <c r="T296" s="17">
        <v>0.5</v>
      </c>
      <c r="U296" s="21">
        <f>T296*10^((S296-R296)/10)</f>
        <v>7.253057927905213E-3</v>
      </c>
    </row>
    <row r="297" spans="1:21" x14ac:dyDescent="0.25">
      <c r="A297" s="24"/>
      <c r="B297" s="24"/>
      <c r="C297" s="17"/>
      <c r="D297" s="24"/>
      <c r="E297" s="24"/>
      <c r="F297" s="25"/>
      <c r="G297" s="1">
        <v>425</v>
      </c>
      <c r="H297" s="2">
        <v>88.1</v>
      </c>
      <c r="I297" s="2">
        <v>-19.600000000000001</v>
      </c>
      <c r="J297" s="2">
        <v>-32.200000000000003</v>
      </c>
      <c r="K297" s="2">
        <f t="shared" si="38"/>
        <v>-19.600000000000001</v>
      </c>
      <c r="L297" s="8">
        <f t="shared" si="41"/>
        <v>1.6982436524617441E-11</v>
      </c>
      <c r="M297" s="26"/>
      <c r="N297" s="17"/>
      <c r="O297" s="9">
        <f t="shared" si="40"/>
        <v>-32.200000000000003</v>
      </c>
      <c r="P297" s="8">
        <f>D296/B296*10^(O297/10)</f>
        <v>1.1850338526129022E-2</v>
      </c>
      <c r="Q297" s="26"/>
      <c r="R297" s="17"/>
      <c r="S297" s="19"/>
      <c r="T297" s="17"/>
      <c r="U297" s="22"/>
    </row>
    <row r="298" spans="1:21" x14ac:dyDescent="0.25">
      <c r="A298" s="24"/>
      <c r="B298" s="24"/>
      <c r="C298" s="17"/>
      <c r="D298" s="24"/>
      <c r="E298" s="24"/>
      <c r="F298" s="25"/>
      <c r="G298" s="1">
        <v>475</v>
      </c>
      <c r="H298" s="2">
        <v>90</v>
      </c>
      <c r="I298" s="2">
        <v>-10.6</v>
      </c>
      <c r="J298" s="2">
        <v>-25.8</v>
      </c>
      <c r="K298" s="2">
        <f t="shared" si="38"/>
        <v>-10.6</v>
      </c>
      <c r="L298" s="8">
        <f>10^((K298-H298)/10)</f>
        <v>8.7096358995608072E-11</v>
      </c>
      <c r="M298" s="26"/>
      <c r="N298" s="17"/>
      <c r="O298" s="9">
        <f t="shared" si="40"/>
        <v>-25.8</v>
      </c>
      <c r="P298" s="8">
        <f>D296/B296*10^(O298/10)</f>
        <v>5.1728603840609129E-2</v>
      </c>
      <c r="Q298" s="26"/>
      <c r="R298" s="17"/>
      <c r="S298" s="19"/>
      <c r="T298" s="17"/>
      <c r="U298" s="22"/>
    </row>
    <row r="299" spans="1:21" x14ac:dyDescent="0.25">
      <c r="A299" s="24"/>
      <c r="B299" s="24"/>
      <c r="C299" s="17"/>
      <c r="D299" s="24"/>
      <c r="E299" s="24"/>
      <c r="F299" s="25"/>
      <c r="G299" s="1">
        <v>575</v>
      </c>
      <c r="H299" s="2">
        <v>97</v>
      </c>
      <c r="I299" s="2">
        <v>-21.1</v>
      </c>
      <c r="J299" s="2">
        <v>-25.3</v>
      </c>
      <c r="K299" s="2">
        <f t="shared" si="38"/>
        <v>-21.1</v>
      </c>
      <c r="L299" s="8">
        <f t="shared" ref="L299:L325" si="42">10^((K299-H299)/10)</f>
        <v>1.5488166189124799E-12</v>
      </c>
      <c r="M299" s="26"/>
      <c r="N299" s="17"/>
      <c r="O299" s="9">
        <f t="shared" si="40"/>
        <v>-25.3</v>
      </c>
      <c r="P299" s="8">
        <f>D296/B296*10^(O299/10)</f>
        <v>5.8040448124438884E-2</v>
      </c>
      <c r="Q299" s="26"/>
      <c r="R299" s="17"/>
      <c r="S299" s="19"/>
      <c r="T299" s="17"/>
      <c r="U299" s="22"/>
    </row>
    <row r="300" spans="1:21" x14ac:dyDescent="0.25">
      <c r="A300" s="24"/>
      <c r="B300" s="24"/>
      <c r="C300" s="17"/>
      <c r="D300" s="24"/>
      <c r="E300" s="24"/>
      <c r="F300" s="25"/>
      <c r="G300" s="1">
        <v>625</v>
      </c>
      <c r="H300" s="2">
        <v>92</v>
      </c>
      <c r="I300" s="2">
        <v>-24.3</v>
      </c>
      <c r="J300" s="2">
        <v>-25.6</v>
      </c>
      <c r="K300" s="2">
        <f t="shared" si="38"/>
        <v>-24.3</v>
      </c>
      <c r="L300" s="8">
        <f t="shared" si="42"/>
        <v>2.3442288153199247E-12</v>
      </c>
      <c r="M300" s="26"/>
      <c r="N300" s="17"/>
      <c r="O300" s="9">
        <f t="shared" si="40"/>
        <v>-25.6</v>
      </c>
      <c r="P300" s="8">
        <f>D296/B296*10^(O300/10)</f>
        <v>5.4166497832317251E-2</v>
      </c>
      <c r="Q300" s="26"/>
      <c r="R300" s="17"/>
      <c r="S300" s="19"/>
      <c r="T300" s="17"/>
      <c r="U300" s="22"/>
    </row>
    <row r="301" spans="1:21" x14ac:dyDescent="0.25">
      <c r="A301" s="24"/>
      <c r="B301" s="24"/>
      <c r="C301" s="17"/>
      <c r="D301" s="24"/>
      <c r="E301" s="24"/>
      <c r="F301" s="25"/>
      <c r="G301" s="1">
        <v>675</v>
      </c>
      <c r="H301" s="2">
        <v>94.5</v>
      </c>
      <c r="I301" s="2">
        <v>-22</v>
      </c>
      <c r="J301" s="2">
        <v>-23.5</v>
      </c>
      <c r="K301" s="2">
        <f t="shared" si="38"/>
        <v>-22</v>
      </c>
      <c r="L301" s="8">
        <f t="shared" si="42"/>
        <v>2.2387211385683343E-12</v>
      </c>
      <c r="M301" s="26"/>
      <c r="N301" s="17"/>
      <c r="O301" s="9">
        <f t="shared" si="40"/>
        <v>-23.5</v>
      </c>
      <c r="P301" s="8">
        <f>D296/B296*10^(O301/10)</f>
        <v>8.7847773123022693E-2</v>
      </c>
      <c r="Q301" s="26"/>
      <c r="R301" s="17"/>
      <c r="S301" s="20"/>
      <c r="T301" s="17"/>
      <c r="U301" s="23"/>
    </row>
    <row r="302" spans="1:21" x14ac:dyDescent="0.25">
      <c r="A302" s="24">
        <v>1000</v>
      </c>
      <c r="B302" s="24">
        <v>3</v>
      </c>
      <c r="C302" s="17">
        <v>0.5</v>
      </c>
      <c r="D302" s="24">
        <v>117</v>
      </c>
      <c r="E302" s="24">
        <v>6</v>
      </c>
      <c r="F302" s="25">
        <v>76</v>
      </c>
      <c r="G302" s="1">
        <v>875</v>
      </c>
      <c r="H302" s="2">
        <v>91.1</v>
      </c>
      <c r="I302" s="2">
        <v>-20.2</v>
      </c>
      <c r="J302" s="2">
        <v>-27.6</v>
      </c>
      <c r="K302" s="2">
        <f t="shared" si="38"/>
        <v>-20.2</v>
      </c>
      <c r="L302" s="8">
        <f t="shared" si="42"/>
        <v>7.4131024130091739E-12</v>
      </c>
      <c r="M302" s="26">
        <f>SUM(L302:L307)</f>
        <v>2.6409200136837564E-11</v>
      </c>
      <c r="N302" s="17">
        <f>10*LOG10(M302/E302)</f>
        <v>-113.56396002581423</v>
      </c>
      <c r="O302" s="9">
        <f t="shared" si="40"/>
        <v>-27.6</v>
      </c>
      <c r="P302" s="8">
        <f>D302/B302*10^(O302/10)</f>
        <v>6.7774232321225564E-2</v>
      </c>
      <c r="Q302" s="26">
        <f>SUM(P302:P307)</f>
        <v>1.8305741738429711</v>
      </c>
      <c r="R302" s="17">
        <f>10*LOG10(Q302)</f>
        <v>2.6258733094388846</v>
      </c>
      <c r="S302" s="18">
        <f>F302+N302-Kzt-H</f>
        <v>-37.563960025814225</v>
      </c>
      <c r="T302" s="17">
        <v>0.8</v>
      </c>
      <c r="U302" s="21">
        <f>T302*10^((S302-R302)/10)</f>
        <v>7.6578464420524943E-5</v>
      </c>
    </row>
    <row r="303" spans="1:21" x14ac:dyDescent="0.25">
      <c r="A303" s="24"/>
      <c r="B303" s="24"/>
      <c r="C303" s="17"/>
      <c r="D303" s="24"/>
      <c r="E303" s="24"/>
      <c r="F303" s="25"/>
      <c r="G303" s="1">
        <v>975</v>
      </c>
      <c r="H303" s="2">
        <v>96.5</v>
      </c>
      <c r="I303" s="2">
        <v>-13.1</v>
      </c>
      <c r="J303" s="2">
        <v>-16.100000000000001</v>
      </c>
      <c r="K303" s="2">
        <f t="shared" si="38"/>
        <v>-13.1</v>
      </c>
      <c r="L303" s="8">
        <f t="shared" si="42"/>
        <v>1.096478196143183E-11</v>
      </c>
      <c r="M303" s="26"/>
      <c r="N303" s="17"/>
      <c r="O303" s="9">
        <f t="shared" si="40"/>
        <v>-16.100000000000001</v>
      </c>
      <c r="P303" s="8">
        <f>D302/B302*10^(O303/10)</f>
        <v>0.95733647711716119</v>
      </c>
      <c r="Q303" s="26"/>
      <c r="R303" s="17"/>
      <c r="S303" s="19"/>
      <c r="T303" s="17"/>
      <c r="U303" s="22"/>
    </row>
    <row r="304" spans="1:21" x14ac:dyDescent="0.25">
      <c r="A304" s="24"/>
      <c r="B304" s="24"/>
      <c r="C304" s="17"/>
      <c r="D304" s="24"/>
      <c r="E304" s="24"/>
      <c r="F304" s="25"/>
      <c r="G304" s="1">
        <v>1075</v>
      </c>
      <c r="H304" s="2">
        <v>94.6</v>
      </c>
      <c r="I304" s="2">
        <v>-17.600000000000001</v>
      </c>
      <c r="J304" s="2">
        <v>-18.899999999999999</v>
      </c>
      <c r="K304" s="2">
        <f t="shared" si="38"/>
        <v>-17.600000000000001</v>
      </c>
      <c r="L304" s="8">
        <f t="shared" si="42"/>
        <v>6.0255958607435815E-12</v>
      </c>
      <c r="M304" s="26"/>
      <c r="N304" s="17"/>
      <c r="O304" s="9">
        <f t="shared" si="40"/>
        <v>-18.899999999999999</v>
      </c>
      <c r="P304" s="8">
        <f>D302/B302*10^(O304/10)</f>
        <v>0.50241732516032189</v>
      </c>
      <c r="Q304" s="26"/>
      <c r="R304" s="17"/>
      <c r="S304" s="19"/>
      <c r="T304" s="17"/>
      <c r="U304" s="22"/>
    </row>
    <row r="305" spans="1:21" x14ac:dyDescent="0.25">
      <c r="A305" s="24"/>
      <c r="B305" s="24"/>
      <c r="C305" s="17"/>
      <c r="D305" s="24"/>
      <c r="E305" s="24"/>
      <c r="F305" s="25"/>
      <c r="G305" s="1">
        <v>1175</v>
      </c>
      <c r="H305" s="2">
        <v>97.8</v>
      </c>
      <c r="I305" s="2">
        <v>-20.5</v>
      </c>
      <c r="J305" s="2">
        <v>-25.6</v>
      </c>
      <c r="K305" s="2">
        <f t="shared" si="38"/>
        <v>-20.5</v>
      </c>
      <c r="L305" s="8">
        <f t="shared" si="42"/>
        <v>1.4791083881682012E-12</v>
      </c>
      <c r="M305" s="26"/>
      <c r="N305" s="17"/>
      <c r="O305" s="9">
        <f t="shared" si="40"/>
        <v>-25.6</v>
      </c>
      <c r="P305" s="8">
        <f>D302/B302*10^(O305/10)</f>
        <v>0.10741491943018844</v>
      </c>
      <c r="Q305" s="26"/>
      <c r="R305" s="17"/>
      <c r="S305" s="19"/>
      <c r="T305" s="17"/>
      <c r="U305" s="22"/>
    </row>
    <row r="306" spans="1:21" x14ac:dyDescent="0.25">
      <c r="A306" s="24"/>
      <c r="B306" s="24"/>
      <c r="C306" s="17"/>
      <c r="D306" s="24"/>
      <c r="E306" s="24"/>
      <c r="F306" s="25"/>
      <c r="G306" s="1">
        <v>1275</v>
      </c>
      <c r="H306" s="2">
        <v>100.1</v>
      </c>
      <c r="I306" s="2">
        <v>-25.5</v>
      </c>
      <c r="J306" s="2">
        <v>-28.1</v>
      </c>
      <c r="K306" s="2">
        <f t="shared" si="38"/>
        <v>-25.5</v>
      </c>
      <c r="L306" s="8">
        <f t="shared" si="42"/>
        <v>2.754228703338164E-13</v>
      </c>
      <c r="M306" s="26"/>
      <c r="N306" s="17"/>
      <c r="O306" s="9">
        <f t="shared" si="40"/>
        <v>-28.1</v>
      </c>
      <c r="P306" s="8">
        <f>D302/B302*10^(O306/10)</f>
        <v>6.040384813758673E-2</v>
      </c>
      <c r="Q306" s="26"/>
      <c r="R306" s="17"/>
      <c r="S306" s="19"/>
      <c r="T306" s="17"/>
      <c r="U306" s="22"/>
    </row>
    <row r="307" spans="1:21" x14ac:dyDescent="0.25">
      <c r="A307" s="24"/>
      <c r="B307" s="24"/>
      <c r="C307" s="17"/>
      <c r="D307" s="24"/>
      <c r="E307" s="24"/>
      <c r="F307" s="25"/>
      <c r="G307" s="1">
        <v>1375</v>
      </c>
      <c r="H307" s="2">
        <v>103</v>
      </c>
      <c r="I307" s="2">
        <v>-23</v>
      </c>
      <c r="J307" s="2">
        <v>-24.6</v>
      </c>
      <c r="K307" s="2">
        <f t="shared" si="38"/>
        <v>-23</v>
      </c>
      <c r="L307" s="8">
        <f t="shared" si="42"/>
        <v>2.511886431509579E-13</v>
      </c>
      <c r="M307" s="26"/>
      <c r="N307" s="17"/>
      <c r="O307" s="9">
        <f t="shared" si="40"/>
        <v>-24.6</v>
      </c>
      <c r="P307" s="8">
        <f>D302/B302*10^(O307/10)</f>
        <v>0.1352273716764873</v>
      </c>
      <c r="Q307" s="26"/>
      <c r="R307" s="17"/>
      <c r="S307" s="20"/>
      <c r="T307" s="17"/>
      <c r="U307" s="23"/>
    </row>
    <row r="308" spans="1:21" x14ac:dyDescent="0.25">
      <c r="A308" s="24">
        <v>2000</v>
      </c>
      <c r="B308" s="24">
        <v>3</v>
      </c>
      <c r="C308" s="17">
        <v>0.5</v>
      </c>
      <c r="D308" s="24">
        <v>234</v>
      </c>
      <c r="E308" s="24">
        <v>6</v>
      </c>
      <c r="F308" s="25">
        <v>68</v>
      </c>
      <c r="G308" s="1">
        <v>1425</v>
      </c>
      <c r="H308" s="2">
        <v>102.8</v>
      </c>
      <c r="I308" s="2">
        <v>-20.3</v>
      </c>
      <c r="J308" s="2">
        <v>-24</v>
      </c>
      <c r="K308" s="2">
        <f t="shared" si="38"/>
        <v>-20.3</v>
      </c>
      <c r="L308" s="8">
        <f t="shared" si="42"/>
        <v>4.8977881936844633E-13</v>
      </c>
      <c r="M308" s="26">
        <f>SUM(L308:L313)</f>
        <v>1.2090790464960424E-11</v>
      </c>
      <c r="N308" s="17">
        <f>10*LOG10(M308/E308)</f>
        <v>-116.95696555532108</v>
      </c>
      <c r="O308" s="9">
        <f t="shared" si="40"/>
        <v>-24</v>
      </c>
      <c r="P308" s="8">
        <f>D308/B308*10^(O308/10)</f>
        <v>0.31052359303172777</v>
      </c>
      <c r="Q308" s="26">
        <f>SUM(P308:P313)</f>
        <v>1.8225415703848187</v>
      </c>
      <c r="R308" s="17">
        <f>10*LOG10(Q308)</f>
        <v>2.60677442933958</v>
      </c>
      <c r="S308" s="18">
        <f>F308+N308-Kzt-H</f>
        <v>-48.956965555321077</v>
      </c>
      <c r="T308" s="17">
        <v>1</v>
      </c>
      <c r="U308" s="21">
        <f>T308*10^((S308-R308)/10)</f>
        <v>6.9763137079200593E-6</v>
      </c>
    </row>
    <row r="309" spans="1:21" x14ac:dyDescent="0.25">
      <c r="A309" s="24"/>
      <c r="B309" s="24"/>
      <c r="C309" s="17"/>
      <c r="D309" s="24"/>
      <c r="E309" s="24"/>
      <c r="F309" s="25"/>
      <c r="G309" s="1">
        <v>1625</v>
      </c>
      <c r="H309" s="2">
        <v>104.1</v>
      </c>
      <c r="I309" s="2">
        <v>-20.7</v>
      </c>
      <c r="J309" s="2">
        <v>-20.7</v>
      </c>
      <c r="K309" s="2">
        <f t="shared" si="38"/>
        <v>-20.7</v>
      </c>
      <c r="L309" s="8">
        <f t="shared" si="42"/>
        <v>3.311311214825894E-13</v>
      </c>
      <c r="M309" s="26"/>
      <c r="N309" s="17"/>
      <c r="O309" s="9">
        <f t="shared" si="40"/>
        <v>-20.7</v>
      </c>
      <c r="P309" s="8">
        <f>D308/B308*10^(O309/10)</f>
        <v>0.66388766979785385</v>
      </c>
      <c r="Q309" s="26"/>
      <c r="R309" s="17"/>
      <c r="S309" s="19"/>
      <c r="T309" s="17"/>
      <c r="U309" s="22"/>
    </row>
    <row r="310" spans="1:21" x14ac:dyDescent="0.25">
      <c r="A310" s="24"/>
      <c r="B310" s="24"/>
      <c r="C310" s="17"/>
      <c r="D310" s="24"/>
      <c r="E310" s="24"/>
      <c r="F310" s="25"/>
      <c r="G310" s="1">
        <v>1825</v>
      </c>
      <c r="H310" s="2">
        <v>107.6</v>
      </c>
      <c r="I310" s="2">
        <v>-21.8</v>
      </c>
      <c r="J310" s="2">
        <v>-22.8</v>
      </c>
      <c r="K310" s="2">
        <f t="shared" si="38"/>
        <v>-21.8</v>
      </c>
      <c r="L310" s="8">
        <f t="shared" si="42"/>
        <v>1.1481536214968778E-13</v>
      </c>
      <c r="M310" s="26"/>
      <c r="N310" s="17"/>
      <c r="O310" s="9">
        <f t="shared" si="40"/>
        <v>-22.8</v>
      </c>
      <c r="P310" s="8">
        <f>D308/B308*10^(O310/10)</f>
        <v>0.40934981899482203</v>
      </c>
      <c r="Q310" s="26"/>
      <c r="R310" s="17"/>
      <c r="S310" s="19"/>
      <c r="T310" s="17"/>
      <c r="U310" s="22"/>
    </row>
    <row r="311" spans="1:21" x14ac:dyDescent="0.25">
      <c r="A311" s="24"/>
      <c r="B311" s="24"/>
      <c r="C311" s="17"/>
      <c r="D311" s="24"/>
      <c r="E311" s="24"/>
      <c r="F311" s="25"/>
      <c r="G311" s="1">
        <v>2125</v>
      </c>
      <c r="H311" s="2">
        <v>104.2</v>
      </c>
      <c r="I311" s="2">
        <v>-23.3</v>
      </c>
      <c r="J311" s="2">
        <v>-28.7</v>
      </c>
      <c r="K311" s="2">
        <f t="shared" si="38"/>
        <v>-23.3</v>
      </c>
      <c r="L311" s="8">
        <f t="shared" si="42"/>
        <v>1.7782794100389184E-13</v>
      </c>
      <c r="M311" s="26"/>
      <c r="N311" s="17"/>
      <c r="O311" s="9">
        <f t="shared" si="40"/>
        <v>-28.7</v>
      </c>
      <c r="P311" s="8">
        <f>D308/B308*10^(O311/10)</f>
        <v>0.10521910484214889</v>
      </c>
      <c r="Q311" s="26"/>
      <c r="R311" s="17"/>
      <c r="S311" s="19"/>
      <c r="T311" s="17"/>
      <c r="U311" s="22"/>
    </row>
    <row r="312" spans="1:21" x14ac:dyDescent="0.25">
      <c r="A312" s="24"/>
      <c r="B312" s="24"/>
      <c r="C312" s="17"/>
      <c r="D312" s="24"/>
      <c r="E312" s="24"/>
      <c r="F312" s="25"/>
      <c r="G312" s="1">
        <v>2425</v>
      </c>
      <c r="H312" s="2">
        <v>93.7</v>
      </c>
      <c r="I312" s="2">
        <v>-16.3</v>
      </c>
      <c r="J312" s="2">
        <v>-25.7</v>
      </c>
      <c r="K312" s="2">
        <f t="shared" si="38"/>
        <v>-16.3</v>
      </c>
      <c r="L312" s="8">
        <f t="shared" si="42"/>
        <v>9.9999999999999994E-12</v>
      </c>
      <c r="M312" s="26"/>
      <c r="N312" s="17"/>
      <c r="O312" s="9">
        <f t="shared" si="40"/>
        <v>-25.7</v>
      </c>
      <c r="P312" s="8">
        <f>D308/B308*10^(O312/10)</f>
        <v>0.20993971470629935</v>
      </c>
      <c r="Q312" s="26"/>
      <c r="R312" s="17"/>
      <c r="S312" s="19"/>
      <c r="T312" s="17"/>
      <c r="U312" s="22"/>
    </row>
    <row r="313" spans="1:21" x14ac:dyDescent="0.25">
      <c r="A313" s="24"/>
      <c r="B313" s="24"/>
      <c r="C313" s="17"/>
      <c r="D313" s="24"/>
      <c r="E313" s="24"/>
      <c r="F313" s="25"/>
      <c r="G313" s="1">
        <v>2775</v>
      </c>
      <c r="H313" s="2">
        <v>100.2</v>
      </c>
      <c r="I313" s="2">
        <v>-19.899999999999999</v>
      </c>
      <c r="J313" s="2">
        <v>-28</v>
      </c>
      <c r="K313" s="2">
        <f t="shared" si="38"/>
        <v>-19.899999999999999</v>
      </c>
      <c r="L313" s="8">
        <f t="shared" si="42"/>
        <v>9.7723722095580816E-13</v>
      </c>
      <c r="M313" s="26"/>
      <c r="N313" s="17"/>
      <c r="O313" s="9">
        <f t="shared" si="40"/>
        <v>-28</v>
      </c>
      <c r="P313" s="8">
        <f>D308/B308*10^(O313/10)</f>
        <v>0.12362166901196685</v>
      </c>
      <c r="Q313" s="26"/>
      <c r="R313" s="17"/>
      <c r="S313" s="20"/>
      <c r="T313" s="17"/>
      <c r="U313" s="23"/>
    </row>
    <row r="314" spans="1:21" x14ac:dyDescent="0.25">
      <c r="A314" s="24">
        <v>4000</v>
      </c>
      <c r="B314" s="24">
        <v>3</v>
      </c>
      <c r="C314" s="17">
        <v>0.5</v>
      </c>
      <c r="D314" s="24">
        <v>470</v>
      </c>
      <c r="E314" s="24">
        <v>6</v>
      </c>
      <c r="F314" s="25">
        <v>62</v>
      </c>
      <c r="G314" s="1">
        <v>2825</v>
      </c>
      <c r="H314" s="2">
        <v>99.4</v>
      </c>
      <c r="I314" s="2">
        <v>-17.600000000000001</v>
      </c>
      <c r="J314" s="2">
        <v>-33.299999999999997</v>
      </c>
      <c r="K314" s="2">
        <f t="shared" si="38"/>
        <v>-17.600000000000001</v>
      </c>
      <c r="L314" s="8">
        <f t="shared" si="42"/>
        <v>1.9952623149688759E-12</v>
      </c>
      <c r="M314" s="26">
        <f>SUM(L314:L319)</f>
        <v>5.1937254479087716E-12</v>
      </c>
      <c r="N314" s="17">
        <f>10*LOG10(M314/E314)</f>
        <v>-120.62672262273594</v>
      </c>
      <c r="O314" s="9">
        <f t="shared" si="40"/>
        <v>-33.299999999999997</v>
      </c>
      <c r="P314" s="8">
        <f>D314/B314*10^(O314/10)</f>
        <v>7.327850546832769E-2</v>
      </c>
      <c r="Q314" s="26">
        <f>SUM(P314:P319)</f>
        <v>2.2272363502235897</v>
      </c>
      <c r="R314" s="17">
        <f>10*LOG10(Q314)</f>
        <v>3.4776630601088057</v>
      </c>
      <c r="S314" s="18">
        <f>F314+N314-Kzt-H</f>
        <v>-58.62672262273594</v>
      </c>
      <c r="T314" s="17">
        <v>0.9</v>
      </c>
      <c r="U314" s="21">
        <f>T314*10^((S314-R314)/10)</f>
        <v>5.5437538802805618E-7</v>
      </c>
    </row>
    <row r="315" spans="1:21" x14ac:dyDescent="0.25">
      <c r="A315" s="24"/>
      <c r="B315" s="24"/>
      <c r="C315" s="17"/>
      <c r="D315" s="24"/>
      <c r="E315" s="24"/>
      <c r="F315" s="25"/>
      <c r="G315" s="1">
        <v>3425</v>
      </c>
      <c r="H315" s="2">
        <v>103.5</v>
      </c>
      <c r="I315" s="2">
        <v>-22.4</v>
      </c>
      <c r="J315" s="2">
        <v>-26.2</v>
      </c>
      <c r="K315" s="2">
        <f t="shared" si="38"/>
        <v>-22.4</v>
      </c>
      <c r="L315" s="8">
        <f t="shared" si="42"/>
        <v>2.5703957827688533E-13</v>
      </c>
      <c r="M315" s="26"/>
      <c r="N315" s="17"/>
      <c r="O315" s="9">
        <f t="shared" si="40"/>
        <v>-26.2</v>
      </c>
      <c r="P315" s="8">
        <f>D314/B314*10^(O315/10)</f>
        <v>0.37581715731305321</v>
      </c>
      <c r="Q315" s="26"/>
      <c r="R315" s="17"/>
      <c r="S315" s="19"/>
      <c r="T315" s="17"/>
      <c r="U315" s="22"/>
    </row>
    <row r="316" spans="1:21" x14ac:dyDescent="0.25">
      <c r="A316" s="24"/>
      <c r="B316" s="24"/>
      <c r="C316" s="17"/>
      <c r="D316" s="24"/>
      <c r="E316" s="24"/>
      <c r="F316" s="25"/>
      <c r="G316" s="1">
        <v>4025</v>
      </c>
      <c r="H316" s="2">
        <v>103.6</v>
      </c>
      <c r="I316" s="2">
        <v>-22.799999999999997</v>
      </c>
      <c r="J316" s="2">
        <v>-23.9</v>
      </c>
      <c r="K316" s="2">
        <f t="shared" si="38"/>
        <v>-22.799999999999997</v>
      </c>
      <c r="L316" s="8">
        <f t="shared" si="42"/>
        <v>2.290867652767773E-13</v>
      </c>
      <c r="M316" s="26"/>
      <c r="N316" s="17"/>
      <c r="O316" s="9">
        <f t="shared" si="40"/>
        <v>-23.9</v>
      </c>
      <c r="P316" s="8">
        <f>D314/B314*10^(O316/10)</f>
        <v>0.63822910189311033</v>
      </c>
      <c r="Q316" s="26"/>
      <c r="R316" s="17"/>
      <c r="S316" s="19"/>
      <c r="T316" s="17"/>
      <c r="U316" s="22"/>
    </row>
    <row r="317" spans="1:21" x14ac:dyDescent="0.25">
      <c r="A317" s="24"/>
      <c r="B317" s="24"/>
      <c r="C317" s="17"/>
      <c r="D317" s="24"/>
      <c r="E317" s="24"/>
      <c r="F317" s="25"/>
      <c r="G317" s="1">
        <v>4625</v>
      </c>
      <c r="H317" s="2">
        <v>105.6</v>
      </c>
      <c r="I317" s="2">
        <v>-19.8</v>
      </c>
      <c r="J317" s="2">
        <v>-31.5</v>
      </c>
      <c r="K317" s="2">
        <f t="shared" si="38"/>
        <v>-19.8</v>
      </c>
      <c r="L317" s="8">
        <f t="shared" si="42"/>
        <v>2.884031503126603E-13</v>
      </c>
      <c r="M317" s="26"/>
      <c r="N317" s="17"/>
      <c r="O317" s="9">
        <f t="shared" si="40"/>
        <v>-31.5</v>
      </c>
      <c r="P317" s="8">
        <f>D314/B314*10^(O317/10)</f>
        <v>0.11091150622018159</v>
      </c>
      <c r="Q317" s="26"/>
      <c r="R317" s="17"/>
      <c r="S317" s="19"/>
      <c r="T317" s="17"/>
      <c r="U317" s="22"/>
    </row>
    <row r="318" spans="1:21" x14ac:dyDescent="0.25">
      <c r="A318" s="24"/>
      <c r="B318" s="24"/>
      <c r="C318" s="17"/>
      <c r="D318" s="24"/>
      <c r="E318" s="24"/>
      <c r="F318" s="25"/>
      <c r="G318" s="1">
        <v>5225</v>
      </c>
      <c r="H318" s="2">
        <v>103.5</v>
      </c>
      <c r="I318" s="2">
        <v>-18.399999999999999</v>
      </c>
      <c r="J318" s="2">
        <v>-24.5</v>
      </c>
      <c r="K318" s="2">
        <f t="shared" si="38"/>
        <v>-18.399999999999999</v>
      </c>
      <c r="L318" s="8">
        <f t="shared" si="42"/>
        <v>6.456542290346527E-13</v>
      </c>
      <c r="M318" s="26"/>
      <c r="N318" s="17"/>
      <c r="O318" s="9">
        <f t="shared" si="40"/>
        <v>-24.5</v>
      </c>
      <c r="P318" s="8">
        <f>D314/B314*10^(O318/10)</f>
        <v>0.55587430979926788</v>
      </c>
      <c r="Q318" s="26"/>
      <c r="R318" s="17"/>
      <c r="S318" s="19"/>
      <c r="T318" s="17"/>
      <c r="U318" s="22"/>
    </row>
    <row r="319" spans="1:21" x14ac:dyDescent="0.25">
      <c r="A319" s="24"/>
      <c r="B319" s="24"/>
      <c r="C319" s="17"/>
      <c r="D319" s="24"/>
      <c r="E319" s="24"/>
      <c r="F319" s="25"/>
      <c r="G319" s="1">
        <v>5625</v>
      </c>
      <c r="H319" s="2">
        <v>99.5</v>
      </c>
      <c r="I319" s="2">
        <v>-18</v>
      </c>
      <c r="J319" s="2">
        <v>-25.2</v>
      </c>
      <c r="K319" s="2">
        <f t="shared" si="38"/>
        <v>-18</v>
      </c>
      <c r="L319" s="8">
        <f t="shared" si="42"/>
        <v>1.7782794100389204E-12</v>
      </c>
      <c r="M319" s="26"/>
      <c r="N319" s="17"/>
      <c r="O319" s="9">
        <f t="shared" si="40"/>
        <v>-25.2</v>
      </c>
      <c r="P319" s="8">
        <f>D314/B314*10^(O319/10)</f>
        <v>0.47312576952964874</v>
      </c>
      <c r="Q319" s="26"/>
      <c r="R319" s="17"/>
      <c r="S319" s="20"/>
      <c r="T319" s="17"/>
      <c r="U319" s="23"/>
    </row>
    <row r="320" spans="1:21" x14ac:dyDescent="0.25">
      <c r="A320" s="24">
        <v>8000</v>
      </c>
      <c r="B320" s="24">
        <v>3</v>
      </c>
      <c r="C320" s="17">
        <v>0.5</v>
      </c>
      <c r="D320" s="24">
        <v>943</v>
      </c>
      <c r="E320" s="24">
        <v>6</v>
      </c>
      <c r="F320" s="25">
        <v>54</v>
      </c>
      <c r="G320" s="1">
        <v>6025</v>
      </c>
      <c r="H320" s="2">
        <v>95</v>
      </c>
      <c r="I320" s="2">
        <v>-26.4</v>
      </c>
      <c r="J320" s="2">
        <v>-29</v>
      </c>
      <c r="K320" s="2">
        <f t="shared" si="38"/>
        <v>-26.4</v>
      </c>
      <c r="L320" s="8">
        <f t="shared" si="42"/>
        <v>7.2443596007498653E-13</v>
      </c>
      <c r="M320" s="26">
        <f>SUM(L320:L325)</f>
        <v>7.8126668518669937E-11</v>
      </c>
      <c r="N320" s="17">
        <f>10*LOG10(M320/E320)</f>
        <v>-108.85351944886379</v>
      </c>
      <c r="O320" s="9">
        <f t="shared" si="40"/>
        <v>-29</v>
      </c>
      <c r="P320" s="8">
        <f>D320/B320*10^(O320/10)</f>
        <v>0.39572222110729954</v>
      </c>
      <c r="Q320" s="26">
        <f>SUM(P320:P325)</f>
        <v>12.765839249682394</v>
      </c>
      <c r="R320" s="17">
        <f>10*LOG10(Q320)</f>
        <v>11.060493713944719</v>
      </c>
      <c r="S320" s="18">
        <f>F320+N320-Kzt-H</f>
        <v>-54.853519448863793</v>
      </c>
      <c r="T320" s="17">
        <v>0.7</v>
      </c>
      <c r="U320" s="21">
        <f>T320*10^((S320-R320)/10)</f>
        <v>1.7934807670032746E-7</v>
      </c>
    </row>
    <row r="321" spans="1:21" x14ac:dyDescent="0.25">
      <c r="A321" s="24"/>
      <c r="B321" s="24"/>
      <c r="C321" s="17"/>
      <c r="D321" s="24"/>
      <c r="E321" s="24"/>
      <c r="F321" s="25"/>
      <c r="G321" s="1">
        <v>7025</v>
      </c>
      <c r="H321" s="2">
        <v>94.8</v>
      </c>
      <c r="I321" s="2">
        <v>-23.5</v>
      </c>
      <c r="J321" s="2">
        <v>-25.4</v>
      </c>
      <c r="K321" s="2">
        <f t="shared" si="38"/>
        <v>-23.5</v>
      </c>
      <c r="L321" s="8">
        <f t="shared" si="42"/>
        <v>1.4791083881682012E-12</v>
      </c>
      <c r="M321" s="26"/>
      <c r="N321" s="17"/>
      <c r="O321" s="9">
        <f t="shared" si="40"/>
        <v>-25.4</v>
      </c>
      <c r="P321" s="8">
        <f>D320/B320*10^(O321/10)</f>
        <v>0.90654723581612917</v>
      </c>
      <c r="Q321" s="26"/>
      <c r="R321" s="17"/>
      <c r="S321" s="19"/>
      <c r="T321" s="17"/>
      <c r="U321" s="22"/>
    </row>
    <row r="322" spans="1:21" x14ac:dyDescent="0.25">
      <c r="A322" s="24"/>
      <c r="B322" s="24"/>
      <c r="C322" s="17"/>
      <c r="D322" s="24"/>
      <c r="E322" s="24"/>
      <c r="F322" s="25"/>
      <c r="G322" s="1">
        <v>8025</v>
      </c>
      <c r="H322" s="2">
        <v>101.9</v>
      </c>
      <c r="I322" s="2">
        <v>-16.100000000000001</v>
      </c>
      <c r="J322" s="2">
        <v>-21.8</v>
      </c>
      <c r="K322" s="2">
        <f t="shared" si="38"/>
        <v>-16.100000000000001</v>
      </c>
      <c r="L322" s="8">
        <f t="shared" si="42"/>
        <v>1.5848931924611065E-12</v>
      </c>
      <c r="M322" s="26"/>
      <c r="N322" s="17"/>
      <c r="O322" s="9">
        <f t="shared" si="40"/>
        <v>-21.8</v>
      </c>
      <c r="P322" s="8">
        <f>D320/B320*10^(O322/10)</f>
        <v>2.0767797382372088</v>
      </c>
      <c r="Q322" s="26"/>
      <c r="R322" s="17"/>
      <c r="S322" s="19"/>
      <c r="T322" s="17"/>
      <c r="U322" s="22"/>
    </row>
    <row r="323" spans="1:21" x14ac:dyDescent="0.25">
      <c r="A323" s="24"/>
      <c r="B323" s="24"/>
      <c r="C323" s="17"/>
      <c r="D323" s="24"/>
      <c r="E323" s="24"/>
      <c r="F323" s="25"/>
      <c r="G323" s="1">
        <v>9025</v>
      </c>
      <c r="H323" s="2">
        <v>93.2</v>
      </c>
      <c r="I323" s="2">
        <v>-18.200000000000003</v>
      </c>
      <c r="J323" s="2">
        <v>-19.100000000000001</v>
      </c>
      <c r="K323" s="2">
        <f t="shared" si="38"/>
        <v>-18.200000000000003</v>
      </c>
      <c r="L323" s="8">
        <f t="shared" si="42"/>
        <v>7.2443596007498734E-12</v>
      </c>
      <c r="M323" s="26"/>
      <c r="N323" s="17"/>
      <c r="O323" s="9">
        <f t="shared" si="40"/>
        <v>-19.100000000000001</v>
      </c>
      <c r="P323" s="8">
        <f>D320/B320*10^(O323/10)</f>
        <v>3.8671448362535839</v>
      </c>
      <c r="Q323" s="26"/>
      <c r="R323" s="17"/>
      <c r="S323" s="19"/>
      <c r="T323" s="17"/>
      <c r="U323" s="22"/>
    </row>
    <row r="324" spans="1:21" x14ac:dyDescent="0.25">
      <c r="A324" s="24"/>
      <c r="B324" s="24"/>
      <c r="C324" s="17"/>
      <c r="D324" s="24"/>
      <c r="E324" s="24"/>
      <c r="F324" s="25"/>
      <c r="G324" s="1">
        <v>10025</v>
      </c>
      <c r="H324" s="2">
        <v>88.3</v>
      </c>
      <c r="I324" s="2">
        <v>-18</v>
      </c>
      <c r="J324" s="2">
        <v>-23.3</v>
      </c>
      <c r="K324" s="2">
        <f t="shared" si="38"/>
        <v>-18</v>
      </c>
      <c r="L324" s="8">
        <f t="shared" si="42"/>
        <v>2.3442288153199185E-11</v>
      </c>
      <c r="M324" s="26"/>
      <c r="N324" s="17"/>
      <c r="O324" s="9">
        <f t="shared" si="40"/>
        <v>-23.3</v>
      </c>
      <c r="P324" s="8">
        <f>D320/B320*10^(O324/10)</f>
        <v>1.4702474607794249</v>
      </c>
      <c r="Q324" s="26"/>
      <c r="R324" s="17"/>
      <c r="S324" s="19"/>
      <c r="T324" s="17"/>
      <c r="U324" s="22"/>
    </row>
    <row r="325" spans="1:21" x14ac:dyDescent="0.25">
      <c r="A325" s="24"/>
      <c r="B325" s="24"/>
      <c r="C325" s="17"/>
      <c r="D325" s="24"/>
      <c r="E325" s="24"/>
      <c r="F325" s="25"/>
      <c r="G325" s="1">
        <v>11025</v>
      </c>
      <c r="H325" s="2">
        <v>86</v>
      </c>
      <c r="I325" s="2">
        <v>-17.599999999999998</v>
      </c>
      <c r="J325" s="2">
        <v>-18.899999999999999</v>
      </c>
      <c r="K325" s="2">
        <f t="shared" si="38"/>
        <v>-17.599999999999998</v>
      </c>
      <c r="L325" s="8">
        <f t="shared" si="42"/>
        <v>4.3651583224016577E-11</v>
      </c>
      <c r="M325" s="26"/>
      <c r="N325" s="17"/>
      <c r="O325" s="9">
        <f t="shared" si="40"/>
        <v>-18.899999999999999</v>
      </c>
      <c r="P325" s="8">
        <f>D320/B320*10^(O325/10)</f>
        <v>4.0493977574887481</v>
      </c>
      <c r="Q325" s="26"/>
      <c r="R325" s="17"/>
      <c r="S325" s="20"/>
      <c r="T325" s="17"/>
      <c r="U325" s="23"/>
    </row>
    <row r="326" spans="1:21" x14ac:dyDescent="0.25">
      <c r="A326" s="24" t="s">
        <v>20</v>
      </c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12">
        <f>U326</f>
        <v>9.8628921084481846E-2</v>
      </c>
      <c r="T326" s="2"/>
      <c r="U326" s="8">
        <f>0.8*SQRT(SUM(U292:U325))</f>
        <v>9.8628921084481846E-2</v>
      </c>
    </row>
    <row r="327" spans="1:21" x14ac:dyDescent="0.25">
      <c r="A327" s="27" t="s">
        <v>61</v>
      </c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9"/>
    </row>
    <row r="328" spans="1:21" x14ac:dyDescent="0.25">
      <c r="A328" s="24">
        <v>250</v>
      </c>
      <c r="B328" s="24">
        <v>3</v>
      </c>
      <c r="C328" s="17">
        <v>0.5</v>
      </c>
      <c r="D328" s="24">
        <v>38</v>
      </c>
      <c r="E328" s="24">
        <v>4</v>
      </c>
      <c r="F328" s="25">
        <v>84</v>
      </c>
      <c r="G328" s="1">
        <v>175</v>
      </c>
      <c r="H328" s="2">
        <v>84.8</v>
      </c>
      <c r="I328" s="2">
        <v>-22</v>
      </c>
      <c r="J328" s="2">
        <v>-25.3</v>
      </c>
      <c r="K328" s="2">
        <f>I328</f>
        <v>-22</v>
      </c>
      <c r="L328" s="8">
        <f>10^((K328-H328)/10)</f>
        <v>2.0892961308540373E-11</v>
      </c>
      <c r="M328" s="26">
        <f>SUM(L328:L331)</f>
        <v>3.2313226926607093E-11</v>
      </c>
      <c r="N328" s="17">
        <f>10*LOG10(M328/E328)</f>
        <v>-110.92679660780448</v>
      </c>
      <c r="O328" s="9">
        <f>J328</f>
        <v>-25.3</v>
      </c>
      <c r="P328" s="8">
        <f>D328/B328*10^(O328/10)</f>
        <v>3.7381983537774194E-2</v>
      </c>
      <c r="Q328" s="26">
        <f>SUM(P328:P331)</f>
        <v>0.15456487588549578</v>
      </c>
      <c r="R328" s="17">
        <f>10*LOG10(Q328)</f>
        <v>-8.1088919050955646</v>
      </c>
      <c r="S328" s="18">
        <f>F328+N328-Kzt-H</f>
        <v>-26.926796607804476</v>
      </c>
      <c r="T328" s="17">
        <v>0.2</v>
      </c>
      <c r="U328" s="21">
        <f>T328*10^((S328-R328)/10)</f>
        <v>2.6256662715326133E-3</v>
      </c>
    </row>
    <row r="329" spans="1:21" x14ac:dyDescent="0.25">
      <c r="A329" s="24"/>
      <c r="B329" s="24"/>
      <c r="C329" s="17"/>
      <c r="D329" s="24"/>
      <c r="E329" s="24"/>
      <c r="F329" s="25"/>
      <c r="G329" s="1">
        <v>225</v>
      </c>
      <c r="H329" s="2">
        <v>90</v>
      </c>
      <c r="I329" s="2">
        <v>-25.2</v>
      </c>
      <c r="J329" s="2">
        <v>-27.4</v>
      </c>
      <c r="K329" s="2">
        <f t="shared" ref="K329:K361" si="43">I329</f>
        <v>-25.2</v>
      </c>
      <c r="L329" s="8">
        <f t="shared" ref="L329:L330" si="44">10^((K329-H329)/10)</f>
        <v>3.0199517204020161E-12</v>
      </c>
      <c r="M329" s="26"/>
      <c r="N329" s="17"/>
      <c r="O329" s="9">
        <f t="shared" ref="O329:O361" si="45">J329</f>
        <v>-27.4</v>
      </c>
      <c r="P329" s="8">
        <f>D328/B328*10^(O329/10)</f>
        <v>2.3049544209059778E-2</v>
      </c>
      <c r="Q329" s="26"/>
      <c r="R329" s="17"/>
      <c r="S329" s="19"/>
      <c r="T329" s="17"/>
      <c r="U329" s="22"/>
    </row>
    <row r="330" spans="1:21" x14ac:dyDescent="0.25">
      <c r="A330" s="24"/>
      <c r="B330" s="24"/>
      <c r="C330" s="17"/>
      <c r="D330" s="24"/>
      <c r="E330" s="24"/>
      <c r="F330" s="25"/>
      <c r="G330" s="1">
        <v>275</v>
      </c>
      <c r="H330" s="2">
        <v>92.2</v>
      </c>
      <c r="I330" s="2">
        <v>-22.5</v>
      </c>
      <c r="J330" s="2">
        <v>-23.3</v>
      </c>
      <c r="K330" s="2">
        <f t="shared" si="43"/>
        <v>-22.5</v>
      </c>
      <c r="L330" s="8">
        <f t="shared" si="44"/>
        <v>3.3884415613920115E-12</v>
      </c>
      <c r="M330" s="26"/>
      <c r="N330" s="17"/>
      <c r="O330" s="9">
        <f t="shared" si="45"/>
        <v>-23.3</v>
      </c>
      <c r="P330" s="8">
        <f>D328/B328*10^(O330/10)</f>
        <v>5.9246451229711714E-2</v>
      </c>
      <c r="Q330" s="26"/>
      <c r="R330" s="17"/>
      <c r="S330" s="19"/>
      <c r="T330" s="17"/>
      <c r="U330" s="22"/>
    </row>
    <row r="331" spans="1:21" x14ac:dyDescent="0.25">
      <c r="A331" s="24"/>
      <c r="B331" s="24"/>
      <c r="C331" s="17"/>
      <c r="D331" s="24"/>
      <c r="E331" s="24"/>
      <c r="F331" s="25"/>
      <c r="G331" s="1">
        <v>325</v>
      </c>
      <c r="H331" s="2">
        <v>93.3</v>
      </c>
      <c r="I331" s="2">
        <v>-19.7</v>
      </c>
      <c r="J331" s="2">
        <v>-25.6</v>
      </c>
      <c r="K331" s="2">
        <f t="shared" si="43"/>
        <v>-19.7</v>
      </c>
      <c r="L331" s="8">
        <f>10^((K331-H331)/10)</f>
        <v>5.0118723362726945E-12</v>
      </c>
      <c r="M331" s="26"/>
      <c r="N331" s="17"/>
      <c r="O331" s="9">
        <f t="shared" si="45"/>
        <v>-25.6</v>
      </c>
      <c r="P331" s="8">
        <f>D328/B328*10^(O331/10)</f>
        <v>3.4886896908950089E-2</v>
      </c>
      <c r="Q331" s="26"/>
      <c r="R331" s="17"/>
      <c r="S331" s="20"/>
      <c r="T331" s="17"/>
      <c r="U331" s="23"/>
    </row>
    <row r="332" spans="1:21" x14ac:dyDescent="0.25">
      <c r="A332" s="24">
        <v>500</v>
      </c>
      <c r="B332" s="24">
        <v>3</v>
      </c>
      <c r="C332" s="17">
        <v>0.5</v>
      </c>
      <c r="D332" s="24">
        <v>59</v>
      </c>
      <c r="E332" s="24">
        <v>6</v>
      </c>
      <c r="F332" s="25">
        <v>84</v>
      </c>
      <c r="G332" s="1">
        <v>375</v>
      </c>
      <c r="H332" s="2">
        <v>91.9</v>
      </c>
      <c r="I332" s="2">
        <v>-18.3</v>
      </c>
      <c r="J332" s="2">
        <v>-25.6</v>
      </c>
      <c r="K332" s="2">
        <f t="shared" si="43"/>
        <v>-18.3</v>
      </c>
      <c r="L332" s="8">
        <f t="shared" ref="L332:L333" si="46">10^((K332-H332)/10)</f>
        <v>9.5499258602143472E-12</v>
      </c>
      <c r="M332" s="26">
        <f>SUM(L332:L337)</f>
        <v>4.0187149471819887E-11</v>
      </c>
      <c r="N332" s="17">
        <f>10*LOG10(M332/E332)</f>
        <v>-111.74064048186719</v>
      </c>
      <c r="O332" s="9">
        <f t="shared" si="45"/>
        <v>-25.6</v>
      </c>
      <c r="P332" s="8">
        <f>D332/B332*10^(O332/10)</f>
        <v>5.4166497832317251E-2</v>
      </c>
      <c r="Q332" s="26">
        <f>SUM(P332:P337)</f>
        <v>0.4872833396536036</v>
      </c>
      <c r="R332" s="17">
        <f>10*LOG10(Q332)</f>
        <v>-3.1221843700819218</v>
      </c>
      <c r="S332" s="18">
        <f>F332+N332-Kzt-H</f>
        <v>-27.740640481867189</v>
      </c>
      <c r="T332" s="17">
        <v>0.5</v>
      </c>
      <c r="U332" s="21">
        <f>T332*10^((S332-R332)/10)</f>
        <v>1.7263322873414734E-3</v>
      </c>
    </row>
    <row r="333" spans="1:21" x14ac:dyDescent="0.25">
      <c r="A333" s="24"/>
      <c r="B333" s="24"/>
      <c r="C333" s="17"/>
      <c r="D333" s="24"/>
      <c r="E333" s="24"/>
      <c r="F333" s="25"/>
      <c r="G333" s="1">
        <v>425</v>
      </c>
      <c r="H333" s="2">
        <v>88.1</v>
      </c>
      <c r="I333" s="2">
        <v>-22.8</v>
      </c>
      <c r="J333" s="2">
        <v>-25.8</v>
      </c>
      <c r="K333" s="2">
        <f t="shared" si="43"/>
        <v>-22.8</v>
      </c>
      <c r="L333" s="8">
        <f t="shared" si="46"/>
        <v>8.1283051616409864E-12</v>
      </c>
      <c r="M333" s="26"/>
      <c r="N333" s="17"/>
      <c r="O333" s="9">
        <f t="shared" si="45"/>
        <v>-25.8</v>
      </c>
      <c r="P333" s="8">
        <f>D332/B332*10^(O333/10)</f>
        <v>5.1728603840609129E-2</v>
      </c>
      <c r="Q333" s="26"/>
      <c r="R333" s="17"/>
      <c r="S333" s="19"/>
      <c r="T333" s="17"/>
      <c r="U333" s="22"/>
    </row>
    <row r="334" spans="1:21" x14ac:dyDescent="0.25">
      <c r="A334" s="24"/>
      <c r="B334" s="24"/>
      <c r="C334" s="17"/>
      <c r="D334" s="24"/>
      <c r="E334" s="24"/>
      <c r="F334" s="25"/>
      <c r="G334" s="1">
        <v>475</v>
      </c>
      <c r="H334" s="2">
        <v>90</v>
      </c>
      <c r="I334" s="2">
        <v>-19.600000000000001</v>
      </c>
      <c r="J334" s="2">
        <v>-22.4</v>
      </c>
      <c r="K334" s="2">
        <f t="shared" si="43"/>
        <v>-19.600000000000001</v>
      </c>
      <c r="L334" s="8">
        <f>10^((K334-H334)/10)</f>
        <v>1.096478196143183E-11</v>
      </c>
      <c r="M334" s="26"/>
      <c r="N334" s="17"/>
      <c r="O334" s="9">
        <f t="shared" si="45"/>
        <v>-22.4</v>
      </c>
      <c r="P334" s="8">
        <f>D332/B332*10^(O334/10)</f>
        <v>0.11316985434297422</v>
      </c>
      <c r="Q334" s="26"/>
      <c r="R334" s="17"/>
      <c r="S334" s="19"/>
      <c r="T334" s="17"/>
      <c r="U334" s="22"/>
    </row>
    <row r="335" spans="1:21" x14ac:dyDescent="0.25">
      <c r="A335" s="24"/>
      <c r="B335" s="24"/>
      <c r="C335" s="17"/>
      <c r="D335" s="24"/>
      <c r="E335" s="24"/>
      <c r="F335" s="25"/>
      <c r="G335" s="1">
        <v>575</v>
      </c>
      <c r="H335" s="2">
        <v>97</v>
      </c>
      <c r="I335" s="2">
        <v>-19.899999999999999</v>
      </c>
      <c r="J335" s="2">
        <v>-25.5</v>
      </c>
      <c r="K335" s="2">
        <f t="shared" si="43"/>
        <v>-19.899999999999999</v>
      </c>
      <c r="L335" s="8">
        <f t="shared" ref="L335:L361" si="47">10^((K335-H335)/10)</f>
        <v>2.0417379446695178E-12</v>
      </c>
      <c r="M335" s="26"/>
      <c r="N335" s="17"/>
      <c r="O335" s="9">
        <f t="shared" si="45"/>
        <v>-25.5</v>
      </c>
      <c r="P335" s="8">
        <f>D332/B332*10^(O335/10)</f>
        <v>5.5428197648200894E-2</v>
      </c>
      <c r="Q335" s="26"/>
      <c r="R335" s="17"/>
      <c r="S335" s="19"/>
      <c r="T335" s="17"/>
      <c r="U335" s="22"/>
    </row>
    <row r="336" spans="1:21" x14ac:dyDescent="0.25">
      <c r="A336" s="24"/>
      <c r="B336" s="24"/>
      <c r="C336" s="17"/>
      <c r="D336" s="24"/>
      <c r="E336" s="24"/>
      <c r="F336" s="25"/>
      <c r="G336" s="1">
        <v>625</v>
      </c>
      <c r="H336" s="2">
        <v>92</v>
      </c>
      <c r="I336" s="2">
        <v>-19.299999999999997</v>
      </c>
      <c r="J336" s="2">
        <v>-20.9</v>
      </c>
      <c r="K336" s="2">
        <f t="shared" si="43"/>
        <v>-19.299999999999997</v>
      </c>
      <c r="L336" s="8">
        <f t="shared" si="47"/>
        <v>7.4131024130091739E-12</v>
      </c>
      <c r="M336" s="26"/>
      <c r="N336" s="17"/>
      <c r="O336" s="9">
        <f t="shared" si="45"/>
        <v>-20.9</v>
      </c>
      <c r="P336" s="8">
        <f>D332/B332*10^(O336/10)</f>
        <v>0.15985666817893945</v>
      </c>
      <c r="Q336" s="26"/>
      <c r="R336" s="17"/>
      <c r="S336" s="19"/>
      <c r="T336" s="17"/>
      <c r="U336" s="22"/>
    </row>
    <row r="337" spans="1:21" x14ac:dyDescent="0.25">
      <c r="A337" s="24"/>
      <c r="B337" s="24"/>
      <c r="C337" s="17"/>
      <c r="D337" s="24"/>
      <c r="E337" s="24"/>
      <c r="F337" s="25"/>
      <c r="G337" s="1">
        <v>675</v>
      </c>
      <c r="H337" s="2">
        <v>94.5</v>
      </c>
      <c r="I337" s="2">
        <v>-22.3</v>
      </c>
      <c r="J337" s="2">
        <v>-25.7</v>
      </c>
      <c r="K337" s="2">
        <f t="shared" si="43"/>
        <v>-22.3</v>
      </c>
      <c r="L337" s="8">
        <f t="shared" si="47"/>
        <v>2.0892961308540349E-12</v>
      </c>
      <c r="M337" s="26"/>
      <c r="N337" s="17"/>
      <c r="O337" s="9">
        <f t="shared" si="45"/>
        <v>-25.7</v>
      </c>
      <c r="P337" s="8">
        <f>D332/B332*10^(O337/10)</f>
        <v>5.2933517810562658E-2</v>
      </c>
      <c r="Q337" s="26"/>
      <c r="R337" s="17"/>
      <c r="S337" s="20"/>
      <c r="T337" s="17"/>
      <c r="U337" s="23"/>
    </row>
    <row r="338" spans="1:21" x14ac:dyDescent="0.25">
      <c r="A338" s="24">
        <v>1000</v>
      </c>
      <c r="B338" s="24">
        <v>3</v>
      </c>
      <c r="C338" s="17">
        <v>0.5</v>
      </c>
      <c r="D338" s="24">
        <v>117</v>
      </c>
      <c r="E338" s="24">
        <v>6</v>
      </c>
      <c r="F338" s="25">
        <v>76</v>
      </c>
      <c r="G338" s="1">
        <v>875</v>
      </c>
      <c r="H338" s="2">
        <v>91.1</v>
      </c>
      <c r="I338" s="2">
        <v>-19.100000000000001</v>
      </c>
      <c r="J338" s="2">
        <v>-24</v>
      </c>
      <c r="K338" s="2">
        <f t="shared" si="43"/>
        <v>-19.100000000000001</v>
      </c>
      <c r="L338" s="8">
        <f t="shared" si="47"/>
        <v>9.5499258602143472E-12</v>
      </c>
      <c r="M338" s="26">
        <f>SUM(L338:L343)</f>
        <v>1.3853697829403897E-11</v>
      </c>
      <c r="N338" s="17">
        <f>10*LOG10(M338/E338)</f>
        <v>-116.36585539614485</v>
      </c>
      <c r="O338" s="9">
        <f t="shared" si="45"/>
        <v>-24</v>
      </c>
      <c r="P338" s="8">
        <f>D338/B338*10^(O338/10)</f>
        <v>0.15526179651586389</v>
      </c>
      <c r="Q338" s="26">
        <f>SUM(P338:P343)</f>
        <v>0.63781259913997901</v>
      </c>
      <c r="R338" s="17">
        <f>10*LOG10(Q338)</f>
        <v>-1.9530690609819317</v>
      </c>
      <c r="S338" s="18">
        <f>F338+N338-Kzt-H</f>
        <v>-40.365855396144852</v>
      </c>
      <c r="T338" s="17">
        <v>0.8</v>
      </c>
      <c r="U338" s="21">
        <f>T338*10^((S338-R338)/10)</f>
        <v>1.1529523357391276E-4</v>
      </c>
    </row>
    <row r="339" spans="1:21" x14ac:dyDescent="0.25">
      <c r="A339" s="24"/>
      <c r="B339" s="24"/>
      <c r="C339" s="17"/>
      <c r="D339" s="24"/>
      <c r="E339" s="24"/>
      <c r="F339" s="25"/>
      <c r="G339" s="1">
        <v>975</v>
      </c>
      <c r="H339" s="2">
        <v>96.5</v>
      </c>
      <c r="I339" s="2">
        <v>-22.5</v>
      </c>
      <c r="J339" s="2">
        <v>-25.1</v>
      </c>
      <c r="K339" s="2">
        <f t="shared" si="43"/>
        <v>-22.5</v>
      </c>
      <c r="L339" s="8">
        <f t="shared" si="47"/>
        <v>1.2589254117941629E-12</v>
      </c>
      <c r="M339" s="26"/>
      <c r="N339" s="17"/>
      <c r="O339" s="9">
        <f t="shared" si="45"/>
        <v>-25.1</v>
      </c>
      <c r="P339" s="8">
        <f>D338/B338*10^(O339/10)</f>
        <v>0.12052152186802992</v>
      </c>
      <c r="Q339" s="26"/>
      <c r="R339" s="17"/>
      <c r="S339" s="19"/>
      <c r="T339" s="17"/>
      <c r="U339" s="22"/>
    </row>
    <row r="340" spans="1:21" x14ac:dyDescent="0.25">
      <c r="A340" s="24"/>
      <c r="B340" s="24"/>
      <c r="C340" s="17"/>
      <c r="D340" s="24"/>
      <c r="E340" s="24"/>
      <c r="F340" s="25"/>
      <c r="G340" s="1">
        <v>1075</v>
      </c>
      <c r="H340" s="2">
        <v>94.6</v>
      </c>
      <c r="I340" s="2">
        <v>-23.8</v>
      </c>
      <c r="J340" s="2">
        <v>-27.8</v>
      </c>
      <c r="K340" s="2">
        <f t="shared" si="43"/>
        <v>-23.8</v>
      </c>
      <c r="L340" s="8">
        <f t="shared" si="47"/>
        <v>1.4454397707459267E-12</v>
      </c>
      <c r="M340" s="26"/>
      <c r="N340" s="17"/>
      <c r="O340" s="9">
        <f t="shared" si="45"/>
        <v>-27.8</v>
      </c>
      <c r="P340" s="8">
        <f>D338/B338*10^(O340/10)</f>
        <v>6.4723889390064807E-2</v>
      </c>
      <c r="Q340" s="26"/>
      <c r="R340" s="17"/>
      <c r="S340" s="19"/>
      <c r="T340" s="17"/>
      <c r="U340" s="22"/>
    </row>
    <row r="341" spans="1:21" x14ac:dyDescent="0.25">
      <c r="A341" s="24"/>
      <c r="B341" s="24"/>
      <c r="C341" s="17"/>
      <c r="D341" s="24"/>
      <c r="E341" s="24"/>
      <c r="F341" s="25"/>
      <c r="G341" s="1">
        <v>1175</v>
      </c>
      <c r="H341" s="2">
        <v>97.8</v>
      </c>
      <c r="I341" s="2">
        <v>-22.6</v>
      </c>
      <c r="J341" s="2">
        <v>-25.3</v>
      </c>
      <c r="K341" s="2">
        <f t="shared" si="43"/>
        <v>-22.6</v>
      </c>
      <c r="L341" s="8">
        <f t="shared" si="47"/>
        <v>9.1201083935590446E-13</v>
      </c>
      <c r="M341" s="26"/>
      <c r="N341" s="17"/>
      <c r="O341" s="9">
        <f t="shared" si="45"/>
        <v>-25.3</v>
      </c>
      <c r="P341" s="8">
        <f>D338/B338*10^(O341/10)</f>
        <v>0.11509715983998897</v>
      </c>
      <c r="Q341" s="26"/>
      <c r="R341" s="17"/>
      <c r="S341" s="19"/>
      <c r="T341" s="17"/>
      <c r="U341" s="22"/>
    </row>
    <row r="342" spans="1:21" x14ac:dyDescent="0.25">
      <c r="A342" s="24"/>
      <c r="B342" s="24"/>
      <c r="C342" s="17"/>
      <c r="D342" s="24"/>
      <c r="E342" s="24"/>
      <c r="F342" s="25"/>
      <c r="G342" s="1">
        <v>1275</v>
      </c>
      <c r="H342" s="2">
        <v>100.1</v>
      </c>
      <c r="I342" s="2">
        <v>-22.9</v>
      </c>
      <c r="J342" s="2">
        <v>-25.8</v>
      </c>
      <c r="K342" s="2">
        <f t="shared" si="43"/>
        <v>-22.9</v>
      </c>
      <c r="L342" s="8">
        <f t="shared" si="47"/>
        <v>5.0118723362727066E-13</v>
      </c>
      <c r="M342" s="26"/>
      <c r="N342" s="17"/>
      <c r="O342" s="9">
        <f t="shared" si="45"/>
        <v>-25.8</v>
      </c>
      <c r="P342" s="8">
        <f>D338/B338*10^(O342/10)</f>
        <v>0.10258045168391978</v>
      </c>
      <c r="Q342" s="26"/>
      <c r="R342" s="17"/>
      <c r="S342" s="19"/>
      <c r="T342" s="17"/>
      <c r="U342" s="22"/>
    </row>
    <row r="343" spans="1:21" x14ac:dyDescent="0.25">
      <c r="A343" s="24"/>
      <c r="B343" s="24"/>
      <c r="C343" s="17"/>
      <c r="D343" s="24"/>
      <c r="E343" s="24"/>
      <c r="F343" s="25"/>
      <c r="G343" s="1">
        <v>1375</v>
      </c>
      <c r="H343" s="2">
        <v>103</v>
      </c>
      <c r="I343" s="2">
        <v>-24.3</v>
      </c>
      <c r="J343" s="2">
        <v>-26.9</v>
      </c>
      <c r="K343" s="2">
        <f t="shared" si="43"/>
        <v>-24.3</v>
      </c>
      <c r="L343" s="8">
        <f t="shared" si="47"/>
        <v>1.8620871366628623E-13</v>
      </c>
      <c r="M343" s="26"/>
      <c r="N343" s="17"/>
      <c r="O343" s="9">
        <f t="shared" si="45"/>
        <v>-26.9</v>
      </c>
      <c r="P343" s="8">
        <f>D338/B338*10^(O343/10)</f>
        <v>7.962777984211164E-2</v>
      </c>
      <c r="Q343" s="26"/>
      <c r="R343" s="17"/>
      <c r="S343" s="20"/>
      <c r="T343" s="17"/>
      <c r="U343" s="23"/>
    </row>
    <row r="344" spans="1:21" x14ac:dyDescent="0.25">
      <c r="A344" s="24">
        <v>2000</v>
      </c>
      <c r="B344" s="24">
        <v>3</v>
      </c>
      <c r="C344" s="17">
        <v>0.5</v>
      </c>
      <c r="D344" s="24">
        <v>234</v>
      </c>
      <c r="E344" s="24">
        <v>6</v>
      </c>
      <c r="F344" s="25">
        <v>68</v>
      </c>
      <c r="G344" s="1">
        <v>1425</v>
      </c>
      <c r="H344" s="2">
        <v>102.8</v>
      </c>
      <c r="I344" s="2">
        <v>-21.8</v>
      </c>
      <c r="J344" s="2">
        <v>-25</v>
      </c>
      <c r="K344" s="2">
        <f t="shared" si="43"/>
        <v>-21.8</v>
      </c>
      <c r="L344" s="8">
        <f t="shared" si="47"/>
        <v>3.4673685045253105E-13</v>
      </c>
      <c r="M344" s="26">
        <f>SUM(L344:L349)</f>
        <v>4.7279380071432198E-12</v>
      </c>
      <c r="N344" s="17">
        <f>10*LOG10(M344/E344)</f>
        <v>-121.03479476954634</v>
      </c>
      <c r="O344" s="9">
        <f t="shared" si="45"/>
        <v>-25</v>
      </c>
      <c r="P344" s="8">
        <f>D344/B344*10^(O344/10)</f>
        <v>0.24665765749313334</v>
      </c>
      <c r="Q344" s="26">
        <f>SUM(P344:P349)</f>
        <v>0.8596834367579389</v>
      </c>
      <c r="R344" s="17">
        <f>10*LOG10(Q344)</f>
        <v>-0.65661440592121101</v>
      </c>
      <c r="S344" s="18">
        <f>F344+N344-Kzt-H</f>
        <v>-53.034794769546338</v>
      </c>
      <c r="T344" s="17">
        <v>1</v>
      </c>
      <c r="U344" s="21">
        <f>T344*10^((S344-R344)/10)</f>
        <v>5.7833831274453478E-6</v>
      </c>
    </row>
    <row r="345" spans="1:21" x14ac:dyDescent="0.25">
      <c r="A345" s="24"/>
      <c r="B345" s="24"/>
      <c r="C345" s="17"/>
      <c r="D345" s="24"/>
      <c r="E345" s="24"/>
      <c r="F345" s="25"/>
      <c r="G345" s="1">
        <v>1625</v>
      </c>
      <c r="H345" s="2">
        <v>104.1</v>
      </c>
      <c r="I345" s="2">
        <v>-25.9</v>
      </c>
      <c r="J345" s="2">
        <v>-27.9</v>
      </c>
      <c r="K345" s="2">
        <f t="shared" si="43"/>
        <v>-25.9</v>
      </c>
      <c r="L345" s="8">
        <f t="shared" si="47"/>
        <v>1E-13</v>
      </c>
      <c r="M345" s="26"/>
      <c r="N345" s="17"/>
      <c r="O345" s="9">
        <f t="shared" si="45"/>
        <v>-27.9</v>
      </c>
      <c r="P345" s="8">
        <f>D344/B344*10^(O345/10)</f>
        <v>0.12650118759399642</v>
      </c>
      <c r="Q345" s="26"/>
      <c r="R345" s="17"/>
      <c r="S345" s="19"/>
      <c r="T345" s="17"/>
      <c r="U345" s="22"/>
    </row>
    <row r="346" spans="1:21" x14ac:dyDescent="0.25">
      <c r="A346" s="24"/>
      <c r="B346" s="24"/>
      <c r="C346" s="17"/>
      <c r="D346" s="24"/>
      <c r="E346" s="24"/>
      <c r="F346" s="25"/>
      <c r="G346" s="1">
        <v>1825</v>
      </c>
      <c r="H346" s="2">
        <v>107.6</v>
      </c>
      <c r="I346" s="2">
        <v>-21.7</v>
      </c>
      <c r="J346" s="2">
        <v>-29</v>
      </c>
      <c r="K346" s="2">
        <f t="shared" si="43"/>
        <v>-21.7</v>
      </c>
      <c r="L346" s="8">
        <f t="shared" si="47"/>
        <v>1.1748975549395328E-13</v>
      </c>
      <c r="M346" s="26"/>
      <c r="N346" s="17"/>
      <c r="O346" s="9">
        <f t="shared" si="45"/>
        <v>-29</v>
      </c>
      <c r="P346" s="8">
        <f>D344/B344*10^(O346/10)</f>
        <v>9.8196182119944964E-2</v>
      </c>
      <c r="Q346" s="26"/>
      <c r="R346" s="17"/>
      <c r="S346" s="19"/>
      <c r="T346" s="17"/>
      <c r="U346" s="22"/>
    </row>
    <row r="347" spans="1:21" x14ac:dyDescent="0.25">
      <c r="A347" s="24"/>
      <c r="B347" s="24"/>
      <c r="C347" s="17"/>
      <c r="D347" s="24"/>
      <c r="E347" s="24"/>
      <c r="F347" s="25"/>
      <c r="G347" s="1">
        <v>2125</v>
      </c>
      <c r="H347" s="2">
        <v>104.2</v>
      </c>
      <c r="I347" s="2">
        <v>-23.8</v>
      </c>
      <c r="J347" s="2">
        <v>-29.3</v>
      </c>
      <c r="K347" s="2">
        <f t="shared" si="43"/>
        <v>-23.8</v>
      </c>
      <c r="L347" s="8">
        <f t="shared" si="47"/>
        <v>1.5848931924611046E-13</v>
      </c>
      <c r="M347" s="26"/>
      <c r="N347" s="17"/>
      <c r="O347" s="9">
        <f t="shared" si="45"/>
        <v>-29.3</v>
      </c>
      <c r="P347" s="8">
        <f>D344/B344*10^(O347/10)</f>
        <v>9.1642009285283182E-2</v>
      </c>
      <c r="Q347" s="26"/>
      <c r="R347" s="17"/>
      <c r="S347" s="19"/>
      <c r="T347" s="17"/>
      <c r="U347" s="22"/>
    </row>
    <row r="348" spans="1:21" x14ac:dyDescent="0.25">
      <c r="A348" s="24"/>
      <c r="B348" s="24"/>
      <c r="C348" s="17"/>
      <c r="D348" s="24"/>
      <c r="E348" s="24"/>
      <c r="F348" s="25"/>
      <c r="G348" s="1">
        <v>2425</v>
      </c>
      <c r="H348" s="2">
        <v>93.7</v>
      </c>
      <c r="I348" s="2">
        <v>-20.8</v>
      </c>
      <c r="J348" s="2">
        <v>-26.1</v>
      </c>
      <c r="K348" s="2">
        <f t="shared" si="43"/>
        <v>-20.8</v>
      </c>
      <c r="L348" s="8">
        <f t="shared" si="47"/>
        <v>3.5481338923357515E-12</v>
      </c>
      <c r="M348" s="26"/>
      <c r="N348" s="17"/>
      <c r="O348" s="9">
        <f t="shared" si="45"/>
        <v>-26.1</v>
      </c>
      <c r="P348" s="8">
        <f>D344/B344*10^(O348/10)</f>
        <v>0.19146729542343205</v>
      </c>
      <c r="Q348" s="26"/>
      <c r="R348" s="17"/>
      <c r="S348" s="19"/>
      <c r="T348" s="17"/>
      <c r="U348" s="22"/>
    </row>
    <row r="349" spans="1:21" x14ac:dyDescent="0.25">
      <c r="A349" s="24"/>
      <c r="B349" s="24"/>
      <c r="C349" s="17"/>
      <c r="D349" s="24"/>
      <c r="E349" s="24"/>
      <c r="F349" s="25"/>
      <c r="G349" s="1">
        <v>2775</v>
      </c>
      <c r="H349" s="2">
        <v>100.2</v>
      </c>
      <c r="I349" s="2">
        <v>-23.2</v>
      </c>
      <c r="J349" s="2">
        <v>-28.7</v>
      </c>
      <c r="K349" s="2">
        <f t="shared" si="43"/>
        <v>-23.2</v>
      </c>
      <c r="L349" s="8">
        <f t="shared" si="47"/>
        <v>4.5708818961487372E-13</v>
      </c>
      <c r="M349" s="26"/>
      <c r="N349" s="17"/>
      <c r="O349" s="9">
        <f t="shared" si="45"/>
        <v>-28.7</v>
      </c>
      <c r="P349" s="8">
        <f>D344/B344*10^(O349/10)</f>
        <v>0.10521910484214889</v>
      </c>
      <c r="Q349" s="26"/>
      <c r="R349" s="17"/>
      <c r="S349" s="20"/>
      <c r="T349" s="17"/>
      <c r="U349" s="23"/>
    </row>
    <row r="350" spans="1:21" x14ac:dyDescent="0.25">
      <c r="A350" s="24">
        <v>4000</v>
      </c>
      <c r="B350" s="24">
        <v>3</v>
      </c>
      <c r="C350" s="17">
        <v>0.5</v>
      </c>
      <c r="D350" s="24">
        <v>470</v>
      </c>
      <c r="E350" s="24">
        <v>6</v>
      </c>
      <c r="F350" s="25">
        <v>62</v>
      </c>
      <c r="G350" s="1">
        <v>2825</v>
      </c>
      <c r="H350" s="2">
        <v>99.4</v>
      </c>
      <c r="I350" s="2">
        <v>-20.399999999999999</v>
      </c>
      <c r="J350" s="2">
        <v>-25.3</v>
      </c>
      <c r="K350" s="2">
        <f t="shared" si="43"/>
        <v>-20.399999999999999</v>
      </c>
      <c r="L350" s="8">
        <f t="shared" si="47"/>
        <v>1.0471285480508967E-12</v>
      </c>
      <c r="M350" s="26">
        <f>SUM(L350:L355)</f>
        <v>2.2855664817352409E-12</v>
      </c>
      <c r="N350" s="17">
        <f>10*LOG10(M350/E350)</f>
        <v>-124.19157391972979</v>
      </c>
      <c r="O350" s="9">
        <f t="shared" si="45"/>
        <v>-25.3</v>
      </c>
      <c r="P350" s="8">
        <f>D350/B350*10^(O350/10)</f>
        <v>0.46235611217773342</v>
      </c>
      <c r="Q350" s="26">
        <f>SUM(P350:P355)</f>
        <v>1.9490106515346826</v>
      </c>
      <c r="R350" s="17">
        <f>10*LOG10(Q350)</f>
        <v>2.8981421258611602</v>
      </c>
      <c r="S350" s="18">
        <f>F350+N350-Kzt-H</f>
        <v>-62.191573919729791</v>
      </c>
      <c r="T350" s="17">
        <v>0.9</v>
      </c>
      <c r="U350" s="21">
        <f>T350*10^((S350-R350)/10)</f>
        <v>2.7878596417370649E-7</v>
      </c>
    </row>
    <row r="351" spans="1:21" x14ac:dyDescent="0.25">
      <c r="A351" s="24"/>
      <c r="B351" s="24"/>
      <c r="C351" s="17"/>
      <c r="D351" s="24"/>
      <c r="E351" s="24"/>
      <c r="F351" s="25"/>
      <c r="G351" s="1">
        <v>3425</v>
      </c>
      <c r="H351" s="2">
        <v>103.5</v>
      </c>
      <c r="I351" s="2">
        <v>-22.6</v>
      </c>
      <c r="J351" s="2">
        <v>-28.2</v>
      </c>
      <c r="K351" s="2">
        <f t="shared" si="43"/>
        <v>-22.6</v>
      </c>
      <c r="L351" s="8">
        <f t="shared" si="47"/>
        <v>2.4547089156850296E-13</v>
      </c>
      <c r="M351" s="26"/>
      <c r="N351" s="17"/>
      <c r="O351" s="9">
        <f t="shared" si="45"/>
        <v>-28.2</v>
      </c>
      <c r="P351" s="8">
        <f>D350/B350*10^(O351/10)</f>
        <v>0.23712459558833912</v>
      </c>
      <c r="Q351" s="26"/>
      <c r="R351" s="17"/>
      <c r="S351" s="19"/>
      <c r="T351" s="17"/>
      <c r="U351" s="22"/>
    </row>
    <row r="352" spans="1:21" x14ac:dyDescent="0.25">
      <c r="A352" s="24"/>
      <c r="B352" s="24"/>
      <c r="C352" s="17"/>
      <c r="D352" s="24"/>
      <c r="E352" s="24"/>
      <c r="F352" s="25"/>
      <c r="G352" s="1">
        <v>4025</v>
      </c>
      <c r="H352" s="2">
        <v>103.6</v>
      </c>
      <c r="I352" s="2">
        <v>-24.4</v>
      </c>
      <c r="J352" s="2">
        <v>-24.5</v>
      </c>
      <c r="K352" s="2">
        <f t="shared" si="43"/>
        <v>-24.4</v>
      </c>
      <c r="L352" s="8">
        <f t="shared" si="47"/>
        <v>1.5848931924611046E-13</v>
      </c>
      <c r="M352" s="26"/>
      <c r="N352" s="17"/>
      <c r="O352" s="9">
        <f t="shared" si="45"/>
        <v>-24.5</v>
      </c>
      <c r="P352" s="8">
        <f>D350/B350*10^(O352/10)</f>
        <v>0.55587430979926788</v>
      </c>
      <c r="Q352" s="26"/>
      <c r="R352" s="17"/>
      <c r="S352" s="19"/>
      <c r="T352" s="17"/>
      <c r="U352" s="22"/>
    </row>
    <row r="353" spans="1:21" x14ac:dyDescent="0.25">
      <c r="A353" s="24"/>
      <c r="B353" s="24"/>
      <c r="C353" s="17"/>
      <c r="D353" s="24"/>
      <c r="E353" s="24"/>
      <c r="F353" s="25"/>
      <c r="G353" s="1">
        <v>4625</v>
      </c>
      <c r="H353" s="2">
        <v>105.6</v>
      </c>
      <c r="I353" s="2">
        <v>-20.6</v>
      </c>
      <c r="J353" s="2">
        <v>-28.7</v>
      </c>
      <c r="K353" s="2">
        <f t="shared" si="43"/>
        <v>-20.6</v>
      </c>
      <c r="L353" s="8">
        <f t="shared" si="47"/>
        <v>2.3988329190194898E-13</v>
      </c>
      <c r="M353" s="26"/>
      <c r="N353" s="17"/>
      <c r="O353" s="9">
        <f t="shared" si="45"/>
        <v>-28.7</v>
      </c>
      <c r="P353" s="8">
        <f>D350/B350*10^(O353/10)</f>
        <v>0.21133751827269218</v>
      </c>
      <c r="Q353" s="26"/>
      <c r="R353" s="17"/>
      <c r="S353" s="19"/>
      <c r="T353" s="17"/>
      <c r="U353" s="22"/>
    </row>
    <row r="354" spans="1:21" x14ac:dyDescent="0.25">
      <c r="A354" s="24"/>
      <c r="B354" s="24"/>
      <c r="C354" s="17"/>
      <c r="D354" s="24"/>
      <c r="E354" s="24"/>
      <c r="F354" s="25"/>
      <c r="G354" s="1">
        <v>5225</v>
      </c>
      <c r="H354" s="2">
        <v>103.5</v>
      </c>
      <c r="I354" s="2">
        <v>-24.8</v>
      </c>
      <c r="J354" s="2">
        <v>-27.4</v>
      </c>
      <c r="K354" s="2">
        <f t="shared" si="43"/>
        <v>-24.8</v>
      </c>
      <c r="L354" s="8">
        <f t="shared" si="47"/>
        <v>1.4791083881681996E-13</v>
      </c>
      <c r="M354" s="26"/>
      <c r="N354" s="17"/>
      <c r="O354" s="9">
        <f t="shared" si="45"/>
        <v>-27.4</v>
      </c>
      <c r="P354" s="8">
        <f>D350/B350*10^(O354/10)</f>
        <v>0.28508646784889724</v>
      </c>
      <c r="Q354" s="26"/>
      <c r="R354" s="17"/>
      <c r="S354" s="19"/>
      <c r="T354" s="17"/>
      <c r="U354" s="22"/>
    </row>
    <row r="355" spans="1:21" x14ac:dyDescent="0.25">
      <c r="A355" s="24"/>
      <c r="B355" s="24"/>
      <c r="C355" s="17"/>
      <c r="D355" s="24"/>
      <c r="E355" s="24"/>
      <c r="F355" s="25"/>
      <c r="G355" s="1">
        <v>5625</v>
      </c>
      <c r="H355" s="2">
        <v>99.5</v>
      </c>
      <c r="I355" s="2">
        <v>-24</v>
      </c>
      <c r="J355" s="2">
        <v>-29</v>
      </c>
      <c r="K355" s="2">
        <f t="shared" si="43"/>
        <v>-24</v>
      </c>
      <c r="L355" s="8">
        <f t="shared" si="47"/>
        <v>4.4668359215096191E-13</v>
      </c>
      <c r="M355" s="26"/>
      <c r="N355" s="17"/>
      <c r="O355" s="9">
        <f t="shared" si="45"/>
        <v>-29</v>
      </c>
      <c r="P355" s="8">
        <f>D350/B350*10^(O355/10)</f>
        <v>0.19723164784775268</v>
      </c>
      <c r="Q355" s="26"/>
      <c r="R355" s="17"/>
      <c r="S355" s="20"/>
      <c r="T355" s="17"/>
      <c r="U355" s="23"/>
    </row>
    <row r="356" spans="1:21" x14ac:dyDescent="0.25">
      <c r="A356" s="24">
        <v>8000</v>
      </c>
      <c r="B356" s="24">
        <v>3</v>
      </c>
      <c r="C356" s="17">
        <v>0.5</v>
      </c>
      <c r="D356" s="24">
        <v>943</v>
      </c>
      <c r="E356" s="24">
        <v>6</v>
      </c>
      <c r="F356" s="25">
        <v>54</v>
      </c>
      <c r="G356" s="1">
        <v>6025</v>
      </c>
      <c r="H356" s="2">
        <v>95</v>
      </c>
      <c r="I356" s="2">
        <v>-24.1</v>
      </c>
      <c r="J356" s="2">
        <v>-27.5</v>
      </c>
      <c r="K356" s="2">
        <f t="shared" si="43"/>
        <v>-24.1</v>
      </c>
      <c r="L356" s="8">
        <f t="shared" si="47"/>
        <v>1.2302687708123772E-12</v>
      </c>
      <c r="M356" s="26">
        <f>SUM(L356:L361)</f>
        <v>4.0492303267434418E-11</v>
      </c>
      <c r="N356" s="17">
        <f>10*LOG10(M356/E356)</f>
        <v>-111.70778769542933</v>
      </c>
      <c r="O356" s="9">
        <f t="shared" si="45"/>
        <v>-27.5</v>
      </c>
      <c r="P356" s="8">
        <f>D356/B356*10^(O356/10)</f>
        <v>0.55897249455556786</v>
      </c>
      <c r="Q356" s="26">
        <f>SUM(P356:P361)</f>
        <v>3.243627493265218</v>
      </c>
      <c r="R356" s="17">
        <f>10*LOG10(Q356)</f>
        <v>5.1103097287927994</v>
      </c>
      <c r="S356" s="18">
        <f>F356+N356-Kzt-H</f>
        <v>-57.707787695429332</v>
      </c>
      <c r="T356" s="17">
        <v>0.7</v>
      </c>
      <c r="U356" s="21">
        <f>T356*10^((S356-R356)/10)</f>
        <v>3.6583756487891818E-7</v>
      </c>
    </row>
    <row r="357" spans="1:21" x14ac:dyDescent="0.25">
      <c r="A357" s="24"/>
      <c r="B357" s="24"/>
      <c r="C357" s="17"/>
      <c r="D357" s="24"/>
      <c r="E357" s="24"/>
      <c r="F357" s="25"/>
      <c r="G357" s="1">
        <v>7025</v>
      </c>
      <c r="H357" s="2">
        <v>94.8</v>
      </c>
      <c r="I357" s="2">
        <v>-28.2</v>
      </c>
      <c r="J357" s="2">
        <v>-31.5</v>
      </c>
      <c r="K357" s="2">
        <f t="shared" si="43"/>
        <v>-28.2</v>
      </c>
      <c r="L357" s="8">
        <f t="shared" si="47"/>
        <v>5.0118723362727066E-13</v>
      </c>
      <c r="M357" s="26"/>
      <c r="N357" s="17"/>
      <c r="O357" s="9">
        <f t="shared" si="45"/>
        <v>-31.5</v>
      </c>
      <c r="P357" s="8">
        <f>D356/B356*10^(O357/10)</f>
        <v>0.22253095822474731</v>
      </c>
      <c r="Q357" s="26"/>
      <c r="R357" s="17"/>
      <c r="S357" s="19"/>
      <c r="T357" s="17"/>
      <c r="U357" s="22"/>
    </row>
    <row r="358" spans="1:21" x14ac:dyDescent="0.25">
      <c r="A358" s="24"/>
      <c r="B358" s="24"/>
      <c r="C358" s="17"/>
      <c r="D358" s="24"/>
      <c r="E358" s="24"/>
      <c r="F358" s="25"/>
      <c r="G358" s="1">
        <v>8025</v>
      </c>
      <c r="H358" s="2">
        <v>101.9</v>
      </c>
      <c r="I358" s="2">
        <v>-19.399999999999999</v>
      </c>
      <c r="J358" s="2">
        <v>-30.2</v>
      </c>
      <c r="K358" s="2">
        <f t="shared" si="43"/>
        <v>-19.399999999999999</v>
      </c>
      <c r="L358" s="8">
        <f t="shared" si="47"/>
        <v>7.4131024130091393E-13</v>
      </c>
      <c r="M358" s="26"/>
      <c r="N358" s="17"/>
      <c r="O358" s="9">
        <f t="shared" si="45"/>
        <v>-30.2</v>
      </c>
      <c r="P358" s="8">
        <f>D356/B356*10^(O358/10)</f>
        <v>0.30018600287273789</v>
      </c>
      <c r="Q358" s="26"/>
      <c r="R358" s="17"/>
      <c r="S358" s="19"/>
      <c r="T358" s="17"/>
      <c r="U358" s="22"/>
    </row>
    <row r="359" spans="1:21" x14ac:dyDescent="0.25">
      <c r="A359" s="24"/>
      <c r="B359" s="24"/>
      <c r="C359" s="17"/>
      <c r="D359" s="24"/>
      <c r="E359" s="24"/>
      <c r="F359" s="25"/>
      <c r="G359" s="1">
        <v>9025</v>
      </c>
      <c r="H359" s="2">
        <v>93.2</v>
      </c>
      <c r="I359" s="2">
        <v>-22.2</v>
      </c>
      <c r="J359" s="2">
        <v>-25.9</v>
      </c>
      <c r="K359" s="2">
        <f t="shared" si="43"/>
        <v>-22.2</v>
      </c>
      <c r="L359" s="8">
        <f t="shared" si="47"/>
        <v>2.8840315031265959E-12</v>
      </c>
      <c r="M359" s="26"/>
      <c r="N359" s="17"/>
      <c r="O359" s="9">
        <f t="shared" si="45"/>
        <v>-25.9</v>
      </c>
      <c r="P359" s="8">
        <f>D356/B356*10^(O359/10)</f>
        <v>0.80796107438367948</v>
      </c>
      <c r="Q359" s="26"/>
      <c r="R359" s="17"/>
      <c r="S359" s="19"/>
      <c r="T359" s="17"/>
      <c r="U359" s="22"/>
    </row>
    <row r="360" spans="1:21" x14ac:dyDescent="0.25">
      <c r="A360" s="24"/>
      <c r="B360" s="24"/>
      <c r="C360" s="17"/>
      <c r="D360" s="24"/>
      <c r="E360" s="24"/>
      <c r="F360" s="25"/>
      <c r="G360" s="1">
        <v>10025</v>
      </c>
      <c r="H360" s="2">
        <v>88.3</v>
      </c>
      <c r="I360" s="2">
        <v>-24.2</v>
      </c>
      <c r="J360" s="2">
        <v>-24.9</v>
      </c>
      <c r="K360" s="2">
        <f t="shared" si="43"/>
        <v>-24.2</v>
      </c>
      <c r="L360" s="8">
        <f t="shared" si="47"/>
        <v>5.6234132519034759E-12</v>
      </c>
      <c r="M360" s="26"/>
      <c r="N360" s="17"/>
      <c r="O360" s="9">
        <f t="shared" si="45"/>
        <v>-24.9</v>
      </c>
      <c r="P360" s="8">
        <f>D356/B356*10^(O360/10)</f>
        <v>1.0171627282821314</v>
      </c>
      <c r="Q360" s="26"/>
      <c r="R360" s="17"/>
      <c r="S360" s="19"/>
      <c r="T360" s="17"/>
      <c r="U360" s="22"/>
    </row>
    <row r="361" spans="1:21" x14ac:dyDescent="0.25">
      <c r="A361" s="24"/>
      <c r="B361" s="24"/>
      <c r="C361" s="17"/>
      <c r="D361" s="24"/>
      <c r="E361" s="24"/>
      <c r="F361" s="25"/>
      <c r="G361" s="1">
        <v>11025</v>
      </c>
      <c r="H361" s="2">
        <v>86</v>
      </c>
      <c r="I361" s="2">
        <v>-19.3</v>
      </c>
      <c r="J361" s="2">
        <v>-29.7</v>
      </c>
      <c r="K361" s="2">
        <f t="shared" si="43"/>
        <v>-19.3</v>
      </c>
      <c r="L361" s="8">
        <f t="shared" si="47"/>
        <v>2.9512092266663787E-11</v>
      </c>
      <c r="M361" s="26"/>
      <c r="N361" s="17"/>
      <c r="O361" s="9">
        <f t="shared" si="45"/>
        <v>-29.7</v>
      </c>
      <c r="P361" s="8">
        <f>D356/B356*10^(O361/10)</f>
        <v>0.33681423494635426</v>
      </c>
      <c r="Q361" s="26"/>
      <c r="R361" s="17"/>
      <c r="S361" s="20"/>
      <c r="T361" s="17"/>
      <c r="U361" s="23"/>
    </row>
    <row r="362" spans="1:21" x14ac:dyDescent="0.25">
      <c r="A362" s="24" t="s">
        <v>20</v>
      </c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12">
        <f>U362</f>
        <v>5.3508709117552802E-2</v>
      </c>
      <c r="T362" s="2"/>
      <c r="U362" s="8">
        <f>0.8*SQRT(SUM(U328:U361))</f>
        <v>5.3508709117552802E-2</v>
      </c>
    </row>
    <row r="363" spans="1:21" x14ac:dyDescent="0.25">
      <c r="A363" s="27" t="s">
        <v>62</v>
      </c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9"/>
    </row>
    <row r="364" spans="1:21" x14ac:dyDescent="0.25">
      <c r="A364" s="24">
        <v>250</v>
      </c>
      <c r="B364" s="24">
        <v>3</v>
      </c>
      <c r="C364" s="17">
        <v>0.5</v>
      </c>
      <c r="D364" s="24">
        <v>38</v>
      </c>
      <c r="E364" s="24">
        <v>4</v>
      </c>
      <c r="F364" s="25">
        <v>84</v>
      </c>
      <c r="G364" s="1">
        <v>175</v>
      </c>
      <c r="H364" s="2">
        <v>84.8</v>
      </c>
      <c r="I364" s="2">
        <v>-19.8</v>
      </c>
      <c r="J364" s="2">
        <v>-25.3</v>
      </c>
      <c r="K364" s="2">
        <f>I364</f>
        <v>-19.8</v>
      </c>
      <c r="L364" s="8">
        <f>10^((K364-H364)/10)</f>
        <v>3.467368504525318E-11</v>
      </c>
      <c r="M364" s="26">
        <f>SUM(L364:L367)</f>
        <v>5.1785478255754684E-11</v>
      </c>
      <c r="N364" s="17">
        <f>10*LOG10(M364/E364)</f>
        <v>-108.87851999875753</v>
      </c>
      <c r="O364" s="9">
        <f>J364</f>
        <v>-25.3</v>
      </c>
      <c r="P364" s="8">
        <f>D364/B364*10^(O364/10)</f>
        <v>3.7381983537774194E-2</v>
      </c>
      <c r="Q364" s="26">
        <f>SUM(P364:P367)</f>
        <v>0.14223186890562761</v>
      </c>
      <c r="R364" s="17">
        <f>10*LOG10(Q364)</f>
        <v>-8.4700308335891492</v>
      </c>
      <c r="S364" s="18">
        <f>F364+N364-Kzt-H</f>
        <v>-24.878519998757525</v>
      </c>
      <c r="T364" s="17">
        <v>0.2</v>
      </c>
      <c r="U364" s="21">
        <f>T364*10^((S364-R364)/10)</f>
        <v>4.5727881233907537E-3</v>
      </c>
    </row>
    <row r="365" spans="1:21" x14ac:dyDescent="0.25">
      <c r="A365" s="24"/>
      <c r="B365" s="24"/>
      <c r="C365" s="17"/>
      <c r="D365" s="24"/>
      <c r="E365" s="24"/>
      <c r="F365" s="25"/>
      <c r="G365" s="1">
        <v>225</v>
      </c>
      <c r="H365" s="2">
        <v>90</v>
      </c>
      <c r="I365" s="2">
        <v>-20.5</v>
      </c>
      <c r="J365" s="2">
        <v>-24.5</v>
      </c>
      <c r="K365" s="2">
        <f t="shared" ref="K365:K397" si="48">I365</f>
        <v>-20.5</v>
      </c>
      <c r="L365" s="8">
        <f t="shared" ref="L365:L366" si="49">10^((K365-H365)/10)</f>
        <v>8.9125093813374152E-12</v>
      </c>
      <c r="M365" s="26"/>
      <c r="N365" s="17"/>
      <c r="O365" s="9">
        <f t="shared" ref="O365:O397" si="50">J365</f>
        <v>-24.5</v>
      </c>
      <c r="P365" s="8">
        <f>D364/B364*10^(O365/10)</f>
        <v>4.4943029302919532E-2</v>
      </c>
      <c r="Q365" s="26"/>
      <c r="R365" s="17"/>
      <c r="S365" s="19"/>
      <c r="T365" s="17"/>
      <c r="U365" s="22"/>
    </row>
    <row r="366" spans="1:21" x14ac:dyDescent="0.25">
      <c r="A366" s="24"/>
      <c r="B366" s="24"/>
      <c r="C366" s="17"/>
      <c r="D366" s="24"/>
      <c r="E366" s="24"/>
      <c r="F366" s="25"/>
      <c r="G366" s="1">
        <v>275</v>
      </c>
      <c r="H366" s="2">
        <v>92.2</v>
      </c>
      <c r="I366" s="2">
        <v>-23.1</v>
      </c>
      <c r="J366" s="2">
        <v>-25.3</v>
      </c>
      <c r="K366" s="2">
        <f t="shared" si="48"/>
        <v>-23.1</v>
      </c>
      <c r="L366" s="8">
        <f t="shared" si="49"/>
        <v>2.9512092266663754E-12</v>
      </c>
      <c r="M366" s="26"/>
      <c r="N366" s="17"/>
      <c r="O366" s="9">
        <f t="shared" si="50"/>
        <v>-25.3</v>
      </c>
      <c r="P366" s="8">
        <f>D364/B364*10^(O366/10)</f>
        <v>3.7381983537774194E-2</v>
      </c>
      <c r="Q366" s="26"/>
      <c r="R366" s="17"/>
      <c r="S366" s="19"/>
      <c r="T366" s="17"/>
      <c r="U366" s="22"/>
    </row>
    <row r="367" spans="1:21" x14ac:dyDescent="0.25">
      <c r="A367" s="24"/>
      <c r="B367" s="24"/>
      <c r="C367" s="17"/>
      <c r="D367" s="24"/>
      <c r="E367" s="24"/>
      <c r="F367" s="25"/>
      <c r="G367" s="1">
        <v>325</v>
      </c>
      <c r="H367" s="2">
        <v>93.3</v>
      </c>
      <c r="I367" s="2">
        <v>-19.5</v>
      </c>
      <c r="J367" s="2">
        <v>-27.5</v>
      </c>
      <c r="K367" s="2">
        <f t="shared" si="48"/>
        <v>-19.5</v>
      </c>
      <c r="L367" s="8">
        <f>10^((K367-H367)/10)</f>
        <v>5.2480746024977136E-12</v>
      </c>
      <c r="M367" s="26"/>
      <c r="N367" s="17"/>
      <c r="O367" s="9">
        <f t="shared" si="50"/>
        <v>-27.5</v>
      </c>
      <c r="P367" s="8">
        <f>D364/B364*10^(O367/10)</f>
        <v>2.2524872527159682E-2</v>
      </c>
      <c r="Q367" s="26"/>
      <c r="R367" s="17"/>
      <c r="S367" s="20"/>
      <c r="T367" s="17"/>
      <c r="U367" s="23"/>
    </row>
    <row r="368" spans="1:21" x14ac:dyDescent="0.25">
      <c r="A368" s="24">
        <v>500</v>
      </c>
      <c r="B368" s="24">
        <v>3</v>
      </c>
      <c r="C368" s="17">
        <v>0.5</v>
      </c>
      <c r="D368" s="24">
        <v>59</v>
      </c>
      <c r="E368" s="24">
        <v>6</v>
      </c>
      <c r="F368" s="25">
        <v>84</v>
      </c>
      <c r="G368" s="1">
        <v>375</v>
      </c>
      <c r="H368" s="2">
        <v>91.9</v>
      </c>
      <c r="I368" s="2">
        <v>-22.9</v>
      </c>
      <c r="J368" s="2">
        <v>-27.2</v>
      </c>
      <c r="K368" s="2">
        <f t="shared" si="48"/>
        <v>-22.9</v>
      </c>
      <c r="L368" s="8">
        <f t="shared" ref="L368:L369" si="51">10^((K368-H368)/10)</f>
        <v>3.3113112148258976E-12</v>
      </c>
      <c r="M368" s="26">
        <f>SUM(L368:L373)</f>
        <v>2.8151699440439193E-11</v>
      </c>
      <c r="N368" s="17">
        <f>10*LOG10(M368/E368)</f>
        <v>-113.2864663324504</v>
      </c>
      <c r="O368" s="9">
        <f t="shared" si="50"/>
        <v>-27.2</v>
      </c>
      <c r="P368" s="8">
        <f>D368/B368*10^(O368/10)</f>
        <v>3.7474060786610537E-2</v>
      </c>
      <c r="Q368" s="26">
        <f>SUM(P368:P373)</f>
        <v>0.23748042538087555</v>
      </c>
      <c r="R368" s="17">
        <f>10*LOG10(Q368)</f>
        <v>-6.2437218182614771</v>
      </c>
      <c r="S368" s="18">
        <f>F368+N368-Kzt-H</f>
        <v>-29.286466332450402</v>
      </c>
      <c r="T368" s="17">
        <v>0.5</v>
      </c>
      <c r="U368" s="21">
        <f>T368*10^((S368-R368)/10)</f>
        <v>2.4813930009516495E-3</v>
      </c>
    </row>
    <row r="369" spans="1:21" x14ac:dyDescent="0.25">
      <c r="A369" s="24"/>
      <c r="B369" s="24"/>
      <c r="C369" s="17"/>
      <c r="D369" s="24"/>
      <c r="E369" s="24"/>
      <c r="F369" s="25"/>
      <c r="G369" s="1">
        <v>425</v>
      </c>
      <c r="H369" s="2">
        <v>88.1</v>
      </c>
      <c r="I369" s="2">
        <v>-22.3</v>
      </c>
      <c r="J369" s="2">
        <v>-26.2</v>
      </c>
      <c r="K369" s="2">
        <f t="shared" si="48"/>
        <v>-22.3</v>
      </c>
      <c r="L369" s="8">
        <f t="shared" si="51"/>
        <v>9.1201083935590882E-12</v>
      </c>
      <c r="M369" s="26"/>
      <c r="N369" s="17"/>
      <c r="O369" s="9">
        <f t="shared" si="50"/>
        <v>-26.2</v>
      </c>
      <c r="P369" s="8">
        <f>D368/B368*10^(O369/10)</f>
        <v>4.717704740738328E-2</v>
      </c>
      <c r="Q369" s="26"/>
      <c r="R369" s="17"/>
      <c r="S369" s="19"/>
      <c r="T369" s="17"/>
      <c r="U369" s="22"/>
    </row>
    <row r="370" spans="1:21" x14ac:dyDescent="0.25">
      <c r="A370" s="24"/>
      <c r="B370" s="24"/>
      <c r="C370" s="17"/>
      <c r="D370" s="24"/>
      <c r="E370" s="24"/>
      <c r="F370" s="25"/>
      <c r="G370" s="1">
        <v>475</v>
      </c>
      <c r="H370" s="2">
        <v>90</v>
      </c>
      <c r="I370" s="2">
        <v>-22.9</v>
      </c>
      <c r="J370" s="2">
        <v>-27.9</v>
      </c>
      <c r="K370" s="2">
        <f t="shared" si="48"/>
        <v>-22.9</v>
      </c>
      <c r="L370" s="8">
        <f>10^((K370-H370)/10)</f>
        <v>5.1286138399136186E-12</v>
      </c>
      <c r="M370" s="26"/>
      <c r="N370" s="17"/>
      <c r="O370" s="9">
        <f t="shared" si="50"/>
        <v>-27.9</v>
      </c>
      <c r="P370" s="8">
        <f>D368/B368*10^(O370/10)</f>
        <v>3.1895598581392258E-2</v>
      </c>
      <c r="Q370" s="26"/>
      <c r="R370" s="17"/>
      <c r="S370" s="19"/>
      <c r="T370" s="17"/>
      <c r="U370" s="22"/>
    </row>
    <row r="371" spans="1:21" x14ac:dyDescent="0.25">
      <c r="A371" s="24"/>
      <c r="B371" s="24"/>
      <c r="C371" s="17"/>
      <c r="D371" s="24"/>
      <c r="E371" s="24"/>
      <c r="F371" s="25"/>
      <c r="G371" s="1">
        <v>575</v>
      </c>
      <c r="H371" s="2">
        <v>97</v>
      </c>
      <c r="I371" s="2">
        <v>-22.3</v>
      </c>
      <c r="J371" s="2">
        <v>-28.4</v>
      </c>
      <c r="K371" s="2">
        <f t="shared" si="48"/>
        <v>-22.3</v>
      </c>
      <c r="L371" s="8">
        <f t="shared" ref="L371:L397" si="52">10^((K371-H371)/10)</f>
        <v>1.1748975549395258E-12</v>
      </c>
      <c r="M371" s="26"/>
      <c r="N371" s="17"/>
      <c r="O371" s="9">
        <f t="shared" si="50"/>
        <v>-28.4</v>
      </c>
      <c r="P371" s="8">
        <f>D368/B368*10^(O371/10)</f>
        <v>2.8426982158003235E-2</v>
      </c>
      <c r="Q371" s="26"/>
      <c r="R371" s="17"/>
      <c r="S371" s="19"/>
      <c r="T371" s="17"/>
      <c r="U371" s="22"/>
    </row>
    <row r="372" spans="1:21" x14ac:dyDescent="0.25">
      <c r="A372" s="24"/>
      <c r="B372" s="24"/>
      <c r="C372" s="17"/>
      <c r="D372" s="24"/>
      <c r="E372" s="24"/>
      <c r="F372" s="25"/>
      <c r="G372" s="1">
        <v>625</v>
      </c>
      <c r="H372" s="2">
        <v>92</v>
      </c>
      <c r="I372" s="2">
        <v>-21.8</v>
      </c>
      <c r="J372" s="2">
        <v>-25.4</v>
      </c>
      <c r="K372" s="2">
        <f t="shared" si="48"/>
        <v>-21.8</v>
      </c>
      <c r="L372" s="8">
        <f t="shared" si="52"/>
        <v>4.1686938347033479E-12</v>
      </c>
      <c r="M372" s="26"/>
      <c r="N372" s="17"/>
      <c r="O372" s="9">
        <f t="shared" si="50"/>
        <v>-25.4</v>
      </c>
      <c r="P372" s="8">
        <f>D368/B368*10^(O372/10)</f>
        <v>5.671928622815655E-2</v>
      </c>
      <c r="Q372" s="26"/>
      <c r="R372" s="17"/>
      <c r="S372" s="19"/>
      <c r="T372" s="17"/>
      <c r="U372" s="22"/>
    </row>
    <row r="373" spans="1:21" x14ac:dyDescent="0.25">
      <c r="A373" s="24"/>
      <c r="B373" s="24"/>
      <c r="C373" s="17"/>
      <c r="D373" s="24"/>
      <c r="E373" s="24"/>
      <c r="F373" s="25"/>
      <c r="G373" s="1">
        <v>675</v>
      </c>
      <c r="H373" s="2">
        <v>94.5</v>
      </c>
      <c r="I373" s="2">
        <v>-18.3</v>
      </c>
      <c r="J373" s="2">
        <v>-27.4</v>
      </c>
      <c r="K373" s="2">
        <f t="shared" si="48"/>
        <v>-18.3</v>
      </c>
      <c r="L373" s="8">
        <f t="shared" si="52"/>
        <v>5.2480746024977136E-12</v>
      </c>
      <c r="M373" s="26"/>
      <c r="N373" s="17"/>
      <c r="O373" s="9">
        <f t="shared" si="50"/>
        <v>-27.4</v>
      </c>
      <c r="P373" s="8">
        <f>D368/B368*10^(O373/10)</f>
        <v>3.5787450219329664E-2</v>
      </c>
      <c r="Q373" s="26"/>
      <c r="R373" s="17"/>
      <c r="S373" s="20"/>
      <c r="T373" s="17"/>
      <c r="U373" s="23"/>
    </row>
    <row r="374" spans="1:21" x14ac:dyDescent="0.25">
      <c r="A374" s="24">
        <v>1000</v>
      </c>
      <c r="B374" s="24">
        <v>3</v>
      </c>
      <c r="C374" s="17">
        <v>0.5</v>
      </c>
      <c r="D374" s="24">
        <v>117</v>
      </c>
      <c r="E374" s="24">
        <v>6</v>
      </c>
      <c r="F374" s="25">
        <v>76</v>
      </c>
      <c r="G374" s="1">
        <v>875</v>
      </c>
      <c r="H374" s="2">
        <v>91.1</v>
      </c>
      <c r="I374" s="2">
        <v>-22.9</v>
      </c>
      <c r="J374" s="2">
        <v>-28.7</v>
      </c>
      <c r="K374" s="2">
        <f t="shared" si="48"/>
        <v>-22.9</v>
      </c>
      <c r="L374" s="8">
        <f t="shared" si="52"/>
        <v>3.9810717055349533E-12</v>
      </c>
      <c r="M374" s="26">
        <f>SUM(L374:L379)</f>
        <v>7.4179982951188798E-12</v>
      </c>
      <c r="N374" s="17">
        <f>10*LOG10(M374/E374)</f>
        <v>-119.07864521205092</v>
      </c>
      <c r="O374" s="9">
        <f t="shared" si="50"/>
        <v>-28.7</v>
      </c>
      <c r="P374" s="8">
        <f>D374/B374*10^(O374/10)</f>
        <v>5.2609552421074443E-2</v>
      </c>
      <c r="Q374" s="26">
        <f>SUM(P374:P379)</f>
        <v>0.42815696893474026</v>
      </c>
      <c r="R374" s="17">
        <f>10*LOG10(Q374)</f>
        <v>-3.6839698275215769</v>
      </c>
      <c r="S374" s="18">
        <f>F374+N374-Kzt-H</f>
        <v>-43.078645212050915</v>
      </c>
      <c r="T374" s="17">
        <v>0.8</v>
      </c>
      <c r="U374" s="21">
        <f>T374*10^((S374-R374)/10)</f>
        <v>9.1964973182240254E-5</v>
      </c>
    </row>
    <row r="375" spans="1:21" x14ac:dyDescent="0.25">
      <c r="A375" s="24"/>
      <c r="B375" s="24"/>
      <c r="C375" s="17"/>
      <c r="D375" s="24"/>
      <c r="E375" s="24"/>
      <c r="F375" s="25"/>
      <c r="G375" s="1">
        <v>975</v>
      </c>
      <c r="H375" s="2">
        <v>96.5</v>
      </c>
      <c r="I375" s="2">
        <v>-25.6</v>
      </c>
      <c r="J375" s="2">
        <v>-28.9</v>
      </c>
      <c r="K375" s="2">
        <f t="shared" si="48"/>
        <v>-25.6</v>
      </c>
      <c r="L375" s="8">
        <f t="shared" si="52"/>
        <v>6.1659500186148178E-13</v>
      </c>
      <c r="M375" s="26"/>
      <c r="N375" s="17"/>
      <c r="O375" s="9">
        <f t="shared" si="50"/>
        <v>-28.9</v>
      </c>
      <c r="P375" s="8">
        <f>D374/B374*10^(O375/10)</f>
        <v>5.0241732516032228E-2</v>
      </c>
      <c r="Q375" s="26"/>
      <c r="R375" s="17"/>
      <c r="S375" s="19"/>
      <c r="T375" s="17"/>
      <c r="U375" s="22"/>
    </row>
    <row r="376" spans="1:21" x14ac:dyDescent="0.25">
      <c r="A376" s="24"/>
      <c r="B376" s="24"/>
      <c r="C376" s="17"/>
      <c r="D376" s="24"/>
      <c r="E376" s="24"/>
      <c r="F376" s="25"/>
      <c r="G376" s="1">
        <v>1075</v>
      </c>
      <c r="H376" s="2">
        <v>94.6</v>
      </c>
      <c r="I376" s="2">
        <v>-24.6</v>
      </c>
      <c r="J376" s="2">
        <v>-26.8</v>
      </c>
      <c r="K376" s="2">
        <f t="shared" si="48"/>
        <v>-24.6</v>
      </c>
      <c r="L376" s="8">
        <f t="shared" si="52"/>
        <v>1.202264434617413E-12</v>
      </c>
      <c r="M376" s="26"/>
      <c r="N376" s="17"/>
      <c r="O376" s="9">
        <f t="shared" si="50"/>
        <v>-26.8</v>
      </c>
      <c r="P376" s="8">
        <f>D374/B374*10^(O376/10)</f>
        <v>8.1482549103307447E-2</v>
      </c>
      <c r="Q376" s="26"/>
      <c r="R376" s="17"/>
      <c r="S376" s="19"/>
      <c r="T376" s="17"/>
      <c r="U376" s="22"/>
    </row>
    <row r="377" spans="1:21" x14ac:dyDescent="0.25">
      <c r="A377" s="24"/>
      <c r="B377" s="24"/>
      <c r="C377" s="17"/>
      <c r="D377" s="24"/>
      <c r="E377" s="24"/>
      <c r="F377" s="25"/>
      <c r="G377" s="1">
        <v>1175</v>
      </c>
      <c r="H377" s="2">
        <v>97.8</v>
      </c>
      <c r="I377" s="2">
        <v>-22.8</v>
      </c>
      <c r="J377" s="2">
        <v>-25.6</v>
      </c>
      <c r="K377" s="2">
        <f t="shared" si="48"/>
        <v>-22.8</v>
      </c>
      <c r="L377" s="8">
        <f t="shared" si="52"/>
        <v>8.7096358995608191E-13</v>
      </c>
      <c r="M377" s="26"/>
      <c r="N377" s="17"/>
      <c r="O377" s="9">
        <f t="shared" si="50"/>
        <v>-25.6</v>
      </c>
      <c r="P377" s="8">
        <f>D374/B374*10^(O377/10)</f>
        <v>0.10741491943018844</v>
      </c>
      <c r="Q377" s="26"/>
      <c r="R377" s="17"/>
      <c r="S377" s="19"/>
      <c r="T377" s="17"/>
      <c r="U377" s="22"/>
    </row>
    <row r="378" spans="1:21" x14ac:dyDescent="0.25">
      <c r="A378" s="24"/>
      <c r="B378" s="24"/>
      <c r="C378" s="17"/>
      <c r="D378" s="24"/>
      <c r="E378" s="24"/>
      <c r="F378" s="25"/>
      <c r="G378" s="1">
        <v>1275</v>
      </c>
      <c r="H378" s="2">
        <v>100.1</v>
      </c>
      <c r="I378" s="2">
        <v>-22.1</v>
      </c>
      <c r="J378" s="2">
        <v>-29</v>
      </c>
      <c r="K378" s="2">
        <f t="shared" si="48"/>
        <v>-22.1</v>
      </c>
      <c r="L378" s="8">
        <f t="shared" si="52"/>
        <v>6.0255958607435742E-13</v>
      </c>
      <c r="M378" s="26"/>
      <c r="N378" s="17"/>
      <c r="O378" s="9">
        <f t="shared" si="50"/>
        <v>-29</v>
      </c>
      <c r="P378" s="8">
        <f>D374/B374*10^(O378/10)</f>
        <v>4.9098091059972482E-2</v>
      </c>
      <c r="Q378" s="26"/>
      <c r="R378" s="17"/>
      <c r="S378" s="19"/>
      <c r="T378" s="17"/>
      <c r="U378" s="22"/>
    </row>
    <row r="379" spans="1:21" x14ac:dyDescent="0.25">
      <c r="A379" s="24"/>
      <c r="B379" s="24"/>
      <c r="C379" s="17"/>
      <c r="D379" s="24"/>
      <c r="E379" s="24"/>
      <c r="F379" s="25"/>
      <c r="G379" s="1">
        <v>1375</v>
      </c>
      <c r="H379" s="2">
        <v>103</v>
      </c>
      <c r="I379" s="2">
        <v>-25.4</v>
      </c>
      <c r="J379" s="2">
        <v>-26.5</v>
      </c>
      <c r="K379" s="2">
        <f t="shared" si="48"/>
        <v>-25.4</v>
      </c>
      <c r="L379" s="8">
        <f t="shared" si="52"/>
        <v>1.4454397707459251E-13</v>
      </c>
      <c r="M379" s="26"/>
      <c r="N379" s="17"/>
      <c r="O379" s="9">
        <f t="shared" si="50"/>
        <v>-26.5</v>
      </c>
      <c r="P379" s="8">
        <f>D374/B374*10^(O379/10)</f>
        <v>8.7310124404165204E-2</v>
      </c>
      <c r="Q379" s="26"/>
      <c r="R379" s="17"/>
      <c r="S379" s="20"/>
      <c r="T379" s="17"/>
      <c r="U379" s="23"/>
    </row>
    <row r="380" spans="1:21" x14ac:dyDescent="0.25">
      <c r="A380" s="24">
        <v>2000</v>
      </c>
      <c r="B380" s="24">
        <v>3</v>
      </c>
      <c r="C380" s="17">
        <v>0.5</v>
      </c>
      <c r="D380" s="24">
        <v>234</v>
      </c>
      <c r="E380" s="24">
        <v>6</v>
      </c>
      <c r="F380" s="25">
        <v>68</v>
      </c>
      <c r="G380" s="1">
        <v>1425</v>
      </c>
      <c r="H380" s="2">
        <v>102.8</v>
      </c>
      <c r="I380" s="2">
        <v>-21.6</v>
      </c>
      <c r="J380" s="2">
        <v>-27.5</v>
      </c>
      <c r="K380" s="2">
        <f t="shared" si="48"/>
        <v>-21.6</v>
      </c>
      <c r="L380" s="8">
        <f t="shared" si="52"/>
        <v>3.6307805477009936E-13</v>
      </c>
      <c r="M380" s="26">
        <f>SUM(L380:L385)</f>
        <v>4.2504951917445385E-12</v>
      </c>
      <c r="N380" s="17">
        <f>10*LOG10(M380/E380)</f>
        <v>-121.49711721153511</v>
      </c>
      <c r="O380" s="9">
        <f t="shared" si="50"/>
        <v>-27.5</v>
      </c>
      <c r="P380" s="8">
        <f>D380/B380*10^(O380/10)</f>
        <v>0.13870579398303595</v>
      </c>
      <c r="Q380" s="26">
        <f>SUM(P380:P385)</f>
        <v>0.73387861302711022</v>
      </c>
      <c r="R380" s="17">
        <f>10*LOG10(Q380)</f>
        <v>-1.3437576849283641</v>
      </c>
      <c r="S380" s="18">
        <f>F380+N380-Kzt-H</f>
        <v>-53.497117211535112</v>
      </c>
      <c r="T380" s="17">
        <v>1</v>
      </c>
      <c r="U380" s="21">
        <f>T380*10^((S380-R380)/10)</f>
        <v>6.0906556645353893E-6</v>
      </c>
    </row>
    <row r="381" spans="1:21" x14ac:dyDescent="0.25">
      <c r="A381" s="24"/>
      <c r="B381" s="24"/>
      <c r="C381" s="17"/>
      <c r="D381" s="24"/>
      <c r="E381" s="24"/>
      <c r="F381" s="25"/>
      <c r="G381" s="1">
        <v>1625</v>
      </c>
      <c r="H381" s="2">
        <v>104.1</v>
      </c>
      <c r="I381" s="2">
        <v>-17.8</v>
      </c>
      <c r="J381" s="2">
        <v>-28.9</v>
      </c>
      <c r="K381" s="2">
        <f t="shared" si="48"/>
        <v>-17.8</v>
      </c>
      <c r="L381" s="8">
        <f t="shared" si="52"/>
        <v>6.4565422903465492E-13</v>
      </c>
      <c r="M381" s="26"/>
      <c r="N381" s="17"/>
      <c r="O381" s="9">
        <f t="shared" si="50"/>
        <v>-28.9</v>
      </c>
      <c r="P381" s="8">
        <f>D380/B380*10^(O381/10)</f>
        <v>0.10048346503206446</v>
      </c>
      <c r="Q381" s="26"/>
      <c r="R381" s="17"/>
      <c r="S381" s="19"/>
      <c r="T381" s="17"/>
      <c r="U381" s="22"/>
    </row>
    <row r="382" spans="1:21" x14ac:dyDescent="0.25">
      <c r="A382" s="24"/>
      <c r="B382" s="24"/>
      <c r="C382" s="17"/>
      <c r="D382" s="24"/>
      <c r="E382" s="24"/>
      <c r="F382" s="25"/>
      <c r="G382" s="1">
        <v>1825</v>
      </c>
      <c r="H382" s="2">
        <v>107.6</v>
      </c>
      <c r="I382" s="2">
        <v>-19.7</v>
      </c>
      <c r="J382" s="2">
        <v>-26.4</v>
      </c>
      <c r="K382" s="2">
        <f t="shared" si="48"/>
        <v>-19.7</v>
      </c>
      <c r="L382" s="8">
        <f t="shared" si="52"/>
        <v>1.8620871366628623E-13</v>
      </c>
      <c r="M382" s="26"/>
      <c r="N382" s="17"/>
      <c r="O382" s="9">
        <f t="shared" si="50"/>
        <v>-26.4</v>
      </c>
      <c r="P382" s="8">
        <f>D380/B380*10^(O382/10)</f>
        <v>0.17868767691588636</v>
      </c>
      <c r="Q382" s="26"/>
      <c r="R382" s="17"/>
      <c r="S382" s="19"/>
      <c r="T382" s="17"/>
      <c r="U382" s="22"/>
    </row>
    <row r="383" spans="1:21" x14ac:dyDescent="0.25">
      <c r="A383" s="24"/>
      <c r="B383" s="24"/>
      <c r="C383" s="17"/>
      <c r="D383" s="24"/>
      <c r="E383" s="24"/>
      <c r="F383" s="25"/>
      <c r="G383" s="1">
        <v>2125</v>
      </c>
      <c r="H383" s="2">
        <v>104.2</v>
      </c>
      <c r="I383" s="2">
        <v>-25.5</v>
      </c>
      <c r="J383" s="2">
        <v>-28</v>
      </c>
      <c r="K383" s="2">
        <f t="shared" si="48"/>
        <v>-25.5</v>
      </c>
      <c r="L383" s="8">
        <f t="shared" si="52"/>
        <v>1.071519305237606E-13</v>
      </c>
      <c r="M383" s="26"/>
      <c r="N383" s="17"/>
      <c r="O383" s="9">
        <f t="shared" si="50"/>
        <v>-28</v>
      </c>
      <c r="P383" s="8">
        <f>D380/B380*10^(O383/10)</f>
        <v>0.12362166901196685</v>
      </c>
      <c r="Q383" s="26"/>
      <c r="R383" s="17"/>
      <c r="S383" s="19"/>
      <c r="T383" s="17"/>
      <c r="U383" s="22"/>
    </row>
    <row r="384" spans="1:21" x14ac:dyDescent="0.25">
      <c r="A384" s="24"/>
      <c r="B384" s="24"/>
      <c r="C384" s="17"/>
      <c r="D384" s="24"/>
      <c r="E384" s="24"/>
      <c r="F384" s="25"/>
      <c r="G384" s="1">
        <v>2425</v>
      </c>
      <c r="H384" s="2">
        <v>93.7</v>
      </c>
      <c r="I384" s="2">
        <v>-22.3</v>
      </c>
      <c r="J384" s="2">
        <v>-28.8</v>
      </c>
      <c r="K384" s="2">
        <f t="shared" si="48"/>
        <v>-22.3</v>
      </c>
      <c r="L384" s="8">
        <f t="shared" si="52"/>
        <v>2.5118864315095726E-12</v>
      </c>
      <c r="M384" s="26"/>
      <c r="N384" s="17"/>
      <c r="O384" s="9">
        <f t="shared" si="50"/>
        <v>-28.8</v>
      </c>
      <c r="P384" s="8">
        <f>D380/B380*10^(O384/10)</f>
        <v>0.10282402560739975</v>
      </c>
      <c r="Q384" s="26"/>
      <c r="R384" s="17"/>
      <c r="S384" s="19"/>
      <c r="T384" s="17"/>
      <c r="U384" s="22"/>
    </row>
    <row r="385" spans="1:21" x14ac:dyDescent="0.25">
      <c r="A385" s="24"/>
      <c r="B385" s="24"/>
      <c r="C385" s="17"/>
      <c r="D385" s="24"/>
      <c r="E385" s="24"/>
      <c r="F385" s="25"/>
      <c r="G385" s="1">
        <v>2775</v>
      </c>
      <c r="H385" s="2">
        <v>100.2</v>
      </c>
      <c r="I385" s="2">
        <v>-23.4</v>
      </c>
      <c r="J385" s="2">
        <v>-29.4</v>
      </c>
      <c r="K385" s="2">
        <f t="shared" si="48"/>
        <v>-23.4</v>
      </c>
      <c r="L385" s="8">
        <f t="shared" si="52"/>
        <v>4.3651583224016479E-13</v>
      </c>
      <c r="M385" s="26"/>
      <c r="N385" s="17"/>
      <c r="O385" s="9">
        <f t="shared" si="50"/>
        <v>-29.4</v>
      </c>
      <c r="P385" s="8">
        <f>D380/B380*10^(O385/10)</f>
        <v>8.9555982476756835E-2</v>
      </c>
      <c r="Q385" s="26"/>
      <c r="R385" s="17"/>
      <c r="S385" s="20"/>
      <c r="T385" s="17"/>
      <c r="U385" s="23"/>
    </row>
    <row r="386" spans="1:21" x14ac:dyDescent="0.25">
      <c r="A386" s="24">
        <v>4000</v>
      </c>
      <c r="B386" s="24">
        <v>3</v>
      </c>
      <c r="C386" s="17">
        <v>0.5</v>
      </c>
      <c r="D386" s="24">
        <v>470</v>
      </c>
      <c r="E386" s="24">
        <v>6</v>
      </c>
      <c r="F386" s="25">
        <v>62</v>
      </c>
      <c r="G386" s="1">
        <v>2825</v>
      </c>
      <c r="H386" s="2">
        <v>99.4</v>
      </c>
      <c r="I386" s="2">
        <v>-25.5</v>
      </c>
      <c r="J386" s="2">
        <v>-26</v>
      </c>
      <c r="K386" s="2">
        <f t="shared" si="48"/>
        <v>-25.5</v>
      </c>
      <c r="L386" s="8">
        <f t="shared" si="52"/>
        <v>3.2359365692962775E-13</v>
      </c>
      <c r="M386" s="26">
        <f>SUM(L386:L391)</f>
        <v>1.7584527840787162E-12</v>
      </c>
      <c r="N386" s="17">
        <f>10*LOG10(M386/E386)</f>
        <v>-125.33020538742548</v>
      </c>
      <c r="O386" s="9">
        <f t="shared" si="50"/>
        <v>-26</v>
      </c>
      <c r="P386" s="8">
        <f>D386/B386*10^(O386/10)</f>
        <v>0.39352887426983379</v>
      </c>
      <c r="Q386" s="26">
        <f>SUM(P386:P391)</f>
        <v>1.6712111124631985</v>
      </c>
      <c r="R386" s="17">
        <f>10*LOG10(Q386)</f>
        <v>2.2303131475671978</v>
      </c>
      <c r="S386" s="18">
        <f>F386+N386-Kzt-H</f>
        <v>-63.33020538742548</v>
      </c>
      <c r="T386" s="17">
        <v>0.9</v>
      </c>
      <c r="U386" s="21">
        <f>T386*10^((S386-R386)/10)</f>
        <v>2.5014432580958685E-7</v>
      </c>
    </row>
    <row r="387" spans="1:21" x14ac:dyDescent="0.25">
      <c r="A387" s="24"/>
      <c r="B387" s="24"/>
      <c r="C387" s="17"/>
      <c r="D387" s="24"/>
      <c r="E387" s="24"/>
      <c r="F387" s="25"/>
      <c r="G387" s="1">
        <v>3425</v>
      </c>
      <c r="H387" s="2">
        <v>103.5</v>
      </c>
      <c r="I387" s="2">
        <v>-23.3</v>
      </c>
      <c r="J387" s="2">
        <v>-30.6</v>
      </c>
      <c r="K387" s="2">
        <f t="shared" si="48"/>
        <v>-23.3</v>
      </c>
      <c r="L387" s="8">
        <f t="shared" si="52"/>
        <v>2.0892961308540331E-13</v>
      </c>
      <c r="M387" s="26"/>
      <c r="N387" s="17"/>
      <c r="O387" s="9">
        <f t="shared" si="50"/>
        <v>-30.6</v>
      </c>
      <c r="P387" s="8">
        <f>D386/B386*10^(O387/10)</f>
        <v>0.13645096242645249</v>
      </c>
      <c r="Q387" s="26"/>
      <c r="R387" s="17"/>
      <c r="S387" s="19"/>
      <c r="T387" s="17"/>
      <c r="U387" s="22"/>
    </row>
    <row r="388" spans="1:21" x14ac:dyDescent="0.25">
      <c r="A388" s="24"/>
      <c r="B388" s="24"/>
      <c r="C388" s="17"/>
      <c r="D388" s="24"/>
      <c r="E388" s="24"/>
      <c r="F388" s="25"/>
      <c r="G388" s="1">
        <v>4025</v>
      </c>
      <c r="H388" s="2">
        <v>103.6</v>
      </c>
      <c r="I388" s="2">
        <v>-23.7</v>
      </c>
      <c r="J388" s="2">
        <v>-31.9</v>
      </c>
      <c r="K388" s="2">
        <f t="shared" si="48"/>
        <v>-23.7</v>
      </c>
      <c r="L388" s="8">
        <f t="shared" si="52"/>
        <v>1.8620871366628623E-13</v>
      </c>
      <c r="M388" s="26"/>
      <c r="N388" s="17"/>
      <c r="O388" s="9">
        <f t="shared" si="50"/>
        <v>-31.9</v>
      </c>
      <c r="P388" s="8">
        <f>D386/B386*10^(O388/10)</f>
        <v>0.10115249588209596</v>
      </c>
      <c r="Q388" s="26"/>
      <c r="R388" s="17"/>
      <c r="S388" s="19"/>
      <c r="T388" s="17"/>
      <c r="U388" s="22"/>
    </row>
    <row r="389" spans="1:21" x14ac:dyDescent="0.25">
      <c r="A389" s="24"/>
      <c r="B389" s="24"/>
      <c r="C389" s="17"/>
      <c r="D389" s="24"/>
      <c r="E389" s="24"/>
      <c r="F389" s="25"/>
      <c r="G389" s="1">
        <v>4625</v>
      </c>
      <c r="H389" s="2">
        <v>105.6</v>
      </c>
      <c r="I389" s="2">
        <v>-21.7</v>
      </c>
      <c r="J389" s="2">
        <v>-25</v>
      </c>
      <c r="K389" s="2">
        <f t="shared" si="48"/>
        <v>-21.7</v>
      </c>
      <c r="L389" s="8">
        <f t="shared" si="52"/>
        <v>1.8620871366628623E-13</v>
      </c>
      <c r="M389" s="26"/>
      <c r="N389" s="17"/>
      <c r="O389" s="9">
        <f t="shared" si="50"/>
        <v>-25</v>
      </c>
      <c r="P389" s="8">
        <f>D386/B386*10^(O389/10)</f>
        <v>0.49542350009304559</v>
      </c>
      <c r="Q389" s="26"/>
      <c r="R389" s="17"/>
      <c r="S389" s="19"/>
      <c r="T389" s="17"/>
      <c r="U389" s="22"/>
    </row>
    <row r="390" spans="1:21" x14ac:dyDescent="0.25">
      <c r="A390" s="24"/>
      <c r="B390" s="24"/>
      <c r="C390" s="17"/>
      <c r="D390" s="24"/>
      <c r="E390" s="24"/>
      <c r="F390" s="25"/>
      <c r="G390" s="1">
        <v>5225</v>
      </c>
      <c r="H390" s="2">
        <v>103.5</v>
      </c>
      <c r="I390" s="2">
        <v>-26</v>
      </c>
      <c r="J390" s="2">
        <v>-27.5</v>
      </c>
      <c r="K390" s="2">
        <f t="shared" si="48"/>
        <v>-26</v>
      </c>
      <c r="L390" s="8">
        <f t="shared" si="52"/>
        <v>1.1220184543019628E-13</v>
      </c>
      <c r="M390" s="26"/>
      <c r="N390" s="17"/>
      <c r="O390" s="9">
        <f t="shared" si="50"/>
        <v>-27.5</v>
      </c>
      <c r="P390" s="8">
        <f>D386/B386*10^(O390/10)</f>
        <v>0.27859710757276446</v>
      </c>
      <c r="Q390" s="26"/>
      <c r="R390" s="17"/>
      <c r="S390" s="19"/>
      <c r="T390" s="17"/>
      <c r="U390" s="22"/>
    </row>
    <row r="391" spans="1:21" x14ac:dyDescent="0.25">
      <c r="A391" s="24"/>
      <c r="B391" s="24"/>
      <c r="C391" s="17"/>
      <c r="D391" s="24"/>
      <c r="E391" s="24"/>
      <c r="F391" s="25"/>
      <c r="G391" s="1">
        <v>5625</v>
      </c>
      <c r="H391" s="2">
        <v>99.5</v>
      </c>
      <c r="I391" s="2">
        <v>-21.8</v>
      </c>
      <c r="J391" s="2">
        <v>-27.7</v>
      </c>
      <c r="K391" s="2">
        <f t="shared" si="48"/>
        <v>-21.8</v>
      </c>
      <c r="L391" s="8">
        <f t="shared" si="52"/>
        <v>7.4131024130091646E-13</v>
      </c>
      <c r="M391" s="26"/>
      <c r="N391" s="17"/>
      <c r="O391" s="9">
        <f t="shared" si="50"/>
        <v>-27.7</v>
      </c>
      <c r="P391" s="8">
        <f>D386/B386*10^(O391/10)</f>
        <v>0.26605817221900629</v>
      </c>
      <c r="Q391" s="26"/>
      <c r="R391" s="17"/>
      <c r="S391" s="20"/>
      <c r="T391" s="17"/>
      <c r="U391" s="23"/>
    </row>
    <row r="392" spans="1:21" x14ac:dyDescent="0.25">
      <c r="A392" s="24">
        <v>8000</v>
      </c>
      <c r="B392" s="24">
        <v>3</v>
      </c>
      <c r="C392" s="17">
        <v>0.5</v>
      </c>
      <c r="D392" s="24">
        <v>943</v>
      </c>
      <c r="E392" s="24">
        <v>6</v>
      </c>
      <c r="F392" s="25">
        <v>54</v>
      </c>
      <c r="G392" s="1">
        <v>6025</v>
      </c>
      <c r="H392" s="2">
        <v>95</v>
      </c>
      <c r="I392" s="2">
        <v>-22.9</v>
      </c>
      <c r="J392" s="2">
        <v>-25.5</v>
      </c>
      <c r="K392" s="2">
        <f t="shared" si="48"/>
        <v>-22.9</v>
      </c>
      <c r="L392" s="8">
        <f t="shared" si="52"/>
        <v>1.6218100973589226E-12</v>
      </c>
      <c r="M392" s="26">
        <f>SUM(L392:L397)</f>
        <v>2.3363028292964555E-11</v>
      </c>
      <c r="N392" s="17">
        <f>10*LOG10(M392/E392)</f>
        <v>-114.09622115467047</v>
      </c>
      <c r="O392" s="9">
        <f t="shared" si="50"/>
        <v>-25.5</v>
      </c>
      <c r="P392" s="8">
        <f>D392/B392*10^(O392/10)</f>
        <v>0.88591170139412612</v>
      </c>
      <c r="Q392" s="26">
        <f>SUM(P392:P397)</f>
        <v>3.9388580271440339</v>
      </c>
      <c r="R392" s="17">
        <f>10*LOG10(Q392)</f>
        <v>5.9537032730847699</v>
      </c>
      <c r="S392" s="18">
        <f>F392+N392-Kzt-H</f>
        <v>-60.096221154670474</v>
      </c>
      <c r="T392" s="17">
        <v>0.7</v>
      </c>
      <c r="U392" s="21">
        <f>T392*10^((S392-R392)/10)</f>
        <v>1.7382234205344183E-7</v>
      </c>
    </row>
    <row r="393" spans="1:21" x14ac:dyDescent="0.25">
      <c r="A393" s="24"/>
      <c r="B393" s="24"/>
      <c r="C393" s="17"/>
      <c r="D393" s="24"/>
      <c r="E393" s="24"/>
      <c r="F393" s="25"/>
      <c r="G393" s="1">
        <v>7025</v>
      </c>
      <c r="H393" s="2">
        <v>94.8</v>
      </c>
      <c r="I393" s="2">
        <v>-21.8</v>
      </c>
      <c r="J393" s="2">
        <v>-26.2</v>
      </c>
      <c r="K393" s="2">
        <f t="shared" si="48"/>
        <v>-21.8</v>
      </c>
      <c r="L393" s="8">
        <f t="shared" si="52"/>
        <v>2.1877616239495474E-12</v>
      </c>
      <c r="M393" s="26"/>
      <c r="N393" s="17"/>
      <c r="O393" s="9">
        <f t="shared" si="50"/>
        <v>-26.2</v>
      </c>
      <c r="P393" s="8">
        <f>D392/B392*10^(O393/10)</f>
        <v>0.75403314754512585</v>
      </c>
      <c r="Q393" s="26"/>
      <c r="R393" s="17"/>
      <c r="S393" s="19"/>
      <c r="T393" s="17"/>
      <c r="U393" s="22"/>
    </row>
    <row r="394" spans="1:21" x14ac:dyDescent="0.25">
      <c r="A394" s="24"/>
      <c r="B394" s="24"/>
      <c r="C394" s="17"/>
      <c r="D394" s="24"/>
      <c r="E394" s="24"/>
      <c r="F394" s="25"/>
      <c r="G394" s="1">
        <v>8025</v>
      </c>
      <c r="H394" s="2">
        <v>101.9</v>
      </c>
      <c r="I394" s="2">
        <v>-24.3</v>
      </c>
      <c r="J394" s="2">
        <v>-28</v>
      </c>
      <c r="K394" s="2">
        <f t="shared" si="48"/>
        <v>-24.3</v>
      </c>
      <c r="L394" s="8">
        <f t="shared" si="52"/>
        <v>2.3988329190194817E-13</v>
      </c>
      <c r="M394" s="26"/>
      <c r="N394" s="17"/>
      <c r="O394" s="9">
        <f t="shared" si="50"/>
        <v>-28</v>
      </c>
      <c r="P394" s="8">
        <f>D392/B392*10^(O394/10)</f>
        <v>0.49818476016360996</v>
      </c>
      <c r="Q394" s="26"/>
      <c r="R394" s="17"/>
      <c r="S394" s="19"/>
      <c r="T394" s="17"/>
      <c r="U394" s="22"/>
    </row>
    <row r="395" spans="1:21" x14ac:dyDescent="0.25">
      <c r="A395" s="24"/>
      <c r="B395" s="24"/>
      <c r="C395" s="17"/>
      <c r="D395" s="24"/>
      <c r="E395" s="24"/>
      <c r="F395" s="25"/>
      <c r="G395" s="1">
        <v>9025</v>
      </c>
      <c r="H395" s="2">
        <v>93.2</v>
      </c>
      <c r="I395" s="2">
        <v>-27.5</v>
      </c>
      <c r="J395" s="2">
        <v>-28.2</v>
      </c>
      <c r="K395" s="2">
        <f t="shared" si="48"/>
        <v>-27.5</v>
      </c>
      <c r="L395" s="8">
        <f t="shared" si="52"/>
        <v>8.5113803820237492E-13</v>
      </c>
      <c r="M395" s="26"/>
      <c r="N395" s="17"/>
      <c r="O395" s="9">
        <f t="shared" si="50"/>
        <v>-28.2</v>
      </c>
      <c r="P395" s="8">
        <f>D392/B392*10^(O395/10)</f>
        <v>0.47576275242511445</v>
      </c>
      <c r="Q395" s="26"/>
      <c r="R395" s="17"/>
      <c r="S395" s="19"/>
      <c r="T395" s="17"/>
      <c r="U395" s="22"/>
    </row>
    <row r="396" spans="1:21" x14ac:dyDescent="0.25">
      <c r="A396" s="24"/>
      <c r="B396" s="24"/>
      <c r="C396" s="17"/>
      <c r="D396" s="24"/>
      <c r="E396" s="24"/>
      <c r="F396" s="25"/>
      <c r="G396" s="1">
        <v>10025</v>
      </c>
      <c r="H396" s="2">
        <v>88.3</v>
      </c>
      <c r="I396" s="2">
        <v>-22.2</v>
      </c>
      <c r="J396" s="2">
        <v>-25.8</v>
      </c>
      <c r="K396" s="2">
        <f t="shared" si="48"/>
        <v>-22.2</v>
      </c>
      <c r="L396" s="8">
        <f t="shared" si="52"/>
        <v>8.9125093813374152E-12</v>
      </c>
      <c r="M396" s="26"/>
      <c r="N396" s="17"/>
      <c r="O396" s="9">
        <f t="shared" si="50"/>
        <v>-25.8</v>
      </c>
      <c r="P396" s="8">
        <f>D392/B392*10^(O396/10)</f>
        <v>0.82678090545244742</v>
      </c>
      <c r="Q396" s="26"/>
      <c r="R396" s="17"/>
      <c r="S396" s="19"/>
      <c r="T396" s="17"/>
      <c r="U396" s="22"/>
    </row>
    <row r="397" spans="1:21" x14ac:dyDescent="0.25">
      <c r="A397" s="24"/>
      <c r="B397" s="24"/>
      <c r="C397" s="17"/>
      <c r="D397" s="24"/>
      <c r="E397" s="24"/>
      <c r="F397" s="25"/>
      <c r="G397" s="1">
        <v>11025</v>
      </c>
      <c r="H397" s="2">
        <v>86</v>
      </c>
      <c r="I397" s="2">
        <v>-24.2</v>
      </c>
      <c r="J397" s="2">
        <v>-28</v>
      </c>
      <c r="K397" s="2">
        <f t="shared" si="48"/>
        <v>-24.2</v>
      </c>
      <c r="L397" s="8">
        <f t="shared" si="52"/>
        <v>9.5499258602143472E-12</v>
      </c>
      <c r="M397" s="26"/>
      <c r="N397" s="17"/>
      <c r="O397" s="9">
        <f t="shared" si="50"/>
        <v>-28</v>
      </c>
      <c r="P397" s="8">
        <f>D392/B392*10^(O397/10)</f>
        <v>0.49818476016360996</v>
      </c>
      <c r="Q397" s="26"/>
      <c r="R397" s="17"/>
      <c r="S397" s="20"/>
      <c r="T397" s="17"/>
      <c r="U397" s="23"/>
    </row>
    <row r="398" spans="1:21" x14ac:dyDescent="0.25">
      <c r="A398" s="24" t="s">
        <v>20</v>
      </c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12">
        <f>U398</f>
        <v>6.7658723463486267E-2</v>
      </c>
      <c r="T398" s="2"/>
      <c r="U398" s="8">
        <f>0.8*SQRT(SUM(U364:U397))</f>
        <v>6.7658723463486267E-2</v>
      </c>
    </row>
    <row r="399" spans="1:21" x14ac:dyDescent="0.25">
      <c r="A399" s="27" t="s">
        <v>63</v>
      </c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9"/>
    </row>
    <row r="400" spans="1:21" x14ac:dyDescent="0.25">
      <c r="A400" s="24">
        <v>250</v>
      </c>
      <c r="B400" s="24">
        <v>3</v>
      </c>
      <c r="C400" s="17">
        <v>0.5</v>
      </c>
      <c r="D400" s="24">
        <v>38</v>
      </c>
      <c r="E400" s="24">
        <v>4</v>
      </c>
      <c r="F400" s="25">
        <v>84</v>
      </c>
      <c r="G400" s="1">
        <v>175</v>
      </c>
      <c r="H400" s="2">
        <v>84.8</v>
      </c>
      <c r="I400" s="2">
        <v>-21.4</v>
      </c>
      <c r="J400" s="2">
        <v>-24.3</v>
      </c>
      <c r="K400" s="2">
        <f>I400</f>
        <v>-21.4</v>
      </c>
      <c r="L400" s="8">
        <f>10^((K400-H400)/10)</f>
        <v>2.3988329190194867E-11</v>
      </c>
      <c r="M400" s="26">
        <f>SUM(L400:L403)</f>
        <v>4.2473003574719834E-11</v>
      </c>
      <c r="N400" s="17">
        <f>10*LOG10(M400/E400)</f>
        <v>-109.73947017132605</v>
      </c>
      <c r="O400" s="9">
        <f>J400</f>
        <v>-24.3</v>
      </c>
      <c r="P400" s="8">
        <f>D400/B400*10^(O400/10)</f>
        <v>4.7061129018975148E-2</v>
      </c>
      <c r="Q400" s="26">
        <f>SUM(P400:P403)</f>
        <v>0.1958135432964119</v>
      </c>
      <c r="R400" s="17">
        <f>10*LOG10(Q400)</f>
        <v>-7.0815727384294549</v>
      </c>
      <c r="S400" s="18">
        <f>F400+N400-Kzt-H</f>
        <v>-25.739470171326047</v>
      </c>
      <c r="T400" s="17">
        <v>0.2</v>
      </c>
      <c r="U400" s="21">
        <f>T400*10^((S400-R400)/10)</f>
        <v>2.7242079273163263E-3</v>
      </c>
    </row>
    <row r="401" spans="1:21" x14ac:dyDescent="0.25">
      <c r="A401" s="24"/>
      <c r="B401" s="24"/>
      <c r="C401" s="17"/>
      <c r="D401" s="24"/>
      <c r="E401" s="24"/>
      <c r="F401" s="25"/>
      <c r="G401" s="1">
        <v>225</v>
      </c>
      <c r="H401" s="2">
        <v>90</v>
      </c>
      <c r="I401" s="2">
        <v>-18.899999999999999</v>
      </c>
      <c r="J401" s="2">
        <v>-24.6</v>
      </c>
      <c r="K401" s="2">
        <f t="shared" ref="K401:K433" si="53">I401</f>
        <v>-18.899999999999999</v>
      </c>
      <c r="L401" s="8">
        <f t="shared" ref="L401:L402" si="54">10^((K401-H401)/10)</f>
        <v>1.2882495516931307E-11</v>
      </c>
      <c r="M401" s="26"/>
      <c r="N401" s="17"/>
      <c r="O401" s="9">
        <f t="shared" ref="O401:O433" si="55">J401</f>
        <v>-24.6</v>
      </c>
      <c r="P401" s="8">
        <f>D400/B400*10^(O401/10)</f>
        <v>4.3920001057320655E-2</v>
      </c>
      <c r="Q401" s="26"/>
      <c r="R401" s="17"/>
      <c r="S401" s="19"/>
      <c r="T401" s="17"/>
      <c r="U401" s="22"/>
    </row>
    <row r="402" spans="1:21" x14ac:dyDescent="0.25">
      <c r="A402" s="24"/>
      <c r="B402" s="24"/>
      <c r="C402" s="17"/>
      <c r="D402" s="24"/>
      <c r="E402" s="24"/>
      <c r="F402" s="25"/>
      <c r="G402" s="1">
        <v>275</v>
      </c>
      <c r="H402" s="2">
        <v>92.2</v>
      </c>
      <c r="I402" s="2">
        <v>-24.2</v>
      </c>
      <c r="J402" s="2">
        <v>-27.4</v>
      </c>
      <c r="K402" s="2">
        <f t="shared" si="53"/>
        <v>-24.2</v>
      </c>
      <c r="L402" s="8">
        <f t="shared" si="54"/>
        <v>2.2908676527677675E-12</v>
      </c>
      <c r="M402" s="26"/>
      <c r="N402" s="17"/>
      <c r="O402" s="9">
        <f t="shared" si="55"/>
        <v>-27.4</v>
      </c>
      <c r="P402" s="8">
        <f>D400/B400*10^(O402/10)</f>
        <v>2.3049544209059778E-2</v>
      </c>
      <c r="Q402" s="26"/>
      <c r="R402" s="17"/>
      <c r="S402" s="19"/>
      <c r="T402" s="17"/>
      <c r="U402" s="22"/>
    </row>
    <row r="403" spans="1:21" x14ac:dyDescent="0.25">
      <c r="A403" s="24"/>
      <c r="B403" s="24"/>
      <c r="C403" s="17"/>
      <c r="D403" s="24"/>
      <c r="E403" s="24"/>
      <c r="F403" s="25"/>
      <c r="G403" s="1">
        <v>325</v>
      </c>
      <c r="H403" s="2">
        <v>93.3</v>
      </c>
      <c r="I403" s="2">
        <v>-21.5</v>
      </c>
      <c r="J403" s="2">
        <v>-21.9</v>
      </c>
      <c r="K403" s="2">
        <f t="shared" si="53"/>
        <v>-21.5</v>
      </c>
      <c r="L403" s="8">
        <f>10^((K403-H403)/10)</f>
        <v>3.3113112148258976E-12</v>
      </c>
      <c r="M403" s="26"/>
      <c r="N403" s="17"/>
      <c r="O403" s="9">
        <f t="shared" si="55"/>
        <v>-21.9</v>
      </c>
      <c r="P403" s="8">
        <f>D400/B400*10^(O403/10)</f>
        <v>8.1782869011056331E-2</v>
      </c>
      <c r="Q403" s="26"/>
      <c r="R403" s="17"/>
      <c r="S403" s="20"/>
      <c r="T403" s="17"/>
      <c r="U403" s="23"/>
    </row>
    <row r="404" spans="1:21" x14ac:dyDescent="0.25">
      <c r="A404" s="24">
        <v>500</v>
      </c>
      <c r="B404" s="24">
        <v>3</v>
      </c>
      <c r="C404" s="17">
        <v>0.5</v>
      </c>
      <c r="D404" s="24">
        <v>59</v>
      </c>
      <c r="E404" s="24">
        <v>6</v>
      </c>
      <c r="F404" s="25">
        <v>84</v>
      </c>
      <c r="G404" s="1">
        <v>375</v>
      </c>
      <c r="H404" s="2">
        <v>91.9</v>
      </c>
      <c r="I404" s="2">
        <v>-21.9</v>
      </c>
      <c r="J404" s="2">
        <v>-23.4</v>
      </c>
      <c r="K404" s="2">
        <f t="shared" si="53"/>
        <v>-21.9</v>
      </c>
      <c r="L404" s="8">
        <f t="shared" ref="L404:L405" si="56">10^((K404-H404)/10)</f>
        <v>4.1686938347033333E-12</v>
      </c>
      <c r="M404" s="26">
        <f>SUM(L404:L409)</f>
        <v>2.5004801979848563E-11</v>
      </c>
      <c r="N404" s="17">
        <f>10*LOG10(M404/E404)</f>
        <v>-113.80127830788084</v>
      </c>
      <c r="O404" s="9">
        <f t="shared" si="55"/>
        <v>-23.4</v>
      </c>
      <c r="P404" s="8">
        <f>D404/B404*10^(O404/10)</f>
        <v>8.9894010624258766E-2</v>
      </c>
      <c r="Q404" s="26">
        <f>SUM(P404:P409)</f>
        <v>0.3807429560699172</v>
      </c>
      <c r="R404" s="17">
        <f>10*LOG10(Q404)</f>
        <v>-4.1936812257698479</v>
      </c>
      <c r="S404" s="18">
        <f>F404+N404-Kzt-H</f>
        <v>-29.801278307880835</v>
      </c>
      <c r="T404" s="17">
        <v>0.5</v>
      </c>
      <c r="U404" s="21">
        <f>T404*10^((S404-R404)/10)</f>
        <v>1.3747074812206455E-3</v>
      </c>
    </row>
    <row r="405" spans="1:21" x14ac:dyDescent="0.25">
      <c r="A405" s="24"/>
      <c r="B405" s="24"/>
      <c r="C405" s="17"/>
      <c r="D405" s="24"/>
      <c r="E405" s="24"/>
      <c r="F405" s="25"/>
      <c r="G405" s="1">
        <v>425</v>
      </c>
      <c r="H405" s="2">
        <v>88.1</v>
      </c>
      <c r="I405" s="2">
        <v>-23.4</v>
      </c>
      <c r="J405" s="2">
        <v>-29.1</v>
      </c>
      <c r="K405" s="2">
        <f t="shared" si="53"/>
        <v>-23.4</v>
      </c>
      <c r="L405" s="8">
        <f t="shared" si="56"/>
        <v>7.0794578438413538E-12</v>
      </c>
      <c r="M405" s="26"/>
      <c r="N405" s="17"/>
      <c r="O405" s="9">
        <f t="shared" si="55"/>
        <v>-29.1</v>
      </c>
      <c r="P405" s="8">
        <f>D404/B404*10^(O405/10)</f>
        <v>2.4195285825976822E-2</v>
      </c>
      <c r="Q405" s="26"/>
      <c r="R405" s="17"/>
      <c r="S405" s="19"/>
      <c r="T405" s="17"/>
      <c r="U405" s="22"/>
    </row>
    <row r="406" spans="1:21" x14ac:dyDescent="0.25">
      <c r="A406" s="24"/>
      <c r="B406" s="24"/>
      <c r="C406" s="17"/>
      <c r="D406" s="24"/>
      <c r="E406" s="24"/>
      <c r="F406" s="25"/>
      <c r="G406" s="1">
        <v>475</v>
      </c>
      <c r="H406" s="2">
        <v>90</v>
      </c>
      <c r="I406" s="2">
        <v>-21.8</v>
      </c>
      <c r="J406" s="2">
        <v>-27.3</v>
      </c>
      <c r="K406" s="2">
        <f t="shared" si="53"/>
        <v>-21.8</v>
      </c>
      <c r="L406" s="8">
        <f>10^((K406-H406)/10)</f>
        <v>6.6069344800759387E-12</v>
      </c>
      <c r="M406" s="26"/>
      <c r="N406" s="17"/>
      <c r="O406" s="9">
        <f t="shared" si="55"/>
        <v>-27.3</v>
      </c>
      <c r="P406" s="8">
        <f>D404/B404*10^(O406/10)</f>
        <v>3.6621047021036378E-2</v>
      </c>
      <c r="Q406" s="26"/>
      <c r="R406" s="17"/>
      <c r="S406" s="19"/>
      <c r="T406" s="17"/>
      <c r="U406" s="22"/>
    </row>
    <row r="407" spans="1:21" x14ac:dyDescent="0.25">
      <c r="A407" s="24"/>
      <c r="B407" s="24"/>
      <c r="C407" s="17"/>
      <c r="D407" s="24"/>
      <c r="E407" s="24"/>
      <c r="F407" s="25"/>
      <c r="G407" s="1">
        <v>575</v>
      </c>
      <c r="H407" s="2">
        <v>97</v>
      </c>
      <c r="I407" s="2">
        <v>-22.9</v>
      </c>
      <c r="J407" s="2">
        <v>-23.3</v>
      </c>
      <c r="K407" s="2">
        <f t="shared" si="53"/>
        <v>-22.9</v>
      </c>
      <c r="L407" s="8">
        <f t="shared" ref="L407:L433" si="57">10^((K407-H407)/10)</f>
        <v>1.0232929922807514E-12</v>
      </c>
      <c r="M407" s="26"/>
      <c r="N407" s="17"/>
      <c r="O407" s="9">
        <f t="shared" si="55"/>
        <v>-23.3</v>
      </c>
      <c r="P407" s="8">
        <f>D404/B404*10^(O407/10)</f>
        <v>9.1987911119815566E-2</v>
      </c>
      <c r="Q407" s="26"/>
      <c r="R407" s="17"/>
      <c r="S407" s="19"/>
      <c r="T407" s="17"/>
      <c r="U407" s="22"/>
    </row>
    <row r="408" spans="1:21" x14ac:dyDescent="0.25">
      <c r="A408" s="24"/>
      <c r="B408" s="24"/>
      <c r="C408" s="17"/>
      <c r="D408" s="24"/>
      <c r="E408" s="24"/>
      <c r="F408" s="25"/>
      <c r="G408" s="1">
        <v>625</v>
      </c>
      <c r="H408" s="2">
        <v>92</v>
      </c>
      <c r="I408" s="2">
        <v>-21.5</v>
      </c>
      <c r="J408" s="2">
        <v>-24.4</v>
      </c>
      <c r="K408" s="2">
        <f t="shared" si="53"/>
        <v>-21.5</v>
      </c>
      <c r="L408" s="8">
        <f t="shared" si="57"/>
        <v>4.4668359215096234E-12</v>
      </c>
      <c r="M408" s="26"/>
      <c r="N408" s="17"/>
      <c r="O408" s="9">
        <f t="shared" si="55"/>
        <v>-24.4</v>
      </c>
      <c r="P408" s="8">
        <f>D404/B404*10^(O408/10)</f>
        <v>7.1405350771453213E-2</v>
      </c>
      <c r="Q408" s="26"/>
      <c r="R408" s="17"/>
      <c r="S408" s="19"/>
      <c r="T408" s="17"/>
      <c r="U408" s="22"/>
    </row>
    <row r="409" spans="1:21" x14ac:dyDescent="0.25">
      <c r="A409" s="24"/>
      <c r="B409" s="24"/>
      <c r="C409" s="17"/>
      <c r="D409" s="24"/>
      <c r="E409" s="24"/>
      <c r="F409" s="25"/>
      <c r="G409" s="1">
        <v>675</v>
      </c>
      <c r="H409" s="2">
        <v>94.5</v>
      </c>
      <c r="I409" s="2">
        <v>-23.3</v>
      </c>
      <c r="J409" s="2">
        <v>-24.7</v>
      </c>
      <c r="K409" s="2">
        <f t="shared" si="53"/>
        <v>-23.3</v>
      </c>
      <c r="L409" s="8">
        <f t="shared" si="57"/>
        <v>1.6595869074375588E-12</v>
      </c>
      <c r="M409" s="26"/>
      <c r="N409" s="17"/>
      <c r="O409" s="9">
        <f t="shared" si="55"/>
        <v>-24.7</v>
      </c>
      <c r="P409" s="8">
        <f>D404/B404*10^(O409/10)</f>
        <v>6.6639350707376477E-2</v>
      </c>
      <c r="Q409" s="26"/>
      <c r="R409" s="17"/>
      <c r="S409" s="20"/>
      <c r="T409" s="17"/>
      <c r="U409" s="23"/>
    </row>
    <row r="410" spans="1:21" x14ac:dyDescent="0.25">
      <c r="A410" s="24">
        <v>1000</v>
      </c>
      <c r="B410" s="24">
        <v>3</v>
      </c>
      <c r="C410" s="17">
        <v>0.5</v>
      </c>
      <c r="D410" s="24">
        <v>117</v>
      </c>
      <c r="E410" s="24">
        <v>6</v>
      </c>
      <c r="F410" s="25">
        <v>76</v>
      </c>
      <c r="G410" s="1">
        <v>875</v>
      </c>
      <c r="H410" s="2">
        <v>91.1</v>
      </c>
      <c r="I410" s="2">
        <v>-24.1</v>
      </c>
      <c r="J410" s="2">
        <v>-25.3</v>
      </c>
      <c r="K410" s="2">
        <f t="shared" si="53"/>
        <v>-24.1</v>
      </c>
      <c r="L410" s="8">
        <f t="shared" si="57"/>
        <v>3.0199517204020161E-12</v>
      </c>
      <c r="M410" s="26">
        <f>SUM(L410:L415)</f>
        <v>9.0074695398127921E-12</v>
      </c>
      <c r="N410" s="17">
        <f>10*LOG10(M410/E410)</f>
        <v>-118.23548448222242</v>
      </c>
      <c r="O410" s="9">
        <f t="shared" si="55"/>
        <v>-25.3</v>
      </c>
      <c r="P410" s="8">
        <f>D410/B410*10^(O410/10)</f>
        <v>0.11509715983998897</v>
      </c>
      <c r="Q410" s="26">
        <f>SUM(P410:P415)</f>
        <v>0.85796063831357838</v>
      </c>
      <c r="R410" s="17">
        <f>10*LOG10(Q410)</f>
        <v>-0.66532636341666562</v>
      </c>
      <c r="S410" s="18">
        <f>F410+N410-Kzt-H</f>
        <v>-42.235484482222418</v>
      </c>
      <c r="T410" s="17">
        <v>0.8</v>
      </c>
      <c r="U410" s="21">
        <f>T410*10^((S410-R410)/10)</f>
        <v>5.5728092132373547E-5</v>
      </c>
    </row>
    <row r="411" spans="1:21" x14ac:dyDescent="0.25">
      <c r="A411" s="24"/>
      <c r="B411" s="24"/>
      <c r="C411" s="17"/>
      <c r="D411" s="24"/>
      <c r="E411" s="24"/>
      <c r="F411" s="25"/>
      <c r="G411" s="1">
        <v>975</v>
      </c>
      <c r="H411" s="2">
        <v>96.5</v>
      </c>
      <c r="I411" s="2">
        <v>-22.3</v>
      </c>
      <c r="J411" s="2">
        <v>-25.8</v>
      </c>
      <c r="K411" s="2">
        <f t="shared" si="53"/>
        <v>-22.3</v>
      </c>
      <c r="L411" s="8">
        <f t="shared" si="57"/>
        <v>1.3182567385564068E-12</v>
      </c>
      <c r="M411" s="26"/>
      <c r="N411" s="17"/>
      <c r="O411" s="9">
        <f t="shared" si="55"/>
        <v>-25.8</v>
      </c>
      <c r="P411" s="8">
        <f>D410/B410*10^(O411/10)</f>
        <v>0.10258045168391978</v>
      </c>
      <c r="Q411" s="26"/>
      <c r="R411" s="17"/>
      <c r="S411" s="19"/>
      <c r="T411" s="17"/>
      <c r="U411" s="22"/>
    </row>
    <row r="412" spans="1:21" x14ac:dyDescent="0.25">
      <c r="A412" s="24"/>
      <c r="B412" s="24"/>
      <c r="C412" s="17"/>
      <c r="D412" s="24"/>
      <c r="E412" s="24"/>
      <c r="F412" s="25"/>
      <c r="G412" s="1">
        <v>1075</v>
      </c>
      <c r="H412" s="2">
        <v>94.6</v>
      </c>
      <c r="I412" s="2">
        <v>-23.3</v>
      </c>
      <c r="J412" s="2">
        <v>-24.2</v>
      </c>
      <c r="K412" s="2">
        <f t="shared" si="53"/>
        <v>-23.3</v>
      </c>
      <c r="L412" s="8">
        <f t="shared" si="57"/>
        <v>1.6218100973589284E-12</v>
      </c>
      <c r="M412" s="26"/>
      <c r="N412" s="17"/>
      <c r="O412" s="9">
        <f t="shared" si="55"/>
        <v>-24.2</v>
      </c>
      <c r="P412" s="8">
        <f>D410/B410*10^(O412/10)</f>
        <v>0.14827386456501887</v>
      </c>
      <c r="Q412" s="26"/>
      <c r="R412" s="17"/>
      <c r="S412" s="19"/>
      <c r="T412" s="17"/>
      <c r="U412" s="22"/>
    </row>
    <row r="413" spans="1:21" x14ac:dyDescent="0.25">
      <c r="A413" s="24"/>
      <c r="B413" s="24"/>
      <c r="C413" s="17"/>
      <c r="D413" s="24"/>
      <c r="E413" s="24"/>
      <c r="F413" s="25"/>
      <c r="G413" s="1">
        <v>1175</v>
      </c>
      <c r="H413" s="2">
        <v>97.8</v>
      </c>
      <c r="I413" s="2">
        <v>-19.100000000000001</v>
      </c>
      <c r="J413" s="2">
        <v>-28.3</v>
      </c>
      <c r="K413" s="2">
        <f t="shared" si="53"/>
        <v>-19.100000000000001</v>
      </c>
      <c r="L413" s="8">
        <f t="shared" si="57"/>
        <v>2.0417379446695178E-12</v>
      </c>
      <c r="M413" s="26"/>
      <c r="N413" s="17"/>
      <c r="O413" s="9">
        <f t="shared" si="55"/>
        <v>-28.3</v>
      </c>
      <c r="P413" s="8">
        <f>D410/B410*10^(O413/10)</f>
        <v>5.7685227138560058E-2</v>
      </c>
      <c r="Q413" s="26"/>
      <c r="R413" s="17"/>
      <c r="S413" s="19"/>
      <c r="T413" s="17"/>
      <c r="U413" s="22"/>
    </row>
    <row r="414" spans="1:21" x14ac:dyDescent="0.25">
      <c r="A414" s="24"/>
      <c r="B414" s="24"/>
      <c r="C414" s="17"/>
      <c r="D414" s="24"/>
      <c r="E414" s="24"/>
      <c r="F414" s="25"/>
      <c r="G414" s="1">
        <v>1275</v>
      </c>
      <c r="H414" s="2">
        <v>100.1</v>
      </c>
      <c r="I414" s="2">
        <v>-22.2</v>
      </c>
      <c r="J414" s="2">
        <v>-22.8</v>
      </c>
      <c r="K414" s="2">
        <f t="shared" si="53"/>
        <v>-22.2</v>
      </c>
      <c r="L414" s="8">
        <f t="shared" si="57"/>
        <v>5.8884365535558666E-13</v>
      </c>
      <c r="M414" s="26"/>
      <c r="N414" s="17"/>
      <c r="O414" s="9">
        <f t="shared" si="55"/>
        <v>-22.8</v>
      </c>
      <c r="P414" s="8">
        <f>D410/B410*10^(O414/10)</f>
        <v>0.20467490949741102</v>
      </c>
      <c r="Q414" s="26"/>
      <c r="R414" s="17"/>
      <c r="S414" s="19"/>
      <c r="T414" s="17"/>
      <c r="U414" s="22"/>
    </row>
    <row r="415" spans="1:21" x14ac:dyDescent="0.25">
      <c r="A415" s="24"/>
      <c r="B415" s="24"/>
      <c r="C415" s="17"/>
      <c r="D415" s="24"/>
      <c r="E415" s="24"/>
      <c r="F415" s="25"/>
      <c r="G415" s="1">
        <v>1375</v>
      </c>
      <c r="H415" s="2">
        <v>103</v>
      </c>
      <c r="I415" s="2">
        <v>-20.8</v>
      </c>
      <c r="J415" s="2">
        <v>-22.3</v>
      </c>
      <c r="K415" s="2">
        <f t="shared" si="53"/>
        <v>-20.8</v>
      </c>
      <c r="L415" s="8">
        <f t="shared" si="57"/>
        <v>4.1686938347033585E-13</v>
      </c>
      <c r="M415" s="26"/>
      <c r="N415" s="17"/>
      <c r="O415" s="9">
        <f t="shared" si="55"/>
        <v>-22.3</v>
      </c>
      <c r="P415" s="8">
        <f>D410/B410*10^(O415/10)</f>
        <v>0.22964902558867969</v>
      </c>
      <c r="Q415" s="26"/>
      <c r="R415" s="17"/>
      <c r="S415" s="20"/>
      <c r="T415" s="17"/>
      <c r="U415" s="23"/>
    </row>
    <row r="416" spans="1:21" x14ac:dyDescent="0.25">
      <c r="A416" s="24">
        <v>2000</v>
      </c>
      <c r="B416" s="24">
        <v>3</v>
      </c>
      <c r="C416" s="17">
        <v>0.5</v>
      </c>
      <c r="D416" s="24">
        <v>234</v>
      </c>
      <c r="E416" s="24">
        <v>6</v>
      </c>
      <c r="F416" s="25">
        <v>68</v>
      </c>
      <c r="G416" s="1">
        <v>1425</v>
      </c>
      <c r="H416" s="2">
        <v>102.8</v>
      </c>
      <c r="I416" s="2">
        <v>-22.2</v>
      </c>
      <c r="J416" s="2">
        <v>-24</v>
      </c>
      <c r="K416" s="2">
        <f t="shared" si="53"/>
        <v>-22.2</v>
      </c>
      <c r="L416" s="8">
        <f t="shared" si="57"/>
        <v>3.1622776601683746E-13</v>
      </c>
      <c r="M416" s="26">
        <f>SUM(L416:L421)</f>
        <v>2.2787458999252555E-12</v>
      </c>
      <c r="N416" s="17">
        <f>10*LOG10(M416/E416)</f>
        <v>-124.20455350132103</v>
      </c>
      <c r="O416" s="9">
        <f t="shared" si="55"/>
        <v>-24</v>
      </c>
      <c r="P416" s="8">
        <f>D416/B416*10^(O416/10)</f>
        <v>0.31052359303172777</v>
      </c>
      <c r="Q416" s="26">
        <f>SUM(P416:P421)</f>
        <v>1.1018797392708872</v>
      </c>
      <c r="R416" s="17">
        <f>10*LOG10(Q416)</f>
        <v>0.42134197581927685</v>
      </c>
      <c r="S416" s="18">
        <f>F416+N416-Kzt-H</f>
        <v>-56.20455350132103</v>
      </c>
      <c r="T416" s="17">
        <v>1</v>
      </c>
      <c r="U416" s="21">
        <f>T416*10^((S416-R416)/10)</f>
        <v>2.1747555722571475E-6</v>
      </c>
    </row>
    <row r="417" spans="1:21" x14ac:dyDescent="0.25">
      <c r="A417" s="24"/>
      <c r="B417" s="24"/>
      <c r="C417" s="17"/>
      <c r="D417" s="24"/>
      <c r="E417" s="24"/>
      <c r="F417" s="25"/>
      <c r="G417" s="1">
        <v>1625</v>
      </c>
      <c r="H417" s="2">
        <v>104.1</v>
      </c>
      <c r="I417" s="2">
        <v>-22.2</v>
      </c>
      <c r="J417" s="2">
        <v>-27.4</v>
      </c>
      <c r="K417" s="2">
        <f t="shared" si="53"/>
        <v>-22.2</v>
      </c>
      <c r="L417" s="8">
        <f t="shared" si="57"/>
        <v>2.3442288153199217E-13</v>
      </c>
      <c r="M417" s="26"/>
      <c r="N417" s="17"/>
      <c r="O417" s="9">
        <f t="shared" si="55"/>
        <v>-27.4</v>
      </c>
      <c r="P417" s="8">
        <f>D416/B416*10^(O417/10)</f>
        <v>0.14193666697157864</v>
      </c>
      <c r="Q417" s="26"/>
      <c r="R417" s="17"/>
      <c r="S417" s="19"/>
      <c r="T417" s="17"/>
      <c r="U417" s="22"/>
    </row>
    <row r="418" spans="1:21" x14ac:dyDescent="0.25">
      <c r="A418" s="24"/>
      <c r="B418" s="24"/>
      <c r="C418" s="17"/>
      <c r="D418" s="24"/>
      <c r="E418" s="24"/>
      <c r="F418" s="25"/>
      <c r="G418" s="1">
        <v>1825</v>
      </c>
      <c r="H418" s="2">
        <v>107.6</v>
      </c>
      <c r="I418" s="2">
        <v>-21.7</v>
      </c>
      <c r="J418" s="2">
        <v>-26.7</v>
      </c>
      <c r="K418" s="2">
        <f t="shared" si="53"/>
        <v>-21.7</v>
      </c>
      <c r="L418" s="8">
        <f t="shared" si="57"/>
        <v>1.1748975549395328E-13</v>
      </c>
      <c r="M418" s="26"/>
      <c r="N418" s="17"/>
      <c r="O418" s="9">
        <f t="shared" si="55"/>
        <v>-26.7</v>
      </c>
      <c r="P418" s="8">
        <f>D416/B416*10^(O418/10)</f>
        <v>0.16676104298117408</v>
      </c>
      <c r="Q418" s="26"/>
      <c r="R418" s="17"/>
      <c r="S418" s="19"/>
      <c r="T418" s="17"/>
      <c r="U418" s="22"/>
    </row>
    <row r="419" spans="1:21" x14ac:dyDescent="0.25">
      <c r="A419" s="24"/>
      <c r="B419" s="24"/>
      <c r="C419" s="17"/>
      <c r="D419" s="24"/>
      <c r="E419" s="24"/>
      <c r="F419" s="25"/>
      <c r="G419" s="1">
        <v>2125</v>
      </c>
      <c r="H419" s="2">
        <v>104.2</v>
      </c>
      <c r="I419" s="2">
        <v>-22</v>
      </c>
      <c r="J419" s="2">
        <v>-28.1</v>
      </c>
      <c r="K419" s="2">
        <f t="shared" si="53"/>
        <v>-22</v>
      </c>
      <c r="L419" s="8">
        <f t="shared" si="57"/>
        <v>2.3988329190194817E-13</v>
      </c>
      <c r="M419" s="26"/>
      <c r="N419" s="17"/>
      <c r="O419" s="9">
        <f t="shared" si="55"/>
        <v>-28.1</v>
      </c>
      <c r="P419" s="8">
        <f>D416/B416*10^(O419/10)</f>
        <v>0.12080769627517346</v>
      </c>
      <c r="Q419" s="26"/>
      <c r="R419" s="17"/>
      <c r="S419" s="19"/>
      <c r="T419" s="17"/>
      <c r="U419" s="22"/>
    </row>
    <row r="420" spans="1:21" x14ac:dyDescent="0.25">
      <c r="A420" s="24"/>
      <c r="B420" s="24"/>
      <c r="C420" s="17"/>
      <c r="D420" s="24"/>
      <c r="E420" s="24"/>
      <c r="F420" s="25"/>
      <c r="G420" s="1">
        <v>2425</v>
      </c>
      <c r="H420" s="2">
        <v>93.7</v>
      </c>
      <c r="I420" s="2">
        <v>-26.1</v>
      </c>
      <c r="J420" s="2">
        <v>-28.1</v>
      </c>
      <c r="K420" s="2">
        <f t="shared" si="53"/>
        <v>-26.1</v>
      </c>
      <c r="L420" s="8">
        <f t="shared" si="57"/>
        <v>1.0471285480508967E-12</v>
      </c>
      <c r="M420" s="26"/>
      <c r="N420" s="17"/>
      <c r="O420" s="9">
        <f t="shared" si="55"/>
        <v>-28.1</v>
      </c>
      <c r="P420" s="8">
        <f>D416/B416*10^(O420/10)</f>
        <v>0.12080769627517346</v>
      </c>
      <c r="Q420" s="26"/>
      <c r="R420" s="17"/>
      <c r="S420" s="19"/>
      <c r="T420" s="17"/>
      <c r="U420" s="22"/>
    </row>
    <row r="421" spans="1:21" x14ac:dyDescent="0.25">
      <c r="A421" s="24"/>
      <c r="B421" s="24"/>
      <c r="C421" s="17"/>
      <c r="D421" s="24"/>
      <c r="E421" s="24"/>
      <c r="F421" s="25"/>
      <c r="G421" s="1">
        <v>2775</v>
      </c>
      <c r="H421" s="2">
        <v>100.2</v>
      </c>
      <c r="I421" s="2">
        <v>-24.700000000000003</v>
      </c>
      <c r="J421" s="2">
        <v>-25.1</v>
      </c>
      <c r="K421" s="2">
        <f t="shared" si="53"/>
        <v>-24.700000000000003</v>
      </c>
      <c r="L421" s="8">
        <f t="shared" si="57"/>
        <v>3.2359365692962775E-13</v>
      </c>
      <c r="M421" s="26"/>
      <c r="N421" s="17"/>
      <c r="O421" s="9">
        <f t="shared" si="55"/>
        <v>-25.1</v>
      </c>
      <c r="P421" s="8">
        <f>D416/B416*10^(O421/10)</f>
        <v>0.24104304373605984</v>
      </c>
      <c r="Q421" s="26"/>
      <c r="R421" s="17"/>
      <c r="S421" s="20"/>
      <c r="T421" s="17"/>
      <c r="U421" s="23"/>
    </row>
    <row r="422" spans="1:21" x14ac:dyDescent="0.25">
      <c r="A422" s="24">
        <v>4000</v>
      </c>
      <c r="B422" s="24">
        <v>3</v>
      </c>
      <c r="C422" s="17">
        <v>0.5</v>
      </c>
      <c r="D422" s="24">
        <v>470</v>
      </c>
      <c r="E422" s="24">
        <v>6</v>
      </c>
      <c r="F422" s="25">
        <v>62</v>
      </c>
      <c r="G422" s="1">
        <v>2825</v>
      </c>
      <c r="H422" s="2">
        <v>99.4</v>
      </c>
      <c r="I422" s="2">
        <v>-20.8</v>
      </c>
      <c r="J422" s="2">
        <v>-28.7</v>
      </c>
      <c r="K422" s="2">
        <f t="shared" si="53"/>
        <v>-20.8</v>
      </c>
      <c r="L422" s="8">
        <f t="shared" si="57"/>
        <v>9.5499258602143367E-13</v>
      </c>
      <c r="M422" s="26">
        <f>SUM(L422:L427)</f>
        <v>2.3348786143701502E-12</v>
      </c>
      <c r="N422" s="17">
        <f>10*LOG10(M422/E422)</f>
        <v>-124.09886942988805</v>
      </c>
      <c r="O422" s="9">
        <f t="shared" si="55"/>
        <v>-28.7</v>
      </c>
      <c r="P422" s="8">
        <f>D422/B422*10^(O422/10)</f>
        <v>0.21133751827269218</v>
      </c>
      <c r="Q422" s="26">
        <f>SUM(P422:P427)</f>
        <v>1.8107880116736044</v>
      </c>
      <c r="R422" s="17">
        <f>10*LOG10(Q422)</f>
        <v>2.5786761058506826</v>
      </c>
      <c r="S422" s="18">
        <f>F422+N422-Kzt-H</f>
        <v>-62.098869429888055</v>
      </c>
      <c r="T422" s="17">
        <v>0.9</v>
      </c>
      <c r="U422" s="21">
        <f>T422*10^((S422-R422)/10)</f>
        <v>3.0654056664408542E-7</v>
      </c>
    </row>
    <row r="423" spans="1:21" x14ac:dyDescent="0.25">
      <c r="A423" s="24"/>
      <c r="B423" s="24"/>
      <c r="C423" s="17"/>
      <c r="D423" s="24"/>
      <c r="E423" s="24"/>
      <c r="F423" s="25"/>
      <c r="G423" s="1">
        <v>3425</v>
      </c>
      <c r="H423" s="2">
        <v>103.5</v>
      </c>
      <c r="I423" s="2">
        <v>-27.5</v>
      </c>
      <c r="J423" s="2">
        <v>-29.4</v>
      </c>
      <c r="K423" s="2">
        <f t="shared" si="53"/>
        <v>-27.5</v>
      </c>
      <c r="L423" s="8">
        <f t="shared" si="57"/>
        <v>7.9432823472427931E-14</v>
      </c>
      <c r="M423" s="26"/>
      <c r="N423" s="17"/>
      <c r="O423" s="9">
        <f t="shared" si="55"/>
        <v>-29.4</v>
      </c>
      <c r="P423" s="8">
        <f>D422/B422*10^(O423/10)</f>
        <v>0.17987740070117825</v>
      </c>
      <c r="Q423" s="26"/>
      <c r="R423" s="17"/>
      <c r="S423" s="19"/>
      <c r="T423" s="17"/>
      <c r="U423" s="22"/>
    </row>
    <row r="424" spans="1:21" x14ac:dyDescent="0.25">
      <c r="A424" s="24"/>
      <c r="B424" s="24"/>
      <c r="C424" s="17"/>
      <c r="D424" s="24"/>
      <c r="E424" s="24"/>
      <c r="F424" s="25"/>
      <c r="G424" s="1">
        <v>4025</v>
      </c>
      <c r="H424" s="2">
        <v>103.6</v>
      </c>
      <c r="I424" s="2">
        <v>-23.6</v>
      </c>
      <c r="J424" s="2">
        <v>-25.5</v>
      </c>
      <c r="K424" s="2">
        <f t="shared" si="53"/>
        <v>-23.6</v>
      </c>
      <c r="L424" s="8">
        <f t="shared" si="57"/>
        <v>1.9054607179632483E-13</v>
      </c>
      <c r="M424" s="26"/>
      <c r="N424" s="17"/>
      <c r="O424" s="9">
        <f t="shared" si="55"/>
        <v>-25.5</v>
      </c>
      <c r="P424" s="8">
        <f>D422/B422*10^(O424/10)</f>
        <v>0.44154665923143083</v>
      </c>
      <c r="Q424" s="26"/>
      <c r="R424" s="17"/>
      <c r="S424" s="19"/>
      <c r="T424" s="17"/>
      <c r="U424" s="22"/>
    </row>
    <row r="425" spans="1:21" x14ac:dyDescent="0.25">
      <c r="A425" s="24"/>
      <c r="B425" s="24"/>
      <c r="C425" s="17"/>
      <c r="D425" s="24"/>
      <c r="E425" s="24"/>
      <c r="F425" s="25"/>
      <c r="G425" s="1">
        <v>4625</v>
      </c>
      <c r="H425" s="2">
        <v>105.6</v>
      </c>
      <c r="I425" s="2">
        <v>-22.3</v>
      </c>
      <c r="J425" s="2">
        <v>-26.1</v>
      </c>
      <c r="K425" s="2">
        <f t="shared" si="53"/>
        <v>-22.3</v>
      </c>
      <c r="L425" s="8">
        <f t="shared" si="57"/>
        <v>1.6218100973589265E-13</v>
      </c>
      <c r="M425" s="26"/>
      <c r="N425" s="17"/>
      <c r="O425" s="9">
        <f t="shared" si="55"/>
        <v>-26.1</v>
      </c>
      <c r="P425" s="8">
        <f>D422/B422*10^(O425/10)</f>
        <v>0.38457106345732078</v>
      </c>
      <c r="Q425" s="26"/>
      <c r="R425" s="17"/>
      <c r="S425" s="19"/>
      <c r="T425" s="17"/>
      <c r="U425" s="22"/>
    </row>
    <row r="426" spans="1:21" x14ac:dyDescent="0.25">
      <c r="A426" s="24"/>
      <c r="B426" s="24"/>
      <c r="C426" s="17"/>
      <c r="D426" s="24"/>
      <c r="E426" s="24"/>
      <c r="F426" s="25"/>
      <c r="G426" s="1">
        <v>5225</v>
      </c>
      <c r="H426" s="2">
        <v>103.5</v>
      </c>
      <c r="I426" s="2">
        <v>-21.3</v>
      </c>
      <c r="J426" s="2">
        <v>-29.6</v>
      </c>
      <c r="K426" s="2">
        <f t="shared" si="53"/>
        <v>-21.3</v>
      </c>
      <c r="L426" s="8">
        <f t="shared" si="57"/>
        <v>3.311311214825894E-13</v>
      </c>
      <c r="M426" s="26"/>
      <c r="N426" s="17"/>
      <c r="O426" s="9">
        <f t="shared" si="55"/>
        <v>-29.6</v>
      </c>
      <c r="P426" s="8">
        <f>D422/B422*10^(O426/10)</f>
        <v>0.1717815840624323</v>
      </c>
      <c r="Q426" s="26"/>
      <c r="R426" s="17"/>
      <c r="S426" s="19"/>
      <c r="T426" s="17"/>
      <c r="U426" s="22"/>
    </row>
    <row r="427" spans="1:21" x14ac:dyDescent="0.25">
      <c r="A427" s="24"/>
      <c r="B427" s="24"/>
      <c r="C427" s="17"/>
      <c r="D427" s="24"/>
      <c r="E427" s="24"/>
      <c r="F427" s="25"/>
      <c r="G427" s="1">
        <v>5625</v>
      </c>
      <c r="H427" s="2">
        <v>99.5</v>
      </c>
      <c r="I427" s="2">
        <v>-22.6</v>
      </c>
      <c r="J427" s="2">
        <v>-25.7</v>
      </c>
      <c r="K427" s="2">
        <f t="shared" si="53"/>
        <v>-22.6</v>
      </c>
      <c r="L427" s="8">
        <f t="shared" si="57"/>
        <v>6.1659500186148178E-13</v>
      </c>
      <c r="M427" s="26"/>
      <c r="N427" s="17"/>
      <c r="O427" s="9">
        <f t="shared" si="55"/>
        <v>-25.7</v>
      </c>
      <c r="P427" s="8">
        <f>D422/B422*10^(O427/10)</f>
        <v>0.42167378594854998</v>
      </c>
      <c r="Q427" s="26"/>
      <c r="R427" s="17"/>
      <c r="S427" s="20"/>
      <c r="T427" s="17"/>
      <c r="U427" s="23"/>
    </row>
    <row r="428" spans="1:21" x14ac:dyDescent="0.25">
      <c r="A428" s="24">
        <v>8000</v>
      </c>
      <c r="B428" s="24">
        <v>3</v>
      </c>
      <c r="C428" s="17">
        <v>0.5</v>
      </c>
      <c r="D428" s="24">
        <v>943</v>
      </c>
      <c r="E428" s="24">
        <v>6</v>
      </c>
      <c r="F428" s="25">
        <v>54</v>
      </c>
      <c r="G428" s="1">
        <v>6025</v>
      </c>
      <c r="H428" s="2">
        <v>95</v>
      </c>
      <c r="I428" s="2">
        <v>-25.8</v>
      </c>
      <c r="J428" s="2">
        <v>-26.8</v>
      </c>
      <c r="K428" s="2">
        <f t="shared" si="53"/>
        <v>-25.8</v>
      </c>
      <c r="L428" s="8">
        <f t="shared" si="57"/>
        <v>8.3176377110266952E-13</v>
      </c>
      <c r="M428" s="26">
        <f>SUM(L428:L433)</f>
        <v>1.9616337743920113E-11</v>
      </c>
      <c r="N428" s="17">
        <f>10*LOG10(M428/E428)</f>
        <v>-114.85533320024011</v>
      </c>
      <c r="O428" s="9">
        <f t="shared" si="55"/>
        <v>-26.8</v>
      </c>
      <c r="P428" s="8">
        <f>D428/B428*10^(O428/10)</f>
        <v>0.65673541713178563</v>
      </c>
      <c r="Q428" s="26">
        <f>SUM(P428:P433)</f>
        <v>4.185706215630292</v>
      </c>
      <c r="R428" s="17">
        <f>10*LOG10(Q428)</f>
        <v>6.2176874301649843</v>
      </c>
      <c r="S428" s="18">
        <f>F428+N428-Kzt-H</f>
        <v>-60.855333200240111</v>
      </c>
      <c r="T428" s="17">
        <v>0.7</v>
      </c>
      <c r="U428" s="21">
        <f>T428*10^((S428-R428)/10)</f>
        <v>1.3733966286502957E-7</v>
      </c>
    </row>
    <row r="429" spans="1:21" x14ac:dyDescent="0.25">
      <c r="A429" s="24"/>
      <c r="B429" s="24"/>
      <c r="C429" s="17"/>
      <c r="D429" s="24"/>
      <c r="E429" s="24"/>
      <c r="F429" s="25"/>
      <c r="G429" s="1">
        <v>7025</v>
      </c>
      <c r="H429" s="2">
        <v>94.8</v>
      </c>
      <c r="I429" s="2">
        <v>-21.7</v>
      </c>
      <c r="J429" s="2">
        <v>-25.6</v>
      </c>
      <c r="K429" s="2">
        <f t="shared" si="53"/>
        <v>-21.7</v>
      </c>
      <c r="L429" s="8">
        <f t="shared" si="57"/>
        <v>2.2387211385683343E-12</v>
      </c>
      <c r="M429" s="26"/>
      <c r="N429" s="17"/>
      <c r="O429" s="9">
        <f t="shared" si="55"/>
        <v>-25.6</v>
      </c>
      <c r="P429" s="8">
        <f>D428/B428*10^(O429/10)</f>
        <v>0.86574588908262984</v>
      </c>
      <c r="Q429" s="26"/>
      <c r="R429" s="17"/>
      <c r="S429" s="19"/>
      <c r="T429" s="17"/>
      <c r="U429" s="22"/>
    </row>
    <row r="430" spans="1:21" x14ac:dyDescent="0.25">
      <c r="A430" s="24"/>
      <c r="B430" s="24"/>
      <c r="C430" s="17"/>
      <c r="D430" s="24"/>
      <c r="E430" s="24"/>
      <c r="F430" s="25"/>
      <c r="G430" s="1">
        <v>8025</v>
      </c>
      <c r="H430" s="2">
        <v>101.9</v>
      </c>
      <c r="I430" s="2">
        <v>-23.7</v>
      </c>
      <c r="J430" s="2">
        <v>-26</v>
      </c>
      <c r="K430" s="2">
        <f t="shared" si="53"/>
        <v>-23.7</v>
      </c>
      <c r="L430" s="8">
        <f t="shared" si="57"/>
        <v>2.7542287033381544E-13</v>
      </c>
      <c r="M430" s="26"/>
      <c r="N430" s="17"/>
      <c r="O430" s="9">
        <f t="shared" si="55"/>
        <v>-26</v>
      </c>
      <c r="P430" s="8">
        <f>D428/B428*10^(O430/10)</f>
        <v>0.78956963497117716</v>
      </c>
      <c r="Q430" s="26"/>
      <c r="R430" s="17"/>
      <c r="S430" s="19"/>
      <c r="T430" s="17"/>
      <c r="U430" s="22"/>
    </row>
    <row r="431" spans="1:21" x14ac:dyDescent="0.25">
      <c r="A431" s="24"/>
      <c r="B431" s="24"/>
      <c r="C431" s="17"/>
      <c r="D431" s="24"/>
      <c r="E431" s="24"/>
      <c r="F431" s="25"/>
      <c r="G431" s="1">
        <v>9025</v>
      </c>
      <c r="H431" s="2">
        <v>93.2</v>
      </c>
      <c r="I431" s="2">
        <v>-22.9</v>
      </c>
      <c r="J431" s="2">
        <v>-26.6</v>
      </c>
      <c r="K431" s="2">
        <f t="shared" si="53"/>
        <v>-22.9</v>
      </c>
      <c r="L431" s="8">
        <f t="shared" si="57"/>
        <v>2.4547089156850233E-12</v>
      </c>
      <c r="M431" s="26"/>
      <c r="N431" s="17"/>
      <c r="O431" s="9">
        <f t="shared" si="55"/>
        <v>-26.6</v>
      </c>
      <c r="P431" s="8">
        <f>D428/B428*10^(O431/10)</f>
        <v>0.6876864037948085</v>
      </c>
      <c r="Q431" s="26"/>
      <c r="R431" s="17"/>
      <c r="S431" s="19"/>
      <c r="T431" s="17"/>
      <c r="U431" s="22"/>
    </row>
    <row r="432" spans="1:21" x14ac:dyDescent="0.25">
      <c r="A432" s="24"/>
      <c r="B432" s="24"/>
      <c r="C432" s="17"/>
      <c r="D432" s="24"/>
      <c r="E432" s="24"/>
      <c r="F432" s="25"/>
      <c r="G432" s="1">
        <v>10025</v>
      </c>
      <c r="H432" s="2">
        <v>88.3</v>
      </c>
      <c r="I432" s="2">
        <v>-25.4</v>
      </c>
      <c r="J432" s="2">
        <v>-26.1</v>
      </c>
      <c r="K432" s="2">
        <f t="shared" si="53"/>
        <v>-25.4</v>
      </c>
      <c r="L432" s="8">
        <f t="shared" si="57"/>
        <v>4.2657951880159207E-12</v>
      </c>
      <c r="M432" s="26"/>
      <c r="N432" s="17"/>
      <c r="O432" s="9">
        <f t="shared" si="55"/>
        <v>-26.1</v>
      </c>
      <c r="P432" s="8">
        <f>D428/B428*10^(O432/10)</f>
        <v>0.77159683583032657</v>
      </c>
      <c r="Q432" s="26"/>
      <c r="R432" s="17"/>
      <c r="S432" s="19"/>
      <c r="T432" s="17"/>
      <c r="U432" s="22"/>
    </row>
    <row r="433" spans="1:21" x14ac:dyDescent="0.25">
      <c r="A433" s="24"/>
      <c r="B433" s="24"/>
      <c r="C433" s="17"/>
      <c r="D433" s="24"/>
      <c r="E433" s="24"/>
      <c r="F433" s="25"/>
      <c r="G433" s="1">
        <v>11025</v>
      </c>
      <c r="H433" s="2">
        <v>86</v>
      </c>
      <c r="I433" s="2">
        <v>-24.2</v>
      </c>
      <c r="J433" s="2">
        <v>-28.8</v>
      </c>
      <c r="K433" s="2">
        <f t="shared" si="53"/>
        <v>-24.2</v>
      </c>
      <c r="L433" s="8">
        <f t="shared" si="57"/>
        <v>9.5499258602143472E-12</v>
      </c>
      <c r="M433" s="26"/>
      <c r="N433" s="17"/>
      <c r="O433" s="9">
        <f t="shared" si="55"/>
        <v>-28.8</v>
      </c>
      <c r="P433" s="8">
        <f>D428/B428*10^(O433/10)</f>
        <v>0.41437203481956392</v>
      </c>
      <c r="Q433" s="26"/>
      <c r="R433" s="17"/>
      <c r="S433" s="20"/>
      <c r="T433" s="17"/>
      <c r="U433" s="23"/>
    </row>
    <row r="434" spans="1:21" x14ac:dyDescent="0.25">
      <c r="A434" s="24" t="s">
        <v>20</v>
      </c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12">
        <f>U434</f>
        <v>5.1581467285659023E-2</v>
      </c>
      <c r="T434" s="2"/>
      <c r="U434" s="8">
        <f>0.8*SQRT(SUM(U400:U433))</f>
        <v>5.1581467285659023E-2</v>
      </c>
    </row>
    <row r="435" spans="1:21" x14ac:dyDescent="0.25">
      <c r="A435" s="27" t="s">
        <v>64</v>
      </c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9"/>
    </row>
    <row r="436" spans="1:21" x14ac:dyDescent="0.25">
      <c r="A436" s="24">
        <v>250</v>
      </c>
      <c r="B436" s="24">
        <v>3</v>
      </c>
      <c r="C436" s="17">
        <v>0.5</v>
      </c>
      <c r="D436" s="24">
        <v>38</v>
      </c>
      <c r="E436" s="24">
        <v>4</v>
      </c>
      <c r="F436" s="25">
        <v>84</v>
      </c>
      <c r="G436" s="1">
        <v>175</v>
      </c>
      <c r="H436" s="2">
        <v>84.8</v>
      </c>
      <c r="I436" s="2">
        <v>-22.2</v>
      </c>
      <c r="J436" s="2">
        <v>-27.4</v>
      </c>
      <c r="K436" s="2">
        <f>I436</f>
        <v>-22.2</v>
      </c>
      <c r="L436" s="8">
        <f>10^((K436-H436)/10)</f>
        <v>1.995262314968878E-11</v>
      </c>
      <c r="M436" s="26">
        <f>SUM(L436:L439)</f>
        <v>3.8612928227498922E-11</v>
      </c>
      <c r="N436" s="17">
        <f>10*LOG10(M436/E436)</f>
        <v>-110.15327253552064</v>
      </c>
      <c r="O436" s="9">
        <f>J436</f>
        <v>-27.4</v>
      </c>
      <c r="P436" s="8">
        <f>D436/B436*10^(O436/10)</f>
        <v>2.3049544209059778E-2</v>
      </c>
      <c r="Q436" s="26">
        <f>SUM(P436:P439)</f>
        <v>0.11719156678273895</v>
      </c>
      <c r="R436" s="17">
        <f>10*LOG10(Q436)</f>
        <v>-9.3110363943991192</v>
      </c>
      <c r="S436" s="18">
        <f>F436+N436-Kzt-H</f>
        <v>-26.153272535520642</v>
      </c>
      <c r="T436" s="17">
        <v>0.2</v>
      </c>
      <c r="U436" s="21">
        <f>T436*10^((S436-R436)/10)</f>
        <v>4.1381514539915515E-3</v>
      </c>
    </row>
    <row r="437" spans="1:21" x14ac:dyDescent="0.25">
      <c r="A437" s="24"/>
      <c r="B437" s="24"/>
      <c r="C437" s="17"/>
      <c r="D437" s="24"/>
      <c r="E437" s="24"/>
      <c r="F437" s="25"/>
      <c r="G437" s="1">
        <v>225</v>
      </c>
      <c r="H437" s="2">
        <v>90</v>
      </c>
      <c r="I437" s="2">
        <v>-18.8</v>
      </c>
      <c r="J437" s="2">
        <v>-27.2</v>
      </c>
      <c r="K437" s="2">
        <f t="shared" ref="K437:K469" si="58">I437</f>
        <v>-18.8</v>
      </c>
      <c r="L437" s="8">
        <f t="shared" ref="L437:L438" si="59">10^((K437-H437)/10)</f>
        <v>1.3182567385564083E-11</v>
      </c>
      <c r="M437" s="26"/>
      <c r="N437" s="17"/>
      <c r="O437" s="9">
        <f t="shared" ref="O437:O469" si="60">J437</f>
        <v>-27.2</v>
      </c>
      <c r="P437" s="8">
        <f>D436/B436*10^(O437/10)</f>
        <v>2.4135835760867801E-2</v>
      </c>
      <c r="Q437" s="26"/>
      <c r="R437" s="17"/>
      <c r="S437" s="19"/>
      <c r="T437" s="17"/>
      <c r="U437" s="22"/>
    </row>
    <row r="438" spans="1:21" x14ac:dyDescent="0.25">
      <c r="A438" s="24"/>
      <c r="B438" s="24"/>
      <c r="C438" s="17"/>
      <c r="D438" s="24"/>
      <c r="E438" s="24"/>
      <c r="F438" s="25"/>
      <c r="G438" s="1">
        <v>275</v>
      </c>
      <c r="H438" s="2">
        <v>92.2</v>
      </c>
      <c r="I438" s="2">
        <v>-24.599999999999998</v>
      </c>
      <c r="J438" s="2">
        <v>-26.4</v>
      </c>
      <c r="K438" s="2">
        <f t="shared" si="58"/>
        <v>-24.599999999999998</v>
      </c>
      <c r="L438" s="8">
        <f t="shared" si="59"/>
        <v>2.0892961308540349E-12</v>
      </c>
      <c r="M438" s="26"/>
      <c r="N438" s="17"/>
      <c r="O438" s="9">
        <f t="shared" si="60"/>
        <v>-26.4</v>
      </c>
      <c r="P438" s="8">
        <f>D436/B436*10^(O438/10)</f>
        <v>2.9017656935058464E-2</v>
      </c>
      <c r="Q438" s="26"/>
      <c r="R438" s="17"/>
      <c r="S438" s="19"/>
      <c r="T438" s="17"/>
      <c r="U438" s="22"/>
    </row>
    <row r="439" spans="1:21" x14ac:dyDescent="0.25">
      <c r="A439" s="24"/>
      <c r="B439" s="24"/>
      <c r="C439" s="17"/>
      <c r="D439" s="24"/>
      <c r="E439" s="24"/>
      <c r="F439" s="25"/>
      <c r="G439" s="1">
        <v>325</v>
      </c>
      <c r="H439" s="2">
        <v>93.3</v>
      </c>
      <c r="I439" s="2">
        <v>-21.4</v>
      </c>
      <c r="J439" s="2">
        <v>-24.9</v>
      </c>
      <c r="K439" s="2">
        <f t="shared" si="58"/>
        <v>-21.4</v>
      </c>
      <c r="L439" s="8">
        <f>10^((K439-H439)/10)</f>
        <v>3.3884415613920236E-12</v>
      </c>
      <c r="M439" s="26"/>
      <c r="N439" s="17"/>
      <c r="O439" s="9">
        <f t="shared" si="60"/>
        <v>-24.9</v>
      </c>
      <c r="P439" s="8">
        <f>D436/B436*10^(O439/10)</f>
        <v>4.0988529877752908E-2</v>
      </c>
      <c r="Q439" s="26"/>
      <c r="R439" s="17"/>
      <c r="S439" s="20"/>
      <c r="T439" s="17"/>
      <c r="U439" s="23"/>
    </row>
    <row r="440" spans="1:21" x14ac:dyDescent="0.25">
      <c r="A440" s="24">
        <v>500</v>
      </c>
      <c r="B440" s="24">
        <v>3</v>
      </c>
      <c r="C440" s="17">
        <v>0.5</v>
      </c>
      <c r="D440" s="24">
        <v>59</v>
      </c>
      <c r="E440" s="24">
        <v>6</v>
      </c>
      <c r="F440" s="25">
        <v>84</v>
      </c>
      <c r="G440" s="1">
        <v>375</v>
      </c>
      <c r="H440" s="2">
        <v>91.9</v>
      </c>
      <c r="I440" s="2">
        <v>-22.9</v>
      </c>
      <c r="J440" s="2">
        <v>-26.2</v>
      </c>
      <c r="K440" s="2">
        <f t="shared" si="58"/>
        <v>-22.9</v>
      </c>
      <c r="L440" s="8">
        <f t="shared" ref="L440:L441" si="61">10^((K440-H440)/10)</f>
        <v>3.3113112148258976E-12</v>
      </c>
      <c r="M440" s="26">
        <f>SUM(L440:L445)</f>
        <v>2.8779803791743063E-11</v>
      </c>
      <c r="N440" s="17">
        <f>10*LOG10(M440/E440)</f>
        <v>-113.19063421604939</v>
      </c>
      <c r="O440" s="9">
        <f t="shared" si="60"/>
        <v>-26.2</v>
      </c>
      <c r="P440" s="8">
        <f>D440/B440*10^(O440/10)</f>
        <v>4.717704740738328E-2</v>
      </c>
      <c r="Q440" s="26">
        <f>SUM(P440:P445)</f>
        <v>0.23947932955424039</v>
      </c>
      <c r="R440" s="17">
        <f>10*LOG10(Q440)</f>
        <v>-6.2073196637444603</v>
      </c>
      <c r="S440" s="18">
        <f>F440+N440-Kzt-H</f>
        <v>-29.190634216049389</v>
      </c>
      <c r="T440" s="17">
        <v>0.5</v>
      </c>
      <c r="U440" s="21">
        <f>T440*10^((S440-R440)/10)</f>
        <v>2.5155824088780704E-3</v>
      </c>
    </row>
    <row r="441" spans="1:21" x14ac:dyDescent="0.25">
      <c r="A441" s="24"/>
      <c r="B441" s="24"/>
      <c r="C441" s="17"/>
      <c r="D441" s="24"/>
      <c r="E441" s="24"/>
      <c r="F441" s="25"/>
      <c r="G441" s="1">
        <v>425</v>
      </c>
      <c r="H441" s="2">
        <v>88.1</v>
      </c>
      <c r="I441" s="2">
        <v>-21.3</v>
      </c>
      <c r="J441" s="2">
        <v>-28.8</v>
      </c>
      <c r="K441" s="2">
        <f t="shared" si="58"/>
        <v>-21.3</v>
      </c>
      <c r="L441" s="8">
        <f t="shared" si="61"/>
        <v>1.1481536214968803E-11</v>
      </c>
      <c r="M441" s="26"/>
      <c r="N441" s="17"/>
      <c r="O441" s="9">
        <f t="shared" si="60"/>
        <v>-28.8</v>
      </c>
      <c r="P441" s="8">
        <f>D440/B440*10^(O441/10)</f>
        <v>2.5925715858276008E-2</v>
      </c>
      <c r="Q441" s="26"/>
      <c r="R441" s="17"/>
      <c r="S441" s="19"/>
      <c r="T441" s="17"/>
      <c r="U441" s="22"/>
    </row>
    <row r="442" spans="1:21" x14ac:dyDescent="0.25">
      <c r="A442" s="24"/>
      <c r="B442" s="24"/>
      <c r="C442" s="17"/>
      <c r="D442" s="24"/>
      <c r="E442" s="24"/>
      <c r="F442" s="25"/>
      <c r="G442" s="1">
        <v>475</v>
      </c>
      <c r="H442" s="2">
        <v>90</v>
      </c>
      <c r="I442" s="2">
        <v>-22.5</v>
      </c>
      <c r="J442" s="2">
        <v>-27.2</v>
      </c>
      <c r="K442" s="2">
        <f t="shared" si="58"/>
        <v>-22.5</v>
      </c>
      <c r="L442" s="8">
        <f>10^((K442-H442)/10)</f>
        <v>5.6234132519034759E-12</v>
      </c>
      <c r="M442" s="26"/>
      <c r="N442" s="17"/>
      <c r="O442" s="9">
        <f t="shared" si="60"/>
        <v>-27.2</v>
      </c>
      <c r="P442" s="8">
        <f>D440/B440*10^(O442/10)</f>
        <v>3.7474060786610537E-2</v>
      </c>
      <c r="Q442" s="26"/>
      <c r="R442" s="17"/>
      <c r="S442" s="19"/>
      <c r="T442" s="17"/>
      <c r="U442" s="22"/>
    </row>
    <row r="443" spans="1:21" x14ac:dyDescent="0.25">
      <c r="A443" s="24"/>
      <c r="B443" s="24"/>
      <c r="C443" s="17"/>
      <c r="D443" s="24"/>
      <c r="E443" s="24"/>
      <c r="F443" s="25"/>
      <c r="G443" s="1">
        <v>575</v>
      </c>
      <c r="H443" s="2">
        <v>97</v>
      </c>
      <c r="I443" s="2">
        <v>-22.3</v>
      </c>
      <c r="J443" s="2">
        <v>-26</v>
      </c>
      <c r="K443" s="2">
        <f t="shared" si="58"/>
        <v>-22.3</v>
      </c>
      <c r="L443" s="8">
        <f t="shared" ref="L443:L469" si="62">10^((K443-H443)/10)</f>
        <v>1.1748975549395258E-12</v>
      </c>
      <c r="M443" s="26"/>
      <c r="N443" s="17"/>
      <c r="O443" s="9">
        <f t="shared" si="60"/>
        <v>-26</v>
      </c>
      <c r="P443" s="8">
        <f>D440/B440*10^(O443/10)</f>
        <v>4.94004331530217E-2</v>
      </c>
      <c r="Q443" s="26"/>
      <c r="R443" s="17"/>
      <c r="S443" s="19"/>
      <c r="T443" s="17"/>
      <c r="U443" s="22"/>
    </row>
    <row r="444" spans="1:21" x14ac:dyDescent="0.25">
      <c r="A444" s="24"/>
      <c r="B444" s="24"/>
      <c r="C444" s="17"/>
      <c r="D444" s="24"/>
      <c r="E444" s="24"/>
      <c r="F444" s="25"/>
      <c r="G444" s="1">
        <v>625</v>
      </c>
      <c r="H444" s="2">
        <v>92</v>
      </c>
      <c r="I444" s="2">
        <v>-21.8</v>
      </c>
      <c r="J444" s="2">
        <v>-28.9</v>
      </c>
      <c r="K444" s="2">
        <f t="shared" si="58"/>
        <v>-21.8</v>
      </c>
      <c r="L444" s="8">
        <f t="shared" si="62"/>
        <v>4.1686938347033479E-12</v>
      </c>
      <c r="M444" s="26"/>
      <c r="N444" s="17"/>
      <c r="O444" s="9">
        <f t="shared" si="60"/>
        <v>-28.9</v>
      </c>
      <c r="P444" s="8">
        <f>D440/B440*10^(O444/10)</f>
        <v>2.533557451663164E-2</v>
      </c>
      <c r="Q444" s="26"/>
      <c r="R444" s="17"/>
      <c r="S444" s="19"/>
      <c r="T444" s="17"/>
      <c r="U444" s="22"/>
    </row>
    <row r="445" spans="1:21" x14ac:dyDescent="0.25">
      <c r="A445" s="24"/>
      <c r="B445" s="24"/>
      <c r="C445" s="17"/>
      <c r="D445" s="24"/>
      <c r="E445" s="24"/>
      <c r="F445" s="25"/>
      <c r="G445" s="1">
        <v>675</v>
      </c>
      <c r="H445" s="2">
        <v>94.5</v>
      </c>
      <c r="I445" s="2">
        <v>-20.7</v>
      </c>
      <c r="J445" s="2">
        <v>-25.6</v>
      </c>
      <c r="K445" s="2">
        <f t="shared" si="58"/>
        <v>-20.7</v>
      </c>
      <c r="L445" s="8">
        <f t="shared" si="62"/>
        <v>3.0199517204020161E-12</v>
      </c>
      <c r="M445" s="26"/>
      <c r="N445" s="17"/>
      <c r="O445" s="9">
        <f t="shared" si="60"/>
        <v>-25.6</v>
      </c>
      <c r="P445" s="8">
        <f>D440/B440*10^(O445/10)</f>
        <v>5.4166497832317251E-2</v>
      </c>
      <c r="Q445" s="26"/>
      <c r="R445" s="17"/>
      <c r="S445" s="20"/>
      <c r="T445" s="17"/>
      <c r="U445" s="23"/>
    </row>
    <row r="446" spans="1:21" x14ac:dyDescent="0.25">
      <c r="A446" s="24">
        <v>1000</v>
      </c>
      <c r="B446" s="24">
        <v>3</v>
      </c>
      <c r="C446" s="17">
        <v>0.5</v>
      </c>
      <c r="D446" s="24">
        <v>117</v>
      </c>
      <c r="E446" s="24">
        <v>6</v>
      </c>
      <c r="F446" s="25">
        <v>76</v>
      </c>
      <c r="G446" s="1">
        <v>875</v>
      </c>
      <c r="H446" s="2">
        <v>91.1</v>
      </c>
      <c r="I446" s="2">
        <v>-22.3</v>
      </c>
      <c r="J446" s="2">
        <v>-27.1</v>
      </c>
      <c r="K446" s="2">
        <f t="shared" si="58"/>
        <v>-22.3</v>
      </c>
      <c r="L446" s="8">
        <f t="shared" si="62"/>
        <v>4.5708818961487419E-12</v>
      </c>
      <c r="M446" s="26">
        <f>SUM(L446:L451)</f>
        <v>8.9301824041026854E-12</v>
      </c>
      <c r="N446" s="17">
        <f>10*LOG10(M446/E446)</f>
        <v>-118.27290920690366</v>
      </c>
      <c r="O446" s="9">
        <f t="shared" si="60"/>
        <v>-27.1</v>
      </c>
      <c r="P446" s="8">
        <f>D446/B446*10^(O446/10)</f>
        <v>7.6043939390563725E-2</v>
      </c>
      <c r="Q446" s="26">
        <f>SUM(P446:P451)</f>
        <v>0.50787713187794103</v>
      </c>
      <c r="R446" s="17">
        <f>10*LOG10(Q446)</f>
        <v>-2.9424134165616418</v>
      </c>
      <c r="S446" s="18">
        <f>F446+N446-Kzt-H</f>
        <v>-42.272909206903662</v>
      </c>
      <c r="T446" s="17">
        <v>0.8</v>
      </c>
      <c r="U446" s="21">
        <f>T446*10^((S446-R446)/10)</f>
        <v>9.3334113739367247E-5</v>
      </c>
    </row>
    <row r="447" spans="1:21" x14ac:dyDescent="0.25">
      <c r="A447" s="24"/>
      <c r="B447" s="24"/>
      <c r="C447" s="17"/>
      <c r="D447" s="24"/>
      <c r="E447" s="24"/>
      <c r="F447" s="25"/>
      <c r="G447" s="1">
        <v>975</v>
      </c>
      <c r="H447" s="2">
        <v>96.5</v>
      </c>
      <c r="I447" s="2">
        <v>-21</v>
      </c>
      <c r="J447" s="2">
        <v>-27.4</v>
      </c>
      <c r="K447" s="2">
        <f t="shared" si="58"/>
        <v>-21</v>
      </c>
      <c r="L447" s="8">
        <f t="shared" si="62"/>
        <v>1.7782794100389204E-12</v>
      </c>
      <c r="M447" s="26"/>
      <c r="N447" s="17"/>
      <c r="O447" s="9">
        <f t="shared" si="60"/>
        <v>-27.4</v>
      </c>
      <c r="P447" s="8">
        <f>D446/B446*10^(O447/10)</f>
        <v>7.096833348578932E-2</v>
      </c>
      <c r="Q447" s="26"/>
      <c r="R447" s="17"/>
      <c r="S447" s="19"/>
      <c r="T447" s="17"/>
      <c r="U447" s="22"/>
    </row>
    <row r="448" spans="1:21" x14ac:dyDescent="0.25">
      <c r="A448" s="24"/>
      <c r="B448" s="24"/>
      <c r="C448" s="17"/>
      <c r="D448" s="24"/>
      <c r="E448" s="24"/>
      <c r="F448" s="25"/>
      <c r="G448" s="1">
        <v>1075</v>
      </c>
      <c r="H448" s="2">
        <v>94.6</v>
      </c>
      <c r="I448" s="2">
        <v>-24.400000000000002</v>
      </c>
      <c r="J448" s="2">
        <v>-24.8</v>
      </c>
      <c r="K448" s="2">
        <f t="shared" si="58"/>
        <v>-24.400000000000002</v>
      </c>
      <c r="L448" s="8">
        <f t="shared" si="62"/>
        <v>1.2589254117941629E-12</v>
      </c>
      <c r="M448" s="26"/>
      <c r="N448" s="17"/>
      <c r="O448" s="9">
        <f t="shared" si="60"/>
        <v>-24.8</v>
      </c>
      <c r="P448" s="8">
        <f>D446/B446*10^(O448/10)</f>
        <v>0.12914113737821051</v>
      </c>
      <c r="Q448" s="26"/>
      <c r="R448" s="17"/>
      <c r="S448" s="19"/>
      <c r="T448" s="17"/>
      <c r="U448" s="22"/>
    </row>
    <row r="449" spans="1:21" x14ac:dyDescent="0.25">
      <c r="A449" s="24"/>
      <c r="B449" s="24"/>
      <c r="C449" s="17"/>
      <c r="D449" s="24"/>
      <c r="E449" s="24"/>
      <c r="F449" s="25"/>
      <c r="G449" s="1">
        <v>1175</v>
      </c>
      <c r="H449" s="2">
        <v>97.8</v>
      </c>
      <c r="I449" s="2">
        <v>-23.2</v>
      </c>
      <c r="J449" s="2">
        <v>-28.7</v>
      </c>
      <c r="K449" s="2">
        <f t="shared" si="58"/>
        <v>-23.2</v>
      </c>
      <c r="L449" s="8">
        <f t="shared" si="62"/>
        <v>7.9432823472428024E-13</v>
      </c>
      <c r="M449" s="26"/>
      <c r="N449" s="17"/>
      <c r="O449" s="9">
        <f t="shared" si="60"/>
        <v>-28.7</v>
      </c>
      <c r="P449" s="8">
        <f>D446/B446*10^(O449/10)</f>
        <v>5.2609552421074443E-2</v>
      </c>
      <c r="Q449" s="26"/>
      <c r="R449" s="17"/>
      <c r="S449" s="19"/>
      <c r="T449" s="17"/>
      <c r="U449" s="22"/>
    </row>
    <row r="450" spans="1:21" x14ac:dyDescent="0.25">
      <c r="A450" s="24"/>
      <c r="B450" s="24"/>
      <c r="C450" s="17"/>
      <c r="D450" s="24"/>
      <c r="E450" s="24"/>
      <c r="F450" s="25"/>
      <c r="G450" s="1">
        <v>1275</v>
      </c>
      <c r="H450" s="2">
        <v>100.1</v>
      </c>
      <c r="I450" s="2">
        <v>-24.8</v>
      </c>
      <c r="J450" s="2">
        <v>-26.1</v>
      </c>
      <c r="K450" s="2">
        <f t="shared" si="58"/>
        <v>-24.8</v>
      </c>
      <c r="L450" s="8">
        <f t="shared" si="62"/>
        <v>3.2359365692962897E-13</v>
      </c>
      <c r="M450" s="26"/>
      <c r="N450" s="17"/>
      <c r="O450" s="9">
        <f t="shared" si="60"/>
        <v>-26.1</v>
      </c>
      <c r="P450" s="8">
        <f>D446/B446*10^(O450/10)</f>
        <v>9.5733647711716024E-2</v>
      </c>
      <c r="Q450" s="26"/>
      <c r="R450" s="17"/>
      <c r="S450" s="19"/>
      <c r="T450" s="17"/>
      <c r="U450" s="22"/>
    </row>
    <row r="451" spans="1:21" x14ac:dyDescent="0.25">
      <c r="A451" s="24"/>
      <c r="B451" s="24"/>
      <c r="C451" s="17"/>
      <c r="D451" s="24"/>
      <c r="E451" s="24"/>
      <c r="F451" s="25"/>
      <c r="G451" s="1">
        <v>1375</v>
      </c>
      <c r="H451" s="2">
        <v>103</v>
      </c>
      <c r="I451" s="2">
        <v>-23.9</v>
      </c>
      <c r="J451" s="2">
        <v>-26.7</v>
      </c>
      <c r="K451" s="2">
        <f t="shared" si="58"/>
        <v>-23.9</v>
      </c>
      <c r="L451" s="8">
        <f t="shared" si="62"/>
        <v>2.0417379446695155E-13</v>
      </c>
      <c r="M451" s="26"/>
      <c r="N451" s="17"/>
      <c r="O451" s="9">
        <f t="shared" si="60"/>
        <v>-26.7</v>
      </c>
      <c r="P451" s="8">
        <f>D446/B446*10^(O451/10)</f>
        <v>8.3380521490587042E-2</v>
      </c>
      <c r="Q451" s="26"/>
      <c r="R451" s="17"/>
      <c r="S451" s="20"/>
      <c r="T451" s="17"/>
      <c r="U451" s="23"/>
    </row>
    <row r="452" spans="1:21" x14ac:dyDescent="0.25">
      <c r="A452" s="24">
        <v>2000</v>
      </c>
      <c r="B452" s="24">
        <v>3</v>
      </c>
      <c r="C452" s="17">
        <v>0.5</v>
      </c>
      <c r="D452" s="24">
        <v>234</v>
      </c>
      <c r="E452" s="24">
        <v>6</v>
      </c>
      <c r="F452" s="25">
        <v>68</v>
      </c>
      <c r="G452" s="1">
        <v>1425</v>
      </c>
      <c r="H452" s="2">
        <v>102.8</v>
      </c>
      <c r="I452" s="2">
        <v>-20.6</v>
      </c>
      <c r="J452" s="2">
        <v>-25.4</v>
      </c>
      <c r="K452" s="2">
        <f t="shared" si="58"/>
        <v>-20.6</v>
      </c>
      <c r="L452" s="8">
        <f t="shared" si="62"/>
        <v>4.5708818961487372E-13</v>
      </c>
      <c r="M452" s="26">
        <f>SUM(L452:L457)</f>
        <v>4.5126770577366389E-12</v>
      </c>
      <c r="N452" s="17">
        <f>10*LOG10(M452/E452)</f>
        <v>-121.23716995317139</v>
      </c>
      <c r="O452" s="9">
        <f t="shared" si="60"/>
        <v>-25.4</v>
      </c>
      <c r="P452" s="8">
        <f>D452/B452*10^(O452/10)</f>
        <v>0.22495445724387514</v>
      </c>
      <c r="Q452" s="26">
        <f>SUM(P452:P457)</f>
        <v>1.2983741993847702</v>
      </c>
      <c r="R452" s="17">
        <f>10*LOG10(Q452)</f>
        <v>1.133998768303798</v>
      </c>
      <c r="S452" s="18">
        <f>F452+N452-Kzt-H</f>
        <v>-53.237169953171389</v>
      </c>
      <c r="T452" s="17">
        <v>1</v>
      </c>
      <c r="U452" s="21">
        <f>T452*10^((S452-R452)/10)</f>
        <v>3.6549642034314756E-6</v>
      </c>
    </row>
    <row r="453" spans="1:21" x14ac:dyDescent="0.25">
      <c r="A453" s="24"/>
      <c r="B453" s="24"/>
      <c r="C453" s="17"/>
      <c r="D453" s="24"/>
      <c r="E453" s="24"/>
      <c r="F453" s="25"/>
      <c r="G453" s="1">
        <v>1625</v>
      </c>
      <c r="H453" s="2">
        <v>104.1</v>
      </c>
      <c r="I453" s="2">
        <v>-24</v>
      </c>
      <c r="J453" s="2">
        <v>-30.4</v>
      </c>
      <c r="K453" s="2">
        <f t="shared" si="58"/>
        <v>-24</v>
      </c>
      <c r="L453" s="8">
        <f t="shared" si="62"/>
        <v>1.5488166189124838E-13</v>
      </c>
      <c r="M453" s="26"/>
      <c r="N453" s="17"/>
      <c r="O453" s="9">
        <f t="shared" si="60"/>
        <v>-30.4</v>
      </c>
      <c r="P453" s="8">
        <f>D452/B452*10^(O453/10)</f>
        <v>7.1136845469760873E-2</v>
      </c>
      <c r="Q453" s="26"/>
      <c r="R453" s="17"/>
      <c r="S453" s="19"/>
      <c r="T453" s="17"/>
      <c r="U453" s="22"/>
    </row>
    <row r="454" spans="1:21" x14ac:dyDescent="0.25">
      <c r="A454" s="24"/>
      <c r="B454" s="24"/>
      <c r="C454" s="17"/>
      <c r="D454" s="24"/>
      <c r="E454" s="24"/>
      <c r="F454" s="25"/>
      <c r="G454" s="1">
        <v>1825</v>
      </c>
      <c r="H454" s="2">
        <v>107.6</v>
      </c>
      <c r="I454" s="2">
        <v>-21.6</v>
      </c>
      <c r="J454" s="2">
        <v>-23.9</v>
      </c>
      <c r="K454" s="2">
        <f t="shared" si="58"/>
        <v>-21.6</v>
      </c>
      <c r="L454" s="8">
        <f t="shared" si="62"/>
        <v>1.2022644346174159E-13</v>
      </c>
      <c r="M454" s="26"/>
      <c r="N454" s="17"/>
      <c r="O454" s="9">
        <f t="shared" si="60"/>
        <v>-23.9</v>
      </c>
      <c r="P454" s="8">
        <f>D452/B452*10^(O454/10)</f>
        <v>0.31775661668720817</v>
      </c>
      <c r="Q454" s="26"/>
      <c r="R454" s="17"/>
      <c r="S454" s="19"/>
      <c r="T454" s="17"/>
      <c r="U454" s="22"/>
    </row>
    <row r="455" spans="1:21" x14ac:dyDescent="0.25">
      <c r="A455" s="24"/>
      <c r="B455" s="24"/>
      <c r="C455" s="17"/>
      <c r="D455" s="24"/>
      <c r="E455" s="24"/>
      <c r="F455" s="25"/>
      <c r="G455" s="1">
        <v>2125</v>
      </c>
      <c r="H455" s="2">
        <v>104.2</v>
      </c>
      <c r="I455" s="2">
        <v>-24.4</v>
      </c>
      <c r="J455" s="2">
        <v>-28.2</v>
      </c>
      <c r="K455" s="2">
        <f t="shared" si="58"/>
        <v>-24.4</v>
      </c>
      <c r="L455" s="8">
        <f t="shared" si="62"/>
        <v>1.3803842646028828E-13</v>
      </c>
      <c r="M455" s="26"/>
      <c r="N455" s="17"/>
      <c r="O455" s="9">
        <f t="shared" si="60"/>
        <v>-28.2</v>
      </c>
      <c r="P455" s="8">
        <f>D452/B452*10^(O455/10)</f>
        <v>0.11805777737802417</v>
      </c>
      <c r="Q455" s="26"/>
      <c r="R455" s="17"/>
      <c r="S455" s="19"/>
      <c r="T455" s="17"/>
      <c r="U455" s="22"/>
    </row>
    <row r="456" spans="1:21" x14ac:dyDescent="0.25">
      <c r="A456" s="24"/>
      <c r="B456" s="24"/>
      <c r="C456" s="17"/>
      <c r="D456" s="24"/>
      <c r="E456" s="24"/>
      <c r="F456" s="25"/>
      <c r="G456" s="1">
        <v>2425</v>
      </c>
      <c r="H456" s="2">
        <v>93.7</v>
      </c>
      <c r="I456" s="2">
        <v>-21.1</v>
      </c>
      <c r="J456" s="2">
        <v>-23.4</v>
      </c>
      <c r="K456" s="2">
        <f t="shared" si="58"/>
        <v>-21.1</v>
      </c>
      <c r="L456" s="8">
        <f t="shared" si="62"/>
        <v>3.3113112148258976E-12</v>
      </c>
      <c r="M456" s="26"/>
      <c r="N456" s="17"/>
      <c r="O456" s="9">
        <f t="shared" si="60"/>
        <v>-23.4</v>
      </c>
      <c r="P456" s="8">
        <f>D452/B452*10^(O456/10)</f>
        <v>0.35652878789960252</v>
      </c>
      <c r="Q456" s="26"/>
      <c r="R456" s="17"/>
      <c r="S456" s="19"/>
      <c r="T456" s="17"/>
      <c r="U456" s="22"/>
    </row>
    <row r="457" spans="1:21" x14ac:dyDescent="0.25">
      <c r="A457" s="24"/>
      <c r="B457" s="24"/>
      <c r="C457" s="17"/>
      <c r="D457" s="24"/>
      <c r="E457" s="24"/>
      <c r="F457" s="25"/>
      <c r="G457" s="1">
        <v>2775</v>
      </c>
      <c r="H457" s="2">
        <v>100.2</v>
      </c>
      <c r="I457" s="2">
        <v>-24.6</v>
      </c>
      <c r="J457" s="2">
        <v>-25.7</v>
      </c>
      <c r="K457" s="2">
        <f t="shared" si="58"/>
        <v>-24.6</v>
      </c>
      <c r="L457" s="8">
        <f t="shared" si="62"/>
        <v>3.311311214825894E-13</v>
      </c>
      <c r="M457" s="26"/>
      <c r="N457" s="17"/>
      <c r="O457" s="9">
        <f t="shared" si="60"/>
        <v>-25.7</v>
      </c>
      <c r="P457" s="8">
        <f>D452/B452*10^(O457/10)</f>
        <v>0.20993971470629935</v>
      </c>
      <c r="Q457" s="26"/>
      <c r="R457" s="17"/>
      <c r="S457" s="20"/>
      <c r="T457" s="17"/>
      <c r="U457" s="23"/>
    </row>
    <row r="458" spans="1:21" x14ac:dyDescent="0.25">
      <c r="A458" s="24">
        <v>4000</v>
      </c>
      <c r="B458" s="24">
        <v>3</v>
      </c>
      <c r="C458" s="17">
        <v>0.5</v>
      </c>
      <c r="D458" s="24">
        <v>470</v>
      </c>
      <c r="E458" s="24">
        <v>6</v>
      </c>
      <c r="F458" s="25">
        <v>62</v>
      </c>
      <c r="G458" s="1">
        <v>2825</v>
      </c>
      <c r="H458" s="2">
        <v>99.4</v>
      </c>
      <c r="I458" s="2">
        <v>-26.4</v>
      </c>
      <c r="J458" s="2">
        <v>-28</v>
      </c>
      <c r="K458" s="2">
        <f t="shared" si="58"/>
        <v>-26.4</v>
      </c>
      <c r="L458" s="8">
        <f t="shared" si="62"/>
        <v>2.6302679918953618E-13</v>
      </c>
      <c r="M458" s="26">
        <f>SUM(L458:L463)</f>
        <v>1.6274317987651216E-12</v>
      </c>
      <c r="N458" s="17">
        <f>10*LOG10(M458/E458)</f>
        <v>-125.66648452861136</v>
      </c>
      <c r="O458" s="9">
        <f t="shared" si="60"/>
        <v>-28</v>
      </c>
      <c r="P458" s="8">
        <f>D458/B458*10^(O458/10)</f>
        <v>0.24829993348557441</v>
      </c>
      <c r="Q458" s="26">
        <f>SUM(P458:P463)</f>
        <v>1.1352527018968239</v>
      </c>
      <c r="R458" s="17">
        <f>10*LOG10(Q458)</f>
        <v>0.55092544193338933</v>
      </c>
      <c r="S458" s="18">
        <f>F458+N458-Kzt-H</f>
        <v>-63.666484528611363</v>
      </c>
      <c r="T458" s="17">
        <v>0.9</v>
      </c>
      <c r="U458" s="21">
        <f>T458*10^((S458-R458)/10)</f>
        <v>3.4080151160371321E-7</v>
      </c>
    </row>
    <row r="459" spans="1:21" x14ac:dyDescent="0.25">
      <c r="A459" s="24"/>
      <c r="B459" s="24"/>
      <c r="C459" s="17"/>
      <c r="D459" s="24"/>
      <c r="E459" s="24"/>
      <c r="F459" s="25"/>
      <c r="G459" s="1">
        <v>3425</v>
      </c>
      <c r="H459" s="2">
        <v>103.5</v>
      </c>
      <c r="I459" s="2">
        <v>-20</v>
      </c>
      <c r="J459" s="2">
        <v>-30.4</v>
      </c>
      <c r="K459" s="2">
        <f t="shared" si="58"/>
        <v>-20</v>
      </c>
      <c r="L459" s="8">
        <f t="shared" si="62"/>
        <v>4.4668359215096191E-13</v>
      </c>
      <c r="M459" s="26"/>
      <c r="N459" s="17"/>
      <c r="O459" s="9">
        <f t="shared" si="60"/>
        <v>-30.4</v>
      </c>
      <c r="P459" s="8">
        <f>D458/B458*10^(O459/10)</f>
        <v>0.14288169816575902</v>
      </c>
      <c r="Q459" s="26"/>
      <c r="R459" s="17"/>
      <c r="S459" s="19"/>
      <c r="T459" s="17"/>
      <c r="U459" s="22"/>
    </row>
    <row r="460" spans="1:21" x14ac:dyDescent="0.25">
      <c r="A460" s="24"/>
      <c r="B460" s="24"/>
      <c r="C460" s="17"/>
      <c r="D460" s="24"/>
      <c r="E460" s="24"/>
      <c r="F460" s="25"/>
      <c r="G460" s="1">
        <v>4025</v>
      </c>
      <c r="H460" s="2">
        <v>103.6</v>
      </c>
      <c r="I460" s="2">
        <v>-23.7</v>
      </c>
      <c r="J460" s="2">
        <v>-32.1</v>
      </c>
      <c r="K460" s="2">
        <f t="shared" si="58"/>
        <v>-23.7</v>
      </c>
      <c r="L460" s="8">
        <f t="shared" si="62"/>
        <v>1.8620871366628623E-13</v>
      </c>
      <c r="M460" s="26"/>
      <c r="N460" s="17"/>
      <c r="O460" s="9">
        <f t="shared" si="60"/>
        <v>-32.1</v>
      </c>
      <c r="P460" s="8">
        <f>D458/B458*10^(O460/10)</f>
        <v>9.659988362496548E-2</v>
      </c>
      <c r="Q460" s="26"/>
      <c r="R460" s="17"/>
      <c r="S460" s="19"/>
      <c r="T460" s="17"/>
      <c r="U460" s="22"/>
    </row>
    <row r="461" spans="1:21" x14ac:dyDescent="0.25">
      <c r="A461" s="24"/>
      <c r="B461" s="24"/>
      <c r="C461" s="17"/>
      <c r="D461" s="24"/>
      <c r="E461" s="24"/>
      <c r="F461" s="25"/>
      <c r="G461" s="1">
        <v>4625</v>
      </c>
      <c r="H461" s="2">
        <v>105.6</v>
      </c>
      <c r="I461" s="2">
        <v>-22.2</v>
      </c>
      <c r="J461" s="2">
        <v>-32</v>
      </c>
      <c r="K461" s="2">
        <f t="shared" si="58"/>
        <v>-22.2</v>
      </c>
      <c r="L461" s="8">
        <f t="shared" si="62"/>
        <v>1.6595869074375568E-13</v>
      </c>
      <c r="M461" s="26"/>
      <c r="N461" s="17"/>
      <c r="O461" s="9">
        <f t="shared" si="60"/>
        <v>-32</v>
      </c>
      <c r="P461" s="8">
        <f>D458/B458*10^(O461/10)</f>
        <v>9.8849983968563482E-2</v>
      </c>
      <c r="Q461" s="26"/>
      <c r="R461" s="17"/>
      <c r="S461" s="19"/>
      <c r="T461" s="17"/>
      <c r="U461" s="22"/>
    </row>
    <row r="462" spans="1:21" x14ac:dyDescent="0.25">
      <c r="A462" s="24"/>
      <c r="B462" s="24"/>
      <c r="C462" s="17"/>
      <c r="D462" s="24"/>
      <c r="E462" s="24"/>
      <c r="F462" s="25"/>
      <c r="G462" s="1">
        <v>5225</v>
      </c>
      <c r="H462" s="2">
        <v>103.5</v>
      </c>
      <c r="I462" s="2">
        <v>-22.8</v>
      </c>
      <c r="J462" s="2">
        <v>-29.8</v>
      </c>
      <c r="K462" s="2">
        <f t="shared" si="58"/>
        <v>-22.8</v>
      </c>
      <c r="L462" s="8">
        <f t="shared" si="62"/>
        <v>2.3442288153199217E-13</v>
      </c>
      <c r="M462" s="26"/>
      <c r="N462" s="17"/>
      <c r="O462" s="9">
        <f t="shared" si="60"/>
        <v>-29.8</v>
      </c>
      <c r="P462" s="8">
        <f>D458/B458*10^(O462/10)</f>
        <v>0.16405013919464079</v>
      </c>
      <c r="Q462" s="26"/>
      <c r="R462" s="17"/>
      <c r="S462" s="19"/>
      <c r="T462" s="17"/>
      <c r="U462" s="22"/>
    </row>
    <row r="463" spans="1:21" x14ac:dyDescent="0.25">
      <c r="A463" s="24"/>
      <c r="B463" s="24"/>
      <c r="C463" s="17"/>
      <c r="D463" s="24"/>
      <c r="E463" s="24"/>
      <c r="F463" s="25"/>
      <c r="G463" s="1">
        <v>5625</v>
      </c>
      <c r="H463" s="2">
        <v>99.5</v>
      </c>
      <c r="I463" s="2">
        <v>-25.3</v>
      </c>
      <c r="J463" s="2">
        <v>-26.1</v>
      </c>
      <c r="K463" s="2">
        <f t="shared" si="58"/>
        <v>-25.3</v>
      </c>
      <c r="L463" s="8">
        <f t="shared" si="62"/>
        <v>3.311311214825894E-13</v>
      </c>
      <c r="M463" s="26"/>
      <c r="N463" s="17"/>
      <c r="O463" s="9">
        <f t="shared" si="60"/>
        <v>-26.1</v>
      </c>
      <c r="P463" s="8">
        <f>D458/B458*10^(O463/10)</f>
        <v>0.38457106345732078</v>
      </c>
      <c r="Q463" s="26"/>
      <c r="R463" s="17"/>
      <c r="S463" s="20"/>
      <c r="T463" s="17"/>
      <c r="U463" s="23"/>
    </row>
    <row r="464" spans="1:21" x14ac:dyDescent="0.25">
      <c r="A464" s="24">
        <v>8000</v>
      </c>
      <c r="B464" s="24">
        <v>3</v>
      </c>
      <c r="C464" s="17">
        <v>0.5</v>
      </c>
      <c r="D464" s="24">
        <v>943</v>
      </c>
      <c r="E464" s="24">
        <v>6</v>
      </c>
      <c r="F464" s="25">
        <v>54</v>
      </c>
      <c r="G464" s="1">
        <v>6025</v>
      </c>
      <c r="H464" s="2">
        <v>95</v>
      </c>
      <c r="I464" s="2">
        <v>-25.3</v>
      </c>
      <c r="J464" s="2">
        <v>-27.8</v>
      </c>
      <c r="K464" s="2">
        <f t="shared" si="58"/>
        <v>-25.3</v>
      </c>
      <c r="L464" s="8">
        <f t="shared" si="62"/>
        <v>9.3325430079698887E-13</v>
      </c>
      <c r="M464" s="26">
        <f>SUM(L464:L469)</f>
        <v>2.2110162304968158E-11</v>
      </c>
      <c r="N464" s="17">
        <f>10*LOG10(M464/E464)</f>
        <v>-114.33559319750053</v>
      </c>
      <c r="O464" s="9">
        <f t="shared" si="60"/>
        <v>-27.8</v>
      </c>
      <c r="P464" s="8">
        <f>D464/B464*10^(O464/10)</f>
        <v>0.52166348457120604</v>
      </c>
      <c r="Q464" s="26">
        <f>SUM(P464:P469)</f>
        <v>3.1649364267428117</v>
      </c>
      <c r="R464" s="17">
        <f>10*LOG10(Q464)</f>
        <v>5.0036499088036157</v>
      </c>
      <c r="S464" s="18">
        <f>F464+N464-Kzt-H</f>
        <v>-60.335593197500529</v>
      </c>
      <c r="T464" s="17">
        <v>0.7</v>
      </c>
      <c r="U464" s="21">
        <f>T464*10^((S464-R464)/10)</f>
        <v>2.047263432957103E-7</v>
      </c>
    </row>
    <row r="465" spans="1:21" x14ac:dyDescent="0.25">
      <c r="A465" s="24"/>
      <c r="B465" s="24"/>
      <c r="C465" s="17"/>
      <c r="D465" s="24"/>
      <c r="E465" s="24"/>
      <c r="F465" s="25"/>
      <c r="G465" s="1">
        <v>7025</v>
      </c>
      <c r="H465" s="2">
        <v>94.8</v>
      </c>
      <c r="I465" s="2">
        <v>-22.6</v>
      </c>
      <c r="J465" s="2">
        <v>-24.8</v>
      </c>
      <c r="K465" s="2">
        <f t="shared" si="58"/>
        <v>-22.6</v>
      </c>
      <c r="L465" s="8">
        <f t="shared" si="62"/>
        <v>1.8197008586099809E-12</v>
      </c>
      <c r="M465" s="26"/>
      <c r="N465" s="17"/>
      <c r="O465" s="9">
        <f t="shared" si="60"/>
        <v>-24.8</v>
      </c>
      <c r="P465" s="8">
        <f>D464/B464*10^(O465/10)</f>
        <v>1.0408554918602777</v>
      </c>
      <c r="Q465" s="26"/>
      <c r="R465" s="17"/>
      <c r="S465" s="19"/>
      <c r="T465" s="17"/>
      <c r="U465" s="22"/>
    </row>
    <row r="466" spans="1:21" x14ac:dyDescent="0.25">
      <c r="A466" s="24"/>
      <c r="B466" s="24"/>
      <c r="C466" s="17"/>
      <c r="D466" s="24"/>
      <c r="E466" s="24"/>
      <c r="F466" s="25"/>
      <c r="G466" s="1">
        <v>8025</v>
      </c>
      <c r="H466" s="2">
        <v>101.9</v>
      </c>
      <c r="I466" s="2">
        <v>-26.5</v>
      </c>
      <c r="J466" s="2">
        <v>-26.5</v>
      </c>
      <c r="K466" s="2">
        <f t="shared" si="58"/>
        <v>-26.5</v>
      </c>
      <c r="L466" s="8">
        <f t="shared" si="62"/>
        <v>1.4454397707459251E-13</v>
      </c>
      <c r="M466" s="26"/>
      <c r="N466" s="17"/>
      <c r="O466" s="9">
        <f t="shared" si="60"/>
        <v>-26.5</v>
      </c>
      <c r="P466" s="8">
        <f>D464/B464*10^(O466/10)</f>
        <v>0.70370467788998103</v>
      </c>
      <c r="Q466" s="26"/>
      <c r="R466" s="17"/>
      <c r="S466" s="19"/>
      <c r="T466" s="17"/>
      <c r="U466" s="22"/>
    </row>
    <row r="467" spans="1:21" x14ac:dyDescent="0.25">
      <c r="A467" s="24"/>
      <c r="B467" s="24"/>
      <c r="C467" s="17"/>
      <c r="D467" s="24"/>
      <c r="E467" s="24"/>
      <c r="F467" s="25"/>
      <c r="G467" s="1">
        <v>9025</v>
      </c>
      <c r="H467" s="2">
        <v>93.2</v>
      </c>
      <c r="I467" s="2">
        <v>-24.2</v>
      </c>
      <c r="J467" s="2">
        <v>-31.4</v>
      </c>
      <c r="K467" s="2">
        <f t="shared" si="58"/>
        <v>-24.2</v>
      </c>
      <c r="L467" s="8">
        <f t="shared" si="62"/>
        <v>1.8197008586099809E-12</v>
      </c>
      <c r="M467" s="26"/>
      <c r="N467" s="17"/>
      <c r="O467" s="9">
        <f t="shared" si="60"/>
        <v>-31.4</v>
      </c>
      <c r="P467" s="8">
        <f>D464/B464*10^(O467/10)</f>
        <v>0.22771437011690512</v>
      </c>
      <c r="Q467" s="26"/>
      <c r="R467" s="17"/>
      <c r="S467" s="19"/>
      <c r="T467" s="17"/>
      <c r="U467" s="22"/>
    </row>
    <row r="468" spans="1:21" x14ac:dyDescent="0.25">
      <c r="A468" s="24"/>
      <c r="B468" s="24"/>
      <c r="C468" s="17"/>
      <c r="D468" s="24"/>
      <c r="E468" s="24"/>
      <c r="F468" s="25"/>
      <c r="G468" s="1">
        <v>10025</v>
      </c>
      <c r="H468" s="2">
        <v>88.3</v>
      </c>
      <c r="I468" s="2">
        <v>-24.4</v>
      </c>
      <c r="J468" s="2">
        <v>-32.9</v>
      </c>
      <c r="K468" s="2">
        <f t="shared" si="58"/>
        <v>-24.4</v>
      </c>
      <c r="L468" s="8">
        <f t="shared" si="62"/>
        <v>5.3703179637025143E-12</v>
      </c>
      <c r="M468" s="26"/>
      <c r="N468" s="17"/>
      <c r="O468" s="9">
        <f t="shared" si="60"/>
        <v>-32.9</v>
      </c>
      <c r="P468" s="8">
        <f>D464/B464*10^(O468/10)</f>
        <v>0.16120942836795227</v>
      </c>
      <c r="Q468" s="26"/>
      <c r="R468" s="17"/>
      <c r="S468" s="19"/>
      <c r="T468" s="17"/>
      <c r="U468" s="22"/>
    </row>
    <row r="469" spans="1:21" x14ac:dyDescent="0.25">
      <c r="A469" s="24"/>
      <c r="B469" s="24"/>
      <c r="C469" s="17"/>
      <c r="D469" s="24"/>
      <c r="E469" s="24"/>
      <c r="F469" s="25"/>
      <c r="G469" s="1">
        <v>11025</v>
      </c>
      <c r="H469" s="2">
        <v>86</v>
      </c>
      <c r="I469" s="2">
        <v>-23.2</v>
      </c>
      <c r="J469" s="2">
        <v>-27.9</v>
      </c>
      <c r="K469" s="2">
        <f t="shared" si="58"/>
        <v>-23.2</v>
      </c>
      <c r="L469" s="8">
        <f t="shared" si="62"/>
        <v>1.2022644346174101E-11</v>
      </c>
      <c r="M469" s="26"/>
      <c r="N469" s="17"/>
      <c r="O469" s="9">
        <f t="shared" si="60"/>
        <v>-27.9</v>
      </c>
      <c r="P469" s="8">
        <f>D464/B464*10^(O469/10)</f>
        <v>0.50978897393648981</v>
      </c>
      <c r="Q469" s="26"/>
      <c r="R469" s="17"/>
      <c r="S469" s="20"/>
      <c r="T469" s="17"/>
      <c r="U469" s="23"/>
    </row>
    <row r="470" spans="1:21" x14ac:dyDescent="0.25">
      <c r="A470" s="24" t="s">
        <v>20</v>
      </c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12">
        <f>U470</f>
        <v>6.5732882334088194E-2</v>
      </c>
      <c r="T470" s="2"/>
      <c r="U470" s="8">
        <f>0.8*SQRT(SUM(U436:U469))</f>
        <v>6.5732882334088194E-2</v>
      </c>
    </row>
    <row r="471" spans="1:21" x14ac:dyDescent="0.25">
      <c r="A471" s="27" t="s">
        <v>65</v>
      </c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9"/>
    </row>
    <row r="472" spans="1:21" x14ac:dyDescent="0.25">
      <c r="A472" s="24">
        <v>250</v>
      </c>
      <c r="B472" s="24">
        <v>3</v>
      </c>
      <c r="C472" s="17">
        <v>0.5</v>
      </c>
      <c r="D472" s="24">
        <v>38</v>
      </c>
      <c r="E472" s="24">
        <v>4</v>
      </c>
      <c r="F472" s="25">
        <v>84</v>
      </c>
      <c r="G472" s="1">
        <v>175</v>
      </c>
      <c r="H472" s="2">
        <v>84.8</v>
      </c>
      <c r="I472" s="2">
        <v>-18.899999999999999</v>
      </c>
      <c r="J472" s="2">
        <v>-23.5</v>
      </c>
      <c r="K472" s="2">
        <f>I472</f>
        <v>-18.899999999999999</v>
      </c>
      <c r="L472" s="8">
        <f>10^((K472-H472)/10)</f>
        <v>4.2657951880159247E-11</v>
      </c>
      <c r="M472" s="26">
        <f>SUM(L472:L475)</f>
        <v>5.9270665703566427E-11</v>
      </c>
      <c r="N472" s="17">
        <f>10*LOG10(M472/E472)</f>
        <v>-108.29220186245821</v>
      </c>
      <c r="O472" s="9">
        <f>J472</f>
        <v>-23.5</v>
      </c>
      <c r="P472" s="8">
        <f>D472/B472*10^(O472/10)</f>
        <v>5.6579921672455284E-2</v>
      </c>
      <c r="Q472" s="26">
        <f>SUM(P472:P475)</f>
        <v>0.13696298837338397</v>
      </c>
      <c r="R472" s="17">
        <f>10*LOG10(Q472)</f>
        <v>-8.63396776762192</v>
      </c>
      <c r="S472" s="18">
        <f>F472+N472-Kzt-H</f>
        <v>-24.292201862458214</v>
      </c>
      <c r="T472" s="17">
        <v>0.2</v>
      </c>
      <c r="U472" s="21">
        <f>T472*10^((S472-R472)/10)</f>
        <v>5.435088075088349E-3</v>
      </c>
    </row>
    <row r="473" spans="1:21" x14ac:dyDescent="0.25">
      <c r="A473" s="24"/>
      <c r="B473" s="24"/>
      <c r="C473" s="17"/>
      <c r="D473" s="24"/>
      <c r="E473" s="24"/>
      <c r="F473" s="25"/>
      <c r="G473" s="1">
        <v>225</v>
      </c>
      <c r="H473" s="2">
        <v>90</v>
      </c>
      <c r="I473" s="2">
        <v>-21.9</v>
      </c>
      <c r="J473" s="2">
        <v>-26.2</v>
      </c>
      <c r="K473" s="2">
        <f t="shared" ref="K473:K505" si="63">I473</f>
        <v>-21.9</v>
      </c>
      <c r="L473" s="8">
        <f t="shared" ref="L473:L474" si="64">10^((K473-H473)/10)</f>
        <v>6.4565422903465118E-12</v>
      </c>
      <c r="M473" s="26"/>
      <c r="N473" s="17"/>
      <c r="O473" s="9">
        <f t="shared" ref="O473:O505" si="65">J473</f>
        <v>-26.2</v>
      </c>
      <c r="P473" s="8">
        <f>D472/B472*10^(O473/10)</f>
        <v>3.0385216974246853E-2</v>
      </c>
      <c r="Q473" s="26"/>
      <c r="R473" s="17"/>
      <c r="S473" s="19"/>
      <c r="T473" s="17"/>
      <c r="U473" s="22"/>
    </row>
    <row r="474" spans="1:21" x14ac:dyDescent="0.25">
      <c r="A474" s="24"/>
      <c r="B474" s="24"/>
      <c r="C474" s="17"/>
      <c r="D474" s="24"/>
      <c r="E474" s="24"/>
      <c r="F474" s="25"/>
      <c r="G474" s="1">
        <v>275</v>
      </c>
      <c r="H474" s="2">
        <v>92.2</v>
      </c>
      <c r="I474" s="2">
        <v>-19</v>
      </c>
      <c r="J474" s="2">
        <v>-26.9</v>
      </c>
      <c r="K474" s="2">
        <f t="shared" si="63"/>
        <v>-19</v>
      </c>
      <c r="L474" s="8">
        <f t="shared" si="64"/>
        <v>7.5857757502918081E-12</v>
      </c>
      <c r="M474" s="26"/>
      <c r="N474" s="17"/>
      <c r="O474" s="9">
        <f t="shared" si="65"/>
        <v>-26.9</v>
      </c>
      <c r="P474" s="8">
        <f>D472/B472*10^(O474/10)</f>
        <v>2.5862013965814036E-2</v>
      </c>
      <c r="Q474" s="26"/>
      <c r="R474" s="17"/>
      <c r="S474" s="19"/>
      <c r="T474" s="17"/>
      <c r="U474" s="22"/>
    </row>
    <row r="475" spans="1:21" x14ac:dyDescent="0.25">
      <c r="A475" s="24"/>
      <c r="B475" s="24"/>
      <c r="C475" s="17"/>
      <c r="D475" s="24"/>
      <c r="E475" s="24"/>
      <c r="F475" s="25"/>
      <c r="G475" s="1">
        <v>325</v>
      </c>
      <c r="H475" s="2">
        <v>93.3</v>
      </c>
      <c r="I475" s="2">
        <v>-22.6</v>
      </c>
      <c r="J475" s="2">
        <v>-27.2</v>
      </c>
      <c r="K475" s="2">
        <f t="shared" si="63"/>
        <v>-22.6</v>
      </c>
      <c r="L475" s="8">
        <f>10^((K475-H475)/10)</f>
        <v>2.5703957827688561E-12</v>
      </c>
      <c r="M475" s="26"/>
      <c r="N475" s="17"/>
      <c r="O475" s="9">
        <f t="shared" si="65"/>
        <v>-27.2</v>
      </c>
      <c r="P475" s="8">
        <f>D472/B472*10^(O475/10)</f>
        <v>2.4135835760867801E-2</v>
      </c>
      <c r="Q475" s="26"/>
      <c r="R475" s="17"/>
      <c r="S475" s="20"/>
      <c r="T475" s="17"/>
      <c r="U475" s="23"/>
    </row>
    <row r="476" spans="1:21" x14ac:dyDescent="0.25">
      <c r="A476" s="24">
        <v>500</v>
      </c>
      <c r="B476" s="24">
        <v>3</v>
      </c>
      <c r="C476" s="17">
        <v>0.5</v>
      </c>
      <c r="D476" s="24">
        <v>59</v>
      </c>
      <c r="E476" s="24">
        <v>6</v>
      </c>
      <c r="F476" s="25">
        <v>84</v>
      </c>
      <c r="G476" s="1">
        <v>375</v>
      </c>
      <c r="H476" s="2">
        <v>91.9</v>
      </c>
      <c r="I476" s="2">
        <v>-23.1</v>
      </c>
      <c r="J476" s="2">
        <v>-26.6</v>
      </c>
      <c r="K476" s="2">
        <f t="shared" si="63"/>
        <v>-23.1</v>
      </c>
      <c r="L476" s="8">
        <f t="shared" ref="L476:L477" si="66">10^((K476-H476)/10)</f>
        <v>3.1622776601683669E-12</v>
      </c>
      <c r="M476" s="26">
        <f>SUM(L476:L481)</f>
        <v>3.5706274194042199E-11</v>
      </c>
      <c r="N476" s="17">
        <f>10*LOG10(M476/E476)</f>
        <v>-112.25406714707415</v>
      </c>
      <c r="O476" s="9">
        <f t="shared" si="65"/>
        <v>-26.6</v>
      </c>
      <c r="P476" s="8">
        <f>D476/B476*10^(O476/10)</f>
        <v>4.3025978604341153E-2</v>
      </c>
      <c r="Q476" s="26">
        <f>SUM(P476:P481)</f>
        <v>0.21494358726787807</v>
      </c>
      <c r="R476" s="17">
        <f>10*LOG10(Q476)</f>
        <v>-6.6767550730770377</v>
      </c>
      <c r="S476" s="18">
        <f>F476+N476-Kzt-H</f>
        <v>-28.254067147074153</v>
      </c>
      <c r="T476" s="17">
        <v>0.5</v>
      </c>
      <c r="U476" s="21">
        <f>T476*10^((S476-R476)/10)</f>
        <v>3.4772730683980601E-3</v>
      </c>
    </row>
    <row r="477" spans="1:21" x14ac:dyDescent="0.25">
      <c r="A477" s="24"/>
      <c r="B477" s="24"/>
      <c r="C477" s="17"/>
      <c r="D477" s="24"/>
      <c r="E477" s="24"/>
      <c r="F477" s="25"/>
      <c r="G477" s="1">
        <v>425</v>
      </c>
      <c r="H477" s="2">
        <v>88.1</v>
      </c>
      <c r="I477" s="2">
        <v>-21</v>
      </c>
      <c r="J477" s="2">
        <v>-27.9</v>
      </c>
      <c r="K477" s="2">
        <f t="shared" si="63"/>
        <v>-21</v>
      </c>
      <c r="L477" s="8">
        <f t="shared" si="66"/>
        <v>1.2302687708123787E-11</v>
      </c>
      <c r="M477" s="26"/>
      <c r="N477" s="17"/>
      <c r="O477" s="9">
        <f t="shared" si="65"/>
        <v>-27.9</v>
      </c>
      <c r="P477" s="8">
        <f>D476/B476*10^(O477/10)</f>
        <v>3.1895598581392258E-2</v>
      </c>
      <c r="Q477" s="26"/>
      <c r="R477" s="17"/>
      <c r="S477" s="19"/>
      <c r="T477" s="17"/>
      <c r="U477" s="22"/>
    </row>
    <row r="478" spans="1:21" x14ac:dyDescent="0.25">
      <c r="A478" s="24"/>
      <c r="B478" s="24"/>
      <c r="C478" s="17"/>
      <c r="D478" s="24"/>
      <c r="E478" s="24"/>
      <c r="F478" s="25"/>
      <c r="G478" s="1">
        <v>475</v>
      </c>
      <c r="H478" s="2">
        <v>90</v>
      </c>
      <c r="I478" s="2">
        <v>-22.8</v>
      </c>
      <c r="J478" s="2">
        <v>-26.9</v>
      </c>
      <c r="K478" s="2">
        <f t="shared" si="63"/>
        <v>-22.8</v>
      </c>
      <c r="L478" s="8">
        <f>10^((K478-H478)/10)</f>
        <v>5.2480746024977136E-12</v>
      </c>
      <c r="M478" s="26"/>
      <c r="N478" s="17"/>
      <c r="O478" s="9">
        <f t="shared" si="65"/>
        <v>-26.9</v>
      </c>
      <c r="P478" s="8">
        <f>D476/B476*10^(O478/10)</f>
        <v>4.0154179578500745E-2</v>
      </c>
      <c r="Q478" s="26"/>
      <c r="R478" s="17"/>
      <c r="S478" s="19"/>
      <c r="T478" s="17"/>
      <c r="U478" s="22"/>
    </row>
    <row r="479" spans="1:21" x14ac:dyDescent="0.25">
      <c r="A479" s="24"/>
      <c r="B479" s="24"/>
      <c r="C479" s="17"/>
      <c r="D479" s="24"/>
      <c r="E479" s="24"/>
      <c r="F479" s="25"/>
      <c r="G479" s="1">
        <v>575</v>
      </c>
      <c r="H479" s="2">
        <v>97</v>
      </c>
      <c r="I479" s="2">
        <v>-18.899999999999999</v>
      </c>
      <c r="J479" s="2">
        <v>-26.4</v>
      </c>
      <c r="K479" s="2">
        <f t="shared" si="63"/>
        <v>-18.899999999999999</v>
      </c>
      <c r="L479" s="8">
        <f t="shared" ref="L479:L505" si="67">10^((K479-H479)/10)</f>
        <v>2.5703957827688561E-12</v>
      </c>
      <c r="M479" s="26"/>
      <c r="N479" s="17"/>
      <c r="O479" s="9">
        <f t="shared" si="65"/>
        <v>-26.4</v>
      </c>
      <c r="P479" s="8">
        <f>D476/B476*10^(O479/10)</f>
        <v>4.5053730504432885E-2</v>
      </c>
      <c r="Q479" s="26"/>
      <c r="R479" s="17"/>
      <c r="S479" s="19"/>
      <c r="T479" s="17"/>
      <c r="U479" s="22"/>
    </row>
    <row r="480" spans="1:21" x14ac:dyDescent="0.25">
      <c r="A480" s="24"/>
      <c r="B480" s="24"/>
      <c r="C480" s="17"/>
      <c r="D480" s="24"/>
      <c r="E480" s="24"/>
      <c r="F480" s="25"/>
      <c r="G480" s="1">
        <v>625</v>
      </c>
      <c r="H480" s="2">
        <v>92</v>
      </c>
      <c r="I480" s="2">
        <v>-18.3</v>
      </c>
      <c r="J480" s="2">
        <v>-28</v>
      </c>
      <c r="K480" s="2">
        <f t="shared" si="63"/>
        <v>-18.3</v>
      </c>
      <c r="L480" s="8">
        <f t="shared" si="67"/>
        <v>9.3325430079698992E-12</v>
      </c>
      <c r="M480" s="26"/>
      <c r="N480" s="17"/>
      <c r="O480" s="9">
        <f t="shared" si="65"/>
        <v>-28</v>
      </c>
      <c r="P480" s="8">
        <f>D476/B476*10^(O480/10)</f>
        <v>3.1169566118401899E-2</v>
      </c>
      <c r="Q480" s="26"/>
      <c r="R480" s="17"/>
      <c r="S480" s="19"/>
      <c r="T480" s="17"/>
      <c r="U480" s="22"/>
    </row>
    <row r="481" spans="1:21" x14ac:dyDescent="0.25">
      <c r="A481" s="24"/>
      <c r="B481" s="24"/>
      <c r="C481" s="17"/>
      <c r="D481" s="24"/>
      <c r="E481" s="24"/>
      <c r="F481" s="25"/>
      <c r="G481" s="1">
        <v>675</v>
      </c>
      <c r="H481" s="2">
        <v>94.5</v>
      </c>
      <c r="I481" s="2">
        <v>-20.6</v>
      </c>
      <c r="J481" s="2">
        <v>-29.2</v>
      </c>
      <c r="K481" s="2">
        <f t="shared" si="63"/>
        <v>-20.6</v>
      </c>
      <c r="L481" s="8">
        <f t="shared" si="67"/>
        <v>3.0902954325135792E-12</v>
      </c>
      <c r="M481" s="26"/>
      <c r="N481" s="17"/>
      <c r="O481" s="9">
        <f t="shared" si="65"/>
        <v>-29.2</v>
      </c>
      <c r="P481" s="8">
        <f>D476/B476*10^(O481/10)</f>
        <v>2.3644533880809112E-2</v>
      </c>
      <c r="Q481" s="26"/>
      <c r="R481" s="17"/>
      <c r="S481" s="20"/>
      <c r="T481" s="17"/>
      <c r="U481" s="23"/>
    </row>
    <row r="482" spans="1:21" x14ac:dyDescent="0.25">
      <c r="A482" s="24">
        <v>1000</v>
      </c>
      <c r="B482" s="24">
        <v>3</v>
      </c>
      <c r="C482" s="17">
        <v>0.5</v>
      </c>
      <c r="D482" s="24">
        <v>117</v>
      </c>
      <c r="E482" s="24">
        <v>6</v>
      </c>
      <c r="F482" s="25">
        <v>76</v>
      </c>
      <c r="G482" s="1">
        <v>875</v>
      </c>
      <c r="H482" s="2">
        <v>91.1</v>
      </c>
      <c r="I482" s="2">
        <v>-20.7</v>
      </c>
      <c r="J482" s="2">
        <v>-25.9</v>
      </c>
      <c r="K482" s="2">
        <f t="shared" si="63"/>
        <v>-20.7</v>
      </c>
      <c r="L482" s="8">
        <f t="shared" si="67"/>
        <v>6.6069344800759387E-12</v>
      </c>
      <c r="M482" s="26">
        <f>SUM(L482:L487)</f>
        <v>1.1078645765430242E-11</v>
      </c>
      <c r="N482" s="17">
        <f>10*LOG10(M482/E482)</f>
        <v>-117.33664574156015</v>
      </c>
      <c r="O482" s="9">
        <f t="shared" si="65"/>
        <v>-25.9</v>
      </c>
      <c r="P482" s="8">
        <f>D482/B482*10^(O482/10)</f>
        <v>0.10024543552798568</v>
      </c>
      <c r="Q482" s="26">
        <f>SUM(P482:P487)</f>
        <v>0.54693527244444018</v>
      </c>
      <c r="R482" s="17">
        <f>10*LOG10(Q482)</f>
        <v>-2.6206406760357375</v>
      </c>
      <c r="S482" s="18">
        <f>F482+N482-Kzt-H</f>
        <v>-41.336645741560147</v>
      </c>
      <c r="T482" s="17">
        <v>0.8</v>
      </c>
      <c r="U482" s="21">
        <f>T482*10^((S482-R482)/10)</f>
        <v>1.0752005563724652E-4</v>
      </c>
    </row>
    <row r="483" spans="1:21" x14ac:dyDescent="0.25">
      <c r="A483" s="24"/>
      <c r="B483" s="24"/>
      <c r="C483" s="17"/>
      <c r="D483" s="24"/>
      <c r="E483" s="24"/>
      <c r="F483" s="25"/>
      <c r="G483" s="1">
        <v>975</v>
      </c>
      <c r="H483" s="2">
        <v>96.5</v>
      </c>
      <c r="I483" s="2">
        <v>-20.8</v>
      </c>
      <c r="J483" s="2">
        <v>-26.1</v>
      </c>
      <c r="K483" s="2">
        <f t="shared" si="63"/>
        <v>-20.8</v>
      </c>
      <c r="L483" s="8">
        <f t="shared" si="67"/>
        <v>1.8620871366628578E-12</v>
      </c>
      <c r="M483" s="26"/>
      <c r="N483" s="17"/>
      <c r="O483" s="9">
        <f t="shared" si="65"/>
        <v>-26.1</v>
      </c>
      <c r="P483" s="8">
        <f>D482/B482*10^(O483/10)</f>
        <v>9.5733647711716024E-2</v>
      </c>
      <c r="Q483" s="26"/>
      <c r="R483" s="17"/>
      <c r="S483" s="19"/>
      <c r="T483" s="17"/>
      <c r="U483" s="22"/>
    </row>
    <row r="484" spans="1:21" x14ac:dyDescent="0.25">
      <c r="A484" s="24"/>
      <c r="B484" s="24"/>
      <c r="C484" s="17"/>
      <c r="D484" s="24"/>
      <c r="E484" s="24"/>
      <c r="F484" s="25"/>
      <c r="G484" s="1">
        <v>1075</v>
      </c>
      <c r="H484" s="2">
        <v>94.6</v>
      </c>
      <c r="I484" s="2">
        <v>-24</v>
      </c>
      <c r="J484" s="2">
        <v>-33</v>
      </c>
      <c r="K484" s="2">
        <f t="shared" si="63"/>
        <v>-24</v>
      </c>
      <c r="L484" s="8">
        <f t="shared" si="67"/>
        <v>1.3803842646028842E-12</v>
      </c>
      <c r="M484" s="26"/>
      <c r="N484" s="17"/>
      <c r="O484" s="9">
        <f t="shared" si="65"/>
        <v>-33</v>
      </c>
      <c r="P484" s="8">
        <f>D482/B482*10^(O484/10)</f>
        <v>1.9546302111463611E-2</v>
      </c>
      <c r="Q484" s="26"/>
      <c r="R484" s="17"/>
      <c r="S484" s="19"/>
      <c r="T484" s="17"/>
      <c r="U484" s="22"/>
    </row>
    <row r="485" spans="1:21" x14ac:dyDescent="0.25">
      <c r="A485" s="24"/>
      <c r="B485" s="24"/>
      <c r="C485" s="17"/>
      <c r="D485" s="24"/>
      <c r="E485" s="24"/>
      <c r="F485" s="25"/>
      <c r="G485" s="1">
        <v>1175</v>
      </c>
      <c r="H485" s="2">
        <v>97.8</v>
      </c>
      <c r="I485" s="2">
        <v>-23.5</v>
      </c>
      <c r="J485" s="2">
        <v>-24.7</v>
      </c>
      <c r="K485" s="2">
        <f t="shared" si="63"/>
        <v>-23.5</v>
      </c>
      <c r="L485" s="8">
        <f t="shared" si="67"/>
        <v>7.4131024130091646E-13</v>
      </c>
      <c r="M485" s="26"/>
      <c r="N485" s="17"/>
      <c r="O485" s="9">
        <f t="shared" si="65"/>
        <v>-24.7</v>
      </c>
      <c r="P485" s="8">
        <f>D482/B482*10^(O485/10)</f>
        <v>0.13214922089428893</v>
      </c>
      <c r="Q485" s="26"/>
      <c r="R485" s="17"/>
      <c r="S485" s="19"/>
      <c r="T485" s="17"/>
      <c r="U485" s="22"/>
    </row>
    <row r="486" spans="1:21" x14ac:dyDescent="0.25">
      <c r="A486" s="24"/>
      <c r="B486" s="24"/>
      <c r="C486" s="17"/>
      <c r="D486" s="24"/>
      <c r="E486" s="24"/>
      <c r="F486" s="25"/>
      <c r="G486" s="1">
        <v>1275</v>
      </c>
      <c r="H486" s="2">
        <v>100.1</v>
      </c>
      <c r="I486" s="2">
        <v>-26.5</v>
      </c>
      <c r="J486" s="2">
        <v>-26.8</v>
      </c>
      <c r="K486" s="2">
        <f t="shared" si="63"/>
        <v>-26.5</v>
      </c>
      <c r="L486" s="8">
        <f t="shared" si="67"/>
        <v>2.1877616239495453E-13</v>
      </c>
      <c r="M486" s="26"/>
      <c r="N486" s="17"/>
      <c r="O486" s="9">
        <f t="shared" si="65"/>
        <v>-26.8</v>
      </c>
      <c r="P486" s="8">
        <f>D482/B482*10^(O486/10)</f>
        <v>8.1482549103307447E-2</v>
      </c>
      <c r="Q486" s="26"/>
      <c r="R486" s="17"/>
      <c r="S486" s="19"/>
      <c r="T486" s="17"/>
      <c r="U486" s="22"/>
    </row>
    <row r="487" spans="1:21" x14ac:dyDescent="0.25">
      <c r="A487" s="24"/>
      <c r="B487" s="24"/>
      <c r="C487" s="17"/>
      <c r="D487" s="24"/>
      <c r="E487" s="24"/>
      <c r="F487" s="25"/>
      <c r="G487" s="1">
        <v>1375</v>
      </c>
      <c r="H487" s="2">
        <v>103</v>
      </c>
      <c r="I487" s="2">
        <v>-22.7</v>
      </c>
      <c r="J487" s="2">
        <v>-25.2</v>
      </c>
      <c r="K487" s="2">
        <f t="shared" si="63"/>
        <v>-22.7</v>
      </c>
      <c r="L487" s="8">
        <f t="shared" si="67"/>
        <v>2.6915348039269041E-13</v>
      </c>
      <c r="M487" s="26"/>
      <c r="N487" s="17"/>
      <c r="O487" s="9">
        <f t="shared" si="65"/>
        <v>-25.2</v>
      </c>
      <c r="P487" s="8">
        <f>D482/B482*10^(O487/10)</f>
        <v>0.11777811709567852</v>
      </c>
      <c r="Q487" s="26"/>
      <c r="R487" s="17"/>
      <c r="S487" s="20"/>
      <c r="T487" s="17"/>
      <c r="U487" s="23"/>
    </row>
    <row r="488" spans="1:21" x14ac:dyDescent="0.25">
      <c r="A488" s="24">
        <v>2000</v>
      </c>
      <c r="B488" s="24">
        <v>3</v>
      </c>
      <c r="C488" s="17">
        <v>0.5</v>
      </c>
      <c r="D488" s="24">
        <v>234</v>
      </c>
      <c r="E488" s="24">
        <v>6</v>
      </c>
      <c r="F488" s="25">
        <v>68</v>
      </c>
      <c r="G488" s="1">
        <v>1425</v>
      </c>
      <c r="H488" s="2">
        <v>102.8</v>
      </c>
      <c r="I488" s="2">
        <v>-24.2</v>
      </c>
      <c r="J488" s="2">
        <v>-29</v>
      </c>
      <c r="K488" s="2">
        <f t="shared" si="63"/>
        <v>-24.2</v>
      </c>
      <c r="L488" s="8">
        <f t="shared" si="67"/>
        <v>1.9952623149688807E-13</v>
      </c>
      <c r="M488" s="26">
        <f>SUM(L488:L493)</f>
        <v>4.8332915523595711E-12</v>
      </c>
      <c r="N488" s="17">
        <f>10*LOG10(M488/E488)</f>
        <v>-120.93908257073458</v>
      </c>
      <c r="O488" s="9">
        <f t="shared" si="65"/>
        <v>-29</v>
      </c>
      <c r="P488" s="8">
        <f>D488/B488*10^(O488/10)</f>
        <v>9.8196182119944964E-2</v>
      </c>
      <c r="Q488" s="26">
        <f>SUM(P488:P493)</f>
        <v>1.2647352058739736</v>
      </c>
      <c r="R488" s="17">
        <f>10*LOG10(Q488)</f>
        <v>1.0199960798977621</v>
      </c>
      <c r="S488" s="18">
        <f>F488+N488-Kzt-H</f>
        <v>-52.939082570734584</v>
      </c>
      <c r="T488" s="17">
        <v>1</v>
      </c>
      <c r="U488" s="21">
        <f>T488*10^((S488-R488)/10)</f>
        <v>4.0187605922194711E-6</v>
      </c>
    </row>
    <row r="489" spans="1:21" x14ac:dyDescent="0.25">
      <c r="A489" s="24"/>
      <c r="B489" s="24"/>
      <c r="C489" s="17"/>
      <c r="D489" s="24"/>
      <c r="E489" s="24"/>
      <c r="F489" s="25"/>
      <c r="G489" s="1">
        <v>1625</v>
      </c>
      <c r="H489" s="2">
        <v>104.1</v>
      </c>
      <c r="I489" s="2">
        <v>-22.1</v>
      </c>
      <c r="J489" s="2">
        <v>-25.7</v>
      </c>
      <c r="K489" s="2">
        <f t="shared" si="63"/>
        <v>-22.1</v>
      </c>
      <c r="L489" s="8">
        <f t="shared" si="67"/>
        <v>2.3988329190194898E-13</v>
      </c>
      <c r="M489" s="26"/>
      <c r="N489" s="17"/>
      <c r="O489" s="9">
        <f t="shared" si="65"/>
        <v>-25.7</v>
      </c>
      <c r="P489" s="8">
        <f>D488/B488*10^(O489/10)</f>
        <v>0.20993971470629935</v>
      </c>
      <c r="Q489" s="26"/>
      <c r="R489" s="17"/>
      <c r="S489" s="19"/>
      <c r="T489" s="17"/>
      <c r="U489" s="22"/>
    </row>
    <row r="490" spans="1:21" x14ac:dyDescent="0.25">
      <c r="A490" s="24"/>
      <c r="B490" s="24"/>
      <c r="C490" s="17"/>
      <c r="D490" s="24"/>
      <c r="E490" s="24"/>
      <c r="F490" s="25"/>
      <c r="G490" s="1">
        <v>1825</v>
      </c>
      <c r="H490" s="2">
        <v>107.6</v>
      </c>
      <c r="I490" s="2">
        <v>-23.7</v>
      </c>
      <c r="J490" s="2">
        <v>-26.1</v>
      </c>
      <c r="K490" s="2">
        <f t="shared" si="63"/>
        <v>-23.7</v>
      </c>
      <c r="L490" s="8">
        <f t="shared" si="67"/>
        <v>7.4131024130091835E-14</v>
      </c>
      <c r="M490" s="26"/>
      <c r="N490" s="17"/>
      <c r="O490" s="9">
        <f t="shared" si="65"/>
        <v>-26.1</v>
      </c>
      <c r="P490" s="8">
        <f>D488/B488*10^(O490/10)</f>
        <v>0.19146729542343205</v>
      </c>
      <c r="Q490" s="26"/>
      <c r="R490" s="17"/>
      <c r="S490" s="19"/>
      <c r="T490" s="17"/>
      <c r="U490" s="22"/>
    </row>
    <row r="491" spans="1:21" x14ac:dyDescent="0.25">
      <c r="A491" s="24"/>
      <c r="B491" s="24"/>
      <c r="C491" s="17"/>
      <c r="D491" s="24"/>
      <c r="E491" s="24"/>
      <c r="F491" s="25"/>
      <c r="G491" s="1">
        <v>2125</v>
      </c>
      <c r="H491" s="2">
        <v>104.2</v>
      </c>
      <c r="I491" s="2">
        <v>-21.3</v>
      </c>
      <c r="J491" s="2">
        <v>-26.9</v>
      </c>
      <c r="K491" s="2">
        <f t="shared" si="63"/>
        <v>-21.3</v>
      </c>
      <c r="L491" s="8">
        <f t="shared" si="67"/>
        <v>2.8183829312644412E-13</v>
      </c>
      <c r="M491" s="26"/>
      <c r="N491" s="17"/>
      <c r="O491" s="9">
        <f t="shared" si="65"/>
        <v>-26.9</v>
      </c>
      <c r="P491" s="8">
        <f>D488/B488*10^(O491/10)</f>
        <v>0.15925555968422328</v>
      </c>
      <c r="Q491" s="26"/>
      <c r="R491" s="17"/>
      <c r="S491" s="19"/>
      <c r="T491" s="17"/>
      <c r="U491" s="22"/>
    </row>
    <row r="492" spans="1:21" x14ac:dyDescent="0.25">
      <c r="A492" s="24"/>
      <c r="B492" s="24"/>
      <c r="C492" s="17"/>
      <c r="D492" s="24"/>
      <c r="E492" s="24"/>
      <c r="F492" s="25"/>
      <c r="G492" s="1">
        <v>2425</v>
      </c>
      <c r="H492" s="2">
        <v>93.7</v>
      </c>
      <c r="I492" s="2">
        <v>-20.8</v>
      </c>
      <c r="J492" s="2">
        <v>-23.3</v>
      </c>
      <c r="K492" s="2">
        <f t="shared" si="63"/>
        <v>-20.8</v>
      </c>
      <c r="L492" s="8">
        <f t="shared" si="67"/>
        <v>3.5481338923357515E-12</v>
      </c>
      <c r="M492" s="26"/>
      <c r="N492" s="17"/>
      <c r="O492" s="9">
        <f t="shared" si="65"/>
        <v>-23.3</v>
      </c>
      <c r="P492" s="8">
        <f>D488/B488*10^(O492/10)</f>
        <v>0.36483341020401427</v>
      </c>
      <c r="Q492" s="26"/>
      <c r="R492" s="17"/>
      <c r="S492" s="19"/>
      <c r="T492" s="17"/>
      <c r="U492" s="22"/>
    </row>
    <row r="493" spans="1:21" x14ac:dyDescent="0.25">
      <c r="A493" s="24"/>
      <c r="B493" s="24"/>
      <c r="C493" s="17"/>
      <c r="D493" s="24"/>
      <c r="E493" s="24"/>
      <c r="F493" s="25"/>
      <c r="G493" s="1">
        <v>2775</v>
      </c>
      <c r="H493" s="2">
        <v>100.2</v>
      </c>
      <c r="I493" s="2">
        <v>-22.9</v>
      </c>
      <c r="J493" s="2">
        <v>-25.1</v>
      </c>
      <c r="K493" s="2">
        <f t="shared" si="63"/>
        <v>-22.9</v>
      </c>
      <c r="L493" s="8">
        <f t="shared" si="67"/>
        <v>4.8977881936844633E-13</v>
      </c>
      <c r="M493" s="26"/>
      <c r="N493" s="17"/>
      <c r="O493" s="9">
        <f t="shared" si="65"/>
        <v>-25.1</v>
      </c>
      <c r="P493" s="8">
        <f>D488/B488*10^(O493/10)</f>
        <v>0.24104304373605984</v>
      </c>
      <c r="Q493" s="26"/>
      <c r="R493" s="17"/>
      <c r="S493" s="20"/>
      <c r="T493" s="17"/>
      <c r="U493" s="23"/>
    </row>
    <row r="494" spans="1:21" x14ac:dyDescent="0.25">
      <c r="A494" s="24">
        <v>4000</v>
      </c>
      <c r="B494" s="24">
        <v>3</v>
      </c>
      <c r="C494" s="17">
        <v>0.5</v>
      </c>
      <c r="D494" s="24">
        <v>470</v>
      </c>
      <c r="E494" s="24">
        <v>6</v>
      </c>
      <c r="F494" s="25">
        <v>62</v>
      </c>
      <c r="G494" s="1">
        <v>2825</v>
      </c>
      <c r="H494" s="2">
        <v>99.4</v>
      </c>
      <c r="I494" s="2">
        <v>-25.1</v>
      </c>
      <c r="J494" s="2">
        <v>-26.6</v>
      </c>
      <c r="K494" s="2">
        <f t="shared" si="63"/>
        <v>-25.1</v>
      </c>
      <c r="L494" s="8">
        <f t="shared" si="67"/>
        <v>3.5481338923357479E-13</v>
      </c>
      <c r="M494" s="26">
        <f>SUM(L494:L499)</f>
        <v>1.4886459181805397E-12</v>
      </c>
      <c r="N494" s="17">
        <f>10*LOG10(M494/E494)</f>
        <v>-126.05359839446143</v>
      </c>
      <c r="O494" s="9">
        <f t="shared" si="65"/>
        <v>-26.6</v>
      </c>
      <c r="P494" s="8">
        <f>D494/B494*10^(O494/10)</f>
        <v>0.34274932108542944</v>
      </c>
      <c r="Q494" s="26">
        <f>SUM(P494:P499)</f>
        <v>1.4774217094178159</v>
      </c>
      <c r="R494" s="17">
        <f>10*LOG10(Q494)</f>
        <v>1.6950447630882892</v>
      </c>
      <c r="S494" s="18">
        <f>F494+N494-Kzt-H</f>
        <v>-64.053598394461432</v>
      </c>
      <c r="T494" s="17">
        <v>0.9</v>
      </c>
      <c r="U494" s="21">
        <f>T494*10^((S494-R494)/10)</f>
        <v>2.3954008188756E-7</v>
      </c>
    </row>
    <row r="495" spans="1:21" x14ac:dyDescent="0.25">
      <c r="A495" s="24"/>
      <c r="B495" s="24"/>
      <c r="C495" s="17"/>
      <c r="D495" s="24"/>
      <c r="E495" s="24"/>
      <c r="F495" s="25"/>
      <c r="G495" s="1">
        <v>3425</v>
      </c>
      <c r="H495" s="2">
        <v>103.5</v>
      </c>
      <c r="I495" s="2">
        <v>-25.8</v>
      </c>
      <c r="J495" s="2">
        <v>-28.7</v>
      </c>
      <c r="K495" s="2">
        <f t="shared" si="63"/>
        <v>-25.8</v>
      </c>
      <c r="L495" s="8">
        <f t="shared" si="67"/>
        <v>1.1748975549395202E-13</v>
      </c>
      <c r="M495" s="26"/>
      <c r="N495" s="17"/>
      <c r="O495" s="9">
        <f t="shared" si="65"/>
        <v>-28.7</v>
      </c>
      <c r="P495" s="8">
        <f>D494/B494*10^(O495/10)</f>
        <v>0.21133751827269218</v>
      </c>
      <c r="Q495" s="26"/>
      <c r="R495" s="17"/>
      <c r="S495" s="19"/>
      <c r="T495" s="17"/>
      <c r="U495" s="22"/>
    </row>
    <row r="496" spans="1:21" x14ac:dyDescent="0.25">
      <c r="A496" s="24"/>
      <c r="B496" s="24"/>
      <c r="C496" s="17"/>
      <c r="D496" s="24"/>
      <c r="E496" s="24"/>
      <c r="F496" s="25"/>
      <c r="G496" s="1">
        <v>4025</v>
      </c>
      <c r="H496" s="2">
        <v>103.6</v>
      </c>
      <c r="I496" s="2">
        <v>-19.8</v>
      </c>
      <c r="J496" s="2">
        <v>-30</v>
      </c>
      <c r="K496" s="2">
        <f t="shared" si="63"/>
        <v>-19.8</v>
      </c>
      <c r="L496" s="8">
        <f t="shared" si="67"/>
        <v>4.5708818961487372E-13</v>
      </c>
      <c r="M496" s="26"/>
      <c r="N496" s="17"/>
      <c r="O496" s="9">
        <f t="shared" si="65"/>
        <v>-30</v>
      </c>
      <c r="P496" s="8">
        <f>D494/B494*10^(O496/10)</f>
        <v>0.15666666666666665</v>
      </c>
      <c r="Q496" s="26"/>
      <c r="R496" s="17"/>
      <c r="S496" s="19"/>
      <c r="T496" s="17"/>
      <c r="U496" s="22"/>
    </row>
    <row r="497" spans="1:21" x14ac:dyDescent="0.25">
      <c r="A497" s="24"/>
      <c r="B497" s="24"/>
      <c r="C497" s="17"/>
      <c r="D497" s="24"/>
      <c r="E497" s="24"/>
      <c r="F497" s="25"/>
      <c r="G497" s="1">
        <v>4625</v>
      </c>
      <c r="H497" s="2">
        <v>105.6</v>
      </c>
      <c r="I497" s="2">
        <v>-27.2</v>
      </c>
      <c r="J497" s="2">
        <v>-31.4</v>
      </c>
      <c r="K497" s="2">
        <f t="shared" si="63"/>
        <v>-27.2</v>
      </c>
      <c r="L497" s="8">
        <f t="shared" si="67"/>
        <v>5.2480746024977386E-14</v>
      </c>
      <c r="M497" s="26"/>
      <c r="N497" s="17"/>
      <c r="O497" s="9">
        <f t="shared" si="65"/>
        <v>-31.4</v>
      </c>
      <c r="P497" s="8">
        <f>D494/B494*10^(O497/10)</f>
        <v>0.11349496707841507</v>
      </c>
      <c r="Q497" s="26"/>
      <c r="R497" s="17"/>
      <c r="S497" s="19"/>
      <c r="T497" s="17"/>
      <c r="U497" s="22"/>
    </row>
    <row r="498" spans="1:21" x14ac:dyDescent="0.25">
      <c r="A498" s="24"/>
      <c r="B498" s="24"/>
      <c r="C498" s="17"/>
      <c r="D498" s="24"/>
      <c r="E498" s="24"/>
      <c r="F498" s="25"/>
      <c r="G498" s="1">
        <v>5225</v>
      </c>
      <c r="H498" s="2">
        <v>103.5</v>
      </c>
      <c r="I498" s="2">
        <v>-23.7</v>
      </c>
      <c r="J498" s="2">
        <v>-24.9</v>
      </c>
      <c r="K498" s="2">
        <f t="shared" si="63"/>
        <v>-23.7</v>
      </c>
      <c r="L498" s="8">
        <f t="shared" si="67"/>
        <v>1.9054607179632417E-13</v>
      </c>
      <c r="M498" s="26"/>
      <c r="N498" s="17"/>
      <c r="O498" s="9">
        <f t="shared" si="65"/>
        <v>-24.9</v>
      </c>
      <c r="P498" s="8">
        <f>D494/B494*10^(O498/10)</f>
        <v>0.50696339585641759</v>
      </c>
      <c r="Q498" s="26"/>
      <c r="R498" s="17"/>
      <c r="S498" s="19"/>
      <c r="T498" s="17"/>
      <c r="U498" s="22"/>
    </row>
    <row r="499" spans="1:21" x14ac:dyDescent="0.25">
      <c r="A499" s="24"/>
      <c r="B499" s="24"/>
      <c r="C499" s="17"/>
      <c r="D499" s="24"/>
      <c r="E499" s="24"/>
      <c r="F499" s="25"/>
      <c r="G499" s="1">
        <v>5625</v>
      </c>
      <c r="H499" s="2">
        <v>99.5</v>
      </c>
      <c r="I499" s="2">
        <v>-25.5</v>
      </c>
      <c r="J499" s="2">
        <v>-30.3</v>
      </c>
      <c r="K499" s="2">
        <f t="shared" si="63"/>
        <v>-25.5</v>
      </c>
      <c r="L499" s="8">
        <f t="shared" si="67"/>
        <v>3.1622776601683746E-13</v>
      </c>
      <c r="M499" s="26"/>
      <c r="N499" s="17"/>
      <c r="O499" s="9">
        <f t="shared" si="65"/>
        <v>-30.3</v>
      </c>
      <c r="P499" s="8">
        <f>D494/B494*10^(O499/10)</f>
        <v>0.14620984045819507</v>
      </c>
      <c r="Q499" s="26"/>
      <c r="R499" s="17"/>
      <c r="S499" s="20"/>
      <c r="T499" s="17"/>
      <c r="U499" s="23"/>
    </row>
    <row r="500" spans="1:21" x14ac:dyDescent="0.25">
      <c r="A500" s="24">
        <v>8000</v>
      </c>
      <c r="B500" s="24">
        <v>3</v>
      </c>
      <c r="C500" s="17">
        <v>0.5</v>
      </c>
      <c r="D500" s="24">
        <v>943</v>
      </c>
      <c r="E500" s="24">
        <v>6</v>
      </c>
      <c r="F500" s="25">
        <v>54</v>
      </c>
      <c r="G500" s="1">
        <v>6025</v>
      </c>
      <c r="H500" s="2">
        <v>95</v>
      </c>
      <c r="I500" s="2">
        <v>-21.5</v>
      </c>
      <c r="J500" s="2">
        <v>-27.1</v>
      </c>
      <c r="K500" s="2">
        <f t="shared" si="63"/>
        <v>-21.5</v>
      </c>
      <c r="L500" s="8">
        <f t="shared" si="67"/>
        <v>2.2387211385683343E-12</v>
      </c>
      <c r="M500" s="26">
        <f>SUM(L500:L505)</f>
        <v>3.192356071303348E-11</v>
      </c>
      <c r="N500" s="17">
        <f>10*LOG10(M500/E500)</f>
        <v>-112.74039924353534</v>
      </c>
      <c r="O500" s="9">
        <f t="shared" si="65"/>
        <v>-27.1</v>
      </c>
      <c r="P500" s="8">
        <f>D500/B500*10^(O500/10)</f>
        <v>0.61290115252394517</v>
      </c>
      <c r="Q500" s="26">
        <f>SUM(P500:P505)</f>
        <v>3.8861591320558384</v>
      </c>
      <c r="R500" s="17">
        <f>10*LOG10(Q500)</f>
        <v>5.8952058029843926</v>
      </c>
      <c r="S500" s="18">
        <f>F500+N500-Kzt-H</f>
        <v>-58.740399243535336</v>
      </c>
      <c r="T500" s="17">
        <v>0.7</v>
      </c>
      <c r="U500" s="21">
        <f>T500*10^((S500-R500)/10)</f>
        <v>2.4073405725704338E-7</v>
      </c>
    </row>
    <row r="501" spans="1:21" x14ac:dyDescent="0.25">
      <c r="A501" s="24"/>
      <c r="B501" s="24"/>
      <c r="C501" s="17"/>
      <c r="D501" s="24"/>
      <c r="E501" s="24"/>
      <c r="F501" s="25"/>
      <c r="G501" s="1">
        <v>7025</v>
      </c>
      <c r="H501" s="2">
        <v>94.8</v>
      </c>
      <c r="I501" s="2">
        <v>-22.3</v>
      </c>
      <c r="J501" s="2">
        <v>-26</v>
      </c>
      <c r="K501" s="2">
        <f t="shared" si="63"/>
        <v>-22.3</v>
      </c>
      <c r="L501" s="8">
        <f t="shared" si="67"/>
        <v>1.9498445997580419E-12</v>
      </c>
      <c r="M501" s="26"/>
      <c r="N501" s="17"/>
      <c r="O501" s="9">
        <f t="shared" si="65"/>
        <v>-26</v>
      </c>
      <c r="P501" s="8">
        <f>D500/B500*10^(O501/10)</f>
        <v>0.78956963497117716</v>
      </c>
      <c r="Q501" s="26"/>
      <c r="R501" s="17"/>
      <c r="S501" s="19"/>
      <c r="T501" s="17"/>
      <c r="U501" s="22"/>
    </row>
    <row r="502" spans="1:21" x14ac:dyDescent="0.25">
      <c r="A502" s="24"/>
      <c r="B502" s="24"/>
      <c r="C502" s="17"/>
      <c r="D502" s="24"/>
      <c r="E502" s="24"/>
      <c r="F502" s="25"/>
      <c r="G502" s="1">
        <v>8025</v>
      </c>
      <c r="H502" s="2">
        <v>101.9</v>
      </c>
      <c r="I502" s="2">
        <v>-23.6</v>
      </c>
      <c r="J502" s="2">
        <v>-26.8</v>
      </c>
      <c r="K502" s="2">
        <f t="shared" si="63"/>
        <v>-23.6</v>
      </c>
      <c r="L502" s="8">
        <f t="shared" si="67"/>
        <v>2.8183829312644412E-13</v>
      </c>
      <c r="M502" s="26"/>
      <c r="N502" s="17"/>
      <c r="O502" s="9">
        <f t="shared" si="65"/>
        <v>-26.8</v>
      </c>
      <c r="P502" s="8">
        <f>D500/B500*10^(O502/10)</f>
        <v>0.65673541713178563</v>
      </c>
      <c r="Q502" s="26"/>
      <c r="R502" s="17"/>
      <c r="S502" s="19"/>
      <c r="T502" s="17"/>
      <c r="U502" s="22"/>
    </row>
    <row r="503" spans="1:21" x14ac:dyDescent="0.25">
      <c r="A503" s="24"/>
      <c r="B503" s="24"/>
      <c r="C503" s="17"/>
      <c r="D503" s="24"/>
      <c r="E503" s="24"/>
      <c r="F503" s="25"/>
      <c r="G503" s="1">
        <v>9025</v>
      </c>
      <c r="H503" s="2">
        <v>93.2</v>
      </c>
      <c r="I503" s="2">
        <v>-19.2</v>
      </c>
      <c r="J503" s="2">
        <v>-26.8</v>
      </c>
      <c r="K503" s="2">
        <f t="shared" si="63"/>
        <v>-19.2</v>
      </c>
      <c r="L503" s="8">
        <f t="shared" si="67"/>
        <v>5.7543993733715538E-12</v>
      </c>
      <c r="M503" s="26"/>
      <c r="N503" s="17"/>
      <c r="O503" s="9">
        <f t="shared" si="65"/>
        <v>-26.8</v>
      </c>
      <c r="P503" s="8">
        <f>D500/B500*10^(O503/10)</f>
        <v>0.65673541713178563</v>
      </c>
      <c r="Q503" s="26"/>
      <c r="R503" s="17"/>
      <c r="S503" s="19"/>
      <c r="T503" s="17"/>
      <c r="U503" s="22"/>
    </row>
    <row r="504" spans="1:21" x14ac:dyDescent="0.25">
      <c r="A504" s="24"/>
      <c r="B504" s="24"/>
      <c r="C504" s="17"/>
      <c r="D504" s="24"/>
      <c r="E504" s="24"/>
      <c r="F504" s="25"/>
      <c r="G504" s="1">
        <v>10025</v>
      </c>
      <c r="H504" s="2">
        <v>88.3</v>
      </c>
      <c r="I504" s="2">
        <v>-20.100000000000001</v>
      </c>
      <c r="J504" s="2">
        <v>-28</v>
      </c>
      <c r="K504" s="2">
        <f t="shared" si="63"/>
        <v>-20.100000000000001</v>
      </c>
      <c r="L504" s="8">
        <f t="shared" si="67"/>
        <v>1.4454397707459232E-11</v>
      </c>
      <c r="M504" s="26"/>
      <c r="N504" s="17"/>
      <c r="O504" s="9">
        <f t="shared" si="65"/>
        <v>-28</v>
      </c>
      <c r="P504" s="8">
        <f>D500/B500*10^(O504/10)</f>
        <v>0.49818476016360996</v>
      </c>
      <c r="Q504" s="26"/>
      <c r="R504" s="17"/>
      <c r="S504" s="19"/>
      <c r="T504" s="17"/>
      <c r="U504" s="22"/>
    </row>
    <row r="505" spans="1:21" x14ac:dyDescent="0.25">
      <c r="A505" s="24"/>
      <c r="B505" s="24"/>
      <c r="C505" s="17"/>
      <c r="D505" s="24"/>
      <c r="E505" s="24"/>
      <c r="F505" s="25"/>
      <c r="G505" s="1">
        <v>11025</v>
      </c>
      <c r="H505" s="2">
        <v>86</v>
      </c>
      <c r="I505" s="2">
        <v>-25.4</v>
      </c>
      <c r="J505" s="2">
        <v>-26.7</v>
      </c>
      <c r="K505" s="2">
        <f t="shared" si="63"/>
        <v>-25.4</v>
      </c>
      <c r="L505" s="8">
        <f t="shared" si="67"/>
        <v>7.2443596007498734E-12</v>
      </c>
      <c r="M505" s="26"/>
      <c r="N505" s="17"/>
      <c r="O505" s="9">
        <f t="shared" si="65"/>
        <v>-26.7</v>
      </c>
      <c r="P505" s="8">
        <f>D500/B500*10^(O505/10)</f>
        <v>0.67203275013353481</v>
      </c>
      <c r="Q505" s="26"/>
      <c r="R505" s="17"/>
      <c r="S505" s="20"/>
      <c r="T505" s="17"/>
      <c r="U505" s="23"/>
    </row>
    <row r="506" spans="1:21" x14ac:dyDescent="0.25">
      <c r="A506" s="24" t="s">
        <v>20</v>
      </c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12">
        <f>U506</f>
        <v>7.5997390413534677E-2</v>
      </c>
      <c r="T506" s="2"/>
      <c r="U506" s="8">
        <f>0.8*SQRT(SUM(U472:U505))</f>
        <v>7.5997390413534677E-2</v>
      </c>
    </row>
    <row r="507" spans="1:21" x14ac:dyDescent="0.25">
      <c r="A507" s="27" t="s">
        <v>66</v>
      </c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9"/>
    </row>
    <row r="508" spans="1:21" x14ac:dyDescent="0.25">
      <c r="A508" s="24">
        <v>250</v>
      </c>
      <c r="B508" s="24">
        <v>3</v>
      </c>
      <c r="C508" s="17">
        <v>0.5</v>
      </c>
      <c r="D508" s="24">
        <v>38</v>
      </c>
      <c r="E508" s="24">
        <v>4</v>
      </c>
      <c r="F508" s="25">
        <v>84</v>
      </c>
      <c r="G508" s="1">
        <v>175</v>
      </c>
      <c r="H508" s="2">
        <v>84.8</v>
      </c>
      <c r="I508" s="2">
        <v>-22.4</v>
      </c>
      <c r="J508" s="2">
        <v>-28.9</v>
      </c>
      <c r="K508" s="2">
        <f>I508</f>
        <v>-22.4</v>
      </c>
      <c r="L508" s="8">
        <f>10^((K508-H508)/10)</f>
        <v>1.905460717963246E-11</v>
      </c>
      <c r="M508" s="26">
        <f>SUM(L508:L511)</f>
        <v>4.2093791441900845E-11</v>
      </c>
      <c r="N508" s="17">
        <f>10*LOG10(M508/E508)</f>
        <v>-109.77841946355944</v>
      </c>
      <c r="O508" s="9">
        <f>J508</f>
        <v>-28.9</v>
      </c>
      <c r="P508" s="8">
        <f>D508/B508*10^(O508/10)</f>
        <v>1.6317827654779699E-2</v>
      </c>
      <c r="Q508" s="26">
        <f>SUM(P508:P511)</f>
        <v>0.13976514966840026</v>
      </c>
      <c r="R508" s="17">
        <f>10*LOG10(Q508)</f>
        <v>-8.546011060834557</v>
      </c>
      <c r="S508" s="18">
        <f>F508+N508-Kzt-H</f>
        <v>-25.778419463559445</v>
      </c>
      <c r="T508" s="17">
        <v>0.2</v>
      </c>
      <c r="U508" s="21">
        <f>T508*10^((S508-R508)/10)</f>
        <v>3.7825890010695067E-3</v>
      </c>
    </row>
    <row r="509" spans="1:21" x14ac:dyDescent="0.25">
      <c r="A509" s="24"/>
      <c r="B509" s="24"/>
      <c r="C509" s="17"/>
      <c r="D509" s="24"/>
      <c r="E509" s="24"/>
      <c r="F509" s="25"/>
      <c r="G509" s="1">
        <v>225</v>
      </c>
      <c r="H509" s="2">
        <v>90</v>
      </c>
      <c r="I509" s="2">
        <v>-19.399999999999999</v>
      </c>
      <c r="J509" s="2">
        <v>-26.6</v>
      </c>
      <c r="K509" s="2">
        <f t="shared" ref="K509:K541" si="68">I509</f>
        <v>-19.399999999999999</v>
      </c>
      <c r="L509" s="8">
        <f t="shared" ref="L509:L510" si="69">10^((K509-H509)/10)</f>
        <v>1.1481536214968764E-11</v>
      </c>
      <c r="M509" s="26"/>
      <c r="N509" s="17"/>
      <c r="O509" s="9">
        <f t="shared" ref="O509:O541" si="70">J509</f>
        <v>-26.6</v>
      </c>
      <c r="P509" s="8">
        <f>D508/B508*10^(O509/10)</f>
        <v>2.7711647236694299E-2</v>
      </c>
      <c r="Q509" s="26"/>
      <c r="R509" s="17"/>
      <c r="S509" s="19"/>
      <c r="T509" s="17"/>
      <c r="U509" s="22"/>
    </row>
    <row r="510" spans="1:21" x14ac:dyDescent="0.25">
      <c r="A510" s="24"/>
      <c r="B510" s="24"/>
      <c r="C510" s="17"/>
      <c r="D510" s="24"/>
      <c r="E510" s="24"/>
      <c r="F510" s="25"/>
      <c r="G510" s="1">
        <v>275</v>
      </c>
      <c r="H510" s="2">
        <v>92.2</v>
      </c>
      <c r="I510" s="2">
        <v>-20.6</v>
      </c>
      <c r="J510" s="2">
        <v>-26.6</v>
      </c>
      <c r="K510" s="2">
        <f t="shared" si="68"/>
        <v>-20.6</v>
      </c>
      <c r="L510" s="8">
        <f t="shared" si="69"/>
        <v>5.248074602497695E-12</v>
      </c>
      <c r="M510" s="26"/>
      <c r="N510" s="17"/>
      <c r="O510" s="9">
        <f t="shared" si="70"/>
        <v>-26.6</v>
      </c>
      <c r="P510" s="8">
        <f>D508/B508*10^(O510/10)</f>
        <v>2.7711647236694299E-2</v>
      </c>
      <c r="Q510" s="26"/>
      <c r="R510" s="17"/>
      <c r="S510" s="19"/>
      <c r="T510" s="17"/>
      <c r="U510" s="22"/>
    </row>
    <row r="511" spans="1:21" x14ac:dyDescent="0.25">
      <c r="A511" s="24"/>
      <c r="B511" s="24"/>
      <c r="C511" s="17"/>
      <c r="D511" s="24"/>
      <c r="E511" s="24"/>
      <c r="F511" s="25"/>
      <c r="G511" s="1">
        <v>325</v>
      </c>
      <c r="H511" s="2">
        <v>93.3</v>
      </c>
      <c r="I511" s="2">
        <v>-18.7</v>
      </c>
      <c r="J511" s="2">
        <v>-22.7</v>
      </c>
      <c r="K511" s="2">
        <f t="shared" si="68"/>
        <v>-18.7</v>
      </c>
      <c r="L511" s="8">
        <f>10^((K511-H511)/10)</f>
        <v>6.3095734448019345E-12</v>
      </c>
      <c r="M511" s="26"/>
      <c r="N511" s="17"/>
      <c r="O511" s="9">
        <f t="shared" si="70"/>
        <v>-22.7</v>
      </c>
      <c r="P511" s="8">
        <f>D508/B508*10^(O511/10)</f>
        <v>6.8024027540231971E-2</v>
      </c>
      <c r="Q511" s="26"/>
      <c r="R511" s="17"/>
      <c r="S511" s="20"/>
      <c r="T511" s="17"/>
      <c r="U511" s="23"/>
    </row>
    <row r="512" spans="1:21" x14ac:dyDescent="0.25">
      <c r="A512" s="24">
        <v>500</v>
      </c>
      <c r="B512" s="24">
        <v>3</v>
      </c>
      <c r="C512" s="17">
        <v>0.5</v>
      </c>
      <c r="D512" s="24">
        <v>59</v>
      </c>
      <c r="E512" s="24">
        <v>6</v>
      </c>
      <c r="F512" s="25">
        <v>84</v>
      </c>
      <c r="G512" s="1">
        <v>375</v>
      </c>
      <c r="H512" s="2">
        <v>91.9</v>
      </c>
      <c r="I512" s="2">
        <v>-23.9</v>
      </c>
      <c r="J512" s="2">
        <v>-27.2</v>
      </c>
      <c r="K512" s="2">
        <f t="shared" si="68"/>
        <v>-23.9</v>
      </c>
      <c r="L512" s="8">
        <f t="shared" ref="L512:L513" si="71">10^((K512-H512)/10)</f>
        <v>2.6302679918953646E-12</v>
      </c>
      <c r="M512" s="26">
        <f>SUM(L512:L517)</f>
        <v>2.3303707799584698E-11</v>
      </c>
      <c r="N512" s="17">
        <f>10*LOG10(M512/E512)</f>
        <v>-114.10726224259379</v>
      </c>
      <c r="O512" s="9">
        <f t="shared" si="70"/>
        <v>-27.2</v>
      </c>
      <c r="P512" s="8">
        <f>D512/B512*10^(O512/10)</f>
        <v>3.7474060786610537E-2</v>
      </c>
      <c r="Q512" s="26">
        <f>SUM(P512:P517)</f>
        <v>0.21545573972757884</v>
      </c>
      <c r="R512" s="17">
        <f>10*LOG10(Q512)</f>
        <v>-6.6664193184337064</v>
      </c>
      <c r="S512" s="18">
        <f>F512+N512-Kzt-H</f>
        <v>-30.107262242593791</v>
      </c>
      <c r="T512" s="17">
        <v>0.5</v>
      </c>
      <c r="U512" s="21">
        <f>T512*10^((S512-R512)/10)</f>
        <v>2.2640484266688906E-3</v>
      </c>
    </row>
    <row r="513" spans="1:21" x14ac:dyDescent="0.25">
      <c r="A513" s="24"/>
      <c r="B513" s="24"/>
      <c r="C513" s="17"/>
      <c r="D513" s="24"/>
      <c r="E513" s="24"/>
      <c r="F513" s="25"/>
      <c r="G513" s="1">
        <v>425</v>
      </c>
      <c r="H513" s="2">
        <v>88.1</v>
      </c>
      <c r="I513" s="2">
        <v>-22.2</v>
      </c>
      <c r="J513" s="2">
        <v>-28.1</v>
      </c>
      <c r="K513" s="2">
        <f t="shared" si="68"/>
        <v>-22.2</v>
      </c>
      <c r="L513" s="8">
        <f t="shared" si="71"/>
        <v>9.3325430079698992E-12</v>
      </c>
      <c r="M513" s="26"/>
      <c r="N513" s="17"/>
      <c r="O513" s="9">
        <f t="shared" si="70"/>
        <v>-28.1</v>
      </c>
      <c r="P513" s="8">
        <f>D512/B512*10^(O513/10)</f>
        <v>3.0460060171945448E-2</v>
      </c>
      <c r="Q513" s="26"/>
      <c r="R513" s="17"/>
      <c r="S513" s="19"/>
      <c r="T513" s="17"/>
      <c r="U513" s="22"/>
    </row>
    <row r="514" spans="1:21" x14ac:dyDescent="0.25">
      <c r="A514" s="24"/>
      <c r="B514" s="24"/>
      <c r="C514" s="17"/>
      <c r="D514" s="24"/>
      <c r="E514" s="24"/>
      <c r="F514" s="25"/>
      <c r="G514" s="1">
        <v>475</v>
      </c>
      <c r="H514" s="2">
        <v>90</v>
      </c>
      <c r="I514" s="2">
        <v>-22.1</v>
      </c>
      <c r="J514" s="2">
        <v>-25.4</v>
      </c>
      <c r="K514" s="2">
        <f t="shared" si="68"/>
        <v>-22.1</v>
      </c>
      <c r="L514" s="8">
        <f>10^((K514-H514)/10)</f>
        <v>6.1659500186148244E-12</v>
      </c>
      <c r="M514" s="26"/>
      <c r="N514" s="17"/>
      <c r="O514" s="9">
        <f t="shared" si="70"/>
        <v>-25.4</v>
      </c>
      <c r="P514" s="8">
        <f>D512/B512*10^(O514/10)</f>
        <v>5.671928622815655E-2</v>
      </c>
      <c r="Q514" s="26"/>
      <c r="R514" s="17"/>
      <c r="S514" s="19"/>
      <c r="T514" s="17"/>
      <c r="U514" s="22"/>
    </row>
    <row r="515" spans="1:21" x14ac:dyDescent="0.25">
      <c r="A515" s="24"/>
      <c r="B515" s="24"/>
      <c r="C515" s="17"/>
      <c r="D515" s="24"/>
      <c r="E515" s="24"/>
      <c r="F515" s="25"/>
      <c r="G515" s="1">
        <v>575</v>
      </c>
      <c r="H515" s="2">
        <v>97</v>
      </c>
      <c r="I515" s="2">
        <v>-20.3</v>
      </c>
      <c r="J515" s="2">
        <v>-26.4</v>
      </c>
      <c r="K515" s="2">
        <f t="shared" si="68"/>
        <v>-20.3</v>
      </c>
      <c r="L515" s="8">
        <f t="shared" ref="L515:L541" si="72">10^((K515-H515)/10)</f>
        <v>1.8620871366628578E-12</v>
      </c>
      <c r="M515" s="26"/>
      <c r="N515" s="17"/>
      <c r="O515" s="9">
        <f t="shared" si="70"/>
        <v>-26.4</v>
      </c>
      <c r="P515" s="8">
        <f>D512/B512*10^(O515/10)</f>
        <v>4.5053730504432885E-2</v>
      </c>
      <c r="Q515" s="26"/>
      <c r="R515" s="17"/>
      <c r="S515" s="19"/>
      <c r="T515" s="17"/>
      <c r="U515" s="22"/>
    </row>
    <row r="516" spans="1:21" x14ac:dyDescent="0.25">
      <c r="A516" s="24"/>
      <c r="B516" s="24"/>
      <c r="C516" s="17"/>
      <c r="D516" s="24"/>
      <c r="E516" s="24"/>
      <c r="F516" s="25"/>
      <c r="G516" s="1">
        <v>625</v>
      </c>
      <c r="H516" s="2">
        <v>92</v>
      </c>
      <c r="I516" s="2">
        <v>-27.3</v>
      </c>
      <c r="J516" s="2">
        <v>-30.1</v>
      </c>
      <c r="K516" s="2">
        <f t="shared" si="68"/>
        <v>-27.3</v>
      </c>
      <c r="L516" s="8">
        <f t="shared" si="72"/>
        <v>1.1748975549395258E-12</v>
      </c>
      <c r="M516" s="26"/>
      <c r="N516" s="17"/>
      <c r="O516" s="9">
        <f t="shared" si="70"/>
        <v>-30.1</v>
      </c>
      <c r="P516" s="8">
        <f>D512/B512*10^(O516/10)</f>
        <v>1.9218998678797585E-2</v>
      </c>
      <c r="Q516" s="26"/>
      <c r="R516" s="17"/>
      <c r="S516" s="19"/>
      <c r="T516" s="17"/>
      <c r="U516" s="22"/>
    </row>
    <row r="517" spans="1:21" x14ac:dyDescent="0.25">
      <c r="A517" s="24"/>
      <c r="B517" s="24"/>
      <c r="C517" s="17"/>
      <c r="D517" s="24"/>
      <c r="E517" s="24"/>
      <c r="F517" s="25"/>
      <c r="G517" s="1">
        <v>675</v>
      </c>
      <c r="H517" s="2">
        <v>94.5</v>
      </c>
      <c r="I517" s="2">
        <v>-22.2</v>
      </c>
      <c r="J517" s="2">
        <v>-28.7</v>
      </c>
      <c r="K517" s="2">
        <f t="shared" si="68"/>
        <v>-22.2</v>
      </c>
      <c r="L517" s="8">
        <f t="shared" si="72"/>
        <v>2.1379620895022273E-12</v>
      </c>
      <c r="M517" s="26"/>
      <c r="N517" s="17"/>
      <c r="O517" s="9">
        <f t="shared" si="70"/>
        <v>-28.7</v>
      </c>
      <c r="P517" s="8">
        <f>D512/B512*10^(O517/10)</f>
        <v>2.6529603357635829E-2</v>
      </c>
      <c r="Q517" s="26"/>
      <c r="R517" s="17"/>
      <c r="S517" s="20"/>
      <c r="T517" s="17"/>
      <c r="U517" s="23"/>
    </row>
    <row r="518" spans="1:21" x14ac:dyDescent="0.25">
      <c r="A518" s="24">
        <v>1000</v>
      </c>
      <c r="B518" s="24">
        <v>3</v>
      </c>
      <c r="C518" s="17">
        <v>0.5</v>
      </c>
      <c r="D518" s="24">
        <v>117</v>
      </c>
      <c r="E518" s="24">
        <v>6</v>
      </c>
      <c r="F518" s="25">
        <v>76</v>
      </c>
      <c r="G518" s="1">
        <v>875</v>
      </c>
      <c r="H518" s="2">
        <v>91.1</v>
      </c>
      <c r="I518" s="2">
        <v>-20.8</v>
      </c>
      <c r="J518" s="2">
        <v>-24.1</v>
      </c>
      <c r="K518" s="2">
        <f t="shared" si="68"/>
        <v>-20.8</v>
      </c>
      <c r="L518" s="8">
        <f t="shared" si="72"/>
        <v>6.4565422903465579E-12</v>
      </c>
      <c r="M518" s="26">
        <f>SUM(L518:L523)</f>
        <v>1.0503595855261642E-11</v>
      </c>
      <c r="N518" s="17">
        <f>10*LOG10(M518/E518)</f>
        <v>-117.56813247241901</v>
      </c>
      <c r="O518" s="9">
        <f t="shared" si="70"/>
        <v>-24.1</v>
      </c>
      <c r="P518" s="8">
        <f>D518/B518*10^(O518/10)</f>
        <v>0.15172760654776929</v>
      </c>
      <c r="Q518" s="26">
        <f>SUM(P518:P523)</f>
        <v>0.59897574268027132</v>
      </c>
      <c r="R518" s="17">
        <f>10*LOG10(Q518)</f>
        <v>-2.2259076531255944</v>
      </c>
      <c r="S518" s="18">
        <f>F518+N518-Kzt-H</f>
        <v>-41.568132472419009</v>
      </c>
      <c r="T518" s="17">
        <v>0.8</v>
      </c>
      <c r="U518" s="21">
        <f>T518*10^((S518-R518)/10)</f>
        <v>9.3082385559593015E-5</v>
      </c>
    </row>
    <row r="519" spans="1:21" x14ac:dyDescent="0.25">
      <c r="A519" s="24"/>
      <c r="B519" s="24"/>
      <c r="C519" s="17"/>
      <c r="D519" s="24"/>
      <c r="E519" s="24"/>
      <c r="F519" s="25"/>
      <c r="G519" s="1">
        <v>975</v>
      </c>
      <c r="H519" s="2">
        <v>96.5</v>
      </c>
      <c r="I519" s="2">
        <v>-23</v>
      </c>
      <c r="J519" s="2">
        <v>-26.1</v>
      </c>
      <c r="K519" s="2">
        <f t="shared" si="68"/>
        <v>-23</v>
      </c>
      <c r="L519" s="8">
        <f t="shared" si="72"/>
        <v>1.122018454301964E-12</v>
      </c>
      <c r="M519" s="26"/>
      <c r="N519" s="17"/>
      <c r="O519" s="9">
        <f t="shared" si="70"/>
        <v>-26.1</v>
      </c>
      <c r="P519" s="8">
        <f>D518/B518*10^(O519/10)</f>
        <v>9.5733647711716024E-2</v>
      </c>
      <c r="Q519" s="26"/>
      <c r="R519" s="17"/>
      <c r="S519" s="19"/>
      <c r="T519" s="17"/>
      <c r="U519" s="22"/>
    </row>
    <row r="520" spans="1:21" x14ac:dyDescent="0.25">
      <c r="A520" s="24"/>
      <c r="B520" s="24"/>
      <c r="C520" s="17"/>
      <c r="D520" s="24"/>
      <c r="E520" s="24"/>
      <c r="F520" s="25"/>
      <c r="G520" s="1">
        <v>1075</v>
      </c>
      <c r="H520" s="2">
        <v>94.6</v>
      </c>
      <c r="I520" s="2">
        <v>-25.8</v>
      </c>
      <c r="J520" s="2">
        <v>-28.1</v>
      </c>
      <c r="K520" s="2">
        <f t="shared" si="68"/>
        <v>-25.8</v>
      </c>
      <c r="L520" s="8">
        <f t="shared" si="72"/>
        <v>9.1201083935590769E-13</v>
      </c>
      <c r="M520" s="26"/>
      <c r="N520" s="17"/>
      <c r="O520" s="9">
        <f t="shared" si="70"/>
        <v>-28.1</v>
      </c>
      <c r="P520" s="8">
        <f>D518/B518*10^(O520/10)</f>
        <v>6.040384813758673E-2</v>
      </c>
      <c r="Q520" s="26"/>
      <c r="R520" s="17"/>
      <c r="S520" s="19"/>
      <c r="T520" s="17"/>
      <c r="U520" s="22"/>
    </row>
    <row r="521" spans="1:21" x14ac:dyDescent="0.25">
      <c r="A521" s="24"/>
      <c r="B521" s="24"/>
      <c r="C521" s="17"/>
      <c r="D521" s="24"/>
      <c r="E521" s="24"/>
      <c r="F521" s="25"/>
      <c r="G521" s="1">
        <v>1175</v>
      </c>
      <c r="H521" s="2">
        <v>97.8</v>
      </c>
      <c r="I521" s="2">
        <v>-21.1</v>
      </c>
      <c r="J521" s="2">
        <v>-24.5</v>
      </c>
      <c r="K521" s="2">
        <f t="shared" si="68"/>
        <v>-21.1</v>
      </c>
      <c r="L521" s="8">
        <f t="shared" si="72"/>
        <v>1.2882495516931293E-12</v>
      </c>
      <c r="M521" s="26"/>
      <c r="N521" s="17"/>
      <c r="O521" s="9">
        <f t="shared" si="70"/>
        <v>-24.5</v>
      </c>
      <c r="P521" s="8">
        <f>D518/B518*10^(O521/10)</f>
        <v>0.13837722180109435</v>
      </c>
      <c r="Q521" s="26"/>
      <c r="R521" s="17"/>
      <c r="S521" s="19"/>
      <c r="T521" s="17"/>
      <c r="U521" s="22"/>
    </row>
    <row r="522" spans="1:21" x14ac:dyDescent="0.25">
      <c r="A522" s="24"/>
      <c r="B522" s="24"/>
      <c r="C522" s="17"/>
      <c r="D522" s="24"/>
      <c r="E522" s="24"/>
      <c r="F522" s="25"/>
      <c r="G522" s="1">
        <v>1275</v>
      </c>
      <c r="H522" s="2">
        <v>100.1</v>
      </c>
      <c r="I522" s="2">
        <v>-25.8</v>
      </c>
      <c r="J522" s="2">
        <v>-26.7</v>
      </c>
      <c r="K522" s="2">
        <f t="shared" si="68"/>
        <v>-25.8</v>
      </c>
      <c r="L522" s="8">
        <f t="shared" si="72"/>
        <v>2.5703957827688533E-13</v>
      </c>
      <c r="M522" s="26"/>
      <c r="N522" s="17"/>
      <c r="O522" s="9">
        <f t="shared" si="70"/>
        <v>-26.7</v>
      </c>
      <c r="P522" s="8">
        <f>D518/B518*10^(O522/10)</f>
        <v>8.3380521490587042E-2</v>
      </c>
      <c r="Q522" s="26"/>
      <c r="R522" s="17"/>
      <c r="S522" s="19"/>
      <c r="T522" s="17"/>
      <c r="U522" s="22"/>
    </row>
    <row r="523" spans="1:21" x14ac:dyDescent="0.25">
      <c r="A523" s="24"/>
      <c r="B523" s="24"/>
      <c r="C523" s="17"/>
      <c r="D523" s="24"/>
      <c r="E523" s="24"/>
      <c r="F523" s="25"/>
      <c r="G523" s="1">
        <v>1375</v>
      </c>
      <c r="H523" s="2">
        <v>103</v>
      </c>
      <c r="I523" s="2">
        <v>-20.3</v>
      </c>
      <c r="J523" s="2">
        <v>-27.5</v>
      </c>
      <c r="K523" s="2">
        <f t="shared" si="68"/>
        <v>-20.3</v>
      </c>
      <c r="L523" s="8">
        <f t="shared" si="72"/>
        <v>4.6773514128719676E-13</v>
      </c>
      <c r="M523" s="26"/>
      <c r="N523" s="17"/>
      <c r="O523" s="9">
        <f t="shared" si="70"/>
        <v>-27.5</v>
      </c>
      <c r="P523" s="8">
        <f>D518/B518*10^(O523/10)</f>
        <v>6.9352896991517976E-2</v>
      </c>
      <c r="Q523" s="26"/>
      <c r="R523" s="17"/>
      <c r="S523" s="20"/>
      <c r="T523" s="17"/>
      <c r="U523" s="23"/>
    </row>
    <row r="524" spans="1:21" x14ac:dyDescent="0.25">
      <c r="A524" s="24">
        <v>2000</v>
      </c>
      <c r="B524" s="24">
        <v>3</v>
      </c>
      <c r="C524" s="17">
        <v>0.5</v>
      </c>
      <c r="D524" s="24">
        <v>234</v>
      </c>
      <c r="E524" s="24">
        <v>6</v>
      </c>
      <c r="F524" s="25">
        <v>68</v>
      </c>
      <c r="G524" s="1">
        <v>1425</v>
      </c>
      <c r="H524" s="2">
        <v>102.8</v>
      </c>
      <c r="I524" s="2">
        <v>-23</v>
      </c>
      <c r="J524" s="2">
        <v>-29</v>
      </c>
      <c r="K524" s="2">
        <f t="shared" si="68"/>
        <v>-23</v>
      </c>
      <c r="L524" s="8">
        <f t="shared" si="72"/>
        <v>2.6302679918953709E-13</v>
      </c>
      <c r="M524" s="26">
        <f>SUM(L524:L529)</f>
        <v>3.1688542236213514E-12</v>
      </c>
      <c r="N524" s="17">
        <f>10*LOG10(M524/E524)</f>
        <v>-122.77248989525005</v>
      </c>
      <c r="O524" s="9">
        <f t="shared" si="70"/>
        <v>-29</v>
      </c>
      <c r="P524" s="8">
        <f>D524/B524*10^(O524/10)</f>
        <v>9.8196182119944964E-2</v>
      </c>
      <c r="Q524" s="26">
        <f>SUM(P524:P529)</f>
        <v>0.9071119226624379</v>
      </c>
      <c r="R524" s="17">
        <f>10*LOG10(Q524)</f>
        <v>-0.42339124851814747</v>
      </c>
      <c r="S524" s="18">
        <f>F524+N524-Kzt-H</f>
        <v>-54.772489895250047</v>
      </c>
      <c r="T524" s="17">
        <v>1</v>
      </c>
      <c r="U524" s="21">
        <f>T524*10^((S524-R524)/10)</f>
        <v>3.6735853574212333E-6</v>
      </c>
    </row>
    <row r="525" spans="1:21" x14ac:dyDescent="0.25">
      <c r="A525" s="24"/>
      <c r="B525" s="24"/>
      <c r="C525" s="17"/>
      <c r="D525" s="24"/>
      <c r="E525" s="24"/>
      <c r="F525" s="25"/>
      <c r="G525" s="1">
        <v>1625</v>
      </c>
      <c r="H525" s="2">
        <v>104.1</v>
      </c>
      <c r="I525" s="2">
        <v>-22.1</v>
      </c>
      <c r="J525" s="2">
        <v>-25.7</v>
      </c>
      <c r="K525" s="2">
        <f t="shared" si="68"/>
        <v>-22.1</v>
      </c>
      <c r="L525" s="8">
        <f t="shared" si="72"/>
        <v>2.3988329190194898E-13</v>
      </c>
      <c r="M525" s="26"/>
      <c r="N525" s="17"/>
      <c r="O525" s="9">
        <f t="shared" si="70"/>
        <v>-25.7</v>
      </c>
      <c r="P525" s="8">
        <f>D524/B524*10^(O525/10)</f>
        <v>0.20993971470629935</v>
      </c>
      <c r="Q525" s="26"/>
      <c r="R525" s="17"/>
      <c r="S525" s="19"/>
      <c r="T525" s="17"/>
      <c r="U525" s="22"/>
    </row>
    <row r="526" spans="1:21" x14ac:dyDescent="0.25">
      <c r="A526" s="24"/>
      <c r="B526" s="24"/>
      <c r="C526" s="17"/>
      <c r="D526" s="24"/>
      <c r="E526" s="24"/>
      <c r="F526" s="25"/>
      <c r="G526" s="1">
        <v>1825</v>
      </c>
      <c r="H526" s="2">
        <v>107.6</v>
      </c>
      <c r="I526" s="2">
        <v>-22</v>
      </c>
      <c r="J526" s="2">
        <v>-24.4</v>
      </c>
      <c r="K526" s="2">
        <f t="shared" si="68"/>
        <v>-22</v>
      </c>
      <c r="L526" s="8">
        <f t="shared" si="72"/>
        <v>1.0964781961431845E-13</v>
      </c>
      <c r="M526" s="26"/>
      <c r="N526" s="17"/>
      <c r="O526" s="9">
        <f t="shared" si="70"/>
        <v>-24.4</v>
      </c>
      <c r="P526" s="8">
        <f>D524/B524*10^(O526/10)</f>
        <v>0.28320088272067884</v>
      </c>
      <c r="Q526" s="26"/>
      <c r="R526" s="17"/>
      <c r="S526" s="19"/>
      <c r="T526" s="17"/>
      <c r="U526" s="22"/>
    </row>
    <row r="527" spans="1:21" x14ac:dyDescent="0.25">
      <c r="A527" s="24"/>
      <c r="B527" s="24"/>
      <c r="C527" s="17"/>
      <c r="D527" s="24"/>
      <c r="E527" s="24"/>
      <c r="F527" s="25"/>
      <c r="G527" s="1">
        <v>2125</v>
      </c>
      <c r="H527" s="2">
        <v>104.2</v>
      </c>
      <c r="I527" s="2">
        <v>-20.6</v>
      </c>
      <c r="J527" s="2">
        <v>-26.9</v>
      </c>
      <c r="K527" s="2">
        <f t="shared" si="68"/>
        <v>-20.6</v>
      </c>
      <c r="L527" s="8">
        <f t="shared" si="72"/>
        <v>3.311311214825894E-13</v>
      </c>
      <c r="M527" s="26"/>
      <c r="N527" s="17"/>
      <c r="O527" s="9">
        <f t="shared" si="70"/>
        <v>-26.9</v>
      </c>
      <c r="P527" s="8">
        <f>D524/B524*10^(O527/10)</f>
        <v>0.15925555968422328</v>
      </c>
      <c r="Q527" s="26"/>
      <c r="R527" s="17"/>
      <c r="S527" s="19"/>
      <c r="T527" s="17"/>
      <c r="U527" s="22"/>
    </row>
    <row r="528" spans="1:21" x14ac:dyDescent="0.25">
      <c r="A528" s="24"/>
      <c r="B528" s="24"/>
      <c r="C528" s="17"/>
      <c r="D528" s="24"/>
      <c r="E528" s="24"/>
      <c r="F528" s="25"/>
      <c r="G528" s="1">
        <v>2425</v>
      </c>
      <c r="H528" s="2">
        <v>93.7</v>
      </c>
      <c r="I528" s="2">
        <v>-23.6</v>
      </c>
      <c r="J528" s="2">
        <v>-29.3</v>
      </c>
      <c r="K528" s="2">
        <f t="shared" si="68"/>
        <v>-23.6</v>
      </c>
      <c r="L528" s="8">
        <f t="shared" si="72"/>
        <v>1.8620871366628578E-12</v>
      </c>
      <c r="M528" s="26"/>
      <c r="N528" s="17"/>
      <c r="O528" s="9">
        <f t="shared" si="70"/>
        <v>-29.3</v>
      </c>
      <c r="P528" s="8">
        <f>D524/B524*10^(O528/10)</f>
        <v>9.1642009285283182E-2</v>
      </c>
      <c r="Q528" s="26"/>
      <c r="R528" s="17"/>
      <c r="S528" s="19"/>
      <c r="T528" s="17"/>
      <c r="U528" s="22"/>
    </row>
    <row r="529" spans="1:21" x14ac:dyDescent="0.25">
      <c r="A529" s="24"/>
      <c r="B529" s="24"/>
      <c r="C529" s="17"/>
      <c r="D529" s="24"/>
      <c r="E529" s="24"/>
      <c r="F529" s="25"/>
      <c r="G529" s="1">
        <v>2775</v>
      </c>
      <c r="H529" s="2">
        <v>100.2</v>
      </c>
      <c r="I529" s="2">
        <v>-24.2</v>
      </c>
      <c r="J529" s="2">
        <v>-30.8</v>
      </c>
      <c r="K529" s="2">
        <f t="shared" si="68"/>
        <v>-24.2</v>
      </c>
      <c r="L529" s="8">
        <f t="shared" si="72"/>
        <v>3.6307805477009936E-13</v>
      </c>
      <c r="M529" s="26"/>
      <c r="N529" s="17"/>
      <c r="O529" s="9">
        <f t="shared" si="70"/>
        <v>-30.8</v>
      </c>
      <c r="P529" s="8">
        <f>D524/B524*10^(O529/10)</f>
        <v>6.4877574146008282E-2</v>
      </c>
      <c r="Q529" s="26"/>
      <c r="R529" s="17"/>
      <c r="S529" s="20"/>
      <c r="T529" s="17"/>
      <c r="U529" s="23"/>
    </row>
    <row r="530" spans="1:21" x14ac:dyDescent="0.25">
      <c r="A530" s="24">
        <v>4000</v>
      </c>
      <c r="B530" s="24">
        <v>3</v>
      </c>
      <c r="C530" s="17">
        <v>0.5</v>
      </c>
      <c r="D530" s="24">
        <v>470</v>
      </c>
      <c r="E530" s="24">
        <v>6</v>
      </c>
      <c r="F530" s="25">
        <v>62</v>
      </c>
      <c r="G530" s="1">
        <v>2825</v>
      </c>
      <c r="H530" s="2">
        <v>99.4</v>
      </c>
      <c r="I530" s="2">
        <v>-22.5</v>
      </c>
      <c r="J530" s="2">
        <v>-27.1</v>
      </c>
      <c r="K530" s="2">
        <f t="shared" si="68"/>
        <v>-22.5</v>
      </c>
      <c r="L530" s="8">
        <f t="shared" si="72"/>
        <v>6.456542290346527E-13</v>
      </c>
      <c r="M530" s="26">
        <f>SUM(L530:L535)</f>
        <v>2.5047078789732241E-12</v>
      </c>
      <c r="N530" s="17">
        <f>10*LOG10(M530/E530)</f>
        <v>-123.79394168462949</v>
      </c>
      <c r="O530" s="9">
        <f t="shared" si="70"/>
        <v>-27.1</v>
      </c>
      <c r="P530" s="8">
        <f>D530/B530*10^(O530/10)</f>
        <v>0.30547565396209353</v>
      </c>
      <c r="Q530" s="26">
        <f>SUM(P530:P535)</f>
        <v>1.5528105697441119</v>
      </c>
      <c r="R530" s="17">
        <f>10*LOG10(Q530)</f>
        <v>1.9111847856649902</v>
      </c>
      <c r="S530" s="18">
        <f>F530+N530-Kzt-H</f>
        <v>-61.793941684629488</v>
      </c>
      <c r="T530" s="17">
        <v>0.9</v>
      </c>
      <c r="U530" s="21">
        <f>T530*10^((S530-R530)/10)</f>
        <v>3.8346864812452845E-7</v>
      </c>
    </row>
    <row r="531" spans="1:21" x14ac:dyDescent="0.25">
      <c r="A531" s="24"/>
      <c r="B531" s="24"/>
      <c r="C531" s="17"/>
      <c r="D531" s="24"/>
      <c r="E531" s="24"/>
      <c r="F531" s="25"/>
      <c r="G531" s="1">
        <v>3425</v>
      </c>
      <c r="H531" s="2">
        <v>103.5</v>
      </c>
      <c r="I531" s="2">
        <v>-20</v>
      </c>
      <c r="J531" s="2">
        <v>-29.3</v>
      </c>
      <c r="K531" s="2">
        <f t="shared" si="68"/>
        <v>-20</v>
      </c>
      <c r="L531" s="8">
        <f t="shared" si="72"/>
        <v>4.4668359215096191E-13</v>
      </c>
      <c r="M531" s="26"/>
      <c r="N531" s="17"/>
      <c r="O531" s="9">
        <f t="shared" si="70"/>
        <v>-29.3</v>
      </c>
      <c r="P531" s="8">
        <f>D530/B530*10^(O531/10)</f>
        <v>0.18406728360719271</v>
      </c>
      <c r="Q531" s="26"/>
      <c r="R531" s="17"/>
      <c r="S531" s="19"/>
      <c r="T531" s="17"/>
      <c r="U531" s="22"/>
    </row>
    <row r="532" spans="1:21" x14ac:dyDescent="0.25">
      <c r="A532" s="24"/>
      <c r="B532" s="24"/>
      <c r="C532" s="17"/>
      <c r="D532" s="24"/>
      <c r="E532" s="24"/>
      <c r="F532" s="25"/>
      <c r="G532" s="1">
        <v>4025</v>
      </c>
      <c r="H532" s="2">
        <v>103.6</v>
      </c>
      <c r="I532" s="2">
        <v>-18.899999999999999</v>
      </c>
      <c r="J532" s="2">
        <v>-27.8</v>
      </c>
      <c r="K532" s="2">
        <f t="shared" si="68"/>
        <v>-18.899999999999999</v>
      </c>
      <c r="L532" s="8">
        <f t="shared" si="72"/>
        <v>5.6234132519034702E-13</v>
      </c>
      <c r="M532" s="26"/>
      <c r="N532" s="17"/>
      <c r="O532" s="9">
        <f t="shared" si="70"/>
        <v>-27.8</v>
      </c>
      <c r="P532" s="8">
        <f>D530/B530*10^(O532/10)</f>
        <v>0.26000194883188427</v>
      </c>
      <c r="Q532" s="26"/>
      <c r="R532" s="17"/>
      <c r="S532" s="19"/>
      <c r="T532" s="17"/>
      <c r="U532" s="22"/>
    </row>
    <row r="533" spans="1:21" x14ac:dyDescent="0.25">
      <c r="A533" s="24"/>
      <c r="B533" s="24"/>
      <c r="C533" s="17"/>
      <c r="D533" s="24"/>
      <c r="E533" s="24"/>
      <c r="F533" s="25"/>
      <c r="G533" s="1">
        <v>4625</v>
      </c>
      <c r="H533" s="2">
        <v>105.6</v>
      </c>
      <c r="I533" s="2">
        <v>-23</v>
      </c>
      <c r="J533" s="2">
        <v>-28.4</v>
      </c>
      <c r="K533" s="2">
        <f t="shared" si="68"/>
        <v>-23</v>
      </c>
      <c r="L533" s="8">
        <f t="shared" si="72"/>
        <v>1.3803842646028828E-13</v>
      </c>
      <c r="M533" s="26"/>
      <c r="N533" s="17"/>
      <c r="O533" s="9">
        <f t="shared" si="70"/>
        <v>-28.4</v>
      </c>
      <c r="P533" s="8">
        <f>D530/B530*10^(O533/10)</f>
        <v>0.22645223075019524</v>
      </c>
      <c r="Q533" s="26"/>
      <c r="R533" s="17"/>
      <c r="S533" s="19"/>
      <c r="T533" s="17"/>
      <c r="U533" s="22"/>
    </row>
    <row r="534" spans="1:21" x14ac:dyDescent="0.25">
      <c r="A534" s="24"/>
      <c r="B534" s="24"/>
      <c r="C534" s="17"/>
      <c r="D534" s="24"/>
      <c r="E534" s="24"/>
      <c r="F534" s="25"/>
      <c r="G534" s="1">
        <v>5225</v>
      </c>
      <c r="H534" s="2">
        <v>103.5</v>
      </c>
      <c r="I534" s="2">
        <v>-21.8</v>
      </c>
      <c r="J534" s="2">
        <v>-27.3</v>
      </c>
      <c r="K534" s="2">
        <f t="shared" si="68"/>
        <v>-21.8</v>
      </c>
      <c r="L534" s="8">
        <f t="shared" si="72"/>
        <v>2.9512092266663824E-13</v>
      </c>
      <c r="M534" s="26"/>
      <c r="N534" s="17"/>
      <c r="O534" s="9">
        <f t="shared" si="70"/>
        <v>-27.3</v>
      </c>
      <c r="P534" s="8">
        <f>D530/B530*10^(O534/10)</f>
        <v>0.29172698474384906</v>
      </c>
      <c r="Q534" s="26"/>
      <c r="R534" s="17"/>
      <c r="S534" s="19"/>
      <c r="T534" s="17"/>
      <c r="U534" s="22"/>
    </row>
    <row r="535" spans="1:21" x14ac:dyDescent="0.25">
      <c r="A535" s="24"/>
      <c r="B535" s="24"/>
      <c r="C535" s="17"/>
      <c r="D535" s="24"/>
      <c r="E535" s="24"/>
      <c r="F535" s="25"/>
      <c r="G535" s="1">
        <v>5625</v>
      </c>
      <c r="H535" s="2">
        <v>99.5</v>
      </c>
      <c r="I535" s="2">
        <v>-24.3</v>
      </c>
      <c r="J535" s="2">
        <v>-27.4</v>
      </c>
      <c r="K535" s="2">
        <f t="shared" si="68"/>
        <v>-24.3</v>
      </c>
      <c r="L535" s="8">
        <f t="shared" si="72"/>
        <v>4.1686938347033585E-13</v>
      </c>
      <c r="M535" s="26"/>
      <c r="N535" s="17"/>
      <c r="O535" s="9">
        <f t="shared" si="70"/>
        <v>-27.4</v>
      </c>
      <c r="P535" s="8">
        <f>D530/B530*10^(O535/10)</f>
        <v>0.28508646784889724</v>
      </c>
      <c r="Q535" s="26"/>
      <c r="R535" s="17"/>
      <c r="S535" s="20"/>
      <c r="T535" s="17"/>
      <c r="U535" s="23"/>
    </row>
    <row r="536" spans="1:21" x14ac:dyDescent="0.25">
      <c r="A536" s="24">
        <v>8000</v>
      </c>
      <c r="B536" s="24">
        <v>3</v>
      </c>
      <c r="C536" s="17">
        <v>0.5</v>
      </c>
      <c r="D536" s="24">
        <v>943</v>
      </c>
      <c r="E536" s="24">
        <v>6</v>
      </c>
      <c r="F536" s="25">
        <v>54</v>
      </c>
      <c r="G536" s="1">
        <v>6025</v>
      </c>
      <c r="H536" s="2">
        <v>95</v>
      </c>
      <c r="I536" s="2">
        <v>-21.8</v>
      </c>
      <c r="J536" s="2">
        <v>-26.3</v>
      </c>
      <c r="K536" s="2">
        <f t="shared" si="68"/>
        <v>-21.8</v>
      </c>
      <c r="L536" s="8">
        <f t="shared" si="72"/>
        <v>2.0892961308540349E-12</v>
      </c>
      <c r="M536" s="26">
        <f>SUM(L536:L541)</f>
        <v>2.4264756369147499E-11</v>
      </c>
      <c r="N536" s="17">
        <f>10*LOG10(M536/E536)</f>
        <v>-113.93175315254327</v>
      </c>
      <c r="O536" s="9">
        <f t="shared" si="70"/>
        <v>-26.3</v>
      </c>
      <c r="P536" s="8">
        <f>D536/B536*10^(O536/10)</f>
        <v>0.73686925761556155</v>
      </c>
      <c r="Q536" s="26">
        <f>SUM(P536:P541)</f>
        <v>4.107414071202677</v>
      </c>
      <c r="R536" s="17">
        <f>10*LOG10(Q536)</f>
        <v>6.1356848658235936</v>
      </c>
      <c r="S536" s="18">
        <f>F536+N536-Kzt-H</f>
        <v>-59.931753152543266</v>
      </c>
      <c r="T536" s="17">
        <v>0.7</v>
      </c>
      <c r="U536" s="21">
        <f>T536*10^((S536-R536)/10)</f>
        <v>1.7312278829483606E-7</v>
      </c>
    </row>
    <row r="537" spans="1:21" x14ac:dyDescent="0.25">
      <c r="A537" s="24"/>
      <c r="B537" s="24"/>
      <c r="C537" s="17"/>
      <c r="D537" s="24"/>
      <c r="E537" s="24"/>
      <c r="F537" s="25"/>
      <c r="G537" s="1">
        <v>7025</v>
      </c>
      <c r="H537" s="2">
        <v>94.8</v>
      </c>
      <c r="I537" s="2">
        <v>-23.5</v>
      </c>
      <c r="J537" s="2">
        <v>-29.4</v>
      </c>
      <c r="K537" s="2">
        <f t="shared" si="68"/>
        <v>-23.5</v>
      </c>
      <c r="L537" s="8">
        <f t="shared" si="72"/>
        <v>1.4791083881682012E-12</v>
      </c>
      <c r="M537" s="26"/>
      <c r="N537" s="17"/>
      <c r="O537" s="9">
        <f t="shared" si="70"/>
        <v>-29.4</v>
      </c>
      <c r="P537" s="8">
        <f>D536/B536*10^(O537/10)</f>
        <v>0.36090295502385339</v>
      </c>
      <c r="Q537" s="26"/>
      <c r="R537" s="17"/>
      <c r="S537" s="19"/>
      <c r="T537" s="17"/>
      <c r="U537" s="22"/>
    </row>
    <row r="538" spans="1:21" x14ac:dyDescent="0.25">
      <c r="A538" s="24"/>
      <c r="B538" s="24"/>
      <c r="C538" s="17"/>
      <c r="D538" s="24"/>
      <c r="E538" s="24"/>
      <c r="F538" s="25"/>
      <c r="G538" s="1">
        <v>8025</v>
      </c>
      <c r="H538" s="2">
        <v>101.9</v>
      </c>
      <c r="I538" s="2">
        <v>-21.4</v>
      </c>
      <c r="J538" s="2">
        <v>-26.4</v>
      </c>
      <c r="K538" s="2">
        <f t="shared" si="68"/>
        <v>-21.4</v>
      </c>
      <c r="L538" s="8">
        <f t="shared" si="72"/>
        <v>4.6773514128719514E-13</v>
      </c>
      <c r="M538" s="26"/>
      <c r="N538" s="17"/>
      <c r="O538" s="9">
        <f t="shared" si="70"/>
        <v>-26.4</v>
      </c>
      <c r="P538" s="8">
        <f>D536/B536*10^(O538/10)</f>
        <v>0.72009606552000349</v>
      </c>
      <c r="Q538" s="26"/>
      <c r="R538" s="17"/>
      <c r="S538" s="19"/>
      <c r="T538" s="17"/>
      <c r="U538" s="22"/>
    </row>
    <row r="539" spans="1:21" x14ac:dyDescent="0.25">
      <c r="A539" s="24"/>
      <c r="B539" s="24"/>
      <c r="C539" s="17"/>
      <c r="D539" s="24"/>
      <c r="E539" s="24"/>
      <c r="F539" s="25"/>
      <c r="G539" s="1">
        <v>9025</v>
      </c>
      <c r="H539" s="2">
        <v>93.2</v>
      </c>
      <c r="I539" s="2">
        <v>-23.1</v>
      </c>
      <c r="J539" s="2">
        <v>-26.9</v>
      </c>
      <c r="K539" s="2">
        <f t="shared" si="68"/>
        <v>-23.1</v>
      </c>
      <c r="L539" s="8">
        <f t="shared" si="72"/>
        <v>2.3442288153199162E-12</v>
      </c>
      <c r="M539" s="26"/>
      <c r="N539" s="17"/>
      <c r="O539" s="9">
        <f t="shared" si="70"/>
        <v>-26.9</v>
      </c>
      <c r="P539" s="8">
        <f>D536/B536*10^(O539/10)</f>
        <v>0.64178629394112197</v>
      </c>
      <c r="Q539" s="26"/>
      <c r="R539" s="17"/>
      <c r="S539" s="19"/>
      <c r="T539" s="17"/>
      <c r="U539" s="22"/>
    </row>
    <row r="540" spans="1:21" x14ac:dyDescent="0.25">
      <c r="A540" s="24"/>
      <c r="B540" s="24"/>
      <c r="C540" s="17"/>
      <c r="D540" s="24"/>
      <c r="E540" s="24"/>
      <c r="F540" s="25"/>
      <c r="G540" s="1">
        <v>10025</v>
      </c>
      <c r="H540" s="2">
        <v>88.3</v>
      </c>
      <c r="I540" s="2">
        <v>-23</v>
      </c>
      <c r="J540" s="2">
        <v>-26.4</v>
      </c>
      <c r="K540" s="2">
        <f t="shared" si="68"/>
        <v>-23</v>
      </c>
      <c r="L540" s="8">
        <f t="shared" si="72"/>
        <v>7.4131024130091739E-12</v>
      </c>
      <c r="M540" s="26"/>
      <c r="N540" s="17"/>
      <c r="O540" s="9">
        <f t="shared" si="70"/>
        <v>-26.4</v>
      </c>
      <c r="P540" s="8">
        <f>D536/B536*10^(O540/10)</f>
        <v>0.72009606552000349</v>
      </c>
      <c r="Q540" s="26"/>
      <c r="R540" s="17"/>
      <c r="S540" s="19"/>
      <c r="T540" s="17"/>
      <c r="U540" s="22"/>
    </row>
    <row r="541" spans="1:21" x14ac:dyDescent="0.25">
      <c r="A541" s="24"/>
      <c r="B541" s="24"/>
      <c r="C541" s="17"/>
      <c r="D541" s="24"/>
      <c r="E541" s="24"/>
      <c r="F541" s="25"/>
      <c r="G541" s="1">
        <v>11025</v>
      </c>
      <c r="H541" s="2">
        <v>86</v>
      </c>
      <c r="I541" s="2">
        <v>-23.8</v>
      </c>
      <c r="J541" s="2">
        <v>-25.3</v>
      </c>
      <c r="K541" s="2">
        <f t="shared" si="68"/>
        <v>-23.8</v>
      </c>
      <c r="L541" s="8">
        <f t="shared" si="72"/>
        <v>1.0471285480508978E-11</v>
      </c>
      <c r="M541" s="26"/>
      <c r="N541" s="17"/>
      <c r="O541" s="9">
        <f t="shared" si="70"/>
        <v>-25.3</v>
      </c>
      <c r="P541" s="8">
        <f>D536/B536*10^(O541/10)</f>
        <v>0.92766343358213321</v>
      </c>
      <c r="Q541" s="26"/>
      <c r="R541" s="17"/>
      <c r="S541" s="20"/>
      <c r="T541" s="17"/>
      <c r="U541" s="23"/>
    </row>
    <row r="542" spans="1:21" x14ac:dyDescent="0.25">
      <c r="A542" s="24" t="s">
        <v>20</v>
      </c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12">
        <f>U542</f>
        <v>6.2706682208986092E-2</v>
      </c>
      <c r="T542" s="2"/>
      <c r="U542" s="8">
        <f>0.8*SQRT(SUM(U508:U541))</f>
        <v>6.2706682208986092E-2</v>
      </c>
    </row>
    <row r="543" spans="1:21" x14ac:dyDescent="0.25">
      <c r="A543" s="27" t="s">
        <v>67</v>
      </c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9"/>
    </row>
    <row r="544" spans="1:21" x14ac:dyDescent="0.25">
      <c r="A544" s="24">
        <v>250</v>
      </c>
      <c r="B544" s="24">
        <v>3</v>
      </c>
      <c r="C544" s="17">
        <v>0.5</v>
      </c>
      <c r="D544" s="24">
        <v>38</v>
      </c>
      <c r="E544" s="24">
        <v>4</v>
      </c>
      <c r="F544" s="25">
        <v>84</v>
      </c>
      <c r="G544" s="1">
        <v>175</v>
      </c>
      <c r="H544" s="2">
        <v>84.8</v>
      </c>
      <c r="I544" s="2">
        <v>-14.2</v>
      </c>
      <c r="J544" s="2">
        <v>-17.2</v>
      </c>
      <c r="K544" s="2">
        <f>I544</f>
        <v>-14.2</v>
      </c>
      <c r="L544" s="8">
        <f>10^((K544-H544)/10)</f>
        <v>1.2589254117941656E-10</v>
      </c>
      <c r="M544" s="26">
        <f>SUM(L544:L547)</f>
        <v>2.0017881644936624E-10</v>
      </c>
      <c r="N544" s="17">
        <f>10*LOG10(M544/E544)</f>
        <v>-103.00641874158245</v>
      </c>
      <c r="O544" s="9">
        <f>J544</f>
        <v>-17.2</v>
      </c>
      <c r="P544" s="8">
        <f>D544/B544*10^(O544/10)</f>
        <v>0.24135835760867785</v>
      </c>
      <c r="Q544" s="26">
        <f>SUM(P544:P547)</f>
        <v>0.79915426689087377</v>
      </c>
      <c r="R544" s="17">
        <f>10*LOG10(Q544)</f>
        <v>-0.9736937739122421</v>
      </c>
      <c r="S544" s="18">
        <f>F544+N544-Kzt-H</f>
        <v>-19.006418741582451</v>
      </c>
      <c r="T544" s="17">
        <v>0.2</v>
      </c>
      <c r="U544" s="21">
        <f>T544*10^((S544-R544)/10)</f>
        <v>3.1459911668310714E-3</v>
      </c>
    </row>
    <row r="545" spans="1:21" x14ac:dyDescent="0.25">
      <c r="A545" s="24"/>
      <c r="B545" s="24"/>
      <c r="C545" s="17"/>
      <c r="D545" s="24"/>
      <c r="E545" s="24"/>
      <c r="F545" s="25"/>
      <c r="G545" s="1">
        <v>225</v>
      </c>
      <c r="H545" s="2">
        <v>90</v>
      </c>
      <c r="I545" s="2">
        <v>-15.1</v>
      </c>
      <c r="J545" s="2">
        <v>-16.100000000000001</v>
      </c>
      <c r="K545" s="2">
        <f t="shared" ref="K545:K577" si="73">I545</f>
        <v>-15.1</v>
      </c>
      <c r="L545" s="8">
        <f t="shared" ref="L545:L546" si="74">10^((K545-H545)/10)</f>
        <v>3.0902954325135829E-11</v>
      </c>
      <c r="M545" s="26"/>
      <c r="N545" s="17"/>
      <c r="O545" s="9">
        <f t="shared" ref="O545:O577" si="75">J545</f>
        <v>-16.100000000000001</v>
      </c>
      <c r="P545" s="8">
        <f>D544/B544*10^(O545/10)</f>
        <v>0.31092979598677029</v>
      </c>
      <c r="Q545" s="26"/>
      <c r="R545" s="17"/>
      <c r="S545" s="19"/>
      <c r="T545" s="17"/>
      <c r="U545" s="22"/>
    </row>
    <row r="546" spans="1:21" x14ac:dyDescent="0.25">
      <c r="A546" s="24"/>
      <c r="B546" s="24"/>
      <c r="C546" s="17"/>
      <c r="D546" s="24"/>
      <c r="E546" s="24"/>
      <c r="F546" s="25"/>
      <c r="G546" s="1">
        <v>275</v>
      </c>
      <c r="H546" s="2">
        <v>92.2</v>
      </c>
      <c r="I546" s="2">
        <v>-12.4</v>
      </c>
      <c r="J546" s="2">
        <v>-18.899999999999999</v>
      </c>
      <c r="K546" s="2">
        <f t="shared" si="73"/>
        <v>-12.4</v>
      </c>
      <c r="L546" s="8">
        <f t="shared" si="74"/>
        <v>3.4673685045253057E-11</v>
      </c>
      <c r="M546" s="26"/>
      <c r="N546" s="17"/>
      <c r="O546" s="9">
        <f t="shared" si="75"/>
        <v>-18.899999999999999</v>
      </c>
      <c r="P546" s="8">
        <f>D544/B544*10^(O546/10)</f>
        <v>0.16317827654779687</v>
      </c>
      <c r="Q546" s="26"/>
      <c r="R546" s="17"/>
      <c r="S546" s="19"/>
      <c r="T546" s="17"/>
      <c r="U546" s="22"/>
    </row>
    <row r="547" spans="1:21" x14ac:dyDescent="0.25">
      <c r="A547" s="24"/>
      <c r="B547" s="24"/>
      <c r="C547" s="17"/>
      <c r="D547" s="24"/>
      <c r="E547" s="24"/>
      <c r="F547" s="25"/>
      <c r="G547" s="1">
        <v>325</v>
      </c>
      <c r="H547" s="2">
        <v>93.3</v>
      </c>
      <c r="I547" s="2">
        <v>-17.3</v>
      </c>
      <c r="J547" s="2">
        <v>-21.8</v>
      </c>
      <c r="K547" s="2">
        <f t="shared" si="73"/>
        <v>-17.3</v>
      </c>
      <c r="L547" s="8">
        <f>10^((K547-H547)/10)</f>
        <v>8.7096358995607975E-12</v>
      </c>
      <c r="M547" s="26"/>
      <c r="N547" s="17"/>
      <c r="O547" s="9">
        <f t="shared" si="75"/>
        <v>-21.8</v>
      </c>
      <c r="P547" s="8">
        <f>D544/B544*10^(O547/10)</f>
        <v>8.368783674762878E-2</v>
      </c>
      <c r="Q547" s="26"/>
      <c r="R547" s="17"/>
      <c r="S547" s="20"/>
      <c r="T547" s="17"/>
      <c r="U547" s="23"/>
    </row>
    <row r="548" spans="1:21" x14ac:dyDescent="0.25">
      <c r="A548" s="24">
        <v>500</v>
      </c>
      <c r="B548" s="24">
        <v>3</v>
      </c>
      <c r="C548" s="17">
        <v>0.5</v>
      </c>
      <c r="D548" s="24">
        <v>59</v>
      </c>
      <c r="E548" s="24">
        <v>6</v>
      </c>
      <c r="F548" s="25">
        <v>84</v>
      </c>
      <c r="G548" s="1">
        <v>375</v>
      </c>
      <c r="H548" s="2">
        <v>91.9</v>
      </c>
      <c r="I548" s="2">
        <v>-20.399999999999999</v>
      </c>
      <c r="J548" s="2">
        <v>-20.7</v>
      </c>
      <c r="K548" s="2">
        <f t="shared" si="73"/>
        <v>-20.399999999999999</v>
      </c>
      <c r="L548" s="8">
        <f t="shared" ref="L548:L549" si="76">10^((K548-H548)/10)</f>
        <v>5.8884365535558725E-12</v>
      </c>
      <c r="M548" s="26">
        <f>SUM(L548:L553)</f>
        <v>2.0358018912288537E-10</v>
      </c>
      <c r="N548" s="17">
        <f>10*LOG10(M548/E548)</f>
        <v>-104.69415736901757</v>
      </c>
      <c r="O548" s="9">
        <f t="shared" si="75"/>
        <v>-20.7</v>
      </c>
      <c r="P548" s="8">
        <f>D548/B548*10^(O548/10)</f>
        <v>0.16739048084646743</v>
      </c>
      <c r="Q548" s="26">
        <f>SUM(P548:P553)</f>
        <v>1.246021759104353</v>
      </c>
      <c r="R548" s="17">
        <f>10*LOG10(Q548)</f>
        <v>0.95525626413391895</v>
      </c>
      <c r="S548" s="18">
        <f>F548+N548-Kzt-H</f>
        <v>-20.694157369017574</v>
      </c>
      <c r="T548" s="17">
        <v>0.5</v>
      </c>
      <c r="U548" s="21">
        <f>T548*10^((S548-R548)/10)</f>
        <v>3.4200199625025289E-3</v>
      </c>
    </row>
    <row r="549" spans="1:21" x14ac:dyDescent="0.25">
      <c r="A549" s="24"/>
      <c r="B549" s="24"/>
      <c r="C549" s="17"/>
      <c r="D549" s="24"/>
      <c r="E549" s="24"/>
      <c r="F549" s="25"/>
      <c r="G549" s="1">
        <v>425</v>
      </c>
      <c r="H549" s="2">
        <v>88.1</v>
      </c>
      <c r="I549" s="2">
        <v>-11.7</v>
      </c>
      <c r="J549" s="2">
        <v>-17.899999999999999</v>
      </c>
      <c r="K549" s="2">
        <f t="shared" si="73"/>
        <v>-11.7</v>
      </c>
      <c r="L549" s="8">
        <f t="shared" si="76"/>
        <v>1.0471285480508951E-10</v>
      </c>
      <c r="M549" s="26"/>
      <c r="N549" s="17"/>
      <c r="O549" s="9">
        <f t="shared" si="75"/>
        <v>-17.899999999999999</v>
      </c>
      <c r="P549" s="8">
        <f>D548/B548*10^(O549/10)</f>
        <v>0.31895598581392304</v>
      </c>
      <c r="Q549" s="26"/>
      <c r="R549" s="17"/>
      <c r="S549" s="19"/>
      <c r="T549" s="17"/>
      <c r="U549" s="22"/>
    </row>
    <row r="550" spans="1:21" x14ac:dyDescent="0.25">
      <c r="A550" s="24"/>
      <c r="B550" s="24"/>
      <c r="C550" s="17"/>
      <c r="D550" s="24"/>
      <c r="E550" s="24"/>
      <c r="F550" s="25"/>
      <c r="G550" s="1">
        <v>475</v>
      </c>
      <c r="H550" s="2">
        <v>90</v>
      </c>
      <c r="I550" s="2">
        <v>-12.1</v>
      </c>
      <c r="J550" s="2">
        <v>-21.4</v>
      </c>
      <c r="K550" s="2">
        <f t="shared" si="73"/>
        <v>-12.1</v>
      </c>
      <c r="L550" s="8">
        <f>10^((K550-H550)/10)</f>
        <v>6.1659500186148317E-11</v>
      </c>
      <c r="M550" s="26"/>
      <c r="N550" s="17"/>
      <c r="O550" s="9">
        <f t="shared" si="75"/>
        <v>-21.4</v>
      </c>
      <c r="P550" s="8">
        <f>D548/B548*10^(O550/10)</f>
        <v>0.14247240548141471</v>
      </c>
      <c r="Q550" s="26"/>
      <c r="R550" s="17"/>
      <c r="S550" s="19"/>
      <c r="T550" s="17"/>
      <c r="U550" s="22"/>
    </row>
    <row r="551" spans="1:21" x14ac:dyDescent="0.25">
      <c r="A551" s="24"/>
      <c r="B551" s="24"/>
      <c r="C551" s="17"/>
      <c r="D551" s="24"/>
      <c r="E551" s="24"/>
      <c r="F551" s="25"/>
      <c r="G551" s="1">
        <v>575</v>
      </c>
      <c r="H551" s="2">
        <v>97</v>
      </c>
      <c r="I551" s="2">
        <v>-13.6</v>
      </c>
      <c r="J551" s="2">
        <v>-21.7</v>
      </c>
      <c r="K551" s="2">
        <f t="shared" si="73"/>
        <v>-13.6</v>
      </c>
      <c r="L551" s="8">
        <f t="shared" ref="L551:L577" si="77">10^((K551-H551)/10)</f>
        <v>8.7096358995607975E-12</v>
      </c>
      <c r="M551" s="26"/>
      <c r="N551" s="17"/>
      <c r="O551" s="9">
        <f t="shared" si="75"/>
        <v>-21.7</v>
      </c>
      <c r="P551" s="8">
        <f>D548/B548*10^(O551/10)</f>
        <v>0.13296298516042301</v>
      </c>
      <c r="Q551" s="26"/>
      <c r="R551" s="17"/>
      <c r="S551" s="19"/>
      <c r="T551" s="17"/>
      <c r="U551" s="22"/>
    </row>
    <row r="552" spans="1:21" x14ac:dyDescent="0.25">
      <c r="A552" s="24"/>
      <c r="B552" s="24"/>
      <c r="C552" s="17"/>
      <c r="D552" s="24"/>
      <c r="E552" s="24"/>
      <c r="F552" s="25"/>
      <c r="G552" s="1">
        <v>625</v>
      </c>
      <c r="H552" s="2">
        <v>92</v>
      </c>
      <c r="I552" s="2">
        <v>-16</v>
      </c>
      <c r="J552" s="2">
        <v>-17.600000000000001</v>
      </c>
      <c r="K552" s="2">
        <f t="shared" si="73"/>
        <v>-16</v>
      </c>
      <c r="L552" s="8">
        <f t="shared" si="77"/>
        <v>1.5848931924611082E-11</v>
      </c>
      <c r="M552" s="26"/>
      <c r="N552" s="17"/>
      <c r="O552" s="9">
        <f t="shared" si="75"/>
        <v>-17.600000000000001</v>
      </c>
      <c r="P552" s="8">
        <f>D548/B548*10^(O552/10)</f>
        <v>0.34176749632071018</v>
      </c>
      <c r="Q552" s="26"/>
      <c r="R552" s="17"/>
      <c r="S552" s="19"/>
      <c r="T552" s="17"/>
      <c r="U552" s="22"/>
    </row>
    <row r="553" spans="1:21" x14ac:dyDescent="0.25">
      <c r="A553" s="24"/>
      <c r="B553" s="24"/>
      <c r="C553" s="17"/>
      <c r="D553" s="24"/>
      <c r="E553" s="24"/>
      <c r="F553" s="25"/>
      <c r="G553" s="1">
        <v>675</v>
      </c>
      <c r="H553" s="2">
        <v>94.5</v>
      </c>
      <c r="I553" s="2">
        <v>-17.2</v>
      </c>
      <c r="J553" s="2">
        <v>-21.4</v>
      </c>
      <c r="K553" s="2">
        <f t="shared" si="73"/>
        <v>-17.2</v>
      </c>
      <c r="L553" s="8">
        <f t="shared" si="77"/>
        <v>6.7608297539197943E-12</v>
      </c>
      <c r="M553" s="26"/>
      <c r="N553" s="17"/>
      <c r="O553" s="9">
        <f t="shared" si="75"/>
        <v>-21.4</v>
      </c>
      <c r="P553" s="8">
        <f>D548/B548*10^(O553/10)</f>
        <v>0.14247240548141471</v>
      </c>
      <c r="Q553" s="26"/>
      <c r="R553" s="17"/>
      <c r="S553" s="20"/>
      <c r="T553" s="17"/>
      <c r="U553" s="23"/>
    </row>
    <row r="554" spans="1:21" x14ac:dyDescent="0.25">
      <c r="A554" s="24">
        <v>1000</v>
      </c>
      <c r="B554" s="24">
        <v>3</v>
      </c>
      <c r="C554" s="17">
        <v>0.5</v>
      </c>
      <c r="D554" s="24">
        <v>117</v>
      </c>
      <c r="E554" s="24">
        <v>6</v>
      </c>
      <c r="F554" s="25">
        <v>76</v>
      </c>
      <c r="G554" s="1">
        <v>875</v>
      </c>
      <c r="H554" s="2">
        <v>91.1</v>
      </c>
      <c r="I554" s="2">
        <v>-15.6</v>
      </c>
      <c r="J554" s="2">
        <v>-19.7</v>
      </c>
      <c r="K554" s="2">
        <f t="shared" si="73"/>
        <v>-15.6</v>
      </c>
      <c r="L554" s="8">
        <f t="shared" si="77"/>
        <v>2.1379620895022375E-11</v>
      </c>
      <c r="M554" s="26">
        <f>SUM(L554:L559)</f>
        <v>4.3610238842179834E-11</v>
      </c>
      <c r="N554" s="17">
        <f>10*LOG10(M554/E554)</f>
        <v>-111.3856278518335</v>
      </c>
      <c r="O554" s="9">
        <f t="shared" si="75"/>
        <v>-19.7</v>
      </c>
      <c r="P554" s="8">
        <f>D554/B554*10^(O554/10)</f>
        <v>0.41789252904266622</v>
      </c>
      <c r="Q554" s="26">
        <f>SUM(P554:P559)</f>
        <v>2.5072526148366259</v>
      </c>
      <c r="R554" s="17">
        <f>10*LOG10(Q554)</f>
        <v>3.9919809291418202</v>
      </c>
      <c r="S554" s="18">
        <f>F554+N554-Kzt-H</f>
        <v>-35.385627851833505</v>
      </c>
      <c r="T554" s="17">
        <v>0.8</v>
      </c>
      <c r="U554" s="21">
        <f>T554*10^((S554-R554)/10)</f>
        <v>9.2327081788704809E-5</v>
      </c>
    </row>
    <row r="555" spans="1:21" x14ac:dyDescent="0.25">
      <c r="A555" s="24"/>
      <c r="B555" s="24"/>
      <c r="C555" s="17"/>
      <c r="D555" s="24"/>
      <c r="E555" s="24"/>
      <c r="F555" s="25"/>
      <c r="G555" s="1">
        <v>975</v>
      </c>
      <c r="H555" s="2">
        <v>96.5</v>
      </c>
      <c r="I555" s="2">
        <v>-15.6</v>
      </c>
      <c r="J555" s="2">
        <v>-18.899999999999999</v>
      </c>
      <c r="K555" s="2">
        <f t="shared" si="73"/>
        <v>-15.6</v>
      </c>
      <c r="L555" s="8">
        <f t="shared" si="77"/>
        <v>6.1659500186148244E-12</v>
      </c>
      <c r="M555" s="26"/>
      <c r="N555" s="17"/>
      <c r="O555" s="9">
        <f t="shared" si="75"/>
        <v>-18.899999999999999</v>
      </c>
      <c r="P555" s="8">
        <f>D554/B554*10^(O555/10)</f>
        <v>0.50241732516032189</v>
      </c>
      <c r="Q555" s="26"/>
      <c r="R555" s="17"/>
      <c r="S555" s="19"/>
      <c r="T555" s="17"/>
      <c r="U555" s="22"/>
    </row>
    <row r="556" spans="1:21" x14ac:dyDescent="0.25">
      <c r="A556" s="24"/>
      <c r="B556" s="24"/>
      <c r="C556" s="17"/>
      <c r="D556" s="24"/>
      <c r="E556" s="24"/>
      <c r="F556" s="25"/>
      <c r="G556" s="1">
        <v>1075</v>
      </c>
      <c r="H556" s="2">
        <v>94.6</v>
      </c>
      <c r="I556" s="2">
        <v>-16.8</v>
      </c>
      <c r="J556" s="2">
        <v>-17.399999999999999</v>
      </c>
      <c r="K556" s="2">
        <f t="shared" si="73"/>
        <v>-16.8</v>
      </c>
      <c r="L556" s="8">
        <f t="shared" si="77"/>
        <v>7.2443596007498992E-12</v>
      </c>
      <c r="M556" s="26"/>
      <c r="N556" s="17"/>
      <c r="O556" s="9">
        <f t="shared" si="75"/>
        <v>-17.399999999999999</v>
      </c>
      <c r="P556" s="8">
        <f>D554/B554*10^(O556/10)</f>
        <v>0.70968333485789337</v>
      </c>
      <c r="Q556" s="26"/>
      <c r="R556" s="17"/>
      <c r="S556" s="19"/>
      <c r="T556" s="17"/>
      <c r="U556" s="22"/>
    </row>
    <row r="557" spans="1:21" x14ac:dyDescent="0.25">
      <c r="A557" s="24"/>
      <c r="B557" s="24"/>
      <c r="C557" s="17"/>
      <c r="D557" s="24"/>
      <c r="E557" s="24"/>
      <c r="F557" s="25"/>
      <c r="G557" s="1">
        <v>1175</v>
      </c>
      <c r="H557" s="2">
        <v>97.8</v>
      </c>
      <c r="I557" s="2">
        <v>-17.600000000000001</v>
      </c>
      <c r="J557" s="2">
        <v>-22.2</v>
      </c>
      <c r="K557" s="2">
        <f t="shared" si="73"/>
        <v>-17.600000000000001</v>
      </c>
      <c r="L557" s="8">
        <f t="shared" si="77"/>
        <v>2.8840315031265959E-12</v>
      </c>
      <c r="M557" s="26"/>
      <c r="N557" s="17"/>
      <c r="O557" s="9">
        <f t="shared" si="75"/>
        <v>-22.2</v>
      </c>
      <c r="P557" s="8">
        <f>D554/B554*10^(O557/10)</f>
        <v>0.23499823856899951</v>
      </c>
      <c r="Q557" s="26"/>
      <c r="R557" s="17"/>
      <c r="S557" s="19"/>
      <c r="T557" s="17"/>
      <c r="U557" s="22"/>
    </row>
    <row r="558" spans="1:21" x14ac:dyDescent="0.25">
      <c r="A558" s="24"/>
      <c r="B558" s="24"/>
      <c r="C558" s="17"/>
      <c r="D558" s="24"/>
      <c r="E558" s="24"/>
      <c r="F558" s="25"/>
      <c r="G558" s="1">
        <v>1275</v>
      </c>
      <c r="H558" s="2">
        <v>100.1</v>
      </c>
      <c r="I558" s="2">
        <v>-13.2</v>
      </c>
      <c r="J558" s="2">
        <v>-21.6</v>
      </c>
      <c r="K558" s="2">
        <f t="shared" si="73"/>
        <v>-13.2</v>
      </c>
      <c r="L558" s="8">
        <f t="shared" si="77"/>
        <v>4.6773514128719737E-12</v>
      </c>
      <c r="M558" s="26"/>
      <c r="N558" s="17"/>
      <c r="O558" s="9">
        <f t="shared" si="75"/>
        <v>-21.6</v>
      </c>
      <c r="P558" s="8">
        <f>D554/B554*10^(O558/10)</f>
        <v>0.26981407865838503</v>
      </c>
      <c r="Q558" s="26"/>
      <c r="R558" s="17"/>
      <c r="S558" s="19"/>
      <c r="T558" s="17"/>
      <c r="U558" s="22"/>
    </row>
    <row r="559" spans="1:21" x14ac:dyDescent="0.25">
      <c r="A559" s="24"/>
      <c r="B559" s="24"/>
      <c r="C559" s="17"/>
      <c r="D559" s="24"/>
      <c r="E559" s="24"/>
      <c r="F559" s="25"/>
      <c r="G559" s="1">
        <v>1375</v>
      </c>
      <c r="H559" s="2">
        <v>103</v>
      </c>
      <c r="I559" s="2">
        <v>-16</v>
      </c>
      <c r="J559" s="2">
        <v>-20.2</v>
      </c>
      <c r="K559" s="2">
        <f t="shared" si="73"/>
        <v>-16</v>
      </c>
      <c r="L559" s="8">
        <f t="shared" si="77"/>
        <v>1.2589254117941629E-12</v>
      </c>
      <c r="M559" s="26"/>
      <c r="N559" s="17"/>
      <c r="O559" s="9">
        <f t="shared" si="75"/>
        <v>-20.2</v>
      </c>
      <c r="P559" s="8">
        <f>D554/B554*10^(O559/10)</f>
        <v>0.37244710854835994</v>
      </c>
      <c r="Q559" s="26"/>
      <c r="R559" s="17"/>
      <c r="S559" s="20"/>
      <c r="T559" s="17"/>
      <c r="U559" s="23"/>
    </row>
    <row r="560" spans="1:21" x14ac:dyDescent="0.25">
      <c r="A560" s="24">
        <v>2000</v>
      </c>
      <c r="B560" s="24">
        <v>3</v>
      </c>
      <c r="C560" s="17">
        <v>0.5</v>
      </c>
      <c r="D560" s="24">
        <v>234</v>
      </c>
      <c r="E560" s="24">
        <v>6</v>
      </c>
      <c r="F560" s="25">
        <v>68</v>
      </c>
      <c r="G560" s="1">
        <v>1425</v>
      </c>
      <c r="H560" s="2">
        <v>102.8</v>
      </c>
      <c r="I560" s="2">
        <v>-17.8</v>
      </c>
      <c r="J560" s="2">
        <v>-20.2</v>
      </c>
      <c r="K560" s="2">
        <f t="shared" si="73"/>
        <v>-17.8</v>
      </c>
      <c r="L560" s="8">
        <f t="shared" si="77"/>
        <v>8.7096358995608191E-13</v>
      </c>
      <c r="M560" s="26">
        <f>SUM(L560:L565)</f>
        <v>1.2847273978222585E-11</v>
      </c>
      <c r="N560" s="17">
        <f>10*LOG10(M560/E560)</f>
        <v>-116.6934026449144</v>
      </c>
      <c r="O560" s="9">
        <f t="shared" si="75"/>
        <v>-20.2</v>
      </c>
      <c r="P560" s="8">
        <f>D560/B560*10^(O560/10)</f>
        <v>0.74489421709671988</v>
      </c>
      <c r="Q560" s="26">
        <f>SUM(P560:P565)</f>
        <v>5.3994323681649705</v>
      </c>
      <c r="R560" s="17">
        <f>10*LOG10(Q560)</f>
        <v>7.3234810568754192</v>
      </c>
      <c r="S560" s="18">
        <f>F560+N560-Kzt-H</f>
        <v>-48.6934026449144</v>
      </c>
      <c r="T560" s="17">
        <v>1</v>
      </c>
      <c r="U560" s="21">
        <f>T560*10^((S560-R560)/10)</f>
        <v>2.5021401388110801E-6</v>
      </c>
    </row>
    <row r="561" spans="1:21" x14ac:dyDescent="0.25">
      <c r="A561" s="24"/>
      <c r="B561" s="24"/>
      <c r="C561" s="17"/>
      <c r="D561" s="24"/>
      <c r="E561" s="24"/>
      <c r="F561" s="25"/>
      <c r="G561" s="1">
        <v>1625</v>
      </c>
      <c r="H561" s="2">
        <v>104.1</v>
      </c>
      <c r="I561" s="2">
        <v>-19.5</v>
      </c>
      <c r="J561" s="2">
        <v>-19.8</v>
      </c>
      <c r="K561" s="2">
        <f t="shared" si="73"/>
        <v>-19.5</v>
      </c>
      <c r="L561" s="8">
        <f t="shared" si="77"/>
        <v>4.3651583224016479E-13</v>
      </c>
      <c r="M561" s="26"/>
      <c r="N561" s="17"/>
      <c r="O561" s="9">
        <f t="shared" si="75"/>
        <v>-19.8</v>
      </c>
      <c r="P561" s="8">
        <f>D560/B560*10^(O561/10)</f>
        <v>0.8167602674797011</v>
      </c>
      <c r="Q561" s="26"/>
      <c r="R561" s="17"/>
      <c r="S561" s="19"/>
      <c r="T561" s="17"/>
      <c r="U561" s="22"/>
    </row>
    <row r="562" spans="1:21" x14ac:dyDescent="0.25">
      <c r="A562" s="24"/>
      <c r="B562" s="24"/>
      <c r="C562" s="17"/>
      <c r="D562" s="24"/>
      <c r="E562" s="24"/>
      <c r="F562" s="25"/>
      <c r="G562" s="1">
        <v>1825</v>
      </c>
      <c r="H562" s="2">
        <v>107.6</v>
      </c>
      <c r="I562" s="2">
        <v>-17.2</v>
      </c>
      <c r="J562" s="2">
        <v>-18.100000000000001</v>
      </c>
      <c r="K562" s="2">
        <f t="shared" si="73"/>
        <v>-17.2</v>
      </c>
      <c r="L562" s="8">
        <f t="shared" si="77"/>
        <v>3.311311214825894E-13</v>
      </c>
      <c r="M562" s="26"/>
      <c r="N562" s="17"/>
      <c r="O562" s="9">
        <f t="shared" si="75"/>
        <v>-18.100000000000001</v>
      </c>
      <c r="P562" s="8">
        <f>D560/B560*10^(O562/10)</f>
        <v>1.2080769627517347</v>
      </c>
      <c r="Q562" s="26"/>
      <c r="R562" s="17"/>
      <c r="S562" s="19"/>
      <c r="T562" s="17"/>
      <c r="U562" s="22"/>
    </row>
    <row r="563" spans="1:21" x14ac:dyDescent="0.25">
      <c r="A563" s="24"/>
      <c r="B563" s="24"/>
      <c r="C563" s="17"/>
      <c r="D563" s="24"/>
      <c r="E563" s="24"/>
      <c r="F563" s="25"/>
      <c r="G563" s="1">
        <v>2125</v>
      </c>
      <c r="H563" s="2">
        <v>104.2</v>
      </c>
      <c r="I563" s="2">
        <v>-15.1</v>
      </c>
      <c r="J563" s="2">
        <v>-19.8</v>
      </c>
      <c r="K563" s="2">
        <f t="shared" si="73"/>
        <v>-15.1</v>
      </c>
      <c r="L563" s="8">
        <f t="shared" si="77"/>
        <v>1.1748975549395258E-12</v>
      </c>
      <c r="M563" s="26"/>
      <c r="N563" s="17"/>
      <c r="O563" s="9">
        <f t="shared" si="75"/>
        <v>-19.8</v>
      </c>
      <c r="P563" s="8">
        <f>D560/B560*10^(O563/10)</f>
        <v>0.8167602674797011</v>
      </c>
      <c r="Q563" s="26"/>
      <c r="R563" s="17"/>
      <c r="S563" s="19"/>
      <c r="T563" s="17"/>
      <c r="U563" s="22"/>
    </row>
    <row r="564" spans="1:21" x14ac:dyDescent="0.25">
      <c r="A564" s="24"/>
      <c r="B564" s="24"/>
      <c r="C564" s="17"/>
      <c r="D564" s="24"/>
      <c r="E564" s="24"/>
      <c r="F564" s="25"/>
      <c r="G564" s="1">
        <v>2425</v>
      </c>
      <c r="H564" s="2">
        <v>93.7</v>
      </c>
      <c r="I564" s="2">
        <v>-17.2</v>
      </c>
      <c r="J564" s="2">
        <v>-19.2</v>
      </c>
      <c r="K564" s="2">
        <f t="shared" si="73"/>
        <v>-17.2</v>
      </c>
      <c r="L564" s="8">
        <f t="shared" si="77"/>
        <v>8.1283051616409864E-12</v>
      </c>
      <c r="M564" s="26"/>
      <c r="N564" s="17"/>
      <c r="O564" s="9">
        <f t="shared" si="75"/>
        <v>-19.2</v>
      </c>
      <c r="P564" s="8">
        <f>D560/B560*10^(O564/10)</f>
        <v>0.93776625900158173</v>
      </c>
      <c r="Q564" s="26"/>
      <c r="R564" s="17"/>
      <c r="S564" s="19"/>
      <c r="T564" s="17"/>
      <c r="U564" s="22"/>
    </row>
    <row r="565" spans="1:21" x14ac:dyDescent="0.25">
      <c r="A565" s="24"/>
      <c r="B565" s="24"/>
      <c r="C565" s="17"/>
      <c r="D565" s="24"/>
      <c r="E565" s="24"/>
      <c r="F565" s="25"/>
      <c r="G565" s="1">
        <v>2775</v>
      </c>
      <c r="H565" s="2">
        <v>100.2</v>
      </c>
      <c r="I565" s="2">
        <v>-17</v>
      </c>
      <c r="J565" s="2">
        <v>-19.5</v>
      </c>
      <c r="K565" s="2">
        <f t="shared" si="73"/>
        <v>-17</v>
      </c>
      <c r="L565" s="8">
        <f t="shared" si="77"/>
        <v>1.905460717963237E-12</v>
      </c>
      <c r="M565" s="26"/>
      <c r="N565" s="17"/>
      <c r="O565" s="9">
        <f t="shared" si="75"/>
        <v>-19.5</v>
      </c>
      <c r="P565" s="8">
        <f>D560/B560*10^(O565/10)</f>
        <v>0.87517439435553146</v>
      </c>
      <c r="Q565" s="26"/>
      <c r="R565" s="17"/>
      <c r="S565" s="20"/>
      <c r="T565" s="17"/>
      <c r="U565" s="23"/>
    </row>
    <row r="566" spans="1:21" x14ac:dyDescent="0.25">
      <c r="A566" s="24">
        <v>4000</v>
      </c>
      <c r="B566" s="24">
        <v>3</v>
      </c>
      <c r="C566" s="17">
        <v>0.5</v>
      </c>
      <c r="D566" s="24">
        <v>470</v>
      </c>
      <c r="E566" s="24">
        <v>6</v>
      </c>
      <c r="F566" s="25">
        <v>62</v>
      </c>
      <c r="G566" s="1">
        <v>2825</v>
      </c>
      <c r="H566" s="2">
        <v>99.4</v>
      </c>
      <c r="I566" s="2">
        <v>-17.100000000000001</v>
      </c>
      <c r="J566" s="2">
        <v>-20</v>
      </c>
      <c r="K566" s="2">
        <f t="shared" si="73"/>
        <v>-17.100000000000001</v>
      </c>
      <c r="L566" s="8">
        <f t="shared" si="77"/>
        <v>2.2387211385683343E-12</v>
      </c>
      <c r="M566" s="26">
        <f>SUM(L566:L571)</f>
        <v>8.1890837100770008E-12</v>
      </c>
      <c r="N566" s="17">
        <f>10*LOG10(M566/E566)</f>
        <v>-118.649159398222</v>
      </c>
      <c r="O566" s="9">
        <f t="shared" si="75"/>
        <v>-20</v>
      </c>
      <c r="P566" s="8">
        <f>D566/B566*10^(O566/10)</f>
        <v>1.5666666666666667</v>
      </c>
      <c r="Q566" s="26">
        <f>SUM(P566:P571)</f>
        <v>12.063368444706075</v>
      </c>
      <c r="R566" s="17">
        <f>10*LOG10(Q566)</f>
        <v>10.814685924382667</v>
      </c>
      <c r="S566" s="18">
        <f>F566+N566-Kzt-H</f>
        <v>-56.649159398221997</v>
      </c>
      <c r="T566" s="17">
        <v>0.9</v>
      </c>
      <c r="U566" s="21">
        <f>T566*10^((S566-R566)/10)</f>
        <v>1.6138307161990379E-7</v>
      </c>
    </row>
    <row r="567" spans="1:21" x14ac:dyDescent="0.25">
      <c r="A567" s="24"/>
      <c r="B567" s="24"/>
      <c r="C567" s="17"/>
      <c r="D567" s="24"/>
      <c r="E567" s="24"/>
      <c r="F567" s="25"/>
      <c r="G567" s="1">
        <v>3425</v>
      </c>
      <c r="H567" s="2">
        <v>103.5</v>
      </c>
      <c r="I567" s="2">
        <v>-14.4</v>
      </c>
      <c r="J567" s="2">
        <v>-19.3</v>
      </c>
      <c r="K567" s="2">
        <f t="shared" si="73"/>
        <v>-14.4</v>
      </c>
      <c r="L567" s="8">
        <f t="shared" si="77"/>
        <v>1.6218100973589226E-12</v>
      </c>
      <c r="M567" s="26"/>
      <c r="N567" s="17"/>
      <c r="O567" s="9">
        <f t="shared" si="75"/>
        <v>-19.3</v>
      </c>
      <c r="P567" s="8">
        <f>D566/B566*10^(O567/10)</f>
        <v>1.8406728360719276</v>
      </c>
      <c r="Q567" s="26"/>
      <c r="R567" s="17"/>
      <c r="S567" s="19"/>
      <c r="T567" s="17"/>
      <c r="U567" s="22"/>
    </row>
    <row r="568" spans="1:21" x14ac:dyDescent="0.25">
      <c r="A568" s="24"/>
      <c r="B568" s="24"/>
      <c r="C568" s="17"/>
      <c r="D568" s="24"/>
      <c r="E568" s="24"/>
      <c r="F568" s="25"/>
      <c r="G568" s="1">
        <v>4025</v>
      </c>
      <c r="H568" s="2">
        <v>103.6</v>
      </c>
      <c r="I568" s="2">
        <v>-15.100000000000001</v>
      </c>
      <c r="J568" s="2">
        <v>-16.600000000000001</v>
      </c>
      <c r="K568" s="2">
        <f t="shared" si="73"/>
        <v>-15.100000000000001</v>
      </c>
      <c r="L568" s="8">
        <f t="shared" si="77"/>
        <v>1.3489628825916532E-12</v>
      </c>
      <c r="M568" s="26"/>
      <c r="N568" s="17"/>
      <c r="O568" s="9">
        <f t="shared" si="75"/>
        <v>-16.600000000000001</v>
      </c>
      <c r="P568" s="8">
        <f>D566/B566*10^(O568/10)</f>
        <v>3.4274932108542968</v>
      </c>
      <c r="Q568" s="26"/>
      <c r="R568" s="17"/>
      <c r="S568" s="19"/>
      <c r="T568" s="17"/>
      <c r="U568" s="22"/>
    </row>
    <row r="569" spans="1:21" x14ac:dyDescent="0.25">
      <c r="A569" s="24"/>
      <c r="B569" s="24"/>
      <c r="C569" s="17"/>
      <c r="D569" s="24"/>
      <c r="E569" s="24"/>
      <c r="F569" s="25"/>
      <c r="G569" s="1">
        <v>4625</v>
      </c>
      <c r="H569" s="2">
        <v>105.6</v>
      </c>
      <c r="I569" s="2">
        <v>-15.4</v>
      </c>
      <c r="J569" s="2">
        <v>-20.7</v>
      </c>
      <c r="K569" s="2">
        <f t="shared" si="73"/>
        <v>-15.4</v>
      </c>
      <c r="L569" s="8">
        <f t="shared" si="77"/>
        <v>7.9432823472428024E-13</v>
      </c>
      <c r="M569" s="26"/>
      <c r="N569" s="17"/>
      <c r="O569" s="9">
        <f t="shared" si="75"/>
        <v>-20.7</v>
      </c>
      <c r="P569" s="8">
        <f>D566/B566*10^(O569/10)</f>
        <v>1.3334495931837236</v>
      </c>
      <c r="Q569" s="26"/>
      <c r="R569" s="17"/>
      <c r="S569" s="19"/>
      <c r="T569" s="17"/>
      <c r="U569" s="22"/>
    </row>
    <row r="570" spans="1:21" x14ac:dyDescent="0.25">
      <c r="A570" s="24"/>
      <c r="B570" s="24"/>
      <c r="C570" s="17"/>
      <c r="D570" s="24"/>
      <c r="E570" s="24"/>
      <c r="F570" s="25"/>
      <c r="G570" s="1">
        <v>5225</v>
      </c>
      <c r="H570" s="2">
        <v>103.5</v>
      </c>
      <c r="I570" s="2">
        <v>-15.6</v>
      </c>
      <c r="J570" s="2">
        <v>-17.5</v>
      </c>
      <c r="K570" s="2">
        <f t="shared" si="73"/>
        <v>-15.6</v>
      </c>
      <c r="L570" s="8">
        <f t="shared" si="77"/>
        <v>1.2302687708123772E-12</v>
      </c>
      <c r="M570" s="26"/>
      <c r="N570" s="17"/>
      <c r="O570" s="9">
        <f t="shared" si="75"/>
        <v>-17.5</v>
      </c>
      <c r="P570" s="8">
        <f>D566/B566*10^(O570/10)</f>
        <v>2.785971075727645</v>
      </c>
      <c r="Q570" s="26"/>
      <c r="R570" s="17"/>
      <c r="S570" s="19"/>
      <c r="T570" s="17"/>
      <c r="U570" s="22"/>
    </row>
    <row r="571" spans="1:21" x14ac:dyDescent="0.25">
      <c r="A571" s="24"/>
      <c r="B571" s="24"/>
      <c r="C571" s="17"/>
      <c r="D571" s="24"/>
      <c r="E571" s="24"/>
      <c r="F571" s="25"/>
      <c r="G571" s="1">
        <v>5625</v>
      </c>
      <c r="H571" s="2">
        <v>99.5</v>
      </c>
      <c r="I571" s="2">
        <v>-20.7</v>
      </c>
      <c r="J571" s="2">
        <v>-21.5</v>
      </c>
      <c r="K571" s="2">
        <f t="shared" si="73"/>
        <v>-20.7</v>
      </c>
      <c r="L571" s="8">
        <f t="shared" si="77"/>
        <v>9.5499258602143367E-13</v>
      </c>
      <c r="M571" s="26"/>
      <c r="N571" s="17"/>
      <c r="O571" s="9">
        <f t="shared" si="75"/>
        <v>-21.5</v>
      </c>
      <c r="P571" s="8">
        <f>D566/B566*10^(O571/10)</f>
        <v>1.109115062201816</v>
      </c>
      <c r="Q571" s="26"/>
      <c r="R571" s="17"/>
      <c r="S571" s="20"/>
      <c r="T571" s="17"/>
      <c r="U571" s="23"/>
    </row>
    <row r="572" spans="1:21" x14ac:dyDescent="0.25">
      <c r="A572" s="24">
        <v>8000</v>
      </c>
      <c r="B572" s="24">
        <v>3</v>
      </c>
      <c r="C572" s="17">
        <v>0.5</v>
      </c>
      <c r="D572" s="24">
        <v>943</v>
      </c>
      <c r="E572" s="24">
        <v>6</v>
      </c>
      <c r="F572" s="25">
        <v>54</v>
      </c>
      <c r="G572" s="1">
        <v>6025</v>
      </c>
      <c r="H572" s="2">
        <v>95</v>
      </c>
      <c r="I572" s="2">
        <v>-20.8</v>
      </c>
      <c r="J572" s="2">
        <v>-22.6</v>
      </c>
      <c r="K572" s="2">
        <f t="shared" si="73"/>
        <v>-20.8</v>
      </c>
      <c r="L572" s="8">
        <f t="shared" si="77"/>
        <v>2.6302679918953739E-12</v>
      </c>
      <c r="M572" s="26">
        <f>SUM(L572:L577)</f>
        <v>1.6131311607889444E-10</v>
      </c>
      <c r="N572" s="17">
        <f>10*LOG10(M572/E572)</f>
        <v>-105.70481569857012</v>
      </c>
      <c r="O572" s="9">
        <f t="shared" si="75"/>
        <v>-22.6</v>
      </c>
      <c r="P572" s="8">
        <f>D572/B572*10^(O572/10)</f>
        <v>1.7273901468257986</v>
      </c>
      <c r="Q572" s="26">
        <f>SUM(P572:P577)</f>
        <v>18.483920300834363</v>
      </c>
      <c r="R572" s="17">
        <f>10*LOG10(Q572)</f>
        <v>12.667940872551034</v>
      </c>
      <c r="S572" s="18">
        <f>F572+N572-Kzt-H</f>
        <v>-51.704815698570116</v>
      </c>
      <c r="T572" s="17">
        <v>0.7</v>
      </c>
      <c r="U572" s="21">
        <f>T572*10^((S572-R572)/10)</f>
        <v>2.5575396942838082E-7</v>
      </c>
    </row>
    <row r="573" spans="1:21" x14ac:dyDescent="0.25">
      <c r="A573" s="24"/>
      <c r="B573" s="24"/>
      <c r="C573" s="17"/>
      <c r="D573" s="24"/>
      <c r="E573" s="24"/>
      <c r="F573" s="25"/>
      <c r="G573" s="1">
        <v>7025</v>
      </c>
      <c r="H573" s="2">
        <v>94.8</v>
      </c>
      <c r="I573" s="2">
        <v>-17.5</v>
      </c>
      <c r="J573" s="2">
        <v>-18</v>
      </c>
      <c r="K573" s="2">
        <f t="shared" si="73"/>
        <v>-17.5</v>
      </c>
      <c r="L573" s="8">
        <f t="shared" si="77"/>
        <v>5.8884365535558725E-12</v>
      </c>
      <c r="M573" s="26"/>
      <c r="N573" s="17"/>
      <c r="O573" s="9">
        <f t="shared" si="75"/>
        <v>-18</v>
      </c>
      <c r="P573" s="8">
        <f>D572/B572*10^(O573/10)</f>
        <v>4.9818476016360966</v>
      </c>
      <c r="Q573" s="26"/>
      <c r="R573" s="17"/>
      <c r="S573" s="19"/>
      <c r="T573" s="17"/>
      <c r="U573" s="22"/>
    </row>
    <row r="574" spans="1:21" x14ac:dyDescent="0.25">
      <c r="A574" s="24"/>
      <c r="B574" s="24"/>
      <c r="C574" s="17"/>
      <c r="D574" s="24"/>
      <c r="E574" s="24"/>
      <c r="F574" s="25"/>
      <c r="G574" s="1">
        <v>8025</v>
      </c>
      <c r="H574" s="2">
        <v>101.9</v>
      </c>
      <c r="I574" s="2">
        <v>-16.7</v>
      </c>
      <c r="J574" s="2">
        <v>-24.5</v>
      </c>
      <c r="K574" s="2">
        <f t="shared" si="73"/>
        <v>-16.7</v>
      </c>
      <c r="L574" s="8">
        <f t="shared" si="77"/>
        <v>1.3803842646028794E-12</v>
      </c>
      <c r="M574" s="26"/>
      <c r="N574" s="17"/>
      <c r="O574" s="9">
        <f t="shared" si="75"/>
        <v>-24.5</v>
      </c>
      <c r="P574" s="8">
        <f>D572/B572*10^(O574/10)</f>
        <v>1.1152967534908715</v>
      </c>
      <c r="Q574" s="26"/>
      <c r="R574" s="17"/>
      <c r="S574" s="19"/>
      <c r="T574" s="17"/>
      <c r="U574" s="22"/>
    </row>
    <row r="575" spans="1:21" x14ac:dyDescent="0.25">
      <c r="A575" s="24"/>
      <c r="B575" s="24"/>
      <c r="C575" s="17"/>
      <c r="D575" s="24"/>
      <c r="E575" s="24"/>
      <c r="F575" s="25"/>
      <c r="G575" s="1">
        <v>9025</v>
      </c>
      <c r="H575" s="2">
        <v>93.2</v>
      </c>
      <c r="I575" s="2">
        <v>-17.100000000000001</v>
      </c>
      <c r="J575" s="2">
        <v>-17.399999999999999</v>
      </c>
      <c r="K575" s="2">
        <f t="shared" si="73"/>
        <v>-17.100000000000001</v>
      </c>
      <c r="L575" s="8">
        <f t="shared" si="77"/>
        <v>9.3325430079698653E-12</v>
      </c>
      <c r="M575" s="26"/>
      <c r="N575" s="17"/>
      <c r="O575" s="9">
        <f t="shared" si="75"/>
        <v>-17.399999999999999</v>
      </c>
      <c r="P575" s="8">
        <f>D572/B572*10^(O575/10)</f>
        <v>5.7199263655640458</v>
      </c>
      <c r="Q575" s="26"/>
      <c r="R575" s="17"/>
      <c r="S575" s="19"/>
      <c r="T575" s="17"/>
      <c r="U575" s="22"/>
    </row>
    <row r="576" spans="1:21" x14ac:dyDescent="0.25">
      <c r="A576" s="24"/>
      <c r="B576" s="24"/>
      <c r="C576" s="17"/>
      <c r="D576" s="24"/>
      <c r="E576" s="24"/>
      <c r="F576" s="25"/>
      <c r="G576" s="1">
        <v>10025</v>
      </c>
      <c r="H576" s="2">
        <v>88.3</v>
      </c>
      <c r="I576" s="2">
        <v>-18.899999999999999</v>
      </c>
      <c r="J576" s="2">
        <v>-20.9</v>
      </c>
      <c r="K576" s="2">
        <f t="shared" si="73"/>
        <v>-18.899999999999999</v>
      </c>
      <c r="L576" s="8">
        <f t="shared" si="77"/>
        <v>1.905460717963246E-11</v>
      </c>
      <c r="M576" s="26"/>
      <c r="N576" s="17"/>
      <c r="O576" s="9">
        <f t="shared" si="75"/>
        <v>-20.9</v>
      </c>
      <c r="P576" s="8">
        <f>D572/B572*10^(O576/10)</f>
        <v>2.5549972558091509</v>
      </c>
      <c r="Q576" s="26"/>
      <c r="R576" s="17"/>
      <c r="S576" s="19"/>
      <c r="T576" s="17"/>
      <c r="U576" s="22"/>
    </row>
    <row r="577" spans="1:21" x14ac:dyDescent="0.25">
      <c r="A577" s="24"/>
      <c r="B577" s="24"/>
      <c r="C577" s="17"/>
      <c r="D577" s="24"/>
      <c r="E577" s="24"/>
      <c r="F577" s="25"/>
      <c r="G577" s="1">
        <v>11025</v>
      </c>
      <c r="H577" s="2">
        <v>86</v>
      </c>
      <c r="I577" s="2">
        <v>-13.1</v>
      </c>
      <c r="J577" s="2">
        <v>-21.2</v>
      </c>
      <c r="K577" s="2">
        <f t="shared" si="73"/>
        <v>-13.1</v>
      </c>
      <c r="L577" s="8">
        <f t="shared" si="77"/>
        <v>1.2302687708123799E-10</v>
      </c>
      <c r="M577" s="26"/>
      <c r="N577" s="17"/>
      <c r="O577" s="9">
        <f t="shared" si="75"/>
        <v>-21.2</v>
      </c>
      <c r="P577" s="8">
        <f>D572/B572*10^(O577/10)</f>
        <v>2.3844621775083983</v>
      </c>
      <c r="Q577" s="26"/>
      <c r="R577" s="17"/>
      <c r="S577" s="20"/>
      <c r="T577" s="17"/>
      <c r="U577" s="23"/>
    </row>
    <row r="578" spans="1:21" x14ac:dyDescent="0.25">
      <c r="A578" s="24" t="s">
        <v>20</v>
      </c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12">
        <f>U578</f>
        <v>6.5293221642934621E-2</v>
      </c>
      <c r="T578" s="2"/>
      <c r="U578" s="8">
        <f>0.8*SQRT(SUM(U544:U577))</f>
        <v>6.5293221642934621E-2</v>
      </c>
    </row>
    <row r="579" spans="1:21" x14ac:dyDescent="0.25">
      <c r="A579" s="27" t="s">
        <v>68</v>
      </c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9"/>
    </row>
    <row r="580" spans="1:21" x14ac:dyDescent="0.25">
      <c r="A580" s="24">
        <v>250</v>
      </c>
      <c r="B580" s="24">
        <v>3</v>
      </c>
      <c r="C580" s="17">
        <v>0.5</v>
      </c>
      <c r="D580" s="24">
        <v>38</v>
      </c>
      <c r="E580" s="24">
        <v>4</v>
      </c>
      <c r="F580" s="25">
        <v>84</v>
      </c>
      <c r="G580" s="1">
        <v>175</v>
      </c>
      <c r="H580" s="2">
        <v>84.8</v>
      </c>
      <c r="I580" s="2">
        <v>-10.8</v>
      </c>
      <c r="J580" s="2">
        <v>-16.5</v>
      </c>
      <c r="K580" s="2">
        <f>I580</f>
        <v>-10.8</v>
      </c>
      <c r="L580" s="8">
        <f>10^((K580-H580)/10)</f>
        <v>2.754228703338173E-10</v>
      </c>
      <c r="M580" s="26">
        <f>SUM(L580:L583)</f>
        <v>3.5488284814624363E-10</v>
      </c>
      <c r="N580" s="17">
        <f>10*LOG10(M580/E580)</f>
        <v>-100.51974981373004</v>
      </c>
      <c r="O580" s="9">
        <f>J580</f>
        <v>-16.5</v>
      </c>
      <c r="P580" s="8">
        <f>D580/B580*10^(O580/10)</f>
        <v>0.28357134421865626</v>
      </c>
      <c r="Q580" s="26">
        <f>SUM(P580:P583)</f>
        <v>0.69522075271326789</v>
      </c>
      <c r="R580" s="17">
        <f>10*LOG10(Q580)</f>
        <v>-1.5787727244210408</v>
      </c>
      <c r="S580" s="18">
        <f>F580+N580-Kzt-H</f>
        <v>-16.519749813730044</v>
      </c>
      <c r="T580" s="17">
        <v>0.2</v>
      </c>
      <c r="U580" s="21">
        <f>T580*10^((S580-R580)/10)</f>
        <v>6.411096098289772E-3</v>
      </c>
    </row>
    <row r="581" spans="1:21" x14ac:dyDescent="0.25">
      <c r="A581" s="24"/>
      <c r="B581" s="24"/>
      <c r="C581" s="17"/>
      <c r="D581" s="24"/>
      <c r="E581" s="24"/>
      <c r="F581" s="25"/>
      <c r="G581" s="1">
        <v>225</v>
      </c>
      <c r="H581" s="2">
        <v>90</v>
      </c>
      <c r="I581" s="2">
        <v>-16.600000000000001</v>
      </c>
      <c r="J581" s="2">
        <v>-19.600000000000001</v>
      </c>
      <c r="K581" s="2">
        <f t="shared" ref="K581:K613" si="78">I581</f>
        <v>-16.600000000000001</v>
      </c>
      <c r="L581" s="8">
        <f t="shared" ref="L581:L582" si="79">10^((K581-H581)/10)</f>
        <v>2.1877616239495499E-11</v>
      </c>
      <c r="M581" s="26"/>
      <c r="N581" s="17"/>
      <c r="O581" s="9">
        <f t="shared" ref="O581:O613" si="80">J581</f>
        <v>-19.600000000000001</v>
      </c>
      <c r="P581" s="8">
        <f>D580/B580*10^(O581/10)</f>
        <v>0.13888723817813667</v>
      </c>
      <c r="Q581" s="26"/>
      <c r="R581" s="17"/>
      <c r="S581" s="19"/>
      <c r="T581" s="17"/>
      <c r="U581" s="22"/>
    </row>
    <row r="582" spans="1:21" x14ac:dyDescent="0.25">
      <c r="A582" s="24"/>
      <c r="B582" s="24"/>
      <c r="C582" s="17"/>
      <c r="D582" s="24"/>
      <c r="E582" s="24"/>
      <c r="F582" s="25"/>
      <c r="G582" s="1">
        <v>275</v>
      </c>
      <c r="H582" s="2">
        <v>92.2</v>
      </c>
      <c r="I582" s="2">
        <v>-12.4</v>
      </c>
      <c r="J582" s="2">
        <v>-18.399999999999999</v>
      </c>
      <c r="K582" s="2">
        <f t="shared" si="78"/>
        <v>-12.4</v>
      </c>
      <c r="L582" s="8">
        <f t="shared" si="79"/>
        <v>3.4673685045253057E-11</v>
      </c>
      <c r="M582" s="26"/>
      <c r="N582" s="17"/>
      <c r="O582" s="9">
        <f t="shared" si="80"/>
        <v>-18.399999999999999</v>
      </c>
      <c r="P582" s="8">
        <f>D580/B580*10^(O582/10)</f>
        <v>0.18308903762781745</v>
      </c>
      <c r="Q582" s="26"/>
      <c r="R582" s="17"/>
      <c r="S582" s="19"/>
      <c r="T582" s="17"/>
      <c r="U582" s="22"/>
    </row>
    <row r="583" spans="1:21" x14ac:dyDescent="0.25">
      <c r="A583" s="24"/>
      <c r="B583" s="24"/>
      <c r="C583" s="17"/>
      <c r="D583" s="24"/>
      <c r="E583" s="24"/>
      <c r="F583" s="25"/>
      <c r="G583" s="1">
        <v>325</v>
      </c>
      <c r="H583" s="2">
        <v>93.3</v>
      </c>
      <c r="I583" s="2">
        <v>-13.1</v>
      </c>
      <c r="J583" s="2">
        <v>-21.5</v>
      </c>
      <c r="K583" s="2">
        <f t="shared" si="78"/>
        <v>-13.1</v>
      </c>
      <c r="L583" s="8">
        <f>10^((K583-H583)/10)</f>
        <v>2.290867652767778E-11</v>
      </c>
      <c r="M583" s="26"/>
      <c r="N583" s="17"/>
      <c r="O583" s="9">
        <f t="shared" si="80"/>
        <v>-21.5</v>
      </c>
      <c r="P583" s="8">
        <f>D580/B580*10^(O583/10)</f>
        <v>8.9673132688657467E-2</v>
      </c>
      <c r="Q583" s="26"/>
      <c r="R583" s="17"/>
      <c r="S583" s="20"/>
      <c r="T583" s="17"/>
      <c r="U583" s="23"/>
    </row>
    <row r="584" spans="1:21" x14ac:dyDescent="0.25">
      <c r="A584" s="24">
        <v>500</v>
      </c>
      <c r="B584" s="24">
        <v>3</v>
      </c>
      <c r="C584" s="17">
        <v>0.5</v>
      </c>
      <c r="D584" s="24">
        <v>59</v>
      </c>
      <c r="E584" s="24">
        <v>6</v>
      </c>
      <c r="F584" s="25">
        <v>84</v>
      </c>
      <c r="G584" s="1">
        <v>375</v>
      </c>
      <c r="H584" s="2">
        <v>91.9</v>
      </c>
      <c r="I584" s="2">
        <v>-16</v>
      </c>
      <c r="J584" s="2">
        <v>-16.5</v>
      </c>
      <c r="K584" s="2">
        <f t="shared" si="78"/>
        <v>-16</v>
      </c>
      <c r="L584" s="8">
        <f t="shared" ref="L584:L585" si="81">10^((K584-H584)/10)</f>
        <v>1.6218100973589243E-11</v>
      </c>
      <c r="M584" s="26">
        <f>SUM(L584:L589)</f>
        <v>1.8220794528580032E-10</v>
      </c>
      <c r="N584" s="17">
        <f>10*LOG10(M584/E584)</f>
        <v>-105.17583939664631</v>
      </c>
      <c r="O584" s="9">
        <f t="shared" si="80"/>
        <v>-16.5</v>
      </c>
      <c r="P584" s="8">
        <f>D584/B584*10^(O584/10)</f>
        <v>0.44028182391844001</v>
      </c>
      <c r="Q584" s="26">
        <f>SUM(P584:P589)</f>
        <v>1.5066221846928896</v>
      </c>
      <c r="R584" s="17">
        <f>10*LOG10(Q584)</f>
        <v>1.780043580380037</v>
      </c>
      <c r="S584" s="18">
        <f>F584+N584-Kzt-H</f>
        <v>-21.17583939664631</v>
      </c>
      <c r="T584" s="17">
        <v>0.5</v>
      </c>
      <c r="U584" s="21">
        <f>T584*10^((S584-R584)/10)</f>
        <v>2.5315220040270396E-3</v>
      </c>
    </row>
    <row r="585" spans="1:21" x14ac:dyDescent="0.25">
      <c r="A585" s="24"/>
      <c r="B585" s="24"/>
      <c r="C585" s="17"/>
      <c r="D585" s="24"/>
      <c r="E585" s="24"/>
      <c r="F585" s="25"/>
      <c r="G585" s="1">
        <v>425</v>
      </c>
      <c r="H585" s="2">
        <v>88.1</v>
      </c>
      <c r="I585" s="2">
        <v>-14.6</v>
      </c>
      <c r="J585" s="2">
        <v>-21.3</v>
      </c>
      <c r="K585" s="2">
        <f t="shared" si="78"/>
        <v>-14.6</v>
      </c>
      <c r="L585" s="8">
        <f t="shared" si="81"/>
        <v>5.3703179637025198E-11</v>
      </c>
      <c r="M585" s="26"/>
      <c r="N585" s="17"/>
      <c r="O585" s="9">
        <f t="shared" si="80"/>
        <v>-21.3</v>
      </c>
      <c r="P585" s="8">
        <f>D584/B584*10^(O585/10)</f>
        <v>0.14579101412251377</v>
      </c>
      <c r="Q585" s="26"/>
      <c r="R585" s="17"/>
      <c r="S585" s="19"/>
      <c r="T585" s="17"/>
      <c r="U585" s="22"/>
    </row>
    <row r="586" spans="1:21" x14ac:dyDescent="0.25">
      <c r="A586" s="24"/>
      <c r="B586" s="24"/>
      <c r="C586" s="17"/>
      <c r="D586" s="24"/>
      <c r="E586" s="24"/>
      <c r="F586" s="25"/>
      <c r="G586" s="1">
        <v>475</v>
      </c>
      <c r="H586" s="2">
        <v>90</v>
      </c>
      <c r="I586" s="2">
        <v>-10.8</v>
      </c>
      <c r="J586" s="2">
        <v>-22.5</v>
      </c>
      <c r="K586" s="2">
        <f t="shared" si="78"/>
        <v>-10.8</v>
      </c>
      <c r="L586" s="8">
        <f>10^((K586-H586)/10)</f>
        <v>8.3176377110266833E-11</v>
      </c>
      <c r="M586" s="26"/>
      <c r="N586" s="17"/>
      <c r="O586" s="9">
        <f t="shared" si="80"/>
        <v>-22.5</v>
      </c>
      <c r="P586" s="8">
        <f>D584/B584*10^(O586/10)</f>
        <v>0.1105937939541019</v>
      </c>
      <c r="Q586" s="26"/>
      <c r="R586" s="17"/>
      <c r="S586" s="19"/>
      <c r="T586" s="17"/>
      <c r="U586" s="22"/>
    </row>
    <row r="587" spans="1:21" x14ac:dyDescent="0.25">
      <c r="A587" s="24"/>
      <c r="B587" s="24"/>
      <c r="C587" s="17"/>
      <c r="D587" s="24"/>
      <c r="E587" s="24"/>
      <c r="F587" s="25"/>
      <c r="G587" s="1">
        <v>575</v>
      </c>
      <c r="H587" s="2">
        <v>97</v>
      </c>
      <c r="I587" s="2">
        <v>-17.899999999999999</v>
      </c>
      <c r="J587" s="2">
        <v>-18.3</v>
      </c>
      <c r="K587" s="2">
        <f t="shared" si="78"/>
        <v>-17.899999999999999</v>
      </c>
      <c r="L587" s="8">
        <f t="shared" ref="L587:L613" si="82">10^((K587-H587)/10)</f>
        <v>3.2359365692962695E-12</v>
      </c>
      <c r="M587" s="26"/>
      <c r="N587" s="17"/>
      <c r="O587" s="9">
        <f t="shared" si="80"/>
        <v>-18.3</v>
      </c>
      <c r="P587" s="8">
        <f>D584/B584*10^(O587/10)</f>
        <v>0.29089131633974741</v>
      </c>
      <c r="Q587" s="26"/>
      <c r="R587" s="17"/>
      <c r="S587" s="19"/>
      <c r="T587" s="17"/>
      <c r="U587" s="22"/>
    </row>
    <row r="588" spans="1:21" x14ac:dyDescent="0.25">
      <c r="A588" s="24"/>
      <c r="B588" s="24"/>
      <c r="C588" s="17"/>
      <c r="D588" s="24"/>
      <c r="E588" s="24"/>
      <c r="F588" s="25"/>
      <c r="G588" s="1">
        <v>625</v>
      </c>
      <c r="H588" s="2">
        <v>92</v>
      </c>
      <c r="I588" s="2">
        <v>-16.5</v>
      </c>
      <c r="J588" s="2">
        <v>-19</v>
      </c>
      <c r="K588" s="2">
        <f t="shared" si="78"/>
        <v>-16.5</v>
      </c>
      <c r="L588" s="8">
        <f t="shared" si="82"/>
        <v>1.4125375446227501E-11</v>
      </c>
      <c r="M588" s="26"/>
      <c r="N588" s="17"/>
      <c r="O588" s="9">
        <f t="shared" si="80"/>
        <v>-19</v>
      </c>
      <c r="P588" s="8">
        <f>D584/B584*10^(O588/10)</f>
        <v>0.24758866431951942</v>
      </c>
      <c r="Q588" s="26"/>
      <c r="R588" s="17"/>
      <c r="S588" s="19"/>
      <c r="T588" s="17"/>
      <c r="U588" s="22"/>
    </row>
    <row r="589" spans="1:21" x14ac:dyDescent="0.25">
      <c r="A589" s="24"/>
      <c r="B589" s="24"/>
      <c r="C589" s="17"/>
      <c r="D589" s="24"/>
      <c r="E589" s="24"/>
      <c r="F589" s="25"/>
      <c r="G589" s="1">
        <v>675</v>
      </c>
      <c r="H589" s="2">
        <v>94.5</v>
      </c>
      <c r="I589" s="2">
        <v>-14.8</v>
      </c>
      <c r="J589" s="2">
        <v>-18.600000000000001</v>
      </c>
      <c r="K589" s="2">
        <f t="shared" si="78"/>
        <v>-14.8</v>
      </c>
      <c r="L589" s="8">
        <f t="shared" si="82"/>
        <v>1.1748975549395269E-11</v>
      </c>
      <c r="M589" s="26"/>
      <c r="N589" s="17"/>
      <c r="O589" s="9">
        <f t="shared" si="80"/>
        <v>-18.600000000000001</v>
      </c>
      <c r="P589" s="8">
        <f>D584/B584*10^(O589/10)</f>
        <v>0.27147557203856715</v>
      </c>
      <c r="Q589" s="26"/>
      <c r="R589" s="17"/>
      <c r="S589" s="20"/>
      <c r="T589" s="17"/>
      <c r="U589" s="23"/>
    </row>
    <row r="590" spans="1:21" x14ac:dyDescent="0.25">
      <c r="A590" s="24">
        <v>1000</v>
      </c>
      <c r="B590" s="24">
        <v>3</v>
      </c>
      <c r="C590" s="17">
        <v>0.5</v>
      </c>
      <c r="D590" s="24">
        <v>117</v>
      </c>
      <c r="E590" s="24">
        <v>6</v>
      </c>
      <c r="F590" s="25">
        <v>76</v>
      </c>
      <c r="G590" s="1">
        <v>875</v>
      </c>
      <c r="H590" s="2">
        <v>91.1</v>
      </c>
      <c r="I590" s="2">
        <v>-16.8</v>
      </c>
      <c r="J590" s="2">
        <v>-20.2</v>
      </c>
      <c r="K590" s="2">
        <f t="shared" si="78"/>
        <v>-16.8</v>
      </c>
      <c r="L590" s="8">
        <f t="shared" si="82"/>
        <v>1.6218100973589298E-11</v>
      </c>
      <c r="M590" s="26">
        <f>SUM(L590:L595)</f>
        <v>4.7769012900147971E-11</v>
      </c>
      <c r="N590" s="17">
        <f>10*LOG10(M590/E590)</f>
        <v>-110.99004983277555</v>
      </c>
      <c r="O590" s="9">
        <f t="shared" si="80"/>
        <v>-20.2</v>
      </c>
      <c r="P590" s="8">
        <f>D590/B590*10^(O590/10)</f>
        <v>0.37244710854835994</v>
      </c>
      <c r="Q590" s="26">
        <f>SUM(P590:P595)</f>
        <v>2.6887132267813882</v>
      </c>
      <c r="R590" s="17">
        <f>10*LOG10(Q590)</f>
        <v>4.2954448364093523</v>
      </c>
      <c r="S590" s="18">
        <f>F590+N590-Kzt-H</f>
        <v>-34.990049832775554</v>
      </c>
      <c r="T590" s="17">
        <v>0.8</v>
      </c>
      <c r="U590" s="21">
        <f>T590*10^((S590-R590)/10)</f>
        <v>9.4306259596040303E-5</v>
      </c>
    </row>
    <row r="591" spans="1:21" x14ac:dyDescent="0.25">
      <c r="A591" s="24"/>
      <c r="B591" s="24"/>
      <c r="C591" s="17"/>
      <c r="D591" s="24"/>
      <c r="E591" s="24"/>
      <c r="F591" s="25"/>
      <c r="G591" s="1">
        <v>975</v>
      </c>
      <c r="H591" s="2">
        <v>96.5</v>
      </c>
      <c r="I591" s="2">
        <v>-14.9</v>
      </c>
      <c r="J591" s="2">
        <v>-20.399999999999999</v>
      </c>
      <c r="K591" s="2">
        <f t="shared" si="78"/>
        <v>-14.9</v>
      </c>
      <c r="L591" s="8">
        <f t="shared" si="82"/>
        <v>7.2443596007498734E-12</v>
      </c>
      <c r="M591" s="26"/>
      <c r="N591" s="17"/>
      <c r="O591" s="9">
        <f t="shared" si="80"/>
        <v>-20.399999999999999</v>
      </c>
      <c r="P591" s="8">
        <f>D590/B590*10^(O591/10)</f>
        <v>0.35568422734880445</v>
      </c>
      <c r="Q591" s="26"/>
      <c r="R591" s="17"/>
      <c r="S591" s="19"/>
      <c r="T591" s="17"/>
      <c r="U591" s="22"/>
    </row>
    <row r="592" spans="1:21" x14ac:dyDescent="0.25">
      <c r="A592" s="24"/>
      <c r="B592" s="24"/>
      <c r="C592" s="17"/>
      <c r="D592" s="24"/>
      <c r="E592" s="24"/>
      <c r="F592" s="25"/>
      <c r="G592" s="1">
        <v>1075</v>
      </c>
      <c r="H592" s="2">
        <v>94.6</v>
      </c>
      <c r="I592" s="2">
        <v>-17.899999999999999</v>
      </c>
      <c r="J592" s="2">
        <v>-20.5</v>
      </c>
      <c r="K592" s="2">
        <f t="shared" si="78"/>
        <v>-17.899999999999999</v>
      </c>
      <c r="L592" s="8">
        <f t="shared" si="82"/>
        <v>5.6234132519034759E-12</v>
      </c>
      <c r="M592" s="26"/>
      <c r="N592" s="17"/>
      <c r="O592" s="9">
        <f t="shared" si="80"/>
        <v>-20.5</v>
      </c>
      <c r="P592" s="8">
        <f>D590/B590*10^(O592/10)</f>
        <v>0.34758786587216078</v>
      </c>
      <c r="Q592" s="26"/>
      <c r="R592" s="17"/>
      <c r="S592" s="19"/>
      <c r="T592" s="17"/>
      <c r="U592" s="22"/>
    </row>
    <row r="593" spans="1:21" x14ac:dyDescent="0.25">
      <c r="A593" s="24"/>
      <c r="B593" s="24"/>
      <c r="C593" s="17"/>
      <c r="D593" s="24"/>
      <c r="E593" s="24"/>
      <c r="F593" s="25"/>
      <c r="G593" s="1">
        <v>1175</v>
      </c>
      <c r="H593" s="2">
        <v>97.8</v>
      </c>
      <c r="I593" s="2">
        <v>-10.8</v>
      </c>
      <c r="J593" s="2">
        <v>-16.8</v>
      </c>
      <c r="K593" s="2">
        <f t="shared" si="78"/>
        <v>-10.8</v>
      </c>
      <c r="L593" s="8">
        <f t="shared" si="82"/>
        <v>1.380384264602886E-11</v>
      </c>
      <c r="M593" s="26"/>
      <c r="N593" s="17"/>
      <c r="O593" s="9">
        <f t="shared" si="80"/>
        <v>-16.8</v>
      </c>
      <c r="P593" s="8">
        <f>D590/B590*10^(O593/10)</f>
        <v>0.81482549103307467</v>
      </c>
      <c r="Q593" s="26"/>
      <c r="R593" s="17"/>
      <c r="S593" s="19"/>
      <c r="T593" s="17"/>
      <c r="U593" s="22"/>
    </row>
    <row r="594" spans="1:21" x14ac:dyDescent="0.25">
      <c r="A594" s="24"/>
      <c r="B594" s="24"/>
      <c r="C594" s="17"/>
      <c r="D594" s="24"/>
      <c r="E594" s="24"/>
      <c r="F594" s="25"/>
      <c r="G594" s="1">
        <v>1275</v>
      </c>
      <c r="H594" s="2">
        <v>100.1</v>
      </c>
      <c r="I594" s="2">
        <v>-15.6</v>
      </c>
      <c r="J594" s="2">
        <v>-19.899999999999999</v>
      </c>
      <c r="K594" s="2">
        <f t="shared" si="78"/>
        <v>-15.6</v>
      </c>
      <c r="L594" s="8">
        <f t="shared" si="82"/>
        <v>2.6915348039269171E-12</v>
      </c>
      <c r="M594" s="26"/>
      <c r="N594" s="17"/>
      <c r="O594" s="9">
        <f t="shared" si="80"/>
        <v>-19.899999999999999</v>
      </c>
      <c r="P594" s="8">
        <f>D590/B590*10^(O594/10)</f>
        <v>0.39908426698949423</v>
      </c>
      <c r="Q594" s="26"/>
      <c r="R594" s="17"/>
      <c r="S594" s="19"/>
      <c r="T594" s="17"/>
      <c r="U594" s="22"/>
    </row>
    <row r="595" spans="1:21" x14ac:dyDescent="0.25">
      <c r="A595" s="24"/>
      <c r="B595" s="24"/>
      <c r="C595" s="17"/>
      <c r="D595" s="24"/>
      <c r="E595" s="24"/>
      <c r="F595" s="25"/>
      <c r="G595" s="1">
        <v>1375</v>
      </c>
      <c r="H595" s="2">
        <v>103</v>
      </c>
      <c r="I595" s="2">
        <v>-13.6</v>
      </c>
      <c r="J595" s="2">
        <v>-19.899999999999999</v>
      </c>
      <c r="K595" s="2">
        <f t="shared" si="78"/>
        <v>-13.6</v>
      </c>
      <c r="L595" s="8">
        <f t="shared" si="82"/>
        <v>2.1877616239495474E-12</v>
      </c>
      <c r="M595" s="26"/>
      <c r="N595" s="17"/>
      <c r="O595" s="9">
        <f t="shared" si="80"/>
        <v>-19.899999999999999</v>
      </c>
      <c r="P595" s="8">
        <f>D590/B590*10^(O595/10)</f>
        <v>0.39908426698949423</v>
      </c>
      <c r="Q595" s="26"/>
      <c r="R595" s="17"/>
      <c r="S595" s="20"/>
      <c r="T595" s="17"/>
      <c r="U595" s="23"/>
    </row>
    <row r="596" spans="1:21" x14ac:dyDescent="0.25">
      <c r="A596" s="24">
        <v>2000</v>
      </c>
      <c r="B596" s="24">
        <v>3</v>
      </c>
      <c r="C596" s="17">
        <v>0.5</v>
      </c>
      <c r="D596" s="24">
        <v>234</v>
      </c>
      <c r="E596" s="24">
        <v>6</v>
      </c>
      <c r="F596" s="25">
        <v>68</v>
      </c>
      <c r="G596" s="1">
        <v>1425</v>
      </c>
      <c r="H596" s="2">
        <v>102.8</v>
      </c>
      <c r="I596" s="2">
        <v>-14.3</v>
      </c>
      <c r="J596" s="2">
        <v>-18</v>
      </c>
      <c r="K596" s="2">
        <f t="shared" si="78"/>
        <v>-14.3</v>
      </c>
      <c r="L596" s="8">
        <f t="shared" si="82"/>
        <v>1.9498445997580419E-12</v>
      </c>
      <c r="M596" s="26">
        <f>SUM(L596:L601)</f>
        <v>1.3099440222986207E-11</v>
      </c>
      <c r="N596" s="17">
        <f>10*LOG10(M596/E596)</f>
        <v>-116.6089851299219</v>
      </c>
      <c r="O596" s="9">
        <f t="shared" si="80"/>
        <v>-18</v>
      </c>
      <c r="P596" s="8">
        <f>D596/B596*10^(O596/10)</f>
        <v>1.2362166901196676</v>
      </c>
      <c r="Q596" s="26">
        <f>SUM(P596:P601)</f>
        <v>4.7011303279714722</v>
      </c>
      <c r="R596" s="17">
        <f>10*LOG10(Q596)</f>
        <v>6.7220229116576347</v>
      </c>
      <c r="S596" s="18">
        <f>F596+N596-Kzt-H</f>
        <v>-48.608985129921905</v>
      </c>
      <c r="T596" s="17">
        <v>1</v>
      </c>
      <c r="U596" s="21">
        <f>T596*10^((S596-R596)/10)</f>
        <v>2.9302130341203883E-6</v>
      </c>
    </row>
    <row r="597" spans="1:21" x14ac:dyDescent="0.25">
      <c r="A597" s="24"/>
      <c r="B597" s="24"/>
      <c r="C597" s="17"/>
      <c r="D597" s="24"/>
      <c r="E597" s="24"/>
      <c r="F597" s="25"/>
      <c r="G597" s="1">
        <v>1625</v>
      </c>
      <c r="H597" s="2">
        <v>104.1</v>
      </c>
      <c r="I597" s="2">
        <v>-13.7</v>
      </c>
      <c r="J597" s="2">
        <v>-20.9</v>
      </c>
      <c r="K597" s="2">
        <f t="shared" si="78"/>
        <v>-13.7</v>
      </c>
      <c r="L597" s="8">
        <f t="shared" si="82"/>
        <v>1.6595869074375588E-12</v>
      </c>
      <c r="M597" s="26"/>
      <c r="N597" s="17"/>
      <c r="O597" s="9">
        <f t="shared" si="80"/>
        <v>-20.9</v>
      </c>
      <c r="P597" s="8">
        <f>D596/B596*10^(O597/10)</f>
        <v>0.63400780260799716</v>
      </c>
      <c r="Q597" s="26"/>
      <c r="R597" s="17"/>
      <c r="S597" s="19"/>
      <c r="T597" s="17"/>
      <c r="U597" s="22"/>
    </row>
    <row r="598" spans="1:21" x14ac:dyDescent="0.25">
      <c r="A598" s="24"/>
      <c r="B598" s="24"/>
      <c r="C598" s="17"/>
      <c r="D598" s="24"/>
      <c r="E598" s="24"/>
      <c r="F598" s="25"/>
      <c r="G598" s="1">
        <v>1825</v>
      </c>
      <c r="H598" s="2">
        <v>107.6</v>
      </c>
      <c r="I598" s="2">
        <v>-14.2</v>
      </c>
      <c r="J598" s="2">
        <v>-21.7</v>
      </c>
      <c r="K598" s="2">
        <f t="shared" si="78"/>
        <v>-14.2</v>
      </c>
      <c r="L598" s="8">
        <f t="shared" si="82"/>
        <v>6.606934480075954E-13</v>
      </c>
      <c r="M598" s="26"/>
      <c r="N598" s="17"/>
      <c r="O598" s="9">
        <f t="shared" si="80"/>
        <v>-21.7</v>
      </c>
      <c r="P598" s="8">
        <f>D596/B596*10^(O598/10)</f>
        <v>0.52734472080574546</v>
      </c>
      <c r="Q598" s="26"/>
      <c r="R598" s="17"/>
      <c r="S598" s="19"/>
      <c r="T598" s="17"/>
      <c r="U598" s="22"/>
    </row>
    <row r="599" spans="1:21" x14ac:dyDescent="0.25">
      <c r="A599" s="24"/>
      <c r="B599" s="24"/>
      <c r="C599" s="17"/>
      <c r="D599" s="24"/>
      <c r="E599" s="24"/>
      <c r="F599" s="25"/>
      <c r="G599" s="1">
        <v>2125</v>
      </c>
      <c r="H599" s="2">
        <v>104.2</v>
      </c>
      <c r="I599" s="2">
        <v>-17.5</v>
      </c>
      <c r="J599" s="2">
        <v>-19.100000000000001</v>
      </c>
      <c r="K599" s="2">
        <f t="shared" si="78"/>
        <v>-17.5</v>
      </c>
      <c r="L599" s="8">
        <f t="shared" si="82"/>
        <v>6.7608297539198111E-13</v>
      </c>
      <c r="M599" s="26"/>
      <c r="N599" s="17"/>
      <c r="O599" s="9">
        <f t="shared" si="80"/>
        <v>-19.100000000000001</v>
      </c>
      <c r="P599" s="8">
        <f>D596/B596*10^(O599/10)</f>
        <v>0.95960964123365711</v>
      </c>
      <c r="Q599" s="26"/>
      <c r="R599" s="17"/>
      <c r="S599" s="19"/>
      <c r="T599" s="17"/>
      <c r="U599" s="22"/>
    </row>
    <row r="600" spans="1:21" x14ac:dyDescent="0.25">
      <c r="A600" s="24"/>
      <c r="B600" s="24"/>
      <c r="C600" s="17"/>
      <c r="D600" s="24"/>
      <c r="E600" s="24"/>
      <c r="F600" s="25"/>
      <c r="G600" s="1">
        <v>2425</v>
      </c>
      <c r="H600" s="2">
        <v>93.7</v>
      </c>
      <c r="I600" s="2">
        <v>-18.7</v>
      </c>
      <c r="J600" s="2">
        <v>-20.5</v>
      </c>
      <c r="K600" s="2">
        <f t="shared" si="78"/>
        <v>-18.7</v>
      </c>
      <c r="L600" s="8">
        <f t="shared" si="82"/>
        <v>5.7543993733715538E-12</v>
      </c>
      <c r="M600" s="26"/>
      <c r="N600" s="17"/>
      <c r="O600" s="9">
        <f t="shared" si="80"/>
        <v>-20.5</v>
      </c>
      <c r="P600" s="8">
        <f>D596/B596*10^(O600/10)</f>
        <v>0.69517573174432157</v>
      </c>
      <c r="Q600" s="26"/>
      <c r="R600" s="17"/>
      <c r="S600" s="19"/>
      <c r="T600" s="17"/>
      <c r="U600" s="22"/>
    </row>
    <row r="601" spans="1:21" x14ac:dyDescent="0.25">
      <c r="A601" s="24"/>
      <c r="B601" s="24"/>
      <c r="C601" s="17"/>
      <c r="D601" s="24"/>
      <c r="E601" s="24"/>
      <c r="F601" s="25"/>
      <c r="G601" s="1">
        <v>2775</v>
      </c>
      <c r="H601" s="2">
        <v>100.2</v>
      </c>
      <c r="I601" s="2">
        <v>-16</v>
      </c>
      <c r="J601" s="2">
        <v>-20.8</v>
      </c>
      <c r="K601" s="2">
        <f t="shared" si="78"/>
        <v>-16</v>
      </c>
      <c r="L601" s="8">
        <f t="shared" si="82"/>
        <v>2.3988329190194755E-12</v>
      </c>
      <c r="M601" s="26"/>
      <c r="N601" s="17"/>
      <c r="O601" s="9">
        <f t="shared" si="80"/>
        <v>-20.8</v>
      </c>
      <c r="P601" s="8">
        <f>D596/B596*10^(O601/10)</f>
        <v>0.64877574146008299</v>
      </c>
      <c r="Q601" s="26"/>
      <c r="R601" s="17"/>
      <c r="S601" s="20"/>
      <c r="T601" s="17"/>
      <c r="U601" s="23"/>
    </row>
    <row r="602" spans="1:21" x14ac:dyDescent="0.25">
      <c r="A602" s="24">
        <v>4000</v>
      </c>
      <c r="B602" s="24">
        <v>3</v>
      </c>
      <c r="C602" s="17">
        <v>0.5</v>
      </c>
      <c r="D602" s="24">
        <v>470</v>
      </c>
      <c r="E602" s="24">
        <v>6</v>
      </c>
      <c r="F602" s="25">
        <v>62</v>
      </c>
      <c r="G602" s="1">
        <v>2825</v>
      </c>
      <c r="H602" s="2">
        <v>99.4</v>
      </c>
      <c r="I602" s="2">
        <v>-16</v>
      </c>
      <c r="J602" s="2">
        <v>-20.6</v>
      </c>
      <c r="K602" s="2">
        <f t="shared" si="78"/>
        <v>-16</v>
      </c>
      <c r="L602" s="8">
        <f t="shared" si="82"/>
        <v>2.8840315031265959E-12</v>
      </c>
      <c r="M602" s="26">
        <f>SUM(L602:L607)</f>
        <v>8.9150026310796755E-12</v>
      </c>
      <c r="N602" s="17">
        <f>10*LOG10(M602/E602)</f>
        <v>-118.28029774699168</v>
      </c>
      <c r="O602" s="9">
        <f t="shared" si="80"/>
        <v>-20.6</v>
      </c>
      <c r="P602" s="8">
        <f>D602/B602*10^(O602/10)</f>
        <v>1.3645096242645254</v>
      </c>
      <c r="Q602" s="26">
        <f>SUM(P602:P607)</f>
        <v>8.4964197507580845</v>
      </c>
      <c r="R602" s="17">
        <f>10*LOG10(Q602)</f>
        <v>9.2923595982672325</v>
      </c>
      <c r="S602" s="18">
        <f>F602+N602-Kzt-H</f>
        <v>-56.280297746991678</v>
      </c>
      <c r="T602" s="17">
        <v>0.9</v>
      </c>
      <c r="U602" s="21">
        <f>T602*10^((S602-R602)/10)</f>
        <v>2.4944613252264982E-7</v>
      </c>
    </row>
    <row r="603" spans="1:21" x14ac:dyDescent="0.25">
      <c r="A603" s="24"/>
      <c r="B603" s="24"/>
      <c r="C603" s="17"/>
      <c r="D603" s="24"/>
      <c r="E603" s="24"/>
      <c r="F603" s="25"/>
      <c r="G603" s="1">
        <v>3425</v>
      </c>
      <c r="H603" s="2">
        <v>103.5</v>
      </c>
      <c r="I603" s="2">
        <v>-16.399999999999999</v>
      </c>
      <c r="J603" s="2">
        <v>-21.9</v>
      </c>
      <c r="K603" s="2">
        <f t="shared" si="78"/>
        <v>-16.399999999999999</v>
      </c>
      <c r="L603" s="8">
        <f t="shared" si="82"/>
        <v>1.0232929922807514E-12</v>
      </c>
      <c r="M603" s="26"/>
      <c r="N603" s="17"/>
      <c r="O603" s="9">
        <f t="shared" si="80"/>
        <v>-21.9</v>
      </c>
      <c r="P603" s="8">
        <f>D602/B602*10^(O603/10)</f>
        <v>1.0115249588209598</v>
      </c>
      <c r="Q603" s="26"/>
      <c r="R603" s="17"/>
      <c r="S603" s="19"/>
      <c r="T603" s="17"/>
      <c r="U603" s="22"/>
    </row>
    <row r="604" spans="1:21" x14ac:dyDescent="0.25">
      <c r="A604" s="24"/>
      <c r="B604" s="24"/>
      <c r="C604" s="17"/>
      <c r="D604" s="24"/>
      <c r="E604" s="24"/>
      <c r="F604" s="25"/>
      <c r="G604" s="1">
        <v>4025</v>
      </c>
      <c r="H604" s="2">
        <v>103.6</v>
      </c>
      <c r="I604" s="2">
        <v>-17.399999999999999</v>
      </c>
      <c r="J604" s="2">
        <v>-30.3</v>
      </c>
      <c r="K604" s="2">
        <f t="shared" si="78"/>
        <v>-17.399999999999999</v>
      </c>
      <c r="L604" s="8">
        <f t="shared" si="82"/>
        <v>7.9432823472428024E-13</v>
      </c>
      <c r="M604" s="26"/>
      <c r="N604" s="17"/>
      <c r="O604" s="9">
        <f t="shared" si="80"/>
        <v>-30.3</v>
      </c>
      <c r="P604" s="8">
        <f>D602/B602*10^(O604/10)</f>
        <v>0.14620984045819507</v>
      </c>
      <c r="Q604" s="26"/>
      <c r="R604" s="17"/>
      <c r="S604" s="19"/>
      <c r="T604" s="17"/>
      <c r="U604" s="22"/>
    </row>
    <row r="605" spans="1:21" x14ac:dyDescent="0.25">
      <c r="A605" s="24"/>
      <c r="B605" s="24"/>
      <c r="C605" s="17"/>
      <c r="D605" s="24"/>
      <c r="E605" s="24"/>
      <c r="F605" s="25"/>
      <c r="G605" s="1">
        <v>4625</v>
      </c>
      <c r="H605" s="2">
        <v>105.6</v>
      </c>
      <c r="I605" s="2">
        <v>-16</v>
      </c>
      <c r="J605" s="2">
        <v>-21</v>
      </c>
      <c r="K605" s="2">
        <f t="shared" si="78"/>
        <v>-16</v>
      </c>
      <c r="L605" s="8">
        <f t="shared" si="82"/>
        <v>6.9183097091893335E-13</v>
      </c>
      <c r="M605" s="26"/>
      <c r="N605" s="17"/>
      <c r="O605" s="9">
        <f t="shared" si="80"/>
        <v>-21</v>
      </c>
      <c r="P605" s="8">
        <f>D602/B602*10^(O605/10)</f>
        <v>1.2444475677347071</v>
      </c>
      <c r="Q605" s="26"/>
      <c r="R605" s="17"/>
      <c r="S605" s="19"/>
      <c r="T605" s="17"/>
      <c r="U605" s="22"/>
    </row>
    <row r="606" spans="1:21" x14ac:dyDescent="0.25">
      <c r="A606" s="24"/>
      <c r="B606" s="24"/>
      <c r="C606" s="17"/>
      <c r="D606" s="24"/>
      <c r="E606" s="24"/>
      <c r="F606" s="25"/>
      <c r="G606" s="1">
        <v>5225</v>
      </c>
      <c r="H606" s="2">
        <v>103.5</v>
      </c>
      <c r="I606" s="2">
        <v>-17</v>
      </c>
      <c r="J606" s="2">
        <v>-20.100000000000001</v>
      </c>
      <c r="K606" s="2">
        <f t="shared" si="78"/>
        <v>-17</v>
      </c>
      <c r="L606" s="8">
        <f t="shared" si="82"/>
        <v>8.9125093813374051E-13</v>
      </c>
      <c r="M606" s="26"/>
      <c r="N606" s="17"/>
      <c r="O606" s="9">
        <f t="shared" si="80"/>
        <v>-20.100000000000001</v>
      </c>
      <c r="P606" s="8">
        <f>D602/B602*10^(O606/10)</f>
        <v>1.5310049794974347</v>
      </c>
      <c r="Q606" s="26"/>
      <c r="R606" s="17"/>
      <c r="S606" s="19"/>
      <c r="T606" s="17"/>
      <c r="U606" s="22"/>
    </row>
    <row r="607" spans="1:21" x14ac:dyDescent="0.25">
      <c r="A607" s="24"/>
      <c r="B607" s="24"/>
      <c r="C607" s="17"/>
      <c r="D607" s="24"/>
      <c r="E607" s="24"/>
      <c r="F607" s="25"/>
      <c r="G607" s="1">
        <v>5625</v>
      </c>
      <c r="H607" s="2">
        <v>99.5</v>
      </c>
      <c r="I607" s="2">
        <v>-16.3</v>
      </c>
      <c r="J607" s="2">
        <v>-16.899999999999999</v>
      </c>
      <c r="K607" s="2">
        <f t="shared" si="78"/>
        <v>-16.3</v>
      </c>
      <c r="L607" s="8">
        <f t="shared" si="82"/>
        <v>2.6302679918953739E-12</v>
      </c>
      <c r="M607" s="26"/>
      <c r="N607" s="17"/>
      <c r="O607" s="9">
        <f t="shared" si="80"/>
        <v>-16.899999999999999</v>
      </c>
      <c r="P607" s="8">
        <f>D602/B602*10^(O607/10)</f>
        <v>3.1987227799822615</v>
      </c>
      <c r="Q607" s="26"/>
      <c r="R607" s="17"/>
      <c r="S607" s="20"/>
      <c r="T607" s="17"/>
      <c r="U607" s="23"/>
    </row>
    <row r="608" spans="1:21" x14ac:dyDescent="0.25">
      <c r="A608" s="24">
        <v>8000</v>
      </c>
      <c r="B608" s="24">
        <v>3</v>
      </c>
      <c r="C608" s="17">
        <v>0.5</v>
      </c>
      <c r="D608" s="24">
        <v>943</v>
      </c>
      <c r="E608" s="24">
        <v>6</v>
      </c>
      <c r="F608" s="25">
        <v>54</v>
      </c>
      <c r="G608" s="1">
        <v>6025</v>
      </c>
      <c r="H608" s="2">
        <v>95</v>
      </c>
      <c r="I608" s="2">
        <v>-18</v>
      </c>
      <c r="J608" s="2">
        <v>-19.7</v>
      </c>
      <c r="K608" s="2">
        <f t="shared" si="78"/>
        <v>-18</v>
      </c>
      <c r="L608" s="8">
        <f t="shared" si="82"/>
        <v>5.0118723362726945E-12</v>
      </c>
      <c r="M608" s="26">
        <f>SUM(L608:L613)</f>
        <v>8.2873096498669681E-11</v>
      </c>
      <c r="N608" s="17">
        <f>10*LOG10(M608/E608)</f>
        <v>-108.59737684109491</v>
      </c>
      <c r="O608" s="9">
        <f t="shared" si="80"/>
        <v>-19.7</v>
      </c>
      <c r="P608" s="8">
        <f>D608/B608*10^(O608/10)</f>
        <v>3.3681423494635401</v>
      </c>
      <c r="Q608" s="26">
        <f>SUM(P608:P613)</f>
        <v>21.291250727040868</v>
      </c>
      <c r="R608" s="17">
        <f>10*LOG10(Q608)</f>
        <v>13.282011742564336</v>
      </c>
      <c r="S608" s="18">
        <f>F608+N608-Kzt-H</f>
        <v>-54.597376841094913</v>
      </c>
      <c r="T608" s="17">
        <v>0.7</v>
      </c>
      <c r="U608" s="21">
        <f>T608*10^((S608-R608)/10)</f>
        <v>1.1406677991088852E-7</v>
      </c>
    </row>
    <row r="609" spans="1:21" x14ac:dyDescent="0.25">
      <c r="A609" s="24"/>
      <c r="B609" s="24"/>
      <c r="C609" s="17"/>
      <c r="D609" s="24"/>
      <c r="E609" s="24"/>
      <c r="F609" s="25"/>
      <c r="G609" s="1">
        <v>7025</v>
      </c>
      <c r="H609" s="2">
        <v>94.8</v>
      </c>
      <c r="I609" s="2">
        <v>-20.5</v>
      </c>
      <c r="J609" s="2">
        <v>-23.7</v>
      </c>
      <c r="K609" s="2">
        <f t="shared" si="78"/>
        <v>-20.5</v>
      </c>
      <c r="L609" s="8">
        <f t="shared" si="82"/>
        <v>2.9512092266663859E-12</v>
      </c>
      <c r="M609" s="26"/>
      <c r="N609" s="17"/>
      <c r="O609" s="9">
        <f t="shared" si="80"/>
        <v>-23.7</v>
      </c>
      <c r="P609" s="8">
        <f>D608/B608*10^(O609/10)</f>
        <v>1.340881620766339</v>
      </c>
      <c r="Q609" s="26"/>
      <c r="R609" s="17"/>
      <c r="S609" s="19"/>
      <c r="T609" s="17"/>
      <c r="U609" s="22"/>
    </row>
    <row r="610" spans="1:21" x14ac:dyDescent="0.25">
      <c r="A610" s="24"/>
      <c r="B610" s="24"/>
      <c r="C610" s="17"/>
      <c r="D610" s="24"/>
      <c r="E610" s="24"/>
      <c r="F610" s="25"/>
      <c r="G610" s="1">
        <v>8025</v>
      </c>
      <c r="H610" s="2">
        <v>101.9</v>
      </c>
      <c r="I610" s="2">
        <v>-16.2</v>
      </c>
      <c r="J610" s="2">
        <v>-16.7</v>
      </c>
      <c r="K610" s="2">
        <f t="shared" si="78"/>
        <v>-16.2</v>
      </c>
      <c r="L610" s="8">
        <f t="shared" si="82"/>
        <v>1.5488166189124747E-12</v>
      </c>
      <c r="M610" s="26"/>
      <c r="N610" s="17"/>
      <c r="O610" s="9">
        <f t="shared" si="80"/>
        <v>-16.7</v>
      </c>
      <c r="P610" s="8">
        <f>D608/B608*10^(O610/10)</f>
        <v>6.7203275013353494</v>
      </c>
      <c r="Q610" s="26"/>
      <c r="R610" s="17"/>
      <c r="S610" s="19"/>
      <c r="T610" s="17"/>
      <c r="U610" s="22"/>
    </row>
    <row r="611" spans="1:21" x14ac:dyDescent="0.25">
      <c r="A611" s="24"/>
      <c r="B611" s="24"/>
      <c r="C611" s="17"/>
      <c r="D611" s="24"/>
      <c r="E611" s="24"/>
      <c r="F611" s="25"/>
      <c r="G611" s="1">
        <v>9025</v>
      </c>
      <c r="H611" s="2">
        <v>93.2</v>
      </c>
      <c r="I611" s="2">
        <v>-16.899999999999999</v>
      </c>
      <c r="J611" s="2">
        <v>-18.7</v>
      </c>
      <c r="K611" s="2">
        <f t="shared" si="78"/>
        <v>-16.899999999999999</v>
      </c>
      <c r="L611" s="8">
        <f t="shared" si="82"/>
        <v>9.7723722095580929E-12</v>
      </c>
      <c r="M611" s="26"/>
      <c r="N611" s="17"/>
      <c r="O611" s="9">
        <f t="shared" si="80"/>
        <v>-18.7</v>
      </c>
      <c r="P611" s="8">
        <f>D608/B608*10^(O611/10)</f>
        <v>4.2402399942797642</v>
      </c>
      <c r="Q611" s="26"/>
      <c r="R611" s="17"/>
      <c r="S611" s="19"/>
      <c r="T611" s="17"/>
      <c r="U611" s="22"/>
    </row>
    <row r="612" spans="1:21" x14ac:dyDescent="0.25">
      <c r="A612" s="24"/>
      <c r="B612" s="24"/>
      <c r="C612" s="17"/>
      <c r="D612" s="24"/>
      <c r="E612" s="24"/>
      <c r="F612" s="25"/>
      <c r="G612" s="1">
        <v>10025</v>
      </c>
      <c r="H612" s="2">
        <v>88.3</v>
      </c>
      <c r="I612" s="2">
        <v>-20.8</v>
      </c>
      <c r="J612" s="2">
        <v>-21.3</v>
      </c>
      <c r="K612" s="2">
        <f t="shared" si="78"/>
        <v>-20.8</v>
      </c>
      <c r="L612" s="8">
        <f t="shared" si="82"/>
        <v>1.2302687708123787E-11</v>
      </c>
      <c r="M612" s="26"/>
      <c r="N612" s="17"/>
      <c r="O612" s="9">
        <f t="shared" si="80"/>
        <v>-21.3</v>
      </c>
      <c r="P612" s="8">
        <f>D608/B608*10^(O612/10)</f>
        <v>2.3301851918225505</v>
      </c>
      <c r="Q612" s="26"/>
      <c r="R612" s="17"/>
      <c r="S612" s="19"/>
      <c r="T612" s="17"/>
      <c r="U612" s="22"/>
    </row>
    <row r="613" spans="1:21" x14ac:dyDescent="0.25">
      <c r="A613" s="24"/>
      <c r="B613" s="24"/>
      <c r="C613" s="17"/>
      <c r="D613" s="24"/>
      <c r="E613" s="24"/>
      <c r="F613" s="25"/>
      <c r="G613" s="1">
        <v>11025</v>
      </c>
      <c r="H613" s="2">
        <v>86</v>
      </c>
      <c r="I613" s="2">
        <v>-16.899999999999999</v>
      </c>
      <c r="J613" s="2">
        <v>-19.8</v>
      </c>
      <c r="K613" s="2">
        <f t="shared" si="78"/>
        <v>-16.899999999999999</v>
      </c>
      <c r="L613" s="8">
        <f t="shared" si="82"/>
        <v>5.1286138399136241E-11</v>
      </c>
      <c r="M613" s="26"/>
      <c r="N613" s="17"/>
      <c r="O613" s="9">
        <f t="shared" si="80"/>
        <v>-19.8</v>
      </c>
      <c r="P613" s="8">
        <f>D608/B608*10^(O613/10)</f>
        <v>3.2914740693733253</v>
      </c>
      <c r="Q613" s="26"/>
      <c r="R613" s="17"/>
      <c r="S613" s="20"/>
      <c r="T613" s="17"/>
      <c r="U613" s="23"/>
    </row>
    <row r="614" spans="1:21" x14ac:dyDescent="0.25">
      <c r="A614" s="24" t="s">
        <v>20</v>
      </c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12">
        <f>U614</f>
        <v>7.6064049170616863E-2</v>
      </c>
      <c r="T614" s="2"/>
      <c r="U614" s="8">
        <f>0.8*SQRT(SUM(U580:U613))</f>
        <v>7.6064049170616863E-2</v>
      </c>
    </row>
    <row r="615" spans="1:21" x14ac:dyDescent="0.25">
      <c r="A615" s="27" t="s">
        <v>69</v>
      </c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9"/>
    </row>
    <row r="616" spans="1:21" x14ac:dyDescent="0.25">
      <c r="A616" s="24">
        <v>250</v>
      </c>
      <c r="B616" s="24">
        <v>3</v>
      </c>
      <c r="C616" s="17">
        <v>0.5</v>
      </c>
      <c r="D616" s="24">
        <v>38</v>
      </c>
      <c r="E616" s="24">
        <v>4</v>
      </c>
      <c r="F616" s="25">
        <v>84</v>
      </c>
      <c r="G616" s="1">
        <v>175</v>
      </c>
      <c r="H616" s="2">
        <v>84.8</v>
      </c>
      <c r="I616" s="2">
        <v>-13.9</v>
      </c>
      <c r="J616" s="2">
        <v>-16.899999999999999</v>
      </c>
      <c r="K616" s="2">
        <f>I616</f>
        <v>-13.9</v>
      </c>
      <c r="L616" s="8">
        <f>10^((K616-H616)/10)</f>
        <v>1.3489628825916465E-10</v>
      </c>
      <c r="M616" s="26">
        <f>SUM(L616:L619)</f>
        <v>1.8189539810896368E-10</v>
      </c>
      <c r="N616" s="17">
        <f>10*LOG10(M616/E616)</f>
        <v>-103.42238279626572</v>
      </c>
      <c r="O616" s="9">
        <f>J616</f>
        <v>-16.899999999999999</v>
      </c>
      <c r="P616" s="8">
        <f>D616/B616*10^(O616/10)</f>
        <v>0.25862013965814029</v>
      </c>
      <c r="Q616" s="26">
        <f>SUM(P616:P619)</f>
        <v>0.72597962045791375</v>
      </c>
      <c r="R616" s="17">
        <f>10*LOG10(Q616)</f>
        <v>-1.3907557054907762</v>
      </c>
      <c r="S616" s="18">
        <f>F616+N616-Kzt-H</f>
        <v>-19.422382796265723</v>
      </c>
      <c r="T616" s="17">
        <v>0.2</v>
      </c>
      <c r="U616" s="21">
        <f>T616*10^((S616-R616)/10)</f>
        <v>3.1467865597642254E-3</v>
      </c>
    </row>
    <row r="617" spans="1:21" x14ac:dyDescent="0.25">
      <c r="A617" s="24"/>
      <c r="B617" s="24"/>
      <c r="C617" s="17"/>
      <c r="D617" s="24"/>
      <c r="E617" s="24"/>
      <c r="F617" s="25"/>
      <c r="G617" s="1">
        <v>225</v>
      </c>
      <c r="H617" s="2">
        <v>90</v>
      </c>
      <c r="I617" s="2">
        <v>-19</v>
      </c>
      <c r="J617" s="2">
        <v>-23.2</v>
      </c>
      <c r="K617" s="2">
        <f t="shared" ref="K617:K649" si="83">I617</f>
        <v>-19</v>
      </c>
      <c r="L617" s="8">
        <f t="shared" ref="L617:L618" si="84">10^((K617-H617)/10)</f>
        <v>1.2589254117941641E-11</v>
      </c>
      <c r="M617" s="26"/>
      <c r="N617" s="17"/>
      <c r="O617" s="9">
        <f t="shared" ref="O617:O649" si="85">J617</f>
        <v>-23.2</v>
      </c>
      <c r="P617" s="8">
        <f>D616/B616*10^(O617/10)</f>
        <v>6.0626478360867521E-2</v>
      </c>
      <c r="Q617" s="26"/>
      <c r="R617" s="17"/>
      <c r="S617" s="19"/>
      <c r="T617" s="17"/>
      <c r="U617" s="22"/>
    </row>
    <row r="618" spans="1:21" x14ac:dyDescent="0.25">
      <c r="A618" s="24"/>
      <c r="B618" s="24"/>
      <c r="C618" s="17"/>
      <c r="D618" s="24"/>
      <c r="E618" s="24"/>
      <c r="F618" s="25"/>
      <c r="G618" s="1">
        <v>275</v>
      </c>
      <c r="H618" s="2">
        <v>92.2</v>
      </c>
      <c r="I618" s="2">
        <v>-17</v>
      </c>
      <c r="J618" s="2">
        <v>-18.7</v>
      </c>
      <c r="K618" s="2">
        <f t="shared" si="83"/>
        <v>-17</v>
      </c>
      <c r="L618" s="8">
        <f t="shared" si="84"/>
        <v>1.2022644346174101E-11</v>
      </c>
      <c r="M618" s="26"/>
      <c r="N618" s="17"/>
      <c r="O618" s="9">
        <f t="shared" si="85"/>
        <v>-18.7</v>
      </c>
      <c r="P618" s="8">
        <f>D616/B616*10^(O618/10)</f>
        <v>0.1708686317949428</v>
      </c>
      <c r="Q618" s="26"/>
      <c r="R618" s="17"/>
      <c r="S618" s="19"/>
      <c r="T618" s="17"/>
      <c r="U618" s="22"/>
    </row>
    <row r="619" spans="1:21" x14ac:dyDescent="0.25">
      <c r="A619" s="24"/>
      <c r="B619" s="24"/>
      <c r="C619" s="17"/>
      <c r="D619" s="24"/>
      <c r="E619" s="24"/>
      <c r="F619" s="25"/>
      <c r="G619" s="1">
        <v>325</v>
      </c>
      <c r="H619" s="2">
        <v>93.3</v>
      </c>
      <c r="I619" s="2">
        <v>-13.2</v>
      </c>
      <c r="J619" s="2">
        <v>-17.3</v>
      </c>
      <c r="K619" s="2">
        <f t="shared" si="83"/>
        <v>-13.2</v>
      </c>
      <c r="L619" s="8">
        <f>10^((K619-H619)/10)</f>
        <v>2.238721138568329E-11</v>
      </c>
      <c r="M619" s="26"/>
      <c r="N619" s="17"/>
      <c r="O619" s="9">
        <f t="shared" si="85"/>
        <v>-17.3</v>
      </c>
      <c r="P619" s="8">
        <f>D616/B616*10^(O619/10)</f>
        <v>0.23586437064396312</v>
      </c>
      <c r="Q619" s="26"/>
      <c r="R619" s="17"/>
      <c r="S619" s="20"/>
      <c r="T619" s="17"/>
      <c r="U619" s="23"/>
    </row>
    <row r="620" spans="1:21" x14ac:dyDescent="0.25">
      <c r="A620" s="24">
        <v>500</v>
      </c>
      <c r="B620" s="24">
        <v>3</v>
      </c>
      <c r="C620" s="17">
        <v>0.5</v>
      </c>
      <c r="D620" s="24">
        <v>59</v>
      </c>
      <c r="E620" s="24">
        <v>6</v>
      </c>
      <c r="F620" s="25">
        <v>84</v>
      </c>
      <c r="G620" s="1">
        <v>375</v>
      </c>
      <c r="H620" s="2">
        <v>91.9</v>
      </c>
      <c r="I620" s="2">
        <v>-12.8</v>
      </c>
      <c r="J620" s="2">
        <v>-16.899999999999999</v>
      </c>
      <c r="K620" s="2">
        <f t="shared" si="83"/>
        <v>-12.8</v>
      </c>
      <c r="L620" s="8">
        <f t="shared" ref="L620:L621" si="86">10^((K620-H620)/10)</f>
        <v>3.3884415613920157E-11</v>
      </c>
      <c r="M620" s="26">
        <f>SUM(L620:L625)</f>
        <v>2.4085960669793041E-10</v>
      </c>
      <c r="N620" s="17">
        <f>10*LOG10(M620/E620)</f>
        <v>-103.9638727752976</v>
      </c>
      <c r="O620" s="9">
        <f t="shared" si="85"/>
        <v>-16.899999999999999</v>
      </c>
      <c r="P620" s="8">
        <f>D620/B620*10^(O620/10)</f>
        <v>0.40154179578500737</v>
      </c>
      <c r="Q620" s="26">
        <f>SUM(P620:P625)</f>
        <v>1.6836369115669183</v>
      </c>
      <c r="R620" s="17">
        <f>10*LOG10(Q620)</f>
        <v>2.2624843852651089</v>
      </c>
      <c r="S620" s="18">
        <f>F620+N620-Kzt-H</f>
        <v>-19.963872775297602</v>
      </c>
      <c r="T620" s="17">
        <v>0.5</v>
      </c>
      <c r="U620" s="21">
        <f>T620*10^((S620-R620)/10)</f>
        <v>2.9945687507735592E-3</v>
      </c>
    </row>
    <row r="621" spans="1:21" x14ac:dyDescent="0.25">
      <c r="A621" s="24"/>
      <c r="B621" s="24"/>
      <c r="C621" s="17"/>
      <c r="D621" s="24"/>
      <c r="E621" s="24"/>
      <c r="F621" s="25"/>
      <c r="G621" s="1">
        <v>425</v>
      </c>
      <c r="H621" s="2">
        <v>88.1</v>
      </c>
      <c r="I621" s="2">
        <v>-12.6</v>
      </c>
      <c r="J621" s="2">
        <v>-18.7</v>
      </c>
      <c r="K621" s="2">
        <f t="shared" si="83"/>
        <v>-12.6</v>
      </c>
      <c r="L621" s="8">
        <f t="shared" si="86"/>
        <v>8.5113803820237668E-11</v>
      </c>
      <c r="M621" s="26"/>
      <c r="N621" s="17"/>
      <c r="O621" s="9">
        <f t="shared" si="85"/>
        <v>-18.7</v>
      </c>
      <c r="P621" s="8">
        <f>D620/B620*10^(O621/10)</f>
        <v>0.26529603357635856</v>
      </c>
      <c r="Q621" s="26"/>
      <c r="R621" s="17"/>
      <c r="S621" s="19"/>
      <c r="T621" s="17"/>
      <c r="U621" s="22"/>
    </row>
    <row r="622" spans="1:21" x14ac:dyDescent="0.25">
      <c r="A622" s="24"/>
      <c r="B622" s="24"/>
      <c r="C622" s="17"/>
      <c r="D622" s="24"/>
      <c r="E622" s="24"/>
      <c r="F622" s="25"/>
      <c r="G622" s="1">
        <v>475</v>
      </c>
      <c r="H622" s="2">
        <v>90</v>
      </c>
      <c r="I622" s="2">
        <v>-10.9</v>
      </c>
      <c r="J622" s="2">
        <v>-16.3</v>
      </c>
      <c r="K622" s="2">
        <f t="shared" si="83"/>
        <v>-10.9</v>
      </c>
      <c r="L622" s="8">
        <f>10^((K622-H622)/10)</f>
        <v>8.1283051616409667E-11</v>
      </c>
      <c r="M622" s="26"/>
      <c r="N622" s="17"/>
      <c r="O622" s="9">
        <f t="shared" si="85"/>
        <v>-16.3</v>
      </c>
      <c r="P622" s="8">
        <f>D620/B620*10^(O622/10)</f>
        <v>0.46103166701291787</v>
      </c>
      <c r="Q622" s="26"/>
      <c r="R622" s="17"/>
      <c r="S622" s="19"/>
      <c r="T622" s="17"/>
      <c r="U622" s="22"/>
    </row>
    <row r="623" spans="1:21" x14ac:dyDescent="0.25">
      <c r="A623" s="24"/>
      <c r="B623" s="24"/>
      <c r="C623" s="17"/>
      <c r="D623" s="24"/>
      <c r="E623" s="24"/>
      <c r="F623" s="25"/>
      <c r="G623" s="1">
        <v>575</v>
      </c>
      <c r="H623" s="2">
        <v>97</v>
      </c>
      <c r="I623" s="2">
        <v>-15.3</v>
      </c>
      <c r="J623" s="2">
        <v>-24.2</v>
      </c>
      <c r="K623" s="2">
        <f t="shared" si="83"/>
        <v>-15.3</v>
      </c>
      <c r="L623" s="8">
        <f t="shared" ref="L623:L649" si="87">10^((K623-H623)/10)</f>
        <v>5.8884365535558725E-12</v>
      </c>
      <c r="M623" s="26"/>
      <c r="N623" s="17"/>
      <c r="O623" s="9">
        <f t="shared" si="85"/>
        <v>-24.2</v>
      </c>
      <c r="P623" s="8">
        <f>D620/B620*10^(O623/10)</f>
        <v>7.4770581276377049E-2</v>
      </c>
      <c r="Q623" s="26"/>
      <c r="R623" s="17"/>
      <c r="S623" s="19"/>
      <c r="T623" s="17"/>
      <c r="U623" s="22"/>
    </row>
    <row r="624" spans="1:21" x14ac:dyDescent="0.25">
      <c r="A624" s="24"/>
      <c r="B624" s="24"/>
      <c r="C624" s="17"/>
      <c r="D624" s="24"/>
      <c r="E624" s="24"/>
      <c r="F624" s="25"/>
      <c r="G624" s="1">
        <v>625</v>
      </c>
      <c r="H624" s="2">
        <v>92</v>
      </c>
      <c r="I624" s="2">
        <v>-14.5</v>
      </c>
      <c r="J624" s="2">
        <v>-21.5</v>
      </c>
      <c r="K624" s="2">
        <f t="shared" si="83"/>
        <v>-14.5</v>
      </c>
      <c r="L624" s="8">
        <f t="shared" si="87"/>
        <v>2.238721138568329E-11</v>
      </c>
      <c r="M624" s="26"/>
      <c r="N624" s="17"/>
      <c r="O624" s="9">
        <f t="shared" si="85"/>
        <v>-21.5</v>
      </c>
      <c r="P624" s="8">
        <f>D620/B620*10^(O624/10)</f>
        <v>0.13922933759554715</v>
      </c>
      <c r="Q624" s="26"/>
      <c r="R624" s="17"/>
      <c r="S624" s="19"/>
      <c r="T624" s="17"/>
      <c r="U624" s="22"/>
    </row>
    <row r="625" spans="1:21" x14ac:dyDescent="0.25">
      <c r="A625" s="24"/>
      <c r="B625" s="24"/>
      <c r="C625" s="17"/>
      <c r="D625" s="24"/>
      <c r="E625" s="24"/>
      <c r="F625" s="25"/>
      <c r="G625" s="1">
        <v>675</v>
      </c>
      <c r="H625" s="2">
        <v>94.5</v>
      </c>
      <c r="I625" s="2">
        <v>-14.6</v>
      </c>
      <c r="J625" s="2">
        <v>-17.600000000000001</v>
      </c>
      <c r="K625" s="2">
        <f t="shared" si="83"/>
        <v>-14.6</v>
      </c>
      <c r="L625" s="8">
        <f t="shared" si="87"/>
        <v>1.2302687708123787E-11</v>
      </c>
      <c r="M625" s="26"/>
      <c r="N625" s="17"/>
      <c r="O625" s="9">
        <f t="shared" si="85"/>
        <v>-17.600000000000001</v>
      </c>
      <c r="P625" s="8">
        <f>D620/B620*10^(O625/10)</f>
        <v>0.34176749632071018</v>
      </c>
      <c r="Q625" s="26"/>
      <c r="R625" s="17"/>
      <c r="S625" s="20"/>
      <c r="T625" s="17"/>
      <c r="U625" s="23"/>
    </row>
    <row r="626" spans="1:21" x14ac:dyDescent="0.25">
      <c r="A626" s="24">
        <v>1000</v>
      </c>
      <c r="B626" s="24">
        <v>3</v>
      </c>
      <c r="C626" s="17">
        <v>0.5</v>
      </c>
      <c r="D626" s="24">
        <v>117</v>
      </c>
      <c r="E626" s="24">
        <v>6</v>
      </c>
      <c r="F626" s="25">
        <v>76</v>
      </c>
      <c r="G626" s="1">
        <v>875</v>
      </c>
      <c r="H626" s="2">
        <v>91.1</v>
      </c>
      <c r="I626" s="2">
        <v>-16</v>
      </c>
      <c r="J626" s="2">
        <v>-21.3</v>
      </c>
      <c r="K626" s="2">
        <f t="shared" si="83"/>
        <v>-16</v>
      </c>
      <c r="L626" s="8">
        <f t="shared" si="87"/>
        <v>1.949844599758044E-11</v>
      </c>
      <c r="M626" s="26">
        <f>SUM(L626:L631)</f>
        <v>5.0368747461909496E-11</v>
      </c>
      <c r="N626" s="17">
        <f>10*LOG10(M626/E626)</f>
        <v>-110.75990099151595</v>
      </c>
      <c r="O626" s="9">
        <f t="shared" si="85"/>
        <v>-21.3</v>
      </c>
      <c r="P626" s="8">
        <f>D626/B626*10^(O626/10)</f>
        <v>0.2891109941073578</v>
      </c>
      <c r="Q626" s="26">
        <f>SUM(P626:P631)</f>
        <v>2.8123955772801801</v>
      </c>
      <c r="R626" s="17">
        <f>10*LOG10(Q626)</f>
        <v>4.4907640630060754</v>
      </c>
      <c r="S626" s="18">
        <f>F626+N626-Kzt-H</f>
        <v>-34.759900991515948</v>
      </c>
      <c r="T626" s="17">
        <v>0.8</v>
      </c>
      <c r="U626" s="21">
        <f>T626*10^((S626-R626)/10)</f>
        <v>9.5065619257712355E-5</v>
      </c>
    </row>
    <row r="627" spans="1:21" x14ac:dyDescent="0.25">
      <c r="A627" s="24"/>
      <c r="B627" s="24"/>
      <c r="C627" s="17"/>
      <c r="D627" s="24"/>
      <c r="E627" s="24"/>
      <c r="F627" s="25"/>
      <c r="G627" s="1">
        <v>975</v>
      </c>
      <c r="H627" s="2">
        <v>96.5</v>
      </c>
      <c r="I627" s="2">
        <v>-15.5</v>
      </c>
      <c r="J627" s="2">
        <v>-19.899999999999999</v>
      </c>
      <c r="K627" s="2">
        <f t="shared" si="83"/>
        <v>-15.5</v>
      </c>
      <c r="L627" s="8">
        <f t="shared" si="87"/>
        <v>6.3095734448019345E-12</v>
      </c>
      <c r="M627" s="26"/>
      <c r="N627" s="17"/>
      <c r="O627" s="9">
        <f t="shared" si="85"/>
        <v>-19.899999999999999</v>
      </c>
      <c r="P627" s="8">
        <f>D626/B626*10^(O627/10)</f>
        <v>0.39908426698949423</v>
      </c>
      <c r="Q627" s="26"/>
      <c r="R627" s="17"/>
      <c r="S627" s="19"/>
      <c r="T627" s="17"/>
      <c r="U627" s="22"/>
    </row>
    <row r="628" spans="1:21" x14ac:dyDescent="0.25">
      <c r="A628" s="24"/>
      <c r="B628" s="24"/>
      <c r="C628" s="17"/>
      <c r="D628" s="24"/>
      <c r="E628" s="24"/>
      <c r="F628" s="25"/>
      <c r="G628" s="1">
        <v>1075</v>
      </c>
      <c r="H628" s="2">
        <v>94.6</v>
      </c>
      <c r="I628" s="2">
        <v>-16.8</v>
      </c>
      <c r="J628" s="2">
        <v>-17.3</v>
      </c>
      <c r="K628" s="2">
        <f t="shared" si="83"/>
        <v>-16.8</v>
      </c>
      <c r="L628" s="8">
        <f t="shared" si="87"/>
        <v>7.2443596007498992E-12</v>
      </c>
      <c r="M628" s="26"/>
      <c r="N628" s="17"/>
      <c r="O628" s="9">
        <f t="shared" si="85"/>
        <v>-17.3</v>
      </c>
      <c r="P628" s="8">
        <f>D626/B626*10^(O628/10)</f>
        <v>0.72621398329851805</v>
      </c>
      <c r="Q628" s="26"/>
      <c r="R628" s="17"/>
      <c r="S628" s="19"/>
      <c r="T628" s="17"/>
      <c r="U628" s="22"/>
    </row>
    <row r="629" spans="1:21" x14ac:dyDescent="0.25">
      <c r="A629" s="24"/>
      <c r="B629" s="24"/>
      <c r="C629" s="17"/>
      <c r="D629" s="24"/>
      <c r="E629" s="24"/>
      <c r="F629" s="25"/>
      <c r="G629" s="1">
        <v>1175</v>
      </c>
      <c r="H629" s="2">
        <v>97.8</v>
      </c>
      <c r="I629" s="2">
        <v>-10.5</v>
      </c>
      <c r="J629" s="2">
        <v>-19.7</v>
      </c>
      <c r="K629" s="2">
        <f t="shared" si="83"/>
        <v>-10.5</v>
      </c>
      <c r="L629" s="8">
        <f t="shared" si="87"/>
        <v>1.4791083881682027E-11</v>
      </c>
      <c r="M629" s="26"/>
      <c r="N629" s="17"/>
      <c r="O629" s="9">
        <f t="shared" si="85"/>
        <v>-19.7</v>
      </c>
      <c r="P629" s="8">
        <f>D626/B626*10^(O629/10)</f>
        <v>0.41789252904266622</v>
      </c>
      <c r="Q629" s="26"/>
      <c r="R629" s="17"/>
      <c r="S629" s="19"/>
      <c r="T629" s="17"/>
      <c r="U629" s="22"/>
    </row>
    <row r="630" spans="1:21" x14ac:dyDescent="0.25">
      <c r="A630" s="24"/>
      <c r="B630" s="24"/>
      <c r="C630" s="17"/>
      <c r="D630" s="24"/>
      <c r="E630" s="24"/>
      <c r="F630" s="25"/>
      <c r="G630" s="1">
        <v>1275</v>
      </c>
      <c r="H630" s="2">
        <v>100.1</v>
      </c>
      <c r="I630" s="2">
        <v>-17</v>
      </c>
      <c r="J630" s="2">
        <v>-17.899999999999999</v>
      </c>
      <c r="K630" s="2">
        <f t="shared" si="83"/>
        <v>-17</v>
      </c>
      <c r="L630" s="8">
        <f t="shared" si="87"/>
        <v>1.9498445997580419E-12</v>
      </c>
      <c r="M630" s="26"/>
      <c r="N630" s="17"/>
      <c r="O630" s="9">
        <f t="shared" si="85"/>
        <v>-17.899999999999999</v>
      </c>
      <c r="P630" s="8">
        <f>D626/B626*10^(O630/10)</f>
        <v>0.63250593796998289</v>
      </c>
      <c r="Q630" s="26"/>
      <c r="R630" s="17"/>
      <c r="S630" s="19"/>
      <c r="T630" s="17"/>
      <c r="U630" s="22"/>
    </row>
    <row r="631" spans="1:21" x14ac:dyDescent="0.25">
      <c r="A631" s="24"/>
      <c r="B631" s="24"/>
      <c r="C631" s="17"/>
      <c r="D631" s="24"/>
      <c r="E631" s="24"/>
      <c r="F631" s="25"/>
      <c r="G631" s="1">
        <v>1375</v>
      </c>
      <c r="H631" s="2">
        <v>103</v>
      </c>
      <c r="I631" s="2">
        <v>-19.399999999999999</v>
      </c>
      <c r="J631" s="2">
        <v>-20.5</v>
      </c>
      <c r="K631" s="2">
        <f t="shared" si="83"/>
        <v>-19.399999999999999</v>
      </c>
      <c r="L631" s="8">
        <f t="shared" si="87"/>
        <v>5.7543993733715476E-13</v>
      </c>
      <c r="M631" s="26"/>
      <c r="N631" s="17"/>
      <c r="O631" s="9">
        <f t="shared" si="85"/>
        <v>-20.5</v>
      </c>
      <c r="P631" s="8">
        <f>D626/B626*10^(O631/10)</f>
        <v>0.34758786587216078</v>
      </c>
      <c r="Q631" s="26"/>
      <c r="R631" s="17"/>
      <c r="S631" s="20"/>
      <c r="T631" s="17"/>
      <c r="U631" s="23"/>
    </row>
    <row r="632" spans="1:21" x14ac:dyDescent="0.25">
      <c r="A632" s="24">
        <v>2000</v>
      </c>
      <c r="B632" s="24">
        <v>3</v>
      </c>
      <c r="C632" s="17">
        <v>0.5</v>
      </c>
      <c r="D632" s="24">
        <v>234</v>
      </c>
      <c r="E632" s="24">
        <v>6</v>
      </c>
      <c r="F632" s="25">
        <v>68</v>
      </c>
      <c r="G632" s="1">
        <v>1425</v>
      </c>
      <c r="H632" s="2">
        <v>102.8</v>
      </c>
      <c r="I632" s="2">
        <v>-14.5</v>
      </c>
      <c r="J632" s="2">
        <v>-18.7</v>
      </c>
      <c r="K632" s="2">
        <f t="shared" si="83"/>
        <v>-14.5</v>
      </c>
      <c r="L632" s="8">
        <f t="shared" si="87"/>
        <v>1.8620871366628578E-12</v>
      </c>
      <c r="M632" s="26">
        <f>SUM(L632:L637)</f>
        <v>1.5289987487839342E-11</v>
      </c>
      <c r="N632" s="17">
        <f>10*LOG10(M632/E632)</f>
        <v>-115.93744120364688</v>
      </c>
      <c r="O632" s="9">
        <f t="shared" si="85"/>
        <v>-18.7</v>
      </c>
      <c r="P632" s="8">
        <f>D632/B632*10^(O632/10)</f>
        <v>1.0521910484214898</v>
      </c>
      <c r="Q632" s="26">
        <f>SUM(P632:P637)</f>
        <v>7.0204094651490552</v>
      </c>
      <c r="R632" s="17">
        <f>10*LOG10(Q632)</f>
        <v>8.463624430797692</v>
      </c>
      <c r="S632" s="18">
        <f>F632+N632-Kzt-H</f>
        <v>-47.937441203646884</v>
      </c>
      <c r="T632" s="17">
        <v>1</v>
      </c>
      <c r="U632" s="21">
        <f>T632*10^((S632-R632)/10)</f>
        <v>2.2903056083252873E-6</v>
      </c>
    </row>
    <row r="633" spans="1:21" x14ac:dyDescent="0.25">
      <c r="A633" s="24"/>
      <c r="B633" s="24"/>
      <c r="C633" s="17"/>
      <c r="D633" s="24"/>
      <c r="E633" s="24"/>
      <c r="F633" s="25"/>
      <c r="G633" s="1">
        <v>1625</v>
      </c>
      <c r="H633" s="2">
        <v>104.1</v>
      </c>
      <c r="I633" s="2">
        <v>-17.600000000000001</v>
      </c>
      <c r="J633" s="2">
        <v>-18.600000000000001</v>
      </c>
      <c r="K633" s="2">
        <f t="shared" si="83"/>
        <v>-17.600000000000001</v>
      </c>
      <c r="L633" s="8">
        <f t="shared" si="87"/>
        <v>6.7608297539198353E-13</v>
      </c>
      <c r="M633" s="26"/>
      <c r="N633" s="17"/>
      <c r="O633" s="9">
        <f t="shared" si="85"/>
        <v>-18.600000000000001</v>
      </c>
      <c r="P633" s="8">
        <f>D632/B632*10^(O633/10)</f>
        <v>1.0766997263902494</v>
      </c>
      <c r="Q633" s="26"/>
      <c r="R633" s="17"/>
      <c r="S633" s="19"/>
      <c r="T633" s="17"/>
      <c r="U633" s="22"/>
    </row>
    <row r="634" spans="1:21" x14ac:dyDescent="0.25">
      <c r="A634" s="24"/>
      <c r="B634" s="24"/>
      <c r="C634" s="17"/>
      <c r="D634" s="24"/>
      <c r="E634" s="24"/>
      <c r="F634" s="25"/>
      <c r="G634" s="1">
        <v>1825</v>
      </c>
      <c r="H634" s="2">
        <v>107.6</v>
      </c>
      <c r="I634" s="2">
        <v>-15.1</v>
      </c>
      <c r="J634" s="2">
        <v>-17</v>
      </c>
      <c r="K634" s="2">
        <f t="shared" si="83"/>
        <v>-15.1</v>
      </c>
      <c r="L634" s="8">
        <f t="shared" si="87"/>
        <v>5.3703179637025273E-13</v>
      </c>
      <c r="M634" s="26"/>
      <c r="N634" s="17"/>
      <c r="O634" s="9">
        <f t="shared" si="85"/>
        <v>-17</v>
      </c>
      <c r="P634" s="8">
        <f>D632/B632*10^(O634/10)</f>
        <v>1.5563046056757257</v>
      </c>
      <c r="Q634" s="26"/>
      <c r="R634" s="17"/>
      <c r="S634" s="19"/>
      <c r="T634" s="17"/>
      <c r="U634" s="22"/>
    </row>
    <row r="635" spans="1:21" x14ac:dyDescent="0.25">
      <c r="A635" s="24"/>
      <c r="B635" s="24"/>
      <c r="C635" s="17"/>
      <c r="D635" s="24"/>
      <c r="E635" s="24"/>
      <c r="F635" s="25"/>
      <c r="G635" s="1">
        <v>2125</v>
      </c>
      <c r="H635" s="2">
        <v>104.2</v>
      </c>
      <c r="I635" s="2">
        <v>-14.299999999999999</v>
      </c>
      <c r="J635" s="2">
        <v>-15.7</v>
      </c>
      <c r="K635" s="2">
        <f t="shared" si="83"/>
        <v>-14.299999999999999</v>
      </c>
      <c r="L635" s="8">
        <f t="shared" si="87"/>
        <v>1.4125375446227535E-12</v>
      </c>
      <c r="M635" s="26"/>
      <c r="N635" s="17"/>
      <c r="O635" s="9">
        <f t="shared" si="85"/>
        <v>-15.7</v>
      </c>
      <c r="P635" s="8">
        <f>D632/B632*10^(O635/10)</f>
        <v>2.099397147062994</v>
      </c>
      <c r="Q635" s="26"/>
      <c r="R635" s="17"/>
      <c r="S635" s="19"/>
      <c r="T635" s="17"/>
      <c r="U635" s="22"/>
    </row>
    <row r="636" spans="1:21" x14ac:dyDescent="0.25">
      <c r="A636" s="24"/>
      <c r="B636" s="24"/>
      <c r="C636" s="17"/>
      <c r="D636" s="24"/>
      <c r="E636" s="24"/>
      <c r="F636" s="25"/>
      <c r="G636" s="1">
        <v>2425</v>
      </c>
      <c r="H636" s="2">
        <v>93.7</v>
      </c>
      <c r="I636" s="2">
        <v>-17</v>
      </c>
      <c r="J636" s="2">
        <v>-22.9</v>
      </c>
      <c r="K636" s="2">
        <f t="shared" si="83"/>
        <v>-17</v>
      </c>
      <c r="L636" s="8">
        <f t="shared" si="87"/>
        <v>8.5113803820237273E-12</v>
      </c>
      <c r="M636" s="26"/>
      <c r="N636" s="17"/>
      <c r="O636" s="9">
        <f t="shared" si="85"/>
        <v>-22.9</v>
      </c>
      <c r="P636" s="8">
        <f>D632/B632*10^(O636/10)</f>
        <v>0.40003187951326447</v>
      </c>
      <c r="Q636" s="26"/>
      <c r="R636" s="17"/>
      <c r="S636" s="19"/>
      <c r="T636" s="17"/>
      <c r="U636" s="22"/>
    </row>
    <row r="637" spans="1:21" x14ac:dyDescent="0.25">
      <c r="A637" s="24"/>
      <c r="B637" s="24"/>
      <c r="C637" s="17"/>
      <c r="D637" s="24"/>
      <c r="E637" s="24"/>
      <c r="F637" s="25"/>
      <c r="G637" s="1">
        <v>2775</v>
      </c>
      <c r="H637" s="2">
        <v>100.2</v>
      </c>
      <c r="I637" s="2">
        <v>-16.2</v>
      </c>
      <c r="J637" s="2">
        <v>-19.7</v>
      </c>
      <c r="K637" s="2">
        <f t="shared" si="83"/>
        <v>-16.2</v>
      </c>
      <c r="L637" s="8">
        <f t="shared" si="87"/>
        <v>2.2908676527677675E-12</v>
      </c>
      <c r="M637" s="26"/>
      <c r="N637" s="17"/>
      <c r="O637" s="9">
        <f t="shared" si="85"/>
        <v>-19.7</v>
      </c>
      <c r="P637" s="8">
        <f>D632/B632*10^(O637/10)</f>
        <v>0.83578505808533243</v>
      </c>
      <c r="Q637" s="26"/>
      <c r="R637" s="17"/>
      <c r="S637" s="20"/>
      <c r="T637" s="17"/>
      <c r="U637" s="23"/>
    </row>
    <row r="638" spans="1:21" x14ac:dyDescent="0.25">
      <c r="A638" s="24">
        <v>4000</v>
      </c>
      <c r="B638" s="24">
        <v>3</v>
      </c>
      <c r="C638" s="17">
        <v>0.5</v>
      </c>
      <c r="D638" s="24">
        <v>470</v>
      </c>
      <c r="E638" s="24">
        <v>6</v>
      </c>
      <c r="F638" s="25">
        <v>62</v>
      </c>
      <c r="G638" s="1">
        <v>2825</v>
      </c>
      <c r="H638" s="2">
        <v>99.4</v>
      </c>
      <c r="I638" s="2">
        <v>-15.9</v>
      </c>
      <c r="J638" s="2">
        <v>-24.6</v>
      </c>
      <c r="K638" s="2">
        <f t="shared" si="83"/>
        <v>-15.9</v>
      </c>
      <c r="L638" s="8">
        <f t="shared" si="87"/>
        <v>2.9512092266663754E-12</v>
      </c>
      <c r="M638" s="26">
        <f>SUM(L638:L643)</f>
        <v>7.5073143477188822E-12</v>
      </c>
      <c r="N638" s="17">
        <f>10*LOG10(M638/E638)</f>
        <v>-119.02666649273954</v>
      </c>
      <c r="O638" s="9">
        <f t="shared" si="85"/>
        <v>-24.6</v>
      </c>
      <c r="P638" s="8">
        <f>D638/B638*10^(O638/10)</f>
        <v>0.543221065708966</v>
      </c>
      <c r="Q638" s="26">
        <f>SUM(P638:P643)</f>
        <v>6.5620210502206504</v>
      </c>
      <c r="R638" s="17">
        <f>10*LOG10(Q638)</f>
        <v>8.1703761921979545</v>
      </c>
      <c r="S638" s="18">
        <f>F638+N638-Kzt-H</f>
        <v>-57.026666492739537</v>
      </c>
      <c r="T638" s="17">
        <v>0.9</v>
      </c>
      <c r="U638" s="21">
        <f>T638*10^((S638-R638)/10)</f>
        <v>2.7198079628909187E-7</v>
      </c>
    </row>
    <row r="639" spans="1:21" x14ac:dyDescent="0.25">
      <c r="A639" s="24"/>
      <c r="B639" s="24"/>
      <c r="C639" s="17"/>
      <c r="D639" s="24"/>
      <c r="E639" s="24"/>
      <c r="F639" s="25"/>
      <c r="G639" s="1">
        <v>3425</v>
      </c>
      <c r="H639" s="2">
        <v>103.5</v>
      </c>
      <c r="I639" s="2">
        <v>-16.2</v>
      </c>
      <c r="J639" s="2">
        <v>-25.1</v>
      </c>
      <c r="K639" s="2">
        <f t="shared" si="83"/>
        <v>-16.2</v>
      </c>
      <c r="L639" s="8">
        <f t="shared" si="87"/>
        <v>1.0715193052376033E-12</v>
      </c>
      <c r="M639" s="26"/>
      <c r="N639" s="17"/>
      <c r="O639" s="9">
        <f t="shared" si="85"/>
        <v>-25.1</v>
      </c>
      <c r="P639" s="8">
        <f>D638/B638*10^(O639/10)</f>
        <v>0.4841462844271287</v>
      </c>
      <c r="Q639" s="26"/>
      <c r="R639" s="17"/>
      <c r="S639" s="19"/>
      <c r="T639" s="17"/>
      <c r="U639" s="22"/>
    </row>
    <row r="640" spans="1:21" x14ac:dyDescent="0.25">
      <c r="A640" s="24"/>
      <c r="B640" s="24"/>
      <c r="C640" s="17"/>
      <c r="D640" s="24"/>
      <c r="E640" s="24"/>
      <c r="F640" s="25"/>
      <c r="G640" s="1">
        <v>4025</v>
      </c>
      <c r="H640" s="2">
        <v>103.6</v>
      </c>
      <c r="I640" s="2">
        <v>-18.600000000000001</v>
      </c>
      <c r="J640" s="2">
        <v>-21.6</v>
      </c>
      <c r="K640" s="2">
        <f t="shared" si="83"/>
        <v>-18.600000000000001</v>
      </c>
      <c r="L640" s="8">
        <f t="shared" si="87"/>
        <v>6.0255958607435742E-13</v>
      </c>
      <c r="M640" s="26"/>
      <c r="N640" s="17"/>
      <c r="O640" s="9">
        <f t="shared" si="85"/>
        <v>-21.6</v>
      </c>
      <c r="P640" s="8">
        <f>D638/B638*10^(O640/10)</f>
        <v>1.083868521106333</v>
      </c>
      <c r="Q640" s="26"/>
      <c r="R640" s="17"/>
      <c r="S640" s="19"/>
      <c r="T640" s="17"/>
      <c r="U640" s="22"/>
    </row>
    <row r="641" spans="1:21" x14ac:dyDescent="0.25">
      <c r="A641" s="24"/>
      <c r="B641" s="24"/>
      <c r="C641" s="17"/>
      <c r="D641" s="24"/>
      <c r="E641" s="24"/>
      <c r="F641" s="25"/>
      <c r="G641" s="1">
        <v>4625</v>
      </c>
      <c r="H641" s="2">
        <v>105.6</v>
      </c>
      <c r="I641" s="2">
        <v>-17.399999999999999</v>
      </c>
      <c r="J641" s="2">
        <v>-18.899999999999999</v>
      </c>
      <c r="K641" s="2">
        <f t="shared" si="83"/>
        <v>-17.399999999999999</v>
      </c>
      <c r="L641" s="8">
        <f t="shared" si="87"/>
        <v>5.0118723362727066E-13</v>
      </c>
      <c r="M641" s="26"/>
      <c r="N641" s="17"/>
      <c r="O641" s="9">
        <f t="shared" si="85"/>
        <v>-18.899999999999999</v>
      </c>
      <c r="P641" s="8">
        <f>D638/B638*10^(O641/10)</f>
        <v>2.0182576309859086</v>
      </c>
      <c r="Q641" s="26"/>
      <c r="R641" s="17"/>
      <c r="S641" s="19"/>
      <c r="T641" s="17"/>
      <c r="U641" s="22"/>
    </row>
    <row r="642" spans="1:21" x14ac:dyDescent="0.25">
      <c r="A642" s="24"/>
      <c r="B642" s="24"/>
      <c r="C642" s="17"/>
      <c r="D642" s="24"/>
      <c r="E642" s="24"/>
      <c r="F642" s="25"/>
      <c r="G642" s="1">
        <v>5225</v>
      </c>
      <c r="H642" s="2">
        <v>103.5</v>
      </c>
      <c r="I642" s="2">
        <v>-18.7</v>
      </c>
      <c r="J642" s="2">
        <v>-22.4</v>
      </c>
      <c r="K642" s="2">
        <f t="shared" si="83"/>
        <v>-18.7</v>
      </c>
      <c r="L642" s="8">
        <f t="shared" si="87"/>
        <v>6.025595860743553E-13</v>
      </c>
      <c r="M642" s="26"/>
      <c r="N642" s="17"/>
      <c r="O642" s="9">
        <f t="shared" si="85"/>
        <v>-22.4</v>
      </c>
      <c r="P642" s="8">
        <f>D638/B638*10^(O642/10)</f>
        <v>0.90152256849487922</v>
      </c>
      <c r="Q642" s="26"/>
      <c r="R642" s="17"/>
      <c r="S642" s="19"/>
      <c r="T642" s="17"/>
      <c r="U642" s="22"/>
    </row>
    <row r="643" spans="1:21" x14ac:dyDescent="0.25">
      <c r="A643" s="24"/>
      <c r="B643" s="24"/>
      <c r="C643" s="17"/>
      <c r="D643" s="24"/>
      <c r="E643" s="24"/>
      <c r="F643" s="25"/>
      <c r="G643" s="1">
        <v>5625</v>
      </c>
      <c r="H643" s="2">
        <v>99.5</v>
      </c>
      <c r="I643" s="2">
        <v>-18</v>
      </c>
      <c r="J643" s="2">
        <v>-20.100000000000001</v>
      </c>
      <c r="K643" s="2">
        <f t="shared" si="83"/>
        <v>-18</v>
      </c>
      <c r="L643" s="8">
        <f t="shared" si="87"/>
        <v>1.7782794100389204E-12</v>
      </c>
      <c r="M643" s="26"/>
      <c r="N643" s="17"/>
      <c r="O643" s="9">
        <f t="shared" si="85"/>
        <v>-20.100000000000001</v>
      </c>
      <c r="P643" s="8">
        <f>D638/B638*10^(O643/10)</f>
        <v>1.5310049794974347</v>
      </c>
      <c r="Q643" s="26"/>
      <c r="R643" s="17"/>
      <c r="S643" s="20"/>
      <c r="T643" s="17"/>
      <c r="U643" s="23"/>
    </row>
    <row r="644" spans="1:21" x14ac:dyDescent="0.25">
      <c r="A644" s="24">
        <v>8000</v>
      </c>
      <c r="B644" s="24">
        <v>3</v>
      </c>
      <c r="C644" s="17">
        <v>0.5</v>
      </c>
      <c r="D644" s="24">
        <v>943</v>
      </c>
      <c r="E644" s="24">
        <v>6</v>
      </c>
      <c r="F644" s="25">
        <v>54</v>
      </c>
      <c r="G644" s="1">
        <v>6025</v>
      </c>
      <c r="H644" s="2">
        <v>95</v>
      </c>
      <c r="I644" s="2">
        <v>-14.4</v>
      </c>
      <c r="J644" s="2">
        <v>-20.100000000000001</v>
      </c>
      <c r="K644" s="2">
        <f t="shared" si="83"/>
        <v>-14.4</v>
      </c>
      <c r="L644" s="8">
        <f t="shared" si="87"/>
        <v>1.1481536214968764E-11</v>
      </c>
      <c r="M644" s="26">
        <f>SUM(L644:L649)</f>
        <v>8.795238232946098E-11</v>
      </c>
      <c r="N644" s="17">
        <f>10*LOG10(M644/E644)</f>
        <v>-108.33903642877524</v>
      </c>
      <c r="O644" s="9">
        <f t="shared" si="85"/>
        <v>-20.100000000000001</v>
      </c>
      <c r="P644" s="8">
        <f>D644/B644*10^(O644/10)</f>
        <v>3.0717823312044277</v>
      </c>
      <c r="Q644" s="26">
        <f>SUM(P644:P649)</f>
        <v>16.734385185256162</v>
      </c>
      <c r="R644" s="17">
        <f>10*LOG10(Q644)</f>
        <v>12.236097611780794</v>
      </c>
      <c r="S644" s="18">
        <f>F644+N644-Kzt-H</f>
        <v>-54.339036428775245</v>
      </c>
      <c r="T644" s="17">
        <v>0.7</v>
      </c>
      <c r="U644" s="21">
        <f>T644*10^((S644-R644)/10)</f>
        <v>1.5402266584899132E-7</v>
      </c>
    </row>
    <row r="645" spans="1:21" x14ac:dyDescent="0.25">
      <c r="A645" s="24"/>
      <c r="B645" s="24"/>
      <c r="C645" s="17"/>
      <c r="D645" s="24"/>
      <c r="E645" s="24"/>
      <c r="F645" s="25"/>
      <c r="G645" s="1">
        <v>7025</v>
      </c>
      <c r="H645" s="2">
        <v>94.8</v>
      </c>
      <c r="I645" s="2">
        <v>-15.5</v>
      </c>
      <c r="J645" s="2">
        <v>-21.6</v>
      </c>
      <c r="K645" s="2">
        <f t="shared" si="83"/>
        <v>-15.5</v>
      </c>
      <c r="L645" s="8">
        <f t="shared" si="87"/>
        <v>9.3325430079698992E-12</v>
      </c>
      <c r="M645" s="26"/>
      <c r="N645" s="17"/>
      <c r="O645" s="9">
        <f t="shared" si="85"/>
        <v>-21.6</v>
      </c>
      <c r="P645" s="8">
        <f>D644/B644*10^(O645/10)</f>
        <v>2.1746553519218552</v>
      </c>
      <c r="Q645" s="26"/>
      <c r="R645" s="17"/>
      <c r="S645" s="19"/>
      <c r="T645" s="17"/>
      <c r="U645" s="22"/>
    </row>
    <row r="646" spans="1:21" x14ac:dyDescent="0.25">
      <c r="A646" s="24"/>
      <c r="B646" s="24"/>
      <c r="C646" s="17"/>
      <c r="D646" s="24"/>
      <c r="E646" s="24"/>
      <c r="F646" s="25"/>
      <c r="G646" s="1">
        <v>8025</v>
      </c>
      <c r="H646" s="2">
        <v>101.9</v>
      </c>
      <c r="I646" s="2">
        <v>-13.7</v>
      </c>
      <c r="J646" s="2">
        <v>-21.3</v>
      </c>
      <c r="K646" s="2">
        <f t="shared" si="83"/>
        <v>-13.7</v>
      </c>
      <c r="L646" s="8">
        <f t="shared" si="87"/>
        <v>2.7542287033381574E-12</v>
      </c>
      <c r="M646" s="26"/>
      <c r="N646" s="17"/>
      <c r="O646" s="9">
        <f t="shared" si="85"/>
        <v>-21.3</v>
      </c>
      <c r="P646" s="8">
        <f>D644/B644*10^(O646/10)</f>
        <v>2.3301851918225505</v>
      </c>
      <c r="Q646" s="26"/>
      <c r="R646" s="17"/>
      <c r="S646" s="19"/>
      <c r="T646" s="17"/>
      <c r="U646" s="22"/>
    </row>
    <row r="647" spans="1:21" x14ac:dyDescent="0.25">
      <c r="A647" s="24"/>
      <c r="B647" s="24"/>
      <c r="C647" s="17"/>
      <c r="D647" s="24"/>
      <c r="E647" s="24"/>
      <c r="F647" s="25"/>
      <c r="G647" s="1">
        <v>9025</v>
      </c>
      <c r="H647" s="2">
        <v>93.2</v>
      </c>
      <c r="I647" s="2">
        <v>-15.6</v>
      </c>
      <c r="J647" s="2">
        <v>-20.399999999999999</v>
      </c>
      <c r="K647" s="2">
        <f t="shared" si="83"/>
        <v>-15.6</v>
      </c>
      <c r="L647" s="8">
        <f t="shared" si="87"/>
        <v>1.3182567385564083E-11</v>
      </c>
      <c r="M647" s="26"/>
      <c r="N647" s="17"/>
      <c r="O647" s="9">
        <f t="shared" si="85"/>
        <v>-20.399999999999999</v>
      </c>
      <c r="P647" s="8">
        <f>D644/B644*10^(O647/10)</f>
        <v>2.8667540717087401</v>
      </c>
      <c r="Q647" s="26"/>
      <c r="R647" s="17"/>
      <c r="S647" s="19"/>
      <c r="T647" s="17"/>
      <c r="U647" s="22"/>
    </row>
    <row r="648" spans="1:21" x14ac:dyDescent="0.25">
      <c r="A648" s="24"/>
      <c r="B648" s="24"/>
      <c r="C648" s="17"/>
      <c r="D648" s="24"/>
      <c r="E648" s="24"/>
      <c r="F648" s="25"/>
      <c r="G648" s="1">
        <v>10025</v>
      </c>
      <c r="H648" s="2">
        <v>88.3</v>
      </c>
      <c r="I648" s="2">
        <v>-20.5</v>
      </c>
      <c r="J648" s="2">
        <v>-22.3</v>
      </c>
      <c r="K648" s="2">
        <f t="shared" si="83"/>
        <v>-20.5</v>
      </c>
      <c r="L648" s="8">
        <f t="shared" si="87"/>
        <v>1.3182567385564083E-11</v>
      </c>
      <c r="M648" s="26"/>
      <c r="N648" s="17"/>
      <c r="O648" s="9">
        <f t="shared" si="85"/>
        <v>-22.3</v>
      </c>
      <c r="P648" s="8">
        <f>D644/B644*10^(O648/10)</f>
        <v>1.8509318900010678</v>
      </c>
      <c r="Q648" s="26"/>
      <c r="R648" s="17"/>
      <c r="S648" s="19"/>
      <c r="T648" s="17"/>
      <c r="U648" s="22"/>
    </row>
    <row r="649" spans="1:21" x14ac:dyDescent="0.25">
      <c r="A649" s="24"/>
      <c r="B649" s="24"/>
      <c r="C649" s="17"/>
      <c r="D649" s="24"/>
      <c r="E649" s="24"/>
      <c r="F649" s="25"/>
      <c r="G649" s="1">
        <v>11025</v>
      </c>
      <c r="H649" s="2">
        <v>86</v>
      </c>
      <c r="I649" s="2">
        <v>-18.2</v>
      </c>
      <c r="J649" s="2">
        <v>-18.5</v>
      </c>
      <c r="K649" s="2">
        <f t="shared" si="83"/>
        <v>-18.2</v>
      </c>
      <c r="L649" s="8">
        <f t="shared" si="87"/>
        <v>3.8018939632055986E-11</v>
      </c>
      <c r="M649" s="26"/>
      <c r="N649" s="17"/>
      <c r="O649" s="9">
        <f t="shared" si="85"/>
        <v>-18.5</v>
      </c>
      <c r="P649" s="8">
        <f>D644/B644*10^(O649/10)</f>
        <v>4.4400763485975192</v>
      </c>
      <c r="Q649" s="26"/>
      <c r="R649" s="17"/>
      <c r="S649" s="20"/>
      <c r="T649" s="17"/>
      <c r="U649" s="23"/>
    </row>
    <row r="650" spans="1:21" x14ac:dyDescent="0.25">
      <c r="A650" s="24" t="s">
        <v>20</v>
      </c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12">
        <f>U650</f>
        <v>6.3190567594176697E-2</v>
      </c>
      <c r="T650" s="2"/>
      <c r="U650" s="8">
        <f>0.8*SQRT(SUM(U616:U649))</f>
        <v>6.3190567594176697E-2</v>
      </c>
    </row>
    <row r="651" spans="1:21" x14ac:dyDescent="0.25">
      <c r="A651" s="27" t="s">
        <v>70</v>
      </c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9"/>
    </row>
    <row r="652" spans="1:21" x14ac:dyDescent="0.25">
      <c r="A652" s="24">
        <v>250</v>
      </c>
      <c r="B652" s="24">
        <v>3</v>
      </c>
      <c r="C652" s="17">
        <v>0.5</v>
      </c>
      <c r="D652" s="24">
        <v>38</v>
      </c>
      <c r="E652" s="24">
        <v>4</v>
      </c>
      <c r="F652" s="25">
        <v>84</v>
      </c>
      <c r="G652" s="1">
        <v>175</v>
      </c>
      <c r="H652" s="2">
        <v>84.8</v>
      </c>
      <c r="I652" s="2">
        <v>-21.3</v>
      </c>
      <c r="J652" s="2">
        <v>-26.1</v>
      </c>
      <c r="K652" s="2">
        <f>I652</f>
        <v>-21.3</v>
      </c>
      <c r="L652" s="8">
        <f>10^((K652-H652)/10)</f>
        <v>2.4547089156850264E-11</v>
      </c>
      <c r="M652" s="26">
        <f>SUM(L652:L655)</f>
        <v>5.0266188865765158E-11</v>
      </c>
      <c r="N652" s="17">
        <f>10*LOG10(M652/E652)</f>
        <v>-109.00784032642805</v>
      </c>
      <c r="O652" s="9">
        <f>J652</f>
        <v>-26.1</v>
      </c>
      <c r="P652" s="8">
        <f>D652/B652*10^(O652/10)</f>
        <v>3.1092979598677E-2</v>
      </c>
      <c r="Q652" s="26">
        <f>SUM(P652:P655)</f>
        <v>9.4867288394938867E-2</v>
      </c>
      <c r="R652" s="17">
        <f>10*LOG10(Q652)</f>
        <v>-10.228835127422361</v>
      </c>
      <c r="S652" s="18">
        <f>F652+N652-Kzt-H</f>
        <v>-25.007840326428052</v>
      </c>
      <c r="T652" s="17">
        <v>0.2</v>
      </c>
      <c r="U652" s="21">
        <f>T652*10^((S652-R652)/10)</f>
        <v>6.6547152296570549E-3</v>
      </c>
    </row>
    <row r="653" spans="1:21" x14ac:dyDescent="0.25">
      <c r="A653" s="24"/>
      <c r="B653" s="24"/>
      <c r="C653" s="17"/>
      <c r="D653" s="24"/>
      <c r="E653" s="24"/>
      <c r="F653" s="25"/>
      <c r="G653" s="1">
        <v>225</v>
      </c>
      <c r="H653" s="2">
        <v>90</v>
      </c>
      <c r="I653" s="2">
        <v>-17.399999999999999</v>
      </c>
      <c r="J653" s="2">
        <v>-25.5</v>
      </c>
      <c r="K653" s="2">
        <f t="shared" ref="K653:K685" si="88">I653</f>
        <v>-17.399999999999999</v>
      </c>
      <c r="L653" s="8">
        <f t="shared" ref="L653:L654" si="89">10^((K653-H653)/10)</f>
        <v>1.8197008586099764E-11</v>
      </c>
      <c r="M653" s="26"/>
      <c r="N653" s="17"/>
      <c r="O653" s="9">
        <f t="shared" ref="O653:O685" si="90">J653</f>
        <v>-25.5</v>
      </c>
      <c r="P653" s="8">
        <f>D652/B652*10^(O653/10)</f>
        <v>3.5699517129349725E-2</v>
      </c>
      <c r="Q653" s="26"/>
      <c r="R653" s="17"/>
      <c r="S653" s="19"/>
      <c r="T653" s="17"/>
      <c r="U653" s="22"/>
    </row>
    <row r="654" spans="1:21" x14ac:dyDescent="0.25">
      <c r="A654" s="24"/>
      <c r="B654" s="24"/>
      <c r="C654" s="17"/>
      <c r="D654" s="24"/>
      <c r="E654" s="24"/>
      <c r="F654" s="25"/>
      <c r="G654" s="1">
        <v>275</v>
      </c>
      <c r="H654" s="2">
        <v>92.2</v>
      </c>
      <c r="I654" s="2">
        <v>-21.2</v>
      </c>
      <c r="J654" s="2">
        <v>-27.6</v>
      </c>
      <c r="K654" s="2">
        <f t="shared" si="88"/>
        <v>-21.2</v>
      </c>
      <c r="L654" s="8">
        <f t="shared" si="89"/>
        <v>4.5708818961487419E-12</v>
      </c>
      <c r="M654" s="26"/>
      <c r="N654" s="17"/>
      <c r="O654" s="9">
        <f t="shared" si="90"/>
        <v>-27.6</v>
      </c>
      <c r="P654" s="8">
        <f>D652/B652*10^(O654/10)</f>
        <v>2.2012143830825396E-2</v>
      </c>
      <c r="Q654" s="26"/>
      <c r="R654" s="17"/>
      <c r="S654" s="19"/>
      <c r="T654" s="17"/>
      <c r="U654" s="22"/>
    </row>
    <row r="655" spans="1:21" x14ac:dyDescent="0.25">
      <c r="A655" s="24"/>
      <c r="B655" s="24"/>
      <c r="C655" s="17"/>
      <c r="D655" s="24"/>
      <c r="E655" s="24"/>
      <c r="F655" s="25"/>
      <c r="G655" s="1">
        <v>325</v>
      </c>
      <c r="H655" s="2">
        <v>93.3</v>
      </c>
      <c r="I655" s="2">
        <v>-22</v>
      </c>
      <c r="J655" s="2">
        <v>-33.200000000000003</v>
      </c>
      <c r="K655" s="2">
        <f t="shared" si="88"/>
        <v>-22</v>
      </c>
      <c r="L655" s="8">
        <f>10^((K655-H655)/10)</f>
        <v>2.9512092266663859E-12</v>
      </c>
      <c r="M655" s="26"/>
      <c r="N655" s="17"/>
      <c r="O655" s="9">
        <f t="shared" si="90"/>
        <v>-33.200000000000003</v>
      </c>
      <c r="P655" s="8">
        <f>D652/B652*10^(O655/10)</f>
        <v>6.0626478360867441E-3</v>
      </c>
      <c r="Q655" s="26"/>
      <c r="R655" s="17"/>
      <c r="S655" s="20"/>
      <c r="T655" s="17"/>
      <c r="U655" s="23"/>
    </row>
    <row r="656" spans="1:21" x14ac:dyDescent="0.25">
      <c r="A656" s="24">
        <v>500</v>
      </c>
      <c r="B656" s="24">
        <v>3</v>
      </c>
      <c r="C656" s="17">
        <v>0.5</v>
      </c>
      <c r="D656" s="24">
        <v>59</v>
      </c>
      <c r="E656" s="24">
        <v>6</v>
      </c>
      <c r="F656" s="25">
        <v>84</v>
      </c>
      <c r="G656" s="1">
        <v>375</v>
      </c>
      <c r="H656" s="2">
        <v>91.9</v>
      </c>
      <c r="I656" s="2">
        <v>-21</v>
      </c>
      <c r="J656" s="2">
        <v>-23</v>
      </c>
      <c r="K656" s="2">
        <f t="shared" si="88"/>
        <v>-21</v>
      </c>
      <c r="L656" s="8">
        <f t="shared" ref="L656:L657" si="91">10^((K656-H656)/10)</f>
        <v>5.1286138399136186E-12</v>
      </c>
      <c r="M656" s="26">
        <f>SUM(L656:L661)</f>
        <v>3.0226863763895008E-11</v>
      </c>
      <c r="N656" s="17">
        <f>10*LOG10(M656/E656)</f>
        <v>-112.97758161779851</v>
      </c>
      <c r="O656" s="9">
        <f t="shared" si="90"/>
        <v>-23</v>
      </c>
      <c r="P656" s="8">
        <f>D656/B656*10^(O656/10)</f>
        <v>9.8566822613363525E-2</v>
      </c>
      <c r="Q656" s="26">
        <f>SUM(P656:P661)</f>
        <v>0.32205280619670146</v>
      </c>
      <c r="R656" s="17">
        <f>10*LOG10(Q656)</f>
        <v>-4.9207291228067387</v>
      </c>
      <c r="S656" s="18">
        <f>F656+N656-Kzt-H</f>
        <v>-28.977581617798506</v>
      </c>
      <c r="T656" s="17">
        <v>0.5</v>
      </c>
      <c r="U656" s="21">
        <f>T656*10^((S656-R656)/10)</f>
        <v>1.9646480197940594E-3</v>
      </c>
    </row>
    <row r="657" spans="1:21" x14ac:dyDescent="0.25">
      <c r="A657" s="24"/>
      <c r="B657" s="24"/>
      <c r="C657" s="17"/>
      <c r="D657" s="24"/>
      <c r="E657" s="24"/>
      <c r="F657" s="25"/>
      <c r="G657" s="1">
        <v>425</v>
      </c>
      <c r="H657" s="2">
        <v>88.1</v>
      </c>
      <c r="I657" s="2">
        <v>-20.8</v>
      </c>
      <c r="J657" s="2">
        <v>-25.7</v>
      </c>
      <c r="K657" s="2">
        <f t="shared" si="88"/>
        <v>-20.8</v>
      </c>
      <c r="L657" s="8">
        <f t="shared" si="91"/>
        <v>1.2882495516931353E-11</v>
      </c>
      <c r="M657" s="26"/>
      <c r="N657" s="17"/>
      <c r="O657" s="9">
        <f t="shared" si="90"/>
        <v>-25.7</v>
      </c>
      <c r="P657" s="8">
        <f>D656/B656*10^(O657/10)</f>
        <v>5.2933517810562658E-2</v>
      </c>
      <c r="Q657" s="26"/>
      <c r="R657" s="17"/>
      <c r="S657" s="19"/>
      <c r="T657" s="17"/>
      <c r="U657" s="22"/>
    </row>
    <row r="658" spans="1:21" x14ac:dyDescent="0.25">
      <c r="A658" s="24"/>
      <c r="B658" s="24"/>
      <c r="C658" s="17"/>
      <c r="D658" s="24"/>
      <c r="E658" s="24"/>
      <c r="F658" s="25"/>
      <c r="G658" s="1">
        <v>475</v>
      </c>
      <c r="H658" s="2">
        <v>90</v>
      </c>
      <c r="I658" s="2">
        <v>-23.1</v>
      </c>
      <c r="J658" s="2">
        <v>-23.8</v>
      </c>
      <c r="K658" s="2">
        <f t="shared" si="88"/>
        <v>-23.1</v>
      </c>
      <c r="L658" s="8">
        <f>10^((K658-H658)/10)</f>
        <v>4.8977881936844688E-12</v>
      </c>
      <c r="M658" s="26"/>
      <c r="N658" s="17"/>
      <c r="O658" s="9">
        <f t="shared" si="90"/>
        <v>-23.8</v>
      </c>
      <c r="P658" s="8">
        <f>D656/B656*10^(O658/10)</f>
        <v>8.1984312082499275E-2</v>
      </c>
      <c r="Q658" s="26"/>
      <c r="R658" s="17"/>
      <c r="S658" s="19"/>
      <c r="T658" s="17"/>
      <c r="U658" s="22"/>
    </row>
    <row r="659" spans="1:21" x14ac:dyDescent="0.25">
      <c r="A659" s="24"/>
      <c r="B659" s="24"/>
      <c r="C659" s="17"/>
      <c r="D659" s="24"/>
      <c r="E659" s="24"/>
      <c r="F659" s="25"/>
      <c r="G659" s="1">
        <v>575</v>
      </c>
      <c r="H659" s="2">
        <v>97</v>
      </c>
      <c r="I659" s="2">
        <v>-19.3</v>
      </c>
      <c r="J659" s="2">
        <v>-30.1</v>
      </c>
      <c r="K659" s="2">
        <f t="shared" si="88"/>
        <v>-19.3</v>
      </c>
      <c r="L659" s="8">
        <f t="shared" ref="L659:L685" si="92">10^((K659-H659)/10)</f>
        <v>2.3442288153199247E-12</v>
      </c>
      <c r="M659" s="26"/>
      <c r="N659" s="17"/>
      <c r="O659" s="9">
        <f t="shared" si="90"/>
        <v>-30.1</v>
      </c>
      <c r="P659" s="8">
        <f>D656/B656*10^(O659/10)</f>
        <v>1.9218998678797585E-2</v>
      </c>
      <c r="Q659" s="26"/>
      <c r="R659" s="17"/>
      <c r="S659" s="19"/>
      <c r="T659" s="17"/>
      <c r="U659" s="22"/>
    </row>
    <row r="660" spans="1:21" x14ac:dyDescent="0.25">
      <c r="A660" s="24"/>
      <c r="B660" s="24"/>
      <c r="C660" s="17"/>
      <c r="D660" s="24"/>
      <c r="E660" s="24"/>
      <c r="F660" s="25"/>
      <c r="G660" s="1">
        <v>625</v>
      </c>
      <c r="H660" s="2">
        <v>92</v>
      </c>
      <c r="I660" s="2">
        <v>-22.9</v>
      </c>
      <c r="J660" s="2">
        <v>-26.1</v>
      </c>
      <c r="K660" s="2">
        <f t="shared" si="88"/>
        <v>-22.9</v>
      </c>
      <c r="L660" s="8">
        <f t="shared" si="92"/>
        <v>3.2359365692962695E-12</v>
      </c>
      <c r="M660" s="26"/>
      <c r="N660" s="17"/>
      <c r="O660" s="9">
        <f t="shared" si="90"/>
        <v>-26.1</v>
      </c>
      <c r="P660" s="8">
        <f>D656/B656*10^(O660/10)</f>
        <v>4.827594200847219E-2</v>
      </c>
      <c r="Q660" s="26"/>
      <c r="R660" s="17"/>
      <c r="S660" s="19"/>
      <c r="T660" s="17"/>
      <c r="U660" s="22"/>
    </row>
    <row r="661" spans="1:21" x14ac:dyDescent="0.25">
      <c r="A661" s="24"/>
      <c r="B661" s="24"/>
      <c r="C661" s="17"/>
      <c r="D661" s="24"/>
      <c r="E661" s="24"/>
      <c r="F661" s="25"/>
      <c r="G661" s="1">
        <v>675</v>
      </c>
      <c r="H661" s="2">
        <v>94.5</v>
      </c>
      <c r="I661" s="2">
        <v>-23.1</v>
      </c>
      <c r="J661" s="2">
        <v>-29.7</v>
      </c>
      <c r="K661" s="2">
        <f t="shared" si="88"/>
        <v>-23.1</v>
      </c>
      <c r="L661" s="8">
        <f t="shared" si="92"/>
        <v>1.737800828749373E-12</v>
      </c>
      <c r="M661" s="26"/>
      <c r="N661" s="17"/>
      <c r="O661" s="9">
        <f t="shared" si="90"/>
        <v>-29.7</v>
      </c>
      <c r="P661" s="8">
        <f>D656/B656*10^(O661/10)</f>
        <v>2.1073213003006259E-2</v>
      </c>
      <c r="Q661" s="26"/>
      <c r="R661" s="17"/>
      <c r="S661" s="20"/>
      <c r="T661" s="17"/>
      <c r="U661" s="23"/>
    </row>
    <row r="662" spans="1:21" x14ac:dyDescent="0.25">
      <c r="A662" s="24">
        <v>1000</v>
      </c>
      <c r="B662" s="24">
        <v>3</v>
      </c>
      <c r="C662" s="17">
        <v>0.5</v>
      </c>
      <c r="D662" s="24">
        <v>117</v>
      </c>
      <c r="E662" s="24">
        <v>6</v>
      </c>
      <c r="F662" s="25">
        <v>76</v>
      </c>
      <c r="G662" s="1">
        <v>875</v>
      </c>
      <c r="H662" s="2">
        <v>91.1</v>
      </c>
      <c r="I662" s="2">
        <v>-24.2</v>
      </c>
      <c r="J662" s="2">
        <v>-24.9</v>
      </c>
      <c r="K662" s="2">
        <f t="shared" si="88"/>
        <v>-24.2</v>
      </c>
      <c r="L662" s="8">
        <f t="shared" si="92"/>
        <v>2.9512092266663859E-12</v>
      </c>
      <c r="M662" s="26">
        <f>SUM(L662:L667)</f>
        <v>1.0662631671731543E-11</v>
      </c>
      <c r="N662" s="17">
        <f>10*LOG10(M662/E662)</f>
        <v>-117.5028684311748</v>
      </c>
      <c r="O662" s="9">
        <f t="shared" si="90"/>
        <v>-24.9</v>
      </c>
      <c r="P662" s="8">
        <f>D662/B662*10^(O662/10)</f>
        <v>0.12620152620255501</v>
      </c>
      <c r="Q662" s="26">
        <f>SUM(P662:P667)</f>
        <v>0.54050970008990973</v>
      </c>
      <c r="R662" s="17">
        <f>10*LOG10(Q662)</f>
        <v>-2.6719650770933763</v>
      </c>
      <c r="S662" s="18">
        <f>F662+N662-Kzt-H</f>
        <v>-41.502868431174804</v>
      </c>
      <c r="T662" s="17">
        <v>0.8</v>
      </c>
      <c r="U662" s="21">
        <f>T662*10^((S662-R662)/10)</f>
        <v>1.047127707984037E-4</v>
      </c>
    </row>
    <row r="663" spans="1:21" x14ac:dyDescent="0.25">
      <c r="A663" s="24"/>
      <c r="B663" s="24"/>
      <c r="C663" s="17"/>
      <c r="D663" s="24"/>
      <c r="E663" s="24"/>
      <c r="F663" s="25"/>
      <c r="G663" s="1">
        <v>975</v>
      </c>
      <c r="H663" s="2">
        <v>96.5</v>
      </c>
      <c r="I663" s="2">
        <v>-19.600000000000001</v>
      </c>
      <c r="J663" s="2">
        <v>-25.1</v>
      </c>
      <c r="K663" s="2">
        <f t="shared" si="88"/>
        <v>-19.600000000000001</v>
      </c>
      <c r="L663" s="8">
        <f t="shared" si="92"/>
        <v>2.4547089156850233E-12</v>
      </c>
      <c r="M663" s="26"/>
      <c r="N663" s="17"/>
      <c r="O663" s="9">
        <f t="shared" si="90"/>
        <v>-25.1</v>
      </c>
      <c r="P663" s="8">
        <f>D662/B662*10^(O663/10)</f>
        <v>0.12052152186802992</v>
      </c>
      <c r="Q663" s="26"/>
      <c r="R663" s="17"/>
      <c r="S663" s="19"/>
      <c r="T663" s="17"/>
      <c r="U663" s="22"/>
    </row>
    <row r="664" spans="1:21" x14ac:dyDescent="0.25">
      <c r="A664" s="24"/>
      <c r="B664" s="24"/>
      <c r="C664" s="17"/>
      <c r="D664" s="24"/>
      <c r="E664" s="24"/>
      <c r="F664" s="25"/>
      <c r="G664" s="1">
        <v>1075</v>
      </c>
      <c r="H664" s="2">
        <v>94.6</v>
      </c>
      <c r="I664" s="2">
        <v>-20.9</v>
      </c>
      <c r="J664" s="2">
        <v>-29.5</v>
      </c>
      <c r="K664" s="2">
        <f t="shared" si="88"/>
        <v>-20.9</v>
      </c>
      <c r="L664" s="8">
        <f t="shared" si="92"/>
        <v>2.8183829312644444E-12</v>
      </c>
      <c r="M664" s="26"/>
      <c r="N664" s="17"/>
      <c r="O664" s="9">
        <f t="shared" si="90"/>
        <v>-29.5</v>
      </c>
      <c r="P664" s="8">
        <f>D662/B662*10^(O664/10)</f>
        <v>4.3758719717776527E-2</v>
      </c>
      <c r="Q664" s="26"/>
      <c r="R664" s="17"/>
      <c r="S664" s="19"/>
      <c r="T664" s="17"/>
      <c r="U664" s="22"/>
    </row>
    <row r="665" spans="1:21" x14ac:dyDescent="0.25">
      <c r="A665" s="24"/>
      <c r="B665" s="24"/>
      <c r="C665" s="17"/>
      <c r="D665" s="24"/>
      <c r="E665" s="24"/>
      <c r="F665" s="25"/>
      <c r="G665" s="1">
        <v>1175</v>
      </c>
      <c r="H665" s="2">
        <v>97.8</v>
      </c>
      <c r="I665" s="2">
        <v>-19.899999999999999</v>
      </c>
      <c r="J665" s="2">
        <v>-28.8</v>
      </c>
      <c r="K665" s="2">
        <f t="shared" si="88"/>
        <v>-19.899999999999999</v>
      </c>
      <c r="L665" s="8">
        <f t="shared" si="92"/>
        <v>1.6982436524617421E-12</v>
      </c>
      <c r="M665" s="26"/>
      <c r="N665" s="17"/>
      <c r="O665" s="9">
        <f t="shared" si="90"/>
        <v>-28.8</v>
      </c>
      <c r="P665" s="8">
        <f>D662/B662*10^(O665/10)</f>
        <v>5.1412012803699877E-2</v>
      </c>
      <c r="Q665" s="26"/>
      <c r="R665" s="17"/>
      <c r="S665" s="19"/>
      <c r="T665" s="17"/>
      <c r="U665" s="22"/>
    </row>
    <row r="666" spans="1:21" x14ac:dyDescent="0.25">
      <c r="A666" s="24"/>
      <c r="B666" s="24"/>
      <c r="C666" s="17"/>
      <c r="D666" s="24"/>
      <c r="E666" s="24"/>
      <c r="F666" s="25"/>
      <c r="G666" s="1">
        <v>1275</v>
      </c>
      <c r="H666" s="2">
        <v>100.1</v>
      </c>
      <c r="I666" s="2">
        <v>-22.5</v>
      </c>
      <c r="J666" s="2">
        <v>-24.1</v>
      </c>
      <c r="K666" s="2">
        <f t="shared" si="88"/>
        <v>-22.5</v>
      </c>
      <c r="L666" s="8">
        <f t="shared" si="92"/>
        <v>5.4954087385762248E-13</v>
      </c>
      <c r="M666" s="26"/>
      <c r="N666" s="17"/>
      <c r="O666" s="9">
        <f t="shared" si="90"/>
        <v>-24.1</v>
      </c>
      <c r="P666" s="8">
        <f>D662/B662*10^(O666/10)</f>
        <v>0.15172760654776929</v>
      </c>
      <c r="Q666" s="26"/>
      <c r="R666" s="17"/>
      <c r="S666" s="19"/>
      <c r="T666" s="17"/>
      <c r="U666" s="22"/>
    </row>
    <row r="667" spans="1:21" x14ac:dyDescent="0.25">
      <c r="A667" s="24"/>
      <c r="B667" s="24"/>
      <c r="C667" s="17"/>
      <c r="D667" s="24"/>
      <c r="E667" s="24"/>
      <c r="F667" s="25"/>
      <c r="G667" s="1">
        <v>1375</v>
      </c>
      <c r="H667" s="2">
        <v>103</v>
      </c>
      <c r="I667" s="2">
        <v>-24.2</v>
      </c>
      <c r="J667" s="2">
        <v>-29.2</v>
      </c>
      <c r="K667" s="2">
        <f t="shared" si="88"/>
        <v>-24.2</v>
      </c>
      <c r="L667" s="8">
        <f t="shared" si="92"/>
        <v>1.9054607179632417E-13</v>
      </c>
      <c r="M667" s="26"/>
      <c r="N667" s="17"/>
      <c r="O667" s="9">
        <f t="shared" si="90"/>
        <v>-29.2</v>
      </c>
      <c r="P667" s="8">
        <f>D662/B662*10^(O667/10)</f>
        <v>4.6888312950079079E-2</v>
      </c>
      <c r="Q667" s="26"/>
      <c r="R667" s="17"/>
      <c r="S667" s="20"/>
      <c r="T667" s="17"/>
      <c r="U667" s="23"/>
    </row>
    <row r="668" spans="1:21" x14ac:dyDescent="0.25">
      <c r="A668" s="24">
        <v>2000</v>
      </c>
      <c r="B668" s="24">
        <v>3</v>
      </c>
      <c r="C668" s="17">
        <v>0.5</v>
      </c>
      <c r="D668" s="24">
        <v>234</v>
      </c>
      <c r="E668" s="24">
        <v>6</v>
      </c>
      <c r="F668" s="25">
        <v>68</v>
      </c>
      <c r="G668" s="1">
        <v>1425</v>
      </c>
      <c r="H668" s="2">
        <v>102.8</v>
      </c>
      <c r="I668" s="2">
        <v>-26.2</v>
      </c>
      <c r="J668" s="2">
        <v>-31</v>
      </c>
      <c r="K668" s="2">
        <f t="shared" si="88"/>
        <v>-26.2</v>
      </c>
      <c r="L668" s="8">
        <f t="shared" si="92"/>
        <v>1.2589254117941612E-13</v>
      </c>
      <c r="M668" s="26">
        <f>SUM(L668:L673)</f>
        <v>4.9799688157980672E-12</v>
      </c>
      <c r="N668" s="17">
        <f>10*LOG10(M668/E668)</f>
        <v>-120.80924627135818</v>
      </c>
      <c r="O668" s="9">
        <f t="shared" si="90"/>
        <v>-31</v>
      </c>
      <c r="P668" s="8">
        <f>D668/B668*10^(O668/10)</f>
        <v>6.1957602308493918E-2</v>
      </c>
      <c r="Q668" s="26">
        <f>SUM(P668:P673)</f>
        <v>0.7857475302777488</v>
      </c>
      <c r="R668" s="17">
        <f>10*LOG10(Q668)</f>
        <v>-1.047169753608834</v>
      </c>
      <c r="S668" s="18">
        <f>F668+N668-Kzt-H</f>
        <v>-52.809246271358177</v>
      </c>
      <c r="T668" s="17">
        <v>1</v>
      </c>
      <c r="U668" s="21">
        <f>T668*10^((S668-R668)/10)</f>
        <v>6.6648802117974373E-6</v>
      </c>
    </row>
    <row r="669" spans="1:21" x14ac:dyDescent="0.25">
      <c r="A669" s="24"/>
      <c r="B669" s="24"/>
      <c r="C669" s="17"/>
      <c r="D669" s="24"/>
      <c r="E669" s="24"/>
      <c r="F669" s="25"/>
      <c r="G669" s="1">
        <v>1625</v>
      </c>
      <c r="H669" s="2">
        <v>104.1</v>
      </c>
      <c r="I669" s="2">
        <v>-23.2</v>
      </c>
      <c r="J669" s="2">
        <v>-28.3</v>
      </c>
      <c r="K669" s="2">
        <f t="shared" si="88"/>
        <v>-23.2</v>
      </c>
      <c r="L669" s="8">
        <f t="shared" si="92"/>
        <v>1.8620871366628623E-13</v>
      </c>
      <c r="M669" s="26"/>
      <c r="N669" s="17"/>
      <c r="O669" s="9">
        <f t="shared" si="90"/>
        <v>-28.3</v>
      </c>
      <c r="P669" s="8">
        <f>D668/B668*10^(O669/10)</f>
        <v>0.11537045427712012</v>
      </c>
      <c r="Q669" s="26"/>
      <c r="R669" s="17"/>
      <c r="S669" s="19"/>
      <c r="T669" s="17"/>
      <c r="U669" s="22"/>
    </row>
    <row r="670" spans="1:21" x14ac:dyDescent="0.25">
      <c r="A670" s="24"/>
      <c r="B670" s="24"/>
      <c r="C670" s="17"/>
      <c r="D670" s="24"/>
      <c r="E670" s="24"/>
      <c r="F670" s="25"/>
      <c r="G670" s="1">
        <v>1825</v>
      </c>
      <c r="H670" s="2">
        <v>107.6</v>
      </c>
      <c r="I670" s="2">
        <v>-22.3</v>
      </c>
      <c r="J670" s="2">
        <v>-29.3</v>
      </c>
      <c r="K670" s="2">
        <f t="shared" si="88"/>
        <v>-22.3</v>
      </c>
      <c r="L670" s="8">
        <f t="shared" si="92"/>
        <v>1.0232929922807502E-13</v>
      </c>
      <c r="M670" s="26"/>
      <c r="N670" s="17"/>
      <c r="O670" s="9">
        <f t="shared" si="90"/>
        <v>-29.3</v>
      </c>
      <c r="P670" s="8">
        <f>D668/B668*10^(O670/10)</f>
        <v>9.1642009285283182E-2</v>
      </c>
      <c r="Q670" s="26"/>
      <c r="R670" s="17"/>
      <c r="S670" s="19"/>
      <c r="T670" s="17"/>
      <c r="U670" s="22"/>
    </row>
    <row r="671" spans="1:21" x14ac:dyDescent="0.25">
      <c r="A671" s="24"/>
      <c r="B671" s="24"/>
      <c r="C671" s="17"/>
      <c r="D671" s="24"/>
      <c r="E671" s="24"/>
      <c r="F671" s="25"/>
      <c r="G671" s="1">
        <v>2125</v>
      </c>
      <c r="H671" s="2">
        <v>104.2</v>
      </c>
      <c r="I671" s="2">
        <v>-23.8</v>
      </c>
      <c r="J671" s="2">
        <v>-26.1</v>
      </c>
      <c r="K671" s="2">
        <f t="shared" si="88"/>
        <v>-23.8</v>
      </c>
      <c r="L671" s="8">
        <f t="shared" si="92"/>
        <v>1.5848931924611046E-13</v>
      </c>
      <c r="M671" s="26"/>
      <c r="N671" s="17"/>
      <c r="O671" s="9">
        <f t="shared" si="90"/>
        <v>-26.1</v>
      </c>
      <c r="P671" s="8">
        <f>D668/B668*10^(O671/10)</f>
        <v>0.19146729542343205</v>
      </c>
      <c r="Q671" s="26"/>
      <c r="R671" s="17"/>
      <c r="S671" s="19"/>
      <c r="T671" s="17"/>
      <c r="U671" s="22"/>
    </row>
    <row r="672" spans="1:21" x14ac:dyDescent="0.25">
      <c r="A672" s="24"/>
      <c r="B672" s="24"/>
      <c r="C672" s="17"/>
      <c r="D672" s="24"/>
      <c r="E672" s="24"/>
      <c r="F672" s="25"/>
      <c r="G672" s="1">
        <v>2425</v>
      </c>
      <c r="H672" s="2">
        <v>93.7</v>
      </c>
      <c r="I672" s="2">
        <v>-20</v>
      </c>
      <c r="J672" s="2">
        <v>-25.7</v>
      </c>
      <c r="K672" s="2">
        <f t="shared" si="88"/>
        <v>-20</v>
      </c>
      <c r="L672" s="8">
        <f t="shared" si="92"/>
        <v>4.2657951880159045E-12</v>
      </c>
      <c r="M672" s="26"/>
      <c r="N672" s="17"/>
      <c r="O672" s="9">
        <f t="shared" si="90"/>
        <v>-25.7</v>
      </c>
      <c r="P672" s="8">
        <f>D668/B668*10^(O672/10)</f>
        <v>0.20993971470629935</v>
      </c>
      <c r="Q672" s="26"/>
      <c r="R672" s="17"/>
      <c r="S672" s="19"/>
      <c r="T672" s="17"/>
      <c r="U672" s="22"/>
    </row>
    <row r="673" spans="1:21" x14ac:dyDescent="0.25">
      <c r="A673" s="24"/>
      <c r="B673" s="24"/>
      <c r="C673" s="17"/>
      <c r="D673" s="24"/>
      <c r="E673" s="24"/>
      <c r="F673" s="25"/>
      <c r="G673" s="1">
        <v>2775</v>
      </c>
      <c r="H673" s="2">
        <v>100.2</v>
      </c>
      <c r="I673" s="2">
        <v>-28.3</v>
      </c>
      <c r="J673" s="2">
        <v>-28.3</v>
      </c>
      <c r="K673" s="2">
        <f t="shared" si="88"/>
        <v>-28.3</v>
      </c>
      <c r="L673" s="8">
        <f t="shared" si="92"/>
        <v>1.4125375446227519E-13</v>
      </c>
      <c r="M673" s="26"/>
      <c r="N673" s="17"/>
      <c r="O673" s="9">
        <f t="shared" si="90"/>
        <v>-28.3</v>
      </c>
      <c r="P673" s="8">
        <f>D668/B668*10^(O673/10)</f>
        <v>0.11537045427712012</v>
      </c>
      <c r="Q673" s="26"/>
      <c r="R673" s="17"/>
      <c r="S673" s="20"/>
      <c r="T673" s="17"/>
      <c r="U673" s="23"/>
    </row>
    <row r="674" spans="1:21" x14ac:dyDescent="0.25">
      <c r="A674" s="24">
        <v>4000</v>
      </c>
      <c r="B674" s="24">
        <v>3</v>
      </c>
      <c r="C674" s="17">
        <v>0.5</v>
      </c>
      <c r="D674" s="24">
        <v>470</v>
      </c>
      <c r="E674" s="24">
        <v>6</v>
      </c>
      <c r="F674" s="25">
        <v>62</v>
      </c>
      <c r="G674" s="1">
        <v>2825</v>
      </c>
      <c r="H674" s="2">
        <v>99.4</v>
      </c>
      <c r="I674" s="2">
        <v>-24.4</v>
      </c>
      <c r="J674" s="2">
        <v>-27.8</v>
      </c>
      <c r="K674" s="2">
        <f t="shared" si="88"/>
        <v>-24.4</v>
      </c>
      <c r="L674" s="8">
        <f t="shared" si="92"/>
        <v>4.1686938347033292E-13</v>
      </c>
      <c r="M674" s="26">
        <f>SUM(L674:L679)</f>
        <v>1.9268301469246865E-12</v>
      </c>
      <c r="N674" s="17">
        <f>10*LOG10(M674/E674)</f>
        <v>-124.93307817775182</v>
      </c>
      <c r="O674" s="9">
        <f t="shared" si="90"/>
        <v>-27.8</v>
      </c>
      <c r="P674" s="8">
        <f>D674/B674*10^(O674/10)</f>
        <v>0.26000194883188427</v>
      </c>
      <c r="Q674" s="26">
        <f>SUM(P674:P679)</f>
        <v>2.4048567208370861</v>
      </c>
      <c r="R674" s="17">
        <f>10*LOG10(Q674)</f>
        <v>3.8108920661278067</v>
      </c>
      <c r="S674" s="18">
        <f>F674+N674-Kzt-H</f>
        <v>-62.933078177751824</v>
      </c>
      <c r="T674" s="17">
        <v>0.9</v>
      </c>
      <c r="U674" s="21">
        <f>T674*10^((S674-R674)/10)</f>
        <v>1.9047829064594763E-7</v>
      </c>
    </row>
    <row r="675" spans="1:21" x14ac:dyDescent="0.25">
      <c r="A675" s="24"/>
      <c r="B675" s="24"/>
      <c r="C675" s="17"/>
      <c r="D675" s="24"/>
      <c r="E675" s="24"/>
      <c r="F675" s="25"/>
      <c r="G675" s="1">
        <v>3425</v>
      </c>
      <c r="H675" s="2">
        <v>103.5</v>
      </c>
      <c r="I675" s="2">
        <v>-23</v>
      </c>
      <c r="J675" s="2">
        <v>-28.3</v>
      </c>
      <c r="K675" s="2">
        <f t="shared" si="88"/>
        <v>-23</v>
      </c>
      <c r="L675" s="8">
        <f t="shared" si="92"/>
        <v>2.238721138568332E-13</v>
      </c>
      <c r="M675" s="26"/>
      <c r="N675" s="17"/>
      <c r="O675" s="9">
        <f t="shared" si="90"/>
        <v>-28.3</v>
      </c>
      <c r="P675" s="8">
        <f>D674/B674*10^(O675/10)</f>
        <v>0.23172698081301901</v>
      </c>
      <c r="Q675" s="26"/>
      <c r="R675" s="17"/>
      <c r="S675" s="19"/>
      <c r="T675" s="17"/>
      <c r="U675" s="22"/>
    </row>
    <row r="676" spans="1:21" x14ac:dyDescent="0.25">
      <c r="A676" s="24"/>
      <c r="B676" s="24"/>
      <c r="C676" s="17"/>
      <c r="D676" s="24"/>
      <c r="E676" s="24"/>
      <c r="F676" s="25"/>
      <c r="G676" s="1">
        <v>4025</v>
      </c>
      <c r="H676" s="2">
        <v>103.6</v>
      </c>
      <c r="I676" s="2">
        <v>-19.3</v>
      </c>
      <c r="J676" s="2">
        <v>-23.4</v>
      </c>
      <c r="K676" s="2">
        <f t="shared" si="88"/>
        <v>-19.3</v>
      </c>
      <c r="L676" s="8">
        <f t="shared" si="92"/>
        <v>5.1286138399136499E-13</v>
      </c>
      <c r="M676" s="26"/>
      <c r="N676" s="17"/>
      <c r="O676" s="9">
        <f t="shared" si="90"/>
        <v>-23.4</v>
      </c>
      <c r="P676" s="8">
        <f>D674/B674*10^(O676/10)</f>
        <v>0.71610483039663753</v>
      </c>
      <c r="Q676" s="26"/>
      <c r="R676" s="17"/>
      <c r="S676" s="19"/>
      <c r="T676" s="17"/>
      <c r="U676" s="22"/>
    </row>
    <row r="677" spans="1:21" x14ac:dyDescent="0.25">
      <c r="A677" s="24"/>
      <c r="B677" s="24"/>
      <c r="C677" s="17"/>
      <c r="D677" s="24"/>
      <c r="E677" s="24"/>
      <c r="F677" s="25"/>
      <c r="G677" s="1">
        <v>4625</v>
      </c>
      <c r="H677" s="2">
        <v>105.6</v>
      </c>
      <c r="I677" s="2">
        <v>-23.7</v>
      </c>
      <c r="J677" s="2">
        <v>-25.7</v>
      </c>
      <c r="K677" s="2">
        <f t="shared" si="88"/>
        <v>-23.7</v>
      </c>
      <c r="L677" s="8">
        <f t="shared" si="92"/>
        <v>1.1748975549395328E-13</v>
      </c>
      <c r="M677" s="26"/>
      <c r="N677" s="17"/>
      <c r="O677" s="9">
        <f t="shared" si="90"/>
        <v>-25.7</v>
      </c>
      <c r="P677" s="8">
        <f>D674/B674*10^(O677/10)</f>
        <v>0.42167378594854998</v>
      </c>
      <c r="Q677" s="26"/>
      <c r="R677" s="17"/>
      <c r="S677" s="19"/>
      <c r="T677" s="17"/>
      <c r="U677" s="22"/>
    </row>
    <row r="678" spans="1:21" x14ac:dyDescent="0.25">
      <c r="A678" s="24"/>
      <c r="B678" s="24"/>
      <c r="C678" s="17"/>
      <c r="D678" s="24"/>
      <c r="E678" s="24"/>
      <c r="F678" s="25"/>
      <c r="G678" s="1">
        <v>5225</v>
      </c>
      <c r="H678" s="2">
        <v>103.5</v>
      </c>
      <c r="I678" s="2">
        <v>-24.299999999999997</v>
      </c>
      <c r="J678" s="2">
        <v>-24.4</v>
      </c>
      <c r="K678" s="2">
        <f t="shared" si="88"/>
        <v>-24.299999999999997</v>
      </c>
      <c r="L678" s="8">
        <f t="shared" si="92"/>
        <v>1.6595869074375568E-13</v>
      </c>
      <c r="M678" s="26"/>
      <c r="N678" s="17"/>
      <c r="O678" s="9">
        <f t="shared" si="90"/>
        <v>-24.4</v>
      </c>
      <c r="P678" s="8">
        <f>D674/B674*10^(O678/10)</f>
        <v>0.56882228580649163</v>
      </c>
      <c r="Q678" s="26"/>
      <c r="R678" s="17"/>
      <c r="S678" s="19"/>
      <c r="T678" s="17"/>
      <c r="U678" s="22"/>
    </row>
    <row r="679" spans="1:21" x14ac:dyDescent="0.25">
      <c r="A679" s="24"/>
      <c r="B679" s="24"/>
      <c r="C679" s="17"/>
      <c r="D679" s="24"/>
      <c r="E679" s="24"/>
      <c r="F679" s="25"/>
      <c r="G679" s="1">
        <v>5625</v>
      </c>
      <c r="H679" s="2">
        <v>99.5</v>
      </c>
      <c r="I679" s="2">
        <v>-23.6</v>
      </c>
      <c r="J679" s="2">
        <v>-28.8</v>
      </c>
      <c r="K679" s="2">
        <f t="shared" si="88"/>
        <v>-23.6</v>
      </c>
      <c r="L679" s="8">
        <f t="shared" si="92"/>
        <v>4.8977881936844633E-13</v>
      </c>
      <c r="M679" s="26"/>
      <c r="N679" s="17"/>
      <c r="O679" s="9">
        <f t="shared" si="90"/>
        <v>-28.8</v>
      </c>
      <c r="P679" s="8">
        <f>D674/B674*10^(O679/10)</f>
        <v>0.20652688904050376</v>
      </c>
      <c r="Q679" s="26"/>
      <c r="R679" s="17"/>
      <c r="S679" s="20"/>
      <c r="T679" s="17"/>
      <c r="U679" s="23"/>
    </row>
    <row r="680" spans="1:21" x14ac:dyDescent="0.25">
      <c r="A680" s="24">
        <v>8000</v>
      </c>
      <c r="B680" s="24">
        <v>3</v>
      </c>
      <c r="C680" s="17">
        <v>0.5</v>
      </c>
      <c r="D680" s="24">
        <v>943</v>
      </c>
      <c r="E680" s="24">
        <v>6</v>
      </c>
      <c r="F680" s="25">
        <v>54</v>
      </c>
      <c r="G680" s="1">
        <v>6025</v>
      </c>
      <c r="H680" s="2">
        <v>95</v>
      </c>
      <c r="I680" s="2">
        <v>-24.2</v>
      </c>
      <c r="J680" s="2">
        <v>-25.2</v>
      </c>
      <c r="K680" s="2">
        <f t="shared" si="88"/>
        <v>-24.2</v>
      </c>
      <c r="L680" s="8">
        <f t="shared" si="92"/>
        <v>1.2022644346174088E-12</v>
      </c>
      <c r="M680" s="26">
        <f>SUM(L680:L685)</f>
        <v>2.2296989446145476E-11</v>
      </c>
      <c r="N680" s="17">
        <f>10*LOG10(M680/E680)</f>
        <v>-114.29905022097367</v>
      </c>
      <c r="O680" s="9">
        <f t="shared" si="90"/>
        <v>-25.2</v>
      </c>
      <c r="P680" s="8">
        <f>D680/B680*10^(O680/10)</f>
        <v>0.94927149077969952</v>
      </c>
      <c r="Q680" s="26">
        <f>SUM(P680:P685)</f>
        <v>3.4037849301120158</v>
      </c>
      <c r="R680" s="17">
        <f>10*LOG10(Q680)</f>
        <v>5.3196211116096626</v>
      </c>
      <c r="S680" s="18">
        <f>F680+N680-Kzt-H</f>
        <v>-60.299050220973669</v>
      </c>
      <c r="T680" s="17">
        <v>0.7</v>
      </c>
      <c r="U680" s="21">
        <f>T680*10^((S680-R680)/10)</f>
        <v>1.919689134413544E-7</v>
      </c>
    </row>
    <row r="681" spans="1:21" x14ac:dyDescent="0.25">
      <c r="A681" s="24"/>
      <c r="B681" s="24"/>
      <c r="C681" s="17"/>
      <c r="D681" s="24"/>
      <c r="E681" s="24"/>
      <c r="F681" s="25"/>
      <c r="G681" s="1">
        <v>7025</v>
      </c>
      <c r="H681" s="2">
        <v>94.8</v>
      </c>
      <c r="I681" s="2">
        <v>-22.9</v>
      </c>
      <c r="J681" s="2">
        <v>-27.3</v>
      </c>
      <c r="K681" s="2">
        <f t="shared" si="88"/>
        <v>-22.9</v>
      </c>
      <c r="L681" s="8">
        <f t="shared" si="92"/>
        <v>1.6982436524617421E-12</v>
      </c>
      <c r="M681" s="26"/>
      <c r="N681" s="17"/>
      <c r="O681" s="9">
        <f t="shared" si="90"/>
        <v>-27.3</v>
      </c>
      <c r="P681" s="8">
        <f>D680/B680*10^(O681/10)</f>
        <v>0.58531605662436104</v>
      </c>
      <c r="Q681" s="26"/>
      <c r="R681" s="17"/>
      <c r="S681" s="19"/>
      <c r="T681" s="17"/>
      <c r="U681" s="22"/>
    </row>
    <row r="682" spans="1:21" x14ac:dyDescent="0.25">
      <c r="A682" s="24"/>
      <c r="B682" s="24"/>
      <c r="C682" s="17"/>
      <c r="D682" s="24"/>
      <c r="E682" s="24"/>
      <c r="F682" s="25"/>
      <c r="G682" s="1">
        <v>8025</v>
      </c>
      <c r="H682" s="2">
        <v>101.9</v>
      </c>
      <c r="I682" s="2">
        <v>-23.5</v>
      </c>
      <c r="J682" s="2">
        <v>-28.5</v>
      </c>
      <c r="K682" s="2">
        <f t="shared" si="88"/>
        <v>-23.5</v>
      </c>
      <c r="L682" s="8">
        <f t="shared" si="92"/>
        <v>2.8840315031265929E-13</v>
      </c>
      <c r="M682" s="26"/>
      <c r="N682" s="17"/>
      <c r="O682" s="9">
        <f t="shared" si="90"/>
        <v>-28.5</v>
      </c>
      <c r="P682" s="8">
        <f>D680/B680*10^(O682/10)</f>
        <v>0.44400763485975192</v>
      </c>
      <c r="Q682" s="26"/>
      <c r="R682" s="17"/>
      <c r="S682" s="19"/>
      <c r="T682" s="17"/>
      <c r="U682" s="22"/>
    </row>
    <row r="683" spans="1:21" x14ac:dyDescent="0.25">
      <c r="A683" s="24"/>
      <c r="B683" s="24"/>
      <c r="C683" s="17"/>
      <c r="D683" s="24"/>
      <c r="E683" s="24"/>
      <c r="F683" s="25"/>
      <c r="G683" s="1">
        <v>9025</v>
      </c>
      <c r="H683" s="2">
        <v>93.2</v>
      </c>
      <c r="I683" s="2">
        <v>-22.1</v>
      </c>
      <c r="J683" s="2">
        <v>-31.4</v>
      </c>
      <c r="K683" s="2">
        <f t="shared" si="88"/>
        <v>-22.1</v>
      </c>
      <c r="L683" s="8">
        <f t="shared" si="92"/>
        <v>2.9512092266663754E-12</v>
      </c>
      <c r="M683" s="26"/>
      <c r="N683" s="17"/>
      <c r="O683" s="9">
        <f t="shared" si="90"/>
        <v>-31.4</v>
      </c>
      <c r="P683" s="8">
        <f>D680/B680*10^(O683/10)</f>
        <v>0.22771437011690512</v>
      </c>
      <c r="Q683" s="26"/>
      <c r="R683" s="17"/>
      <c r="S683" s="19"/>
      <c r="T683" s="17"/>
      <c r="U683" s="22"/>
    </row>
    <row r="684" spans="1:21" x14ac:dyDescent="0.25">
      <c r="A684" s="24"/>
      <c r="B684" s="24"/>
      <c r="C684" s="17"/>
      <c r="D684" s="24"/>
      <c r="E684" s="24"/>
      <c r="F684" s="25"/>
      <c r="G684" s="1">
        <v>10025</v>
      </c>
      <c r="H684" s="2">
        <v>88.3</v>
      </c>
      <c r="I684" s="2">
        <v>-22.2</v>
      </c>
      <c r="J684" s="2">
        <v>-26.6</v>
      </c>
      <c r="K684" s="2">
        <f t="shared" si="88"/>
        <v>-22.2</v>
      </c>
      <c r="L684" s="8">
        <f t="shared" si="92"/>
        <v>8.9125093813374152E-12</v>
      </c>
      <c r="M684" s="26"/>
      <c r="N684" s="17"/>
      <c r="O684" s="9">
        <f t="shared" si="90"/>
        <v>-26.6</v>
      </c>
      <c r="P684" s="8">
        <f>D680/B680*10^(O684/10)</f>
        <v>0.6876864037948085</v>
      </c>
      <c r="Q684" s="26"/>
      <c r="R684" s="17"/>
      <c r="S684" s="19"/>
      <c r="T684" s="17"/>
      <c r="U684" s="22"/>
    </row>
    <row r="685" spans="1:21" x14ac:dyDescent="0.25">
      <c r="A685" s="24"/>
      <c r="B685" s="24"/>
      <c r="C685" s="17"/>
      <c r="D685" s="24"/>
      <c r="E685" s="24"/>
      <c r="F685" s="25"/>
      <c r="G685" s="1">
        <v>11025</v>
      </c>
      <c r="H685" s="2">
        <v>86</v>
      </c>
      <c r="I685" s="2">
        <v>-25.4</v>
      </c>
      <c r="J685" s="2">
        <v>-27.9</v>
      </c>
      <c r="K685" s="2">
        <f t="shared" si="88"/>
        <v>-25.4</v>
      </c>
      <c r="L685" s="8">
        <f t="shared" si="92"/>
        <v>7.2443596007498734E-12</v>
      </c>
      <c r="M685" s="26"/>
      <c r="N685" s="17"/>
      <c r="O685" s="9">
        <f t="shared" si="90"/>
        <v>-27.9</v>
      </c>
      <c r="P685" s="8">
        <f>D680/B680*10^(O685/10)</f>
        <v>0.50978897393648981</v>
      </c>
      <c r="Q685" s="26"/>
      <c r="R685" s="17"/>
      <c r="S685" s="20"/>
      <c r="T685" s="17"/>
      <c r="U685" s="23"/>
    </row>
    <row r="686" spans="1:21" x14ac:dyDescent="0.25">
      <c r="A686" s="24" t="s">
        <v>20</v>
      </c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12">
        <f>U686</f>
        <v>7.4752384192785834E-2</v>
      </c>
      <c r="T686" s="2"/>
      <c r="U686" s="8">
        <f>0.8*SQRT(SUM(U652:U685))</f>
        <v>7.4752384192785834E-2</v>
      </c>
    </row>
    <row r="687" spans="1:21" x14ac:dyDescent="0.25">
      <c r="A687" s="27" t="s">
        <v>71</v>
      </c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9"/>
    </row>
    <row r="688" spans="1:21" x14ac:dyDescent="0.25">
      <c r="A688" s="24">
        <v>250</v>
      </c>
      <c r="B688" s="24">
        <v>3</v>
      </c>
      <c r="C688" s="17">
        <v>0.5</v>
      </c>
      <c r="D688" s="24">
        <v>38</v>
      </c>
      <c r="E688" s="24">
        <v>4</v>
      </c>
      <c r="F688" s="25">
        <v>84</v>
      </c>
      <c r="G688" s="1">
        <v>175</v>
      </c>
      <c r="H688" s="2">
        <v>84.8</v>
      </c>
      <c r="I688" s="2">
        <v>-11.9</v>
      </c>
      <c r="J688" s="2">
        <v>-18.2</v>
      </c>
      <c r="K688" s="2">
        <f>I688</f>
        <v>-11.9</v>
      </c>
      <c r="L688" s="8">
        <f>10^((K688-H688)/10)</f>
        <v>2.1379620895022245E-10</v>
      </c>
      <c r="M688" s="26">
        <f>SUM(L688:L691)</f>
        <v>4.4675615889542496E-10</v>
      </c>
      <c r="N688" s="17">
        <f>10*LOG10(M688/E688)</f>
        <v>-99.519894430078949</v>
      </c>
      <c r="O688" s="9">
        <f>J688</f>
        <v>-18.2</v>
      </c>
      <c r="P688" s="8">
        <f>D688/B688*10^(O688/10)</f>
        <v>0.19171775813525296</v>
      </c>
      <c r="Q688" s="26">
        <f>SUM(P688:P691)</f>
        <v>0.90243446912978942</v>
      </c>
      <c r="R688" s="17">
        <f>10*LOG10(Q688)</f>
        <v>-0.44584324855668983</v>
      </c>
      <c r="S688" s="18">
        <f>F688+N688-Kzt-H</f>
        <v>-15.519894430078949</v>
      </c>
      <c r="T688" s="17">
        <v>0.2</v>
      </c>
      <c r="U688" s="21">
        <f>T688*10^((S688-R688)/10)</f>
        <v>6.2176300446772949E-3</v>
      </c>
    </row>
    <row r="689" spans="1:21" x14ac:dyDescent="0.25">
      <c r="A689" s="24"/>
      <c r="B689" s="24"/>
      <c r="C689" s="17"/>
      <c r="D689" s="24"/>
      <c r="E689" s="24"/>
      <c r="F689" s="25"/>
      <c r="G689" s="1">
        <v>225</v>
      </c>
      <c r="H689" s="2">
        <v>90</v>
      </c>
      <c r="I689" s="2">
        <v>-7.1</v>
      </c>
      <c r="J689" s="2">
        <v>-17.899999999999999</v>
      </c>
      <c r="K689" s="2">
        <f t="shared" ref="K689:K721" si="93">I689</f>
        <v>-7.1</v>
      </c>
      <c r="L689" s="8">
        <f t="shared" ref="L689:L690" si="94">10^((K689-H689)/10)</f>
        <v>1.949844599758046E-10</v>
      </c>
      <c r="M689" s="26"/>
      <c r="N689" s="17"/>
      <c r="O689" s="9">
        <f t="shared" ref="O689:O721" si="95">J689</f>
        <v>-17.899999999999999</v>
      </c>
      <c r="P689" s="8">
        <f>D688/B688*10^(O689/10)</f>
        <v>0.20542927899879787</v>
      </c>
      <c r="Q689" s="26"/>
      <c r="R689" s="17"/>
      <c r="S689" s="19"/>
      <c r="T689" s="17"/>
      <c r="U689" s="22"/>
    </row>
    <row r="690" spans="1:21" x14ac:dyDescent="0.25">
      <c r="A690" s="24"/>
      <c r="B690" s="24"/>
      <c r="C690" s="17"/>
      <c r="D690" s="24"/>
      <c r="E690" s="24"/>
      <c r="F690" s="25"/>
      <c r="G690" s="1">
        <v>275</v>
      </c>
      <c r="H690" s="2">
        <v>92.2</v>
      </c>
      <c r="I690" s="2">
        <v>-15.6</v>
      </c>
      <c r="J690" s="2">
        <v>-16.399999999999999</v>
      </c>
      <c r="K690" s="2">
        <f t="shared" si="93"/>
        <v>-15.6</v>
      </c>
      <c r="L690" s="8">
        <f t="shared" si="94"/>
        <v>1.6595869074375605E-11</v>
      </c>
      <c r="M690" s="26"/>
      <c r="N690" s="17"/>
      <c r="O690" s="9">
        <f t="shared" si="95"/>
        <v>-16.399999999999999</v>
      </c>
      <c r="P690" s="8">
        <f>D688/B688*10^(O690/10)</f>
        <v>0.2901765693505845</v>
      </c>
      <c r="Q690" s="26"/>
      <c r="R690" s="17"/>
      <c r="S690" s="19"/>
      <c r="T690" s="17"/>
      <c r="U690" s="22"/>
    </row>
    <row r="691" spans="1:21" x14ac:dyDescent="0.25">
      <c r="A691" s="24"/>
      <c r="B691" s="24"/>
      <c r="C691" s="17"/>
      <c r="D691" s="24"/>
      <c r="E691" s="24"/>
      <c r="F691" s="25"/>
      <c r="G691" s="1">
        <v>325</v>
      </c>
      <c r="H691" s="2">
        <v>93.3</v>
      </c>
      <c r="I691" s="2">
        <v>-13.4</v>
      </c>
      <c r="J691" s="2">
        <v>-17.7</v>
      </c>
      <c r="K691" s="2">
        <f t="shared" si="93"/>
        <v>-13.4</v>
      </c>
      <c r="L691" s="8">
        <f>10^((K691-H691)/10)</f>
        <v>2.1379620895022298E-11</v>
      </c>
      <c r="M691" s="26"/>
      <c r="N691" s="17"/>
      <c r="O691" s="9">
        <f t="shared" si="95"/>
        <v>-17.7</v>
      </c>
      <c r="P691" s="8">
        <f>D688/B688*10^(O691/10)</f>
        <v>0.21511086264515408</v>
      </c>
      <c r="Q691" s="26"/>
      <c r="R691" s="17"/>
      <c r="S691" s="20"/>
      <c r="T691" s="17"/>
      <c r="U691" s="23"/>
    </row>
    <row r="692" spans="1:21" x14ac:dyDescent="0.25">
      <c r="A692" s="24">
        <v>500</v>
      </c>
      <c r="B692" s="24">
        <v>3</v>
      </c>
      <c r="C692" s="17">
        <v>0.5</v>
      </c>
      <c r="D692" s="24">
        <v>59</v>
      </c>
      <c r="E692" s="24">
        <v>6</v>
      </c>
      <c r="F692" s="25">
        <v>84</v>
      </c>
      <c r="G692" s="1">
        <v>375</v>
      </c>
      <c r="H692" s="2">
        <v>91.9</v>
      </c>
      <c r="I692" s="2">
        <v>-15</v>
      </c>
      <c r="J692" s="2">
        <v>-19.2</v>
      </c>
      <c r="K692" s="2">
        <f t="shared" si="93"/>
        <v>-15</v>
      </c>
      <c r="L692" s="8">
        <f t="shared" ref="L692:L693" si="96">10^((K692-H692)/10)</f>
        <v>2.04173794466952E-11</v>
      </c>
      <c r="M692" s="26">
        <f>SUM(L692:L697)</f>
        <v>2.2279243478901766E-10</v>
      </c>
      <c r="N692" s="17">
        <f>10*LOG10(M692/E692)</f>
        <v>-104.3025081067354</v>
      </c>
      <c r="O692" s="9">
        <f t="shared" si="95"/>
        <v>-19.2</v>
      </c>
      <c r="P692" s="8">
        <f>D692/B692*10^(O692/10)</f>
        <v>0.23644533880809113</v>
      </c>
      <c r="Q692" s="26">
        <f>SUM(P692:P697)</f>
        <v>1.4205595756817826</v>
      </c>
      <c r="R692" s="17">
        <f>10*LOG10(Q692)</f>
        <v>1.5245945196061239</v>
      </c>
      <c r="S692" s="18">
        <f>F692+N692-Kzt-H</f>
        <v>-20.302508106735402</v>
      </c>
      <c r="T692" s="17">
        <v>0.5</v>
      </c>
      <c r="U692" s="21">
        <f>T692*10^((S692-R692)/10)</f>
        <v>3.2829157817435375E-3</v>
      </c>
    </row>
    <row r="693" spans="1:21" x14ac:dyDescent="0.25">
      <c r="A693" s="24"/>
      <c r="B693" s="24"/>
      <c r="C693" s="17"/>
      <c r="D693" s="24"/>
      <c r="E693" s="24"/>
      <c r="F693" s="25"/>
      <c r="G693" s="1">
        <v>425</v>
      </c>
      <c r="H693" s="2">
        <v>88.1</v>
      </c>
      <c r="I693" s="2">
        <v>-11.8</v>
      </c>
      <c r="J693" s="2">
        <v>-18.899999999999999</v>
      </c>
      <c r="K693" s="2">
        <f t="shared" si="93"/>
        <v>-11.8</v>
      </c>
      <c r="L693" s="8">
        <f t="shared" si="96"/>
        <v>1.0232929922807573E-10</v>
      </c>
      <c r="M693" s="26"/>
      <c r="N693" s="17"/>
      <c r="O693" s="9">
        <f t="shared" si="95"/>
        <v>-18.899999999999999</v>
      </c>
      <c r="P693" s="8">
        <f>D692/B692*10^(O693/10)</f>
        <v>0.2533557451663162</v>
      </c>
      <c r="Q693" s="26"/>
      <c r="R693" s="17"/>
      <c r="S693" s="19"/>
      <c r="T693" s="17"/>
      <c r="U693" s="22"/>
    </row>
    <row r="694" spans="1:21" x14ac:dyDescent="0.25">
      <c r="A694" s="24"/>
      <c r="B694" s="24"/>
      <c r="C694" s="17"/>
      <c r="D694" s="24"/>
      <c r="E694" s="24"/>
      <c r="F694" s="25"/>
      <c r="G694" s="1">
        <v>475</v>
      </c>
      <c r="H694" s="2">
        <v>90</v>
      </c>
      <c r="I694" s="2">
        <v>-12.3</v>
      </c>
      <c r="J694" s="2">
        <v>-20.399999999999999</v>
      </c>
      <c r="K694" s="2">
        <f t="shared" si="93"/>
        <v>-12.3</v>
      </c>
      <c r="L694" s="8">
        <f>10^((K694-H694)/10)</f>
        <v>5.8884365535558786E-11</v>
      </c>
      <c r="M694" s="26"/>
      <c r="N694" s="17"/>
      <c r="O694" s="9">
        <f t="shared" si="95"/>
        <v>-20.399999999999999</v>
      </c>
      <c r="P694" s="8">
        <f>D692/B692*10^(O694/10)</f>
        <v>0.17936213173999541</v>
      </c>
      <c r="Q694" s="26"/>
      <c r="R694" s="17"/>
      <c r="S694" s="19"/>
      <c r="T694" s="17"/>
      <c r="U694" s="22"/>
    </row>
    <row r="695" spans="1:21" x14ac:dyDescent="0.25">
      <c r="A695" s="24"/>
      <c r="B695" s="24"/>
      <c r="C695" s="17"/>
      <c r="D695" s="24"/>
      <c r="E695" s="24"/>
      <c r="F695" s="25"/>
      <c r="G695" s="1">
        <v>575</v>
      </c>
      <c r="H695" s="2">
        <v>97</v>
      </c>
      <c r="I695" s="2">
        <v>-17.2</v>
      </c>
      <c r="J695" s="2">
        <v>-18.600000000000001</v>
      </c>
      <c r="K695" s="2">
        <f t="shared" si="93"/>
        <v>-17.2</v>
      </c>
      <c r="L695" s="8">
        <f t="shared" ref="L695:L721" si="97">10^((K695-H695)/10)</f>
        <v>3.8018939632056084E-12</v>
      </c>
      <c r="M695" s="26"/>
      <c r="N695" s="17"/>
      <c r="O695" s="9">
        <f t="shared" si="95"/>
        <v>-18.600000000000001</v>
      </c>
      <c r="P695" s="8">
        <f>D692/B692*10^(O695/10)</f>
        <v>0.27147557203856715</v>
      </c>
      <c r="Q695" s="26"/>
      <c r="R695" s="17"/>
      <c r="S695" s="19"/>
      <c r="T695" s="17"/>
      <c r="U695" s="22"/>
    </row>
    <row r="696" spans="1:21" x14ac:dyDescent="0.25">
      <c r="A696" s="24"/>
      <c r="B696" s="24"/>
      <c r="C696" s="17"/>
      <c r="D696" s="24"/>
      <c r="E696" s="24"/>
      <c r="F696" s="25"/>
      <c r="G696" s="1">
        <v>625</v>
      </c>
      <c r="H696" s="2">
        <v>92</v>
      </c>
      <c r="I696" s="2">
        <v>-13.1</v>
      </c>
      <c r="J696" s="2">
        <v>-19.5</v>
      </c>
      <c r="K696" s="2">
        <f t="shared" si="93"/>
        <v>-13.1</v>
      </c>
      <c r="L696" s="8">
        <f t="shared" si="97"/>
        <v>3.0902954325135829E-11</v>
      </c>
      <c r="M696" s="26"/>
      <c r="N696" s="17"/>
      <c r="O696" s="9">
        <f t="shared" si="95"/>
        <v>-19.5</v>
      </c>
      <c r="P696" s="8">
        <f>D692/B692*10^(O696/10)</f>
        <v>0.22066362934605283</v>
      </c>
      <c r="Q696" s="26"/>
      <c r="R696" s="17"/>
      <c r="S696" s="19"/>
      <c r="T696" s="17"/>
      <c r="U696" s="22"/>
    </row>
    <row r="697" spans="1:21" x14ac:dyDescent="0.25">
      <c r="A697" s="24"/>
      <c r="B697" s="24"/>
      <c r="C697" s="17"/>
      <c r="D697" s="24"/>
      <c r="E697" s="24"/>
      <c r="F697" s="25"/>
      <c r="G697" s="1">
        <v>675</v>
      </c>
      <c r="H697" s="2">
        <v>94.5</v>
      </c>
      <c r="I697" s="2">
        <v>-17.400000000000002</v>
      </c>
      <c r="J697" s="2">
        <v>-18.8</v>
      </c>
      <c r="K697" s="2">
        <f t="shared" si="93"/>
        <v>-17.400000000000002</v>
      </c>
      <c r="L697" s="8">
        <f t="shared" si="97"/>
        <v>6.4565422903465118E-12</v>
      </c>
      <c r="M697" s="26"/>
      <c r="N697" s="17"/>
      <c r="O697" s="9">
        <f t="shared" si="95"/>
        <v>-18.8</v>
      </c>
      <c r="P697" s="8">
        <f>D692/B692*10^(O697/10)</f>
        <v>0.25925715858275988</v>
      </c>
      <c r="Q697" s="26"/>
      <c r="R697" s="17"/>
      <c r="S697" s="20"/>
      <c r="T697" s="17"/>
      <c r="U697" s="23"/>
    </row>
    <row r="698" spans="1:21" x14ac:dyDescent="0.25">
      <c r="A698" s="24">
        <v>1000</v>
      </c>
      <c r="B698" s="24">
        <v>3</v>
      </c>
      <c r="C698" s="17">
        <v>0.5</v>
      </c>
      <c r="D698" s="24">
        <v>117</v>
      </c>
      <c r="E698" s="24">
        <v>6</v>
      </c>
      <c r="F698" s="25">
        <v>76</v>
      </c>
      <c r="G698" s="1">
        <v>875</v>
      </c>
      <c r="H698" s="2">
        <v>91.1</v>
      </c>
      <c r="I698" s="2">
        <v>-16.5</v>
      </c>
      <c r="J698" s="2">
        <v>-21.6</v>
      </c>
      <c r="K698" s="2">
        <f t="shared" si="93"/>
        <v>-16.5</v>
      </c>
      <c r="L698" s="8">
        <f t="shared" si="97"/>
        <v>1.7378008287493749E-11</v>
      </c>
      <c r="M698" s="26">
        <f>SUM(L698:L703)</f>
        <v>4.5179690296018707E-11</v>
      </c>
      <c r="N698" s="17">
        <f>10*LOG10(M698/E698)</f>
        <v>-111.23208000850894</v>
      </c>
      <c r="O698" s="9">
        <f t="shared" si="95"/>
        <v>-21.6</v>
      </c>
      <c r="P698" s="8">
        <f>D698/B698*10^(O698/10)</f>
        <v>0.26981407865838503</v>
      </c>
      <c r="Q698" s="26">
        <f>SUM(P698:P703)</f>
        <v>3.1140065247948443</v>
      </c>
      <c r="R698" s="17">
        <f>10*LOG10(Q698)</f>
        <v>4.9331951821264992</v>
      </c>
      <c r="S698" s="18">
        <f>F698+N698-Kzt-H</f>
        <v>-35.232080008508945</v>
      </c>
      <c r="T698" s="17">
        <v>0.8</v>
      </c>
      <c r="U698" s="21">
        <f>T698*10^((S698-R698)/10)</f>
        <v>7.7012720973307477E-5</v>
      </c>
    </row>
    <row r="699" spans="1:21" x14ac:dyDescent="0.25">
      <c r="A699" s="24"/>
      <c r="B699" s="24"/>
      <c r="C699" s="17"/>
      <c r="D699" s="24"/>
      <c r="E699" s="24"/>
      <c r="F699" s="25"/>
      <c r="G699" s="1">
        <v>975</v>
      </c>
      <c r="H699" s="2">
        <v>96.5</v>
      </c>
      <c r="I699" s="2">
        <v>-14.7</v>
      </c>
      <c r="J699" s="2">
        <v>-17.5</v>
      </c>
      <c r="K699" s="2">
        <f t="shared" si="93"/>
        <v>-14.7</v>
      </c>
      <c r="L699" s="8">
        <f t="shared" si="97"/>
        <v>7.5857757502918081E-12</v>
      </c>
      <c r="M699" s="26"/>
      <c r="N699" s="17"/>
      <c r="O699" s="9">
        <f t="shared" si="95"/>
        <v>-17.5</v>
      </c>
      <c r="P699" s="8">
        <f>D698/B698*10^(O699/10)</f>
        <v>0.69352896991517976</v>
      </c>
      <c r="Q699" s="26"/>
      <c r="R699" s="17"/>
      <c r="S699" s="19"/>
      <c r="T699" s="17"/>
      <c r="U699" s="22"/>
    </row>
    <row r="700" spans="1:21" x14ac:dyDescent="0.25">
      <c r="A700" s="24"/>
      <c r="B700" s="24"/>
      <c r="C700" s="17"/>
      <c r="D700" s="24"/>
      <c r="E700" s="24"/>
      <c r="F700" s="25"/>
      <c r="G700" s="1">
        <v>1075</v>
      </c>
      <c r="H700" s="2">
        <v>94.6</v>
      </c>
      <c r="I700" s="2">
        <v>-16.2</v>
      </c>
      <c r="J700" s="2">
        <v>-19.7</v>
      </c>
      <c r="K700" s="2">
        <f t="shared" si="93"/>
        <v>-16.2</v>
      </c>
      <c r="L700" s="8">
        <f t="shared" si="97"/>
        <v>8.3176377110266746E-12</v>
      </c>
      <c r="M700" s="26"/>
      <c r="N700" s="17"/>
      <c r="O700" s="9">
        <f t="shared" si="95"/>
        <v>-19.7</v>
      </c>
      <c r="P700" s="8">
        <f>D698/B698*10^(O700/10)</f>
        <v>0.41789252904266622</v>
      </c>
      <c r="Q700" s="26"/>
      <c r="R700" s="17"/>
      <c r="S700" s="19"/>
      <c r="T700" s="17"/>
      <c r="U700" s="22"/>
    </row>
    <row r="701" spans="1:21" x14ac:dyDescent="0.25">
      <c r="A701" s="24"/>
      <c r="B701" s="24"/>
      <c r="C701" s="17"/>
      <c r="D701" s="24"/>
      <c r="E701" s="24"/>
      <c r="F701" s="25"/>
      <c r="G701" s="1">
        <v>1175</v>
      </c>
      <c r="H701" s="2">
        <v>97.8</v>
      </c>
      <c r="I701" s="2">
        <v>-14.2</v>
      </c>
      <c r="J701" s="2">
        <v>-16.399999999999999</v>
      </c>
      <c r="K701" s="2">
        <f t="shared" si="93"/>
        <v>-14.2</v>
      </c>
      <c r="L701" s="8">
        <f t="shared" si="97"/>
        <v>6.3095734448019345E-12</v>
      </c>
      <c r="M701" s="26"/>
      <c r="N701" s="17"/>
      <c r="O701" s="9">
        <f t="shared" si="95"/>
        <v>-16.399999999999999</v>
      </c>
      <c r="P701" s="8">
        <f>D698/B698*10^(O701/10)</f>
        <v>0.89343838457943126</v>
      </c>
      <c r="Q701" s="26"/>
      <c r="R701" s="17"/>
      <c r="S701" s="19"/>
      <c r="T701" s="17"/>
      <c r="U701" s="22"/>
    </row>
    <row r="702" spans="1:21" x14ac:dyDescent="0.25">
      <c r="A702" s="24"/>
      <c r="B702" s="24"/>
      <c r="C702" s="17"/>
      <c r="D702" s="24"/>
      <c r="E702" s="24"/>
      <c r="F702" s="25"/>
      <c r="G702" s="1">
        <v>1275</v>
      </c>
      <c r="H702" s="2">
        <v>100.1</v>
      </c>
      <c r="I702" s="2">
        <v>-14</v>
      </c>
      <c r="J702" s="2">
        <v>-19.3</v>
      </c>
      <c r="K702" s="2">
        <f t="shared" si="93"/>
        <v>-14</v>
      </c>
      <c r="L702" s="8">
        <f t="shared" si="97"/>
        <v>3.890451449942802E-12</v>
      </c>
      <c r="M702" s="26"/>
      <c r="N702" s="17"/>
      <c r="O702" s="9">
        <f t="shared" si="95"/>
        <v>-19.3</v>
      </c>
      <c r="P702" s="8">
        <f>D698/B698*10^(O702/10)</f>
        <v>0.45821004642641605</v>
      </c>
      <c r="Q702" s="26"/>
      <c r="R702" s="17"/>
      <c r="S702" s="19"/>
      <c r="T702" s="17"/>
      <c r="U702" s="22"/>
    </row>
    <row r="703" spans="1:21" x14ac:dyDescent="0.25">
      <c r="A703" s="24"/>
      <c r="B703" s="24"/>
      <c r="C703" s="17"/>
      <c r="D703" s="24"/>
      <c r="E703" s="24"/>
      <c r="F703" s="25"/>
      <c r="G703" s="1">
        <v>1375</v>
      </c>
      <c r="H703" s="2">
        <v>103</v>
      </c>
      <c r="I703" s="2">
        <v>-14.7</v>
      </c>
      <c r="J703" s="2">
        <v>-20.100000000000001</v>
      </c>
      <c r="K703" s="2">
        <f t="shared" si="93"/>
        <v>-14.7</v>
      </c>
      <c r="L703" s="8">
        <f t="shared" si="97"/>
        <v>1.6982436524617421E-12</v>
      </c>
      <c r="M703" s="26"/>
      <c r="N703" s="17"/>
      <c r="O703" s="9">
        <f t="shared" si="95"/>
        <v>-20.100000000000001</v>
      </c>
      <c r="P703" s="8">
        <f>D698/B698*10^(O703/10)</f>
        <v>0.38112251617276571</v>
      </c>
      <c r="Q703" s="26"/>
      <c r="R703" s="17"/>
      <c r="S703" s="20"/>
      <c r="T703" s="17"/>
      <c r="U703" s="23"/>
    </row>
    <row r="704" spans="1:21" x14ac:dyDescent="0.25">
      <c r="A704" s="24">
        <v>2000</v>
      </c>
      <c r="B704" s="24">
        <v>3</v>
      </c>
      <c r="C704" s="17">
        <v>0.5</v>
      </c>
      <c r="D704" s="24">
        <v>234</v>
      </c>
      <c r="E704" s="24">
        <v>6</v>
      </c>
      <c r="F704" s="25">
        <v>68</v>
      </c>
      <c r="G704" s="1">
        <v>1425</v>
      </c>
      <c r="H704" s="2">
        <v>102.8</v>
      </c>
      <c r="I704" s="2">
        <v>-16.7</v>
      </c>
      <c r="J704" s="2">
        <v>-20.5</v>
      </c>
      <c r="K704" s="2">
        <f t="shared" si="93"/>
        <v>-16.7</v>
      </c>
      <c r="L704" s="8">
        <f t="shared" si="97"/>
        <v>1.122018454301964E-12</v>
      </c>
      <c r="M704" s="26">
        <f>SUM(L704:L709)</f>
        <v>1.1602676186685653E-11</v>
      </c>
      <c r="N704" s="17">
        <f>10*LOG10(M704/E704)</f>
        <v>-117.13593078479009</v>
      </c>
      <c r="O704" s="9">
        <f t="shared" si="95"/>
        <v>-20.5</v>
      </c>
      <c r="P704" s="8">
        <f>D704/B704*10^(O704/10)</f>
        <v>0.69517573174432157</v>
      </c>
      <c r="Q704" s="26">
        <f>SUM(P704:P709)</f>
        <v>4.6489902409155057</v>
      </c>
      <c r="R704" s="17">
        <f>10*LOG10(Q704)</f>
        <v>6.6735863452015032</v>
      </c>
      <c r="S704" s="18">
        <f>F704+N704-Kzt-H</f>
        <v>-49.135930784790091</v>
      </c>
      <c r="T704" s="17">
        <v>1</v>
      </c>
      <c r="U704" s="21">
        <f>T704*10^((S704-R704)/10)</f>
        <v>2.624510333156099E-6</v>
      </c>
    </row>
    <row r="705" spans="1:21" x14ac:dyDescent="0.25">
      <c r="A705" s="24"/>
      <c r="B705" s="24"/>
      <c r="C705" s="17"/>
      <c r="D705" s="24"/>
      <c r="E705" s="24"/>
      <c r="F705" s="25"/>
      <c r="G705" s="1">
        <v>1625</v>
      </c>
      <c r="H705" s="2">
        <v>104.1</v>
      </c>
      <c r="I705" s="2">
        <v>-19.600000000000001</v>
      </c>
      <c r="J705" s="2">
        <v>-21.6</v>
      </c>
      <c r="K705" s="2">
        <f t="shared" si="93"/>
        <v>-19.600000000000001</v>
      </c>
      <c r="L705" s="8">
        <f t="shared" si="97"/>
        <v>4.2657951880159156E-13</v>
      </c>
      <c r="M705" s="26"/>
      <c r="N705" s="17"/>
      <c r="O705" s="9">
        <f t="shared" si="95"/>
        <v>-21.6</v>
      </c>
      <c r="P705" s="8">
        <f>D704/B704*10^(O705/10)</f>
        <v>0.53962815731677005</v>
      </c>
      <c r="Q705" s="26"/>
      <c r="R705" s="17"/>
      <c r="S705" s="19"/>
      <c r="T705" s="17"/>
      <c r="U705" s="22"/>
    </row>
    <row r="706" spans="1:21" x14ac:dyDescent="0.25">
      <c r="A706" s="24"/>
      <c r="B706" s="24"/>
      <c r="C706" s="17"/>
      <c r="D706" s="24"/>
      <c r="E706" s="24"/>
      <c r="F706" s="25"/>
      <c r="G706" s="1">
        <v>1825</v>
      </c>
      <c r="H706" s="2">
        <v>107.6</v>
      </c>
      <c r="I706" s="2">
        <v>-18.2</v>
      </c>
      <c r="J706" s="2">
        <v>-20</v>
      </c>
      <c r="K706" s="2">
        <f t="shared" si="93"/>
        <v>-18.2</v>
      </c>
      <c r="L706" s="8">
        <f t="shared" si="97"/>
        <v>2.6302679918953709E-13</v>
      </c>
      <c r="M706" s="26"/>
      <c r="N706" s="17"/>
      <c r="O706" s="9">
        <f t="shared" si="95"/>
        <v>-20</v>
      </c>
      <c r="P706" s="8">
        <f>D704/B704*10^(O706/10)</f>
        <v>0.78</v>
      </c>
      <c r="Q706" s="26"/>
      <c r="R706" s="17"/>
      <c r="S706" s="19"/>
      <c r="T706" s="17"/>
      <c r="U706" s="22"/>
    </row>
    <row r="707" spans="1:21" x14ac:dyDescent="0.25">
      <c r="A707" s="24"/>
      <c r="B707" s="24"/>
      <c r="C707" s="17"/>
      <c r="D707" s="24"/>
      <c r="E707" s="24"/>
      <c r="F707" s="25"/>
      <c r="G707" s="1">
        <v>2125</v>
      </c>
      <c r="H707" s="2">
        <v>104.2</v>
      </c>
      <c r="I707" s="2">
        <v>-18.100000000000001</v>
      </c>
      <c r="J707" s="2">
        <v>-19.2</v>
      </c>
      <c r="K707" s="2">
        <f t="shared" si="93"/>
        <v>-18.100000000000001</v>
      </c>
      <c r="L707" s="8">
        <f t="shared" si="97"/>
        <v>5.8884365535558666E-13</v>
      </c>
      <c r="M707" s="26"/>
      <c r="N707" s="17"/>
      <c r="O707" s="9">
        <f t="shared" si="95"/>
        <v>-19.2</v>
      </c>
      <c r="P707" s="8">
        <f>D704/B704*10^(O707/10)</f>
        <v>0.93776625900158173</v>
      </c>
      <c r="Q707" s="26"/>
      <c r="R707" s="17"/>
      <c r="S707" s="19"/>
      <c r="T707" s="17"/>
      <c r="U707" s="22"/>
    </row>
    <row r="708" spans="1:21" x14ac:dyDescent="0.25">
      <c r="A708" s="24"/>
      <c r="B708" s="24"/>
      <c r="C708" s="17"/>
      <c r="D708" s="24"/>
      <c r="E708" s="24"/>
      <c r="F708" s="25"/>
      <c r="G708" s="1">
        <v>2425</v>
      </c>
      <c r="H708" s="2">
        <v>93.7</v>
      </c>
      <c r="I708" s="2">
        <v>-17.3</v>
      </c>
      <c r="J708" s="2">
        <v>-19.3</v>
      </c>
      <c r="K708" s="2">
        <f t="shared" si="93"/>
        <v>-17.3</v>
      </c>
      <c r="L708" s="8">
        <f t="shared" si="97"/>
        <v>7.9432823472428101E-12</v>
      </c>
      <c r="M708" s="26"/>
      <c r="N708" s="17"/>
      <c r="O708" s="9">
        <f t="shared" si="95"/>
        <v>-19.3</v>
      </c>
      <c r="P708" s="8">
        <f>D704/B704*10^(O708/10)</f>
        <v>0.9164200928528321</v>
      </c>
      <c r="Q708" s="26"/>
      <c r="R708" s="17"/>
      <c r="S708" s="19"/>
      <c r="T708" s="17"/>
      <c r="U708" s="22"/>
    </row>
    <row r="709" spans="1:21" x14ac:dyDescent="0.25">
      <c r="A709" s="24"/>
      <c r="B709" s="24"/>
      <c r="C709" s="17"/>
      <c r="D709" s="24"/>
      <c r="E709" s="24"/>
      <c r="F709" s="25"/>
      <c r="G709" s="1">
        <v>2775</v>
      </c>
      <c r="H709" s="2">
        <v>100.2</v>
      </c>
      <c r="I709" s="2">
        <v>-18.8</v>
      </c>
      <c r="J709" s="2">
        <v>-20</v>
      </c>
      <c r="K709" s="2">
        <f t="shared" si="93"/>
        <v>-18.8</v>
      </c>
      <c r="L709" s="8">
        <f t="shared" si="97"/>
        <v>1.2589254117941629E-12</v>
      </c>
      <c r="M709" s="26"/>
      <c r="N709" s="17"/>
      <c r="O709" s="9">
        <f t="shared" si="95"/>
        <v>-20</v>
      </c>
      <c r="P709" s="8">
        <f>D704/B704*10^(O709/10)</f>
        <v>0.78</v>
      </c>
      <c r="Q709" s="26"/>
      <c r="R709" s="17"/>
      <c r="S709" s="20"/>
      <c r="T709" s="17"/>
      <c r="U709" s="23"/>
    </row>
    <row r="710" spans="1:21" x14ac:dyDescent="0.25">
      <c r="A710" s="24">
        <v>4000</v>
      </c>
      <c r="B710" s="24">
        <v>3</v>
      </c>
      <c r="C710" s="17">
        <v>0.5</v>
      </c>
      <c r="D710" s="24">
        <v>470</v>
      </c>
      <c r="E710" s="24">
        <v>6</v>
      </c>
      <c r="F710" s="25">
        <v>62</v>
      </c>
      <c r="G710" s="1">
        <v>2825</v>
      </c>
      <c r="H710" s="2">
        <v>99.4</v>
      </c>
      <c r="I710" s="2">
        <v>-18.2</v>
      </c>
      <c r="J710" s="2">
        <v>-21.4</v>
      </c>
      <c r="K710" s="2">
        <f t="shared" si="93"/>
        <v>-18.2</v>
      </c>
      <c r="L710" s="8">
        <f t="shared" si="97"/>
        <v>1.7378008287493668E-12</v>
      </c>
      <c r="M710" s="26">
        <f>SUM(L710:L715)</f>
        <v>1.2995791970775161E-11</v>
      </c>
      <c r="N710" s="17">
        <f>10*LOG10(M710/E710)</f>
        <v>-116.64348499593395</v>
      </c>
      <c r="O710" s="9">
        <f t="shared" si="95"/>
        <v>-21.4</v>
      </c>
      <c r="P710" s="8">
        <f>D710/B710*10^(O710/10)</f>
        <v>1.1349496707841509</v>
      </c>
      <c r="Q710" s="26">
        <f>SUM(P710:P715)</f>
        <v>5.4039842695068545</v>
      </c>
      <c r="R710" s="17">
        <f>10*LOG10(Q710)</f>
        <v>7.327140761611858</v>
      </c>
      <c r="S710" s="18">
        <f>F710+N710-Kzt-H</f>
        <v>-54.643484995933946</v>
      </c>
      <c r="T710" s="17">
        <v>0.9</v>
      </c>
      <c r="U710" s="21">
        <f>T710*10^((S710-R710)/10)</f>
        <v>5.7171545653856739E-7</v>
      </c>
    </row>
    <row r="711" spans="1:21" x14ac:dyDescent="0.25">
      <c r="A711" s="24"/>
      <c r="B711" s="24"/>
      <c r="C711" s="17"/>
      <c r="D711" s="24"/>
      <c r="E711" s="24"/>
      <c r="F711" s="25"/>
      <c r="G711" s="1">
        <v>3425</v>
      </c>
      <c r="H711" s="2">
        <v>103.5</v>
      </c>
      <c r="I711" s="2">
        <v>-15.2</v>
      </c>
      <c r="J711" s="2">
        <v>-22</v>
      </c>
      <c r="K711" s="2">
        <f t="shared" si="93"/>
        <v>-15.2</v>
      </c>
      <c r="L711" s="8">
        <f t="shared" si="97"/>
        <v>1.3489628825916484E-12</v>
      </c>
      <c r="M711" s="26"/>
      <c r="N711" s="17"/>
      <c r="O711" s="9">
        <f t="shared" si="95"/>
        <v>-22</v>
      </c>
      <c r="P711" s="8">
        <f>D710/B710*10^(O711/10)</f>
        <v>0.98849983968563482</v>
      </c>
      <c r="Q711" s="26"/>
      <c r="R711" s="17"/>
      <c r="S711" s="19"/>
      <c r="T711" s="17"/>
      <c r="U711" s="22"/>
    </row>
    <row r="712" spans="1:21" x14ac:dyDescent="0.25">
      <c r="A712" s="24"/>
      <c r="B712" s="24"/>
      <c r="C712" s="17"/>
      <c r="D712" s="24"/>
      <c r="E712" s="24"/>
      <c r="F712" s="25"/>
      <c r="G712" s="1">
        <v>4025</v>
      </c>
      <c r="H712" s="2">
        <v>103.6</v>
      </c>
      <c r="I712" s="2">
        <v>-16.3</v>
      </c>
      <c r="J712" s="2">
        <v>-20.399999999999999</v>
      </c>
      <c r="K712" s="2">
        <f t="shared" si="93"/>
        <v>-16.3</v>
      </c>
      <c r="L712" s="8">
        <f t="shared" si="97"/>
        <v>1.0232929922807551E-12</v>
      </c>
      <c r="M712" s="26"/>
      <c r="N712" s="17"/>
      <c r="O712" s="9">
        <f t="shared" si="95"/>
        <v>-20.399999999999999</v>
      </c>
      <c r="P712" s="8">
        <f>D710/B710*10^(O712/10)</f>
        <v>1.4288169816575904</v>
      </c>
      <c r="Q712" s="26"/>
      <c r="R712" s="17"/>
      <c r="S712" s="19"/>
      <c r="T712" s="17"/>
      <c r="U712" s="22"/>
    </row>
    <row r="713" spans="1:21" x14ac:dyDescent="0.25">
      <c r="A713" s="24"/>
      <c r="B713" s="24"/>
      <c r="C713" s="17"/>
      <c r="D713" s="24"/>
      <c r="E713" s="24"/>
      <c r="F713" s="25"/>
      <c r="G713" s="1">
        <v>4625</v>
      </c>
      <c r="H713" s="2">
        <v>105.6</v>
      </c>
      <c r="I713" s="2">
        <v>-15.6</v>
      </c>
      <c r="J713" s="2">
        <v>-20.8</v>
      </c>
      <c r="K713" s="2">
        <f t="shared" si="93"/>
        <v>-15.6</v>
      </c>
      <c r="L713" s="8">
        <f t="shared" si="97"/>
        <v>7.5857757502918275E-13</v>
      </c>
      <c r="M713" s="26"/>
      <c r="N713" s="17"/>
      <c r="O713" s="9">
        <f t="shared" si="95"/>
        <v>-20.8</v>
      </c>
      <c r="P713" s="8">
        <f>D710/B710*10^(O713/10)</f>
        <v>1.3030965747275172</v>
      </c>
      <c r="Q713" s="26"/>
      <c r="R713" s="17"/>
      <c r="S713" s="19"/>
      <c r="T713" s="17"/>
      <c r="U713" s="22"/>
    </row>
    <row r="714" spans="1:21" x14ac:dyDescent="0.25">
      <c r="A714" s="24"/>
      <c r="B714" s="24"/>
      <c r="C714" s="17"/>
      <c r="D714" s="24"/>
      <c r="E714" s="24"/>
      <c r="F714" s="25"/>
      <c r="G714" s="1">
        <v>5225</v>
      </c>
      <c r="H714" s="2">
        <v>103.5</v>
      </c>
      <c r="I714" s="2">
        <v>-13</v>
      </c>
      <c r="J714" s="2">
        <v>-26.1</v>
      </c>
      <c r="K714" s="2">
        <f t="shared" si="93"/>
        <v>-13</v>
      </c>
      <c r="L714" s="8">
        <f t="shared" si="97"/>
        <v>2.2387211385683343E-12</v>
      </c>
      <c r="M714" s="26"/>
      <c r="N714" s="17"/>
      <c r="O714" s="9">
        <f t="shared" si="95"/>
        <v>-26.1</v>
      </c>
      <c r="P714" s="8">
        <f>D710/B710*10^(O714/10)</f>
        <v>0.38457106345732078</v>
      </c>
      <c r="Q714" s="26"/>
      <c r="R714" s="17"/>
      <c r="S714" s="19"/>
      <c r="T714" s="17"/>
      <c r="U714" s="22"/>
    </row>
    <row r="715" spans="1:21" x14ac:dyDescent="0.25">
      <c r="A715" s="24"/>
      <c r="B715" s="24"/>
      <c r="C715" s="17"/>
      <c r="D715" s="24"/>
      <c r="E715" s="24"/>
      <c r="F715" s="25"/>
      <c r="G715" s="1">
        <v>5625</v>
      </c>
      <c r="H715" s="2">
        <v>99.5</v>
      </c>
      <c r="I715" s="2">
        <v>-12.8</v>
      </c>
      <c r="J715" s="2">
        <v>-29.8</v>
      </c>
      <c r="K715" s="2">
        <f t="shared" si="93"/>
        <v>-12.8</v>
      </c>
      <c r="L715" s="8">
        <f t="shared" si="97"/>
        <v>5.8884365535558725E-12</v>
      </c>
      <c r="M715" s="26"/>
      <c r="N715" s="17"/>
      <c r="O715" s="9">
        <f t="shared" si="95"/>
        <v>-29.8</v>
      </c>
      <c r="P715" s="8">
        <f>D710/B710*10^(O715/10)</f>
        <v>0.16405013919464079</v>
      </c>
      <c r="Q715" s="26"/>
      <c r="R715" s="17"/>
      <c r="S715" s="20"/>
      <c r="T715" s="17"/>
      <c r="U715" s="23"/>
    </row>
    <row r="716" spans="1:21" x14ac:dyDescent="0.25">
      <c r="A716" s="24">
        <v>8000</v>
      </c>
      <c r="B716" s="24">
        <v>3</v>
      </c>
      <c r="C716" s="17">
        <v>0.5</v>
      </c>
      <c r="D716" s="24">
        <v>943</v>
      </c>
      <c r="E716" s="24">
        <v>6</v>
      </c>
      <c r="F716" s="25">
        <v>54</v>
      </c>
      <c r="G716" s="1">
        <v>6025</v>
      </c>
      <c r="H716" s="2">
        <v>95</v>
      </c>
      <c r="I716" s="2">
        <v>-16.899999999999999</v>
      </c>
      <c r="J716" s="2">
        <v>-20.3</v>
      </c>
      <c r="K716" s="2">
        <f t="shared" si="93"/>
        <v>-16.899999999999999</v>
      </c>
      <c r="L716" s="8">
        <f t="shared" si="97"/>
        <v>6.4565422903465118E-12</v>
      </c>
      <c r="M716" s="26">
        <f>SUM(L716:L721)</f>
        <v>1.3651207654556406E-10</v>
      </c>
      <c r="N716" s="17">
        <f>10*LOG10(M716/E716)</f>
        <v>-106.42980177431028</v>
      </c>
      <c r="O716" s="9">
        <f t="shared" si="95"/>
        <v>-20.3</v>
      </c>
      <c r="P716" s="8">
        <f>D716/B716*10^(O716/10)</f>
        <v>2.9335293521718722</v>
      </c>
      <c r="Q716" s="26">
        <f>SUM(P716:P721)</f>
        <v>17.592966601209358</v>
      </c>
      <c r="R716" s="17">
        <f>10*LOG10(Q716)</f>
        <v>12.453390782239865</v>
      </c>
      <c r="S716" s="18">
        <f>F716+N716-Kzt-H</f>
        <v>-52.429801774310278</v>
      </c>
      <c r="T716" s="17">
        <v>0.7</v>
      </c>
      <c r="U716" s="21">
        <f>T716*10^((S716-R716)/10)</f>
        <v>2.2739388644086409E-7</v>
      </c>
    </row>
    <row r="717" spans="1:21" x14ac:dyDescent="0.25">
      <c r="A717" s="24"/>
      <c r="B717" s="24"/>
      <c r="C717" s="17"/>
      <c r="D717" s="24"/>
      <c r="E717" s="24"/>
      <c r="F717" s="25"/>
      <c r="G717" s="1">
        <v>7025</v>
      </c>
      <c r="H717" s="2">
        <v>94.8</v>
      </c>
      <c r="I717" s="2">
        <v>-17</v>
      </c>
      <c r="J717" s="2">
        <v>-19.600000000000001</v>
      </c>
      <c r="K717" s="2">
        <f t="shared" si="93"/>
        <v>-17</v>
      </c>
      <c r="L717" s="8">
        <f t="shared" si="97"/>
        <v>6.6069344800759387E-12</v>
      </c>
      <c r="M717" s="26"/>
      <c r="N717" s="17"/>
      <c r="O717" s="9">
        <f t="shared" si="95"/>
        <v>-19.600000000000001</v>
      </c>
      <c r="P717" s="8">
        <f>D716/B716*10^(O717/10)</f>
        <v>3.4465964632100756</v>
      </c>
      <c r="Q717" s="26"/>
      <c r="R717" s="17"/>
      <c r="S717" s="19"/>
      <c r="T717" s="17"/>
      <c r="U717" s="22"/>
    </row>
    <row r="718" spans="1:21" x14ac:dyDescent="0.25">
      <c r="A718" s="24"/>
      <c r="B718" s="24"/>
      <c r="C718" s="17"/>
      <c r="D718" s="24"/>
      <c r="E718" s="24"/>
      <c r="F718" s="25"/>
      <c r="G718" s="1">
        <v>8025</v>
      </c>
      <c r="H718" s="2">
        <v>101.9</v>
      </c>
      <c r="I718" s="2">
        <v>-15.7</v>
      </c>
      <c r="J718" s="2">
        <v>-17.399999999999999</v>
      </c>
      <c r="K718" s="2">
        <f t="shared" si="93"/>
        <v>-15.7</v>
      </c>
      <c r="L718" s="8">
        <f t="shared" si="97"/>
        <v>1.7378008287493668E-12</v>
      </c>
      <c r="M718" s="26"/>
      <c r="N718" s="17"/>
      <c r="O718" s="9">
        <f t="shared" si="95"/>
        <v>-17.399999999999999</v>
      </c>
      <c r="P718" s="8">
        <f>D716/B716*10^(O718/10)</f>
        <v>5.7199263655640458</v>
      </c>
      <c r="Q718" s="26"/>
      <c r="R718" s="17"/>
      <c r="S718" s="19"/>
      <c r="T718" s="17"/>
      <c r="U718" s="22"/>
    </row>
    <row r="719" spans="1:21" x14ac:dyDescent="0.25">
      <c r="A719" s="24"/>
      <c r="B719" s="24"/>
      <c r="C719" s="17"/>
      <c r="D719" s="24"/>
      <c r="E719" s="24"/>
      <c r="F719" s="25"/>
      <c r="G719" s="1">
        <v>9025</v>
      </c>
      <c r="H719" s="2">
        <v>93.2</v>
      </c>
      <c r="I719" s="2">
        <v>-13.9</v>
      </c>
      <c r="J719" s="2">
        <v>-24.3</v>
      </c>
      <c r="K719" s="2">
        <f t="shared" si="93"/>
        <v>-13.9</v>
      </c>
      <c r="L719" s="8">
        <f t="shared" si="97"/>
        <v>1.9498445997580369E-11</v>
      </c>
      <c r="M719" s="26"/>
      <c r="N719" s="17"/>
      <c r="O719" s="9">
        <f t="shared" si="95"/>
        <v>-24.3</v>
      </c>
      <c r="P719" s="8">
        <f>D716/B716*10^(O719/10)</f>
        <v>1.1678590701287779</v>
      </c>
      <c r="Q719" s="26"/>
      <c r="R719" s="17"/>
      <c r="S719" s="19"/>
      <c r="T719" s="17"/>
      <c r="U719" s="22"/>
    </row>
    <row r="720" spans="1:21" x14ac:dyDescent="0.25">
      <c r="A720" s="24"/>
      <c r="B720" s="24"/>
      <c r="C720" s="17"/>
      <c r="D720" s="24"/>
      <c r="E720" s="24"/>
      <c r="F720" s="25"/>
      <c r="G720" s="1">
        <v>10025</v>
      </c>
      <c r="H720" s="2">
        <v>88.3</v>
      </c>
      <c r="I720" s="2">
        <v>-15.2</v>
      </c>
      <c r="J720" s="2">
        <v>-22.8</v>
      </c>
      <c r="K720" s="2">
        <f t="shared" si="93"/>
        <v>-15.2</v>
      </c>
      <c r="L720" s="8">
        <f t="shared" si="97"/>
        <v>4.4668359215096281E-11</v>
      </c>
      <c r="M720" s="26"/>
      <c r="N720" s="17"/>
      <c r="O720" s="9">
        <f t="shared" si="95"/>
        <v>-22.8</v>
      </c>
      <c r="P720" s="8">
        <f>D716/B716*10^(O720/10)</f>
        <v>1.649644783385116</v>
      </c>
      <c r="Q720" s="26"/>
      <c r="R720" s="17"/>
      <c r="S720" s="19"/>
      <c r="T720" s="17"/>
      <c r="U720" s="22"/>
    </row>
    <row r="721" spans="1:21" x14ac:dyDescent="0.25">
      <c r="A721" s="24"/>
      <c r="B721" s="24"/>
      <c r="C721" s="17"/>
      <c r="D721" s="24"/>
      <c r="E721" s="24"/>
      <c r="F721" s="25"/>
      <c r="G721" s="1">
        <v>11025</v>
      </c>
      <c r="H721" s="2">
        <v>86</v>
      </c>
      <c r="I721" s="2">
        <v>-16.399999999999999</v>
      </c>
      <c r="J721" s="2">
        <v>-20.7</v>
      </c>
      <c r="K721" s="2">
        <f t="shared" si="93"/>
        <v>-16.399999999999999</v>
      </c>
      <c r="L721" s="8">
        <f t="shared" si="97"/>
        <v>5.7543993733715601E-11</v>
      </c>
      <c r="M721" s="26"/>
      <c r="N721" s="17"/>
      <c r="O721" s="9">
        <f t="shared" si="95"/>
        <v>-20.7</v>
      </c>
      <c r="P721" s="8">
        <f>D716/B716*10^(O721/10)</f>
        <v>2.6754105667494708</v>
      </c>
      <c r="Q721" s="26"/>
      <c r="R721" s="17"/>
      <c r="S721" s="20"/>
      <c r="T721" s="17"/>
      <c r="U721" s="23"/>
    </row>
    <row r="722" spans="1:21" x14ac:dyDescent="0.25">
      <c r="A722" s="24" t="s">
        <v>20</v>
      </c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12">
        <f>U722</f>
        <v>7.8305993301438781E-2</v>
      </c>
      <c r="T722" s="2"/>
      <c r="U722" s="8">
        <f>0.8*SQRT(SUM(U688:U721))</f>
        <v>7.8305993301438781E-2</v>
      </c>
    </row>
  </sheetData>
  <mergeCells count="1600">
    <mergeCell ref="R4:R7"/>
    <mergeCell ref="S4:S7"/>
    <mergeCell ref="T4:T7"/>
    <mergeCell ref="U4:U7"/>
    <mergeCell ref="A8:A13"/>
    <mergeCell ref="B8:B13"/>
    <mergeCell ref="C8:C13"/>
    <mergeCell ref="D8:D13"/>
    <mergeCell ref="E8:E13"/>
    <mergeCell ref="F8:F13"/>
    <mergeCell ref="A3:U3"/>
    <mergeCell ref="A4:A7"/>
    <mergeCell ref="B4:B7"/>
    <mergeCell ref="C4:C7"/>
    <mergeCell ref="D4:D7"/>
    <mergeCell ref="E4:E7"/>
    <mergeCell ref="F4:F7"/>
    <mergeCell ref="M4:M7"/>
    <mergeCell ref="N4:N7"/>
    <mergeCell ref="Q4:Q7"/>
    <mergeCell ref="R14:R19"/>
    <mergeCell ref="S14:S19"/>
    <mergeCell ref="T14:T19"/>
    <mergeCell ref="U14:U19"/>
    <mergeCell ref="A20:A25"/>
    <mergeCell ref="B20:B25"/>
    <mergeCell ref="C20:C25"/>
    <mergeCell ref="D20:D25"/>
    <mergeCell ref="E20:E25"/>
    <mergeCell ref="F20:F25"/>
    <mergeCell ref="U8:U13"/>
    <mergeCell ref="A14:A19"/>
    <mergeCell ref="B14:B19"/>
    <mergeCell ref="C14:C19"/>
    <mergeCell ref="D14:D19"/>
    <mergeCell ref="E14:E19"/>
    <mergeCell ref="F14:F19"/>
    <mergeCell ref="M14:M19"/>
    <mergeCell ref="N14:N19"/>
    <mergeCell ref="Q14:Q19"/>
    <mergeCell ref="M8:M13"/>
    <mergeCell ref="N8:N13"/>
    <mergeCell ref="Q8:Q13"/>
    <mergeCell ref="R8:R13"/>
    <mergeCell ref="S8:S13"/>
    <mergeCell ref="T8:T13"/>
    <mergeCell ref="R26:R31"/>
    <mergeCell ref="S26:S31"/>
    <mergeCell ref="T26:T31"/>
    <mergeCell ref="U26:U31"/>
    <mergeCell ref="A32:A37"/>
    <mergeCell ref="B32:B37"/>
    <mergeCell ref="C32:C37"/>
    <mergeCell ref="D32:D37"/>
    <mergeCell ref="E32:E37"/>
    <mergeCell ref="F32:F37"/>
    <mergeCell ref="U20:U25"/>
    <mergeCell ref="A26:A31"/>
    <mergeCell ref="B26:B31"/>
    <mergeCell ref="C26:C31"/>
    <mergeCell ref="D26:D31"/>
    <mergeCell ref="E26:E31"/>
    <mergeCell ref="F26:F31"/>
    <mergeCell ref="M26:M31"/>
    <mergeCell ref="N26:N31"/>
    <mergeCell ref="Q26:Q31"/>
    <mergeCell ref="M20:M25"/>
    <mergeCell ref="N20:N25"/>
    <mergeCell ref="Q20:Q25"/>
    <mergeCell ref="R20:R25"/>
    <mergeCell ref="S20:S25"/>
    <mergeCell ref="T20:T25"/>
    <mergeCell ref="N40:N43"/>
    <mergeCell ref="Q40:Q43"/>
    <mergeCell ref="R40:R43"/>
    <mergeCell ref="S40:S43"/>
    <mergeCell ref="T40:T43"/>
    <mergeCell ref="U40:U43"/>
    <mergeCell ref="U32:U37"/>
    <mergeCell ref="A38:R38"/>
    <mergeCell ref="A39:U39"/>
    <mergeCell ref="A40:A43"/>
    <mergeCell ref="B40:B43"/>
    <mergeCell ref="C40:C43"/>
    <mergeCell ref="D40:D43"/>
    <mergeCell ref="E40:E43"/>
    <mergeCell ref="F40:F43"/>
    <mergeCell ref="M40:M43"/>
    <mergeCell ref="M32:M37"/>
    <mergeCell ref="N32:N37"/>
    <mergeCell ref="Q32:Q37"/>
    <mergeCell ref="R32:R37"/>
    <mergeCell ref="S32:S37"/>
    <mergeCell ref="T32:T37"/>
    <mergeCell ref="R50:R55"/>
    <mergeCell ref="S50:S55"/>
    <mergeCell ref="T50:T55"/>
    <mergeCell ref="U50:U55"/>
    <mergeCell ref="A56:A61"/>
    <mergeCell ref="B56:B61"/>
    <mergeCell ref="C56:C61"/>
    <mergeCell ref="D56:D61"/>
    <mergeCell ref="E56:E61"/>
    <mergeCell ref="F56:F61"/>
    <mergeCell ref="U44:U49"/>
    <mergeCell ref="A50:A55"/>
    <mergeCell ref="B50:B55"/>
    <mergeCell ref="C50:C55"/>
    <mergeCell ref="D50:D55"/>
    <mergeCell ref="E50:E55"/>
    <mergeCell ref="F50:F55"/>
    <mergeCell ref="M50:M55"/>
    <mergeCell ref="N50:N55"/>
    <mergeCell ref="Q50:Q55"/>
    <mergeCell ref="M44:M49"/>
    <mergeCell ref="N44:N49"/>
    <mergeCell ref="Q44:Q49"/>
    <mergeCell ref="R44:R49"/>
    <mergeCell ref="S44:S49"/>
    <mergeCell ref="T44:T49"/>
    <mergeCell ref="A44:A49"/>
    <mergeCell ref="B44:B49"/>
    <mergeCell ref="C44:C49"/>
    <mergeCell ref="D44:D49"/>
    <mergeCell ref="E44:E49"/>
    <mergeCell ref="F44:F49"/>
    <mergeCell ref="R62:R67"/>
    <mergeCell ref="S62:S67"/>
    <mergeCell ref="T62:T67"/>
    <mergeCell ref="U62:U67"/>
    <mergeCell ref="A68:A73"/>
    <mergeCell ref="B68:B73"/>
    <mergeCell ref="C68:C73"/>
    <mergeCell ref="D68:D73"/>
    <mergeCell ref="E68:E73"/>
    <mergeCell ref="F68:F73"/>
    <mergeCell ref="U56:U61"/>
    <mergeCell ref="A62:A67"/>
    <mergeCell ref="B62:B67"/>
    <mergeCell ref="C62:C67"/>
    <mergeCell ref="D62:D67"/>
    <mergeCell ref="E62:E67"/>
    <mergeCell ref="F62:F67"/>
    <mergeCell ref="M62:M67"/>
    <mergeCell ref="N62:N67"/>
    <mergeCell ref="Q62:Q67"/>
    <mergeCell ref="M56:M61"/>
    <mergeCell ref="N56:N61"/>
    <mergeCell ref="Q56:Q61"/>
    <mergeCell ref="R56:R61"/>
    <mergeCell ref="S56:S61"/>
    <mergeCell ref="T56:T61"/>
    <mergeCell ref="N76:N79"/>
    <mergeCell ref="Q76:Q79"/>
    <mergeCell ref="R76:R79"/>
    <mergeCell ref="S76:S79"/>
    <mergeCell ref="T76:T79"/>
    <mergeCell ref="U76:U79"/>
    <mergeCell ref="U68:U73"/>
    <mergeCell ref="A74:R74"/>
    <mergeCell ref="A75:U75"/>
    <mergeCell ref="A76:A79"/>
    <mergeCell ref="B76:B79"/>
    <mergeCell ref="C76:C79"/>
    <mergeCell ref="D76:D79"/>
    <mergeCell ref="E76:E79"/>
    <mergeCell ref="F76:F79"/>
    <mergeCell ref="M76:M79"/>
    <mergeCell ref="M68:M73"/>
    <mergeCell ref="N68:N73"/>
    <mergeCell ref="Q68:Q73"/>
    <mergeCell ref="R68:R73"/>
    <mergeCell ref="S68:S73"/>
    <mergeCell ref="T68:T73"/>
    <mergeCell ref="R86:R91"/>
    <mergeCell ref="S86:S91"/>
    <mergeCell ref="T86:T91"/>
    <mergeCell ref="U86:U91"/>
    <mergeCell ref="A92:A97"/>
    <mergeCell ref="B92:B97"/>
    <mergeCell ref="C92:C97"/>
    <mergeCell ref="D92:D97"/>
    <mergeCell ref="E92:E97"/>
    <mergeCell ref="F92:F97"/>
    <mergeCell ref="U80:U85"/>
    <mergeCell ref="A86:A91"/>
    <mergeCell ref="B86:B91"/>
    <mergeCell ref="C86:C91"/>
    <mergeCell ref="D86:D91"/>
    <mergeCell ref="E86:E91"/>
    <mergeCell ref="F86:F91"/>
    <mergeCell ref="M86:M91"/>
    <mergeCell ref="N86:N91"/>
    <mergeCell ref="Q86:Q91"/>
    <mergeCell ref="M80:M85"/>
    <mergeCell ref="N80:N85"/>
    <mergeCell ref="Q80:Q85"/>
    <mergeCell ref="R80:R85"/>
    <mergeCell ref="S80:S85"/>
    <mergeCell ref="T80:T85"/>
    <mergeCell ref="A80:A85"/>
    <mergeCell ref="B80:B85"/>
    <mergeCell ref="C80:C85"/>
    <mergeCell ref="D80:D85"/>
    <mergeCell ref="E80:E85"/>
    <mergeCell ref="F80:F85"/>
    <mergeCell ref="R98:R103"/>
    <mergeCell ref="S98:S103"/>
    <mergeCell ref="T98:T103"/>
    <mergeCell ref="U98:U103"/>
    <mergeCell ref="A104:A109"/>
    <mergeCell ref="B104:B109"/>
    <mergeCell ref="C104:C109"/>
    <mergeCell ref="D104:D109"/>
    <mergeCell ref="E104:E109"/>
    <mergeCell ref="F104:F109"/>
    <mergeCell ref="U92:U97"/>
    <mergeCell ref="A98:A103"/>
    <mergeCell ref="B98:B103"/>
    <mergeCell ref="C98:C103"/>
    <mergeCell ref="D98:D103"/>
    <mergeCell ref="E98:E103"/>
    <mergeCell ref="F98:F103"/>
    <mergeCell ref="M98:M103"/>
    <mergeCell ref="N98:N103"/>
    <mergeCell ref="Q98:Q103"/>
    <mergeCell ref="M92:M97"/>
    <mergeCell ref="N92:N97"/>
    <mergeCell ref="Q92:Q97"/>
    <mergeCell ref="R92:R97"/>
    <mergeCell ref="S92:S97"/>
    <mergeCell ref="T92:T97"/>
    <mergeCell ref="N112:N115"/>
    <mergeCell ref="Q112:Q115"/>
    <mergeCell ref="R112:R115"/>
    <mergeCell ref="S112:S115"/>
    <mergeCell ref="T112:T115"/>
    <mergeCell ref="U112:U115"/>
    <mergeCell ref="U104:U109"/>
    <mergeCell ref="A110:R110"/>
    <mergeCell ref="A111:U111"/>
    <mergeCell ref="A112:A115"/>
    <mergeCell ref="B112:B115"/>
    <mergeCell ref="C112:C115"/>
    <mergeCell ref="D112:D115"/>
    <mergeCell ref="E112:E115"/>
    <mergeCell ref="F112:F115"/>
    <mergeCell ref="M112:M115"/>
    <mergeCell ref="M104:M109"/>
    <mergeCell ref="N104:N109"/>
    <mergeCell ref="Q104:Q109"/>
    <mergeCell ref="R104:R109"/>
    <mergeCell ref="S104:S109"/>
    <mergeCell ref="T104:T109"/>
    <mergeCell ref="R122:R127"/>
    <mergeCell ref="S122:S127"/>
    <mergeCell ref="T122:T127"/>
    <mergeCell ref="U122:U127"/>
    <mergeCell ref="A128:A133"/>
    <mergeCell ref="B128:B133"/>
    <mergeCell ref="C128:C133"/>
    <mergeCell ref="D128:D133"/>
    <mergeCell ref="E128:E133"/>
    <mergeCell ref="F128:F133"/>
    <mergeCell ref="U116:U121"/>
    <mergeCell ref="A122:A127"/>
    <mergeCell ref="B122:B127"/>
    <mergeCell ref="C122:C127"/>
    <mergeCell ref="D122:D127"/>
    <mergeCell ref="E122:E127"/>
    <mergeCell ref="F122:F127"/>
    <mergeCell ref="M122:M127"/>
    <mergeCell ref="N122:N127"/>
    <mergeCell ref="Q122:Q127"/>
    <mergeCell ref="M116:M121"/>
    <mergeCell ref="N116:N121"/>
    <mergeCell ref="Q116:Q121"/>
    <mergeCell ref="R116:R121"/>
    <mergeCell ref="S116:S121"/>
    <mergeCell ref="T116:T121"/>
    <mergeCell ref="A116:A121"/>
    <mergeCell ref="B116:B121"/>
    <mergeCell ref="C116:C121"/>
    <mergeCell ref="D116:D121"/>
    <mergeCell ref="E116:E121"/>
    <mergeCell ref="F116:F121"/>
    <mergeCell ref="R134:R139"/>
    <mergeCell ref="S134:S139"/>
    <mergeCell ref="T134:T139"/>
    <mergeCell ref="U134:U139"/>
    <mergeCell ref="A140:A145"/>
    <mergeCell ref="B140:B145"/>
    <mergeCell ref="C140:C145"/>
    <mergeCell ref="D140:D145"/>
    <mergeCell ref="E140:E145"/>
    <mergeCell ref="F140:F145"/>
    <mergeCell ref="U128:U133"/>
    <mergeCell ref="A134:A139"/>
    <mergeCell ref="B134:B139"/>
    <mergeCell ref="C134:C139"/>
    <mergeCell ref="D134:D139"/>
    <mergeCell ref="E134:E139"/>
    <mergeCell ref="F134:F139"/>
    <mergeCell ref="M134:M139"/>
    <mergeCell ref="N134:N139"/>
    <mergeCell ref="Q134:Q139"/>
    <mergeCell ref="M128:M133"/>
    <mergeCell ref="N128:N133"/>
    <mergeCell ref="Q128:Q133"/>
    <mergeCell ref="R128:R133"/>
    <mergeCell ref="S128:S133"/>
    <mergeCell ref="T128:T133"/>
    <mergeCell ref="N148:N151"/>
    <mergeCell ref="Q148:Q151"/>
    <mergeCell ref="R148:R151"/>
    <mergeCell ref="S148:S151"/>
    <mergeCell ref="T148:T151"/>
    <mergeCell ref="U148:U151"/>
    <mergeCell ref="U140:U145"/>
    <mergeCell ref="A146:R146"/>
    <mergeCell ref="A147:U147"/>
    <mergeCell ref="A148:A151"/>
    <mergeCell ref="B148:B151"/>
    <mergeCell ref="C148:C151"/>
    <mergeCell ref="D148:D151"/>
    <mergeCell ref="E148:E151"/>
    <mergeCell ref="F148:F151"/>
    <mergeCell ref="M148:M151"/>
    <mergeCell ref="M140:M145"/>
    <mergeCell ref="N140:N145"/>
    <mergeCell ref="Q140:Q145"/>
    <mergeCell ref="R140:R145"/>
    <mergeCell ref="S140:S145"/>
    <mergeCell ref="T140:T145"/>
    <mergeCell ref="R158:R163"/>
    <mergeCell ref="S158:S163"/>
    <mergeCell ref="T158:T163"/>
    <mergeCell ref="U158:U163"/>
    <mergeCell ref="A164:A169"/>
    <mergeCell ref="B164:B169"/>
    <mergeCell ref="C164:C169"/>
    <mergeCell ref="D164:D169"/>
    <mergeCell ref="E164:E169"/>
    <mergeCell ref="F164:F169"/>
    <mergeCell ref="U152:U157"/>
    <mergeCell ref="A158:A163"/>
    <mergeCell ref="B158:B163"/>
    <mergeCell ref="C158:C163"/>
    <mergeCell ref="D158:D163"/>
    <mergeCell ref="E158:E163"/>
    <mergeCell ref="F158:F163"/>
    <mergeCell ref="M158:M163"/>
    <mergeCell ref="N158:N163"/>
    <mergeCell ref="Q158:Q163"/>
    <mergeCell ref="M152:M157"/>
    <mergeCell ref="N152:N157"/>
    <mergeCell ref="Q152:Q157"/>
    <mergeCell ref="R152:R157"/>
    <mergeCell ref="S152:S157"/>
    <mergeCell ref="T152:T157"/>
    <mergeCell ref="A152:A157"/>
    <mergeCell ref="B152:B157"/>
    <mergeCell ref="C152:C157"/>
    <mergeCell ref="D152:D157"/>
    <mergeCell ref="E152:E157"/>
    <mergeCell ref="F152:F157"/>
    <mergeCell ref="R170:R175"/>
    <mergeCell ref="S170:S175"/>
    <mergeCell ref="T170:T175"/>
    <mergeCell ref="U170:U175"/>
    <mergeCell ref="A176:A181"/>
    <mergeCell ref="B176:B181"/>
    <mergeCell ref="C176:C181"/>
    <mergeCell ref="D176:D181"/>
    <mergeCell ref="E176:E181"/>
    <mergeCell ref="F176:F181"/>
    <mergeCell ref="U164:U169"/>
    <mergeCell ref="A170:A175"/>
    <mergeCell ref="B170:B175"/>
    <mergeCell ref="C170:C175"/>
    <mergeCell ref="D170:D175"/>
    <mergeCell ref="E170:E175"/>
    <mergeCell ref="F170:F175"/>
    <mergeCell ref="M170:M175"/>
    <mergeCell ref="N170:N175"/>
    <mergeCell ref="Q170:Q175"/>
    <mergeCell ref="M164:M169"/>
    <mergeCell ref="N164:N169"/>
    <mergeCell ref="Q164:Q169"/>
    <mergeCell ref="R164:R169"/>
    <mergeCell ref="S164:S169"/>
    <mergeCell ref="T164:T169"/>
    <mergeCell ref="N184:N187"/>
    <mergeCell ref="Q184:Q187"/>
    <mergeCell ref="R184:R187"/>
    <mergeCell ref="S184:S187"/>
    <mergeCell ref="T184:T187"/>
    <mergeCell ref="U184:U187"/>
    <mergeCell ref="U176:U181"/>
    <mergeCell ref="A182:R182"/>
    <mergeCell ref="A183:U183"/>
    <mergeCell ref="A184:A187"/>
    <mergeCell ref="B184:B187"/>
    <mergeCell ref="C184:C187"/>
    <mergeCell ref="D184:D187"/>
    <mergeCell ref="E184:E187"/>
    <mergeCell ref="F184:F187"/>
    <mergeCell ref="M184:M187"/>
    <mergeCell ref="M176:M181"/>
    <mergeCell ref="N176:N181"/>
    <mergeCell ref="Q176:Q181"/>
    <mergeCell ref="R176:R181"/>
    <mergeCell ref="S176:S181"/>
    <mergeCell ref="T176:T181"/>
    <mergeCell ref="R194:R199"/>
    <mergeCell ref="S194:S199"/>
    <mergeCell ref="T194:T199"/>
    <mergeCell ref="U194:U199"/>
    <mergeCell ref="A200:A205"/>
    <mergeCell ref="B200:B205"/>
    <mergeCell ref="C200:C205"/>
    <mergeCell ref="D200:D205"/>
    <mergeCell ref="E200:E205"/>
    <mergeCell ref="F200:F205"/>
    <mergeCell ref="U188:U193"/>
    <mergeCell ref="A194:A199"/>
    <mergeCell ref="B194:B199"/>
    <mergeCell ref="C194:C199"/>
    <mergeCell ref="D194:D199"/>
    <mergeCell ref="E194:E199"/>
    <mergeCell ref="F194:F199"/>
    <mergeCell ref="M194:M199"/>
    <mergeCell ref="N194:N199"/>
    <mergeCell ref="Q194:Q199"/>
    <mergeCell ref="M188:M193"/>
    <mergeCell ref="N188:N193"/>
    <mergeCell ref="Q188:Q193"/>
    <mergeCell ref="R188:R193"/>
    <mergeCell ref="S188:S193"/>
    <mergeCell ref="T188:T193"/>
    <mergeCell ref="A188:A193"/>
    <mergeCell ref="B188:B193"/>
    <mergeCell ref="C188:C193"/>
    <mergeCell ref="D188:D193"/>
    <mergeCell ref="E188:E193"/>
    <mergeCell ref="F188:F193"/>
    <mergeCell ref="R206:R211"/>
    <mergeCell ref="S206:S211"/>
    <mergeCell ref="T206:T211"/>
    <mergeCell ref="U206:U211"/>
    <mergeCell ref="A212:A217"/>
    <mergeCell ref="B212:B217"/>
    <mergeCell ref="C212:C217"/>
    <mergeCell ref="D212:D217"/>
    <mergeCell ref="E212:E217"/>
    <mergeCell ref="F212:F217"/>
    <mergeCell ref="U200:U205"/>
    <mergeCell ref="A206:A211"/>
    <mergeCell ref="B206:B211"/>
    <mergeCell ref="C206:C211"/>
    <mergeCell ref="D206:D211"/>
    <mergeCell ref="E206:E211"/>
    <mergeCell ref="F206:F211"/>
    <mergeCell ref="M206:M211"/>
    <mergeCell ref="N206:N211"/>
    <mergeCell ref="Q206:Q211"/>
    <mergeCell ref="M200:M205"/>
    <mergeCell ref="N200:N205"/>
    <mergeCell ref="Q200:Q205"/>
    <mergeCell ref="R200:R205"/>
    <mergeCell ref="S200:S205"/>
    <mergeCell ref="T200:T205"/>
    <mergeCell ref="N220:N223"/>
    <mergeCell ref="Q220:Q223"/>
    <mergeCell ref="R220:R223"/>
    <mergeCell ref="S220:S223"/>
    <mergeCell ref="T220:T223"/>
    <mergeCell ref="U220:U223"/>
    <mergeCell ref="U212:U217"/>
    <mergeCell ref="A218:R218"/>
    <mergeCell ref="A219:U219"/>
    <mergeCell ref="A220:A223"/>
    <mergeCell ref="B220:B223"/>
    <mergeCell ref="C220:C223"/>
    <mergeCell ref="D220:D223"/>
    <mergeCell ref="E220:E223"/>
    <mergeCell ref="F220:F223"/>
    <mergeCell ref="M220:M223"/>
    <mergeCell ref="M212:M217"/>
    <mergeCell ref="N212:N217"/>
    <mergeCell ref="Q212:Q217"/>
    <mergeCell ref="R212:R217"/>
    <mergeCell ref="S212:S217"/>
    <mergeCell ref="T212:T217"/>
    <mergeCell ref="R230:R235"/>
    <mergeCell ref="S230:S235"/>
    <mergeCell ref="T230:T235"/>
    <mergeCell ref="U230:U235"/>
    <mergeCell ref="A236:A241"/>
    <mergeCell ref="B236:B241"/>
    <mergeCell ref="C236:C241"/>
    <mergeCell ref="D236:D241"/>
    <mergeCell ref="E236:E241"/>
    <mergeCell ref="F236:F241"/>
    <mergeCell ref="U224:U229"/>
    <mergeCell ref="A230:A235"/>
    <mergeCell ref="B230:B235"/>
    <mergeCell ref="C230:C235"/>
    <mergeCell ref="D230:D235"/>
    <mergeCell ref="E230:E235"/>
    <mergeCell ref="F230:F235"/>
    <mergeCell ref="M230:M235"/>
    <mergeCell ref="N230:N235"/>
    <mergeCell ref="Q230:Q235"/>
    <mergeCell ref="M224:M229"/>
    <mergeCell ref="N224:N229"/>
    <mergeCell ref="Q224:Q229"/>
    <mergeCell ref="R224:R229"/>
    <mergeCell ref="S224:S229"/>
    <mergeCell ref="T224:T229"/>
    <mergeCell ref="A224:A229"/>
    <mergeCell ref="B224:B229"/>
    <mergeCell ref="C224:C229"/>
    <mergeCell ref="D224:D229"/>
    <mergeCell ref="E224:E229"/>
    <mergeCell ref="F224:F229"/>
    <mergeCell ref="R242:R247"/>
    <mergeCell ref="S242:S247"/>
    <mergeCell ref="T242:T247"/>
    <mergeCell ref="U242:U247"/>
    <mergeCell ref="A248:A253"/>
    <mergeCell ref="B248:B253"/>
    <mergeCell ref="C248:C253"/>
    <mergeCell ref="D248:D253"/>
    <mergeCell ref="E248:E253"/>
    <mergeCell ref="F248:F253"/>
    <mergeCell ref="U236:U241"/>
    <mergeCell ref="A242:A247"/>
    <mergeCell ref="B242:B247"/>
    <mergeCell ref="C242:C247"/>
    <mergeCell ref="D242:D247"/>
    <mergeCell ref="E242:E247"/>
    <mergeCell ref="F242:F247"/>
    <mergeCell ref="M242:M247"/>
    <mergeCell ref="N242:N247"/>
    <mergeCell ref="Q242:Q247"/>
    <mergeCell ref="M236:M241"/>
    <mergeCell ref="N236:N241"/>
    <mergeCell ref="Q236:Q241"/>
    <mergeCell ref="R236:R241"/>
    <mergeCell ref="S236:S241"/>
    <mergeCell ref="T236:T241"/>
    <mergeCell ref="N256:N259"/>
    <mergeCell ref="Q256:Q259"/>
    <mergeCell ref="R256:R259"/>
    <mergeCell ref="S256:S259"/>
    <mergeCell ref="T256:T259"/>
    <mergeCell ref="U256:U259"/>
    <mergeCell ref="U248:U253"/>
    <mergeCell ref="A254:R254"/>
    <mergeCell ref="A255:U255"/>
    <mergeCell ref="A256:A259"/>
    <mergeCell ref="B256:B259"/>
    <mergeCell ref="C256:C259"/>
    <mergeCell ref="D256:D259"/>
    <mergeCell ref="E256:E259"/>
    <mergeCell ref="F256:F259"/>
    <mergeCell ref="M256:M259"/>
    <mergeCell ref="M248:M253"/>
    <mergeCell ref="N248:N253"/>
    <mergeCell ref="Q248:Q253"/>
    <mergeCell ref="R248:R253"/>
    <mergeCell ref="S248:S253"/>
    <mergeCell ref="T248:T253"/>
    <mergeCell ref="R266:R271"/>
    <mergeCell ref="S266:S271"/>
    <mergeCell ref="T266:T271"/>
    <mergeCell ref="U266:U271"/>
    <mergeCell ref="A272:A277"/>
    <mergeCell ref="B272:B277"/>
    <mergeCell ref="C272:C277"/>
    <mergeCell ref="D272:D277"/>
    <mergeCell ref="E272:E277"/>
    <mergeCell ref="F272:F277"/>
    <mergeCell ref="U260:U265"/>
    <mergeCell ref="A266:A271"/>
    <mergeCell ref="B266:B271"/>
    <mergeCell ref="C266:C271"/>
    <mergeCell ref="D266:D271"/>
    <mergeCell ref="E266:E271"/>
    <mergeCell ref="F266:F271"/>
    <mergeCell ref="M266:M271"/>
    <mergeCell ref="N266:N271"/>
    <mergeCell ref="Q266:Q271"/>
    <mergeCell ref="M260:M265"/>
    <mergeCell ref="N260:N265"/>
    <mergeCell ref="Q260:Q265"/>
    <mergeCell ref="R260:R265"/>
    <mergeCell ref="S260:S265"/>
    <mergeCell ref="T260:T265"/>
    <mergeCell ref="A260:A265"/>
    <mergeCell ref="B260:B265"/>
    <mergeCell ref="C260:C265"/>
    <mergeCell ref="D260:D265"/>
    <mergeCell ref="E260:E265"/>
    <mergeCell ref="F260:F265"/>
    <mergeCell ref="R278:R283"/>
    <mergeCell ref="S278:S283"/>
    <mergeCell ref="T278:T283"/>
    <mergeCell ref="U278:U283"/>
    <mergeCell ref="A284:A289"/>
    <mergeCell ref="B284:B289"/>
    <mergeCell ref="C284:C289"/>
    <mergeCell ref="D284:D289"/>
    <mergeCell ref="E284:E289"/>
    <mergeCell ref="F284:F289"/>
    <mergeCell ref="U272:U277"/>
    <mergeCell ref="A278:A283"/>
    <mergeCell ref="B278:B283"/>
    <mergeCell ref="C278:C283"/>
    <mergeCell ref="D278:D283"/>
    <mergeCell ref="E278:E283"/>
    <mergeCell ref="F278:F283"/>
    <mergeCell ref="M278:M283"/>
    <mergeCell ref="N278:N283"/>
    <mergeCell ref="Q278:Q283"/>
    <mergeCell ref="M272:M277"/>
    <mergeCell ref="N272:N277"/>
    <mergeCell ref="Q272:Q277"/>
    <mergeCell ref="R272:R277"/>
    <mergeCell ref="S272:S277"/>
    <mergeCell ref="T272:T277"/>
    <mergeCell ref="N292:N295"/>
    <mergeCell ref="Q292:Q295"/>
    <mergeCell ref="R292:R295"/>
    <mergeCell ref="S292:S295"/>
    <mergeCell ref="T292:T295"/>
    <mergeCell ref="U292:U295"/>
    <mergeCell ref="U284:U289"/>
    <mergeCell ref="A290:R290"/>
    <mergeCell ref="A291:U291"/>
    <mergeCell ref="A292:A295"/>
    <mergeCell ref="B292:B295"/>
    <mergeCell ref="C292:C295"/>
    <mergeCell ref="D292:D295"/>
    <mergeCell ref="E292:E295"/>
    <mergeCell ref="F292:F295"/>
    <mergeCell ref="M292:M295"/>
    <mergeCell ref="M284:M289"/>
    <mergeCell ref="N284:N289"/>
    <mergeCell ref="Q284:Q289"/>
    <mergeCell ref="R284:R289"/>
    <mergeCell ref="S284:S289"/>
    <mergeCell ref="T284:T289"/>
    <mergeCell ref="R302:R307"/>
    <mergeCell ref="S302:S307"/>
    <mergeCell ref="T302:T307"/>
    <mergeCell ref="U302:U307"/>
    <mergeCell ref="A308:A313"/>
    <mergeCell ref="B308:B313"/>
    <mergeCell ref="C308:C313"/>
    <mergeCell ref="D308:D313"/>
    <mergeCell ref="E308:E313"/>
    <mergeCell ref="F308:F313"/>
    <mergeCell ref="U296:U301"/>
    <mergeCell ref="A302:A307"/>
    <mergeCell ref="B302:B307"/>
    <mergeCell ref="C302:C307"/>
    <mergeCell ref="D302:D307"/>
    <mergeCell ref="E302:E307"/>
    <mergeCell ref="F302:F307"/>
    <mergeCell ref="M302:M307"/>
    <mergeCell ref="N302:N307"/>
    <mergeCell ref="Q302:Q307"/>
    <mergeCell ref="M296:M301"/>
    <mergeCell ref="N296:N301"/>
    <mergeCell ref="Q296:Q301"/>
    <mergeCell ref="R296:R301"/>
    <mergeCell ref="S296:S301"/>
    <mergeCell ref="T296:T301"/>
    <mergeCell ref="A296:A301"/>
    <mergeCell ref="B296:B301"/>
    <mergeCell ref="C296:C301"/>
    <mergeCell ref="D296:D301"/>
    <mergeCell ref="E296:E301"/>
    <mergeCell ref="F296:F301"/>
    <mergeCell ref="R314:R319"/>
    <mergeCell ref="S314:S319"/>
    <mergeCell ref="T314:T319"/>
    <mergeCell ref="U314:U319"/>
    <mergeCell ref="A320:A325"/>
    <mergeCell ref="B320:B325"/>
    <mergeCell ref="C320:C325"/>
    <mergeCell ref="D320:D325"/>
    <mergeCell ref="E320:E325"/>
    <mergeCell ref="F320:F325"/>
    <mergeCell ref="U308:U313"/>
    <mergeCell ref="A314:A319"/>
    <mergeCell ref="B314:B319"/>
    <mergeCell ref="C314:C319"/>
    <mergeCell ref="D314:D319"/>
    <mergeCell ref="E314:E319"/>
    <mergeCell ref="F314:F319"/>
    <mergeCell ref="M314:M319"/>
    <mergeCell ref="N314:N319"/>
    <mergeCell ref="Q314:Q319"/>
    <mergeCell ref="M308:M313"/>
    <mergeCell ref="N308:N313"/>
    <mergeCell ref="Q308:Q313"/>
    <mergeCell ref="R308:R313"/>
    <mergeCell ref="S308:S313"/>
    <mergeCell ref="T308:T313"/>
    <mergeCell ref="N328:N331"/>
    <mergeCell ref="Q328:Q331"/>
    <mergeCell ref="R328:R331"/>
    <mergeCell ref="S328:S331"/>
    <mergeCell ref="T328:T331"/>
    <mergeCell ref="U328:U331"/>
    <mergeCell ref="U320:U325"/>
    <mergeCell ref="A326:R326"/>
    <mergeCell ref="A327:U327"/>
    <mergeCell ref="A328:A331"/>
    <mergeCell ref="B328:B331"/>
    <mergeCell ref="C328:C331"/>
    <mergeCell ref="D328:D331"/>
    <mergeCell ref="E328:E331"/>
    <mergeCell ref="F328:F331"/>
    <mergeCell ref="M328:M331"/>
    <mergeCell ref="M320:M325"/>
    <mergeCell ref="N320:N325"/>
    <mergeCell ref="Q320:Q325"/>
    <mergeCell ref="R320:R325"/>
    <mergeCell ref="S320:S325"/>
    <mergeCell ref="T320:T325"/>
    <mergeCell ref="R338:R343"/>
    <mergeCell ref="S338:S343"/>
    <mergeCell ref="T338:T343"/>
    <mergeCell ref="U338:U343"/>
    <mergeCell ref="A344:A349"/>
    <mergeCell ref="B344:B349"/>
    <mergeCell ref="C344:C349"/>
    <mergeCell ref="D344:D349"/>
    <mergeCell ref="E344:E349"/>
    <mergeCell ref="F344:F349"/>
    <mergeCell ref="U332:U337"/>
    <mergeCell ref="A338:A343"/>
    <mergeCell ref="B338:B343"/>
    <mergeCell ref="C338:C343"/>
    <mergeCell ref="D338:D343"/>
    <mergeCell ref="E338:E343"/>
    <mergeCell ref="F338:F343"/>
    <mergeCell ref="M338:M343"/>
    <mergeCell ref="N338:N343"/>
    <mergeCell ref="Q338:Q343"/>
    <mergeCell ref="M332:M337"/>
    <mergeCell ref="N332:N337"/>
    <mergeCell ref="Q332:Q337"/>
    <mergeCell ref="R332:R337"/>
    <mergeCell ref="S332:S337"/>
    <mergeCell ref="T332:T337"/>
    <mergeCell ref="A332:A337"/>
    <mergeCell ref="B332:B337"/>
    <mergeCell ref="C332:C337"/>
    <mergeCell ref="D332:D337"/>
    <mergeCell ref="E332:E337"/>
    <mergeCell ref="F332:F337"/>
    <mergeCell ref="R350:R355"/>
    <mergeCell ref="S350:S355"/>
    <mergeCell ref="T350:T355"/>
    <mergeCell ref="U350:U355"/>
    <mergeCell ref="A356:A361"/>
    <mergeCell ref="B356:B361"/>
    <mergeCell ref="C356:C361"/>
    <mergeCell ref="D356:D361"/>
    <mergeCell ref="E356:E361"/>
    <mergeCell ref="F356:F361"/>
    <mergeCell ref="U344:U349"/>
    <mergeCell ref="A350:A355"/>
    <mergeCell ref="B350:B355"/>
    <mergeCell ref="C350:C355"/>
    <mergeCell ref="D350:D355"/>
    <mergeCell ref="E350:E355"/>
    <mergeCell ref="F350:F355"/>
    <mergeCell ref="M350:M355"/>
    <mergeCell ref="N350:N355"/>
    <mergeCell ref="Q350:Q355"/>
    <mergeCell ref="M344:M349"/>
    <mergeCell ref="N344:N349"/>
    <mergeCell ref="Q344:Q349"/>
    <mergeCell ref="R344:R349"/>
    <mergeCell ref="S344:S349"/>
    <mergeCell ref="T344:T349"/>
    <mergeCell ref="N364:N367"/>
    <mergeCell ref="Q364:Q367"/>
    <mergeCell ref="R364:R367"/>
    <mergeCell ref="S364:S367"/>
    <mergeCell ref="T364:T367"/>
    <mergeCell ref="U364:U367"/>
    <mergeCell ref="U356:U361"/>
    <mergeCell ref="A362:R362"/>
    <mergeCell ref="A363:U363"/>
    <mergeCell ref="A364:A367"/>
    <mergeCell ref="B364:B367"/>
    <mergeCell ref="C364:C367"/>
    <mergeCell ref="D364:D367"/>
    <mergeCell ref="E364:E367"/>
    <mergeCell ref="F364:F367"/>
    <mergeCell ref="M364:M367"/>
    <mergeCell ref="M356:M361"/>
    <mergeCell ref="N356:N361"/>
    <mergeCell ref="Q356:Q361"/>
    <mergeCell ref="R356:R361"/>
    <mergeCell ref="S356:S361"/>
    <mergeCell ref="T356:T361"/>
    <mergeCell ref="R374:R379"/>
    <mergeCell ref="S374:S379"/>
    <mergeCell ref="T374:T379"/>
    <mergeCell ref="U374:U379"/>
    <mergeCell ref="A380:A385"/>
    <mergeCell ref="B380:B385"/>
    <mergeCell ref="C380:C385"/>
    <mergeCell ref="D380:D385"/>
    <mergeCell ref="E380:E385"/>
    <mergeCell ref="F380:F385"/>
    <mergeCell ref="U368:U373"/>
    <mergeCell ref="A374:A379"/>
    <mergeCell ref="B374:B379"/>
    <mergeCell ref="C374:C379"/>
    <mergeCell ref="D374:D379"/>
    <mergeCell ref="E374:E379"/>
    <mergeCell ref="F374:F379"/>
    <mergeCell ref="M374:M379"/>
    <mergeCell ref="N374:N379"/>
    <mergeCell ref="Q374:Q379"/>
    <mergeCell ref="M368:M373"/>
    <mergeCell ref="N368:N373"/>
    <mergeCell ref="Q368:Q373"/>
    <mergeCell ref="R368:R373"/>
    <mergeCell ref="S368:S373"/>
    <mergeCell ref="T368:T373"/>
    <mergeCell ref="A368:A373"/>
    <mergeCell ref="B368:B373"/>
    <mergeCell ref="C368:C373"/>
    <mergeCell ref="D368:D373"/>
    <mergeCell ref="E368:E373"/>
    <mergeCell ref="F368:F373"/>
    <mergeCell ref="R386:R391"/>
    <mergeCell ref="S386:S391"/>
    <mergeCell ref="T386:T391"/>
    <mergeCell ref="U386:U391"/>
    <mergeCell ref="A392:A397"/>
    <mergeCell ref="B392:B397"/>
    <mergeCell ref="C392:C397"/>
    <mergeCell ref="D392:D397"/>
    <mergeCell ref="E392:E397"/>
    <mergeCell ref="F392:F397"/>
    <mergeCell ref="U380:U385"/>
    <mergeCell ref="A386:A391"/>
    <mergeCell ref="B386:B391"/>
    <mergeCell ref="C386:C391"/>
    <mergeCell ref="D386:D391"/>
    <mergeCell ref="E386:E391"/>
    <mergeCell ref="F386:F391"/>
    <mergeCell ref="M386:M391"/>
    <mergeCell ref="N386:N391"/>
    <mergeCell ref="Q386:Q391"/>
    <mergeCell ref="M380:M385"/>
    <mergeCell ref="N380:N385"/>
    <mergeCell ref="Q380:Q385"/>
    <mergeCell ref="R380:R385"/>
    <mergeCell ref="S380:S385"/>
    <mergeCell ref="T380:T385"/>
    <mergeCell ref="N400:N403"/>
    <mergeCell ref="Q400:Q403"/>
    <mergeCell ref="R400:R403"/>
    <mergeCell ref="S400:S403"/>
    <mergeCell ref="T400:T403"/>
    <mergeCell ref="U400:U403"/>
    <mergeCell ref="U392:U397"/>
    <mergeCell ref="A398:R398"/>
    <mergeCell ref="A399:U399"/>
    <mergeCell ref="A400:A403"/>
    <mergeCell ref="B400:B403"/>
    <mergeCell ref="C400:C403"/>
    <mergeCell ref="D400:D403"/>
    <mergeCell ref="E400:E403"/>
    <mergeCell ref="F400:F403"/>
    <mergeCell ref="M400:M403"/>
    <mergeCell ref="M392:M397"/>
    <mergeCell ref="N392:N397"/>
    <mergeCell ref="Q392:Q397"/>
    <mergeCell ref="R392:R397"/>
    <mergeCell ref="S392:S397"/>
    <mergeCell ref="T392:T397"/>
    <mergeCell ref="R410:R415"/>
    <mergeCell ref="S410:S415"/>
    <mergeCell ref="T410:T415"/>
    <mergeCell ref="U410:U415"/>
    <mergeCell ref="A416:A421"/>
    <mergeCell ref="B416:B421"/>
    <mergeCell ref="C416:C421"/>
    <mergeCell ref="D416:D421"/>
    <mergeCell ref="E416:E421"/>
    <mergeCell ref="F416:F421"/>
    <mergeCell ref="U404:U409"/>
    <mergeCell ref="A410:A415"/>
    <mergeCell ref="B410:B415"/>
    <mergeCell ref="C410:C415"/>
    <mergeCell ref="D410:D415"/>
    <mergeCell ref="E410:E415"/>
    <mergeCell ref="F410:F415"/>
    <mergeCell ref="M410:M415"/>
    <mergeCell ref="N410:N415"/>
    <mergeCell ref="Q410:Q415"/>
    <mergeCell ref="M404:M409"/>
    <mergeCell ref="N404:N409"/>
    <mergeCell ref="Q404:Q409"/>
    <mergeCell ref="R404:R409"/>
    <mergeCell ref="S404:S409"/>
    <mergeCell ref="T404:T409"/>
    <mergeCell ref="A404:A409"/>
    <mergeCell ref="B404:B409"/>
    <mergeCell ref="C404:C409"/>
    <mergeCell ref="D404:D409"/>
    <mergeCell ref="E404:E409"/>
    <mergeCell ref="F404:F409"/>
    <mergeCell ref="R422:R427"/>
    <mergeCell ref="S422:S427"/>
    <mergeCell ref="T422:T427"/>
    <mergeCell ref="U422:U427"/>
    <mergeCell ref="A428:A433"/>
    <mergeCell ref="B428:B433"/>
    <mergeCell ref="C428:C433"/>
    <mergeCell ref="D428:D433"/>
    <mergeCell ref="E428:E433"/>
    <mergeCell ref="F428:F433"/>
    <mergeCell ref="U416:U421"/>
    <mergeCell ref="A422:A427"/>
    <mergeCell ref="B422:B427"/>
    <mergeCell ref="C422:C427"/>
    <mergeCell ref="D422:D427"/>
    <mergeCell ref="E422:E427"/>
    <mergeCell ref="F422:F427"/>
    <mergeCell ref="M422:M427"/>
    <mergeCell ref="N422:N427"/>
    <mergeCell ref="Q422:Q427"/>
    <mergeCell ref="M416:M421"/>
    <mergeCell ref="N416:N421"/>
    <mergeCell ref="Q416:Q421"/>
    <mergeCell ref="R416:R421"/>
    <mergeCell ref="S416:S421"/>
    <mergeCell ref="T416:T421"/>
    <mergeCell ref="N436:N439"/>
    <mergeCell ref="Q436:Q439"/>
    <mergeCell ref="R436:R439"/>
    <mergeCell ref="S436:S439"/>
    <mergeCell ref="T436:T439"/>
    <mergeCell ref="U436:U439"/>
    <mergeCell ref="U428:U433"/>
    <mergeCell ref="A434:R434"/>
    <mergeCell ref="A435:U435"/>
    <mergeCell ref="A436:A439"/>
    <mergeCell ref="B436:B439"/>
    <mergeCell ref="C436:C439"/>
    <mergeCell ref="D436:D439"/>
    <mergeCell ref="E436:E439"/>
    <mergeCell ref="F436:F439"/>
    <mergeCell ref="M436:M439"/>
    <mergeCell ref="M428:M433"/>
    <mergeCell ref="N428:N433"/>
    <mergeCell ref="Q428:Q433"/>
    <mergeCell ref="R428:R433"/>
    <mergeCell ref="S428:S433"/>
    <mergeCell ref="T428:T433"/>
    <mergeCell ref="R446:R451"/>
    <mergeCell ref="S446:S451"/>
    <mergeCell ref="T446:T451"/>
    <mergeCell ref="U446:U451"/>
    <mergeCell ref="A452:A457"/>
    <mergeCell ref="B452:B457"/>
    <mergeCell ref="C452:C457"/>
    <mergeCell ref="D452:D457"/>
    <mergeCell ref="E452:E457"/>
    <mergeCell ref="F452:F457"/>
    <mergeCell ref="U440:U445"/>
    <mergeCell ref="A446:A451"/>
    <mergeCell ref="B446:B451"/>
    <mergeCell ref="C446:C451"/>
    <mergeCell ref="D446:D451"/>
    <mergeCell ref="E446:E451"/>
    <mergeCell ref="F446:F451"/>
    <mergeCell ref="M446:M451"/>
    <mergeCell ref="N446:N451"/>
    <mergeCell ref="Q446:Q451"/>
    <mergeCell ref="M440:M445"/>
    <mergeCell ref="N440:N445"/>
    <mergeCell ref="Q440:Q445"/>
    <mergeCell ref="R440:R445"/>
    <mergeCell ref="S440:S445"/>
    <mergeCell ref="T440:T445"/>
    <mergeCell ref="A440:A445"/>
    <mergeCell ref="B440:B445"/>
    <mergeCell ref="C440:C445"/>
    <mergeCell ref="D440:D445"/>
    <mergeCell ref="E440:E445"/>
    <mergeCell ref="F440:F445"/>
    <mergeCell ref="R458:R463"/>
    <mergeCell ref="S458:S463"/>
    <mergeCell ref="T458:T463"/>
    <mergeCell ref="U458:U463"/>
    <mergeCell ref="A464:A469"/>
    <mergeCell ref="B464:B469"/>
    <mergeCell ref="C464:C469"/>
    <mergeCell ref="D464:D469"/>
    <mergeCell ref="E464:E469"/>
    <mergeCell ref="F464:F469"/>
    <mergeCell ref="U452:U457"/>
    <mergeCell ref="A458:A463"/>
    <mergeCell ref="B458:B463"/>
    <mergeCell ref="C458:C463"/>
    <mergeCell ref="D458:D463"/>
    <mergeCell ref="E458:E463"/>
    <mergeCell ref="F458:F463"/>
    <mergeCell ref="M458:M463"/>
    <mergeCell ref="N458:N463"/>
    <mergeCell ref="Q458:Q463"/>
    <mergeCell ref="M452:M457"/>
    <mergeCell ref="N452:N457"/>
    <mergeCell ref="Q452:Q457"/>
    <mergeCell ref="R452:R457"/>
    <mergeCell ref="S452:S457"/>
    <mergeCell ref="T452:T457"/>
    <mergeCell ref="N472:N475"/>
    <mergeCell ref="Q472:Q475"/>
    <mergeCell ref="R472:R475"/>
    <mergeCell ref="S472:S475"/>
    <mergeCell ref="T472:T475"/>
    <mergeCell ref="U472:U475"/>
    <mergeCell ref="U464:U469"/>
    <mergeCell ref="A470:R470"/>
    <mergeCell ref="A471:U471"/>
    <mergeCell ref="A472:A475"/>
    <mergeCell ref="B472:B475"/>
    <mergeCell ref="C472:C475"/>
    <mergeCell ref="D472:D475"/>
    <mergeCell ref="E472:E475"/>
    <mergeCell ref="F472:F475"/>
    <mergeCell ref="M472:M475"/>
    <mergeCell ref="M464:M469"/>
    <mergeCell ref="N464:N469"/>
    <mergeCell ref="Q464:Q469"/>
    <mergeCell ref="R464:R469"/>
    <mergeCell ref="S464:S469"/>
    <mergeCell ref="T464:T469"/>
    <mergeCell ref="R482:R487"/>
    <mergeCell ref="S482:S487"/>
    <mergeCell ref="T482:T487"/>
    <mergeCell ref="U482:U487"/>
    <mergeCell ref="A488:A493"/>
    <mergeCell ref="B488:B493"/>
    <mergeCell ref="C488:C493"/>
    <mergeCell ref="D488:D493"/>
    <mergeCell ref="E488:E493"/>
    <mergeCell ref="F488:F493"/>
    <mergeCell ref="U476:U481"/>
    <mergeCell ref="A482:A487"/>
    <mergeCell ref="B482:B487"/>
    <mergeCell ref="C482:C487"/>
    <mergeCell ref="D482:D487"/>
    <mergeCell ref="E482:E487"/>
    <mergeCell ref="F482:F487"/>
    <mergeCell ref="M482:M487"/>
    <mergeCell ref="N482:N487"/>
    <mergeCell ref="Q482:Q487"/>
    <mergeCell ref="M476:M481"/>
    <mergeCell ref="N476:N481"/>
    <mergeCell ref="Q476:Q481"/>
    <mergeCell ref="R476:R481"/>
    <mergeCell ref="S476:S481"/>
    <mergeCell ref="T476:T481"/>
    <mergeCell ref="A476:A481"/>
    <mergeCell ref="B476:B481"/>
    <mergeCell ref="C476:C481"/>
    <mergeCell ref="D476:D481"/>
    <mergeCell ref="E476:E481"/>
    <mergeCell ref="F476:F481"/>
    <mergeCell ref="R494:R499"/>
    <mergeCell ref="S494:S499"/>
    <mergeCell ref="T494:T499"/>
    <mergeCell ref="U494:U499"/>
    <mergeCell ref="A500:A505"/>
    <mergeCell ref="B500:B505"/>
    <mergeCell ref="C500:C505"/>
    <mergeCell ref="D500:D505"/>
    <mergeCell ref="E500:E505"/>
    <mergeCell ref="F500:F505"/>
    <mergeCell ref="U488:U493"/>
    <mergeCell ref="A494:A499"/>
    <mergeCell ref="B494:B499"/>
    <mergeCell ref="C494:C499"/>
    <mergeCell ref="D494:D499"/>
    <mergeCell ref="E494:E499"/>
    <mergeCell ref="F494:F499"/>
    <mergeCell ref="M494:M499"/>
    <mergeCell ref="N494:N499"/>
    <mergeCell ref="Q494:Q499"/>
    <mergeCell ref="M488:M493"/>
    <mergeCell ref="N488:N493"/>
    <mergeCell ref="Q488:Q493"/>
    <mergeCell ref="R488:R493"/>
    <mergeCell ref="S488:S493"/>
    <mergeCell ref="T488:T493"/>
    <mergeCell ref="N508:N511"/>
    <mergeCell ref="Q508:Q511"/>
    <mergeCell ref="R508:R511"/>
    <mergeCell ref="S508:S511"/>
    <mergeCell ref="T508:T511"/>
    <mergeCell ref="U508:U511"/>
    <mergeCell ref="U500:U505"/>
    <mergeCell ref="A506:R506"/>
    <mergeCell ref="A507:U507"/>
    <mergeCell ref="A508:A511"/>
    <mergeCell ref="B508:B511"/>
    <mergeCell ref="C508:C511"/>
    <mergeCell ref="D508:D511"/>
    <mergeCell ref="E508:E511"/>
    <mergeCell ref="F508:F511"/>
    <mergeCell ref="M508:M511"/>
    <mergeCell ref="M500:M505"/>
    <mergeCell ref="N500:N505"/>
    <mergeCell ref="Q500:Q505"/>
    <mergeCell ref="R500:R505"/>
    <mergeCell ref="S500:S505"/>
    <mergeCell ref="T500:T505"/>
    <mergeCell ref="R518:R523"/>
    <mergeCell ref="S518:S523"/>
    <mergeCell ref="T518:T523"/>
    <mergeCell ref="U518:U523"/>
    <mergeCell ref="A524:A529"/>
    <mergeCell ref="B524:B529"/>
    <mergeCell ref="C524:C529"/>
    <mergeCell ref="D524:D529"/>
    <mergeCell ref="E524:E529"/>
    <mergeCell ref="F524:F529"/>
    <mergeCell ref="U512:U517"/>
    <mergeCell ref="A518:A523"/>
    <mergeCell ref="B518:B523"/>
    <mergeCell ref="C518:C523"/>
    <mergeCell ref="D518:D523"/>
    <mergeCell ref="E518:E523"/>
    <mergeCell ref="F518:F523"/>
    <mergeCell ref="M518:M523"/>
    <mergeCell ref="N518:N523"/>
    <mergeCell ref="Q518:Q523"/>
    <mergeCell ref="M512:M517"/>
    <mergeCell ref="N512:N517"/>
    <mergeCell ref="Q512:Q517"/>
    <mergeCell ref="R512:R517"/>
    <mergeCell ref="S512:S517"/>
    <mergeCell ref="T512:T517"/>
    <mergeCell ref="A512:A517"/>
    <mergeCell ref="B512:B517"/>
    <mergeCell ref="C512:C517"/>
    <mergeCell ref="D512:D517"/>
    <mergeCell ref="E512:E517"/>
    <mergeCell ref="F512:F517"/>
    <mergeCell ref="R530:R535"/>
    <mergeCell ref="S530:S535"/>
    <mergeCell ref="T530:T535"/>
    <mergeCell ref="U530:U535"/>
    <mergeCell ref="A536:A541"/>
    <mergeCell ref="B536:B541"/>
    <mergeCell ref="C536:C541"/>
    <mergeCell ref="D536:D541"/>
    <mergeCell ref="E536:E541"/>
    <mergeCell ref="F536:F541"/>
    <mergeCell ref="U524:U529"/>
    <mergeCell ref="A530:A535"/>
    <mergeCell ref="B530:B535"/>
    <mergeCell ref="C530:C535"/>
    <mergeCell ref="D530:D535"/>
    <mergeCell ref="E530:E535"/>
    <mergeCell ref="F530:F535"/>
    <mergeCell ref="M530:M535"/>
    <mergeCell ref="N530:N535"/>
    <mergeCell ref="Q530:Q535"/>
    <mergeCell ref="M524:M529"/>
    <mergeCell ref="N524:N529"/>
    <mergeCell ref="Q524:Q529"/>
    <mergeCell ref="R524:R529"/>
    <mergeCell ref="S524:S529"/>
    <mergeCell ref="T524:T529"/>
    <mergeCell ref="N544:N547"/>
    <mergeCell ref="Q544:Q547"/>
    <mergeCell ref="R544:R547"/>
    <mergeCell ref="S544:S547"/>
    <mergeCell ref="T544:T547"/>
    <mergeCell ref="U544:U547"/>
    <mergeCell ref="U536:U541"/>
    <mergeCell ref="A542:R542"/>
    <mergeCell ref="A543:U543"/>
    <mergeCell ref="A544:A547"/>
    <mergeCell ref="B544:B547"/>
    <mergeCell ref="C544:C547"/>
    <mergeCell ref="D544:D547"/>
    <mergeCell ref="E544:E547"/>
    <mergeCell ref="F544:F547"/>
    <mergeCell ref="M544:M547"/>
    <mergeCell ref="M536:M541"/>
    <mergeCell ref="N536:N541"/>
    <mergeCell ref="Q536:Q541"/>
    <mergeCell ref="R536:R541"/>
    <mergeCell ref="S536:S541"/>
    <mergeCell ref="T536:T541"/>
    <mergeCell ref="R554:R559"/>
    <mergeCell ref="S554:S559"/>
    <mergeCell ref="T554:T559"/>
    <mergeCell ref="U554:U559"/>
    <mergeCell ref="A560:A565"/>
    <mergeCell ref="B560:B565"/>
    <mergeCell ref="C560:C565"/>
    <mergeCell ref="D560:D565"/>
    <mergeCell ref="E560:E565"/>
    <mergeCell ref="F560:F565"/>
    <mergeCell ref="U548:U553"/>
    <mergeCell ref="A554:A559"/>
    <mergeCell ref="B554:B559"/>
    <mergeCell ref="C554:C559"/>
    <mergeCell ref="D554:D559"/>
    <mergeCell ref="E554:E559"/>
    <mergeCell ref="F554:F559"/>
    <mergeCell ref="M554:M559"/>
    <mergeCell ref="N554:N559"/>
    <mergeCell ref="Q554:Q559"/>
    <mergeCell ref="M548:M553"/>
    <mergeCell ref="N548:N553"/>
    <mergeCell ref="Q548:Q553"/>
    <mergeCell ref="R548:R553"/>
    <mergeCell ref="S548:S553"/>
    <mergeCell ref="T548:T553"/>
    <mergeCell ref="A548:A553"/>
    <mergeCell ref="B548:B553"/>
    <mergeCell ref="C548:C553"/>
    <mergeCell ref="D548:D553"/>
    <mergeCell ref="E548:E553"/>
    <mergeCell ref="F548:F553"/>
    <mergeCell ref="R566:R571"/>
    <mergeCell ref="S566:S571"/>
    <mergeCell ref="T566:T571"/>
    <mergeCell ref="U566:U571"/>
    <mergeCell ref="A572:A577"/>
    <mergeCell ref="B572:B577"/>
    <mergeCell ref="C572:C577"/>
    <mergeCell ref="D572:D577"/>
    <mergeCell ref="E572:E577"/>
    <mergeCell ref="F572:F577"/>
    <mergeCell ref="U560:U565"/>
    <mergeCell ref="A566:A571"/>
    <mergeCell ref="B566:B571"/>
    <mergeCell ref="C566:C571"/>
    <mergeCell ref="D566:D571"/>
    <mergeCell ref="E566:E571"/>
    <mergeCell ref="F566:F571"/>
    <mergeCell ref="M566:M571"/>
    <mergeCell ref="N566:N571"/>
    <mergeCell ref="Q566:Q571"/>
    <mergeCell ref="M560:M565"/>
    <mergeCell ref="N560:N565"/>
    <mergeCell ref="Q560:Q565"/>
    <mergeCell ref="R560:R565"/>
    <mergeCell ref="S560:S565"/>
    <mergeCell ref="T560:T565"/>
    <mergeCell ref="N580:N583"/>
    <mergeCell ref="Q580:Q583"/>
    <mergeCell ref="R580:R583"/>
    <mergeCell ref="S580:S583"/>
    <mergeCell ref="T580:T583"/>
    <mergeCell ref="U580:U583"/>
    <mergeCell ref="U572:U577"/>
    <mergeCell ref="A578:R578"/>
    <mergeCell ref="A579:U579"/>
    <mergeCell ref="A580:A583"/>
    <mergeCell ref="B580:B583"/>
    <mergeCell ref="C580:C583"/>
    <mergeCell ref="D580:D583"/>
    <mergeCell ref="E580:E583"/>
    <mergeCell ref="F580:F583"/>
    <mergeCell ref="M580:M583"/>
    <mergeCell ref="M572:M577"/>
    <mergeCell ref="N572:N577"/>
    <mergeCell ref="Q572:Q577"/>
    <mergeCell ref="R572:R577"/>
    <mergeCell ref="S572:S577"/>
    <mergeCell ref="T572:T577"/>
    <mergeCell ref="R590:R595"/>
    <mergeCell ref="S590:S595"/>
    <mergeCell ref="T590:T595"/>
    <mergeCell ref="U590:U595"/>
    <mergeCell ref="A596:A601"/>
    <mergeCell ref="B596:B601"/>
    <mergeCell ref="C596:C601"/>
    <mergeCell ref="D596:D601"/>
    <mergeCell ref="E596:E601"/>
    <mergeCell ref="F596:F601"/>
    <mergeCell ref="U584:U589"/>
    <mergeCell ref="A590:A595"/>
    <mergeCell ref="B590:B595"/>
    <mergeCell ref="C590:C595"/>
    <mergeCell ref="D590:D595"/>
    <mergeCell ref="E590:E595"/>
    <mergeCell ref="F590:F595"/>
    <mergeCell ref="M590:M595"/>
    <mergeCell ref="N590:N595"/>
    <mergeCell ref="Q590:Q595"/>
    <mergeCell ref="M584:M589"/>
    <mergeCell ref="N584:N589"/>
    <mergeCell ref="Q584:Q589"/>
    <mergeCell ref="R584:R589"/>
    <mergeCell ref="S584:S589"/>
    <mergeCell ref="T584:T589"/>
    <mergeCell ref="A584:A589"/>
    <mergeCell ref="B584:B589"/>
    <mergeCell ref="C584:C589"/>
    <mergeCell ref="D584:D589"/>
    <mergeCell ref="E584:E589"/>
    <mergeCell ref="F584:F589"/>
    <mergeCell ref="R602:R607"/>
    <mergeCell ref="S602:S607"/>
    <mergeCell ref="T602:T607"/>
    <mergeCell ref="U602:U607"/>
    <mergeCell ref="A608:A613"/>
    <mergeCell ref="B608:B613"/>
    <mergeCell ref="C608:C613"/>
    <mergeCell ref="D608:D613"/>
    <mergeCell ref="E608:E613"/>
    <mergeCell ref="F608:F613"/>
    <mergeCell ref="U596:U601"/>
    <mergeCell ref="A602:A607"/>
    <mergeCell ref="B602:B607"/>
    <mergeCell ref="C602:C607"/>
    <mergeCell ref="D602:D607"/>
    <mergeCell ref="E602:E607"/>
    <mergeCell ref="F602:F607"/>
    <mergeCell ref="M602:M607"/>
    <mergeCell ref="N602:N607"/>
    <mergeCell ref="Q602:Q607"/>
    <mergeCell ref="M596:M601"/>
    <mergeCell ref="N596:N601"/>
    <mergeCell ref="Q596:Q601"/>
    <mergeCell ref="R596:R601"/>
    <mergeCell ref="S596:S601"/>
    <mergeCell ref="T596:T601"/>
    <mergeCell ref="N616:N619"/>
    <mergeCell ref="Q616:Q619"/>
    <mergeCell ref="R616:R619"/>
    <mergeCell ref="S616:S619"/>
    <mergeCell ref="T616:T619"/>
    <mergeCell ref="U616:U619"/>
    <mergeCell ref="U608:U613"/>
    <mergeCell ref="A614:R614"/>
    <mergeCell ref="A615:U615"/>
    <mergeCell ref="A616:A619"/>
    <mergeCell ref="B616:B619"/>
    <mergeCell ref="C616:C619"/>
    <mergeCell ref="D616:D619"/>
    <mergeCell ref="E616:E619"/>
    <mergeCell ref="F616:F619"/>
    <mergeCell ref="M616:M619"/>
    <mergeCell ref="M608:M613"/>
    <mergeCell ref="N608:N613"/>
    <mergeCell ref="Q608:Q613"/>
    <mergeCell ref="R608:R613"/>
    <mergeCell ref="S608:S613"/>
    <mergeCell ref="T608:T613"/>
    <mergeCell ref="R626:R631"/>
    <mergeCell ref="S626:S631"/>
    <mergeCell ref="T626:T631"/>
    <mergeCell ref="U626:U631"/>
    <mergeCell ref="A632:A637"/>
    <mergeCell ref="B632:B637"/>
    <mergeCell ref="C632:C637"/>
    <mergeCell ref="D632:D637"/>
    <mergeCell ref="E632:E637"/>
    <mergeCell ref="F632:F637"/>
    <mergeCell ref="U620:U625"/>
    <mergeCell ref="A626:A631"/>
    <mergeCell ref="B626:B631"/>
    <mergeCell ref="C626:C631"/>
    <mergeCell ref="D626:D631"/>
    <mergeCell ref="E626:E631"/>
    <mergeCell ref="F626:F631"/>
    <mergeCell ref="M626:M631"/>
    <mergeCell ref="N626:N631"/>
    <mergeCell ref="Q626:Q631"/>
    <mergeCell ref="M620:M625"/>
    <mergeCell ref="N620:N625"/>
    <mergeCell ref="Q620:Q625"/>
    <mergeCell ref="R620:R625"/>
    <mergeCell ref="S620:S625"/>
    <mergeCell ref="T620:T625"/>
    <mergeCell ref="A620:A625"/>
    <mergeCell ref="B620:B625"/>
    <mergeCell ref="C620:C625"/>
    <mergeCell ref="D620:D625"/>
    <mergeCell ref="E620:E625"/>
    <mergeCell ref="F620:F625"/>
    <mergeCell ref="R638:R643"/>
    <mergeCell ref="S638:S643"/>
    <mergeCell ref="T638:T643"/>
    <mergeCell ref="U638:U643"/>
    <mergeCell ref="A644:A649"/>
    <mergeCell ref="B644:B649"/>
    <mergeCell ref="C644:C649"/>
    <mergeCell ref="D644:D649"/>
    <mergeCell ref="E644:E649"/>
    <mergeCell ref="F644:F649"/>
    <mergeCell ref="U632:U637"/>
    <mergeCell ref="A638:A643"/>
    <mergeCell ref="B638:B643"/>
    <mergeCell ref="C638:C643"/>
    <mergeCell ref="D638:D643"/>
    <mergeCell ref="E638:E643"/>
    <mergeCell ref="F638:F643"/>
    <mergeCell ref="M638:M643"/>
    <mergeCell ref="N638:N643"/>
    <mergeCell ref="Q638:Q643"/>
    <mergeCell ref="M632:M637"/>
    <mergeCell ref="N632:N637"/>
    <mergeCell ref="Q632:Q637"/>
    <mergeCell ref="R632:R637"/>
    <mergeCell ref="S632:S637"/>
    <mergeCell ref="T632:T637"/>
    <mergeCell ref="N652:N655"/>
    <mergeCell ref="Q652:Q655"/>
    <mergeCell ref="R652:R655"/>
    <mergeCell ref="S652:S655"/>
    <mergeCell ref="T652:T655"/>
    <mergeCell ref="U652:U655"/>
    <mergeCell ref="U644:U649"/>
    <mergeCell ref="A650:R650"/>
    <mergeCell ref="A651:U651"/>
    <mergeCell ref="A652:A655"/>
    <mergeCell ref="B652:B655"/>
    <mergeCell ref="C652:C655"/>
    <mergeCell ref="D652:D655"/>
    <mergeCell ref="E652:E655"/>
    <mergeCell ref="F652:F655"/>
    <mergeCell ref="M652:M655"/>
    <mergeCell ref="M644:M649"/>
    <mergeCell ref="N644:N649"/>
    <mergeCell ref="Q644:Q649"/>
    <mergeCell ref="R644:R649"/>
    <mergeCell ref="S644:S649"/>
    <mergeCell ref="T644:T649"/>
    <mergeCell ref="R662:R667"/>
    <mergeCell ref="S662:S667"/>
    <mergeCell ref="T662:T667"/>
    <mergeCell ref="U662:U667"/>
    <mergeCell ref="A668:A673"/>
    <mergeCell ref="B668:B673"/>
    <mergeCell ref="C668:C673"/>
    <mergeCell ref="D668:D673"/>
    <mergeCell ref="E668:E673"/>
    <mergeCell ref="F668:F673"/>
    <mergeCell ref="U656:U661"/>
    <mergeCell ref="A662:A667"/>
    <mergeCell ref="B662:B667"/>
    <mergeCell ref="C662:C667"/>
    <mergeCell ref="D662:D667"/>
    <mergeCell ref="E662:E667"/>
    <mergeCell ref="F662:F667"/>
    <mergeCell ref="M662:M667"/>
    <mergeCell ref="N662:N667"/>
    <mergeCell ref="Q662:Q667"/>
    <mergeCell ref="M656:M661"/>
    <mergeCell ref="N656:N661"/>
    <mergeCell ref="Q656:Q661"/>
    <mergeCell ref="R656:R661"/>
    <mergeCell ref="S656:S661"/>
    <mergeCell ref="T656:T661"/>
    <mergeCell ref="A656:A661"/>
    <mergeCell ref="B656:B661"/>
    <mergeCell ref="C656:C661"/>
    <mergeCell ref="D656:D661"/>
    <mergeCell ref="E656:E661"/>
    <mergeCell ref="F656:F661"/>
    <mergeCell ref="R674:R679"/>
    <mergeCell ref="S674:S679"/>
    <mergeCell ref="T674:T679"/>
    <mergeCell ref="U674:U679"/>
    <mergeCell ref="A680:A685"/>
    <mergeCell ref="B680:B685"/>
    <mergeCell ref="C680:C685"/>
    <mergeCell ref="D680:D685"/>
    <mergeCell ref="E680:E685"/>
    <mergeCell ref="F680:F685"/>
    <mergeCell ref="U668:U673"/>
    <mergeCell ref="A674:A679"/>
    <mergeCell ref="B674:B679"/>
    <mergeCell ref="C674:C679"/>
    <mergeCell ref="D674:D679"/>
    <mergeCell ref="E674:E679"/>
    <mergeCell ref="F674:F679"/>
    <mergeCell ref="M674:M679"/>
    <mergeCell ref="N674:N679"/>
    <mergeCell ref="Q674:Q679"/>
    <mergeCell ref="M668:M673"/>
    <mergeCell ref="N668:N673"/>
    <mergeCell ref="Q668:Q673"/>
    <mergeCell ref="R668:R673"/>
    <mergeCell ref="S668:S673"/>
    <mergeCell ref="T668:T673"/>
    <mergeCell ref="N688:N691"/>
    <mergeCell ref="Q688:Q691"/>
    <mergeCell ref="R688:R691"/>
    <mergeCell ref="S688:S691"/>
    <mergeCell ref="T688:T691"/>
    <mergeCell ref="U688:U691"/>
    <mergeCell ref="U680:U685"/>
    <mergeCell ref="A686:R686"/>
    <mergeCell ref="A687:U687"/>
    <mergeCell ref="A688:A691"/>
    <mergeCell ref="B688:B691"/>
    <mergeCell ref="C688:C691"/>
    <mergeCell ref="D688:D691"/>
    <mergeCell ref="E688:E691"/>
    <mergeCell ref="F688:F691"/>
    <mergeCell ref="M688:M691"/>
    <mergeCell ref="M680:M685"/>
    <mergeCell ref="N680:N685"/>
    <mergeCell ref="Q680:Q685"/>
    <mergeCell ref="R680:R685"/>
    <mergeCell ref="S680:S685"/>
    <mergeCell ref="T680:T685"/>
    <mergeCell ref="U692:U697"/>
    <mergeCell ref="A698:A703"/>
    <mergeCell ref="B698:B703"/>
    <mergeCell ref="C698:C703"/>
    <mergeCell ref="D698:D703"/>
    <mergeCell ref="E698:E703"/>
    <mergeCell ref="F698:F703"/>
    <mergeCell ref="M698:M703"/>
    <mergeCell ref="N698:N703"/>
    <mergeCell ref="Q698:Q703"/>
    <mergeCell ref="M692:M697"/>
    <mergeCell ref="N692:N697"/>
    <mergeCell ref="Q692:Q697"/>
    <mergeCell ref="R692:R697"/>
    <mergeCell ref="S692:S697"/>
    <mergeCell ref="T692:T697"/>
    <mergeCell ref="A692:A697"/>
    <mergeCell ref="B692:B697"/>
    <mergeCell ref="C692:C697"/>
    <mergeCell ref="D692:D697"/>
    <mergeCell ref="E692:E697"/>
    <mergeCell ref="F692:F697"/>
    <mergeCell ref="U704:U709"/>
    <mergeCell ref="A710:A715"/>
    <mergeCell ref="B710:B715"/>
    <mergeCell ref="C710:C715"/>
    <mergeCell ref="D710:D715"/>
    <mergeCell ref="E710:E715"/>
    <mergeCell ref="F710:F715"/>
    <mergeCell ref="M710:M715"/>
    <mergeCell ref="N710:N715"/>
    <mergeCell ref="Q710:Q715"/>
    <mergeCell ref="M704:M709"/>
    <mergeCell ref="N704:N709"/>
    <mergeCell ref="Q704:Q709"/>
    <mergeCell ref="R704:R709"/>
    <mergeCell ref="S704:S709"/>
    <mergeCell ref="T704:T709"/>
    <mergeCell ref="R698:R703"/>
    <mergeCell ref="S698:S703"/>
    <mergeCell ref="T698:T703"/>
    <mergeCell ref="U698:U703"/>
    <mergeCell ref="A704:A709"/>
    <mergeCell ref="B704:B709"/>
    <mergeCell ref="C704:C709"/>
    <mergeCell ref="D704:D709"/>
    <mergeCell ref="E704:E709"/>
    <mergeCell ref="F704:F709"/>
    <mergeCell ref="U716:U721"/>
    <mergeCell ref="A722:R722"/>
    <mergeCell ref="M716:M721"/>
    <mergeCell ref="N716:N721"/>
    <mergeCell ref="Q716:Q721"/>
    <mergeCell ref="R716:R721"/>
    <mergeCell ref="S716:S721"/>
    <mergeCell ref="T716:T721"/>
    <mergeCell ref="R710:R715"/>
    <mergeCell ref="S710:S715"/>
    <mergeCell ref="T710:T715"/>
    <mergeCell ref="U710:U715"/>
    <mergeCell ref="A716:A721"/>
    <mergeCell ref="B716:B721"/>
    <mergeCell ref="C716:C721"/>
    <mergeCell ref="D716:D721"/>
    <mergeCell ref="E716:E721"/>
    <mergeCell ref="F716:F7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466AA-6A10-4907-8701-B2CBE813CE2B}">
  <dimension ref="A1:U722"/>
  <sheetViews>
    <sheetView topLeftCell="A694" workbookViewId="0">
      <selection activeCell="T1" sqref="T1:U1048576"/>
    </sheetView>
  </sheetViews>
  <sheetFormatPr defaultRowHeight="15" x14ac:dyDescent="0.25"/>
  <cols>
    <col min="1" max="1" width="9.140625" style="16"/>
    <col min="2" max="5" width="0" style="16" hidden="1" customWidth="1"/>
    <col min="6" max="8" width="9.140625" style="16"/>
    <col min="9" max="10" width="0" style="16" hidden="1" customWidth="1"/>
    <col min="11" max="11" width="9.140625" style="16"/>
    <col min="12" max="13" width="0" style="16" hidden="1" customWidth="1"/>
    <col min="14" max="15" width="9.140625" style="16"/>
    <col min="16" max="17" width="0" style="16" hidden="1" customWidth="1"/>
    <col min="18" max="19" width="9.140625" style="16"/>
    <col min="20" max="21" width="0" style="16" hidden="1" customWidth="1"/>
  </cols>
  <sheetData>
    <row r="1" spans="1:21" ht="45" x14ac:dyDescent="0.25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3" t="s">
        <v>5</v>
      </c>
      <c r="G1" s="13" t="s">
        <v>6</v>
      </c>
      <c r="H1" s="13" t="s">
        <v>7</v>
      </c>
      <c r="I1" s="15" t="s">
        <v>8</v>
      </c>
      <c r="J1" s="15" t="s">
        <v>9</v>
      </c>
      <c r="K1" s="13" t="s">
        <v>31</v>
      </c>
      <c r="L1" s="14" t="s">
        <v>10</v>
      </c>
      <c r="M1" s="14" t="s">
        <v>11</v>
      </c>
      <c r="N1" s="13" t="s">
        <v>12</v>
      </c>
      <c r="O1" s="13" t="s">
        <v>13</v>
      </c>
      <c r="P1" s="14" t="s">
        <v>14</v>
      </c>
      <c r="Q1" s="14" t="s">
        <v>15</v>
      </c>
      <c r="R1" s="13" t="s">
        <v>16</v>
      </c>
      <c r="S1" s="13" t="s">
        <v>17</v>
      </c>
      <c r="T1" s="14" t="s">
        <v>18</v>
      </c>
      <c r="U1" s="14" t="s">
        <v>19</v>
      </c>
    </row>
    <row r="2" spans="1:21" x14ac:dyDescent="0.25">
      <c r="A2" s="3">
        <v>1</v>
      </c>
      <c r="B2" s="4"/>
      <c r="C2" s="4"/>
      <c r="D2" s="4"/>
      <c r="E2" s="4"/>
      <c r="F2" s="3">
        <v>2</v>
      </c>
      <c r="G2" s="3">
        <v>3</v>
      </c>
      <c r="H2" s="3">
        <v>4</v>
      </c>
      <c r="I2" s="5"/>
      <c r="J2" s="6"/>
      <c r="K2" s="3">
        <v>5</v>
      </c>
      <c r="L2" s="4"/>
      <c r="M2" s="5"/>
      <c r="N2" s="3">
        <v>6</v>
      </c>
      <c r="O2" s="3">
        <v>7</v>
      </c>
      <c r="P2" s="4"/>
      <c r="Q2" s="5"/>
      <c r="R2" s="7">
        <v>8</v>
      </c>
      <c r="S2" s="7">
        <v>9</v>
      </c>
      <c r="T2" s="4"/>
      <c r="U2" s="4"/>
    </row>
    <row r="3" spans="1:21" x14ac:dyDescent="0.25">
      <c r="A3" s="27" t="s">
        <v>72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9"/>
    </row>
    <row r="4" spans="1:21" x14ac:dyDescent="0.25">
      <c r="A4" s="24">
        <v>250</v>
      </c>
      <c r="B4" s="24">
        <v>3</v>
      </c>
      <c r="C4" s="17">
        <v>0.5</v>
      </c>
      <c r="D4" s="24">
        <v>38</v>
      </c>
      <c r="E4" s="24">
        <v>4</v>
      </c>
      <c r="F4" s="25">
        <v>84</v>
      </c>
      <c r="G4" s="1">
        <v>175</v>
      </c>
      <c r="H4" s="2">
        <v>84.8</v>
      </c>
      <c r="I4" s="2">
        <v>-19.899999999999999</v>
      </c>
      <c r="J4" s="2">
        <v>-25.2</v>
      </c>
      <c r="K4" s="2">
        <f>I4</f>
        <v>-19.899999999999999</v>
      </c>
      <c r="L4" s="8">
        <f>10^((K4-H4)/10)</f>
        <v>3.3884415613920273E-11</v>
      </c>
      <c r="M4" s="26">
        <f>SUM(L4:L7)</f>
        <v>6.2174432618223135E-11</v>
      </c>
      <c r="N4" s="17">
        <f>10*LOG10(M4/E4)</f>
        <v>-108.0844816058501</v>
      </c>
      <c r="O4" s="9">
        <f>J4</f>
        <v>-25.2</v>
      </c>
      <c r="P4" s="8">
        <f>D4/B4*10^(O4/10)</f>
        <v>3.8252721791758836E-2</v>
      </c>
      <c r="Q4" s="26">
        <f>SUM(P4:P7)</f>
        <v>0.14758367264246577</v>
      </c>
      <c r="R4" s="17">
        <f>10*LOG10(Q4)</f>
        <v>-8.3096168637139893</v>
      </c>
      <c r="S4" s="18">
        <f>F4+N4-Kzt-H</f>
        <v>-24.084481605850101</v>
      </c>
      <c r="T4" s="17">
        <v>0.2</v>
      </c>
      <c r="U4" s="21">
        <f>T4*10^((S4-R4)/10)</f>
        <v>5.2910701734218604E-3</v>
      </c>
    </row>
    <row r="5" spans="1:21" x14ac:dyDescent="0.25">
      <c r="A5" s="24"/>
      <c r="B5" s="24"/>
      <c r="C5" s="17"/>
      <c r="D5" s="24"/>
      <c r="E5" s="24"/>
      <c r="F5" s="25"/>
      <c r="G5" s="1">
        <v>225</v>
      </c>
      <c r="H5" s="2">
        <v>90</v>
      </c>
      <c r="I5" s="2">
        <v>-19.899999999999999</v>
      </c>
      <c r="J5" s="2">
        <v>-24.2</v>
      </c>
      <c r="K5" s="2">
        <f t="shared" ref="K5:K37" si="0">I5</f>
        <v>-19.899999999999999</v>
      </c>
      <c r="L5" s="8">
        <f t="shared" ref="L5:L37" si="1">10^((K5-H5)/10)</f>
        <v>1.0232929922807526E-11</v>
      </c>
      <c r="M5" s="26"/>
      <c r="N5" s="17"/>
      <c r="O5" s="9">
        <f t="shared" ref="O5:O37" si="2">J5</f>
        <v>-24.2</v>
      </c>
      <c r="P5" s="8">
        <f>D4/B4*10^(O5/10)</f>
        <v>4.815732353393775E-2</v>
      </c>
      <c r="Q5" s="26"/>
      <c r="R5" s="17"/>
      <c r="S5" s="19"/>
      <c r="T5" s="17"/>
      <c r="U5" s="22"/>
    </row>
    <row r="6" spans="1:21" x14ac:dyDescent="0.25">
      <c r="A6" s="24"/>
      <c r="B6" s="24"/>
      <c r="C6" s="17"/>
      <c r="D6" s="24"/>
      <c r="E6" s="24"/>
      <c r="F6" s="25"/>
      <c r="G6" s="1">
        <v>275</v>
      </c>
      <c r="H6" s="2">
        <v>92.2</v>
      </c>
      <c r="I6" s="2">
        <v>-16.899999999999999</v>
      </c>
      <c r="J6" s="2">
        <v>-25.7</v>
      </c>
      <c r="K6" s="2">
        <f t="shared" si="0"/>
        <v>-16.899999999999999</v>
      </c>
      <c r="L6" s="8">
        <f t="shared" si="1"/>
        <v>1.2302687708123787E-11</v>
      </c>
      <c r="M6" s="26"/>
      <c r="N6" s="17"/>
      <c r="O6" s="9">
        <f t="shared" si="2"/>
        <v>-25.7</v>
      </c>
      <c r="P6" s="8">
        <f>D4/B4*10^(O6/10)</f>
        <v>3.409277418307425E-2</v>
      </c>
      <c r="Q6" s="26"/>
      <c r="R6" s="17"/>
      <c r="S6" s="19"/>
      <c r="T6" s="17"/>
      <c r="U6" s="22"/>
    </row>
    <row r="7" spans="1:21" x14ac:dyDescent="0.25">
      <c r="A7" s="24"/>
      <c r="B7" s="24"/>
      <c r="C7" s="17"/>
      <c r="D7" s="24"/>
      <c r="E7" s="24"/>
      <c r="F7" s="25"/>
      <c r="G7" s="1">
        <v>325</v>
      </c>
      <c r="H7" s="2">
        <v>93.3</v>
      </c>
      <c r="I7" s="2">
        <v>-19.100000000000001</v>
      </c>
      <c r="J7" s="2">
        <v>-26.7</v>
      </c>
      <c r="K7" s="2">
        <f t="shared" si="0"/>
        <v>-19.100000000000001</v>
      </c>
      <c r="L7" s="8">
        <f>10^((K7-H7)/10)</f>
        <v>5.7543993733715538E-12</v>
      </c>
      <c r="M7" s="26"/>
      <c r="N7" s="17"/>
      <c r="O7" s="9">
        <f t="shared" si="2"/>
        <v>-26.7</v>
      </c>
      <c r="P7" s="8">
        <f>D4/B4*10^(O7/10)</f>
        <v>2.7080853133694936E-2</v>
      </c>
      <c r="Q7" s="26"/>
      <c r="R7" s="17"/>
      <c r="S7" s="20"/>
      <c r="T7" s="17"/>
      <c r="U7" s="23"/>
    </row>
    <row r="8" spans="1:21" x14ac:dyDescent="0.25">
      <c r="A8" s="24">
        <v>500</v>
      </c>
      <c r="B8" s="24">
        <v>3</v>
      </c>
      <c r="C8" s="17">
        <v>0.5</v>
      </c>
      <c r="D8" s="24">
        <v>59</v>
      </c>
      <c r="E8" s="24">
        <v>6</v>
      </c>
      <c r="F8" s="25">
        <v>84</v>
      </c>
      <c r="G8" s="1">
        <v>375</v>
      </c>
      <c r="H8" s="2">
        <v>91.9</v>
      </c>
      <c r="I8" s="2">
        <v>-20.9</v>
      </c>
      <c r="J8" s="2">
        <v>-28.5</v>
      </c>
      <c r="K8" s="2">
        <f t="shared" si="0"/>
        <v>-20.9</v>
      </c>
      <c r="L8" s="8">
        <f t="shared" si="1"/>
        <v>5.248074602497695E-12</v>
      </c>
      <c r="M8" s="26">
        <f>SUM(L8:L13)</f>
        <v>3.480908401228238E-11</v>
      </c>
      <c r="N8" s="17">
        <f>10*LOG10(M8/E8)</f>
        <v>-112.36458655241995</v>
      </c>
      <c r="O8" s="9">
        <f t="shared" si="2"/>
        <v>-28.5</v>
      </c>
      <c r="P8" s="8">
        <f>D8/B8*10^(O8/10)</f>
        <v>2.7779905044247471E-2</v>
      </c>
      <c r="Q8" s="26">
        <f>SUM(P8:P13)</f>
        <v>0.26561904334509973</v>
      </c>
      <c r="R8" s="17">
        <f>10*LOG10(Q8)</f>
        <v>-5.757407917919112</v>
      </c>
      <c r="S8" s="18">
        <f>F8+N8-Kzt-H</f>
        <v>-28.364586552419951</v>
      </c>
      <c r="T8" s="17">
        <v>0.5</v>
      </c>
      <c r="U8" s="21">
        <f>T8*10^((S8-R8)/10)</f>
        <v>2.7431663258084878E-3</v>
      </c>
    </row>
    <row r="9" spans="1:21" x14ac:dyDescent="0.25">
      <c r="A9" s="24"/>
      <c r="B9" s="24"/>
      <c r="C9" s="17"/>
      <c r="D9" s="24"/>
      <c r="E9" s="24"/>
      <c r="F9" s="25"/>
      <c r="G9" s="1">
        <v>425</v>
      </c>
      <c r="H9" s="2">
        <v>88.1</v>
      </c>
      <c r="I9" s="2">
        <v>-20.2</v>
      </c>
      <c r="J9" s="2">
        <v>-25.8</v>
      </c>
      <c r="K9" s="2">
        <f t="shared" si="0"/>
        <v>-20.2</v>
      </c>
      <c r="L9" s="8">
        <f t="shared" si="1"/>
        <v>1.4791083881682027E-11</v>
      </c>
      <c r="M9" s="26"/>
      <c r="N9" s="17"/>
      <c r="O9" s="9">
        <f t="shared" si="2"/>
        <v>-25.8</v>
      </c>
      <c r="P9" s="8">
        <f>D8/B8*10^(O9/10)</f>
        <v>5.1728603840609129E-2</v>
      </c>
      <c r="Q9" s="26"/>
      <c r="R9" s="17"/>
      <c r="S9" s="19"/>
      <c r="T9" s="17"/>
      <c r="U9" s="22"/>
    </row>
    <row r="10" spans="1:21" x14ac:dyDescent="0.25">
      <c r="A10" s="24"/>
      <c r="B10" s="24"/>
      <c r="C10" s="17"/>
      <c r="D10" s="24"/>
      <c r="E10" s="24"/>
      <c r="F10" s="25"/>
      <c r="G10" s="1">
        <v>475</v>
      </c>
      <c r="H10" s="2">
        <v>90</v>
      </c>
      <c r="I10" s="2">
        <v>-20.8</v>
      </c>
      <c r="J10" s="2">
        <v>-26.5</v>
      </c>
      <c r="K10" s="2">
        <f t="shared" si="0"/>
        <v>-20.8</v>
      </c>
      <c r="L10" s="8">
        <f>10^((K10-H10)/10)</f>
        <v>8.3176377110266746E-12</v>
      </c>
      <c r="M10" s="26"/>
      <c r="N10" s="17"/>
      <c r="O10" s="9">
        <f t="shared" si="2"/>
        <v>-26.5</v>
      </c>
      <c r="P10" s="8">
        <f>D8/B8*10^(O10/10)</f>
        <v>4.4028182391843994E-2</v>
      </c>
      <c r="Q10" s="26"/>
      <c r="R10" s="17"/>
      <c r="S10" s="19"/>
      <c r="T10" s="17"/>
      <c r="U10" s="22"/>
    </row>
    <row r="11" spans="1:21" x14ac:dyDescent="0.25">
      <c r="A11" s="24"/>
      <c r="B11" s="24"/>
      <c r="C11" s="17"/>
      <c r="D11" s="24"/>
      <c r="E11" s="24"/>
      <c r="F11" s="25"/>
      <c r="G11" s="1">
        <v>575</v>
      </c>
      <c r="H11" s="2">
        <v>97</v>
      </c>
      <c r="I11" s="2">
        <v>-22.5</v>
      </c>
      <c r="J11" s="2">
        <v>-29</v>
      </c>
      <c r="K11" s="2">
        <f t="shared" si="0"/>
        <v>-22.5</v>
      </c>
      <c r="L11" s="8">
        <f t="shared" si="1"/>
        <v>1.122018454301964E-12</v>
      </c>
      <c r="M11" s="26"/>
      <c r="N11" s="17"/>
      <c r="O11" s="9">
        <f t="shared" si="2"/>
        <v>-29</v>
      </c>
      <c r="P11" s="8">
        <f>D8/B8*10^(O11/10)</f>
        <v>2.4758866431951937E-2</v>
      </c>
      <c r="Q11" s="26"/>
      <c r="R11" s="17"/>
      <c r="S11" s="19"/>
      <c r="T11" s="17"/>
      <c r="U11" s="22"/>
    </row>
    <row r="12" spans="1:21" x14ac:dyDescent="0.25">
      <c r="A12" s="24"/>
      <c r="B12" s="24"/>
      <c r="C12" s="17"/>
      <c r="D12" s="24"/>
      <c r="E12" s="24"/>
      <c r="F12" s="25"/>
      <c r="G12" s="1">
        <v>625</v>
      </c>
      <c r="H12" s="2">
        <v>92</v>
      </c>
      <c r="I12" s="2">
        <v>-23.5</v>
      </c>
      <c r="J12" s="2">
        <v>-28.9</v>
      </c>
      <c r="K12" s="2">
        <f t="shared" si="0"/>
        <v>-23.5</v>
      </c>
      <c r="L12" s="8">
        <f t="shared" si="1"/>
        <v>2.8183829312644444E-12</v>
      </c>
      <c r="M12" s="26"/>
      <c r="N12" s="17"/>
      <c r="O12" s="9">
        <f t="shared" si="2"/>
        <v>-28.9</v>
      </c>
      <c r="P12" s="8">
        <f>D8/B8*10^(O12/10)</f>
        <v>2.533557451663164E-2</v>
      </c>
      <c r="Q12" s="26"/>
      <c r="R12" s="17"/>
      <c r="S12" s="19"/>
      <c r="T12" s="17"/>
      <c r="U12" s="22"/>
    </row>
    <row r="13" spans="1:21" x14ac:dyDescent="0.25">
      <c r="A13" s="24"/>
      <c r="B13" s="24"/>
      <c r="C13" s="17"/>
      <c r="D13" s="24"/>
      <c r="E13" s="24"/>
      <c r="F13" s="25"/>
      <c r="G13" s="1">
        <v>675</v>
      </c>
      <c r="H13" s="2">
        <v>94.5</v>
      </c>
      <c r="I13" s="2">
        <v>-21.5</v>
      </c>
      <c r="J13" s="2">
        <v>-23.3</v>
      </c>
      <c r="K13" s="2">
        <f t="shared" si="0"/>
        <v>-21.5</v>
      </c>
      <c r="L13" s="8">
        <f t="shared" si="1"/>
        <v>2.5118864315095726E-12</v>
      </c>
      <c r="M13" s="26"/>
      <c r="N13" s="17"/>
      <c r="O13" s="9">
        <f t="shared" si="2"/>
        <v>-23.3</v>
      </c>
      <c r="P13" s="8">
        <f>D8/B8*10^(O13/10)</f>
        <v>9.1987911119815566E-2</v>
      </c>
      <c r="Q13" s="26"/>
      <c r="R13" s="17"/>
      <c r="S13" s="20"/>
      <c r="T13" s="17"/>
      <c r="U13" s="23"/>
    </row>
    <row r="14" spans="1:21" x14ac:dyDescent="0.25">
      <c r="A14" s="24">
        <v>1000</v>
      </c>
      <c r="B14" s="24">
        <v>3</v>
      </c>
      <c r="C14" s="17">
        <v>0.5</v>
      </c>
      <c r="D14" s="24">
        <v>117</v>
      </c>
      <c r="E14" s="24">
        <v>6</v>
      </c>
      <c r="F14" s="25">
        <v>76</v>
      </c>
      <c r="G14" s="1">
        <v>875</v>
      </c>
      <c r="H14" s="2">
        <v>91.1</v>
      </c>
      <c r="I14" s="2">
        <v>-19.2</v>
      </c>
      <c r="J14" s="2">
        <v>-25.7</v>
      </c>
      <c r="K14" s="2">
        <f t="shared" si="0"/>
        <v>-19.2</v>
      </c>
      <c r="L14" s="8">
        <f t="shared" si="1"/>
        <v>9.3325430079698992E-12</v>
      </c>
      <c r="M14" s="26">
        <f>SUM(L14:L19)</f>
        <v>1.5011044335723033E-11</v>
      </c>
      <c r="N14" s="17">
        <f>10*LOG10(M14/E14)</f>
        <v>-116.01740342719692</v>
      </c>
      <c r="O14" s="9">
        <f t="shared" si="2"/>
        <v>-25.7</v>
      </c>
      <c r="P14" s="8">
        <f>D14/B14*10^(O14/10)</f>
        <v>0.10496985735314968</v>
      </c>
      <c r="Q14" s="26">
        <f>SUM(P14:P19)</f>
        <v>0.54632248119398985</v>
      </c>
      <c r="R14" s="17">
        <f>10*LOG10(Q14)</f>
        <v>-2.6255092788078596</v>
      </c>
      <c r="S14" s="18">
        <f>F14+N14-Kzt-H</f>
        <v>-40.017403427196925</v>
      </c>
      <c r="T14" s="17">
        <v>0.8</v>
      </c>
      <c r="U14" s="21">
        <f>T14*10^((S14-R14)/10)</f>
        <v>1.4584803159938822E-4</v>
      </c>
    </row>
    <row r="15" spans="1:21" x14ac:dyDescent="0.25">
      <c r="A15" s="24"/>
      <c r="B15" s="24"/>
      <c r="C15" s="17"/>
      <c r="D15" s="24"/>
      <c r="E15" s="24"/>
      <c r="F15" s="25"/>
      <c r="G15" s="1">
        <v>975</v>
      </c>
      <c r="H15" s="2">
        <v>96.5</v>
      </c>
      <c r="I15" s="2">
        <v>-22.3</v>
      </c>
      <c r="J15" s="2">
        <v>-25.8</v>
      </c>
      <c r="K15" s="2">
        <f t="shared" si="0"/>
        <v>-22.3</v>
      </c>
      <c r="L15" s="8">
        <f t="shared" si="1"/>
        <v>1.3182567385564068E-12</v>
      </c>
      <c r="M15" s="26"/>
      <c r="N15" s="17"/>
      <c r="O15" s="9">
        <f t="shared" si="2"/>
        <v>-25.8</v>
      </c>
      <c r="P15" s="8">
        <f>D14/B14*10^(O15/10)</f>
        <v>0.10258045168391978</v>
      </c>
      <c r="Q15" s="26"/>
      <c r="R15" s="17"/>
      <c r="S15" s="19"/>
      <c r="T15" s="17"/>
      <c r="U15" s="22"/>
    </row>
    <row r="16" spans="1:21" x14ac:dyDescent="0.25">
      <c r="A16" s="24"/>
      <c r="B16" s="24"/>
      <c r="C16" s="17"/>
      <c r="D16" s="24"/>
      <c r="E16" s="24"/>
      <c r="F16" s="25"/>
      <c r="G16" s="1">
        <v>1075</v>
      </c>
      <c r="H16" s="2">
        <v>94.6</v>
      </c>
      <c r="I16" s="2">
        <v>-20.399999999999999</v>
      </c>
      <c r="J16" s="2">
        <v>-25.2</v>
      </c>
      <c r="K16" s="2">
        <f t="shared" si="0"/>
        <v>-20.399999999999999</v>
      </c>
      <c r="L16" s="8">
        <f t="shared" si="1"/>
        <v>3.1622776601683669E-12</v>
      </c>
      <c r="M16" s="26"/>
      <c r="N16" s="17"/>
      <c r="O16" s="9">
        <f t="shared" si="2"/>
        <v>-25.2</v>
      </c>
      <c r="P16" s="8">
        <f>D14/B14*10^(O16/10)</f>
        <v>0.11777811709567852</v>
      </c>
      <c r="Q16" s="26"/>
      <c r="R16" s="17"/>
      <c r="S16" s="19"/>
      <c r="T16" s="17"/>
      <c r="U16" s="22"/>
    </row>
    <row r="17" spans="1:21" x14ac:dyDescent="0.25">
      <c r="A17" s="24"/>
      <c r="B17" s="24"/>
      <c r="C17" s="17"/>
      <c r="D17" s="24"/>
      <c r="E17" s="24"/>
      <c r="F17" s="25"/>
      <c r="G17" s="1">
        <v>1175</v>
      </c>
      <c r="H17" s="2">
        <v>97.8</v>
      </c>
      <c r="I17" s="2">
        <v>-24.4</v>
      </c>
      <c r="J17" s="2">
        <v>-28.6</v>
      </c>
      <c r="K17" s="2">
        <f t="shared" si="0"/>
        <v>-24.4</v>
      </c>
      <c r="L17" s="8">
        <f t="shared" si="1"/>
        <v>6.0255958607435742E-13</v>
      </c>
      <c r="M17" s="26"/>
      <c r="N17" s="17"/>
      <c r="O17" s="9">
        <f t="shared" si="2"/>
        <v>-28.6</v>
      </c>
      <c r="P17" s="8">
        <f>D14/B14*10^(O17/10)</f>
        <v>5.3834986319512453E-2</v>
      </c>
      <c r="Q17" s="26"/>
      <c r="R17" s="17"/>
      <c r="S17" s="19"/>
      <c r="T17" s="17"/>
      <c r="U17" s="22"/>
    </row>
    <row r="18" spans="1:21" x14ac:dyDescent="0.25">
      <c r="A18" s="24"/>
      <c r="B18" s="24"/>
      <c r="C18" s="17"/>
      <c r="D18" s="24"/>
      <c r="E18" s="24"/>
      <c r="F18" s="25"/>
      <c r="G18" s="1">
        <v>1275</v>
      </c>
      <c r="H18" s="2">
        <v>100.1</v>
      </c>
      <c r="I18" s="2">
        <v>-24.2</v>
      </c>
      <c r="J18" s="2">
        <v>-27</v>
      </c>
      <c r="K18" s="2">
        <f t="shared" si="0"/>
        <v>-24.2</v>
      </c>
      <c r="L18" s="8">
        <f t="shared" si="1"/>
        <v>3.7153522909717175E-13</v>
      </c>
      <c r="M18" s="26"/>
      <c r="N18" s="17"/>
      <c r="O18" s="9">
        <f t="shared" si="2"/>
        <v>-27</v>
      </c>
      <c r="P18" s="8">
        <f>D14/B14*10^(O18/10)</f>
        <v>7.7815230283786244E-2</v>
      </c>
      <c r="Q18" s="26"/>
      <c r="R18" s="17"/>
      <c r="S18" s="19"/>
      <c r="T18" s="17"/>
      <c r="U18" s="22"/>
    </row>
    <row r="19" spans="1:21" x14ac:dyDescent="0.25">
      <c r="A19" s="24"/>
      <c r="B19" s="24"/>
      <c r="C19" s="17"/>
      <c r="D19" s="24"/>
      <c r="E19" s="24"/>
      <c r="F19" s="25"/>
      <c r="G19" s="1">
        <v>1375</v>
      </c>
      <c r="H19" s="2">
        <v>103</v>
      </c>
      <c r="I19" s="2">
        <v>-23.5</v>
      </c>
      <c r="J19" s="2">
        <v>-26.4</v>
      </c>
      <c r="K19" s="2">
        <f t="shared" si="0"/>
        <v>-23.5</v>
      </c>
      <c r="L19" s="8">
        <f t="shared" si="1"/>
        <v>2.238721138568332E-13</v>
      </c>
      <c r="M19" s="26"/>
      <c r="N19" s="17"/>
      <c r="O19" s="9">
        <f t="shared" si="2"/>
        <v>-26.4</v>
      </c>
      <c r="P19" s="8">
        <f>D14/B14*10^(O19/10)</f>
        <v>8.9343838457943178E-2</v>
      </c>
      <c r="Q19" s="26"/>
      <c r="R19" s="17"/>
      <c r="S19" s="20"/>
      <c r="T19" s="17"/>
      <c r="U19" s="23"/>
    </row>
    <row r="20" spans="1:21" x14ac:dyDescent="0.25">
      <c r="A20" s="24">
        <v>2000</v>
      </c>
      <c r="B20" s="24">
        <v>3</v>
      </c>
      <c r="C20" s="17">
        <v>0.5</v>
      </c>
      <c r="D20" s="24">
        <v>234</v>
      </c>
      <c r="E20" s="24">
        <v>6</v>
      </c>
      <c r="F20" s="25">
        <v>68</v>
      </c>
      <c r="G20" s="1">
        <v>1425</v>
      </c>
      <c r="H20" s="2">
        <v>102.8</v>
      </c>
      <c r="I20" s="2">
        <v>-20</v>
      </c>
      <c r="J20" s="2">
        <v>-26.4</v>
      </c>
      <c r="K20" s="2">
        <f t="shared" si="0"/>
        <v>-20</v>
      </c>
      <c r="L20" s="8">
        <f t="shared" si="1"/>
        <v>5.2480746024977259E-13</v>
      </c>
      <c r="M20" s="26">
        <f>SUM(L20:L25)</f>
        <v>3.2877711490716514E-12</v>
      </c>
      <c r="N20" s="17">
        <f>10*LOG10(M20/E20)</f>
        <v>-122.61249670273033</v>
      </c>
      <c r="O20" s="9">
        <f t="shared" si="2"/>
        <v>-26.4</v>
      </c>
      <c r="P20" s="8">
        <f>D20/B20*10^(O20/10)</f>
        <v>0.17868767691588636</v>
      </c>
      <c r="Q20" s="26">
        <f>SUM(P20:P25)</f>
        <v>1.0496044926735466</v>
      </c>
      <c r="R20" s="17">
        <f>10*LOG10(Q20)</f>
        <v>0.21025680967517307</v>
      </c>
      <c r="S20" s="18">
        <f>F20+N20-Kzt-H</f>
        <v>-54.612496702730326</v>
      </c>
      <c r="T20" s="17">
        <v>1</v>
      </c>
      <c r="U20" s="21">
        <f>T20*10^((S20-R20)/10)</f>
        <v>3.2940079937361803E-6</v>
      </c>
    </row>
    <row r="21" spans="1:21" x14ac:dyDescent="0.25">
      <c r="A21" s="24"/>
      <c r="B21" s="24"/>
      <c r="C21" s="17"/>
      <c r="D21" s="24"/>
      <c r="E21" s="24"/>
      <c r="F21" s="25"/>
      <c r="G21" s="1">
        <v>1625</v>
      </c>
      <c r="H21" s="2">
        <v>104.1</v>
      </c>
      <c r="I21" s="2">
        <v>-24.6</v>
      </c>
      <c r="J21" s="2">
        <v>-26.1</v>
      </c>
      <c r="K21" s="2">
        <f t="shared" si="0"/>
        <v>-24.6</v>
      </c>
      <c r="L21" s="8">
        <f t="shared" si="1"/>
        <v>1.3489628825916516E-13</v>
      </c>
      <c r="M21" s="26"/>
      <c r="N21" s="17"/>
      <c r="O21" s="9">
        <f t="shared" si="2"/>
        <v>-26.1</v>
      </c>
      <c r="P21" s="8">
        <f>D20/B20*10^(O21/10)</f>
        <v>0.19146729542343205</v>
      </c>
      <c r="Q21" s="26"/>
      <c r="R21" s="17"/>
      <c r="S21" s="19"/>
      <c r="T21" s="17"/>
      <c r="U21" s="22"/>
    </row>
    <row r="22" spans="1:21" x14ac:dyDescent="0.25">
      <c r="A22" s="24"/>
      <c r="B22" s="24"/>
      <c r="C22" s="17"/>
      <c r="D22" s="24"/>
      <c r="E22" s="24"/>
      <c r="F22" s="25"/>
      <c r="G22" s="1">
        <v>1825</v>
      </c>
      <c r="H22" s="2">
        <v>107.6</v>
      </c>
      <c r="I22" s="2">
        <v>-23.2</v>
      </c>
      <c r="J22" s="2">
        <v>-27</v>
      </c>
      <c r="K22" s="2">
        <f t="shared" si="0"/>
        <v>-23.2</v>
      </c>
      <c r="L22" s="8">
        <f t="shared" si="1"/>
        <v>8.3176377110267161E-14</v>
      </c>
      <c r="M22" s="26"/>
      <c r="N22" s="17"/>
      <c r="O22" s="9">
        <f t="shared" si="2"/>
        <v>-27</v>
      </c>
      <c r="P22" s="8">
        <f>D20/B20*10^(O22/10)</f>
        <v>0.15563046056757249</v>
      </c>
      <c r="Q22" s="26"/>
      <c r="R22" s="17"/>
      <c r="S22" s="19"/>
      <c r="T22" s="17"/>
      <c r="U22" s="22"/>
    </row>
    <row r="23" spans="1:21" x14ac:dyDescent="0.25">
      <c r="A23" s="24"/>
      <c r="B23" s="24"/>
      <c r="C23" s="17"/>
      <c r="D23" s="24"/>
      <c r="E23" s="24"/>
      <c r="F23" s="25"/>
      <c r="G23" s="1">
        <v>2125</v>
      </c>
      <c r="H23" s="2">
        <v>104.2</v>
      </c>
      <c r="I23" s="2">
        <v>-22.7</v>
      </c>
      <c r="J23" s="2">
        <v>-26.1</v>
      </c>
      <c r="K23" s="2">
        <f t="shared" si="0"/>
        <v>-22.7</v>
      </c>
      <c r="L23" s="8">
        <f t="shared" si="1"/>
        <v>2.0417379446695155E-13</v>
      </c>
      <c r="M23" s="26"/>
      <c r="N23" s="17"/>
      <c r="O23" s="9">
        <f t="shared" si="2"/>
        <v>-26.1</v>
      </c>
      <c r="P23" s="8">
        <f>D20/B20*10^(O23/10)</f>
        <v>0.19146729542343205</v>
      </c>
      <c r="Q23" s="26"/>
      <c r="R23" s="17"/>
      <c r="S23" s="19"/>
      <c r="T23" s="17"/>
      <c r="U23" s="22"/>
    </row>
    <row r="24" spans="1:21" x14ac:dyDescent="0.25">
      <c r="A24" s="24"/>
      <c r="B24" s="24"/>
      <c r="C24" s="17"/>
      <c r="D24" s="24"/>
      <c r="E24" s="24"/>
      <c r="F24" s="25"/>
      <c r="G24" s="1">
        <v>2425</v>
      </c>
      <c r="H24" s="2">
        <v>93.7</v>
      </c>
      <c r="I24" s="2">
        <v>-23.6</v>
      </c>
      <c r="J24" s="2">
        <v>-27.3</v>
      </c>
      <c r="K24" s="2">
        <f t="shared" si="0"/>
        <v>-23.6</v>
      </c>
      <c r="L24" s="8">
        <f t="shared" si="1"/>
        <v>1.8620871366628578E-12</v>
      </c>
      <c r="M24" s="26"/>
      <c r="N24" s="17"/>
      <c r="O24" s="9">
        <f t="shared" si="2"/>
        <v>-27.3</v>
      </c>
      <c r="P24" s="8">
        <f>D20/B20*10^(O24/10)</f>
        <v>0.14524279665970358</v>
      </c>
      <c r="Q24" s="26"/>
      <c r="R24" s="17"/>
      <c r="S24" s="19"/>
      <c r="T24" s="17"/>
      <c r="U24" s="22"/>
    </row>
    <row r="25" spans="1:21" x14ac:dyDescent="0.25">
      <c r="A25" s="24"/>
      <c r="B25" s="24"/>
      <c r="C25" s="17"/>
      <c r="D25" s="24"/>
      <c r="E25" s="24"/>
      <c r="F25" s="25"/>
      <c r="G25" s="1">
        <v>2775</v>
      </c>
      <c r="H25" s="2">
        <v>100.2</v>
      </c>
      <c r="I25" s="2">
        <v>-23</v>
      </c>
      <c r="J25" s="2">
        <v>-26.2</v>
      </c>
      <c r="K25" s="2">
        <f t="shared" si="0"/>
        <v>-23</v>
      </c>
      <c r="L25" s="8">
        <f t="shared" si="1"/>
        <v>4.7863009232263685E-13</v>
      </c>
      <c r="M25" s="26"/>
      <c r="N25" s="17"/>
      <c r="O25" s="9">
        <f t="shared" si="2"/>
        <v>-26.2</v>
      </c>
      <c r="P25" s="8">
        <f>D20/B20*10^(O25/10)</f>
        <v>0.18710896768352012</v>
      </c>
      <c r="Q25" s="26"/>
      <c r="R25" s="17"/>
      <c r="S25" s="20"/>
      <c r="T25" s="17"/>
      <c r="U25" s="23"/>
    </row>
    <row r="26" spans="1:21" x14ac:dyDescent="0.25">
      <c r="A26" s="24">
        <v>4000</v>
      </c>
      <c r="B26" s="24">
        <v>3</v>
      </c>
      <c r="C26" s="17">
        <v>0.5</v>
      </c>
      <c r="D26" s="24">
        <v>470</v>
      </c>
      <c r="E26" s="24">
        <v>6</v>
      </c>
      <c r="F26" s="25">
        <v>62</v>
      </c>
      <c r="G26" s="1">
        <v>2825</v>
      </c>
      <c r="H26" s="2">
        <v>99.4</v>
      </c>
      <c r="I26" s="2">
        <v>-20.9</v>
      </c>
      <c r="J26" s="2">
        <v>-28.4</v>
      </c>
      <c r="K26" s="2">
        <f t="shared" si="0"/>
        <v>-20.9</v>
      </c>
      <c r="L26" s="8">
        <f t="shared" si="1"/>
        <v>9.3325430079698564E-13</v>
      </c>
      <c r="M26" s="26">
        <f>SUM(L26:L31)</f>
        <v>3.2000027857505119E-12</v>
      </c>
      <c r="N26" s="17">
        <f>10*LOG10(M26/E26)</f>
        <v>-122.7300089399013</v>
      </c>
      <c r="O26" s="9">
        <f t="shared" si="2"/>
        <v>-28.4</v>
      </c>
      <c r="P26" s="8">
        <f>D26/B26*10^(O26/10)</f>
        <v>0.22645223075019524</v>
      </c>
      <c r="Q26" s="26">
        <f>SUM(P26:P31)</f>
        <v>1.4087774853102772</v>
      </c>
      <c r="R26" s="17">
        <f>10*LOG10(Q26)</f>
        <v>1.4884240224113232</v>
      </c>
      <c r="S26" s="18">
        <f>F26+N26-Kzt-H</f>
        <v>-60.730008939901296</v>
      </c>
      <c r="T26" s="17">
        <v>0.9</v>
      </c>
      <c r="U26" s="21">
        <f>T26*10^((S26-R26)/10)</f>
        <v>5.4000678075951374E-7</v>
      </c>
    </row>
    <row r="27" spans="1:21" x14ac:dyDescent="0.25">
      <c r="A27" s="24"/>
      <c r="B27" s="24"/>
      <c r="C27" s="17"/>
      <c r="D27" s="24"/>
      <c r="E27" s="24"/>
      <c r="F27" s="25"/>
      <c r="G27" s="1">
        <v>3425</v>
      </c>
      <c r="H27" s="2">
        <v>103.5</v>
      </c>
      <c r="I27" s="2">
        <v>-25.7</v>
      </c>
      <c r="J27" s="2">
        <v>-28.1</v>
      </c>
      <c r="K27" s="2">
        <f t="shared" si="0"/>
        <v>-25.7</v>
      </c>
      <c r="L27" s="8">
        <f t="shared" si="1"/>
        <v>1.2022644346174159E-13</v>
      </c>
      <c r="M27" s="26"/>
      <c r="N27" s="17"/>
      <c r="O27" s="9">
        <f t="shared" si="2"/>
        <v>-28.1</v>
      </c>
      <c r="P27" s="8">
        <f>D26/B26*10^(O27/10)</f>
        <v>0.24264793696295522</v>
      </c>
      <c r="Q27" s="26"/>
      <c r="R27" s="17"/>
      <c r="S27" s="19"/>
      <c r="T27" s="17"/>
      <c r="U27" s="22"/>
    </row>
    <row r="28" spans="1:21" x14ac:dyDescent="0.25">
      <c r="A28" s="24"/>
      <c r="B28" s="24"/>
      <c r="C28" s="17"/>
      <c r="D28" s="24"/>
      <c r="E28" s="24"/>
      <c r="F28" s="25"/>
      <c r="G28" s="1">
        <v>4025</v>
      </c>
      <c r="H28" s="2">
        <v>103.6</v>
      </c>
      <c r="I28" s="2">
        <v>-20.6</v>
      </c>
      <c r="J28" s="2">
        <v>-28.3</v>
      </c>
      <c r="K28" s="2">
        <f t="shared" si="0"/>
        <v>-20.6</v>
      </c>
      <c r="L28" s="8">
        <f t="shared" si="1"/>
        <v>3.8018939632056172E-13</v>
      </c>
      <c r="M28" s="26"/>
      <c r="N28" s="17"/>
      <c r="O28" s="9">
        <f t="shared" si="2"/>
        <v>-28.3</v>
      </c>
      <c r="P28" s="8">
        <f>D26/B26*10^(O28/10)</f>
        <v>0.23172698081301901</v>
      </c>
      <c r="Q28" s="26"/>
      <c r="R28" s="17"/>
      <c r="S28" s="19"/>
      <c r="T28" s="17"/>
      <c r="U28" s="22"/>
    </row>
    <row r="29" spans="1:21" x14ac:dyDescent="0.25">
      <c r="A29" s="24"/>
      <c r="B29" s="24"/>
      <c r="C29" s="17"/>
      <c r="D29" s="24"/>
      <c r="E29" s="24"/>
      <c r="F29" s="25"/>
      <c r="G29" s="1">
        <v>4625</v>
      </c>
      <c r="H29" s="2">
        <v>105.6</v>
      </c>
      <c r="I29" s="2">
        <v>-21.2</v>
      </c>
      <c r="J29" s="2">
        <v>-31.3</v>
      </c>
      <c r="K29" s="2">
        <f t="shared" si="0"/>
        <v>-21.2</v>
      </c>
      <c r="L29" s="8">
        <f t="shared" si="1"/>
        <v>2.0892961308540331E-13</v>
      </c>
      <c r="M29" s="26"/>
      <c r="N29" s="17"/>
      <c r="O29" s="9">
        <f t="shared" si="2"/>
        <v>-31.3</v>
      </c>
      <c r="P29" s="8">
        <f>D26/B26*10^(O29/10)</f>
        <v>0.11613860447047704</v>
      </c>
      <c r="Q29" s="26"/>
      <c r="R29" s="17"/>
      <c r="S29" s="19"/>
      <c r="T29" s="17"/>
      <c r="U29" s="22"/>
    </row>
    <row r="30" spans="1:21" x14ac:dyDescent="0.25">
      <c r="A30" s="24"/>
      <c r="B30" s="24"/>
      <c r="C30" s="17"/>
      <c r="D30" s="24"/>
      <c r="E30" s="24"/>
      <c r="F30" s="25"/>
      <c r="G30" s="1">
        <v>5225</v>
      </c>
      <c r="H30" s="2">
        <v>103.5</v>
      </c>
      <c r="I30" s="2">
        <v>-22.2</v>
      </c>
      <c r="J30" s="2">
        <v>-29.9</v>
      </c>
      <c r="K30" s="2">
        <f t="shared" si="0"/>
        <v>-22.2</v>
      </c>
      <c r="L30" s="8">
        <f t="shared" si="1"/>
        <v>2.6915348039269041E-13</v>
      </c>
      <c r="M30" s="26"/>
      <c r="N30" s="17"/>
      <c r="O30" s="9">
        <f t="shared" si="2"/>
        <v>-29.9</v>
      </c>
      <c r="P30" s="8">
        <f>D26/B26*10^(O30/10)</f>
        <v>0.1603159021239848</v>
      </c>
      <c r="Q30" s="26"/>
      <c r="R30" s="17"/>
      <c r="S30" s="19"/>
      <c r="T30" s="17"/>
      <c r="U30" s="22"/>
    </row>
    <row r="31" spans="1:21" x14ac:dyDescent="0.25">
      <c r="A31" s="24"/>
      <c r="B31" s="24"/>
      <c r="C31" s="17"/>
      <c r="D31" s="24"/>
      <c r="E31" s="24"/>
      <c r="F31" s="25"/>
      <c r="G31" s="1">
        <v>5625</v>
      </c>
      <c r="H31" s="2">
        <v>99.5</v>
      </c>
      <c r="I31" s="2">
        <v>-19.399999999999999</v>
      </c>
      <c r="J31" s="2">
        <v>-25.6</v>
      </c>
      <c r="K31" s="2">
        <f t="shared" si="0"/>
        <v>-19.399999999999999</v>
      </c>
      <c r="L31" s="8">
        <f t="shared" si="1"/>
        <v>1.2882495516931293E-12</v>
      </c>
      <c r="M31" s="26"/>
      <c r="N31" s="17"/>
      <c r="O31" s="9">
        <f t="shared" si="2"/>
        <v>-25.6</v>
      </c>
      <c r="P31" s="8">
        <f>D26/B26*10^(O31/10)</f>
        <v>0.43149583018964582</v>
      </c>
      <c r="Q31" s="26"/>
      <c r="R31" s="17"/>
      <c r="S31" s="20"/>
      <c r="T31" s="17"/>
      <c r="U31" s="23"/>
    </row>
    <row r="32" spans="1:21" x14ac:dyDescent="0.25">
      <c r="A32" s="24">
        <v>8000</v>
      </c>
      <c r="B32" s="24">
        <v>3</v>
      </c>
      <c r="C32" s="17">
        <v>0.5</v>
      </c>
      <c r="D32" s="24">
        <v>943</v>
      </c>
      <c r="E32" s="24">
        <v>6</v>
      </c>
      <c r="F32" s="25">
        <v>54</v>
      </c>
      <c r="G32" s="1">
        <v>6025</v>
      </c>
      <c r="H32" s="2">
        <v>95</v>
      </c>
      <c r="I32" s="2">
        <v>-21.2</v>
      </c>
      <c r="J32" s="2">
        <v>-26.7</v>
      </c>
      <c r="K32" s="2">
        <f t="shared" si="0"/>
        <v>-21.2</v>
      </c>
      <c r="L32" s="8">
        <f t="shared" si="1"/>
        <v>2.3988329190194755E-12</v>
      </c>
      <c r="M32" s="26">
        <f>SUM(L32:L37)</f>
        <v>5.0093904057900268E-11</v>
      </c>
      <c r="N32" s="17">
        <f>10*LOG10(M32/E32)</f>
        <v>-110.78366370725837</v>
      </c>
      <c r="O32" s="9">
        <f t="shared" si="2"/>
        <v>-26.7</v>
      </c>
      <c r="P32" s="8">
        <f>D32/B32*10^(O32/10)</f>
        <v>0.67203275013353481</v>
      </c>
      <c r="Q32" s="26">
        <f>SUM(P32:P37)</f>
        <v>3.8172301801392767</v>
      </c>
      <c r="R32" s="17">
        <f>10*LOG10(Q32)</f>
        <v>5.8174834882787323</v>
      </c>
      <c r="S32" s="18">
        <f>F32+N32-Kzt-H</f>
        <v>-56.78366370725837</v>
      </c>
      <c r="T32" s="17">
        <v>0.7</v>
      </c>
      <c r="U32" s="21">
        <f>T32*10^((S32-R32)/10)</f>
        <v>3.8457701167435541E-7</v>
      </c>
    </row>
    <row r="33" spans="1:21" x14ac:dyDescent="0.25">
      <c r="A33" s="24"/>
      <c r="B33" s="24"/>
      <c r="C33" s="17"/>
      <c r="D33" s="24"/>
      <c r="E33" s="24"/>
      <c r="F33" s="25"/>
      <c r="G33" s="1">
        <v>7025</v>
      </c>
      <c r="H33" s="2">
        <v>94.8</v>
      </c>
      <c r="I33" s="2">
        <v>-17.3</v>
      </c>
      <c r="J33" s="2">
        <v>-25.9</v>
      </c>
      <c r="K33" s="2">
        <f t="shared" si="0"/>
        <v>-17.3</v>
      </c>
      <c r="L33" s="8">
        <f t="shared" si="1"/>
        <v>6.1659500186148244E-12</v>
      </c>
      <c r="M33" s="26"/>
      <c r="N33" s="17"/>
      <c r="O33" s="9">
        <f t="shared" si="2"/>
        <v>-25.9</v>
      </c>
      <c r="P33" s="8">
        <f>D32/B32*10^(O33/10)</f>
        <v>0.80796107438367948</v>
      </c>
      <c r="Q33" s="26"/>
      <c r="R33" s="17"/>
      <c r="S33" s="19"/>
      <c r="T33" s="17"/>
      <c r="U33" s="22"/>
    </row>
    <row r="34" spans="1:21" x14ac:dyDescent="0.25">
      <c r="A34" s="24"/>
      <c r="B34" s="24"/>
      <c r="C34" s="17"/>
      <c r="D34" s="24"/>
      <c r="E34" s="24"/>
      <c r="F34" s="25"/>
      <c r="G34" s="1">
        <v>8025</v>
      </c>
      <c r="H34" s="2">
        <v>101.9</v>
      </c>
      <c r="I34" s="2">
        <v>-15</v>
      </c>
      <c r="J34" s="2">
        <v>-32.799999999999997</v>
      </c>
      <c r="K34" s="2">
        <f t="shared" si="0"/>
        <v>-15</v>
      </c>
      <c r="L34" s="8">
        <f t="shared" si="1"/>
        <v>2.0417379446695178E-12</v>
      </c>
      <c r="M34" s="26"/>
      <c r="N34" s="17"/>
      <c r="O34" s="9">
        <f t="shared" si="2"/>
        <v>-32.799999999999997</v>
      </c>
      <c r="P34" s="8">
        <f>D32/B32*10^(O34/10)</f>
        <v>0.16496447833851174</v>
      </c>
      <c r="Q34" s="26"/>
      <c r="R34" s="17"/>
      <c r="S34" s="19"/>
      <c r="T34" s="17"/>
      <c r="U34" s="22"/>
    </row>
    <row r="35" spans="1:21" x14ac:dyDescent="0.25">
      <c r="A35" s="24"/>
      <c r="B35" s="24"/>
      <c r="C35" s="17"/>
      <c r="D35" s="24"/>
      <c r="E35" s="24"/>
      <c r="F35" s="25"/>
      <c r="G35" s="1">
        <v>9025</v>
      </c>
      <c r="H35" s="2">
        <v>93.2</v>
      </c>
      <c r="I35" s="2">
        <v>-20.9</v>
      </c>
      <c r="J35" s="2">
        <v>-26.9</v>
      </c>
      <c r="K35" s="2">
        <f t="shared" si="0"/>
        <v>-20.9</v>
      </c>
      <c r="L35" s="8">
        <f t="shared" si="1"/>
        <v>3.890451449942802E-12</v>
      </c>
      <c r="M35" s="26"/>
      <c r="N35" s="17"/>
      <c r="O35" s="9">
        <f t="shared" si="2"/>
        <v>-26.9</v>
      </c>
      <c r="P35" s="8">
        <f>D32/B32*10^(O35/10)</f>
        <v>0.64178629394112197</v>
      </c>
      <c r="Q35" s="26"/>
      <c r="R35" s="17"/>
      <c r="S35" s="19"/>
      <c r="T35" s="17"/>
      <c r="U35" s="22"/>
    </row>
    <row r="36" spans="1:21" x14ac:dyDescent="0.25">
      <c r="A36" s="24"/>
      <c r="B36" s="24"/>
      <c r="C36" s="17"/>
      <c r="D36" s="24"/>
      <c r="E36" s="24"/>
      <c r="F36" s="25"/>
      <c r="G36" s="1">
        <v>10025</v>
      </c>
      <c r="H36" s="2">
        <v>88.3</v>
      </c>
      <c r="I36" s="2">
        <v>-23</v>
      </c>
      <c r="J36" s="2">
        <v>-25.8</v>
      </c>
      <c r="K36" s="2">
        <f t="shared" si="0"/>
        <v>-23</v>
      </c>
      <c r="L36" s="8">
        <f t="shared" si="1"/>
        <v>7.4131024130091739E-12</v>
      </c>
      <c r="M36" s="26"/>
      <c r="N36" s="17"/>
      <c r="O36" s="9">
        <f t="shared" si="2"/>
        <v>-25.8</v>
      </c>
      <c r="P36" s="8">
        <f>D32/B32*10^(O36/10)</f>
        <v>0.82678090545244742</v>
      </c>
      <c r="Q36" s="26"/>
      <c r="R36" s="17"/>
      <c r="S36" s="19"/>
      <c r="T36" s="17"/>
      <c r="U36" s="22"/>
    </row>
    <row r="37" spans="1:21" x14ac:dyDescent="0.25">
      <c r="A37" s="24"/>
      <c r="B37" s="24"/>
      <c r="C37" s="17"/>
      <c r="D37" s="24"/>
      <c r="E37" s="24"/>
      <c r="F37" s="25"/>
      <c r="G37" s="1">
        <v>11025</v>
      </c>
      <c r="H37" s="2">
        <v>86</v>
      </c>
      <c r="I37" s="2">
        <v>-19.5</v>
      </c>
      <c r="J37" s="2">
        <v>-26.5</v>
      </c>
      <c r="K37" s="2">
        <f t="shared" si="0"/>
        <v>-19.5</v>
      </c>
      <c r="L37" s="8">
        <f t="shared" si="1"/>
        <v>2.8183829312644474E-11</v>
      </c>
      <c r="M37" s="26"/>
      <c r="N37" s="17"/>
      <c r="O37" s="9">
        <f t="shared" si="2"/>
        <v>-26.5</v>
      </c>
      <c r="P37" s="8">
        <f>D32/B32*10^(O37/10)</f>
        <v>0.70370467788998103</v>
      </c>
      <c r="Q37" s="26"/>
      <c r="R37" s="17"/>
      <c r="S37" s="20"/>
      <c r="T37" s="17"/>
      <c r="U37" s="23"/>
    </row>
    <row r="38" spans="1:21" x14ac:dyDescent="0.25">
      <c r="A38" s="24" t="s">
        <v>20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12">
        <f>U38</f>
        <v>7.2373710686092232E-2</v>
      </c>
      <c r="T38" s="2"/>
      <c r="U38" s="8">
        <f>0.8*SQRT(SUM(U4:U37))</f>
        <v>7.2373710686092232E-2</v>
      </c>
    </row>
    <row r="39" spans="1:21" x14ac:dyDescent="0.25">
      <c r="A39" s="27" t="s">
        <v>73</v>
      </c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9"/>
    </row>
    <row r="40" spans="1:21" x14ac:dyDescent="0.25">
      <c r="A40" s="24">
        <v>250</v>
      </c>
      <c r="B40" s="24">
        <v>3</v>
      </c>
      <c r="C40" s="17">
        <v>0.5</v>
      </c>
      <c r="D40" s="24">
        <v>38</v>
      </c>
      <c r="E40" s="24">
        <v>4</v>
      </c>
      <c r="F40" s="25">
        <v>84</v>
      </c>
      <c r="G40" s="1">
        <v>175</v>
      </c>
      <c r="H40" s="2">
        <v>84.8</v>
      </c>
      <c r="I40" s="2">
        <v>-19</v>
      </c>
      <c r="J40" s="2">
        <v>-27.6</v>
      </c>
      <c r="K40" s="2">
        <f>I40</f>
        <v>-19</v>
      </c>
      <c r="L40" s="8">
        <f>10^((K40-H40)/10)</f>
        <v>4.1686938347033529E-11</v>
      </c>
      <c r="M40" s="26">
        <f>SUM(L40:L43)</f>
        <v>6.633614711608568E-11</v>
      </c>
      <c r="N40" s="17">
        <f>10*LOG10(M40/E40)</f>
        <v>-107.80309747762462</v>
      </c>
      <c r="O40" s="9">
        <f>J40</f>
        <v>-27.6</v>
      </c>
      <c r="P40" s="8">
        <f>D40/B40*10^(O40/10)</f>
        <v>2.2012143830825396E-2</v>
      </c>
      <c r="Q40" s="26">
        <f>SUM(P40:P43)</f>
        <v>0.10086524722971253</v>
      </c>
      <c r="R40" s="17">
        <f>10*LOG10(Q40)</f>
        <v>-9.9625844264492809</v>
      </c>
      <c r="S40" s="18">
        <f>F40+N40-Kzt-H</f>
        <v>-23.803097477624618</v>
      </c>
      <c r="T40" s="17">
        <v>0.2</v>
      </c>
      <c r="U40" s="21">
        <f>T40*10^((S40-R40)/10)</f>
        <v>8.2599741950780767E-3</v>
      </c>
    </row>
    <row r="41" spans="1:21" x14ac:dyDescent="0.25">
      <c r="A41" s="24"/>
      <c r="B41" s="24"/>
      <c r="C41" s="17"/>
      <c r="D41" s="24"/>
      <c r="E41" s="24"/>
      <c r="F41" s="25"/>
      <c r="G41" s="1">
        <v>225</v>
      </c>
      <c r="H41" s="2">
        <v>90</v>
      </c>
      <c r="I41" s="2">
        <v>-17.5</v>
      </c>
      <c r="J41" s="2">
        <v>-27</v>
      </c>
      <c r="K41" s="2">
        <f t="shared" ref="K41:K73" si="3">I41</f>
        <v>-17.5</v>
      </c>
      <c r="L41" s="8">
        <f t="shared" ref="L41:L42" si="4">10^((K41-H41)/10)</f>
        <v>1.7782794100389159E-11</v>
      </c>
      <c r="M41" s="26"/>
      <c r="N41" s="17"/>
      <c r="O41" s="9">
        <f t="shared" ref="O41:O73" si="5">J41</f>
        <v>-27</v>
      </c>
      <c r="P41" s="8">
        <f>D40/B40*10^(O41/10)</f>
        <v>2.5273322656272454E-2</v>
      </c>
      <c r="Q41" s="26"/>
      <c r="R41" s="17"/>
      <c r="S41" s="19"/>
      <c r="T41" s="17"/>
      <c r="U41" s="22"/>
    </row>
    <row r="42" spans="1:21" x14ac:dyDescent="0.25">
      <c r="A42" s="24"/>
      <c r="B42" s="24"/>
      <c r="C42" s="17"/>
      <c r="D42" s="24"/>
      <c r="E42" s="24"/>
      <c r="F42" s="25"/>
      <c r="G42" s="1">
        <v>275</v>
      </c>
      <c r="H42" s="2">
        <v>92.2</v>
      </c>
      <c r="I42" s="2">
        <v>-20.7</v>
      </c>
      <c r="J42" s="2">
        <v>-27.8</v>
      </c>
      <c r="K42" s="2">
        <f t="shared" si="3"/>
        <v>-20.7</v>
      </c>
      <c r="L42" s="8">
        <f t="shared" si="4"/>
        <v>5.1286138399136186E-12</v>
      </c>
      <c r="M42" s="26"/>
      <c r="N42" s="17"/>
      <c r="O42" s="9">
        <f t="shared" si="5"/>
        <v>-27.8</v>
      </c>
      <c r="P42" s="8">
        <f>D40/B40*10^(O42/10)</f>
        <v>2.1021434160875749E-2</v>
      </c>
      <c r="Q42" s="26"/>
      <c r="R42" s="17"/>
      <c r="S42" s="19"/>
      <c r="T42" s="17"/>
      <c r="U42" s="22"/>
    </row>
    <row r="43" spans="1:21" x14ac:dyDescent="0.25">
      <c r="A43" s="24"/>
      <c r="B43" s="24"/>
      <c r="C43" s="17"/>
      <c r="D43" s="24"/>
      <c r="E43" s="24"/>
      <c r="F43" s="25"/>
      <c r="G43" s="1">
        <v>325</v>
      </c>
      <c r="H43" s="2">
        <v>93.3</v>
      </c>
      <c r="I43" s="2">
        <v>-24.3</v>
      </c>
      <c r="J43" s="2">
        <v>-25.9</v>
      </c>
      <c r="K43" s="2">
        <f t="shared" si="3"/>
        <v>-24.3</v>
      </c>
      <c r="L43" s="8">
        <f>10^((K43-H43)/10)</f>
        <v>1.737800828749373E-12</v>
      </c>
      <c r="M43" s="26"/>
      <c r="N43" s="17"/>
      <c r="O43" s="9">
        <f t="shared" si="5"/>
        <v>-25.9</v>
      </c>
      <c r="P43" s="8">
        <f>D40/B40*10^(O43/10)</f>
        <v>3.2558346581738937E-2</v>
      </c>
      <c r="Q43" s="26"/>
      <c r="R43" s="17"/>
      <c r="S43" s="20"/>
      <c r="T43" s="17"/>
      <c r="U43" s="23"/>
    </row>
    <row r="44" spans="1:21" x14ac:dyDescent="0.25">
      <c r="A44" s="24">
        <v>500</v>
      </c>
      <c r="B44" s="24">
        <v>3</v>
      </c>
      <c r="C44" s="17">
        <v>0.5</v>
      </c>
      <c r="D44" s="24">
        <v>59</v>
      </c>
      <c r="E44" s="24">
        <v>6</v>
      </c>
      <c r="F44" s="25">
        <v>84</v>
      </c>
      <c r="G44" s="1">
        <v>375</v>
      </c>
      <c r="H44" s="2">
        <v>91.9</v>
      </c>
      <c r="I44" s="2">
        <v>-21.8</v>
      </c>
      <c r="J44" s="2">
        <v>-23.6</v>
      </c>
      <c r="K44" s="2">
        <f t="shared" si="3"/>
        <v>-21.8</v>
      </c>
      <c r="L44" s="8">
        <f t="shared" ref="L44:L45" si="6">10^((K44-H44)/10)</f>
        <v>4.2657951880159045E-12</v>
      </c>
      <c r="M44" s="26">
        <f>SUM(L44:L49)</f>
        <v>2.4228858307191282E-11</v>
      </c>
      <c r="N44" s="17">
        <f>10*LOG10(M44/E44)</f>
        <v>-113.93818300239894</v>
      </c>
      <c r="O44" s="9">
        <f t="shared" si="5"/>
        <v>-23.6</v>
      </c>
      <c r="P44" s="8">
        <f>D44/B44*10^(O44/10)</f>
        <v>8.584811367389919E-2</v>
      </c>
      <c r="Q44" s="26">
        <f>SUM(P44:P49)</f>
        <v>0.20057699967829179</v>
      </c>
      <c r="R44" s="17">
        <f>10*LOG10(Q44)</f>
        <v>-6.9771886934898166</v>
      </c>
      <c r="S44" s="18">
        <f>F44+N44-Kzt-H</f>
        <v>-29.938183002398944</v>
      </c>
      <c r="T44" s="17">
        <v>0.5</v>
      </c>
      <c r="U44" s="21">
        <f>T44*10^((S44-R44)/10)</f>
        <v>2.5285443383512062E-3</v>
      </c>
    </row>
    <row r="45" spans="1:21" x14ac:dyDescent="0.25">
      <c r="A45" s="24"/>
      <c r="B45" s="24"/>
      <c r="C45" s="17"/>
      <c r="D45" s="24"/>
      <c r="E45" s="24"/>
      <c r="F45" s="25"/>
      <c r="G45" s="1">
        <v>425</v>
      </c>
      <c r="H45" s="2">
        <v>88.1</v>
      </c>
      <c r="I45" s="2">
        <v>-22</v>
      </c>
      <c r="J45" s="2">
        <v>-31.8</v>
      </c>
      <c r="K45" s="2">
        <f t="shared" si="3"/>
        <v>-22</v>
      </c>
      <c r="L45" s="8">
        <f t="shared" si="6"/>
        <v>9.7723722095580929E-12</v>
      </c>
      <c r="M45" s="26"/>
      <c r="N45" s="17"/>
      <c r="O45" s="9">
        <f t="shared" si="5"/>
        <v>-31.8</v>
      </c>
      <c r="P45" s="8">
        <f>D44/B44*10^(O45/10)</f>
        <v>1.2993637810816045E-2</v>
      </c>
      <c r="Q45" s="26"/>
      <c r="R45" s="17"/>
      <c r="S45" s="19"/>
      <c r="T45" s="17"/>
      <c r="U45" s="22"/>
    </row>
    <row r="46" spans="1:21" x14ac:dyDescent="0.25">
      <c r="A46" s="24"/>
      <c r="B46" s="24"/>
      <c r="C46" s="17"/>
      <c r="D46" s="24"/>
      <c r="E46" s="24"/>
      <c r="F46" s="25"/>
      <c r="G46" s="1">
        <v>475</v>
      </c>
      <c r="H46" s="2">
        <v>90</v>
      </c>
      <c r="I46" s="2">
        <v>-26.3</v>
      </c>
      <c r="J46" s="2">
        <v>-28.3</v>
      </c>
      <c r="K46" s="2">
        <f t="shared" si="3"/>
        <v>-26.3</v>
      </c>
      <c r="L46" s="8">
        <f>10^((K46-H46)/10)</f>
        <v>2.3442288153199247E-12</v>
      </c>
      <c r="M46" s="26"/>
      <c r="N46" s="17"/>
      <c r="O46" s="9">
        <f t="shared" si="5"/>
        <v>-28.3</v>
      </c>
      <c r="P46" s="8">
        <f>D44/B44*10^(O46/10)</f>
        <v>2.9089131633974731E-2</v>
      </c>
      <c r="Q46" s="26"/>
      <c r="R46" s="17"/>
      <c r="S46" s="19"/>
      <c r="T46" s="17"/>
      <c r="U46" s="22"/>
    </row>
    <row r="47" spans="1:21" x14ac:dyDescent="0.25">
      <c r="A47" s="24"/>
      <c r="B47" s="24"/>
      <c r="C47" s="17"/>
      <c r="D47" s="24"/>
      <c r="E47" s="24"/>
      <c r="F47" s="25"/>
      <c r="G47" s="1">
        <v>575</v>
      </c>
      <c r="H47" s="2">
        <v>97</v>
      </c>
      <c r="I47" s="2">
        <v>-21</v>
      </c>
      <c r="J47" s="2">
        <v>-27.8</v>
      </c>
      <c r="K47" s="2">
        <f t="shared" si="3"/>
        <v>-21</v>
      </c>
      <c r="L47" s="8">
        <f t="shared" ref="L47:L73" si="7">10^((K47-H47)/10)</f>
        <v>1.5848931924611065E-12</v>
      </c>
      <c r="M47" s="26"/>
      <c r="N47" s="17"/>
      <c r="O47" s="9">
        <f t="shared" si="5"/>
        <v>-27.8</v>
      </c>
      <c r="P47" s="8">
        <f>D44/B44*10^(O47/10)</f>
        <v>3.2638542512938663E-2</v>
      </c>
      <c r="Q47" s="26"/>
      <c r="R47" s="17"/>
      <c r="S47" s="19"/>
      <c r="T47" s="17"/>
      <c r="U47" s="22"/>
    </row>
    <row r="48" spans="1:21" x14ac:dyDescent="0.25">
      <c r="A48" s="24"/>
      <c r="B48" s="24"/>
      <c r="C48" s="17"/>
      <c r="D48" s="24"/>
      <c r="E48" s="24"/>
      <c r="F48" s="25"/>
      <c r="G48" s="1">
        <v>625</v>
      </c>
      <c r="H48" s="2">
        <v>92</v>
      </c>
      <c r="I48" s="2">
        <v>-20.7</v>
      </c>
      <c r="J48" s="2">
        <v>-32.299999999999997</v>
      </c>
      <c r="K48" s="2">
        <f t="shared" si="3"/>
        <v>-20.7</v>
      </c>
      <c r="L48" s="8">
        <f t="shared" si="7"/>
        <v>5.3703179637025143E-12</v>
      </c>
      <c r="M48" s="26"/>
      <c r="N48" s="17"/>
      <c r="O48" s="9">
        <f t="shared" si="5"/>
        <v>-32.299999999999997</v>
      </c>
      <c r="P48" s="8">
        <f>D44/B44*10^(O48/10)</f>
        <v>1.1580591888659925E-2</v>
      </c>
      <c r="Q48" s="26"/>
      <c r="R48" s="17"/>
      <c r="S48" s="19"/>
      <c r="T48" s="17"/>
      <c r="U48" s="22"/>
    </row>
    <row r="49" spans="1:21" x14ac:dyDescent="0.25">
      <c r="A49" s="24"/>
      <c r="B49" s="24"/>
      <c r="C49" s="17"/>
      <c r="D49" s="24"/>
      <c r="E49" s="24"/>
      <c r="F49" s="25"/>
      <c r="G49" s="1">
        <v>675</v>
      </c>
      <c r="H49" s="2">
        <v>94.5</v>
      </c>
      <c r="I49" s="2">
        <v>-26</v>
      </c>
      <c r="J49" s="2">
        <v>-28.4</v>
      </c>
      <c r="K49" s="2">
        <f t="shared" si="3"/>
        <v>-26</v>
      </c>
      <c r="L49" s="8">
        <f t="shared" si="7"/>
        <v>8.9125093813374051E-13</v>
      </c>
      <c r="M49" s="26"/>
      <c r="N49" s="17"/>
      <c r="O49" s="9">
        <f t="shared" si="5"/>
        <v>-28.4</v>
      </c>
      <c r="P49" s="8">
        <f>D44/B44*10^(O49/10)</f>
        <v>2.8426982158003235E-2</v>
      </c>
      <c r="Q49" s="26"/>
      <c r="R49" s="17"/>
      <c r="S49" s="20"/>
      <c r="T49" s="17"/>
      <c r="U49" s="23"/>
    </row>
    <row r="50" spans="1:21" x14ac:dyDescent="0.25">
      <c r="A50" s="24">
        <v>1000</v>
      </c>
      <c r="B50" s="24">
        <v>3</v>
      </c>
      <c r="C50" s="17">
        <v>0.5</v>
      </c>
      <c r="D50" s="24">
        <v>117</v>
      </c>
      <c r="E50" s="24">
        <v>6</v>
      </c>
      <c r="F50" s="25">
        <v>76</v>
      </c>
      <c r="G50" s="1">
        <v>875</v>
      </c>
      <c r="H50" s="2">
        <v>91.1</v>
      </c>
      <c r="I50" s="2">
        <v>-20.5</v>
      </c>
      <c r="J50" s="2">
        <v>-25.2</v>
      </c>
      <c r="K50" s="2">
        <f t="shared" si="3"/>
        <v>-20.5</v>
      </c>
      <c r="L50" s="8">
        <f t="shared" si="7"/>
        <v>6.9183097091893405E-12</v>
      </c>
      <c r="M50" s="26">
        <f>SUM(L50:L55)</f>
        <v>1.109673158500158E-11</v>
      </c>
      <c r="N50" s="17">
        <f>10*LOG10(M50/E50)</f>
        <v>-117.32956169220401</v>
      </c>
      <c r="O50" s="9">
        <f t="shared" si="5"/>
        <v>-25.2</v>
      </c>
      <c r="P50" s="8">
        <f>D50/B50*10^(O50/10)</f>
        <v>0.11777811709567852</v>
      </c>
      <c r="Q50" s="26">
        <f>SUM(P50:P55)</f>
        <v>0.44822273469730467</v>
      </c>
      <c r="R50" s="17">
        <f>10*LOG10(Q50)</f>
        <v>-3.4850611901206792</v>
      </c>
      <c r="S50" s="18">
        <f>F50+N50-Kzt-H</f>
        <v>-41.32956169220401</v>
      </c>
      <c r="T50" s="17">
        <v>0.8</v>
      </c>
      <c r="U50" s="21">
        <f>T50*10^((S50-R50)/10)</f>
        <v>1.3141348624897306E-4</v>
      </c>
    </row>
    <row r="51" spans="1:21" x14ac:dyDescent="0.25">
      <c r="A51" s="24"/>
      <c r="B51" s="24"/>
      <c r="C51" s="17"/>
      <c r="D51" s="24"/>
      <c r="E51" s="24"/>
      <c r="F51" s="25"/>
      <c r="G51" s="1">
        <v>975</v>
      </c>
      <c r="H51" s="2">
        <v>96.5</v>
      </c>
      <c r="I51" s="2">
        <v>-23</v>
      </c>
      <c r="J51" s="2">
        <v>-27.4</v>
      </c>
      <c r="K51" s="2">
        <f t="shared" si="3"/>
        <v>-23</v>
      </c>
      <c r="L51" s="8">
        <f t="shared" si="7"/>
        <v>1.122018454301964E-12</v>
      </c>
      <c r="M51" s="26"/>
      <c r="N51" s="17"/>
      <c r="O51" s="9">
        <f t="shared" si="5"/>
        <v>-27.4</v>
      </c>
      <c r="P51" s="8">
        <f>D50/B50*10^(O51/10)</f>
        <v>7.096833348578932E-2</v>
      </c>
      <c r="Q51" s="26"/>
      <c r="R51" s="17"/>
      <c r="S51" s="19"/>
      <c r="T51" s="17"/>
      <c r="U51" s="22"/>
    </row>
    <row r="52" spans="1:21" x14ac:dyDescent="0.25">
      <c r="A52" s="24"/>
      <c r="B52" s="24"/>
      <c r="C52" s="17"/>
      <c r="D52" s="24"/>
      <c r="E52" s="24"/>
      <c r="F52" s="25"/>
      <c r="G52" s="1">
        <v>1075</v>
      </c>
      <c r="H52" s="2">
        <v>94.6</v>
      </c>
      <c r="I52" s="2">
        <v>-22</v>
      </c>
      <c r="J52" s="2">
        <v>-25.9</v>
      </c>
      <c r="K52" s="2">
        <f t="shared" si="3"/>
        <v>-22</v>
      </c>
      <c r="L52" s="8">
        <f t="shared" si="7"/>
        <v>2.1877616239495474E-12</v>
      </c>
      <c r="M52" s="26"/>
      <c r="N52" s="17"/>
      <c r="O52" s="9">
        <f t="shared" si="5"/>
        <v>-25.9</v>
      </c>
      <c r="P52" s="8">
        <f>D50/B50*10^(O52/10)</f>
        <v>0.10024543552798568</v>
      </c>
      <c r="Q52" s="26"/>
      <c r="R52" s="17"/>
      <c r="S52" s="19"/>
      <c r="T52" s="17"/>
      <c r="U52" s="22"/>
    </row>
    <row r="53" spans="1:21" x14ac:dyDescent="0.25">
      <c r="A53" s="24"/>
      <c r="B53" s="24"/>
      <c r="C53" s="17"/>
      <c r="D53" s="24"/>
      <c r="E53" s="24"/>
      <c r="F53" s="25"/>
      <c r="G53" s="1">
        <v>1175</v>
      </c>
      <c r="H53" s="2">
        <v>97.8</v>
      </c>
      <c r="I53" s="2">
        <v>-29.6</v>
      </c>
      <c r="J53" s="2">
        <v>-32.1</v>
      </c>
      <c r="K53" s="2">
        <f t="shared" si="3"/>
        <v>-29.6</v>
      </c>
      <c r="L53" s="8">
        <f t="shared" si="7"/>
        <v>1.8197008586099787E-13</v>
      </c>
      <c r="M53" s="26"/>
      <c r="N53" s="17"/>
      <c r="O53" s="9">
        <f t="shared" si="5"/>
        <v>-32.1</v>
      </c>
      <c r="P53" s="8">
        <f>D50/B50*10^(O53/10)</f>
        <v>2.4047205072597791E-2</v>
      </c>
      <c r="Q53" s="26"/>
      <c r="R53" s="17"/>
      <c r="S53" s="19"/>
      <c r="T53" s="17"/>
      <c r="U53" s="22"/>
    </row>
    <row r="54" spans="1:21" x14ac:dyDescent="0.25">
      <c r="A54" s="24"/>
      <c r="B54" s="24"/>
      <c r="C54" s="17"/>
      <c r="D54" s="24"/>
      <c r="E54" s="24"/>
      <c r="F54" s="25"/>
      <c r="G54" s="1">
        <v>1275</v>
      </c>
      <c r="H54" s="2">
        <v>100.1</v>
      </c>
      <c r="I54" s="2">
        <v>-24.3</v>
      </c>
      <c r="J54" s="2">
        <v>-26.3</v>
      </c>
      <c r="K54" s="2">
        <f t="shared" si="3"/>
        <v>-24.3</v>
      </c>
      <c r="L54" s="8">
        <f t="shared" si="7"/>
        <v>3.6307805477010062E-13</v>
      </c>
      <c r="M54" s="26"/>
      <c r="N54" s="17"/>
      <c r="O54" s="9">
        <f t="shared" si="5"/>
        <v>-26.3</v>
      </c>
      <c r="P54" s="8">
        <f>D50/B50*10^(O54/10)</f>
        <v>9.1424923797476895E-2</v>
      </c>
      <c r="Q54" s="26"/>
      <c r="R54" s="17"/>
      <c r="S54" s="19"/>
      <c r="T54" s="17"/>
      <c r="U54" s="22"/>
    </row>
    <row r="55" spans="1:21" x14ac:dyDescent="0.25">
      <c r="A55" s="24"/>
      <c r="B55" s="24"/>
      <c r="C55" s="17"/>
      <c r="D55" s="24"/>
      <c r="E55" s="24"/>
      <c r="F55" s="25"/>
      <c r="G55" s="1">
        <v>1375</v>
      </c>
      <c r="H55" s="2">
        <v>103</v>
      </c>
      <c r="I55" s="2">
        <v>-21.9</v>
      </c>
      <c r="J55" s="2">
        <v>-29.5</v>
      </c>
      <c r="K55" s="2">
        <f t="shared" si="3"/>
        <v>-21.9</v>
      </c>
      <c r="L55" s="8">
        <f t="shared" si="7"/>
        <v>3.2359365692962775E-13</v>
      </c>
      <c r="M55" s="26"/>
      <c r="N55" s="17"/>
      <c r="O55" s="9">
        <f t="shared" si="5"/>
        <v>-29.5</v>
      </c>
      <c r="P55" s="8">
        <f>D50/B50*10^(O55/10)</f>
        <v>4.3758719717776527E-2</v>
      </c>
      <c r="Q55" s="26"/>
      <c r="R55" s="17"/>
      <c r="S55" s="20"/>
      <c r="T55" s="17"/>
      <c r="U55" s="23"/>
    </row>
    <row r="56" spans="1:21" x14ac:dyDescent="0.25">
      <c r="A56" s="24">
        <v>2000</v>
      </c>
      <c r="B56" s="24">
        <v>3</v>
      </c>
      <c r="C56" s="17">
        <v>0.5</v>
      </c>
      <c r="D56" s="24">
        <v>234</v>
      </c>
      <c r="E56" s="24">
        <v>6</v>
      </c>
      <c r="F56" s="25">
        <v>68</v>
      </c>
      <c r="G56" s="1">
        <v>1425</v>
      </c>
      <c r="H56" s="2">
        <v>102.8</v>
      </c>
      <c r="I56" s="2">
        <v>-21.5</v>
      </c>
      <c r="J56" s="2">
        <v>-31.5</v>
      </c>
      <c r="K56" s="2">
        <f t="shared" si="3"/>
        <v>-21.5</v>
      </c>
      <c r="L56" s="8">
        <f t="shared" si="7"/>
        <v>3.7153522909717175E-13</v>
      </c>
      <c r="M56" s="26">
        <f>SUM(L56:L61)</f>
        <v>4.4003196816857521E-12</v>
      </c>
      <c r="N56" s="17">
        <f>10*LOG10(M56/E56)</f>
        <v>-121.34667021409099</v>
      </c>
      <c r="O56" s="9">
        <f t="shared" si="5"/>
        <v>-31.5</v>
      </c>
      <c r="P56" s="8">
        <f>D56/B56*10^(O56/10)</f>
        <v>5.5219771181962751E-2</v>
      </c>
      <c r="Q56" s="26">
        <f>SUM(P56:P61)</f>
        <v>0.98180458670311976</v>
      </c>
      <c r="R56" s="17">
        <f>10*LOG10(Q56)</f>
        <v>-7.974943334945403E-2</v>
      </c>
      <c r="S56" s="18">
        <f>F56+N56-Kzt-H</f>
        <v>-53.346670214090992</v>
      </c>
      <c r="T56" s="17">
        <v>1</v>
      </c>
      <c r="U56" s="21">
        <f>T56*10^((S56-R56)/10)</f>
        <v>4.7131137547162184E-6</v>
      </c>
    </row>
    <row r="57" spans="1:21" x14ac:dyDescent="0.25">
      <c r="A57" s="24"/>
      <c r="B57" s="24"/>
      <c r="C57" s="17"/>
      <c r="D57" s="24"/>
      <c r="E57" s="24"/>
      <c r="F57" s="25"/>
      <c r="G57" s="1">
        <v>1625</v>
      </c>
      <c r="H57" s="2">
        <v>104.1</v>
      </c>
      <c r="I57" s="2">
        <v>-22.7</v>
      </c>
      <c r="J57" s="2">
        <v>-26.8</v>
      </c>
      <c r="K57" s="2">
        <f t="shared" si="3"/>
        <v>-22.7</v>
      </c>
      <c r="L57" s="8">
        <f t="shared" si="7"/>
        <v>2.0892961308540331E-13</v>
      </c>
      <c r="M57" s="26"/>
      <c r="N57" s="17"/>
      <c r="O57" s="9">
        <f t="shared" si="5"/>
        <v>-26.8</v>
      </c>
      <c r="P57" s="8">
        <f>D56/B56*10^(O57/10)</f>
        <v>0.16296509820661489</v>
      </c>
      <c r="Q57" s="26"/>
      <c r="R57" s="17"/>
      <c r="S57" s="19"/>
      <c r="T57" s="17"/>
      <c r="U57" s="22"/>
    </row>
    <row r="58" spans="1:21" x14ac:dyDescent="0.25">
      <c r="A58" s="24"/>
      <c r="B58" s="24"/>
      <c r="C58" s="17"/>
      <c r="D58" s="24"/>
      <c r="E58" s="24"/>
      <c r="F58" s="25"/>
      <c r="G58" s="1">
        <v>1825</v>
      </c>
      <c r="H58" s="2">
        <v>107.6</v>
      </c>
      <c r="I58" s="2">
        <v>-21.8</v>
      </c>
      <c r="J58" s="2">
        <v>-25.6</v>
      </c>
      <c r="K58" s="2">
        <f t="shared" si="3"/>
        <v>-21.8</v>
      </c>
      <c r="L58" s="8">
        <f t="shared" si="7"/>
        <v>1.1481536214968778E-13</v>
      </c>
      <c r="M58" s="26"/>
      <c r="N58" s="17"/>
      <c r="O58" s="9">
        <f t="shared" si="5"/>
        <v>-25.6</v>
      </c>
      <c r="P58" s="8">
        <f>D56/B56*10^(O58/10)</f>
        <v>0.21482983886037688</v>
      </c>
      <c r="Q58" s="26"/>
      <c r="R58" s="17"/>
      <c r="S58" s="19"/>
      <c r="T58" s="17"/>
      <c r="U58" s="22"/>
    </row>
    <row r="59" spans="1:21" x14ac:dyDescent="0.25">
      <c r="A59" s="24"/>
      <c r="B59" s="24"/>
      <c r="C59" s="17"/>
      <c r="D59" s="24"/>
      <c r="E59" s="24"/>
      <c r="F59" s="25"/>
      <c r="G59" s="1">
        <v>2125</v>
      </c>
      <c r="H59" s="2">
        <v>104.2</v>
      </c>
      <c r="I59" s="2">
        <v>-25.4</v>
      </c>
      <c r="J59" s="2">
        <v>-27</v>
      </c>
      <c r="K59" s="2">
        <f t="shared" si="3"/>
        <v>-25.4</v>
      </c>
      <c r="L59" s="8">
        <f t="shared" si="7"/>
        <v>1.0964781961431845E-13</v>
      </c>
      <c r="M59" s="26"/>
      <c r="N59" s="17"/>
      <c r="O59" s="9">
        <f t="shared" si="5"/>
        <v>-27</v>
      </c>
      <c r="P59" s="8">
        <f>D56/B56*10^(O59/10)</f>
        <v>0.15563046056757249</v>
      </c>
      <c r="Q59" s="26"/>
      <c r="R59" s="17"/>
      <c r="S59" s="19"/>
      <c r="T59" s="17"/>
      <c r="U59" s="22"/>
    </row>
    <row r="60" spans="1:21" x14ac:dyDescent="0.25">
      <c r="A60" s="24"/>
      <c r="B60" s="24"/>
      <c r="C60" s="17"/>
      <c r="D60" s="24"/>
      <c r="E60" s="24"/>
      <c r="F60" s="25"/>
      <c r="G60" s="1">
        <v>2425</v>
      </c>
      <c r="H60" s="2">
        <v>93.7</v>
      </c>
      <c r="I60" s="2">
        <v>-21.5</v>
      </c>
      <c r="J60" s="2">
        <v>-26.8</v>
      </c>
      <c r="K60" s="2">
        <f t="shared" si="3"/>
        <v>-21.5</v>
      </c>
      <c r="L60" s="8">
        <f t="shared" si="7"/>
        <v>3.0199517204020161E-12</v>
      </c>
      <c r="M60" s="26"/>
      <c r="N60" s="17"/>
      <c r="O60" s="9">
        <f t="shared" si="5"/>
        <v>-26.8</v>
      </c>
      <c r="P60" s="8">
        <f>D56/B56*10^(O60/10)</f>
        <v>0.16296509820661489</v>
      </c>
      <c r="Q60" s="26"/>
      <c r="R60" s="17"/>
      <c r="S60" s="19"/>
      <c r="T60" s="17"/>
      <c r="U60" s="22"/>
    </row>
    <row r="61" spans="1:21" x14ac:dyDescent="0.25">
      <c r="A61" s="24"/>
      <c r="B61" s="24"/>
      <c r="C61" s="17"/>
      <c r="D61" s="24"/>
      <c r="E61" s="24"/>
      <c r="F61" s="25"/>
      <c r="G61" s="1">
        <v>2775</v>
      </c>
      <c r="H61" s="2">
        <v>100.2</v>
      </c>
      <c r="I61" s="2">
        <v>-22.2</v>
      </c>
      <c r="J61" s="2">
        <v>-25.3</v>
      </c>
      <c r="K61" s="2">
        <f t="shared" si="3"/>
        <v>-22.2</v>
      </c>
      <c r="L61" s="8">
        <f t="shared" si="7"/>
        <v>5.7543993733715476E-13</v>
      </c>
      <c r="M61" s="26"/>
      <c r="N61" s="17"/>
      <c r="O61" s="9">
        <f t="shared" si="5"/>
        <v>-25.3</v>
      </c>
      <c r="P61" s="8">
        <f>D56/B56*10^(O61/10)</f>
        <v>0.23019431967997794</v>
      </c>
      <c r="Q61" s="26"/>
      <c r="R61" s="17"/>
      <c r="S61" s="20"/>
      <c r="T61" s="17"/>
      <c r="U61" s="23"/>
    </row>
    <row r="62" spans="1:21" x14ac:dyDescent="0.25">
      <c r="A62" s="24">
        <v>4000</v>
      </c>
      <c r="B62" s="24">
        <v>3</v>
      </c>
      <c r="C62" s="17">
        <v>0.5</v>
      </c>
      <c r="D62" s="24">
        <v>470</v>
      </c>
      <c r="E62" s="24">
        <v>6</v>
      </c>
      <c r="F62" s="25">
        <v>62</v>
      </c>
      <c r="G62" s="1">
        <v>2825</v>
      </c>
      <c r="H62" s="2">
        <v>99.4</v>
      </c>
      <c r="I62" s="2">
        <v>-25.3</v>
      </c>
      <c r="J62" s="2">
        <v>-26.4</v>
      </c>
      <c r="K62" s="2">
        <f t="shared" si="3"/>
        <v>-25.3</v>
      </c>
      <c r="L62" s="8">
        <f t="shared" si="7"/>
        <v>3.3884415613920079E-13</v>
      </c>
      <c r="M62" s="26">
        <f>SUM(L62:L67)</f>
        <v>1.8830444030240674E-12</v>
      </c>
      <c r="N62" s="17">
        <f>10*LOG10(M62/E62)</f>
        <v>-125.03290689389301</v>
      </c>
      <c r="O62" s="9">
        <f t="shared" si="5"/>
        <v>-26.4</v>
      </c>
      <c r="P62" s="8">
        <f>D62/B62*10^(O62/10)</f>
        <v>0.35890259893361787</v>
      </c>
      <c r="Q62" s="26">
        <f>SUM(P62:P67)</f>
        <v>1.7485715124423911</v>
      </c>
      <c r="R62" s="17">
        <f>10*LOG10(Q62)</f>
        <v>2.4268339862640218</v>
      </c>
      <c r="S62" s="18">
        <f>F62+N62-Kzt-H</f>
        <v>-63.032906893893013</v>
      </c>
      <c r="T62" s="17">
        <v>0.9</v>
      </c>
      <c r="U62" s="21">
        <f>T62*10^((S62-R62)/10)</f>
        <v>2.5601677433994866E-7</v>
      </c>
    </row>
    <row r="63" spans="1:21" x14ac:dyDescent="0.25">
      <c r="A63" s="24"/>
      <c r="B63" s="24"/>
      <c r="C63" s="17"/>
      <c r="D63" s="24"/>
      <c r="E63" s="24"/>
      <c r="F63" s="25"/>
      <c r="G63" s="1">
        <v>3425</v>
      </c>
      <c r="H63" s="2">
        <v>103.5</v>
      </c>
      <c r="I63" s="2">
        <v>-25.7</v>
      </c>
      <c r="J63" s="2">
        <v>-30.5</v>
      </c>
      <c r="K63" s="2">
        <f t="shared" si="3"/>
        <v>-25.7</v>
      </c>
      <c r="L63" s="8">
        <f t="shared" si="7"/>
        <v>1.2022644346174159E-13</v>
      </c>
      <c r="M63" s="26"/>
      <c r="N63" s="17"/>
      <c r="O63" s="9">
        <f t="shared" si="5"/>
        <v>-30.5</v>
      </c>
      <c r="P63" s="8">
        <f>D62/B62*10^(O63/10)</f>
        <v>0.13962931364095343</v>
      </c>
      <c r="Q63" s="26"/>
      <c r="R63" s="17"/>
      <c r="S63" s="19"/>
      <c r="T63" s="17"/>
      <c r="U63" s="22"/>
    </row>
    <row r="64" spans="1:21" x14ac:dyDescent="0.25">
      <c r="A64" s="24"/>
      <c r="B64" s="24"/>
      <c r="C64" s="17"/>
      <c r="D64" s="24"/>
      <c r="E64" s="24"/>
      <c r="F64" s="25"/>
      <c r="G64" s="1">
        <v>4025</v>
      </c>
      <c r="H64" s="2">
        <v>103.6</v>
      </c>
      <c r="I64" s="2">
        <v>-20</v>
      </c>
      <c r="J64" s="2">
        <v>-29.2</v>
      </c>
      <c r="K64" s="2">
        <f t="shared" si="3"/>
        <v>-20</v>
      </c>
      <c r="L64" s="8">
        <f t="shared" si="7"/>
        <v>4.3651583224016479E-13</v>
      </c>
      <c r="M64" s="26"/>
      <c r="N64" s="17"/>
      <c r="O64" s="9">
        <f t="shared" si="5"/>
        <v>-29.2</v>
      </c>
      <c r="P64" s="8">
        <f>D62/B62*10^(O64/10)</f>
        <v>0.18835476142339458</v>
      </c>
      <c r="Q64" s="26"/>
      <c r="R64" s="17"/>
      <c r="S64" s="19"/>
      <c r="T64" s="17"/>
      <c r="U64" s="22"/>
    </row>
    <row r="65" spans="1:21" x14ac:dyDescent="0.25">
      <c r="A65" s="24"/>
      <c r="B65" s="24"/>
      <c r="C65" s="17"/>
      <c r="D65" s="24"/>
      <c r="E65" s="24"/>
      <c r="F65" s="25"/>
      <c r="G65" s="1">
        <v>4625</v>
      </c>
      <c r="H65" s="2">
        <v>105.6</v>
      </c>
      <c r="I65" s="2">
        <v>-18.600000000000001</v>
      </c>
      <c r="J65" s="2">
        <v>-26.3</v>
      </c>
      <c r="K65" s="2">
        <f t="shared" si="3"/>
        <v>-18.600000000000001</v>
      </c>
      <c r="L65" s="8">
        <f t="shared" si="7"/>
        <v>3.8018939632056172E-13</v>
      </c>
      <c r="M65" s="26"/>
      <c r="N65" s="17"/>
      <c r="O65" s="9">
        <f t="shared" si="5"/>
        <v>-26.3</v>
      </c>
      <c r="P65" s="8">
        <f>D62/B62*10^(O65/10)</f>
        <v>0.36726251440012081</v>
      </c>
      <c r="Q65" s="26"/>
      <c r="R65" s="17"/>
      <c r="S65" s="19"/>
      <c r="T65" s="17"/>
      <c r="U65" s="22"/>
    </row>
    <row r="66" spans="1:21" x14ac:dyDescent="0.25">
      <c r="A66" s="24"/>
      <c r="B66" s="24"/>
      <c r="C66" s="17"/>
      <c r="D66" s="24"/>
      <c r="E66" s="24"/>
      <c r="F66" s="25"/>
      <c r="G66" s="1">
        <v>5225</v>
      </c>
      <c r="H66" s="2">
        <v>103.5</v>
      </c>
      <c r="I66" s="2">
        <v>-25.8</v>
      </c>
      <c r="J66" s="2">
        <v>-27.3</v>
      </c>
      <c r="K66" s="2">
        <f t="shared" si="3"/>
        <v>-25.8</v>
      </c>
      <c r="L66" s="8">
        <f t="shared" si="7"/>
        <v>1.1748975549395202E-13</v>
      </c>
      <c r="M66" s="26"/>
      <c r="N66" s="17"/>
      <c r="O66" s="9">
        <f t="shared" si="5"/>
        <v>-27.3</v>
      </c>
      <c r="P66" s="8">
        <f>D62/B62*10^(O66/10)</f>
        <v>0.29172698474384906</v>
      </c>
      <c r="Q66" s="26"/>
      <c r="R66" s="17"/>
      <c r="S66" s="19"/>
      <c r="T66" s="17"/>
      <c r="U66" s="22"/>
    </row>
    <row r="67" spans="1:21" x14ac:dyDescent="0.25">
      <c r="A67" s="24"/>
      <c r="B67" s="24"/>
      <c r="C67" s="17"/>
      <c r="D67" s="24"/>
      <c r="E67" s="24"/>
      <c r="F67" s="25"/>
      <c r="G67" s="1">
        <v>5625</v>
      </c>
      <c r="H67" s="2">
        <v>99.5</v>
      </c>
      <c r="I67" s="2">
        <v>-23.6</v>
      </c>
      <c r="J67" s="2">
        <v>-25.9</v>
      </c>
      <c r="K67" s="2">
        <f t="shared" si="3"/>
        <v>-23.6</v>
      </c>
      <c r="L67" s="8">
        <f t="shared" si="7"/>
        <v>4.8977881936844633E-13</v>
      </c>
      <c r="M67" s="26"/>
      <c r="N67" s="17"/>
      <c r="O67" s="9">
        <f t="shared" si="5"/>
        <v>-25.9</v>
      </c>
      <c r="P67" s="8">
        <f>D62/B62*10^(O67/10)</f>
        <v>0.40269533930045526</v>
      </c>
      <c r="Q67" s="26"/>
      <c r="R67" s="17"/>
      <c r="S67" s="20"/>
      <c r="T67" s="17"/>
      <c r="U67" s="23"/>
    </row>
    <row r="68" spans="1:21" x14ac:dyDescent="0.25">
      <c r="A68" s="24">
        <v>8000</v>
      </c>
      <c r="B68" s="24">
        <v>3</v>
      </c>
      <c r="C68" s="17">
        <v>0.5</v>
      </c>
      <c r="D68" s="24">
        <v>943</v>
      </c>
      <c r="E68" s="24">
        <v>6</v>
      </c>
      <c r="F68" s="25">
        <v>54</v>
      </c>
      <c r="G68" s="1">
        <v>6025</v>
      </c>
      <c r="H68" s="2">
        <v>95</v>
      </c>
      <c r="I68" s="2">
        <v>-23.4</v>
      </c>
      <c r="J68" s="2">
        <v>-26.3</v>
      </c>
      <c r="K68" s="2">
        <f t="shared" si="3"/>
        <v>-23.4</v>
      </c>
      <c r="L68" s="8">
        <f t="shared" si="7"/>
        <v>1.4454397707459267E-12</v>
      </c>
      <c r="M68" s="26">
        <f>SUM(L68:L73)</f>
        <v>2.7729286442400886E-11</v>
      </c>
      <c r="N68" s="17">
        <f>10*LOG10(M68/E68)</f>
        <v>-113.35212556359876</v>
      </c>
      <c r="O68" s="9">
        <f t="shared" si="5"/>
        <v>-26.3</v>
      </c>
      <c r="P68" s="8">
        <f>D68/B68*10^(O68/10)</f>
        <v>0.73686925761556155</v>
      </c>
      <c r="Q68" s="26">
        <f>SUM(P68:P73)</f>
        <v>4.5759344932376873</v>
      </c>
      <c r="R68" s="17">
        <f>10*LOG10(Q68)</f>
        <v>6.6047979868946269</v>
      </c>
      <c r="S68" s="18">
        <f>F68+N68-Kzt-H</f>
        <v>-59.352125563598761</v>
      </c>
      <c r="T68" s="17">
        <v>0.7</v>
      </c>
      <c r="U68" s="21">
        <f>T68*10^((S68-R68)/10)</f>
        <v>1.7758475684449256E-7</v>
      </c>
    </row>
    <row r="69" spans="1:21" x14ac:dyDescent="0.25">
      <c r="A69" s="24"/>
      <c r="B69" s="24"/>
      <c r="C69" s="17"/>
      <c r="D69" s="24"/>
      <c r="E69" s="24"/>
      <c r="F69" s="25"/>
      <c r="G69" s="1">
        <v>7025</v>
      </c>
      <c r="H69" s="2">
        <v>94.8</v>
      </c>
      <c r="I69" s="2">
        <v>-23.900000000000002</v>
      </c>
      <c r="J69" s="2">
        <v>-24.3</v>
      </c>
      <c r="K69" s="2">
        <f t="shared" si="3"/>
        <v>-23.900000000000002</v>
      </c>
      <c r="L69" s="8">
        <f t="shared" si="7"/>
        <v>1.3489628825916484E-12</v>
      </c>
      <c r="M69" s="26"/>
      <c r="N69" s="17"/>
      <c r="O69" s="9">
        <f t="shared" si="5"/>
        <v>-24.3</v>
      </c>
      <c r="P69" s="8">
        <f>D68/B68*10^(O69/10)</f>
        <v>1.1678590701287779</v>
      </c>
      <c r="Q69" s="26"/>
      <c r="R69" s="17"/>
      <c r="S69" s="19"/>
      <c r="T69" s="17"/>
      <c r="U69" s="22"/>
    </row>
    <row r="70" spans="1:21" x14ac:dyDescent="0.25">
      <c r="A70" s="24"/>
      <c r="B70" s="24"/>
      <c r="C70" s="17"/>
      <c r="D70" s="24"/>
      <c r="E70" s="24"/>
      <c r="F70" s="25"/>
      <c r="G70" s="1">
        <v>8025</v>
      </c>
      <c r="H70" s="2">
        <v>101.9</v>
      </c>
      <c r="I70" s="2">
        <v>-22.3</v>
      </c>
      <c r="J70" s="2">
        <v>-26.7</v>
      </c>
      <c r="K70" s="2">
        <f t="shared" si="3"/>
        <v>-22.3</v>
      </c>
      <c r="L70" s="8">
        <f t="shared" si="7"/>
        <v>3.8018939632056036E-13</v>
      </c>
      <c r="M70" s="26"/>
      <c r="N70" s="17"/>
      <c r="O70" s="9">
        <f t="shared" si="5"/>
        <v>-26.7</v>
      </c>
      <c r="P70" s="8">
        <f>D68/B68*10^(O70/10)</f>
        <v>0.67203275013353481</v>
      </c>
      <c r="Q70" s="26"/>
      <c r="R70" s="17"/>
      <c r="S70" s="19"/>
      <c r="T70" s="17"/>
      <c r="U70" s="22"/>
    </row>
    <row r="71" spans="1:21" x14ac:dyDescent="0.25">
      <c r="A71" s="24"/>
      <c r="B71" s="24"/>
      <c r="C71" s="17"/>
      <c r="D71" s="24"/>
      <c r="E71" s="24"/>
      <c r="F71" s="25"/>
      <c r="G71" s="1">
        <v>9025</v>
      </c>
      <c r="H71" s="2">
        <v>93.2</v>
      </c>
      <c r="I71" s="2">
        <v>-25.700000000000003</v>
      </c>
      <c r="J71" s="2">
        <v>-26.6</v>
      </c>
      <c r="K71" s="2">
        <f t="shared" si="3"/>
        <v>-25.700000000000003</v>
      </c>
      <c r="L71" s="8">
        <f t="shared" si="7"/>
        <v>1.2882495516931293E-12</v>
      </c>
      <c r="M71" s="26"/>
      <c r="N71" s="17"/>
      <c r="O71" s="9">
        <f t="shared" si="5"/>
        <v>-26.6</v>
      </c>
      <c r="P71" s="8">
        <f>D68/B68*10^(O71/10)</f>
        <v>0.6876864037948085</v>
      </c>
      <c r="Q71" s="26"/>
      <c r="R71" s="17"/>
      <c r="S71" s="19"/>
      <c r="T71" s="17"/>
      <c r="U71" s="22"/>
    </row>
    <row r="72" spans="1:21" x14ac:dyDescent="0.25">
      <c r="A72" s="24"/>
      <c r="B72" s="24"/>
      <c r="C72" s="17"/>
      <c r="D72" s="24"/>
      <c r="E72" s="24"/>
      <c r="F72" s="25"/>
      <c r="G72" s="1">
        <v>10025</v>
      </c>
      <c r="H72" s="2">
        <v>88.3</v>
      </c>
      <c r="I72" s="2">
        <v>-24</v>
      </c>
      <c r="J72" s="2">
        <v>-25.4</v>
      </c>
      <c r="K72" s="2">
        <f t="shared" si="3"/>
        <v>-24</v>
      </c>
      <c r="L72" s="8">
        <f t="shared" si="7"/>
        <v>5.8884365535558725E-12</v>
      </c>
      <c r="M72" s="26"/>
      <c r="N72" s="17"/>
      <c r="O72" s="9">
        <f t="shared" si="5"/>
        <v>-25.4</v>
      </c>
      <c r="P72" s="8">
        <f>D68/B68*10^(O72/10)</f>
        <v>0.90654723581612917</v>
      </c>
      <c r="Q72" s="26"/>
      <c r="R72" s="17"/>
      <c r="S72" s="19"/>
      <c r="T72" s="17"/>
      <c r="U72" s="22"/>
    </row>
    <row r="73" spans="1:21" x14ac:dyDescent="0.25">
      <c r="A73" s="24"/>
      <c r="B73" s="24"/>
      <c r="C73" s="17"/>
      <c r="D73" s="24"/>
      <c r="E73" s="24"/>
      <c r="F73" s="25"/>
      <c r="G73" s="1">
        <v>11025</v>
      </c>
      <c r="H73" s="2">
        <v>86</v>
      </c>
      <c r="I73" s="2">
        <v>-21.6</v>
      </c>
      <c r="J73" s="2">
        <v>-28.9</v>
      </c>
      <c r="K73" s="2">
        <f t="shared" si="3"/>
        <v>-21.6</v>
      </c>
      <c r="L73" s="8">
        <f t="shared" si="7"/>
        <v>1.7378008287493749E-11</v>
      </c>
      <c r="M73" s="26"/>
      <c r="N73" s="17"/>
      <c r="O73" s="9">
        <f t="shared" si="5"/>
        <v>-28.9</v>
      </c>
      <c r="P73" s="8">
        <f>D68/B68*10^(O73/10)</f>
        <v>0.40493977574887513</v>
      </c>
      <c r="Q73" s="26"/>
      <c r="R73" s="17"/>
      <c r="S73" s="20"/>
      <c r="T73" s="17"/>
      <c r="U73" s="23"/>
    </row>
    <row r="74" spans="1:21" x14ac:dyDescent="0.25">
      <c r="A74" s="24" t="s">
        <v>20</v>
      </c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12">
        <f>U74</f>
        <v>8.3618481153253807E-2</v>
      </c>
      <c r="T74" s="2"/>
      <c r="U74" s="8">
        <f>0.8*SQRT(SUM(U40:U73))</f>
        <v>8.3618481153253807E-2</v>
      </c>
    </row>
    <row r="75" spans="1:21" x14ac:dyDescent="0.25">
      <c r="A75" s="27" t="s">
        <v>74</v>
      </c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9"/>
    </row>
    <row r="76" spans="1:21" x14ac:dyDescent="0.25">
      <c r="A76" s="24">
        <v>250</v>
      </c>
      <c r="B76" s="24">
        <v>3</v>
      </c>
      <c r="C76" s="17">
        <v>0.5</v>
      </c>
      <c r="D76" s="24">
        <v>38</v>
      </c>
      <c r="E76" s="24">
        <v>4</v>
      </c>
      <c r="F76" s="25">
        <v>84</v>
      </c>
      <c r="G76" s="1">
        <v>175</v>
      </c>
      <c r="H76" s="2">
        <v>84.8</v>
      </c>
      <c r="I76" s="2">
        <v>-20.3</v>
      </c>
      <c r="J76" s="2">
        <v>-27.6</v>
      </c>
      <c r="K76" s="2">
        <f>I76</f>
        <v>-20.3</v>
      </c>
      <c r="L76" s="8">
        <f>10^((K76-H76)/10)</f>
        <v>3.0902954325135829E-11</v>
      </c>
      <c r="M76" s="26">
        <f>SUM(L76:L79)</f>
        <v>5.8187593732111667E-11</v>
      </c>
      <c r="N76" s="17">
        <f>10*LOG10(M76/E76)</f>
        <v>-108.3722959341404</v>
      </c>
      <c r="O76" s="9">
        <f>J76</f>
        <v>-27.6</v>
      </c>
      <c r="P76" s="8">
        <f>D76/B76*10^(O76/10)</f>
        <v>2.2012143830825396E-2</v>
      </c>
      <c r="Q76" s="26">
        <f>SUM(P76:P79)</f>
        <v>6.8472231644769094E-2</v>
      </c>
      <c r="R76" s="17">
        <f>10*LOG10(Q76)</f>
        <v>-11.644855173902437</v>
      </c>
      <c r="S76" s="18">
        <f>F76+N76-Kzt-H</f>
        <v>-24.372295934140396</v>
      </c>
      <c r="T76" s="17">
        <v>0.2</v>
      </c>
      <c r="U76" s="21">
        <f>T76*10^((S76-R76)/10)</f>
        <v>1.0672985505727211E-2</v>
      </c>
    </row>
    <row r="77" spans="1:21" x14ac:dyDescent="0.25">
      <c r="A77" s="24"/>
      <c r="B77" s="24"/>
      <c r="C77" s="17"/>
      <c r="D77" s="24"/>
      <c r="E77" s="24"/>
      <c r="F77" s="25"/>
      <c r="G77" s="1">
        <v>225</v>
      </c>
      <c r="H77" s="2">
        <v>90</v>
      </c>
      <c r="I77" s="2">
        <v>-19.3</v>
      </c>
      <c r="J77" s="2">
        <v>-30.6</v>
      </c>
      <c r="K77" s="2">
        <f t="shared" ref="K77:K109" si="8">I77</f>
        <v>-19.3</v>
      </c>
      <c r="L77" s="8">
        <f t="shared" ref="L77:L78" si="9">10^((K77-H77)/10)</f>
        <v>1.1748975549395269E-11</v>
      </c>
      <c r="M77" s="26"/>
      <c r="N77" s="17"/>
      <c r="O77" s="9">
        <f t="shared" ref="O77:O109" si="10">J77</f>
        <v>-30.6</v>
      </c>
      <c r="P77" s="8">
        <f>D76/B76*10^(O77/10)</f>
        <v>1.103220547277701E-2</v>
      </c>
      <c r="Q77" s="26"/>
      <c r="R77" s="17"/>
      <c r="S77" s="19"/>
      <c r="T77" s="17"/>
      <c r="U77" s="22"/>
    </row>
    <row r="78" spans="1:21" x14ac:dyDescent="0.25">
      <c r="A78" s="24"/>
      <c r="B78" s="24"/>
      <c r="C78" s="17"/>
      <c r="D78" s="24"/>
      <c r="E78" s="24"/>
      <c r="F78" s="25"/>
      <c r="G78" s="1">
        <v>275</v>
      </c>
      <c r="H78" s="2">
        <v>92.2</v>
      </c>
      <c r="I78" s="2">
        <v>-21.2</v>
      </c>
      <c r="J78" s="2">
        <v>-27.4</v>
      </c>
      <c r="K78" s="2">
        <f t="shared" si="8"/>
        <v>-21.2</v>
      </c>
      <c r="L78" s="8">
        <f t="shared" si="9"/>
        <v>4.5708818961487419E-12</v>
      </c>
      <c r="M78" s="26"/>
      <c r="N78" s="17"/>
      <c r="O78" s="9">
        <f t="shared" si="10"/>
        <v>-27.4</v>
      </c>
      <c r="P78" s="8">
        <f>D76/B76*10^(O78/10)</f>
        <v>2.3049544209059778E-2</v>
      </c>
      <c r="Q78" s="26"/>
      <c r="R78" s="17"/>
      <c r="S78" s="19"/>
      <c r="T78" s="17"/>
      <c r="U78" s="22"/>
    </row>
    <row r="79" spans="1:21" x14ac:dyDescent="0.25">
      <c r="A79" s="24"/>
      <c r="B79" s="24"/>
      <c r="C79" s="17"/>
      <c r="D79" s="24"/>
      <c r="E79" s="24"/>
      <c r="F79" s="25"/>
      <c r="G79" s="1">
        <v>325</v>
      </c>
      <c r="H79" s="2">
        <v>93.3</v>
      </c>
      <c r="I79" s="2">
        <v>-16.3</v>
      </c>
      <c r="J79" s="2">
        <v>-30.1</v>
      </c>
      <c r="K79" s="2">
        <f t="shared" si="8"/>
        <v>-16.3</v>
      </c>
      <c r="L79" s="8">
        <f>10^((K79-H79)/10)</f>
        <v>1.096478196143183E-11</v>
      </c>
      <c r="M79" s="26"/>
      <c r="N79" s="17"/>
      <c r="O79" s="9">
        <f t="shared" si="10"/>
        <v>-30.1</v>
      </c>
      <c r="P79" s="8">
        <f>D76/B76*10^(O79/10)</f>
        <v>1.2378338132106918E-2</v>
      </c>
      <c r="Q79" s="26"/>
      <c r="R79" s="17"/>
      <c r="S79" s="20"/>
      <c r="T79" s="17"/>
      <c r="U79" s="23"/>
    </row>
    <row r="80" spans="1:21" x14ac:dyDescent="0.25">
      <c r="A80" s="24">
        <v>500</v>
      </c>
      <c r="B80" s="24">
        <v>3</v>
      </c>
      <c r="C80" s="17">
        <v>0.5</v>
      </c>
      <c r="D80" s="24">
        <v>59</v>
      </c>
      <c r="E80" s="24">
        <v>6</v>
      </c>
      <c r="F80" s="25">
        <v>84</v>
      </c>
      <c r="G80" s="1">
        <v>375</v>
      </c>
      <c r="H80" s="2">
        <v>91.9</v>
      </c>
      <c r="I80" s="2">
        <v>-21.4</v>
      </c>
      <c r="J80" s="2">
        <v>-24.9</v>
      </c>
      <c r="K80" s="2">
        <f t="shared" si="8"/>
        <v>-21.4</v>
      </c>
      <c r="L80" s="8">
        <f t="shared" ref="L80:L81" si="11">10^((K80-H80)/10)</f>
        <v>4.6773514128719567E-12</v>
      </c>
      <c r="M80" s="26">
        <f>SUM(L80:L85)</f>
        <v>1.9648702943150334E-11</v>
      </c>
      <c r="N80" s="17">
        <f>10*LOG10(M80/E80)</f>
        <v>-114.84817363520781</v>
      </c>
      <c r="O80" s="9">
        <f t="shared" si="10"/>
        <v>-24.9</v>
      </c>
      <c r="P80" s="8">
        <f>D80/B80*10^(O80/10)</f>
        <v>6.3640085862826892E-2</v>
      </c>
      <c r="Q80" s="26">
        <f>SUM(P80:P85)</f>
        <v>0.32194463486289199</v>
      </c>
      <c r="R80" s="17">
        <f>10*LOG10(Q80)</f>
        <v>-4.9221880793435249</v>
      </c>
      <c r="S80" s="18">
        <f>F80+N80-Kzt-H</f>
        <v>-30.848173635207814</v>
      </c>
      <c r="T80" s="17">
        <v>0.5</v>
      </c>
      <c r="U80" s="21">
        <f>T80*10^((S80-R80)/10)</f>
        <v>1.2775310041709688E-3</v>
      </c>
    </row>
    <row r="81" spans="1:21" x14ac:dyDescent="0.25">
      <c r="A81" s="24"/>
      <c r="B81" s="24"/>
      <c r="C81" s="17"/>
      <c r="D81" s="24"/>
      <c r="E81" s="24"/>
      <c r="F81" s="25"/>
      <c r="G81" s="1">
        <v>425</v>
      </c>
      <c r="H81" s="2">
        <v>88.1</v>
      </c>
      <c r="I81" s="2">
        <v>-23.4</v>
      </c>
      <c r="J81" s="2">
        <v>-24.9</v>
      </c>
      <c r="K81" s="2">
        <f t="shared" si="8"/>
        <v>-23.4</v>
      </c>
      <c r="L81" s="8">
        <f t="shared" si="11"/>
        <v>7.0794578438413538E-12</v>
      </c>
      <c r="M81" s="26"/>
      <c r="N81" s="17"/>
      <c r="O81" s="9">
        <f t="shared" si="10"/>
        <v>-24.9</v>
      </c>
      <c r="P81" s="8">
        <f>D80/B80*10^(O81/10)</f>
        <v>6.3640085862826892E-2</v>
      </c>
      <c r="Q81" s="26"/>
      <c r="R81" s="17"/>
      <c r="S81" s="19"/>
      <c r="T81" s="17"/>
      <c r="U81" s="22"/>
    </row>
    <row r="82" spans="1:21" x14ac:dyDescent="0.25">
      <c r="A82" s="24"/>
      <c r="B82" s="24"/>
      <c r="C82" s="17"/>
      <c r="D82" s="24"/>
      <c r="E82" s="24"/>
      <c r="F82" s="25"/>
      <c r="G82" s="1">
        <v>475</v>
      </c>
      <c r="H82" s="2">
        <v>90</v>
      </c>
      <c r="I82" s="2">
        <v>-25.7</v>
      </c>
      <c r="J82" s="2">
        <v>-27.4</v>
      </c>
      <c r="K82" s="2">
        <f t="shared" si="8"/>
        <v>-25.7</v>
      </c>
      <c r="L82" s="8">
        <f>10^((K82-H82)/10)</f>
        <v>2.6915348039269074E-12</v>
      </c>
      <c r="M82" s="26"/>
      <c r="N82" s="17"/>
      <c r="O82" s="9">
        <f t="shared" si="10"/>
        <v>-27.4</v>
      </c>
      <c r="P82" s="8">
        <f>D80/B80*10^(O82/10)</f>
        <v>3.5787450219329664E-2</v>
      </c>
      <c r="Q82" s="26"/>
      <c r="R82" s="17"/>
      <c r="S82" s="19"/>
      <c r="T82" s="17"/>
      <c r="U82" s="22"/>
    </row>
    <row r="83" spans="1:21" x14ac:dyDescent="0.25">
      <c r="A83" s="24"/>
      <c r="B83" s="24"/>
      <c r="C83" s="17"/>
      <c r="D83" s="24"/>
      <c r="E83" s="24"/>
      <c r="F83" s="25"/>
      <c r="G83" s="1">
        <v>575</v>
      </c>
      <c r="H83" s="2">
        <v>97</v>
      </c>
      <c r="I83" s="2">
        <v>-23.7</v>
      </c>
      <c r="J83" s="2">
        <v>-25.4</v>
      </c>
      <c r="K83" s="2">
        <f t="shared" si="8"/>
        <v>-23.7</v>
      </c>
      <c r="L83" s="8">
        <f t="shared" ref="L83:L109" si="12">10^((K83-H83)/10)</f>
        <v>8.5113803820237492E-13</v>
      </c>
      <c r="M83" s="26"/>
      <c r="N83" s="17"/>
      <c r="O83" s="9">
        <f t="shared" si="10"/>
        <v>-25.4</v>
      </c>
      <c r="P83" s="8">
        <f>D80/B80*10^(O83/10)</f>
        <v>5.671928622815655E-2</v>
      </c>
      <c r="Q83" s="26"/>
      <c r="R83" s="17"/>
      <c r="S83" s="19"/>
      <c r="T83" s="17"/>
      <c r="U83" s="22"/>
    </row>
    <row r="84" spans="1:21" x14ac:dyDescent="0.25">
      <c r="A84" s="24"/>
      <c r="B84" s="24"/>
      <c r="C84" s="17"/>
      <c r="D84" s="24"/>
      <c r="E84" s="24"/>
      <c r="F84" s="25"/>
      <c r="G84" s="1">
        <v>625</v>
      </c>
      <c r="H84" s="2">
        <v>92</v>
      </c>
      <c r="I84" s="2">
        <v>-23.1</v>
      </c>
      <c r="J84" s="2">
        <v>-24.3</v>
      </c>
      <c r="K84" s="2">
        <f t="shared" si="8"/>
        <v>-23.1</v>
      </c>
      <c r="L84" s="8">
        <f t="shared" si="12"/>
        <v>3.0902954325135792E-12</v>
      </c>
      <c r="M84" s="26"/>
      <c r="N84" s="17"/>
      <c r="O84" s="9">
        <f t="shared" si="10"/>
        <v>-24.3</v>
      </c>
      <c r="P84" s="8">
        <f>D80/B80*10^(O84/10)</f>
        <v>7.3068595055777216E-2</v>
      </c>
      <c r="Q84" s="26"/>
      <c r="R84" s="17"/>
      <c r="S84" s="19"/>
      <c r="T84" s="17"/>
      <c r="U84" s="22"/>
    </row>
    <row r="85" spans="1:21" x14ac:dyDescent="0.25">
      <c r="A85" s="24"/>
      <c r="B85" s="24"/>
      <c r="C85" s="17"/>
      <c r="D85" s="24"/>
      <c r="E85" s="24"/>
      <c r="F85" s="25"/>
      <c r="G85" s="1">
        <v>675</v>
      </c>
      <c r="H85" s="2">
        <v>94.5</v>
      </c>
      <c r="I85" s="2">
        <v>-24.5</v>
      </c>
      <c r="J85" s="2">
        <v>-28.3</v>
      </c>
      <c r="K85" s="2">
        <f t="shared" si="8"/>
        <v>-24.5</v>
      </c>
      <c r="L85" s="8">
        <f t="shared" si="12"/>
        <v>1.2589254117941629E-12</v>
      </c>
      <c r="M85" s="26"/>
      <c r="N85" s="17"/>
      <c r="O85" s="9">
        <f t="shared" si="10"/>
        <v>-28.3</v>
      </c>
      <c r="P85" s="8">
        <f>D80/B80*10^(O85/10)</f>
        <v>2.9089131633974731E-2</v>
      </c>
      <c r="Q85" s="26"/>
      <c r="R85" s="17"/>
      <c r="S85" s="20"/>
      <c r="T85" s="17"/>
      <c r="U85" s="23"/>
    </row>
    <row r="86" spans="1:21" x14ac:dyDescent="0.25">
      <c r="A86" s="24">
        <v>1000</v>
      </c>
      <c r="B86" s="24">
        <v>3</v>
      </c>
      <c r="C86" s="17">
        <v>0.5</v>
      </c>
      <c r="D86" s="24">
        <v>117</v>
      </c>
      <c r="E86" s="24">
        <v>6</v>
      </c>
      <c r="F86" s="25">
        <v>76</v>
      </c>
      <c r="G86" s="1">
        <v>875</v>
      </c>
      <c r="H86" s="2">
        <v>91.1</v>
      </c>
      <c r="I86" s="2">
        <v>-22.4</v>
      </c>
      <c r="J86" s="2">
        <v>-28.7</v>
      </c>
      <c r="K86" s="2">
        <f t="shared" si="8"/>
        <v>-22.4</v>
      </c>
      <c r="L86" s="8">
        <f t="shared" si="12"/>
        <v>4.4668359215096234E-12</v>
      </c>
      <c r="M86" s="26">
        <f>SUM(L86:L91)</f>
        <v>8.1786585291710887E-12</v>
      </c>
      <c r="N86" s="17">
        <f>10*LOG10(M86/E86)</f>
        <v>-118.65469174237353</v>
      </c>
      <c r="O86" s="9">
        <f t="shared" si="10"/>
        <v>-28.7</v>
      </c>
      <c r="P86" s="8">
        <f>D86/B86*10^(O86/10)</f>
        <v>5.2609552421074443E-2</v>
      </c>
      <c r="Q86" s="26">
        <f>SUM(P86:P91)</f>
        <v>0.43696725951362619</v>
      </c>
      <c r="R86" s="17">
        <f>10*LOG10(Q86)</f>
        <v>-3.5955110203471556</v>
      </c>
      <c r="S86" s="18">
        <f>F86+N86-Kzt-H</f>
        <v>-42.654691742373529</v>
      </c>
      <c r="T86" s="17">
        <v>0.8</v>
      </c>
      <c r="U86" s="21">
        <f>T86*10^((S86-R86)/10)</f>
        <v>9.9350924966953714E-5</v>
      </c>
    </row>
    <row r="87" spans="1:21" x14ac:dyDescent="0.25">
      <c r="A87" s="24"/>
      <c r="B87" s="24"/>
      <c r="C87" s="17"/>
      <c r="D87" s="24"/>
      <c r="E87" s="24"/>
      <c r="F87" s="25"/>
      <c r="G87" s="1">
        <v>975</v>
      </c>
      <c r="H87" s="2">
        <v>96.5</v>
      </c>
      <c r="I87" s="2">
        <v>-24.1</v>
      </c>
      <c r="J87" s="2">
        <v>-30.8</v>
      </c>
      <c r="K87" s="2">
        <f t="shared" si="8"/>
        <v>-24.1</v>
      </c>
      <c r="L87" s="8">
        <f t="shared" si="12"/>
        <v>8.7096358995608191E-13</v>
      </c>
      <c r="M87" s="26"/>
      <c r="N87" s="17"/>
      <c r="O87" s="9">
        <f t="shared" si="10"/>
        <v>-30.8</v>
      </c>
      <c r="P87" s="8">
        <f>D86/B86*10^(O87/10)</f>
        <v>3.2438787073004141E-2</v>
      </c>
      <c r="Q87" s="26"/>
      <c r="R87" s="17"/>
      <c r="S87" s="19"/>
      <c r="T87" s="17"/>
      <c r="U87" s="22"/>
    </row>
    <row r="88" spans="1:21" x14ac:dyDescent="0.25">
      <c r="A88" s="24"/>
      <c r="B88" s="24"/>
      <c r="C88" s="17"/>
      <c r="D88" s="24"/>
      <c r="E88" s="24"/>
      <c r="F88" s="25"/>
      <c r="G88" s="1">
        <v>1075</v>
      </c>
      <c r="H88" s="2">
        <v>94.6</v>
      </c>
      <c r="I88" s="2">
        <v>-23</v>
      </c>
      <c r="J88" s="2">
        <v>-25.3</v>
      </c>
      <c r="K88" s="2">
        <f t="shared" si="8"/>
        <v>-23</v>
      </c>
      <c r="L88" s="8">
        <f t="shared" si="12"/>
        <v>1.737800828749373E-12</v>
      </c>
      <c r="M88" s="26"/>
      <c r="N88" s="17"/>
      <c r="O88" s="9">
        <f t="shared" si="10"/>
        <v>-25.3</v>
      </c>
      <c r="P88" s="8">
        <f>D86/B86*10^(O88/10)</f>
        <v>0.11509715983998897</v>
      </c>
      <c r="Q88" s="26"/>
      <c r="R88" s="17"/>
      <c r="S88" s="19"/>
      <c r="T88" s="17"/>
      <c r="U88" s="22"/>
    </row>
    <row r="89" spans="1:21" x14ac:dyDescent="0.25">
      <c r="A89" s="24"/>
      <c r="B89" s="24"/>
      <c r="C89" s="17"/>
      <c r="D89" s="24"/>
      <c r="E89" s="24"/>
      <c r="F89" s="25"/>
      <c r="G89" s="1">
        <v>1175</v>
      </c>
      <c r="H89" s="2">
        <v>97.8</v>
      </c>
      <c r="I89" s="2">
        <v>-26.9</v>
      </c>
      <c r="J89" s="2">
        <v>-27.1</v>
      </c>
      <c r="K89" s="2">
        <f t="shared" si="8"/>
        <v>-26.9</v>
      </c>
      <c r="L89" s="8">
        <f t="shared" si="12"/>
        <v>3.38844156139202E-13</v>
      </c>
      <c r="M89" s="26"/>
      <c r="N89" s="17"/>
      <c r="O89" s="9">
        <f t="shared" si="10"/>
        <v>-27.1</v>
      </c>
      <c r="P89" s="8">
        <f>D86/B86*10^(O89/10)</f>
        <v>7.6043939390563725E-2</v>
      </c>
      <c r="Q89" s="26"/>
      <c r="R89" s="17"/>
      <c r="S89" s="19"/>
      <c r="T89" s="17"/>
      <c r="U89" s="22"/>
    </row>
    <row r="90" spans="1:21" x14ac:dyDescent="0.25">
      <c r="A90" s="24"/>
      <c r="B90" s="24"/>
      <c r="C90" s="17"/>
      <c r="D90" s="24"/>
      <c r="E90" s="24"/>
      <c r="F90" s="25"/>
      <c r="G90" s="1">
        <v>1275</v>
      </c>
      <c r="H90" s="2">
        <v>100.1</v>
      </c>
      <c r="I90" s="2">
        <v>-22.9</v>
      </c>
      <c r="J90" s="2">
        <v>-26.3</v>
      </c>
      <c r="K90" s="2">
        <f t="shared" si="8"/>
        <v>-22.9</v>
      </c>
      <c r="L90" s="8">
        <f t="shared" si="12"/>
        <v>5.0118723362727066E-13</v>
      </c>
      <c r="M90" s="26"/>
      <c r="N90" s="17"/>
      <c r="O90" s="9">
        <f t="shared" si="10"/>
        <v>-26.3</v>
      </c>
      <c r="P90" s="8">
        <f>D86/B86*10^(O90/10)</f>
        <v>9.1424923797476895E-2</v>
      </c>
      <c r="Q90" s="26"/>
      <c r="R90" s="17"/>
      <c r="S90" s="19"/>
      <c r="T90" s="17"/>
      <c r="U90" s="22"/>
    </row>
    <row r="91" spans="1:21" x14ac:dyDescent="0.25">
      <c r="A91" s="24"/>
      <c r="B91" s="24"/>
      <c r="C91" s="17"/>
      <c r="D91" s="24"/>
      <c r="E91" s="24"/>
      <c r="F91" s="25"/>
      <c r="G91" s="1">
        <v>1375</v>
      </c>
      <c r="H91" s="2">
        <v>103</v>
      </c>
      <c r="I91" s="2">
        <v>-22.8</v>
      </c>
      <c r="J91" s="2">
        <v>-27.5</v>
      </c>
      <c r="K91" s="2">
        <f t="shared" si="8"/>
        <v>-22.8</v>
      </c>
      <c r="L91" s="8">
        <f t="shared" si="12"/>
        <v>2.6302679918953709E-13</v>
      </c>
      <c r="M91" s="26"/>
      <c r="N91" s="17"/>
      <c r="O91" s="9">
        <f t="shared" si="10"/>
        <v>-27.5</v>
      </c>
      <c r="P91" s="8">
        <f>D86/B86*10^(O91/10)</f>
        <v>6.9352896991517976E-2</v>
      </c>
      <c r="Q91" s="26"/>
      <c r="R91" s="17"/>
      <c r="S91" s="20"/>
      <c r="T91" s="17"/>
      <c r="U91" s="23"/>
    </row>
    <row r="92" spans="1:21" x14ac:dyDescent="0.25">
      <c r="A92" s="24">
        <v>2000</v>
      </c>
      <c r="B92" s="24">
        <v>3</v>
      </c>
      <c r="C92" s="17">
        <v>0.5</v>
      </c>
      <c r="D92" s="24">
        <v>234</v>
      </c>
      <c r="E92" s="24">
        <v>6</v>
      </c>
      <c r="F92" s="25">
        <v>68</v>
      </c>
      <c r="G92" s="1">
        <v>1425</v>
      </c>
      <c r="H92" s="2">
        <v>102.8</v>
      </c>
      <c r="I92" s="2">
        <v>-21.8</v>
      </c>
      <c r="J92" s="2">
        <v>-29.5</v>
      </c>
      <c r="K92" s="2">
        <f t="shared" si="8"/>
        <v>-21.8</v>
      </c>
      <c r="L92" s="8">
        <f t="shared" si="12"/>
        <v>3.4673685045253105E-13</v>
      </c>
      <c r="M92" s="26">
        <f>SUM(L92:L97)</f>
        <v>4.5481060284284966E-12</v>
      </c>
      <c r="N92" s="17">
        <f>10*LOG10(M92/E92)</f>
        <v>-121.20320669692336</v>
      </c>
      <c r="O92" s="9">
        <f t="shared" si="10"/>
        <v>-29.5</v>
      </c>
      <c r="P92" s="8">
        <f>D92/B92*10^(O92/10)</f>
        <v>8.7517439435553054E-2</v>
      </c>
      <c r="Q92" s="26">
        <f>SUM(P92:P97)</f>
        <v>0.99076703653407194</v>
      </c>
      <c r="R92" s="17">
        <f>10*LOG10(Q92)</f>
        <v>-4.0284511066923274E-2</v>
      </c>
      <c r="S92" s="18">
        <f>F92+N92-Kzt-H</f>
        <v>-53.20320669692336</v>
      </c>
      <c r="T92" s="17">
        <v>1</v>
      </c>
      <c r="U92" s="21">
        <f>T92*10^((S92-R92)/10)</f>
        <v>4.8273388130848799E-6</v>
      </c>
    </row>
    <row r="93" spans="1:21" x14ac:dyDescent="0.25">
      <c r="A93" s="24"/>
      <c r="B93" s="24"/>
      <c r="C93" s="17"/>
      <c r="D93" s="24"/>
      <c r="E93" s="24"/>
      <c r="F93" s="25"/>
      <c r="G93" s="1">
        <v>1625</v>
      </c>
      <c r="H93" s="2">
        <v>104.1</v>
      </c>
      <c r="I93" s="2">
        <v>-24</v>
      </c>
      <c r="J93" s="2">
        <v>-28</v>
      </c>
      <c r="K93" s="2">
        <f t="shared" si="8"/>
        <v>-24</v>
      </c>
      <c r="L93" s="8">
        <f t="shared" si="12"/>
        <v>1.5488166189124838E-13</v>
      </c>
      <c r="M93" s="26"/>
      <c r="N93" s="17"/>
      <c r="O93" s="9">
        <f t="shared" si="10"/>
        <v>-28</v>
      </c>
      <c r="P93" s="8">
        <f>D92/B92*10^(O93/10)</f>
        <v>0.12362166901196685</v>
      </c>
      <c r="Q93" s="26"/>
      <c r="R93" s="17"/>
      <c r="S93" s="19"/>
      <c r="T93" s="17"/>
      <c r="U93" s="22"/>
    </row>
    <row r="94" spans="1:21" x14ac:dyDescent="0.25">
      <c r="A94" s="24"/>
      <c r="B94" s="24"/>
      <c r="C94" s="17"/>
      <c r="D94" s="24"/>
      <c r="E94" s="24"/>
      <c r="F94" s="25"/>
      <c r="G94" s="1">
        <v>1825</v>
      </c>
      <c r="H94" s="2">
        <v>107.6</v>
      </c>
      <c r="I94" s="2">
        <v>-19.399999999999999</v>
      </c>
      <c r="J94" s="2">
        <v>-23.6</v>
      </c>
      <c r="K94" s="2">
        <f t="shared" si="8"/>
        <v>-19.399999999999999</v>
      </c>
      <c r="L94" s="8">
        <f t="shared" si="12"/>
        <v>1.9952623149688807E-13</v>
      </c>
      <c r="M94" s="26"/>
      <c r="N94" s="17"/>
      <c r="O94" s="9">
        <f t="shared" si="10"/>
        <v>-23.6</v>
      </c>
      <c r="P94" s="8">
        <f>D92/B92*10^(O94/10)</f>
        <v>0.34048234914732894</v>
      </c>
      <c r="Q94" s="26"/>
      <c r="R94" s="17"/>
      <c r="S94" s="19"/>
      <c r="T94" s="17"/>
      <c r="U94" s="22"/>
    </row>
    <row r="95" spans="1:21" x14ac:dyDescent="0.25">
      <c r="A95" s="24"/>
      <c r="B95" s="24"/>
      <c r="C95" s="17"/>
      <c r="D95" s="24"/>
      <c r="E95" s="24"/>
      <c r="F95" s="25"/>
      <c r="G95" s="1">
        <v>2125</v>
      </c>
      <c r="H95" s="2">
        <v>104.2</v>
      </c>
      <c r="I95" s="2">
        <v>-21</v>
      </c>
      <c r="J95" s="2">
        <v>-26</v>
      </c>
      <c r="K95" s="2">
        <f t="shared" si="8"/>
        <v>-21</v>
      </c>
      <c r="L95" s="8">
        <f t="shared" si="12"/>
        <v>3.0199517204020122E-13</v>
      </c>
      <c r="M95" s="26"/>
      <c r="N95" s="17"/>
      <c r="O95" s="9">
        <f t="shared" si="10"/>
        <v>-26</v>
      </c>
      <c r="P95" s="8">
        <f>D92/B92*10^(O95/10)</f>
        <v>0.19592714165774705</v>
      </c>
      <c r="Q95" s="26"/>
      <c r="R95" s="17"/>
      <c r="S95" s="19"/>
      <c r="T95" s="17"/>
      <c r="U95" s="22"/>
    </row>
    <row r="96" spans="1:21" x14ac:dyDescent="0.25">
      <c r="A96" s="24"/>
      <c r="B96" s="24"/>
      <c r="C96" s="17"/>
      <c r="D96" s="24"/>
      <c r="E96" s="24"/>
      <c r="F96" s="25"/>
      <c r="G96" s="1">
        <v>2425</v>
      </c>
      <c r="H96" s="2">
        <v>93.7</v>
      </c>
      <c r="I96" s="2">
        <v>-21.2</v>
      </c>
      <c r="J96" s="2">
        <v>-27.6</v>
      </c>
      <c r="K96" s="2">
        <f t="shared" si="8"/>
        <v>-21.2</v>
      </c>
      <c r="L96" s="8">
        <f t="shared" si="12"/>
        <v>3.2359365692962695E-12</v>
      </c>
      <c r="M96" s="26"/>
      <c r="N96" s="17"/>
      <c r="O96" s="9">
        <f t="shared" si="10"/>
        <v>-27.6</v>
      </c>
      <c r="P96" s="8">
        <f>D92/B92*10^(O96/10)</f>
        <v>0.13554846464245113</v>
      </c>
      <c r="Q96" s="26"/>
      <c r="R96" s="17"/>
      <c r="S96" s="19"/>
      <c r="T96" s="17"/>
      <c r="U96" s="22"/>
    </row>
    <row r="97" spans="1:21" x14ac:dyDescent="0.25">
      <c r="A97" s="24"/>
      <c r="B97" s="24"/>
      <c r="C97" s="17"/>
      <c r="D97" s="24"/>
      <c r="E97" s="24"/>
      <c r="F97" s="25"/>
      <c r="G97" s="1">
        <v>2775</v>
      </c>
      <c r="H97" s="2">
        <v>100.2</v>
      </c>
      <c r="I97" s="2">
        <v>-24.9</v>
      </c>
      <c r="J97" s="2">
        <v>-28.6</v>
      </c>
      <c r="K97" s="2">
        <f t="shared" si="8"/>
        <v>-24.9</v>
      </c>
      <c r="L97" s="8">
        <f t="shared" si="12"/>
        <v>3.0902954325135866E-13</v>
      </c>
      <c r="M97" s="26"/>
      <c r="N97" s="17"/>
      <c r="O97" s="9">
        <f t="shared" si="10"/>
        <v>-28.6</v>
      </c>
      <c r="P97" s="8">
        <f>D92/B92*10^(O97/10)</f>
        <v>0.10766997263902491</v>
      </c>
      <c r="Q97" s="26"/>
      <c r="R97" s="17"/>
      <c r="S97" s="20"/>
      <c r="T97" s="17"/>
      <c r="U97" s="23"/>
    </row>
    <row r="98" spans="1:21" x14ac:dyDescent="0.25">
      <c r="A98" s="24">
        <v>4000</v>
      </c>
      <c r="B98" s="24">
        <v>3</v>
      </c>
      <c r="C98" s="17">
        <v>0.5</v>
      </c>
      <c r="D98" s="24">
        <v>470</v>
      </c>
      <c r="E98" s="24">
        <v>6</v>
      </c>
      <c r="F98" s="25">
        <v>62</v>
      </c>
      <c r="G98" s="1">
        <v>2825</v>
      </c>
      <c r="H98" s="2">
        <v>99.4</v>
      </c>
      <c r="I98" s="2">
        <v>-20.100000000000001</v>
      </c>
      <c r="J98" s="2">
        <v>-26.9</v>
      </c>
      <c r="K98" s="2">
        <f t="shared" si="8"/>
        <v>-20.100000000000001</v>
      </c>
      <c r="L98" s="8">
        <f t="shared" si="12"/>
        <v>1.122018454301964E-12</v>
      </c>
      <c r="M98" s="26">
        <f>SUM(L98:L103)</f>
        <v>3.1711239375432704E-12</v>
      </c>
      <c r="N98" s="17">
        <f>10*LOG10(M98/E98)</f>
        <v>-122.76938034424263</v>
      </c>
      <c r="O98" s="9">
        <f t="shared" si="10"/>
        <v>-26.9</v>
      </c>
      <c r="P98" s="8">
        <f>D98/B98*10^(O98/10)</f>
        <v>0.31987227799822626</v>
      </c>
      <c r="Q98" s="26">
        <f>SUM(P98:P103)</f>
        <v>1.74346818729084</v>
      </c>
      <c r="R98" s="17">
        <f>10*LOG10(Q98)</f>
        <v>2.4141402730127468</v>
      </c>
      <c r="S98" s="18">
        <f>F98+N98-Kzt-H</f>
        <v>-60.769380344242634</v>
      </c>
      <c r="T98" s="17">
        <v>0.9</v>
      </c>
      <c r="U98" s="21">
        <f>T98*10^((S98-R98)/10)</f>
        <v>4.3240474168380088E-7</v>
      </c>
    </row>
    <row r="99" spans="1:21" x14ac:dyDescent="0.25">
      <c r="A99" s="24"/>
      <c r="B99" s="24"/>
      <c r="C99" s="17"/>
      <c r="D99" s="24"/>
      <c r="E99" s="24"/>
      <c r="F99" s="25"/>
      <c r="G99" s="1">
        <v>3425</v>
      </c>
      <c r="H99" s="2">
        <v>103.5</v>
      </c>
      <c r="I99" s="2">
        <v>-20.2</v>
      </c>
      <c r="J99" s="2">
        <v>-27.5</v>
      </c>
      <c r="K99" s="2">
        <f t="shared" si="8"/>
        <v>-20.2</v>
      </c>
      <c r="L99" s="8">
        <f t="shared" si="12"/>
        <v>4.2657951880159005E-13</v>
      </c>
      <c r="M99" s="26"/>
      <c r="N99" s="17"/>
      <c r="O99" s="9">
        <f t="shared" si="10"/>
        <v>-27.5</v>
      </c>
      <c r="P99" s="8">
        <f>D98/B98*10^(O99/10)</f>
        <v>0.27859710757276446</v>
      </c>
      <c r="Q99" s="26"/>
      <c r="R99" s="17"/>
      <c r="S99" s="19"/>
      <c r="T99" s="17"/>
      <c r="U99" s="22"/>
    </row>
    <row r="100" spans="1:21" x14ac:dyDescent="0.25">
      <c r="A100" s="24"/>
      <c r="B100" s="24"/>
      <c r="C100" s="17"/>
      <c r="D100" s="24"/>
      <c r="E100" s="24"/>
      <c r="F100" s="25"/>
      <c r="G100" s="1">
        <v>4025</v>
      </c>
      <c r="H100" s="2">
        <v>103.6</v>
      </c>
      <c r="I100" s="2">
        <v>-16.8</v>
      </c>
      <c r="J100" s="2">
        <v>-30.7</v>
      </c>
      <c r="K100" s="2">
        <f t="shared" si="8"/>
        <v>-16.8</v>
      </c>
      <c r="L100" s="8">
        <f t="shared" si="12"/>
        <v>9.1201083935590769E-13</v>
      </c>
      <c r="M100" s="26"/>
      <c r="N100" s="17"/>
      <c r="O100" s="9">
        <f t="shared" si="10"/>
        <v>-30.7</v>
      </c>
      <c r="P100" s="8">
        <f>D98/B98*10^(O100/10)</f>
        <v>0.13334495931837231</v>
      </c>
      <c r="Q100" s="26"/>
      <c r="R100" s="17"/>
      <c r="S100" s="19"/>
      <c r="T100" s="17"/>
      <c r="U100" s="22"/>
    </row>
    <row r="101" spans="1:21" x14ac:dyDescent="0.25">
      <c r="A101" s="24"/>
      <c r="B101" s="24"/>
      <c r="C101" s="17"/>
      <c r="D101" s="24"/>
      <c r="E101" s="24"/>
      <c r="F101" s="25"/>
      <c r="G101" s="1">
        <v>4625</v>
      </c>
      <c r="H101" s="2">
        <v>105.6</v>
      </c>
      <c r="I101" s="2">
        <v>-22.7</v>
      </c>
      <c r="J101" s="2">
        <v>-25.8</v>
      </c>
      <c r="K101" s="2">
        <f t="shared" si="8"/>
        <v>-22.7</v>
      </c>
      <c r="L101" s="8">
        <f t="shared" si="12"/>
        <v>1.47910838816821E-13</v>
      </c>
      <c r="M101" s="26"/>
      <c r="N101" s="17"/>
      <c r="O101" s="9">
        <f t="shared" si="10"/>
        <v>-25.8</v>
      </c>
      <c r="P101" s="8">
        <f>D98/B98*10^(O101/10)</f>
        <v>0.41207531873027603</v>
      </c>
      <c r="Q101" s="26"/>
      <c r="R101" s="17"/>
      <c r="S101" s="19"/>
      <c r="T101" s="17"/>
      <c r="U101" s="22"/>
    </row>
    <row r="102" spans="1:21" x14ac:dyDescent="0.25">
      <c r="A102" s="24"/>
      <c r="B102" s="24"/>
      <c r="C102" s="17"/>
      <c r="D102" s="24"/>
      <c r="E102" s="24"/>
      <c r="F102" s="25"/>
      <c r="G102" s="1">
        <v>5225</v>
      </c>
      <c r="H102" s="2">
        <v>103.5</v>
      </c>
      <c r="I102" s="2">
        <v>-23.5</v>
      </c>
      <c r="J102" s="2">
        <v>-27.6</v>
      </c>
      <c r="K102" s="2">
        <f t="shared" si="8"/>
        <v>-23.5</v>
      </c>
      <c r="L102" s="8">
        <f t="shared" si="12"/>
        <v>1.9952623149688807E-13</v>
      </c>
      <c r="M102" s="26"/>
      <c r="N102" s="17"/>
      <c r="O102" s="9">
        <f t="shared" si="10"/>
        <v>-27.6</v>
      </c>
      <c r="P102" s="8">
        <f>D98/B98*10^(O102/10)</f>
        <v>0.27225546317073518</v>
      </c>
      <c r="Q102" s="26"/>
      <c r="R102" s="17"/>
      <c r="S102" s="19"/>
      <c r="T102" s="17"/>
      <c r="U102" s="22"/>
    </row>
    <row r="103" spans="1:21" x14ac:dyDescent="0.25">
      <c r="A103" s="24"/>
      <c r="B103" s="24"/>
      <c r="C103" s="17"/>
      <c r="D103" s="24"/>
      <c r="E103" s="24"/>
      <c r="F103" s="25"/>
      <c r="G103" s="1">
        <v>5625</v>
      </c>
      <c r="H103" s="2">
        <v>99.5</v>
      </c>
      <c r="I103" s="2">
        <v>-24.9</v>
      </c>
      <c r="J103" s="2">
        <v>-26.8</v>
      </c>
      <c r="K103" s="2">
        <f t="shared" si="8"/>
        <v>-24.9</v>
      </c>
      <c r="L103" s="8">
        <f t="shared" si="12"/>
        <v>3.6307805477009936E-13</v>
      </c>
      <c r="M103" s="26"/>
      <c r="N103" s="17"/>
      <c r="O103" s="9">
        <f t="shared" si="10"/>
        <v>-26.8</v>
      </c>
      <c r="P103" s="8">
        <f>D98/B98*10^(O103/10)</f>
        <v>0.32732306050046583</v>
      </c>
      <c r="Q103" s="26"/>
      <c r="R103" s="17"/>
      <c r="S103" s="20"/>
      <c r="T103" s="17"/>
      <c r="U103" s="23"/>
    </row>
    <row r="104" spans="1:21" x14ac:dyDescent="0.25">
      <c r="A104" s="24">
        <v>8000</v>
      </c>
      <c r="B104" s="24">
        <v>3</v>
      </c>
      <c r="C104" s="17">
        <v>0.5</v>
      </c>
      <c r="D104" s="24">
        <v>943</v>
      </c>
      <c r="E104" s="24">
        <v>6</v>
      </c>
      <c r="F104" s="25">
        <v>54</v>
      </c>
      <c r="G104" s="1">
        <v>6025</v>
      </c>
      <c r="H104" s="2">
        <v>95</v>
      </c>
      <c r="I104" s="2">
        <v>-22</v>
      </c>
      <c r="J104" s="2">
        <v>-26.1</v>
      </c>
      <c r="K104" s="2">
        <f t="shared" si="8"/>
        <v>-22</v>
      </c>
      <c r="L104" s="8">
        <f t="shared" si="12"/>
        <v>1.9952623149688759E-12</v>
      </c>
      <c r="M104" s="26">
        <f>SUM(L104:L109)</f>
        <v>4.0174871781732947E-11</v>
      </c>
      <c r="N104" s="17">
        <f>10*LOG10(M104/E104)</f>
        <v>-111.74196750998659</v>
      </c>
      <c r="O104" s="9">
        <f t="shared" si="10"/>
        <v>-26.1</v>
      </c>
      <c r="P104" s="8">
        <f>D104/B104*10^(O104/10)</f>
        <v>0.77159683583032657</v>
      </c>
      <c r="Q104" s="26">
        <f>SUM(P104:P109)</f>
        <v>3.1921005847184221</v>
      </c>
      <c r="R104" s="17">
        <f>10*LOG10(Q104)</f>
        <v>5.0407656773505902</v>
      </c>
      <c r="S104" s="18">
        <f>F104+N104-Kzt-H</f>
        <v>-57.741967509986594</v>
      </c>
      <c r="T104" s="17">
        <v>0.7</v>
      </c>
      <c r="U104" s="21">
        <f>T104*10^((S104-R104)/10)</f>
        <v>3.6882871141079355E-7</v>
      </c>
    </row>
    <row r="105" spans="1:21" x14ac:dyDescent="0.25">
      <c r="A105" s="24"/>
      <c r="B105" s="24"/>
      <c r="C105" s="17"/>
      <c r="D105" s="24"/>
      <c r="E105" s="24"/>
      <c r="F105" s="25"/>
      <c r="G105" s="1">
        <v>7025</v>
      </c>
      <c r="H105" s="2">
        <v>94.8</v>
      </c>
      <c r="I105" s="2">
        <v>-18.5</v>
      </c>
      <c r="J105" s="2">
        <v>-31</v>
      </c>
      <c r="K105" s="2">
        <f t="shared" si="8"/>
        <v>-18.5</v>
      </c>
      <c r="L105" s="8">
        <f t="shared" si="12"/>
        <v>4.6773514128719737E-12</v>
      </c>
      <c r="M105" s="26"/>
      <c r="N105" s="17"/>
      <c r="O105" s="9">
        <f t="shared" si="10"/>
        <v>-31</v>
      </c>
      <c r="P105" s="8">
        <f>D104/B104*10^(O105/10)</f>
        <v>0.24968384178166564</v>
      </c>
      <c r="Q105" s="26"/>
      <c r="R105" s="17"/>
      <c r="S105" s="19"/>
      <c r="T105" s="17"/>
      <c r="U105" s="22"/>
    </row>
    <row r="106" spans="1:21" x14ac:dyDescent="0.25">
      <c r="A106" s="24"/>
      <c r="B106" s="24"/>
      <c r="C106" s="17"/>
      <c r="D106" s="24"/>
      <c r="E106" s="24"/>
      <c r="F106" s="25"/>
      <c r="G106" s="1">
        <v>8025</v>
      </c>
      <c r="H106" s="2">
        <v>101.9</v>
      </c>
      <c r="I106" s="2">
        <v>-23.8</v>
      </c>
      <c r="J106" s="2">
        <v>-27.5</v>
      </c>
      <c r="K106" s="2">
        <f t="shared" si="8"/>
        <v>-23.8</v>
      </c>
      <c r="L106" s="8">
        <f t="shared" si="12"/>
        <v>2.6915348039269041E-13</v>
      </c>
      <c r="M106" s="26"/>
      <c r="N106" s="17"/>
      <c r="O106" s="9">
        <f t="shared" si="10"/>
        <v>-27.5</v>
      </c>
      <c r="P106" s="8">
        <f>D104/B104*10^(O106/10)</f>
        <v>0.55897249455556786</v>
      </c>
      <c r="Q106" s="26"/>
      <c r="R106" s="17"/>
      <c r="S106" s="19"/>
      <c r="T106" s="17"/>
      <c r="U106" s="22"/>
    </row>
    <row r="107" spans="1:21" x14ac:dyDescent="0.25">
      <c r="A107" s="24"/>
      <c r="B107" s="24"/>
      <c r="C107" s="17"/>
      <c r="D107" s="24"/>
      <c r="E107" s="24"/>
      <c r="F107" s="25"/>
      <c r="G107" s="1">
        <v>9025</v>
      </c>
      <c r="H107" s="2">
        <v>93.2</v>
      </c>
      <c r="I107" s="2">
        <v>-18.899999999999999</v>
      </c>
      <c r="J107" s="2">
        <v>-28.8</v>
      </c>
      <c r="K107" s="2">
        <f t="shared" si="8"/>
        <v>-18.899999999999999</v>
      </c>
      <c r="L107" s="8">
        <f t="shared" si="12"/>
        <v>6.1659500186148244E-12</v>
      </c>
      <c r="M107" s="26"/>
      <c r="N107" s="17"/>
      <c r="O107" s="9">
        <f t="shared" si="10"/>
        <v>-28.8</v>
      </c>
      <c r="P107" s="8">
        <f>D104/B104*10^(O107/10)</f>
        <v>0.41437203481956392</v>
      </c>
      <c r="Q107" s="26"/>
      <c r="R107" s="17"/>
      <c r="S107" s="19"/>
      <c r="T107" s="17"/>
      <c r="U107" s="22"/>
    </row>
    <row r="108" spans="1:21" x14ac:dyDescent="0.25">
      <c r="A108" s="24"/>
      <c r="B108" s="24"/>
      <c r="C108" s="17"/>
      <c r="D108" s="24"/>
      <c r="E108" s="24"/>
      <c r="F108" s="25"/>
      <c r="G108" s="1">
        <v>10025</v>
      </c>
      <c r="H108" s="2">
        <v>88.3</v>
      </c>
      <c r="I108" s="2">
        <v>-21.5</v>
      </c>
      <c r="J108" s="2">
        <v>-26.6</v>
      </c>
      <c r="K108" s="2">
        <f t="shared" si="8"/>
        <v>-21.5</v>
      </c>
      <c r="L108" s="8">
        <f t="shared" si="12"/>
        <v>1.0471285480508978E-11</v>
      </c>
      <c r="M108" s="26"/>
      <c r="N108" s="17"/>
      <c r="O108" s="9">
        <f t="shared" si="10"/>
        <v>-26.6</v>
      </c>
      <c r="P108" s="8">
        <f>D104/B104*10^(O108/10)</f>
        <v>0.6876864037948085</v>
      </c>
      <c r="Q108" s="26"/>
      <c r="R108" s="17"/>
      <c r="S108" s="19"/>
      <c r="T108" s="17"/>
      <c r="U108" s="22"/>
    </row>
    <row r="109" spans="1:21" x14ac:dyDescent="0.25">
      <c r="A109" s="24"/>
      <c r="B109" s="24"/>
      <c r="C109" s="17"/>
      <c r="D109" s="24"/>
      <c r="E109" s="24"/>
      <c r="F109" s="25"/>
      <c r="G109" s="1">
        <v>11025</v>
      </c>
      <c r="H109" s="2">
        <v>86</v>
      </c>
      <c r="I109" s="2">
        <v>-21.8</v>
      </c>
      <c r="J109" s="2">
        <v>-27.9</v>
      </c>
      <c r="K109" s="2">
        <f t="shared" si="8"/>
        <v>-21.8</v>
      </c>
      <c r="L109" s="8">
        <f t="shared" si="12"/>
        <v>1.6595869074375605E-11</v>
      </c>
      <c r="M109" s="26"/>
      <c r="N109" s="17"/>
      <c r="O109" s="9">
        <f t="shared" si="10"/>
        <v>-27.9</v>
      </c>
      <c r="P109" s="8">
        <f>D104/B104*10^(O109/10)</f>
        <v>0.50978897393648981</v>
      </c>
      <c r="Q109" s="26"/>
      <c r="R109" s="17"/>
      <c r="S109" s="20"/>
      <c r="T109" s="17"/>
      <c r="U109" s="23"/>
    </row>
    <row r="110" spans="1:21" x14ac:dyDescent="0.25">
      <c r="A110" s="24" t="s">
        <v>20</v>
      </c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12">
        <f>U110</f>
        <v>8.7838018218559799E-2</v>
      </c>
      <c r="T110" s="2"/>
      <c r="U110" s="8">
        <f>0.8*SQRT(SUM(U76:U109))</f>
        <v>8.7838018218559799E-2</v>
      </c>
    </row>
    <row r="111" spans="1:21" x14ac:dyDescent="0.25">
      <c r="A111" s="27" t="s">
        <v>75</v>
      </c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9"/>
    </row>
    <row r="112" spans="1:21" x14ac:dyDescent="0.25">
      <c r="A112" s="24">
        <v>250</v>
      </c>
      <c r="B112" s="24">
        <v>3</v>
      </c>
      <c r="C112" s="17">
        <v>0.5</v>
      </c>
      <c r="D112" s="24">
        <v>38</v>
      </c>
      <c r="E112" s="24">
        <v>4</v>
      </c>
      <c r="F112" s="25">
        <v>84</v>
      </c>
      <c r="G112" s="1">
        <v>175</v>
      </c>
      <c r="H112" s="2">
        <v>84.8</v>
      </c>
      <c r="I112" s="2">
        <v>-23</v>
      </c>
      <c r="J112" s="2">
        <v>-24.1</v>
      </c>
      <c r="K112" s="2">
        <f>I112</f>
        <v>-23</v>
      </c>
      <c r="L112" s="8">
        <f>10^((K112-H112)/10)</f>
        <v>1.6595869074375605E-11</v>
      </c>
      <c r="M112" s="26">
        <f>SUM(L112:L115)</f>
        <v>4.0164807185900683E-11</v>
      </c>
      <c r="N112" s="17">
        <f>10*LOG10(M112/E112)</f>
        <v>-109.98214304886011</v>
      </c>
      <c r="O112" s="9">
        <f>J112</f>
        <v>-24.1</v>
      </c>
      <c r="P112" s="8">
        <f>D112/B112*10^(O112/10)</f>
        <v>4.9279051699275496E-2</v>
      </c>
      <c r="Q112" s="26">
        <f>SUM(P112:P115)</f>
        <v>0.17959952278960853</v>
      </c>
      <c r="R112" s="17">
        <f>10*LOG10(Q112)</f>
        <v>-7.4569482162258449</v>
      </c>
      <c r="S112" s="18">
        <f>F112+N112-Kzt-H</f>
        <v>-25.98214304886011</v>
      </c>
      <c r="T112" s="17">
        <v>0.2</v>
      </c>
      <c r="U112" s="21">
        <f>T112*10^((S112-R112)/10)</f>
        <v>2.8087333592931962E-3</v>
      </c>
    </row>
    <row r="113" spans="1:21" x14ac:dyDescent="0.25">
      <c r="A113" s="24"/>
      <c r="B113" s="24"/>
      <c r="C113" s="17"/>
      <c r="D113" s="24"/>
      <c r="E113" s="24"/>
      <c r="F113" s="25"/>
      <c r="G113" s="1">
        <v>225</v>
      </c>
      <c r="H113" s="2">
        <v>90</v>
      </c>
      <c r="I113" s="2">
        <v>-19.2</v>
      </c>
      <c r="J113" s="2">
        <v>-22.1</v>
      </c>
      <c r="K113" s="2">
        <f t="shared" ref="K113:K145" si="13">I113</f>
        <v>-19.2</v>
      </c>
      <c r="L113" s="8">
        <f t="shared" ref="L113:L114" si="14">10^((K113-H113)/10)</f>
        <v>1.2022644346174101E-11</v>
      </c>
      <c r="M113" s="26"/>
      <c r="N113" s="17"/>
      <c r="O113" s="9">
        <f t="shared" ref="O113:O145" si="15">J113</f>
        <v>-22.1</v>
      </c>
      <c r="P113" s="8">
        <f>D112/B112*10^(O113/10)</f>
        <v>7.8102033569121043E-2</v>
      </c>
      <c r="Q113" s="26"/>
      <c r="R113" s="17"/>
      <c r="S113" s="19"/>
      <c r="T113" s="17"/>
      <c r="U113" s="22"/>
    </row>
    <row r="114" spans="1:21" x14ac:dyDescent="0.25">
      <c r="A114" s="24"/>
      <c r="B114" s="24"/>
      <c r="C114" s="17"/>
      <c r="D114" s="24"/>
      <c r="E114" s="24"/>
      <c r="F114" s="25"/>
      <c r="G114" s="1">
        <v>275</v>
      </c>
      <c r="H114" s="2">
        <v>92.2</v>
      </c>
      <c r="I114" s="2">
        <v>-19.3</v>
      </c>
      <c r="J114" s="2">
        <v>-26.3</v>
      </c>
      <c r="K114" s="2">
        <f t="shared" si="13"/>
        <v>-19.3</v>
      </c>
      <c r="L114" s="8">
        <f t="shared" si="14"/>
        <v>7.0794578438413538E-12</v>
      </c>
      <c r="M114" s="26"/>
      <c r="N114" s="17"/>
      <c r="O114" s="9">
        <f t="shared" si="15"/>
        <v>-26.3</v>
      </c>
      <c r="P114" s="8">
        <f>D112/B112*10^(O114/10)</f>
        <v>2.9693564994052322E-2</v>
      </c>
      <c r="Q114" s="26"/>
      <c r="R114" s="17"/>
      <c r="S114" s="19"/>
      <c r="T114" s="17"/>
      <c r="U114" s="22"/>
    </row>
    <row r="115" spans="1:21" x14ac:dyDescent="0.25">
      <c r="A115" s="24"/>
      <c r="B115" s="24"/>
      <c r="C115" s="17"/>
      <c r="D115" s="24"/>
      <c r="E115" s="24"/>
      <c r="F115" s="25"/>
      <c r="G115" s="1">
        <v>325</v>
      </c>
      <c r="H115" s="2">
        <v>93.3</v>
      </c>
      <c r="I115" s="2">
        <v>-20.2</v>
      </c>
      <c r="J115" s="2">
        <v>-27.5</v>
      </c>
      <c r="K115" s="2">
        <f t="shared" si="13"/>
        <v>-20.2</v>
      </c>
      <c r="L115" s="8">
        <f>10^((K115-H115)/10)</f>
        <v>4.4668359215096234E-12</v>
      </c>
      <c r="M115" s="26"/>
      <c r="N115" s="17"/>
      <c r="O115" s="9">
        <f t="shared" si="15"/>
        <v>-27.5</v>
      </c>
      <c r="P115" s="8">
        <f>D112/B112*10^(O115/10)</f>
        <v>2.2524872527159682E-2</v>
      </c>
      <c r="Q115" s="26"/>
      <c r="R115" s="17"/>
      <c r="S115" s="20"/>
      <c r="T115" s="17"/>
      <c r="U115" s="23"/>
    </row>
    <row r="116" spans="1:21" x14ac:dyDescent="0.25">
      <c r="A116" s="24">
        <v>500</v>
      </c>
      <c r="B116" s="24">
        <v>3</v>
      </c>
      <c r="C116" s="17">
        <v>0.5</v>
      </c>
      <c r="D116" s="24">
        <v>59</v>
      </c>
      <c r="E116" s="24">
        <v>6</v>
      </c>
      <c r="F116" s="25">
        <v>84</v>
      </c>
      <c r="G116" s="1">
        <v>375</v>
      </c>
      <c r="H116" s="2">
        <v>91.9</v>
      </c>
      <c r="I116" s="2">
        <v>-21.3</v>
      </c>
      <c r="J116" s="2">
        <v>-27.6</v>
      </c>
      <c r="K116" s="2">
        <f t="shared" si="13"/>
        <v>-21.3</v>
      </c>
      <c r="L116" s="8">
        <f t="shared" ref="L116:L117" si="16">10^((K116-H116)/10)</f>
        <v>4.7863009232263738E-12</v>
      </c>
      <c r="M116" s="26">
        <f>SUM(L116:L121)</f>
        <v>2.3408167365421975E-11</v>
      </c>
      <c r="N116" s="17">
        <f>10*LOG10(M116/E116)</f>
        <v>-114.08783836440952</v>
      </c>
      <c r="O116" s="9">
        <f t="shared" si="15"/>
        <v>-27.6</v>
      </c>
      <c r="P116" s="8">
        <f>D116/B116*10^(O116/10)</f>
        <v>3.4176749632071013E-2</v>
      </c>
      <c r="Q116" s="26">
        <f>SUM(P116:P121)</f>
        <v>0.24523566126776669</v>
      </c>
      <c r="R116" s="17">
        <f>10*LOG10(Q116)</f>
        <v>-6.1041637605538801</v>
      </c>
      <c r="S116" s="18">
        <f>F116+N116-Kzt-H</f>
        <v>-30.087838364409521</v>
      </c>
      <c r="T116" s="17">
        <v>0.5</v>
      </c>
      <c r="U116" s="21">
        <f>T116*10^((S116-R116)/10)</f>
        <v>1.9980324805313138E-3</v>
      </c>
    </row>
    <row r="117" spans="1:21" x14ac:dyDescent="0.25">
      <c r="A117" s="24"/>
      <c r="B117" s="24"/>
      <c r="C117" s="17"/>
      <c r="D117" s="24"/>
      <c r="E117" s="24"/>
      <c r="F117" s="25"/>
      <c r="G117" s="1">
        <v>425</v>
      </c>
      <c r="H117" s="2">
        <v>88.1</v>
      </c>
      <c r="I117" s="2">
        <v>-23.1</v>
      </c>
      <c r="J117" s="2">
        <v>-25.1</v>
      </c>
      <c r="K117" s="2">
        <f t="shared" si="13"/>
        <v>-23.1</v>
      </c>
      <c r="L117" s="8">
        <f t="shared" si="16"/>
        <v>7.585775750291834E-12</v>
      </c>
      <c r="M117" s="26"/>
      <c r="N117" s="17"/>
      <c r="O117" s="9">
        <f t="shared" si="15"/>
        <v>-25.1</v>
      </c>
      <c r="P117" s="8">
        <f>D116/B116*10^(O117/10)</f>
        <v>6.0775810172767231E-2</v>
      </c>
      <c r="Q117" s="26"/>
      <c r="R117" s="17"/>
      <c r="S117" s="19"/>
      <c r="T117" s="17"/>
      <c r="U117" s="22"/>
    </row>
    <row r="118" spans="1:21" x14ac:dyDescent="0.25">
      <c r="A118" s="24"/>
      <c r="B118" s="24"/>
      <c r="C118" s="17"/>
      <c r="D118" s="24"/>
      <c r="E118" s="24"/>
      <c r="F118" s="25"/>
      <c r="G118" s="1">
        <v>475</v>
      </c>
      <c r="H118" s="2">
        <v>90</v>
      </c>
      <c r="I118" s="2">
        <v>-25.7</v>
      </c>
      <c r="J118" s="2">
        <v>-28.8</v>
      </c>
      <c r="K118" s="2">
        <f t="shared" si="13"/>
        <v>-25.7</v>
      </c>
      <c r="L118" s="8">
        <f>10^((K118-H118)/10)</f>
        <v>2.6915348039269074E-12</v>
      </c>
      <c r="M118" s="26"/>
      <c r="N118" s="17"/>
      <c r="O118" s="9">
        <f t="shared" si="15"/>
        <v>-28.8</v>
      </c>
      <c r="P118" s="8">
        <f>D116/B116*10^(O118/10)</f>
        <v>2.5925715858276008E-2</v>
      </c>
      <c r="Q118" s="26"/>
      <c r="R118" s="17"/>
      <c r="S118" s="19"/>
      <c r="T118" s="17"/>
      <c r="U118" s="22"/>
    </row>
    <row r="119" spans="1:21" x14ac:dyDescent="0.25">
      <c r="A119" s="24"/>
      <c r="B119" s="24"/>
      <c r="C119" s="17"/>
      <c r="D119" s="24"/>
      <c r="E119" s="24"/>
      <c r="F119" s="25"/>
      <c r="G119" s="1">
        <v>575</v>
      </c>
      <c r="H119" s="2">
        <v>97</v>
      </c>
      <c r="I119" s="2">
        <v>-21.6</v>
      </c>
      <c r="J119" s="2">
        <v>-28.5</v>
      </c>
      <c r="K119" s="2">
        <f t="shared" si="13"/>
        <v>-21.6</v>
      </c>
      <c r="L119" s="8">
        <f t="shared" ref="L119:L145" si="17">10^((K119-H119)/10)</f>
        <v>1.3803842646028842E-12</v>
      </c>
      <c r="M119" s="26"/>
      <c r="N119" s="17"/>
      <c r="O119" s="9">
        <f t="shared" si="15"/>
        <v>-28.5</v>
      </c>
      <c r="P119" s="8">
        <f>D116/B116*10^(O119/10)</f>
        <v>2.7779905044247471E-2</v>
      </c>
      <c r="Q119" s="26"/>
      <c r="R119" s="17"/>
      <c r="S119" s="19"/>
      <c r="T119" s="17"/>
      <c r="U119" s="22"/>
    </row>
    <row r="120" spans="1:21" x14ac:dyDescent="0.25">
      <c r="A120" s="24"/>
      <c r="B120" s="24"/>
      <c r="C120" s="17"/>
      <c r="D120" s="24"/>
      <c r="E120" s="24"/>
      <c r="F120" s="25"/>
      <c r="G120" s="1">
        <v>625</v>
      </c>
      <c r="H120" s="2">
        <v>92</v>
      </c>
      <c r="I120" s="2">
        <v>-22.2</v>
      </c>
      <c r="J120" s="2">
        <v>-26</v>
      </c>
      <c r="K120" s="2">
        <f t="shared" si="13"/>
        <v>-22.2</v>
      </c>
      <c r="L120" s="8">
        <f t="shared" si="17"/>
        <v>3.8018939632056084E-12</v>
      </c>
      <c r="M120" s="26"/>
      <c r="N120" s="17"/>
      <c r="O120" s="9">
        <f t="shared" si="15"/>
        <v>-26</v>
      </c>
      <c r="P120" s="8">
        <f>D116/B116*10^(O120/10)</f>
        <v>4.94004331530217E-2</v>
      </c>
      <c r="Q120" s="26"/>
      <c r="R120" s="17"/>
      <c r="S120" s="19"/>
      <c r="T120" s="17"/>
      <c r="U120" s="22"/>
    </row>
    <row r="121" spans="1:21" x14ac:dyDescent="0.25">
      <c r="A121" s="24"/>
      <c r="B121" s="24"/>
      <c r="C121" s="17"/>
      <c r="D121" s="24"/>
      <c r="E121" s="24"/>
      <c r="F121" s="25"/>
      <c r="G121" s="1">
        <v>675</v>
      </c>
      <c r="H121" s="2">
        <v>94.5</v>
      </c>
      <c r="I121" s="2">
        <v>-20.5</v>
      </c>
      <c r="J121" s="2">
        <v>-26.2</v>
      </c>
      <c r="K121" s="2">
        <f t="shared" si="13"/>
        <v>-20.5</v>
      </c>
      <c r="L121" s="8">
        <f t="shared" si="17"/>
        <v>3.1622776601683669E-12</v>
      </c>
      <c r="M121" s="26"/>
      <c r="N121" s="17"/>
      <c r="O121" s="9">
        <f t="shared" si="15"/>
        <v>-26.2</v>
      </c>
      <c r="P121" s="8">
        <f>D116/B116*10^(O121/10)</f>
        <v>4.717704740738328E-2</v>
      </c>
      <c r="Q121" s="26"/>
      <c r="R121" s="17"/>
      <c r="S121" s="20"/>
      <c r="T121" s="17"/>
      <c r="U121" s="23"/>
    </row>
    <row r="122" spans="1:21" x14ac:dyDescent="0.25">
      <c r="A122" s="24">
        <v>1000</v>
      </c>
      <c r="B122" s="24">
        <v>3</v>
      </c>
      <c r="C122" s="17">
        <v>0.5</v>
      </c>
      <c r="D122" s="24">
        <v>117</v>
      </c>
      <c r="E122" s="24">
        <v>6</v>
      </c>
      <c r="F122" s="25">
        <v>76</v>
      </c>
      <c r="G122" s="1">
        <v>875</v>
      </c>
      <c r="H122" s="2">
        <v>91.1</v>
      </c>
      <c r="I122" s="2">
        <v>-22.1</v>
      </c>
      <c r="J122" s="2">
        <v>-24.8</v>
      </c>
      <c r="K122" s="2">
        <f t="shared" si="13"/>
        <v>-22.1</v>
      </c>
      <c r="L122" s="8">
        <f t="shared" si="17"/>
        <v>4.7863009232263907E-12</v>
      </c>
      <c r="M122" s="26">
        <f>SUM(L122:L127)</f>
        <v>9.8804675307172446E-12</v>
      </c>
      <c r="N122" s="17">
        <f>10*LOG10(M122/E122)</f>
        <v>-117.83373755066603</v>
      </c>
      <c r="O122" s="9">
        <f t="shared" si="15"/>
        <v>-24.8</v>
      </c>
      <c r="P122" s="8">
        <f>D122/B122*10^(O122/10)</f>
        <v>0.12914113737821051</v>
      </c>
      <c r="Q122" s="26">
        <f>SUM(P122:P127)</f>
        <v>0.4149011125053621</v>
      </c>
      <c r="R122" s="17">
        <f>10*LOG10(Q122)</f>
        <v>-3.8205540066321286</v>
      </c>
      <c r="S122" s="18">
        <f>F122+N122-Kzt-H</f>
        <v>-41.833737550666029</v>
      </c>
      <c r="T122" s="17">
        <v>0.8</v>
      </c>
      <c r="U122" s="21">
        <f>T122*10^((S122-R122)/10)</f>
        <v>1.2640714791523392E-4</v>
      </c>
    </row>
    <row r="123" spans="1:21" x14ac:dyDescent="0.25">
      <c r="A123" s="24"/>
      <c r="B123" s="24"/>
      <c r="C123" s="17"/>
      <c r="D123" s="24"/>
      <c r="E123" s="24"/>
      <c r="F123" s="25"/>
      <c r="G123" s="1">
        <v>975</v>
      </c>
      <c r="H123" s="2">
        <v>96.5</v>
      </c>
      <c r="I123" s="2">
        <v>-19.5</v>
      </c>
      <c r="J123" s="2">
        <v>-26.5</v>
      </c>
      <c r="K123" s="2">
        <f t="shared" si="13"/>
        <v>-19.5</v>
      </c>
      <c r="L123" s="8">
        <f t="shared" si="17"/>
        <v>2.5118864315095726E-12</v>
      </c>
      <c r="M123" s="26"/>
      <c r="N123" s="17"/>
      <c r="O123" s="9">
        <f t="shared" si="15"/>
        <v>-26.5</v>
      </c>
      <c r="P123" s="8">
        <f>D122/B122*10^(O123/10)</f>
        <v>8.7310124404165204E-2</v>
      </c>
      <c r="Q123" s="26"/>
      <c r="R123" s="17"/>
      <c r="S123" s="19"/>
      <c r="T123" s="17"/>
      <c r="U123" s="22"/>
    </row>
    <row r="124" spans="1:21" x14ac:dyDescent="0.25">
      <c r="A124" s="24"/>
      <c r="B124" s="24"/>
      <c r="C124" s="17"/>
      <c r="D124" s="24"/>
      <c r="E124" s="24"/>
      <c r="F124" s="25"/>
      <c r="G124" s="1">
        <v>1075</v>
      </c>
      <c r="H124" s="2">
        <v>94.6</v>
      </c>
      <c r="I124" s="2">
        <v>-25.3</v>
      </c>
      <c r="J124" s="2">
        <v>-30.3</v>
      </c>
      <c r="K124" s="2">
        <f t="shared" si="13"/>
        <v>-25.3</v>
      </c>
      <c r="L124" s="8">
        <f t="shared" si="17"/>
        <v>1.0232929922807551E-12</v>
      </c>
      <c r="M124" s="26"/>
      <c r="N124" s="17"/>
      <c r="O124" s="9">
        <f t="shared" si="15"/>
        <v>-30.3</v>
      </c>
      <c r="P124" s="8">
        <f>D122/B122*10^(O124/10)</f>
        <v>3.6396917731082605E-2</v>
      </c>
      <c r="Q124" s="26"/>
      <c r="R124" s="17"/>
      <c r="S124" s="19"/>
      <c r="T124" s="17"/>
      <c r="U124" s="22"/>
    </row>
    <row r="125" spans="1:21" x14ac:dyDescent="0.25">
      <c r="A125" s="24"/>
      <c r="B125" s="24"/>
      <c r="C125" s="17"/>
      <c r="D125" s="24"/>
      <c r="E125" s="24"/>
      <c r="F125" s="25"/>
      <c r="G125" s="1">
        <v>1175</v>
      </c>
      <c r="H125" s="2">
        <v>97.8</v>
      </c>
      <c r="I125" s="2">
        <v>-22.2</v>
      </c>
      <c r="J125" s="2">
        <v>-29.6</v>
      </c>
      <c r="K125" s="2">
        <f t="shared" si="13"/>
        <v>-22.2</v>
      </c>
      <c r="L125" s="8">
        <f t="shared" si="17"/>
        <v>9.9999999999999998E-13</v>
      </c>
      <c r="M125" s="26"/>
      <c r="N125" s="17"/>
      <c r="O125" s="9">
        <f t="shared" si="15"/>
        <v>-29.6</v>
      </c>
      <c r="P125" s="8">
        <f>D122/B122*10^(O125/10)</f>
        <v>4.2762649649584213E-2</v>
      </c>
      <c r="Q125" s="26"/>
      <c r="R125" s="17"/>
      <c r="S125" s="19"/>
      <c r="T125" s="17"/>
      <c r="U125" s="22"/>
    </row>
    <row r="126" spans="1:21" x14ac:dyDescent="0.25">
      <c r="A126" s="24"/>
      <c r="B126" s="24"/>
      <c r="C126" s="17"/>
      <c r="D126" s="24"/>
      <c r="E126" s="24"/>
      <c r="F126" s="25"/>
      <c r="G126" s="1">
        <v>1275</v>
      </c>
      <c r="H126" s="2">
        <v>100.1</v>
      </c>
      <c r="I126" s="2">
        <v>-24.4</v>
      </c>
      <c r="J126" s="2">
        <v>-30.6</v>
      </c>
      <c r="K126" s="2">
        <f t="shared" si="13"/>
        <v>-24.4</v>
      </c>
      <c r="L126" s="8">
        <f t="shared" si="17"/>
        <v>3.5481338923357479E-13</v>
      </c>
      <c r="M126" s="26"/>
      <c r="N126" s="17"/>
      <c r="O126" s="9">
        <f t="shared" si="15"/>
        <v>-30.6</v>
      </c>
      <c r="P126" s="8">
        <f>D122/B122*10^(O126/10)</f>
        <v>3.3967580008287111E-2</v>
      </c>
      <c r="Q126" s="26"/>
      <c r="R126" s="17"/>
      <c r="S126" s="19"/>
      <c r="T126" s="17"/>
      <c r="U126" s="22"/>
    </row>
    <row r="127" spans="1:21" x14ac:dyDescent="0.25">
      <c r="A127" s="24"/>
      <c r="B127" s="24"/>
      <c r="C127" s="17"/>
      <c r="D127" s="24"/>
      <c r="E127" s="24"/>
      <c r="F127" s="25"/>
      <c r="G127" s="1">
        <v>1375</v>
      </c>
      <c r="H127" s="2">
        <v>103</v>
      </c>
      <c r="I127" s="2">
        <v>-23.9</v>
      </c>
      <c r="J127" s="2">
        <v>-26.6</v>
      </c>
      <c r="K127" s="2">
        <f t="shared" si="13"/>
        <v>-23.9</v>
      </c>
      <c r="L127" s="8">
        <f t="shared" si="17"/>
        <v>2.0417379446695155E-13</v>
      </c>
      <c r="M127" s="26"/>
      <c r="N127" s="17"/>
      <c r="O127" s="9">
        <f t="shared" si="15"/>
        <v>-26.6</v>
      </c>
      <c r="P127" s="8">
        <f>D122/B122*10^(O127/10)</f>
        <v>8.532270333403244E-2</v>
      </c>
      <c r="Q127" s="26"/>
      <c r="R127" s="17"/>
      <c r="S127" s="20"/>
      <c r="T127" s="17"/>
      <c r="U127" s="23"/>
    </row>
    <row r="128" spans="1:21" x14ac:dyDescent="0.25">
      <c r="A128" s="24">
        <v>2000</v>
      </c>
      <c r="B128" s="24">
        <v>3</v>
      </c>
      <c r="C128" s="17">
        <v>0.5</v>
      </c>
      <c r="D128" s="24">
        <v>234</v>
      </c>
      <c r="E128" s="24">
        <v>6</v>
      </c>
      <c r="F128" s="25">
        <v>68</v>
      </c>
      <c r="G128" s="1">
        <v>1425</v>
      </c>
      <c r="H128" s="2">
        <v>102.8</v>
      </c>
      <c r="I128" s="2">
        <v>-18.2</v>
      </c>
      <c r="J128" s="2">
        <v>-23.8</v>
      </c>
      <c r="K128" s="2">
        <f t="shared" si="13"/>
        <v>-18.2</v>
      </c>
      <c r="L128" s="8">
        <f t="shared" si="17"/>
        <v>7.9432823472428024E-13</v>
      </c>
      <c r="M128" s="26">
        <f>SUM(L128:L133)</f>
        <v>3.7186207933714154E-12</v>
      </c>
      <c r="N128" s="17">
        <f>10*LOG10(M128/E128)</f>
        <v>-122.07769356978424</v>
      </c>
      <c r="O128" s="9">
        <f t="shared" si="15"/>
        <v>-23.8</v>
      </c>
      <c r="P128" s="8">
        <f>D128/B128*10^(O128/10)</f>
        <v>0.32515811910686149</v>
      </c>
      <c r="Q128" s="26">
        <f>SUM(P128:P133)</f>
        <v>1.0985774764223109</v>
      </c>
      <c r="R128" s="17">
        <f>10*LOG10(Q128)</f>
        <v>0.40830690656777613</v>
      </c>
      <c r="S128" s="18">
        <f>F128+N128-Kzt-H</f>
        <v>-54.077693569784245</v>
      </c>
      <c r="T128" s="17">
        <v>1</v>
      </c>
      <c r="U128" s="21">
        <f>T128*10^((S128-R128)/10)</f>
        <v>3.5595897896303855E-6</v>
      </c>
    </row>
    <row r="129" spans="1:21" x14ac:dyDescent="0.25">
      <c r="A129" s="24"/>
      <c r="B129" s="24"/>
      <c r="C129" s="17"/>
      <c r="D129" s="24"/>
      <c r="E129" s="24"/>
      <c r="F129" s="25"/>
      <c r="G129" s="1">
        <v>1625</v>
      </c>
      <c r="H129" s="2">
        <v>104.1</v>
      </c>
      <c r="I129" s="2">
        <v>-26.8</v>
      </c>
      <c r="J129" s="2">
        <v>-27.4</v>
      </c>
      <c r="K129" s="2">
        <f t="shared" si="13"/>
        <v>-26.8</v>
      </c>
      <c r="L129" s="8">
        <f t="shared" si="17"/>
        <v>8.1283051616409697E-14</v>
      </c>
      <c r="M129" s="26"/>
      <c r="N129" s="17"/>
      <c r="O129" s="9">
        <f t="shared" si="15"/>
        <v>-27.4</v>
      </c>
      <c r="P129" s="8">
        <f>D128/B128*10^(O129/10)</f>
        <v>0.14193666697157864</v>
      </c>
      <c r="Q129" s="26"/>
      <c r="R129" s="17"/>
      <c r="S129" s="19"/>
      <c r="T129" s="17"/>
      <c r="U129" s="22"/>
    </row>
    <row r="130" spans="1:21" x14ac:dyDescent="0.25">
      <c r="A130" s="24"/>
      <c r="B130" s="24"/>
      <c r="C130" s="17"/>
      <c r="D130" s="24"/>
      <c r="E130" s="24"/>
      <c r="F130" s="25"/>
      <c r="G130" s="1">
        <v>1825</v>
      </c>
      <c r="H130" s="2">
        <v>107.6</v>
      </c>
      <c r="I130" s="2">
        <v>-22.7</v>
      </c>
      <c r="J130" s="2">
        <v>-29.3</v>
      </c>
      <c r="K130" s="2">
        <f t="shared" si="13"/>
        <v>-22.7</v>
      </c>
      <c r="L130" s="8">
        <f t="shared" si="17"/>
        <v>9.3325430079699445E-14</v>
      </c>
      <c r="M130" s="26"/>
      <c r="N130" s="17"/>
      <c r="O130" s="9">
        <f t="shared" si="15"/>
        <v>-29.3</v>
      </c>
      <c r="P130" s="8">
        <f>D128/B128*10^(O130/10)</f>
        <v>9.1642009285283182E-2</v>
      </c>
      <c r="Q130" s="26"/>
      <c r="R130" s="17"/>
      <c r="S130" s="19"/>
      <c r="T130" s="17"/>
      <c r="U130" s="22"/>
    </row>
    <row r="131" spans="1:21" x14ac:dyDescent="0.25">
      <c r="A131" s="24"/>
      <c r="B131" s="24"/>
      <c r="C131" s="17"/>
      <c r="D131" s="24"/>
      <c r="E131" s="24"/>
      <c r="F131" s="25"/>
      <c r="G131" s="1">
        <v>2125</v>
      </c>
      <c r="H131" s="2">
        <v>104.2</v>
      </c>
      <c r="I131" s="2">
        <v>-22.3</v>
      </c>
      <c r="J131" s="2">
        <v>-25.7</v>
      </c>
      <c r="K131" s="2">
        <f t="shared" si="13"/>
        <v>-22.3</v>
      </c>
      <c r="L131" s="8">
        <f t="shared" si="17"/>
        <v>2.238721138568332E-13</v>
      </c>
      <c r="M131" s="26"/>
      <c r="N131" s="17"/>
      <c r="O131" s="9">
        <f t="shared" si="15"/>
        <v>-25.7</v>
      </c>
      <c r="P131" s="8">
        <f>D128/B128*10^(O131/10)</f>
        <v>0.20993971470629935</v>
      </c>
      <c r="Q131" s="26"/>
      <c r="R131" s="17"/>
      <c r="S131" s="19"/>
      <c r="T131" s="17"/>
      <c r="U131" s="22"/>
    </row>
    <row r="132" spans="1:21" x14ac:dyDescent="0.25">
      <c r="A132" s="24"/>
      <c r="B132" s="24"/>
      <c r="C132" s="17"/>
      <c r="D132" s="24"/>
      <c r="E132" s="24"/>
      <c r="F132" s="25"/>
      <c r="G132" s="1">
        <v>2425</v>
      </c>
      <c r="H132" s="2">
        <v>93.7</v>
      </c>
      <c r="I132" s="2">
        <v>-23.1</v>
      </c>
      <c r="J132" s="2">
        <v>-26.9</v>
      </c>
      <c r="K132" s="2">
        <f t="shared" si="13"/>
        <v>-23.1</v>
      </c>
      <c r="L132" s="8">
        <f t="shared" si="17"/>
        <v>2.0892961308540277E-12</v>
      </c>
      <c r="M132" s="26"/>
      <c r="N132" s="17"/>
      <c r="O132" s="9">
        <f t="shared" si="15"/>
        <v>-26.9</v>
      </c>
      <c r="P132" s="8">
        <f>D128/B128*10^(O132/10)</f>
        <v>0.15925555968422328</v>
      </c>
      <c r="Q132" s="26"/>
      <c r="R132" s="17"/>
      <c r="S132" s="19"/>
      <c r="T132" s="17"/>
      <c r="U132" s="22"/>
    </row>
    <row r="133" spans="1:21" x14ac:dyDescent="0.25">
      <c r="A133" s="24"/>
      <c r="B133" s="24"/>
      <c r="C133" s="17"/>
      <c r="D133" s="24"/>
      <c r="E133" s="24"/>
      <c r="F133" s="25"/>
      <c r="G133" s="1">
        <v>2775</v>
      </c>
      <c r="H133" s="2">
        <v>100.2</v>
      </c>
      <c r="I133" s="2">
        <v>-23.4</v>
      </c>
      <c r="J133" s="2">
        <v>-26.6</v>
      </c>
      <c r="K133" s="2">
        <f t="shared" si="13"/>
        <v>-23.4</v>
      </c>
      <c r="L133" s="8">
        <f t="shared" si="17"/>
        <v>4.3651583224016479E-13</v>
      </c>
      <c r="M133" s="26"/>
      <c r="N133" s="17"/>
      <c r="O133" s="9">
        <f t="shared" si="15"/>
        <v>-26.6</v>
      </c>
      <c r="P133" s="8">
        <f>D128/B128*10^(O133/10)</f>
        <v>0.17064540666806488</v>
      </c>
      <c r="Q133" s="26"/>
      <c r="R133" s="17"/>
      <c r="S133" s="20"/>
      <c r="T133" s="17"/>
      <c r="U133" s="23"/>
    </row>
    <row r="134" spans="1:21" x14ac:dyDescent="0.25">
      <c r="A134" s="24">
        <v>4000</v>
      </c>
      <c r="B134" s="24">
        <v>3</v>
      </c>
      <c r="C134" s="17">
        <v>0.5</v>
      </c>
      <c r="D134" s="24">
        <v>470</v>
      </c>
      <c r="E134" s="24">
        <v>6</v>
      </c>
      <c r="F134" s="25">
        <v>62</v>
      </c>
      <c r="G134" s="1">
        <v>2825</v>
      </c>
      <c r="H134" s="2">
        <v>99.4</v>
      </c>
      <c r="I134" s="2">
        <v>-20.399999999999999</v>
      </c>
      <c r="J134" s="2">
        <v>-29.3</v>
      </c>
      <c r="K134" s="2">
        <f t="shared" si="13"/>
        <v>-20.399999999999999</v>
      </c>
      <c r="L134" s="8">
        <f t="shared" si="17"/>
        <v>1.0471285480508967E-12</v>
      </c>
      <c r="M134" s="26">
        <f>SUM(L134:L139)</f>
        <v>2.7683621724224856E-12</v>
      </c>
      <c r="N134" s="17">
        <f>10*LOG10(M134/E134)</f>
        <v>-123.35928344080357</v>
      </c>
      <c r="O134" s="9">
        <f t="shared" si="15"/>
        <v>-29.3</v>
      </c>
      <c r="P134" s="8">
        <f>D134/B134*10^(O134/10)</f>
        <v>0.18406728360719271</v>
      </c>
      <c r="Q134" s="26">
        <f>SUM(P134:P139)</f>
        <v>1.6961158673183396</v>
      </c>
      <c r="R134" s="17">
        <f>10*LOG10(Q134)</f>
        <v>2.2945551703518028</v>
      </c>
      <c r="S134" s="18">
        <f>F134+N134-Kzt-H</f>
        <v>-61.359283440803566</v>
      </c>
      <c r="T134" s="17">
        <v>0.9</v>
      </c>
      <c r="U134" s="21">
        <f>T134*10^((S134-R134)/10)</f>
        <v>3.8802405359336404E-7</v>
      </c>
    </row>
    <row r="135" spans="1:21" x14ac:dyDescent="0.25">
      <c r="A135" s="24"/>
      <c r="B135" s="24"/>
      <c r="C135" s="17"/>
      <c r="D135" s="24"/>
      <c r="E135" s="24"/>
      <c r="F135" s="25"/>
      <c r="G135" s="1">
        <v>3425</v>
      </c>
      <c r="H135" s="2">
        <v>103.5</v>
      </c>
      <c r="I135" s="2">
        <v>-22.8</v>
      </c>
      <c r="J135" s="2">
        <v>-24.2</v>
      </c>
      <c r="K135" s="2">
        <f t="shared" si="13"/>
        <v>-22.8</v>
      </c>
      <c r="L135" s="8">
        <f t="shared" si="17"/>
        <v>2.3442288153199217E-13</v>
      </c>
      <c r="M135" s="26"/>
      <c r="N135" s="17"/>
      <c r="O135" s="9">
        <f t="shared" si="15"/>
        <v>-24.2</v>
      </c>
      <c r="P135" s="8">
        <f>D134/B134*10^(O135/10)</f>
        <v>0.59563005423554594</v>
      </c>
      <c r="Q135" s="26"/>
      <c r="R135" s="17"/>
      <c r="S135" s="19"/>
      <c r="T135" s="17"/>
      <c r="U135" s="22"/>
    </row>
    <row r="136" spans="1:21" x14ac:dyDescent="0.25">
      <c r="A136" s="24"/>
      <c r="B136" s="24"/>
      <c r="C136" s="17"/>
      <c r="D136" s="24"/>
      <c r="E136" s="24"/>
      <c r="F136" s="25"/>
      <c r="G136" s="1">
        <v>4025</v>
      </c>
      <c r="H136" s="2">
        <v>103.6</v>
      </c>
      <c r="I136" s="2">
        <v>-21</v>
      </c>
      <c r="J136" s="2">
        <v>-28.1</v>
      </c>
      <c r="K136" s="2">
        <f t="shared" si="13"/>
        <v>-21</v>
      </c>
      <c r="L136" s="8">
        <f t="shared" si="17"/>
        <v>3.4673685045253105E-13</v>
      </c>
      <c r="M136" s="26"/>
      <c r="N136" s="17"/>
      <c r="O136" s="9">
        <f t="shared" si="15"/>
        <v>-28.1</v>
      </c>
      <c r="P136" s="8">
        <f>D134/B134*10^(O136/10)</f>
        <v>0.24264793696295522</v>
      </c>
      <c r="Q136" s="26"/>
      <c r="R136" s="17"/>
      <c r="S136" s="19"/>
      <c r="T136" s="17"/>
      <c r="U136" s="22"/>
    </row>
    <row r="137" spans="1:21" x14ac:dyDescent="0.25">
      <c r="A137" s="24"/>
      <c r="B137" s="24"/>
      <c r="C137" s="17"/>
      <c r="D137" s="24"/>
      <c r="E137" s="24"/>
      <c r="F137" s="25"/>
      <c r="G137" s="1">
        <v>4625</v>
      </c>
      <c r="H137" s="2">
        <v>105.6</v>
      </c>
      <c r="I137" s="2">
        <v>-21.4</v>
      </c>
      <c r="J137" s="2">
        <v>-26.9</v>
      </c>
      <c r="K137" s="2">
        <f t="shared" si="13"/>
        <v>-21.4</v>
      </c>
      <c r="L137" s="8">
        <f t="shared" si="17"/>
        <v>1.9952623149688807E-13</v>
      </c>
      <c r="M137" s="26"/>
      <c r="N137" s="17"/>
      <c r="O137" s="9">
        <f t="shared" si="15"/>
        <v>-26.9</v>
      </c>
      <c r="P137" s="8">
        <f>D134/B134*10^(O137/10)</f>
        <v>0.31987227799822626</v>
      </c>
      <c r="Q137" s="26"/>
      <c r="R137" s="17"/>
      <c r="S137" s="19"/>
      <c r="T137" s="17"/>
      <c r="U137" s="22"/>
    </row>
    <row r="138" spans="1:21" x14ac:dyDescent="0.25">
      <c r="A138" s="24"/>
      <c r="B138" s="24"/>
      <c r="C138" s="17"/>
      <c r="D138" s="24"/>
      <c r="E138" s="24"/>
      <c r="F138" s="25"/>
      <c r="G138" s="1">
        <v>5225</v>
      </c>
      <c r="H138" s="2">
        <v>103.5</v>
      </c>
      <c r="I138" s="2">
        <v>-23.9</v>
      </c>
      <c r="J138" s="2">
        <v>-30</v>
      </c>
      <c r="K138" s="2">
        <f t="shared" si="13"/>
        <v>-23.9</v>
      </c>
      <c r="L138" s="8">
        <f t="shared" si="17"/>
        <v>1.8197008586099787E-13</v>
      </c>
      <c r="M138" s="26"/>
      <c r="N138" s="17"/>
      <c r="O138" s="9">
        <f t="shared" si="15"/>
        <v>-30</v>
      </c>
      <c r="P138" s="8">
        <f>D134/B134*10^(O138/10)</f>
        <v>0.15666666666666665</v>
      </c>
      <c r="Q138" s="26"/>
      <c r="R138" s="17"/>
      <c r="S138" s="19"/>
      <c r="T138" s="17"/>
      <c r="U138" s="22"/>
    </row>
    <row r="139" spans="1:21" x14ac:dyDescent="0.25">
      <c r="A139" s="24"/>
      <c r="B139" s="24"/>
      <c r="C139" s="17"/>
      <c r="D139" s="24"/>
      <c r="E139" s="24"/>
      <c r="F139" s="25"/>
      <c r="G139" s="1">
        <v>5625</v>
      </c>
      <c r="H139" s="2">
        <v>99.5</v>
      </c>
      <c r="I139" s="2">
        <v>-21.7</v>
      </c>
      <c r="J139" s="2">
        <v>-29</v>
      </c>
      <c r="K139" s="2">
        <f t="shared" si="13"/>
        <v>-21.7</v>
      </c>
      <c r="L139" s="8">
        <f t="shared" si="17"/>
        <v>7.5857757502917993E-13</v>
      </c>
      <c r="M139" s="26"/>
      <c r="N139" s="17"/>
      <c r="O139" s="9">
        <f t="shared" si="15"/>
        <v>-29</v>
      </c>
      <c r="P139" s="8">
        <f>D134/B134*10^(O139/10)</f>
        <v>0.19723164784775268</v>
      </c>
      <c r="Q139" s="26"/>
      <c r="R139" s="17"/>
      <c r="S139" s="20"/>
      <c r="T139" s="17"/>
      <c r="U139" s="23"/>
    </row>
    <row r="140" spans="1:21" x14ac:dyDescent="0.25">
      <c r="A140" s="24">
        <v>8000</v>
      </c>
      <c r="B140" s="24">
        <v>3</v>
      </c>
      <c r="C140" s="17">
        <v>0.5</v>
      </c>
      <c r="D140" s="24">
        <v>943</v>
      </c>
      <c r="E140" s="24">
        <v>6</v>
      </c>
      <c r="F140" s="25">
        <v>54</v>
      </c>
      <c r="G140" s="1">
        <v>6025</v>
      </c>
      <c r="H140" s="2">
        <v>95</v>
      </c>
      <c r="I140" s="2">
        <v>-20</v>
      </c>
      <c r="J140" s="2">
        <v>-23.4</v>
      </c>
      <c r="K140" s="2">
        <f t="shared" si="13"/>
        <v>-20</v>
      </c>
      <c r="L140" s="8">
        <f t="shared" si="17"/>
        <v>3.1622776601683669E-12</v>
      </c>
      <c r="M140" s="26">
        <f>SUM(L140:L145)</f>
        <v>2.9273581358763604E-11</v>
      </c>
      <c r="N140" s="17">
        <f>10*LOG10(M140/E140)</f>
        <v>-113.11675392684991</v>
      </c>
      <c r="O140" s="9">
        <f t="shared" si="15"/>
        <v>-23.4</v>
      </c>
      <c r="P140" s="8">
        <f>D140/B140*10^(O140/10)</f>
        <v>1.4367805426894238</v>
      </c>
      <c r="Q140" s="26">
        <f>SUM(P140:P145)</f>
        <v>3.9937614650210835</v>
      </c>
      <c r="R140" s="17">
        <f>10*LOG10(Q140)</f>
        <v>6.013821222475757</v>
      </c>
      <c r="S140" s="18">
        <f>F140+N140-Kzt-H</f>
        <v>-59.11675392684991</v>
      </c>
      <c r="T140" s="17">
        <v>0.7</v>
      </c>
      <c r="U140" s="21">
        <f>T140*10^((S140-R140)/10)</f>
        <v>2.1480309028031923E-7</v>
      </c>
    </row>
    <row r="141" spans="1:21" x14ac:dyDescent="0.25">
      <c r="A141" s="24"/>
      <c r="B141" s="24"/>
      <c r="C141" s="17"/>
      <c r="D141" s="24"/>
      <c r="E141" s="24"/>
      <c r="F141" s="25"/>
      <c r="G141" s="1">
        <v>7025</v>
      </c>
      <c r="H141" s="2">
        <v>94.8</v>
      </c>
      <c r="I141" s="2">
        <v>-21.1</v>
      </c>
      <c r="J141" s="2">
        <v>-27.3</v>
      </c>
      <c r="K141" s="2">
        <f t="shared" si="13"/>
        <v>-21.1</v>
      </c>
      <c r="L141" s="8">
        <f t="shared" si="17"/>
        <v>2.5703957827688561E-12</v>
      </c>
      <c r="M141" s="26"/>
      <c r="N141" s="17"/>
      <c r="O141" s="9">
        <f t="shared" si="15"/>
        <v>-27.3</v>
      </c>
      <c r="P141" s="8">
        <f>D140/B140*10^(O141/10)</f>
        <v>0.58531605662436104</v>
      </c>
      <c r="Q141" s="26"/>
      <c r="R141" s="17"/>
      <c r="S141" s="19"/>
      <c r="T141" s="17"/>
      <c r="U141" s="22"/>
    </row>
    <row r="142" spans="1:21" x14ac:dyDescent="0.25">
      <c r="A142" s="24"/>
      <c r="B142" s="24"/>
      <c r="C142" s="17"/>
      <c r="D142" s="24"/>
      <c r="E142" s="24"/>
      <c r="F142" s="25"/>
      <c r="G142" s="1">
        <v>8025</v>
      </c>
      <c r="H142" s="2">
        <v>101.9</v>
      </c>
      <c r="I142" s="2">
        <v>-19</v>
      </c>
      <c r="J142" s="2">
        <v>-27.5</v>
      </c>
      <c r="K142" s="2">
        <f t="shared" si="13"/>
        <v>-19</v>
      </c>
      <c r="L142" s="8">
        <f t="shared" si="17"/>
        <v>8.1283051616409777E-13</v>
      </c>
      <c r="M142" s="26"/>
      <c r="N142" s="17"/>
      <c r="O142" s="9">
        <f t="shared" si="15"/>
        <v>-27.5</v>
      </c>
      <c r="P142" s="8">
        <f>D140/B140*10^(O142/10)</f>
        <v>0.55897249455556786</v>
      </c>
      <c r="Q142" s="26"/>
      <c r="R142" s="17"/>
      <c r="S142" s="19"/>
      <c r="T142" s="17"/>
      <c r="U142" s="22"/>
    </row>
    <row r="143" spans="1:21" x14ac:dyDescent="0.25">
      <c r="A143" s="24"/>
      <c r="B143" s="24"/>
      <c r="C143" s="17"/>
      <c r="D143" s="24"/>
      <c r="E143" s="24"/>
      <c r="F143" s="25"/>
      <c r="G143" s="1">
        <v>9025</v>
      </c>
      <c r="H143" s="2">
        <v>93.2</v>
      </c>
      <c r="I143" s="2">
        <v>-21.7</v>
      </c>
      <c r="J143" s="2">
        <v>-26.3</v>
      </c>
      <c r="K143" s="2">
        <f t="shared" si="13"/>
        <v>-21.7</v>
      </c>
      <c r="L143" s="8">
        <f t="shared" si="17"/>
        <v>3.2359365692962695E-12</v>
      </c>
      <c r="M143" s="26"/>
      <c r="N143" s="17"/>
      <c r="O143" s="9">
        <f t="shared" si="15"/>
        <v>-26.3</v>
      </c>
      <c r="P143" s="8">
        <f>D140/B140*10^(O143/10)</f>
        <v>0.73686925761556155</v>
      </c>
      <c r="Q143" s="26"/>
      <c r="R143" s="17"/>
      <c r="S143" s="19"/>
      <c r="T143" s="17"/>
      <c r="U143" s="22"/>
    </row>
    <row r="144" spans="1:21" x14ac:dyDescent="0.25">
      <c r="A144" s="24"/>
      <c r="B144" s="24"/>
      <c r="C144" s="17"/>
      <c r="D144" s="24"/>
      <c r="E144" s="24"/>
      <c r="F144" s="25"/>
      <c r="G144" s="1">
        <v>10025</v>
      </c>
      <c r="H144" s="2">
        <v>88.3</v>
      </c>
      <c r="I144" s="2">
        <v>-20.5</v>
      </c>
      <c r="J144" s="2">
        <v>-30.8</v>
      </c>
      <c r="K144" s="2">
        <f t="shared" si="13"/>
        <v>-20.5</v>
      </c>
      <c r="L144" s="8">
        <f t="shared" si="17"/>
        <v>1.3182567385564083E-11</v>
      </c>
      <c r="M144" s="26"/>
      <c r="N144" s="17"/>
      <c r="O144" s="9">
        <f t="shared" si="15"/>
        <v>-30.8</v>
      </c>
      <c r="P144" s="8">
        <f>D140/B140*10^(O144/10)</f>
        <v>0.261451078716606</v>
      </c>
      <c r="Q144" s="26"/>
      <c r="R144" s="17"/>
      <c r="S144" s="19"/>
      <c r="T144" s="17"/>
      <c r="U144" s="22"/>
    </row>
    <row r="145" spans="1:21" x14ac:dyDescent="0.25">
      <c r="A145" s="24"/>
      <c r="B145" s="24"/>
      <c r="C145" s="17"/>
      <c r="D145" s="24"/>
      <c r="E145" s="24"/>
      <c r="F145" s="25"/>
      <c r="G145" s="1">
        <v>11025</v>
      </c>
      <c r="H145" s="2">
        <v>86</v>
      </c>
      <c r="I145" s="2">
        <v>-26</v>
      </c>
      <c r="J145" s="2">
        <v>-28.8</v>
      </c>
      <c r="K145" s="2">
        <f t="shared" si="13"/>
        <v>-26</v>
      </c>
      <c r="L145" s="8">
        <f t="shared" si="17"/>
        <v>6.3095734448019345E-12</v>
      </c>
      <c r="M145" s="26"/>
      <c r="N145" s="17"/>
      <c r="O145" s="9">
        <f t="shared" si="15"/>
        <v>-28.8</v>
      </c>
      <c r="P145" s="8">
        <f>D140/B140*10^(O145/10)</f>
        <v>0.41437203481956392</v>
      </c>
      <c r="Q145" s="26"/>
      <c r="R145" s="17"/>
      <c r="S145" s="20"/>
      <c r="T145" s="17"/>
      <c r="U145" s="23"/>
    </row>
    <row r="146" spans="1:21" x14ac:dyDescent="0.25">
      <c r="A146" s="24" t="s">
        <v>20</v>
      </c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12">
        <f>U146</f>
        <v>5.6212940316184123E-2</v>
      </c>
      <c r="T146" s="2"/>
      <c r="U146" s="8">
        <f>0.8*SQRT(SUM(U112:U145))</f>
        <v>5.6212940316184123E-2</v>
      </c>
    </row>
    <row r="147" spans="1:21" x14ac:dyDescent="0.25">
      <c r="A147" s="27" t="s">
        <v>76</v>
      </c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9"/>
    </row>
    <row r="148" spans="1:21" x14ac:dyDescent="0.25">
      <c r="A148" s="24">
        <v>250</v>
      </c>
      <c r="B148" s="24">
        <v>3</v>
      </c>
      <c r="C148" s="17">
        <v>0.5</v>
      </c>
      <c r="D148" s="24">
        <v>38</v>
      </c>
      <c r="E148" s="24">
        <v>4</v>
      </c>
      <c r="F148" s="25">
        <v>84</v>
      </c>
      <c r="G148" s="1">
        <v>175</v>
      </c>
      <c r="H148" s="2">
        <v>84.8</v>
      </c>
      <c r="I148" s="2">
        <v>-23.299999999999997</v>
      </c>
      <c r="J148" s="2">
        <v>-23.9</v>
      </c>
      <c r="K148" s="2">
        <f>I148</f>
        <v>-23.299999999999997</v>
      </c>
      <c r="L148" s="8">
        <f>10^((K148-H148)/10)</f>
        <v>1.5488166189124818E-11</v>
      </c>
      <c r="M148" s="26">
        <f>SUM(L148:L151)</f>
        <v>3.6669198140155942E-11</v>
      </c>
      <c r="N148" s="17">
        <f>10*LOG10(M148/E148)</f>
        <v>-110.37758578152555</v>
      </c>
      <c r="O148" s="9">
        <f>J148</f>
        <v>-23.9</v>
      </c>
      <c r="P148" s="8">
        <f>D148/B148*10^(O148/10)</f>
        <v>5.1601501855187651E-2</v>
      </c>
      <c r="Q148" s="26">
        <f>SUM(P148:P151)</f>
        <v>0.21143277314280087</v>
      </c>
      <c r="R148" s="17">
        <f>10*LOG10(Q148)</f>
        <v>-6.7482769398267175</v>
      </c>
      <c r="S148" s="18">
        <f>F148+N148-Kzt-H</f>
        <v>-26.377585781525553</v>
      </c>
      <c r="T148" s="17">
        <v>0.2</v>
      </c>
      <c r="U148" s="21">
        <f>T148*10^((S148-R148)/10)</f>
        <v>2.1782068099817208E-3</v>
      </c>
    </row>
    <row r="149" spans="1:21" x14ac:dyDescent="0.25">
      <c r="A149" s="24"/>
      <c r="B149" s="24"/>
      <c r="C149" s="17"/>
      <c r="D149" s="24"/>
      <c r="E149" s="24"/>
      <c r="F149" s="25"/>
      <c r="G149" s="1">
        <v>225</v>
      </c>
      <c r="H149" s="2">
        <v>90</v>
      </c>
      <c r="I149" s="2">
        <v>-19.399999999999999</v>
      </c>
      <c r="J149" s="2">
        <v>-24.9</v>
      </c>
      <c r="K149" s="2">
        <f t="shared" ref="K149:K181" si="18">I149</f>
        <v>-19.399999999999999</v>
      </c>
      <c r="L149" s="8">
        <f t="shared" ref="L149:L150" si="19">10^((K149-H149)/10)</f>
        <v>1.1481536214968764E-11</v>
      </c>
      <c r="M149" s="26"/>
      <c r="N149" s="17"/>
      <c r="O149" s="9">
        <f t="shared" ref="O149:O181" si="20">J149</f>
        <v>-24.9</v>
      </c>
      <c r="P149" s="8">
        <f>D148/B148*10^(O149/10)</f>
        <v>4.0988529877752908E-2</v>
      </c>
      <c r="Q149" s="26"/>
      <c r="R149" s="17"/>
      <c r="S149" s="19"/>
      <c r="T149" s="17"/>
      <c r="U149" s="22"/>
    </row>
    <row r="150" spans="1:21" x14ac:dyDescent="0.25">
      <c r="A150" s="24"/>
      <c r="B150" s="24"/>
      <c r="C150" s="17"/>
      <c r="D150" s="24"/>
      <c r="E150" s="24"/>
      <c r="F150" s="25"/>
      <c r="G150" s="1">
        <v>275</v>
      </c>
      <c r="H150" s="2">
        <v>92.2</v>
      </c>
      <c r="I150" s="2">
        <v>-21.2</v>
      </c>
      <c r="J150" s="2">
        <v>-21.4</v>
      </c>
      <c r="K150" s="2">
        <f t="shared" si="18"/>
        <v>-21.2</v>
      </c>
      <c r="L150" s="8">
        <f t="shared" si="19"/>
        <v>4.5708818961487419E-12</v>
      </c>
      <c r="M150" s="26"/>
      <c r="N150" s="17"/>
      <c r="O150" s="9">
        <f t="shared" si="20"/>
        <v>-21.4</v>
      </c>
      <c r="P150" s="8">
        <f>D148/B148*10^(O150/10)</f>
        <v>9.1761888276165396E-2</v>
      </c>
      <c r="Q150" s="26"/>
      <c r="R150" s="17"/>
      <c r="S150" s="19"/>
      <c r="T150" s="17"/>
      <c r="U150" s="22"/>
    </row>
    <row r="151" spans="1:21" x14ac:dyDescent="0.25">
      <c r="A151" s="24"/>
      <c r="B151" s="24"/>
      <c r="C151" s="17"/>
      <c r="D151" s="24"/>
      <c r="E151" s="24"/>
      <c r="F151" s="25"/>
      <c r="G151" s="1">
        <v>325</v>
      </c>
      <c r="H151" s="2">
        <v>93.3</v>
      </c>
      <c r="I151" s="2">
        <v>-19.600000000000001</v>
      </c>
      <c r="J151" s="2">
        <v>-26.7</v>
      </c>
      <c r="K151" s="2">
        <f t="shared" si="18"/>
        <v>-19.600000000000001</v>
      </c>
      <c r="L151" s="8">
        <f>10^((K151-H151)/10)</f>
        <v>5.1286138399136186E-12</v>
      </c>
      <c r="M151" s="26"/>
      <c r="N151" s="17"/>
      <c r="O151" s="9">
        <f t="shared" si="20"/>
        <v>-26.7</v>
      </c>
      <c r="P151" s="8">
        <f>D148/B148*10^(O151/10)</f>
        <v>2.7080853133694936E-2</v>
      </c>
      <c r="Q151" s="26"/>
      <c r="R151" s="17"/>
      <c r="S151" s="20"/>
      <c r="T151" s="17"/>
      <c r="U151" s="23"/>
    </row>
    <row r="152" spans="1:21" x14ac:dyDescent="0.25">
      <c r="A152" s="24">
        <v>500</v>
      </c>
      <c r="B152" s="24">
        <v>3</v>
      </c>
      <c r="C152" s="17">
        <v>0.5</v>
      </c>
      <c r="D152" s="24">
        <v>59</v>
      </c>
      <c r="E152" s="24">
        <v>6</v>
      </c>
      <c r="F152" s="25">
        <v>84</v>
      </c>
      <c r="G152" s="1">
        <v>375</v>
      </c>
      <c r="H152" s="2">
        <v>91.9</v>
      </c>
      <c r="I152" s="2">
        <v>-21.2</v>
      </c>
      <c r="J152" s="2">
        <v>-28.3</v>
      </c>
      <c r="K152" s="2">
        <f t="shared" si="18"/>
        <v>-21.2</v>
      </c>
      <c r="L152" s="8">
        <f t="shared" ref="L152:L153" si="21">10^((K152-H152)/10)</f>
        <v>4.8977881936844518E-12</v>
      </c>
      <c r="M152" s="26">
        <f>SUM(L152:L157)</f>
        <v>1.9388920772218865E-11</v>
      </c>
      <c r="N152" s="17">
        <f>10*LOG10(M152/E152)</f>
        <v>-114.90597614369111</v>
      </c>
      <c r="O152" s="9">
        <f t="shared" si="20"/>
        <v>-28.3</v>
      </c>
      <c r="P152" s="8">
        <f>D152/B152*10^(O152/10)</f>
        <v>2.9089131633974731E-2</v>
      </c>
      <c r="Q152" s="26">
        <f>SUM(P152:P157)</f>
        <v>0.30809063866723774</v>
      </c>
      <c r="R152" s="17">
        <f>10*LOG10(Q152)</f>
        <v>-5.1132149751859179</v>
      </c>
      <c r="S152" s="18">
        <f>F152+N152-Kzt-H</f>
        <v>-30.905976143691106</v>
      </c>
      <c r="T152" s="17">
        <v>0.5</v>
      </c>
      <c r="U152" s="21">
        <f>T152*10^((S152-R152)/10)</f>
        <v>1.3173278925327789E-3</v>
      </c>
    </row>
    <row r="153" spans="1:21" x14ac:dyDescent="0.25">
      <c r="A153" s="24"/>
      <c r="B153" s="24"/>
      <c r="C153" s="17"/>
      <c r="D153" s="24"/>
      <c r="E153" s="24"/>
      <c r="F153" s="25"/>
      <c r="G153" s="1">
        <v>425</v>
      </c>
      <c r="H153" s="2">
        <v>88.1</v>
      </c>
      <c r="I153" s="2">
        <v>-27.2</v>
      </c>
      <c r="J153" s="2">
        <v>-28.1</v>
      </c>
      <c r="K153" s="2">
        <f t="shared" si="18"/>
        <v>-27.2</v>
      </c>
      <c r="L153" s="8">
        <f t="shared" si="21"/>
        <v>2.9512092266663859E-12</v>
      </c>
      <c r="M153" s="26"/>
      <c r="N153" s="17"/>
      <c r="O153" s="9">
        <f t="shared" si="20"/>
        <v>-28.1</v>
      </c>
      <c r="P153" s="8">
        <f>D152/B152*10^(O153/10)</f>
        <v>3.0460060171945448E-2</v>
      </c>
      <c r="Q153" s="26"/>
      <c r="R153" s="17"/>
      <c r="S153" s="19"/>
      <c r="T153" s="17"/>
      <c r="U153" s="22"/>
    </row>
    <row r="154" spans="1:21" x14ac:dyDescent="0.25">
      <c r="A154" s="24"/>
      <c r="B154" s="24"/>
      <c r="C154" s="17"/>
      <c r="D154" s="24"/>
      <c r="E154" s="24"/>
      <c r="F154" s="25"/>
      <c r="G154" s="1">
        <v>475</v>
      </c>
      <c r="H154" s="2">
        <v>90</v>
      </c>
      <c r="I154" s="2">
        <v>-23.6</v>
      </c>
      <c r="J154" s="2">
        <v>-24.4</v>
      </c>
      <c r="K154" s="2">
        <f t="shared" si="18"/>
        <v>-23.6</v>
      </c>
      <c r="L154" s="8">
        <f>10^((K154-H154)/10)</f>
        <v>4.3651583224016522E-12</v>
      </c>
      <c r="M154" s="26"/>
      <c r="N154" s="17"/>
      <c r="O154" s="9">
        <f t="shared" si="20"/>
        <v>-24.4</v>
      </c>
      <c r="P154" s="8">
        <f>D152/B152*10^(O154/10)</f>
        <v>7.1405350771453213E-2</v>
      </c>
      <c r="Q154" s="26"/>
      <c r="R154" s="17"/>
      <c r="S154" s="19"/>
      <c r="T154" s="17"/>
      <c r="U154" s="22"/>
    </row>
    <row r="155" spans="1:21" x14ac:dyDescent="0.25">
      <c r="A155" s="24"/>
      <c r="B155" s="24"/>
      <c r="C155" s="17"/>
      <c r="D155" s="24"/>
      <c r="E155" s="24"/>
      <c r="F155" s="25"/>
      <c r="G155" s="1">
        <v>575</v>
      </c>
      <c r="H155" s="2">
        <v>97</v>
      </c>
      <c r="I155" s="2">
        <v>-21</v>
      </c>
      <c r="J155" s="2">
        <v>-25.2</v>
      </c>
      <c r="K155" s="2">
        <f t="shared" si="18"/>
        <v>-21</v>
      </c>
      <c r="L155" s="8">
        <f t="shared" ref="L155:L181" si="22">10^((K155-H155)/10)</f>
        <v>1.5848931924611065E-12</v>
      </c>
      <c r="M155" s="26"/>
      <c r="N155" s="17"/>
      <c r="O155" s="9">
        <f t="shared" si="20"/>
        <v>-25.2</v>
      </c>
      <c r="P155" s="8">
        <f>D152/B152*10^(O155/10)</f>
        <v>5.9392383834572939E-2</v>
      </c>
      <c r="Q155" s="26"/>
      <c r="R155" s="17"/>
      <c r="S155" s="19"/>
      <c r="T155" s="17"/>
      <c r="U155" s="22"/>
    </row>
    <row r="156" spans="1:21" x14ac:dyDescent="0.25">
      <c r="A156" s="24"/>
      <c r="B156" s="24"/>
      <c r="C156" s="17"/>
      <c r="D156" s="24"/>
      <c r="E156" s="24"/>
      <c r="F156" s="25"/>
      <c r="G156" s="1">
        <v>625</v>
      </c>
      <c r="H156" s="2">
        <v>92</v>
      </c>
      <c r="I156" s="2">
        <v>-24.9</v>
      </c>
      <c r="J156" s="2">
        <v>-27.9</v>
      </c>
      <c r="K156" s="2">
        <f t="shared" si="18"/>
        <v>-24.9</v>
      </c>
      <c r="L156" s="8">
        <f t="shared" si="22"/>
        <v>2.0417379446695178E-12</v>
      </c>
      <c r="M156" s="26"/>
      <c r="N156" s="17"/>
      <c r="O156" s="9">
        <f t="shared" si="20"/>
        <v>-27.9</v>
      </c>
      <c r="P156" s="8">
        <f>D152/B152*10^(O156/10)</f>
        <v>3.1895598581392258E-2</v>
      </c>
      <c r="Q156" s="26"/>
      <c r="R156" s="17"/>
      <c r="S156" s="19"/>
      <c r="T156" s="17"/>
      <c r="U156" s="22"/>
    </row>
    <row r="157" spans="1:21" x14ac:dyDescent="0.25">
      <c r="A157" s="24"/>
      <c r="B157" s="24"/>
      <c r="C157" s="17"/>
      <c r="D157" s="24"/>
      <c r="E157" s="24"/>
      <c r="F157" s="25"/>
      <c r="G157" s="1">
        <v>675</v>
      </c>
      <c r="H157" s="2">
        <v>94.5</v>
      </c>
      <c r="I157" s="2">
        <v>-20</v>
      </c>
      <c r="J157" s="2">
        <v>-23.6</v>
      </c>
      <c r="K157" s="2">
        <f t="shared" si="18"/>
        <v>-20</v>
      </c>
      <c r="L157" s="8">
        <f t="shared" si="22"/>
        <v>3.5481338923357515E-12</v>
      </c>
      <c r="M157" s="26"/>
      <c r="N157" s="17"/>
      <c r="O157" s="9">
        <f t="shared" si="20"/>
        <v>-23.6</v>
      </c>
      <c r="P157" s="8">
        <f>D152/B152*10^(O157/10)</f>
        <v>8.584811367389919E-2</v>
      </c>
      <c r="Q157" s="26"/>
      <c r="R157" s="17"/>
      <c r="S157" s="20"/>
      <c r="T157" s="17"/>
      <c r="U157" s="23"/>
    </row>
    <row r="158" spans="1:21" x14ac:dyDescent="0.25">
      <c r="A158" s="24">
        <v>1000</v>
      </c>
      <c r="B158" s="24">
        <v>3</v>
      </c>
      <c r="C158" s="17">
        <v>0.5</v>
      </c>
      <c r="D158" s="24">
        <v>117</v>
      </c>
      <c r="E158" s="24">
        <v>6</v>
      </c>
      <c r="F158" s="25">
        <v>76</v>
      </c>
      <c r="G158" s="1">
        <v>875</v>
      </c>
      <c r="H158" s="2">
        <v>91.1</v>
      </c>
      <c r="I158" s="2">
        <v>-22.5</v>
      </c>
      <c r="J158" s="2">
        <v>-26.5</v>
      </c>
      <c r="K158" s="2">
        <f t="shared" si="18"/>
        <v>-22.5</v>
      </c>
      <c r="L158" s="8">
        <f t="shared" si="22"/>
        <v>4.3651583224016522E-12</v>
      </c>
      <c r="M158" s="26">
        <f>SUM(L158:L163)</f>
        <v>1.1616979543769948E-11</v>
      </c>
      <c r="N158" s="17">
        <f>10*LOG10(M158/E158)</f>
        <v>-117.13058025770889</v>
      </c>
      <c r="O158" s="9">
        <f t="shared" si="20"/>
        <v>-26.5</v>
      </c>
      <c r="P158" s="8">
        <f>D158/B158*10^(O158/10)</f>
        <v>8.7310124404165204E-2</v>
      </c>
      <c r="Q158" s="26">
        <f>SUM(P158:P163)</f>
        <v>0.6125189242202308</v>
      </c>
      <c r="R158" s="17">
        <f>10*LOG10(Q158)</f>
        <v>-2.1288048891043712</v>
      </c>
      <c r="S158" s="18">
        <f>F158+N158-Kzt-H</f>
        <v>-41.130580257708885</v>
      </c>
      <c r="T158" s="17">
        <v>0.8</v>
      </c>
      <c r="U158" s="21">
        <f>T158*10^((S158-R158)/10)</f>
        <v>1.0067287009264182E-4</v>
      </c>
    </row>
    <row r="159" spans="1:21" x14ac:dyDescent="0.25">
      <c r="A159" s="24"/>
      <c r="B159" s="24"/>
      <c r="C159" s="17"/>
      <c r="D159" s="24"/>
      <c r="E159" s="24"/>
      <c r="F159" s="25"/>
      <c r="G159" s="1">
        <v>975</v>
      </c>
      <c r="H159" s="2">
        <v>96.5</v>
      </c>
      <c r="I159" s="2">
        <v>-22.6</v>
      </c>
      <c r="J159" s="2">
        <v>-23.9</v>
      </c>
      <c r="K159" s="2">
        <f t="shared" si="18"/>
        <v>-22.6</v>
      </c>
      <c r="L159" s="8">
        <f t="shared" si="22"/>
        <v>1.2302687708123772E-12</v>
      </c>
      <c r="M159" s="26"/>
      <c r="N159" s="17"/>
      <c r="O159" s="9">
        <f t="shared" si="20"/>
        <v>-23.9</v>
      </c>
      <c r="P159" s="8">
        <f>D158/B158*10^(O159/10)</f>
        <v>0.15887830834360409</v>
      </c>
      <c r="Q159" s="26"/>
      <c r="R159" s="17"/>
      <c r="S159" s="19"/>
      <c r="T159" s="17"/>
      <c r="U159" s="22"/>
    </row>
    <row r="160" spans="1:21" x14ac:dyDescent="0.25">
      <c r="A160" s="24"/>
      <c r="B160" s="24"/>
      <c r="C160" s="17"/>
      <c r="D160" s="24"/>
      <c r="E160" s="24"/>
      <c r="F160" s="25"/>
      <c r="G160" s="1">
        <v>1075</v>
      </c>
      <c r="H160" s="2">
        <v>94.6</v>
      </c>
      <c r="I160" s="2">
        <v>-19</v>
      </c>
      <c r="J160" s="2">
        <v>-27.6</v>
      </c>
      <c r="K160" s="2">
        <f t="shared" si="18"/>
        <v>-19</v>
      </c>
      <c r="L160" s="8">
        <f t="shared" si="22"/>
        <v>4.3651583224016522E-12</v>
      </c>
      <c r="M160" s="26"/>
      <c r="N160" s="17"/>
      <c r="O160" s="9">
        <f t="shared" si="20"/>
        <v>-27.6</v>
      </c>
      <c r="P160" s="8">
        <f>D158/B158*10^(O160/10)</f>
        <v>6.7774232321225564E-2</v>
      </c>
      <c r="Q160" s="26"/>
      <c r="R160" s="17"/>
      <c r="S160" s="19"/>
      <c r="T160" s="17"/>
      <c r="U160" s="22"/>
    </row>
    <row r="161" spans="1:21" x14ac:dyDescent="0.25">
      <c r="A161" s="24"/>
      <c r="B161" s="24"/>
      <c r="C161" s="17"/>
      <c r="D161" s="24"/>
      <c r="E161" s="24"/>
      <c r="F161" s="25"/>
      <c r="G161" s="1">
        <v>1175</v>
      </c>
      <c r="H161" s="2">
        <v>97.8</v>
      </c>
      <c r="I161" s="2">
        <v>-23.2</v>
      </c>
      <c r="J161" s="2">
        <v>-25</v>
      </c>
      <c r="K161" s="2">
        <f t="shared" si="18"/>
        <v>-23.2</v>
      </c>
      <c r="L161" s="8">
        <f t="shared" si="22"/>
        <v>7.9432823472428024E-13</v>
      </c>
      <c r="M161" s="26"/>
      <c r="N161" s="17"/>
      <c r="O161" s="9">
        <f t="shared" si="20"/>
        <v>-25</v>
      </c>
      <c r="P161" s="8">
        <f>D158/B158*10^(O161/10)</f>
        <v>0.12332882874656667</v>
      </c>
      <c r="Q161" s="26"/>
      <c r="R161" s="17"/>
      <c r="S161" s="19"/>
      <c r="T161" s="17"/>
      <c r="U161" s="22"/>
    </row>
    <row r="162" spans="1:21" x14ac:dyDescent="0.25">
      <c r="A162" s="24"/>
      <c r="B162" s="24"/>
      <c r="C162" s="17"/>
      <c r="D162" s="24"/>
      <c r="E162" s="24"/>
      <c r="F162" s="25"/>
      <c r="G162" s="1">
        <v>1275</v>
      </c>
      <c r="H162" s="2">
        <v>100.1</v>
      </c>
      <c r="I162" s="2">
        <v>-22</v>
      </c>
      <c r="J162" s="2">
        <v>-24.1</v>
      </c>
      <c r="K162" s="2">
        <f t="shared" si="18"/>
        <v>-22</v>
      </c>
      <c r="L162" s="8">
        <f t="shared" si="22"/>
        <v>6.1659500186148178E-13</v>
      </c>
      <c r="M162" s="26"/>
      <c r="N162" s="17"/>
      <c r="O162" s="9">
        <f t="shared" si="20"/>
        <v>-24.1</v>
      </c>
      <c r="P162" s="8">
        <f>D158/B158*10^(O162/10)</f>
        <v>0.15172760654776929</v>
      </c>
      <c r="Q162" s="26"/>
      <c r="R162" s="17"/>
      <c r="S162" s="19"/>
      <c r="T162" s="17"/>
      <c r="U162" s="22"/>
    </row>
    <row r="163" spans="1:21" x14ac:dyDescent="0.25">
      <c r="A163" s="24"/>
      <c r="B163" s="24"/>
      <c r="C163" s="17"/>
      <c r="D163" s="24"/>
      <c r="E163" s="24"/>
      <c r="F163" s="25"/>
      <c r="G163" s="1">
        <v>1375</v>
      </c>
      <c r="H163" s="2">
        <v>103</v>
      </c>
      <c r="I163" s="2">
        <v>-23.1</v>
      </c>
      <c r="J163" s="2">
        <v>-32.200000000000003</v>
      </c>
      <c r="K163" s="2">
        <f t="shared" si="18"/>
        <v>-23.1</v>
      </c>
      <c r="L163" s="8">
        <f t="shared" si="22"/>
        <v>2.4547089156850296E-13</v>
      </c>
      <c r="M163" s="26"/>
      <c r="N163" s="17"/>
      <c r="O163" s="9">
        <f t="shared" si="20"/>
        <v>-32.200000000000003</v>
      </c>
      <c r="P163" s="8">
        <f>D158/B158*10^(O163/10)</f>
        <v>2.3499823856899926E-2</v>
      </c>
      <c r="Q163" s="26"/>
      <c r="R163" s="17"/>
      <c r="S163" s="20"/>
      <c r="T163" s="17"/>
      <c r="U163" s="23"/>
    </row>
    <row r="164" spans="1:21" x14ac:dyDescent="0.25">
      <c r="A164" s="24">
        <v>2000</v>
      </c>
      <c r="B164" s="24">
        <v>3</v>
      </c>
      <c r="C164" s="17">
        <v>0.5</v>
      </c>
      <c r="D164" s="24">
        <v>234</v>
      </c>
      <c r="E164" s="24">
        <v>6</v>
      </c>
      <c r="F164" s="25">
        <v>68</v>
      </c>
      <c r="G164" s="1">
        <v>1425</v>
      </c>
      <c r="H164" s="2">
        <v>102.8</v>
      </c>
      <c r="I164" s="2">
        <v>-23.4</v>
      </c>
      <c r="J164" s="2">
        <v>-25</v>
      </c>
      <c r="K164" s="2">
        <f t="shared" si="18"/>
        <v>-23.4</v>
      </c>
      <c r="L164" s="8">
        <f t="shared" si="22"/>
        <v>2.3988329190194898E-13</v>
      </c>
      <c r="M164" s="26">
        <f>SUM(L164:L169)</f>
        <v>3.8135749134839647E-12</v>
      </c>
      <c r="N164" s="17">
        <f>10*LOG10(M164/E164)</f>
        <v>-121.96818968337774</v>
      </c>
      <c r="O164" s="9">
        <f t="shared" si="20"/>
        <v>-25</v>
      </c>
      <c r="P164" s="8">
        <f>D164/B164*10^(O164/10)</f>
        <v>0.24665765749313334</v>
      </c>
      <c r="Q164" s="26">
        <f>SUM(P164:P169)</f>
        <v>1.4889848483588843</v>
      </c>
      <c r="R164" s="17">
        <f>10*LOG10(Q164)</f>
        <v>1.7289027847238567</v>
      </c>
      <c r="S164" s="18">
        <f>F164+N164-Kzt-H</f>
        <v>-53.968189683377744</v>
      </c>
      <c r="T164" s="17">
        <v>1</v>
      </c>
      <c r="U164" s="21">
        <f>T164*10^((S164-R164)/10)</f>
        <v>2.6933373466270998E-6</v>
      </c>
    </row>
    <row r="165" spans="1:21" x14ac:dyDescent="0.25">
      <c r="A165" s="24"/>
      <c r="B165" s="24"/>
      <c r="C165" s="17"/>
      <c r="D165" s="24"/>
      <c r="E165" s="24"/>
      <c r="F165" s="25"/>
      <c r="G165" s="1">
        <v>1625</v>
      </c>
      <c r="H165" s="2">
        <v>104.1</v>
      </c>
      <c r="I165" s="2">
        <v>-21.4</v>
      </c>
      <c r="J165" s="2">
        <v>-26</v>
      </c>
      <c r="K165" s="2">
        <f t="shared" si="18"/>
        <v>-21.4</v>
      </c>
      <c r="L165" s="8">
        <f t="shared" si="22"/>
        <v>2.8183829312644412E-13</v>
      </c>
      <c r="M165" s="26"/>
      <c r="N165" s="17"/>
      <c r="O165" s="9">
        <f t="shared" si="20"/>
        <v>-26</v>
      </c>
      <c r="P165" s="8">
        <f>D164/B164*10^(O165/10)</f>
        <v>0.19592714165774705</v>
      </c>
      <c r="Q165" s="26"/>
      <c r="R165" s="17"/>
      <c r="S165" s="19"/>
      <c r="T165" s="17"/>
      <c r="U165" s="22"/>
    </row>
    <row r="166" spans="1:21" x14ac:dyDescent="0.25">
      <c r="A166" s="24"/>
      <c r="B166" s="24"/>
      <c r="C166" s="17"/>
      <c r="D166" s="24"/>
      <c r="E166" s="24"/>
      <c r="F166" s="25"/>
      <c r="G166" s="1">
        <v>1825</v>
      </c>
      <c r="H166" s="2">
        <v>107.6</v>
      </c>
      <c r="I166" s="2">
        <v>-22.7</v>
      </c>
      <c r="J166" s="2">
        <v>-24.6</v>
      </c>
      <c r="K166" s="2">
        <f t="shared" si="18"/>
        <v>-22.7</v>
      </c>
      <c r="L166" s="8">
        <f t="shared" si="22"/>
        <v>9.3325430079699445E-14</v>
      </c>
      <c r="M166" s="26"/>
      <c r="N166" s="17"/>
      <c r="O166" s="9">
        <f t="shared" si="20"/>
        <v>-24.6</v>
      </c>
      <c r="P166" s="8">
        <f>D164/B164*10^(O166/10)</f>
        <v>0.27045474335297459</v>
      </c>
      <c r="Q166" s="26"/>
      <c r="R166" s="17"/>
      <c r="S166" s="19"/>
      <c r="T166" s="17"/>
      <c r="U166" s="22"/>
    </row>
    <row r="167" spans="1:21" x14ac:dyDescent="0.25">
      <c r="A167" s="24"/>
      <c r="B167" s="24"/>
      <c r="C167" s="17"/>
      <c r="D167" s="24"/>
      <c r="E167" s="24"/>
      <c r="F167" s="25"/>
      <c r="G167" s="1">
        <v>2125</v>
      </c>
      <c r="H167" s="2">
        <v>104.2</v>
      </c>
      <c r="I167" s="2">
        <v>-23.4</v>
      </c>
      <c r="J167" s="2">
        <v>-26.3</v>
      </c>
      <c r="K167" s="2">
        <f t="shared" si="18"/>
        <v>-23.4</v>
      </c>
      <c r="L167" s="8">
        <f t="shared" si="22"/>
        <v>1.7378008287493713E-13</v>
      </c>
      <c r="M167" s="26"/>
      <c r="N167" s="17"/>
      <c r="O167" s="9">
        <f t="shared" si="20"/>
        <v>-26.3</v>
      </c>
      <c r="P167" s="8">
        <f>D164/B164*10^(O167/10)</f>
        <v>0.18284984759495379</v>
      </c>
      <c r="Q167" s="26"/>
      <c r="R167" s="17"/>
      <c r="S167" s="19"/>
      <c r="T167" s="17"/>
      <c r="U167" s="22"/>
    </row>
    <row r="168" spans="1:21" x14ac:dyDescent="0.25">
      <c r="A168" s="24"/>
      <c r="B168" s="24"/>
      <c r="C168" s="17"/>
      <c r="D168" s="24"/>
      <c r="E168" s="24"/>
      <c r="F168" s="25"/>
      <c r="G168" s="1">
        <v>2425</v>
      </c>
      <c r="H168" s="2">
        <v>93.7</v>
      </c>
      <c r="I168" s="2">
        <v>-22.3</v>
      </c>
      <c r="J168" s="2">
        <v>-24.2</v>
      </c>
      <c r="K168" s="2">
        <f t="shared" si="18"/>
        <v>-22.3</v>
      </c>
      <c r="L168" s="8">
        <f t="shared" si="22"/>
        <v>2.5118864315095726E-12</v>
      </c>
      <c r="M168" s="26"/>
      <c r="N168" s="17"/>
      <c r="O168" s="9">
        <f t="shared" si="20"/>
        <v>-24.2</v>
      </c>
      <c r="P168" s="8">
        <f>D164/B164*10^(O168/10)</f>
        <v>0.29654772913003774</v>
      </c>
      <c r="Q168" s="26"/>
      <c r="R168" s="17"/>
      <c r="S168" s="19"/>
      <c r="T168" s="17"/>
      <c r="U168" s="22"/>
    </row>
    <row r="169" spans="1:21" x14ac:dyDescent="0.25">
      <c r="A169" s="24"/>
      <c r="B169" s="24"/>
      <c r="C169" s="17"/>
      <c r="D169" s="24"/>
      <c r="E169" s="24"/>
      <c r="F169" s="25"/>
      <c r="G169" s="1">
        <v>2775</v>
      </c>
      <c r="H169" s="2">
        <v>100.2</v>
      </c>
      <c r="I169" s="2">
        <v>-22.7</v>
      </c>
      <c r="J169" s="2">
        <v>-24.2</v>
      </c>
      <c r="K169" s="2">
        <f t="shared" si="18"/>
        <v>-22.7</v>
      </c>
      <c r="L169" s="8">
        <f t="shared" si="22"/>
        <v>5.1286138399136307E-13</v>
      </c>
      <c r="M169" s="26"/>
      <c r="N169" s="17"/>
      <c r="O169" s="9">
        <f t="shared" si="20"/>
        <v>-24.2</v>
      </c>
      <c r="P169" s="8">
        <f>D164/B164*10^(O169/10)</f>
        <v>0.29654772913003774</v>
      </c>
      <c r="Q169" s="26"/>
      <c r="R169" s="17"/>
      <c r="S169" s="20"/>
      <c r="T169" s="17"/>
      <c r="U169" s="23"/>
    </row>
    <row r="170" spans="1:21" x14ac:dyDescent="0.25">
      <c r="A170" s="24">
        <v>4000</v>
      </c>
      <c r="B170" s="24">
        <v>3</v>
      </c>
      <c r="C170" s="17">
        <v>0.5</v>
      </c>
      <c r="D170" s="24">
        <v>470</v>
      </c>
      <c r="E170" s="24">
        <v>6</v>
      </c>
      <c r="F170" s="25">
        <v>62</v>
      </c>
      <c r="G170" s="1">
        <v>2825</v>
      </c>
      <c r="H170" s="2">
        <v>99.4</v>
      </c>
      <c r="I170" s="2">
        <v>-16</v>
      </c>
      <c r="J170" s="2">
        <v>-26.7</v>
      </c>
      <c r="K170" s="2">
        <f t="shared" si="18"/>
        <v>-16</v>
      </c>
      <c r="L170" s="8">
        <f t="shared" si="22"/>
        <v>2.8840315031265959E-12</v>
      </c>
      <c r="M170" s="26">
        <f>SUM(L170:L175)</f>
        <v>5.0943657581930263E-12</v>
      </c>
      <c r="N170" s="17">
        <f>10*LOG10(M170/E170)</f>
        <v>-120.71061127764985</v>
      </c>
      <c r="O170" s="9">
        <f t="shared" si="20"/>
        <v>-26.7</v>
      </c>
      <c r="P170" s="8">
        <f>D170/B170*10^(O170/10)</f>
        <v>0.33494739402201629</v>
      </c>
      <c r="Q170" s="26">
        <f>SUM(P170:P175)</f>
        <v>2.0837467199776669</v>
      </c>
      <c r="R170" s="17">
        <f>10*LOG10(Q170)</f>
        <v>3.1884492921436003</v>
      </c>
      <c r="S170" s="18">
        <f>F170+N170-Kzt-H</f>
        <v>-58.710611277649846</v>
      </c>
      <c r="T170" s="17">
        <v>0.9</v>
      </c>
      <c r="U170" s="21">
        <f>T170*10^((S170-R170)/10)</f>
        <v>5.8121451609197854E-7</v>
      </c>
    </row>
    <row r="171" spans="1:21" x14ac:dyDescent="0.25">
      <c r="A171" s="24"/>
      <c r="B171" s="24"/>
      <c r="C171" s="17"/>
      <c r="D171" s="24"/>
      <c r="E171" s="24"/>
      <c r="F171" s="25"/>
      <c r="G171" s="1">
        <v>3425</v>
      </c>
      <c r="H171" s="2">
        <v>103.5</v>
      </c>
      <c r="I171" s="2">
        <v>-19</v>
      </c>
      <c r="J171" s="2">
        <v>-28.7</v>
      </c>
      <c r="K171" s="2">
        <f t="shared" si="18"/>
        <v>-19</v>
      </c>
      <c r="L171" s="8">
        <f t="shared" si="22"/>
        <v>5.6234132519034702E-13</v>
      </c>
      <c r="M171" s="26"/>
      <c r="N171" s="17"/>
      <c r="O171" s="9">
        <f t="shared" si="20"/>
        <v>-28.7</v>
      </c>
      <c r="P171" s="8">
        <f>D170/B170*10^(O171/10)</f>
        <v>0.21133751827269218</v>
      </c>
      <c r="Q171" s="26"/>
      <c r="R171" s="17"/>
      <c r="S171" s="19"/>
      <c r="T171" s="17"/>
      <c r="U171" s="22"/>
    </row>
    <row r="172" spans="1:21" x14ac:dyDescent="0.25">
      <c r="A172" s="24"/>
      <c r="B172" s="24"/>
      <c r="C172" s="17"/>
      <c r="D172" s="24"/>
      <c r="E172" s="24"/>
      <c r="F172" s="25"/>
      <c r="G172" s="1">
        <v>4025</v>
      </c>
      <c r="H172" s="2">
        <v>103.6</v>
      </c>
      <c r="I172" s="2">
        <v>-21.5</v>
      </c>
      <c r="J172" s="2">
        <v>-26.3</v>
      </c>
      <c r="K172" s="2">
        <f t="shared" si="18"/>
        <v>-21.5</v>
      </c>
      <c r="L172" s="8">
        <f t="shared" si="22"/>
        <v>3.0902954325135866E-13</v>
      </c>
      <c r="M172" s="26"/>
      <c r="N172" s="17"/>
      <c r="O172" s="9">
        <f t="shared" si="20"/>
        <v>-26.3</v>
      </c>
      <c r="P172" s="8">
        <f>D170/B170*10^(O172/10)</f>
        <v>0.36726251440012081</v>
      </c>
      <c r="Q172" s="26"/>
      <c r="R172" s="17"/>
      <c r="S172" s="19"/>
      <c r="T172" s="17"/>
      <c r="U172" s="22"/>
    </row>
    <row r="173" spans="1:21" x14ac:dyDescent="0.25">
      <c r="A173" s="24"/>
      <c r="B173" s="24"/>
      <c r="C173" s="17"/>
      <c r="D173" s="24"/>
      <c r="E173" s="24"/>
      <c r="F173" s="25"/>
      <c r="G173" s="1">
        <v>4625</v>
      </c>
      <c r="H173" s="2">
        <v>105.6</v>
      </c>
      <c r="I173" s="2">
        <v>-20.9</v>
      </c>
      <c r="J173" s="2">
        <v>-26.9</v>
      </c>
      <c r="K173" s="2">
        <f t="shared" si="18"/>
        <v>-20.9</v>
      </c>
      <c r="L173" s="8">
        <f t="shared" si="22"/>
        <v>2.238721138568332E-13</v>
      </c>
      <c r="M173" s="26"/>
      <c r="N173" s="17"/>
      <c r="O173" s="9">
        <f t="shared" si="20"/>
        <v>-26.9</v>
      </c>
      <c r="P173" s="8">
        <f>D170/B170*10^(O173/10)</f>
        <v>0.31987227799822626</v>
      </c>
      <c r="Q173" s="26"/>
      <c r="R173" s="17"/>
      <c r="S173" s="19"/>
      <c r="T173" s="17"/>
      <c r="U173" s="22"/>
    </row>
    <row r="174" spans="1:21" x14ac:dyDescent="0.25">
      <c r="A174" s="24"/>
      <c r="B174" s="24"/>
      <c r="C174" s="17"/>
      <c r="D174" s="24"/>
      <c r="E174" s="24"/>
      <c r="F174" s="25"/>
      <c r="G174" s="1">
        <v>5225</v>
      </c>
      <c r="H174" s="2">
        <v>103.5</v>
      </c>
      <c r="I174" s="2">
        <v>-21.2</v>
      </c>
      <c r="J174" s="2">
        <v>-29</v>
      </c>
      <c r="K174" s="2">
        <f t="shared" si="18"/>
        <v>-21.2</v>
      </c>
      <c r="L174" s="8">
        <f t="shared" si="22"/>
        <v>3.3884415613920079E-13</v>
      </c>
      <c r="M174" s="26"/>
      <c r="N174" s="17"/>
      <c r="O174" s="9">
        <f t="shared" si="20"/>
        <v>-29</v>
      </c>
      <c r="P174" s="8">
        <f>D170/B170*10^(O174/10)</f>
        <v>0.19723164784775268</v>
      </c>
      <c r="Q174" s="26"/>
      <c r="R174" s="17"/>
      <c r="S174" s="19"/>
      <c r="T174" s="17"/>
      <c r="U174" s="22"/>
    </row>
    <row r="175" spans="1:21" x14ac:dyDescent="0.25">
      <c r="A175" s="24"/>
      <c r="B175" s="24"/>
      <c r="C175" s="17"/>
      <c r="D175" s="24"/>
      <c r="E175" s="24"/>
      <c r="F175" s="25"/>
      <c r="G175" s="1">
        <v>5625</v>
      </c>
      <c r="H175" s="2">
        <v>99.5</v>
      </c>
      <c r="I175" s="2">
        <v>-21.6</v>
      </c>
      <c r="J175" s="2">
        <v>-23.8</v>
      </c>
      <c r="K175" s="2">
        <f t="shared" si="18"/>
        <v>-21.6</v>
      </c>
      <c r="L175" s="8">
        <f t="shared" si="22"/>
        <v>7.7624711662869047E-13</v>
      </c>
      <c r="M175" s="26"/>
      <c r="N175" s="17"/>
      <c r="O175" s="9">
        <f t="shared" si="20"/>
        <v>-23.8</v>
      </c>
      <c r="P175" s="8">
        <f>D170/B170*10^(O175/10)</f>
        <v>0.65309536743685859</v>
      </c>
      <c r="Q175" s="26"/>
      <c r="R175" s="17"/>
      <c r="S175" s="20"/>
      <c r="T175" s="17"/>
      <c r="U175" s="23"/>
    </row>
    <row r="176" spans="1:21" x14ac:dyDescent="0.25">
      <c r="A176" s="24">
        <v>8000</v>
      </c>
      <c r="B176" s="24">
        <v>3</v>
      </c>
      <c r="C176" s="17">
        <v>0.5</v>
      </c>
      <c r="D176" s="24">
        <v>943</v>
      </c>
      <c r="E176" s="24">
        <v>6</v>
      </c>
      <c r="F176" s="25">
        <v>54</v>
      </c>
      <c r="G176" s="1">
        <v>6025</v>
      </c>
      <c r="H176" s="2">
        <v>95</v>
      </c>
      <c r="I176" s="2">
        <v>-21.1</v>
      </c>
      <c r="J176" s="2">
        <v>-26.9</v>
      </c>
      <c r="K176" s="2">
        <f t="shared" si="18"/>
        <v>-21.1</v>
      </c>
      <c r="L176" s="8">
        <f t="shared" si="22"/>
        <v>2.4547089156850233E-12</v>
      </c>
      <c r="M176" s="26">
        <f>SUM(L176:L181)</f>
        <v>4.0527600652549381E-11</v>
      </c>
      <c r="N176" s="17">
        <f>10*LOG10(M176/E176)</f>
        <v>-111.70400357330396</v>
      </c>
      <c r="O176" s="9">
        <f t="shared" si="20"/>
        <v>-26.9</v>
      </c>
      <c r="P176" s="8">
        <f>D176/B176*10^(O176/10)</f>
        <v>0.64178629394112197</v>
      </c>
      <c r="Q176" s="26">
        <f>SUM(P176:P181)</f>
        <v>3.0972864487391774</v>
      </c>
      <c r="R176" s="17">
        <f>10*LOG10(Q176)</f>
        <v>4.9098137240682265</v>
      </c>
      <c r="S176" s="18">
        <f>F176+N176-Kzt-H</f>
        <v>-57.704003573303964</v>
      </c>
      <c r="T176" s="17">
        <v>0.7</v>
      </c>
      <c r="U176" s="21">
        <f>T176*10^((S176-R176)/10)</f>
        <v>3.8345668219543448E-7</v>
      </c>
    </row>
    <row r="177" spans="1:21" x14ac:dyDescent="0.25">
      <c r="A177" s="24"/>
      <c r="B177" s="24"/>
      <c r="C177" s="17"/>
      <c r="D177" s="24"/>
      <c r="E177" s="24"/>
      <c r="F177" s="25"/>
      <c r="G177" s="1">
        <v>7025</v>
      </c>
      <c r="H177" s="2">
        <v>94.8</v>
      </c>
      <c r="I177" s="2">
        <v>-16.3</v>
      </c>
      <c r="J177" s="2">
        <v>-27.1</v>
      </c>
      <c r="K177" s="2">
        <f t="shared" si="18"/>
        <v>-16.3</v>
      </c>
      <c r="L177" s="8">
        <f t="shared" si="22"/>
        <v>7.762471166286914E-12</v>
      </c>
      <c r="M177" s="26"/>
      <c r="N177" s="17"/>
      <c r="O177" s="9">
        <f t="shared" si="20"/>
        <v>-27.1</v>
      </c>
      <c r="P177" s="8">
        <f>D176/B176*10^(O177/10)</f>
        <v>0.61290115252394517</v>
      </c>
      <c r="Q177" s="26"/>
      <c r="R177" s="17"/>
      <c r="S177" s="19"/>
      <c r="T177" s="17"/>
      <c r="U177" s="22"/>
    </row>
    <row r="178" spans="1:21" x14ac:dyDescent="0.25">
      <c r="A178" s="24"/>
      <c r="B178" s="24"/>
      <c r="C178" s="17"/>
      <c r="D178" s="24"/>
      <c r="E178" s="24"/>
      <c r="F178" s="25"/>
      <c r="G178" s="1">
        <v>8025</v>
      </c>
      <c r="H178" s="2">
        <v>101.9</v>
      </c>
      <c r="I178" s="2">
        <v>-19.8</v>
      </c>
      <c r="J178" s="2">
        <v>-30.6</v>
      </c>
      <c r="K178" s="2">
        <f t="shared" si="18"/>
        <v>-19.8</v>
      </c>
      <c r="L178" s="8">
        <f t="shared" si="22"/>
        <v>6.7608297539198111E-13</v>
      </c>
      <c r="M178" s="26"/>
      <c r="N178" s="17"/>
      <c r="O178" s="9">
        <f t="shared" si="20"/>
        <v>-30.6</v>
      </c>
      <c r="P178" s="8">
        <f>D176/B176*10^(O178/10)</f>
        <v>0.27377288844286107</v>
      </c>
      <c r="Q178" s="26"/>
      <c r="R178" s="17"/>
      <c r="S178" s="19"/>
      <c r="T178" s="17"/>
      <c r="U178" s="22"/>
    </row>
    <row r="179" spans="1:21" x14ac:dyDescent="0.25">
      <c r="A179" s="24"/>
      <c r="B179" s="24"/>
      <c r="C179" s="17"/>
      <c r="D179" s="24"/>
      <c r="E179" s="24"/>
      <c r="F179" s="25"/>
      <c r="G179" s="1">
        <v>9025</v>
      </c>
      <c r="H179" s="2">
        <v>93.2</v>
      </c>
      <c r="I179" s="2">
        <v>-20.5</v>
      </c>
      <c r="J179" s="2">
        <v>-31.6</v>
      </c>
      <c r="K179" s="2">
        <f t="shared" si="18"/>
        <v>-20.5</v>
      </c>
      <c r="L179" s="8">
        <f t="shared" si="22"/>
        <v>4.2657951880159045E-12</v>
      </c>
      <c r="M179" s="26"/>
      <c r="N179" s="17"/>
      <c r="O179" s="9">
        <f t="shared" si="20"/>
        <v>-31.6</v>
      </c>
      <c r="P179" s="8">
        <f>D176/B176*10^(O179/10)</f>
        <v>0.21746553519218548</v>
      </c>
      <c r="Q179" s="26"/>
      <c r="R179" s="17"/>
      <c r="S179" s="19"/>
      <c r="T179" s="17"/>
      <c r="U179" s="22"/>
    </row>
    <row r="180" spans="1:21" x14ac:dyDescent="0.25">
      <c r="A180" s="24"/>
      <c r="B180" s="24"/>
      <c r="C180" s="17"/>
      <c r="D180" s="24"/>
      <c r="E180" s="24"/>
      <c r="F180" s="25"/>
      <c r="G180" s="1">
        <v>10025</v>
      </c>
      <c r="H180" s="2">
        <v>88.3</v>
      </c>
      <c r="I180" s="2">
        <v>-21.6</v>
      </c>
      <c r="J180" s="2">
        <v>-30.8</v>
      </c>
      <c r="K180" s="2">
        <f t="shared" si="18"/>
        <v>-21.6</v>
      </c>
      <c r="L180" s="8">
        <f t="shared" si="22"/>
        <v>1.0232929922807526E-11</v>
      </c>
      <c r="M180" s="26"/>
      <c r="N180" s="17"/>
      <c r="O180" s="9">
        <f t="shared" si="20"/>
        <v>-30.8</v>
      </c>
      <c r="P180" s="8">
        <f>D176/B176*10^(O180/10)</f>
        <v>0.261451078716606</v>
      </c>
      <c r="Q180" s="26"/>
      <c r="R180" s="17"/>
      <c r="S180" s="19"/>
      <c r="T180" s="17"/>
      <c r="U180" s="22"/>
    </row>
    <row r="181" spans="1:21" x14ac:dyDescent="0.25">
      <c r="A181" s="24"/>
      <c r="B181" s="24"/>
      <c r="C181" s="17"/>
      <c r="D181" s="24"/>
      <c r="E181" s="24"/>
      <c r="F181" s="25"/>
      <c r="G181" s="1">
        <v>11025</v>
      </c>
      <c r="H181" s="2">
        <v>86</v>
      </c>
      <c r="I181" s="2">
        <v>-22.2</v>
      </c>
      <c r="J181" s="2">
        <v>-24.6</v>
      </c>
      <c r="K181" s="2">
        <f t="shared" si="18"/>
        <v>-22.2</v>
      </c>
      <c r="L181" s="8">
        <f t="shared" si="22"/>
        <v>1.5135612484362034E-11</v>
      </c>
      <c r="M181" s="26"/>
      <c r="N181" s="17"/>
      <c r="O181" s="9">
        <f t="shared" si="20"/>
        <v>-24.6</v>
      </c>
      <c r="P181" s="8">
        <f>D176/B176*10^(O181/10)</f>
        <v>1.0899094999224572</v>
      </c>
      <c r="Q181" s="26"/>
      <c r="R181" s="17"/>
      <c r="S181" s="20"/>
      <c r="T181" s="17"/>
      <c r="U181" s="23"/>
    </row>
    <row r="182" spans="1:21" x14ac:dyDescent="0.25">
      <c r="A182" s="24" t="s">
        <v>20</v>
      </c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12">
        <f>U182</f>
        <v>4.7999103865981871E-2</v>
      </c>
      <c r="T182" s="2"/>
      <c r="U182" s="8">
        <f>0.8*SQRT(SUM(U148:U181))</f>
        <v>4.7999103865981871E-2</v>
      </c>
    </row>
    <row r="183" spans="1:21" x14ac:dyDescent="0.25">
      <c r="A183" s="27" t="s">
        <v>77</v>
      </c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9"/>
    </row>
    <row r="184" spans="1:21" x14ac:dyDescent="0.25">
      <c r="A184" s="24">
        <v>250</v>
      </c>
      <c r="B184" s="24">
        <v>3</v>
      </c>
      <c r="C184" s="17">
        <v>0.5</v>
      </c>
      <c r="D184" s="24">
        <v>38</v>
      </c>
      <c r="E184" s="24">
        <v>4</v>
      </c>
      <c r="F184" s="25">
        <v>84</v>
      </c>
      <c r="G184" s="1">
        <v>175</v>
      </c>
      <c r="H184" s="2">
        <v>84.8</v>
      </c>
      <c r="I184" s="2">
        <v>-9.5</v>
      </c>
      <c r="J184" s="2">
        <v>-18.2</v>
      </c>
      <c r="K184" s="2">
        <f>I184</f>
        <v>-9.5</v>
      </c>
      <c r="L184" s="8">
        <f>10^((K184-H184)/10)</f>
        <v>3.7153522909717169E-10</v>
      </c>
      <c r="M184" s="26">
        <f>SUM(L184:L187)</f>
        <v>4.6681248684428848E-10</v>
      </c>
      <c r="N184" s="17">
        <f>10*LOG10(M184/E184)</f>
        <v>-99.329175267844491</v>
      </c>
      <c r="O184" s="9">
        <f>J184</f>
        <v>-18.2</v>
      </c>
      <c r="P184" s="8">
        <f>D184/B184*10^(O184/10)</f>
        <v>0.19171775813525296</v>
      </c>
      <c r="Q184" s="26">
        <f>SUM(P184:P187)</f>
        <v>1.0685467371986141</v>
      </c>
      <c r="R184" s="17">
        <f>10*LOG10(Q184)</f>
        <v>0.28793522535231164</v>
      </c>
      <c r="S184" s="18">
        <f>F184+N184-Kzt-H</f>
        <v>-15.329175267844491</v>
      </c>
      <c r="T184" s="17">
        <v>0.2</v>
      </c>
      <c r="U184" s="21">
        <f>T184*10^((S184-R184)/10)</f>
        <v>5.4867976801723263E-3</v>
      </c>
    </row>
    <row r="185" spans="1:21" x14ac:dyDescent="0.25">
      <c r="A185" s="24"/>
      <c r="B185" s="24"/>
      <c r="C185" s="17"/>
      <c r="D185" s="24"/>
      <c r="E185" s="24"/>
      <c r="F185" s="25"/>
      <c r="G185" s="1">
        <v>225</v>
      </c>
      <c r="H185" s="2">
        <v>90</v>
      </c>
      <c r="I185" s="2">
        <v>-13.7</v>
      </c>
      <c r="J185" s="2">
        <v>-15.6</v>
      </c>
      <c r="K185" s="2">
        <f t="shared" ref="K185:K217" si="23">I185</f>
        <v>-13.7</v>
      </c>
      <c r="L185" s="8">
        <f t="shared" ref="L185:L186" si="24">10^((K185-H185)/10)</f>
        <v>4.2657951880159099E-11</v>
      </c>
      <c r="M185" s="26"/>
      <c r="N185" s="17"/>
      <c r="O185" s="9">
        <f t="shared" ref="O185:O217" si="25">J185</f>
        <v>-15.6</v>
      </c>
      <c r="P185" s="8">
        <f>D184/B184*10^(O185/10)</f>
        <v>0.34886896908950082</v>
      </c>
      <c r="Q185" s="26"/>
      <c r="R185" s="17"/>
      <c r="S185" s="19"/>
      <c r="T185" s="17"/>
      <c r="U185" s="22"/>
    </row>
    <row r="186" spans="1:21" x14ac:dyDescent="0.25">
      <c r="A186" s="24"/>
      <c r="B186" s="24"/>
      <c r="C186" s="17"/>
      <c r="D186" s="24"/>
      <c r="E186" s="24"/>
      <c r="F186" s="25"/>
      <c r="G186" s="1">
        <v>275</v>
      </c>
      <c r="H186" s="2">
        <v>92.2</v>
      </c>
      <c r="I186" s="2">
        <v>-13.7</v>
      </c>
      <c r="J186" s="2">
        <v>-15.2</v>
      </c>
      <c r="K186" s="2">
        <f t="shared" si="23"/>
        <v>-13.7</v>
      </c>
      <c r="L186" s="8">
        <f t="shared" si="24"/>
        <v>2.5703957827688591E-11</v>
      </c>
      <c r="M186" s="26"/>
      <c r="N186" s="17"/>
      <c r="O186" s="9">
        <f t="shared" si="25"/>
        <v>-15.2</v>
      </c>
      <c r="P186" s="8">
        <f>D184/B184*10^(O186/10)</f>
        <v>0.38252721791758848</v>
      </c>
      <c r="Q186" s="26"/>
      <c r="R186" s="17"/>
      <c r="S186" s="19"/>
      <c r="T186" s="17"/>
      <c r="U186" s="22"/>
    </row>
    <row r="187" spans="1:21" x14ac:dyDescent="0.25">
      <c r="A187" s="24"/>
      <c r="B187" s="24"/>
      <c r="C187" s="17"/>
      <c r="D187" s="24"/>
      <c r="E187" s="24"/>
      <c r="F187" s="25"/>
      <c r="G187" s="1">
        <v>325</v>
      </c>
      <c r="H187" s="2">
        <v>93.3</v>
      </c>
      <c r="I187" s="2">
        <v>-12.4</v>
      </c>
      <c r="J187" s="2">
        <v>-19.399999999999999</v>
      </c>
      <c r="K187" s="2">
        <f t="shared" si="23"/>
        <v>-12.4</v>
      </c>
      <c r="L187" s="8">
        <f>10^((K187-H187)/10)</f>
        <v>2.6915348039269103E-11</v>
      </c>
      <c r="M187" s="26"/>
      <c r="N187" s="17"/>
      <c r="O187" s="9">
        <f t="shared" si="25"/>
        <v>-19.399999999999999</v>
      </c>
      <c r="P187" s="8">
        <f>D184/B184*10^(O187/10)</f>
        <v>0.1454327920562718</v>
      </c>
      <c r="Q187" s="26"/>
      <c r="R187" s="17"/>
      <c r="S187" s="20"/>
      <c r="T187" s="17"/>
      <c r="U187" s="23"/>
    </row>
    <row r="188" spans="1:21" x14ac:dyDescent="0.25">
      <c r="A188" s="24">
        <v>500</v>
      </c>
      <c r="B188" s="24">
        <v>3</v>
      </c>
      <c r="C188" s="17">
        <v>0.5</v>
      </c>
      <c r="D188" s="24">
        <v>59</v>
      </c>
      <c r="E188" s="24">
        <v>6</v>
      </c>
      <c r="F188" s="25">
        <v>84</v>
      </c>
      <c r="G188" s="1">
        <v>375</v>
      </c>
      <c r="H188" s="2">
        <v>91.9</v>
      </c>
      <c r="I188" s="2">
        <v>-15.6</v>
      </c>
      <c r="J188" s="2">
        <v>-19.399999999999999</v>
      </c>
      <c r="K188" s="2">
        <f t="shared" si="23"/>
        <v>-15.6</v>
      </c>
      <c r="L188" s="8">
        <f t="shared" ref="L188:L189" si="26">10^((K188-H188)/10)</f>
        <v>1.7782794100389159E-11</v>
      </c>
      <c r="M188" s="26">
        <f>SUM(L188:L193)</f>
        <v>1.1029513485104912E-10</v>
      </c>
      <c r="N188" s="17">
        <f>10*LOG10(M188/E188)</f>
        <v>-107.3559489437086</v>
      </c>
      <c r="O188" s="9">
        <f t="shared" si="25"/>
        <v>-19.399999999999999</v>
      </c>
      <c r="P188" s="8">
        <f>D188/B188*10^(O188/10)</f>
        <v>0.22580354556105359</v>
      </c>
      <c r="Q188" s="26">
        <f>SUM(P188:P193)</f>
        <v>1.7185365096193919</v>
      </c>
      <c r="R188" s="17">
        <f>10*LOG10(Q188)</f>
        <v>2.3515876298346274</v>
      </c>
      <c r="S188" s="18">
        <f>F188+N188-Kzt-H</f>
        <v>-23.355948943708597</v>
      </c>
      <c r="T188" s="17">
        <v>0.5</v>
      </c>
      <c r="U188" s="21">
        <f>T188*10^((S188-R188)/10)</f>
        <v>1.3434340359908289E-3</v>
      </c>
    </row>
    <row r="189" spans="1:21" x14ac:dyDescent="0.25">
      <c r="A189" s="24"/>
      <c r="B189" s="24"/>
      <c r="C189" s="17"/>
      <c r="D189" s="24"/>
      <c r="E189" s="24"/>
      <c r="F189" s="25"/>
      <c r="G189" s="1">
        <v>425</v>
      </c>
      <c r="H189" s="2">
        <v>88.1</v>
      </c>
      <c r="I189" s="2">
        <v>-17.3</v>
      </c>
      <c r="J189" s="2">
        <v>-17.5</v>
      </c>
      <c r="K189" s="2">
        <f t="shared" si="23"/>
        <v>-17.3</v>
      </c>
      <c r="L189" s="8">
        <f t="shared" si="26"/>
        <v>2.8840315031266094E-11</v>
      </c>
      <c r="M189" s="26"/>
      <c r="N189" s="17"/>
      <c r="O189" s="9">
        <f t="shared" si="25"/>
        <v>-17.5</v>
      </c>
      <c r="P189" s="8">
        <f>D188/B188*10^(O189/10)</f>
        <v>0.34972828397432149</v>
      </c>
      <c r="Q189" s="26"/>
      <c r="R189" s="17"/>
      <c r="S189" s="19"/>
      <c r="T189" s="17"/>
      <c r="U189" s="22"/>
    </row>
    <row r="190" spans="1:21" x14ac:dyDescent="0.25">
      <c r="A190" s="24"/>
      <c r="B190" s="24"/>
      <c r="C190" s="17"/>
      <c r="D190" s="24"/>
      <c r="E190" s="24"/>
      <c r="F190" s="25"/>
      <c r="G190" s="1">
        <v>475</v>
      </c>
      <c r="H190" s="2">
        <v>90</v>
      </c>
      <c r="I190" s="2">
        <v>-16.5</v>
      </c>
      <c r="J190" s="2">
        <v>-17.600000000000001</v>
      </c>
      <c r="K190" s="2">
        <f t="shared" si="23"/>
        <v>-16.5</v>
      </c>
      <c r="L190" s="8">
        <f>10^((K190-H190)/10)</f>
        <v>2.238721138568329E-11</v>
      </c>
      <c r="M190" s="26"/>
      <c r="N190" s="17"/>
      <c r="O190" s="9">
        <f t="shared" si="25"/>
        <v>-17.600000000000001</v>
      </c>
      <c r="P190" s="8">
        <f>D188/B188*10^(O190/10)</f>
        <v>0.34176749632071018</v>
      </c>
      <c r="Q190" s="26"/>
      <c r="R190" s="17"/>
      <c r="S190" s="19"/>
      <c r="T190" s="17"/>
      <c r="U190" s="22"/>
    </row>
    <row r="191" spans="1:21" x14ac:dyDescent="0.25">
      <c r="A191" s="24"/>
      <c r="B191" s="24"/>
      <c r="C191" s="17"/>
      <c r="D191" s="24"/>
      <c r="E191" s="24"/>
      <c r="F191" s="25"/>
      <c r="G191" s="1">
        <v>575</v>
      </c>
      <c r="H191" s="2">
        <v>97</v>
      </c>
      <c r="I191" s="2">
        <v>-13</v>
      </c>
      <c r="J191" s="2">
        <v>-19</v>
      </c>
      <c r="K191" s="2">
        <f t="shared" si="23"/>
        <v>-13</v>
      </c>
      <c r="L191" s="8">
        <f t="shared" ref="L191:L217" si="27">10^((K191-H191)/10)</f>
        <v>9.9999999999999994E-12</v>
      </c>
      <c r="M191" s="26"/>
      <c r="N191" s="17"/>
      <c r="O191" s="9">
        <f t="shared" si="25"/>
        <v>-19</v>
      </c>
      <c r="P191" s="8">
        <f>D188/B188*10^(O191/10)</f>
        <v>0.24758866431951942</v>
      </c>
      <c r="Q191" s="26"/>
      <c r="R191" s="17"/>
      <c r="S191" s="19"/>
      <c r="T191" s="17"/>
      <c r="U191" s="22"/>
    </row>
    <row r="192" spans="1:21" x14ac:dyDescent="0.25">
      <c r="A192" s="24"/>
      <c r="B192" s="24"/>
      <c r="C192" s="17"/>
      <c r="D192" s="24"/>
      <c r="E192" s="24"/>
      <c r="F192" s="25"/>
      <c r="G192" s="1">
        <v>625</v>
      </c>
      <c r="H192" s="2">
        <v>92</v>
      </c>
      <c r="I192" s="2">
        <v>-14</v>
      </c>
      <c r="J192" s="2">
        <v>-19.100000000000001</v>
      </c>
      <c r="K192" s="2">
        <f t="shared" si="23"/>
        <v>-14</v>
      </c>
      <c r="L192" s="8">
        <f t="shared" si="27"/>
        <v>2.5118864315095759E-11</v>
      </c>
      <c r="M192" s="26"/>
      <c r="N192" s="17"/>
      <c r="O192" s="9">
        <f t="shared" si="25"/>
        <v>-19.100000000000001</v>
      </c>
      <c r="P192" s="8">
        <f>D188/B188*10^(O192/10)</f>
        <v>0.24195285825976826</v>
      </c>
      <c r="Q192" s="26"/>
      <c r="R192" s="17"/>
      <c r="S192" s="19"/>
      <c r="T192" s="17"/>
      <c r="U192" s="22"/>
    </row>
    <row r="193" spans="1:21" x14ac:dyDescent="0.25">
      <c r="A193" s="24"/>
      <c r="B193" s="24"/>
      <c r="C193" s="17"/>
      <c r="D193" s="24"/>
      <c r="E193" s="24"/>
      <c r="F193" s="25"/>
      <c r="G193" s="1">
        <v>675</v>
      </c>
      <c r="H193" s="2">
        <v>94.5</v>
      </c>
      <c r="I193" s="2">
        <v>-17.600000000000001</v>
      </c>
      <c r="J193" s="2">
        <v>-18</v>
      </c>
      <c r="K193" s="2">
        <f t="shared" si="23"/>
        <v>-17.600000000000001</v>
      </c>
      <c r="L193" s="8">
        <f t="shared" si="27"/>
        <v>6.1659500186148244E-12</v>
      </c>
      <c r="M193" s="26"/>
      <c r="N193" s="17"/>
      <c r="O193" s="9">
        <f t="shared" si="25"/>
        <v>-18</v>
      </c>
      <c r="P193" s="8">
        <f>D188/B188*10^(O193/10)</f>
        <v>0.31169566118401881</v>
      </c>
      <c r="Q193" s="26"/>
      <c r="R193" s="17"/>
      <c r="S193" s="20"/>
      <c r="T193" s="17"/>
      <c r="U193" s="23"/>
    </row>
    <row r="194" spans="1:21" x14ac:dyDescent="0.25">
      <c r="A194" s="24">
        <v>1000</v>
      </c>
      <c r="B194" s="24">
        <v>3</v>
      </c>
      <c r="C194" s="17">
        <v>0.5</v>
      </c>
      <c r="D194" s="24">
        <v>117</v>
      </c>
      <c r="E194" s="24">
        <v>6</v>
      </c>
      <c r="F194" s="25">
        <v>76</v>
      </c>
      <c r="G194" s="1">
        <v>875</v>
      </c>
      <c r="H194" s="2">
        <v>91.1</v>
      </c>
      <c r="I194" s="2">
        <v>-16.5</v>
      </c>
      <c r="J194" s="2">
        <v>-22.2</v>
      </c>
      <c r="K194" s="2">
        <f t="shared" si="23"/>
        <v>-16.5</v>
      </c>
      <c r="L194" s="8">
        <f t="shared" si="27"/>
        <v>1.7378008287493749E-11</v>
      </c>
      <c r="M194" s="26">
        <f>SUM(L194:L199)</f>
        <v>3.9570856363584558E-11</v>
      </c>
      <c r="N194" s="17">
        <f>10*LOG10(M194/E194)</f>
        <v>-111.80775801331797</v>
      </c>
      <c r="O194" s="9">
        <f t="shared" si="25"/>
        <v>-22.2</v>
      </c>
      <c r="P194" s="8">
        <f>D194/B194*10^(O194/10)</f>
        <v>0.23499823856899951</v>
      </c>
      <c r="Q194" s="26">
        <f>SUM(P194:P199)</f>
        <v>3.1815863105390108</v>
      </c>
      <c r="R194" s="17">
        <f>10*LOG10(Q194)</f>
        <v>5.0264370933631017</v>
      </c>
      <c r="S194" s="18">
        <f>F194+N194-Kzt-H</f>
        <v>-35.807758013317965</v>
      </c>
      <c r="T194" s="17">
        <v>0.8</v>
      </c>
      <c r="U194" s="21">
        <f>T194*10^((S194-R194)/10)</f>
        <v>6.6019233282475849E-5</v>
      </c>
    </row>
    <row r="195" spans="1:21" x14ac:dyDescent="0.25">
      <c r="A195" s="24"/>
      <c r="B195" s="24"/>
      <c r="C195" s="17"/>
      <c r="D195" s="24"/>
      <c r="E195" s="24"/>
      <c r="F195" s="25"/>
      <c r="G195" s="1">
        <v>975</v>
      </c>
      <c r="H195" s="2">
        <v>96.5</v>
      </c>
      <c r="I195" s="2">
        <v>-14.4</v>
      </c>
      <c r="J195" s="2">
        <v>-16.3</v>
      </c>
      <c r="K195" s="2">
        <f t="shared" si="23"/>
        <v>-14.4</v>
      </c>
      <c r="L195" s="8">
        <f t="shared" si="27"/>
        <v>8.1283051616409864E-12</v>
      </c>
      <c r="M195" s="26"/>
      <c r="N195" s="17"/>
      <c r="O195" s="9">
        <f t="shared" si="25"/>
        <v>-16.3</v>
      </c>
      <c r="P195" s="8">
        <f>D194/B194*10^(O195/10)</f>
        <v>0.91424923797476931</v>
      </c>
      <c r="Q195" s="26"/>
      <c r="R195" s="17"/>
      <c r="S195" s="19"/>
      <c r="T195" s="17"/>
      <c r="U195" s="22"/>
    </row>
    <row r="196" spans="1:21" x14ac:dyDescent="0.25">
      <c r="A196" s="24"/>
      <c r="B196" s="24"/>
      <c r="C196" s="17"/>
      <c r="D196" s="24"/>
      <c r="E196" s="24"/>
      <c r="F196" s="25"/>
      <c r="G196" s="1">
        <v>1075</v>
      </c>
      <c r="H196" s="2">
        <v>94.6</v>
      </c>
      <c r="I196" s="2">
        <v>-18.900000000000002</v>
      </c>
      <c r="J196" s="2">
        <v>-19.3</v>
      </c>
      <c r="K196" s="2">
        <f t="shared" si="23"/>
        <v>-18.900000000000002</v>
      </c>
      <c r="L196" s="8">
        <f t="shared" si="27"/>
        <v>4.4668359215096234E-12</v>
      </c>
      <c r="M196" s="26"/>
      <c r="N196" s="17"/>
      <c r="O196" s="9">
        <f t="shared" si="25"/>
        <v>-19.3</v>
      </c>
      <c r="P196" s="8">
        <f>D194/B194*10^(O196/10)</f>
        <v>0.45821004642641605</v>
      </c>
      <c r="Q196" s="26"/>
      <c r="R196" s="17"/>
      <c r="S196" s="19"/>
      <c r="T196" s="17"/>
      <c r="U196" s="22"/>
    </row>
    <row r="197" spans="1:21" x14ac:dyDescent="0.25">
      <c r="A197" s="24"/>
      <c r="B197" s="24"/>
      <c r="C197" s="17"/>
      <c r="D197" s="24"/>
      <c r="E197" s="24"/>
      <c r="F197" s="25"/>
      <c r="G197" s="1">
        <v>1175</v>
      </c>
      <c r="H197" s="2">
        <v>97.8</v>
      </c>
      <c r="I197" s="2">
        <v>-14.2</v>
      </c>
      <c r="J197" s="2">
        <v>-21.1</v>
      </c>
      <c r="K197" s="2">
        <f t="shared" si="23"/>
        <v>-14.2</v>
      </c>
      <c r="L197" s="8">
        <f t="shared" si="27"/>
        <v>6.3095734448019345E-12</v>
      </c>
      <c r="M197" s="26"/>
      <c r="N197" s="17"/>
      <c r="O197" s="9">
        <f t="shared" si="25"/>
        <v>-21.1</v>
      </c>
      <c r="P197" s="8">
        <f>D194/B194*10^(O197/10)</f>
        <v>0.30273637548518945</v>
      </c>
      <c r="Q197" s="26"/>
      <c r="R197" s="17"/>
      <c r="S197" s="19"/>
      <c r="T197" s="17"/>
      <c r="U197" s="22"/>
    </row>
    <row r="198" spans="1:21" x14ac:dyDescent="0.25">
      <c r="A198" s="24"/>
      <c r="B198" s="24"/>
      <c r="C198" s="17"/>
      <c r="D198" s="24"/>
      <c r="E198" s="24"/>
      <c r="F198" s="25"/>
      <c r="G198" s="1">
        <v>1275</v>
      </c>
      <c r="H198" s="2">
        <v>100.1</v>
      </c>
      <c r="I198" s="2">
        <v>-15.899999999999999</v>
      </c>
      <c r="J198" s="2">
        <v>-16.7</v>
      </c>
      <c r="K198" s="2">
        <f t="shared" si="23"/>
        <v>-15.899999999999999</v>
      </c>
      <c r="L198" s="8">
        <f t="shared" si="27"/>
        <v>2.5118864315095726E-12</v>
      </c>
      <c r="M198" s="26"/>
      <c r="N198" s="17"/>
      <c r="O198" s="9">
        <f t="shared" si="25"/>
        <v>-16.7</v>
      </c>
      <c r="P198" s="8">
        <f>D194/B194*10^(O198/10)</f>
        <v>0.83380521490587056</v>
      </c>
      <c r="Q198" s="26"/>
      <c r="R198" s="17"/>
      <c r="S198" s="19"/>
      <c r="T198" s="17"/>
      <c r="U198" s="22"/>
    </row>
    <row r="199" spans="1:21" x14ac:dyDescent="0.25">
      <c r="A199" s="24"/>
      <c r="B199" s="24"/>
      <c r="C199" s="17"/>
      <c r="D199" s="24"/>
      <c r="E199" s="24"/>
      <c r="F199" s="25"/>
      <c r="G199" s="1">
        <v>1375</v>
      </c>
      <c r="H199" s="2">
        <v>103</v>
      </c>
      <c r="I199" s="2">
        <v>-18.100000000000001</v>
      </c>
      <c r="J199" s="2">
        <v>-19.5</v>
      </c>
      <c r="K199" s="2">
        <f t="shared" si="23"/>
        <v>-18.100000000000001</v>
      </c>
      <c r="L199" s="8">
        <f t="shared" si="27"/>
        <v>7.7624711662869047E-13</v>
      </c>
      <c r="M199" s="26"/>
      <c r="N199" s="17"/>
      <c r="O199" s="9">
        <f t="shared" si="25"/>
        <v>-19.5</v>
      </c>
      <c r="P199" s="8">
        <f>D194/B194*10^(O199/10)</f>
        <v>0.43758719717776573</v>
      </c>
      <c r="Q199" s="26"/>
      <c r="R199" s="17"/>
      <c r="S199" s="20"/>
      <c r="T199" s="17"/>
      <c r="U199" s="23"/>
    </row>
    <row r="200" spans="1:21" x14ac:dyDescent="0.25">
      <c r="A200" s="24">
        <v>2000</v>
      </c>
      <c r="B200" s="24">
        <v>3</v>
      </c>
      <c r="C200" s="17">
        <v>0.5</v>
      </c>
      <c r="D200" s="24">
        <v>234</v>
      </c>
      <c r="E200" s="24">
        <v>6</v>
      </c>
      <c r="F200" s="25">
        <v>68</v>
      </c>
      <c r="G200" s="1">
        <v>1425</v>
      </c>
      <c r="H200" s="2">
        <v>102.8</v>
      </c>
      <c r="I200" s="2">
        <v>-13.8</v>
      </c>
      <c r="J200" s="2">
        <v>-18.8</v>
      </c>
      <c r="K200" s="2">
        <f t="shared" si="23"/>
        <v>-13.8</v>
      </c>
      <c r="L200" s="8">
        <f t="shared" si="27"/>
        <v>2.1877616239495474E-12</v>
      </c>
      <c r="M200" s="26">
        <f>SUM(L200:L205)</f>
        <v>1.5654928475328696E-11</v>
      </c>
      <c r="N200" s="17">
        <f>10*LOG10(M200/E200)</f>
        <v>-115.83500162642848</v>
      </c>
      <c r="O200" s="9">
        <f t="shared" si="25"/>
        <v>-18.8</v>
      </c>
      <c r="P200" s="8">
        <f>D200/B200*10^(O200/10)</f>
        <v>1.0282402560739967</v>
      </c>
      <c r="Q200" s="26">
        <f>SUM(P200:P205)</f>
        <v>5.7674294492175298</v>
      </c>
      <c r="R200" s="17">
        <f>10*LOG10(Q200)</f>
        <v>7.6098229066553289</v>
      </c>
      <c r="S200" s="18">
        <f>F200+N200-Kzt-H</f>
        <v>-47.835001626428479</v>
      </c>
      <c r="T200" s="17">
        <v>1</v>
      </c>
      <c r="U200" s="21">
        <f>T200*10^((S200-R200)/10)</f>
        <v>2.8544178377887316E-6</v>
      </c>
    </row>
    <row r="201" spans="1:21" x14ac:dyDescent="0.25">
      <c r="A201" s="24"/>
      <c r="B201" s="24"/>
      <c r="C201" s="17"/>
      <c r="D201" s="24"/>
      <c r="E201" s="24"/>
      <c r="F201" s="25"/>
      <c r="G201" s="1">
        <v>1625</v>
      </c>
      <c r="H201" s="2">
        <v>104.1</v>
      </c>
      <c r="I201" s="2">
        <v>-15</v>
      </c>
      <c r="J201" s="2">
        <v>-20.399999999999999</v>
      </c>
      <c r="K201" s="2">
        <f t="shared" si="23"/>
        <v>-15</v>
      </c>
      <c r="L201" s="8">
        <f t="shared" si="27"/>
        <v>1.2302687708123772E-12</v>
      </c>
      <c r="M201" s="26"/>
      <c r="N201" s="17"/>
      <c r="O201" s="9">
        <f t="shared" si="25"/>
        <v>-20.399999999999999</v>
      </c>
      <c r="P201" s="8">
        <f>D200/B200*10^(O201/10)</f>
        <v>0.7113684546976089</v>
      </c>
      <c r="Q201" s="26"/>
      <c r="R201" s="17"/>
      <c r="S201" s="19"/>
      <c r="T201" s="17"/>
      <c r="U201" s="22"/>
    </row>
    <row r="202" spans="1:21" x14ac:dyDescent="0.25">
      <c r="A202" s="24"/>
      <c r="B202" s="24"/>
      <c r="C202" s="17"/>
      <c r="D202" s="24"/>
      <c r="E202" s="24"/>
      <c r="F202" s="25"/>
      <c r="G202" s="1">
        <v>1825</v>
      </c>
      <c r="H202" s="2">
        <v>107.6</v>
      </c>
      <c r="I202" s="2">
        <v>-11.9</v>
      </c>
      <c r="J202" s="2">
        <v>-20.100000000000001</v>
      </c>
      <c r="K202" s="2">
        <f t="shared" si="23"/>
        <v>-11.9</v>
      </c>
      <c r="L202" s="8">
        <f t="shared" si="27"/>
        <v>1.122018454301964E-12</v>
      </c>
      <c r="M202" s="26"/>
      <c r="N202" s="17"/>
      <c r="O202" s="9">
        <f t="shared" si="25"/>
        <v>-20.100000000000001</v>
      </c>
      <c r="P202" s="8">
        <f>D200/B200*10^(O202/10)</f>
        <v>0.76224503234553143</v>
      </c>
      <c r="Q202" s="26"/>
      <c r="R202" s="17"/>
      <c r="S202" s="19"/>
      <c r="T202" s="17"/>
      <c r="U202" s="22"/>
    </row>
    <row r="203" spans="1:21" x14ac:dyDescent="0.25">
      <c r="A203" s="24"/>
      <c r="B203" s="24"/>
      <c r="C203" s="17"/>
      <c r="D203" s="24"/>
      <c r="E203" s="24"/>
      <c r="F203" s="25"/>
      <c r="G203" s="1">
        <v>2125</v>
      </c>
      <c r="H203" s="2">
        <v>104.2</v>
      </c>
      <c r="I203" s="2">
        <v>-17.3</v>
      </c>
      <c r="J203" s="2">
        <v>-17.3</v>
      </c>
      <c r="K203" s="2">
        <f t="shared" si="23"/>
        <v>-17.3</v>
      </c>
      <c r="L203" s="8">
        <f t="shared" si="27"/>
        <v>7.0794578438413455E-13</v>
      </c>
      <c r="M203" s="26"/>
      <c r="N203" s="17"/>
      <c r="O203" s="9">
        <f t="shared" si="25"/>
        <v>-17.3</v>
      </c>
      <c r="P203" s="8">
        <f>D200/B200*10^(O203/10)</f>
        <v>1.4524279665970361</v>
      </c>
      <c r="Q203" s="26"/>
      <c r="R203" s="17"/>
      <c r="S203" s="19"/>
      <c r="T203" s="17"/>
      <c r="U203" s="22"/>
    </row>
    <row r="204" spans="1:21" x14ac:dyDescent="0.25">
      <c r="A204" s="24"/>
      <c r="B204" s="24"/>
      <c r="C204" s="17"/>
      <c r="D204" s="24"/>
      <c r="E204" s="24"/>
      <c r="F204" s="25"/>
      <c r="G204" s="1">
        <v>2425</v>
      </c>
      <c r="H204" s="2">
        <v>93.7</v>
      </c>
      <c r="I204" s="2">
        <v>-17.100000000000001</v>
      </c>
      <c r="J204" s="2">
        <v>-18.5</v>
      </c>
      <c r="K204" s="2">
        <f t="shared" si="23"/>
        <v>-17.100000000000001</v>
      </c>
      <c r="L204" s="8">
        <f t="shared" si="27"/>
        <v>8.3176377110266455E-12</v>
      </c>
      <c r="M204" s="26"/>
      <c r="N204" s="17"/>
      <c r="O204" s="9">
        <f t="shared" si="25"/>
        <v>-18.5</v>
      </c>
      <c r="P204" s="8">
        <f>D200/B200*10^(O204/10)</f>
        <v>1.1017792848057473</v>
      </c>
      <c r="Q204" s="26"/>
      <c r="R204" s="17"/>
      <c r="S204" s="19"/>
      <c r="T204" s="17"/>
      <c r="U204" s="22"/>
    </row>
    <row r="205" spans="1:21" x14ac:dyDescent="0.25">
      <c r="A205" s="24"/>
      <c r="B205" s="24"/>
      <c r="C205" s="17"/>
      <c r="D205" s="24"/>
      <c r="E205" s="24"/>
      <c r="F205" s="25"/>
      <c r="G205" s="1">
        <v>2775</v>
      </c>
      <c r="H205" s="2">
        <v>100.2</v>
      </c>
      <c r="I205" s="2">
        <v>-16.600000000000001</v>
      </c>
      <c r="J205" s="2">
        <v>-20.399999999999999</v>
      </c>
      <c r="K205" s="2">
        <f t="shared" si="23"/>
        <v>-16.600000000000001</v>
      </c>
      <c r="L205" s="8">
        <f t="shared" si="27"/>
        <v>2.0892961308540277E-12</v>
      </c>
      <c r="M205" s="26"/>
      <c r="N205" s="17"/>
      <c r="O205" s="9">
        <f t="shared" si="25"/>
        <v>-20.399999999999999</v>
      </c>
      <c r="P205" s="8">
        <f>D200/B200*10^(O205/10)</f>
        <v>0.7113684546976089</v>
      </c>
      <c r="Q205" s="26"/>
      <c r="R205" s="17"/>
      <c r="S205" s="20"/>
      <c r="T205" s="17"/>
      <c r="U205" s="23"/>
    </row>
    <row r="206" spans="1:21" x14ac:dyDescent="0.25">
      <c r="A206" s="24">
        <v>4000</v>
      </c>
      <c r="B206" s="24">
        <v>3</v>
      </c>
      <c r="C206" s="17">
        <v>0.5</v>
      </c>
      <c r="D206" s="24">
        <v>470</v>
      </c>
      <c r="E206" s="24">
        <v>6</v>
      </c>
      <c r="F206" s="25">
        <v>62</v>
      </c>
      <c r="G206" s="1">
        <v>2825</v>
      </c>
      <c r="H206" s="2">
        <v>99.4</v>
      </c>
      <c r="I206" s="2">
        <v>-17</v>
      </c>
      <c r="J206" s="2">
        <v>-22</v>
      </c>
      <c r="K206" s="2">
        <f t="shared" si="23"/>
        <v>-17</v>
      </c>
      <c r="L206" s="8">
        <f t="shared" si="27"/>
        <v>2.2908676527677675E-12</v>
      </c>
      <c r="M206" s="26">
        <f>SUM(L206:L211)</f>
        <v>1.3138973824531474E-11</v>
      </c>
      <c r="N206" s="17">
        <f>10*LOG10(M206/E206)</f>
        <v>-116.59589802948807</v>
      </c>
      <c r="O206" s="9">
        <f t="shared" si="25"/>
        <v>-22</v>
      </c>
      <c r="P206" s="8">
        <f>D206/B206*10^(O206/10)</f>
        <v>0.98849983968563482</v>
      </c>
      <c r="Q206" s="26">
        <f>SUM(P206:P211)</f>
        <v>7.5987874956314121</v>
      </c>
      <c r="R206" s="17">
        <f>10*LOG10(Q206)</f>
        <v>8.8074429939044343</v>
      </c>
      <c r="S206" s="18">
        <f>F206+N206-Kzt-H</f>
        <v>-54.595898029488069</v>
      </c>
      <c r="T206" s="17">
        <v>0.9</v>
      </c>
      <c r="U206" s="21">
        <f>T206*10^((S206-R206)/10)</f>
        <v>4.1106301858809214E-7</v>
      </c>
    </row>
    <row r="207" spans="1:21" x14ac:dyDescent="0.25">
      <c r="A207" s="24"/>
      <c r="B207" s="24"/>
      <c r="C207" s="17"/>
      <c r="D207" s="24"/>
      <c r="E207" s="24"/>
      <c r="F207" s="25"/>
      <c r="G207" s="1">
        <v>3425</v>
      </c>
      <c r="H207" s="2">
        <v>103.5</v>
      </c>
      <c r="I207" s="2">
        <v>-16.600000000000001</v>
      </c>
      <c r="J207" s="2">
        <v>-19.899999999999999</v>
      </c>
      <c r="K207" s="2">
        <f t="shared" si="23"/>
        <v>-16.600000000000001</v>
      </c>
      <c r="L207" s="8">
        <f t="shared" si="27"/>
        <v>9.7723722095580816E-13</v>
      </c>
      <c r="M207" s="26"/>
      <c r="N207" s="17"/>
      <c r="O207" s="9">
        <f t="shared" si="25"/>
        <v>-19.899999999999999</v>
      </c>
      <c r="P207" s="8">
        <f>D206/B206*10^(O207/10)</f>
        <v>1.6031590212398485</v>
      </c>
      <c r="Q207" s="26"/>
      <c r="R207" s="17"/>
      <c r="S207" s="19"/>
      <c r="T207" s="17"/>
      <c r="U207" s="22"/>
    </row>
    <row r="208" spans="1:21" x14ac:dyDescent="0.25">
      <c r="A208" s="24"/>
      <c r="B208" s="24"/>
      <c r="C208" s="17"/>
      <c r="D208" s="24"/>
      <c r="E208" s="24"/>
      <c r="F208" s="25"/>
      <c r="G208" s="1">
        <v>4025</v>
      </c>
      <c r="H208" s="2">
        <v>103.6</v>
      </c>
      <c r="I208" s="2">
        <v>-16.2</v>
      </c>
      <c r="J208" s="2">
        <v>-23</v>
      </c>
      <c r="K208" s="2">
        <f t="shared" si="23"/>
        <v>-16.2</v>
      </c>
      <c r="L208" s="8">
        <f t="shared" si="27"/>
        <v>1.0471285480508967E-12</v>
      </c>
      <c r="M208" s="26"/>
      <c r="N208" s="17"/>
      <c r="O208" s="9">
        <f t="shared" si="25"/>
        <v>-23</v>
      </c>
      <c r="P208" s="8">
        <f>D206/B206*10^(O208/10)</f>
        <v>0.78519333268272629</v>
      </c>
      <c r="Q208" s="26"/>
      <c r="R208" s="17"/>
      <c r="S208" s="19"/>
      <c r="T208" s="17"/>
      <c r="U208" s="22"/>
    </row>
    <row r="209" spans="1:21" x14ac:dyDescent="0.25">
      <c r="A209" s="24"/>
      <c r="B209" s="24"/>
      <c r="C209" s="17"/>
      <c r="D209" s="24"/>
      <c r="E209" s="24"/>
      <c r="F209" s="25"/>
      <c r="G209" s="1">
        <v>4625</v>
      </c>
      <c r="H209" s="2">
        <v>105.6</v>
      </c>
      <c r="I209" s="2">
        <v>-15.9</v>
      </c>
      <c r="J209" s="2">
        <v>-19.899999999999999</v>
      </c>
      <c r="K209" s="2">
        <f t="shared" si="23"/>
        <v>-15.9</v>
      </c>
      <c r="L209" s="8">
        <f t="shared" si="27"/>
        <v>7.0794578438413455E-13</v>
      </c>
      <c r="M209" s="26"/>
      <c r="N209" s="17"/>
      <c r="O209" s="9">
        <f t="shared" si="25"/>
        <v>-19.899999999999999</v>
      </c>
      <c r="P209" s="8">
        <f>D206/B206*10^(O209/10)</f>
        <v>1.6031590212398485</v>
      </c>
      <c r="Q209" s="26"/>
      <c r="R209" s="17"/>
      <c r="S209" s="19"/>
      <c r="T209" s="17"/>
      <c r="U209" s="22"/>
    </row>
    <row r="210" spans="1:21" x14ac:dyDescent="0.25">
      <c r="A210" s="24"/>
      <c r="B210" s="24"/>
      <c r="C210" s="17"/>
      <c r="D210" s="24"/>
      <c r="E210" s="24"/>
      <c r="F210" s="25"/>
      <c r="G210" s="1">
        <v>5225</v>
      </c>
      <c r="H210" s="2">
        <v>103.5</v>
      </c>
      <c r="I210" s="2">
        <v>-13.6</v>
      </c>
      <c r="J210" s="2">
        <v>-19.5</v>
      </c>
      <c r="K210" s="2">
        <f t="shared" si="23"/>
        <v>-13.6</v>
      </c>
      <c r="L210" s="8">
        <f t="shared" si="27"/>
        <v>1.9498445997580419E-12</v>
      </c>
      <c r="M210" s="26"/>
      <c r="N210" s="17"/>
      <c r="O210" s="9">
        <f t="shared" si="25"/>
        <v>-19.5</v>
      </c>
      <c r="P210" s="8">
        <f>D206/B206*10^(O210/10)</f>
        <v>1.7578289117397425</v>
      </c>
      <c r="Q210" s="26"/>
      <c r="R210" s="17"/>
      <c r="S210" s="19"/>
      <c r="T210" s="17"/>
      <c r="U210" s="22"/>
    </row>
    <row r="211" spans="1:21" x14ac:dyDescent="0.25">
      <c r="A211" s="24"/>
      <c r="B211" s="24"/>
      <c r="C211" s="17"/>
      <c r="D211" s="24"/>
      <c r="E211" s="24"/>
      <c r="F211" s="25"/>
      <c r="G211" s="1">
        <v>5625</v>
      </c>
      <c r="H211" s="2">
        <v>99.5</v>
      </c>
      <c r="I211" s="2">
        <v>-12.6</v>
      </c>
      <c r="J211" s="2">
        <v>-22.6</v>
      </c>
      <c r="K211" s="2">
        <f t="shared" si="23"/>
        <v>-12.6</v>
      </c>
      <c r="L211" s="8">
        <f t="shared" si="27"/>
        <v>6.1659500186148244E-12</v>
      </c>
      <c r="M211" s="26"/>
      <c r="N211" s="17"/>
      <c r="O211" s="9">
        <f t="shared" si="25"/>
        <v>-22.6</v>
      </c>
      <c r="P211" s="8">
        <f>D206/B206*10^(O211/10)</f>
        <v>0.86094736904361124</v>
      </c>
      <c r="Q211" s="26"/>
      <c r="R211" s="17"/>
      <c r="S211" s="20"/>
      <c r="T211" s="17"/>
      <c r="U211" s="23"/>
    </row>
    <row r="212" spans="1:21" x14ac:dyDescent="0.25">
      <c r="A212" s="24">
        <v>8000</v>
      </c>
      <c r="B212" s="24">
        <v>3</v>
      </c>
      <c r="C212" s="17">
        <v>0.5</v>
      </c>
      <c r="D212" s="24">
        <v>943</v>
      </c>
      <c r="E212" s="24">
        <v>6</v>
      </c>
      <c r="F212" s="25">
        <v>54</v>
      </c>
      <c r="G212" s="1">
        <v>6025</v>
      </c>
      <c r="H212" s="2">
        <v>95</v>
      </c>
      <c r="I212" s="2">
        <v>-17.100000000000001</v>
      </c>
      <c r="J212" s="2">
        <v>-22.3</v>
      </c>
      <c r="K212" s="2">
        <f t="shared" si="23"/>
        <v>-17.100000000000001</v>
      </c>
      <c r="L212" s="8">
        <f t="shared" si="27"/>
        <v>6.1659500186148244E-12</v>
      </c>
      <c r="M212" s="26">
        <f>SUM(L212:L217)</f>
        <v>2.2404452303785007E-10</v>
      </c>
      <c r="N212" s="17">
        <f>10*LOG10(M212/E212)</f>
        <v>-104.27816918709064</v>
      </c>
      <c r="O212" s="9">
        <f t="shared" si="25"/>
        <v>-22.3</v>
      </c>
      <c r="P212" s="8">
        <f>D212/B212*10^(O212/10)</f>
        <v>1.8509318900010678</v>
      </c>
      <c r="Q212" s="26">
        <f>SUM(P212:P217)</f>
        <v>7.4586190565655706</v>
      </c>
      <c r="R212" s="17">
        <f>10*LOG10(Q212)</f>
        <v>8.7265842644991558</v>
      </c>
      <c r="S212" s="18">
        <f>F212+N212-Kzt-H</f>
        <v>-50.27816918709064</v>
      </c>
      <c r="T212" s="17">
        <v>0.7</v>
      </c>
      <c r="U212" s="21">
        <f>T212*10^((S212-R212)/10)</f>
        <v>8.8028377023356537E-7</v>
      </c>
    </row>
    <row r="213" spans="1:21" x14ac:dyDescent="0.25">
      <c r="A213" s="24"/>
      <c r="B213" s="24"/>
      <c r="C213" s="17"/>
      <c r="D213" s="24"/>
      <c r="E213" s="24"/>
      <c r="F213" s="25"/>
      <c r="G213" s="1">
        <v>7025</v>
      </c>
      <c r="H213" s="2">
        <v>94.8</v>
      </c>
      <c r="I213" s="2">
        <v>-13.3</v>
      </c>
      <c r="J213" s="2">
        <v>-25.2</v>
      </c>
      <c r="K213" s="2">
        <f t="shared" si="23"/>
        <v>-13.3</v>
      </c>
      <c r="L213" s="8">
        <f t="shared" si="27"/>
        <v>1.5488166189124818E-11</v>
      </c>
      <c r="M213" s="26"/>
      <c r="N213" s="17"/>
      <c r="O213" s="9">
        <f t="shared" si="25"/>
        <v>-25.2</v>
      </c>
      <c r="P213" s="8">
        <f>D212/B212*10^(O213/10)</f>
        <v>0.94927149077969952</v>
      </c>
      <c r="Q213" s="26"/>
      <c r="R213" s="17"/>
      <c r="S213" s="19"/>
      <c r="T213" s="17"/>
      <c r="U213" s="22"/>
    </row>
    <row r="214" spans="1:21" x14ac:dyDescent="0.25">
      <c r="A214" s="24"/>
      <c r="B214" s="24"/>
      <c r="C214" s="17"/>
      <c r="D214" s="24"/>
      <c r="E214" s="24"/>
      <c r="F214" s="25"/>
      <c r="G214" s="1">
        <v>8025</v>
      </c>
      <c r="H214" s="2">
        <v>101.9</v>
      </c>
      <c r="I214" s="2">
        <v>-11.1</v>
      </c>
      <c r="J214" s="2">
        <v>-24.3</v>
      </c>
      <c r="K214" s="2">
        <f t="shared" si="23"/>
        <v>-11.1</v>
      </c>
      <c r="L214" s="8">
        <f t="shared" si="27"/>
        <v>5.0118723362726945E-12</v>
      </c>
      <c r="M214" s="26"/>
      <c r="N214" s="17"/>
      <c r="O214" s="9">
        <f t="shared" si="25"/>
        <v>-24.3</v>
      </c>
      <c r="P214" s="8">
        <f>D212/B212*10^(O214/10)</f>
        <v>1.1678590701287779</v>
      </c>
      <c r="Q214" s="26"/>
      <c r="R214" s="17"/>
      <c r="S214" s="19"/>
      <c r="T214" s="17"/>
      <c r="U214" s="22"/>
    </row>
    <row r="215" spans="1:21" x14ac:dyDescent="0.25">
      <c r="A215" s="24"/>
      <c r="B215" s="24"/>
      <c r="C215" s="17"/>
      <c r="D215" s="24"/>
      <c r="E215" s="24"/>
      <c r="F215" s="25"/>
      <c r="G215" s="1">
        <v>9025</v>
      </c>
      <c r="H215" s="2">
        <v>93.2</v>
      </c>
      <c r="I215" s="2">
        <v>-14.4</v>
      </c>
      <c r="J215" s="2">
        <v>-24.2</v>
      </c>
      <c r="K215" s="2">
        <f t="shared" si="23"/>
        <v>-14.4</v>
      </c>
      <c r="L215" s="8">
        <f t="shared" si="27"/>
        <v>1.7378008287493627E-11</v>
      </c>
      <c r="M215" s="26"/>
      <c r="N215" s="17"/>
      <c r="O215" s="9">
        <f t="shared" si="25"/>
        <v>-24.2</v>
      </c>
      <c r="P215" s="8">
        <f>D212/B212*10^(O215/10)</f>
        <v>1.1950620024342973</v>
      </c>
      <c r="Q215" s="26"/>
      <c r="R215" s="17"/>
      <c r="S215" s="19"/>
      <c r="T215" s="17"/>
      <c r="U215" s="22"/>
    </row>
    <row r="216" spans="1:21" x14ac:dyDescent="0.25">
      <c r="A216" s="24"/>
      <c r="B216" s="24"/>
      <c r="C216" s="17"/>
      <c r="D216" s="24"/>
      <c r="E216" s="24"/>
      <c r="F216" s="25"/>
      <c r="G216" s="1">
        <v>10025</v>
      </c>
      <c r="H216" s="2">
        <v>88.3</v>
      </c>
      <c r="I216" s="2">
        <v>-17.7</v>
      </c>
      <c r="J216" s="2">
        <v>-23</v>
      </c>
      <c r="K216" s="2">
        <f t="shared" si="23"/>
        <v>-17.7</v>
      </c>
      <c r="L216" s="8">
        <f t="shared" si="27"/>
        <v>2.5118864315095759E-11</v>
      </c>
      <c r="M216" s="26"/>
      <c r="N216" s="17"/>
      <c r="O216" s="9">
        <f t="shared" si="25"/>
        <v>-23</v>
      </c>
      <c r="P216" s="8">
        <f>D212/B212*10^(O216/10)</f>
        <v>1.5753985377017252</v>
      </c>
      <c r="Q216" s="26"/>
      <c r="R216" s="17"/>
      <c r="S216" s="19"/>
      <c r="T216" s="17"/>
      <c r="U216" s="22"/>
    </row>
    <row r="217" spans="1:21" x14ac:dyDescent="0.25">
      <c r="A217" s="24"/>
      <c r="B217" s="24"/>
      <c r="C217" s="17"/>
      <c r="D217" s="24"/>
      <c r="E217" s="24"/>
      <c r="F217" s="25"/>
      <c r="G217" s="1">
        <v>11025</v>
      </c>
      <c r="H217" s="2">
        <v>86</v>
      </c>
      <c r="I217" s="2">
        <v>-12.1</v>
      </c>
      <c r="J217" s="2">
        <v>-26.4</v>
      </c>
      <c r="K217" s="2">
        <f t="shared" si="23"/>
        <v>-12.1</v>
      </c>
      <c r="L217" s="8">
        <f t="shared" si="27"/>
        <v>1.5488166189124834E-10</v>
      </c>
      <c r="M217" s="26"/>
      <c r="N217" s="17"/>
      <c r="O217" s="9">
        <f t="shared" si="25"/>
        <v>-26.4</v>
      </c>
      <c r="P217" s="8">
        <f>D212/B212*10^(O217/10)</f>
        <v>0.72009606552000349</v>
      </c>
      <c r="Q217" s="26"/>
      <c r="R217" s="17"/>
      <c r="S217" s="20"/>
      <c r="T217" s="17"/>
      <c r="U217" s="23"/>
    </row>
    <row r="218" spans="1:21" x14ac:dyDescent="0.25">
      <c r="A218" s="24" t="s">
        <v>20</v>
      </c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12">
        <f>U218</f>
        <v>6.6454901226367311E-2</v>
      </c>
      <c r="T218" s="2"/>
      <c r="U218" s="8">
        <f>0.8*SQRT(SUM(U184:U217))</f>
        <v>6.6454901226367311E-2</v>
      </c>
    </row>
    <row r="219" spans="1:21" x14ac:dyDescent="0.25">
      <c r="A219" s="27" t="s">
        <v>78</v>
      </c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9"/>
    </row>
    <row r="220" spans="1:21" x14ac:dyDescent="0.25">
      <c r="A220" s="24">
        <v>250</v>
      </c>
      <c r="B220" s="24">
        <v>3</v>
      </c>
      <c r="C220" s="17">
        <v>0.5</v>
      </c>
      <c r="D220" s="24">
        <v>38</v>
      </c>
      <c r="E220" s="24">
        <v>4</v>
      </c>
      <c r="F220" s="25">
        <v>84</v>
      </c>
      <c r="G220" s="1">
        <v>175</v>
      </c>
      <c r="H220" s="2">
        <v>84.8</v>
      </c>
      <c r="I220" s="2">
        <v>-19.7</v>
      </c>
      <c r="J220" s="2">
        <v>-24.6</v>
      </c>
      <c r="K220" s="2">
        <f>I220</f>
        <v>-19.7</v>
      </c>
      <c r="L220" s="8">
        <f>10^((K220-H220)/10)</f>
        <v>3.5481338923357562E-11</v>
      </c>
      <c r="M220" s="26">
        <f>SUM(L220:L223)</f>
        <v>5.3205994694153579E-11</v>
      </c>
      <c r="N220" s="17">
        <f>10*LOG10(M220/E220)</f>
        <v>-108.76099424523127</v>
      </c>
      <c r="O220" s="9">
        <f>J220</f>
        <v>-24.6</v>
      </c>
      <c r="P220" s="8">
        <f>D220/B220*10^(O220/10)</f>
        <v>4.3920001057320655E-2</v>
      </c>
      <c r="Q220" s="26">
        <f>SUM(P220:P223)</f>
        <v>0.13736755975463566</v>
      </c>
      <c r="R220" s="17">
        <f>10*LOG10(Q220)</f>
        <v>-8.6211581664315027</v>
      </c>
      <c r="S220" s="18">
        <f>F220+N220-Kzt-H</f>
        <v>-24.760994245231274</v>
      </c>
      <c r="T220" s="17">
        <v>0.2</v>
      </c>
      <c r="U220" s="21">
        <f>T220*10^((S220-R220)/10)</f>
        <v>4.864591625050871E-3</v>
      </c>
    </row>
    <row r="221" spans="1:21" x14ac:dyDescent="0.25">
      <c r="A221" s="24"/>
      <c r="B221" s="24"/>
      <c r="C221" s="17"/>
      <c r="D221" s="24"/>
      <c r="E221" s="24"/>
      <c r="F221" s="25"/>
      <c r="G221" s="1">
        <v>225</v>
      </c>
      <c r="H221" s="2">
        <v>90</v>
      </c>
      <c r="I221" s="2">
        <v>-24.9</v>
      </c>
      <c r="J221" s="2">
        <v>-25</v>
      </c>
      <c r="K221" s="2">
        <f t="shared" ref="K221:K253" si="28">I221</f>
        <v>-24.9</v>
      </c>
      <c r="L221" s="8">
        <f t="shared" ref="L221:L222" si="29">10^((K221-H221)/10)</f>
        <v>3.2359365692962695E-12</v>
      </c>
      <c r="M221" s="26"/>
      <c r="N221" s="17"/>
      <c r="O221" s="9">
        <f t="shared" ref="O221:O253" si="30">J221</f>
        <v>-25</v>
      </c>
      <c r="P221" s="8">
        <f>D220/B220*10^(O221/10)</f>
        <v>4.0055517028799434E-2</v>
      </c>
      <c r="Q221" s="26"/>
      <c r="R221" s="17"/>
      <c r="S221" s="19"/>
      <c r="T221" s="17"/>
      <c r="U221" s="22"/>
    </row>
    <row r="222" spans="1:21" x14ac:dyDescent="0.25">
      <c r="A222" s="24"/>
      <c r="B222" s="24"/>
      <c r="C222" s="17"/>
      <c r="D222" s="24"/>
      <c r="E222" s="24"/>
      <c r="F222" s="25"/>
      <c r="G222" s="1">
        <v>275</v>
      </c>
      <c r="H222" s="2">
        <v>92.2</v>
      </c>
      <c r="I222" s="2">
        <v>-19.2</v>
      </c>
      <c r="J222" s="2">
        <v>-28</v>
      </c>
      <c r="K222" s="2">
        <f t="shared" si="28"/>
        <v>-19.2</v>
      </c>
      <c r="L222" s="8">
        <f t="shared" si="29"/>
        <v>7.2443596007498734E-12</v>
      </c>
      <c r="M222" s="26"/>
      <c r="N222" s="17"/>
      <c r="O222" s="9">
        <f t="shared" si="30"/>
        <v>-28</v>
      </c>
      <c r="P222" s="8">
        <f>D220/B220*10^(O222/10)</f>
        <v>2.0075313771174101E-2</v>
      </c>
      <c r="Q222" s="26"/>
      <c r="R222" s="17"/>
      <c r="S222" s="19"/>
      <c r="T222" s="17"/>
      <c r="U222" s="22"/>
    </row>
    <row r="223" spans="1:21" x14ac:dyDescent="0.25">
      <c r="A223" s="24"/>
      <c r="B223" s="24"/>
      <c r="C223" s="17"/>
      <c r="D223" s="24"/>
      <c r="E223" s="24"/>
      <c r="F223" s="25"/>
      <c r="G223" s="1">
        <v>325</v>
      </c>
      <c r="H223" s="2">
        <v>93.3</v>
      </c>
      <c r="I223" s="2">
        <v>-18.100000000000001</v>
      </c>
      <c r="J223" s="2">
        <v>-25.8</v>
      </c>
      <c r="K223" s="2">
        <f t="shared" si="28"/>
        <v>-18.100000000000001</v>
      </c>
      <c r="L223" s="8">
        <f>10^((K223-H223)/10)</f>
        <v>7.2443596007498734E-12</v>
      </c>
      <c r="M223" s="26"/>
      <c r="N223" s="17"/>
      <c r="O223" s="9">
        <f t="shared" si="30"/>
        <v>-25.8</v>
      </c>
      <c r="P223" s="8">
        <f>D220/B220*10^(O223/10)</f>
        <v>3.3316727897341469E-2</v>
      </c>
      <c r="Q223" s="26"/>
      <c r="R223" s="17"/>
      <c r="S223" s="20"/>
      <c r="T223" s="17"/>
      <c r="U223" s="23"/>
    </row>
    <row r="224" spans="1:21" x14ac:dyDescent="0.25">
      <c r="A224" s="24">
        <v>500</v>
      </c>
      <c r="B224" s="24">
        <v>3</v>
      </c>
      <c r="C224" s="17">
        <v>0.5</v>
      </c>
      <c r="D224" s="24">
        <v>59</v>
      </c>
      <c r="E224" s="24">
        <v>6</v>
      </c>
      <c r="F224" s="25">
        <v>84</v>
      </c>
      <c r="G224" s="1">
        <v>375</v>
      </c>
      <c r="H224" s="2">
        <v>91.9</v>
      </c>
      <c r="I224" s="2">
        <v>-19.2</v>
      </c>
      <c r="J224" s="2">
        <v>-26.9</v>
      </c>
      <c r="K224" s="2">
        <f t="shared" si="28"/>
        <v>-19.2</v>
      </c>
      <c r="L224" s="8">
        <f t="shared" ref="L224:L225" si="31">10^((K224-H224)/10)</f>
        <v>7.7624711662868866E-12</v>
      </c>
      <c r="M224" s="26">
        <f>SUM(L224:L229)</f>
        <v>3.2187737855094171E-11</v>
      </c>
      <c r="N224" s="17">
        <f>10*LOG10(M224/E224)</f>
        <v>-112.70460794716102</v>
      </c>
      <c r="O224" s="9">
        <f t="shared" si="30"/>
        <v>-26.9</v>
      </c>
      <c r="P224" s="8">
        <f>D224/B224*10^(O224/10)</f>
        <v>4.0154179578500745E-2</v>
      </c>
      <c r="Q224" s="26">
        <f>SUM(P224:P229)</f>
        <v>0.25490908383156791</v>
      </c>
      <c r="R224" s="17">
        <f>10*LOG10(Q224)</f>
        <v>-5.9361468792174286</v>
      </c>
      <c r="S224" s="18">
        <f>F224+N224-Kzt-H</f>
        <v>-28.704607947161023</v>
      </c>
      <c r="T224" s="17">
        <v>0.5</v>
      </c>
      <c r="U224" s="21">
        <f>T224*10^((S224-R224)/10)</f>
        <v>2.6431627034726613E-3</v>
      </c>
    </row>
    <row r="225" spans="1:21" x14ac:dyDescent="0.25">
      <c r="A225" s="24"/>
      <c r="B225" s="24"/>
      <c r="C225" s="17"/>
      <c r="D225" s="24"/>
      <c r="E225" s="24"/>
      <c r="F225" s="25"/>
      <c r="G225" s="1">
        <v>425</v>
      </c>
      <c r="H225" s="2">
        <v>88.1</v>
      </c>
      <c r="I225" s="2">
        <v>-24.7</v>
      </c>
      <c r="J225" s="2">
        <v>-27.3</v>
      </c>
      <c r="K225" s="2">
        <f t="shared" si="28"/>
        <v>-24.7</v>
      </c>
      <c r="L225" s="8">
        <f t="shared" si="31"/>
        <v>5.2480746024977136E-12</v>
      </c>
      <c r="M225" s="26"/>
      <c r="N225" s="17"/>
      <c r="O225" s="9">
        <f t="shared" si="30"/>
        <v>-27.3</v>
      </c>
      <c r="P225" s="8">
        <f>D224/B224*10^(O225/10)</f>
        <v>3.6621047021036378E-2</v>
      </c>
      <c r="Q225" s="26"/>
      <c r="R225" s="17"/>
      <c r="S225" s="19"/>
      <c r="T225" s="17"/>
      <c r="U225" s="22"/>
    </row>
    <row r="226" spans="1:21" x14ac:dyDescent="0.25">
      <c r="A226" s="24"/>
      <c r="B226" s="24"/>
      <c r="C226" s="17"/>
      <c r="D226" s="24"/>
      <c r="E226" s="24"/>
      <c r="F226" s="25"/>
      <c r="G226" s="1">
        <v>475</v>
      </c>
      <c r="H226" s="2">
        <v>90</v>
      </c>
      <c r="I226" s="2">
        <v>-19.7</v>
      </c>
      <c r="J226" s="2">
        <v>-25.7</v>
      </c>
      <c r="K226" s="2">
        <f t="shared" si="28"/>
        <v>-19.7</v>
      </c>
      <c r="L226" s="8">
        <f>10^((K226-H226)/10)</f>
        <v>1.0715193052376007E-11</v>
      </c>
      <c r="M226" s="26"/>
      <c r="N226" s="17"/>
      <c r="O226" s="9">
        <f t="shared" si="30"/>
        <v>-25.7</v>
      </c>
      <c r="P226" s="8">
        <f>D224/B224*10^(O226/10)</f>
        <v>5.2933517810562658E-2</v>
      </c>
      <c r="Q226" s="26"/>
      <c r="R226" s="17"/>
      <c r="S226" s="19"/>
      <c r="T226" s="17"/>
      <c r="U226" s="22"/>
    </row>
    <row r="227" spans="1:21" x14ac:dyDescent="0.25">
      <c r="A227" s="24"/>
      <c r="B227" s="24"/>
      <c r="C227" s="17"/>
      <c r="D227" s="24"/>
      <c r="E227" s="24"/>
      <c r="F227" s="25"/>
      <c r="G227" s="1">
        <v>575</v>
      </c>
      <c r="H227" s="2">
        <v>97</v>
      </c>
      <c r="I227" s="2">
        <v>-22.4</v>
      </c>
      <c r="J227" s="2">
        <v>-31.1</v>
      </c>
      <c r="K227" s="2">
        <f t="shared" si="28"/>
        <v>-22.4</v>
      </c>
      <c r="L227" s="8">
        <f t="shared" ref="L227:L253" si="32">10^((K227-H227)/10)</f>
        <v>1.1481536214968749E-12</v>
      </c>
      <c r="M227" s="26"/>
      <c r="N227" s="17"/>
      <c r="O227" s="9">
        <f t="shared" si="30"/>
        <v>-31.1</v>
      </c>
      <c r="P227" s="8">
        <f>D224/B224*10^(O227/10)</f>
        <v>1.5266193293697583E-2</v>
      </c>
      <c r="Q227" s="26"/>
      <c r="R227" s="17"/>
      <c r="S227" s="19"/>
      <c r="T227" s="17"/>
      <c r="U227" s="22"/>
    </row>
    <row r="228" spans="1:21" x14ac:dyDescent="0.25">
      <c r="A228" s="24"/>
      <c r="B228" s="24"/>
      <c r="C228" s="17"/>
      <c r="D228" s="24"/>
      <c r="E228" s="24"/>
      <c r="F228" s="25"/>
      <c r="G228" s="1">
        <v>625</v>
      </c>
      <c r="H228" s="2">
        <v>92</v>
      </c>
      <c r="I228" s="2">
        <v>-20.2</v>
      </c>
      <c r="J228" s="2">
        <v>-26.9</v>
      </c>
      <c r="K228" s="2">
        <f t="shared" si="28"/>
        <v>-20.2</v>
      </c>
      <c r="L228" s="8">
        <f t="shared" si="32"/>
        <v>6.0255958607435596E-12</v>
      </c>
      <c r="M228" s="26"/>
      <c r="N228" s="17"/>
      <c r="O228" s="9">
        <f t="shared" si="30"/>
        <v>-26.9</v>
      </c>
      <c r="P228" s="8">
        <f>D224/B224*10^(O228/10)</f>
        <v>4.0154179578500745E-2</v>
      </c>
      <c r="Q228" s="26"/>
      <c r="R228" s="17"/>
      <c r="S228" s="19"/>
      <c r="T228" s="17"/>
      <c r="U228" s="22"/>
    </row>
    <row r="229" spans="1:21" x14ac:dyDescent="0.25">
      <c r="A229" s="24"/>
      <c r="B229" s="24"/>
      <c r="C229" s="17"/>
      <c r="D229" s="24"/>
      <c r="E229" s="24"/>
      <c r="F229" s="25"/>
      <c r="G229" s="1">
        <v>675</v>
      </c>
      <c r="H229" s="2">
        <v>94.5</v>
      </c>
      <c r="I229" s="2">
        <v>-24.4</v>
      </c>
      <c r="J229" s="2">
        <v>-24.5</v>
      </c>
      <c r="K229" s="2">
        <f t="shared" si="28"/>
        <v>-24.4</v>
      </c>
      <c r="L229" s="8">
        <f t="shared" si="32"/>
        <v>1.2882495516931293E-12</v>
      </c>
      <c r="M229" s="26"/>
      <c r="N229" s="17"/>
      <c r="O229" s="9">
        <f t="shared" si="30"/>
        <v>-24.5</v>
      </c>
      <c r="P229" s="8">
        <f>D224/B224*10^(O229/10)</f>
        <v>6.9779966549269809E-2</v>
      </c>
      <c r="Q229" s="26"/>
      <c r="R229" s="17"/>
      <c r="S229" s="20"/>
      <c r="T229" s="17"/>
      <c r="U229" s="23"/>
    </row>
    <row r="230" spans="1:21" x14ac:dyDescent="0.25">
      <c r="A230" s="24">
        <v>1000</v>
      </c>
      <c r="B230" s="24">
        <v>3</v>
      </c>
      <c r="C230" s="17">
        <v>0.5</v>
      </c>
      <c r="D230" s="24">
        <v>117</v>
      </c>
      <c r="E230" s="24">
        <v>6</v>
      </c>
      <c r="F230" s="25">
        <v>76</v>
      </c>
      <c r="G230" s="1">
        <v>875</v>
      </c>
      <c r="H230" s="2">
        <v>91.1</v>
      </c>
      <c r="I230" s="2">
        <v>-24.2</v>
      </c>
      <c r="J230" s="2">
        <v>-24.9</v>
      </c>
      <c r="K230" s="2">
        <f t="shared" si="28"/>
        <v>-24.2</v>
      </c>
      <c r="L230" s="8">
        <f t="shared" si="32"/>
        <v>2.9512092266663859E-12</v>
      </c>
      <c r="M230" s="26">
        <f>SUM(L230:L235)</f>
        <v>7.2304075187951105E-12</v>
      </c>
      <c r="N230" s="17">
        <f>10*LOG10(M230/E230)</f>
        <v>-119.18988474779798</v>
      </c>
      <c r="O230" s="9">
        <f t="shared" si="30"/>
        <v>-24.9</v>
      </c>
      <c r="P230" s="8">
        <f>D230/B230*10^(O230/10)</f>
        <v>0.12620152620255501</v>
      </c>
      <c r="Q230" s="26">
        <f>SUM(P230:P235)</f>
        <v>0.40833103454830177</v>
      </c>
      <c r="R230" s="17">
        <f>10*LOG10(Q230)</f>
        <v>-3.8898761096392214</v>
      </c>
      <c r="S230" s="18">
        <f>F230+N230-Kzt-H</f>
        <v>-43.189884747797976</v>
      </c>
      <c r="T230" s="17">
        <v>0.8</v>
      </c>
      <c r="U230" s="21">
        <f>T230*10^((S230-R230)/10)</f>
        <v>9.3991617444750834E-5</v>
      </c>
    </row>
    <row r="231" spans="1:21" x14ac:dyDescent="0.25">
      <c r="A231" s="24"/>
      <c r="B231" s="24"/>
      <c r="C231" s="17"/>
      <c r="D231" s="24"/>
      <c r="E231" s="24"/>
      <c r="F231" s="25"/>
      <c r="G231" s="1">
        <v>975</v>
      </c>
      <c r="H231" s="2">
        <v>96.5</v>
      </c>
      <c r="I231" s="2">
        <v>-26.8</v>
      </c>
      <c r="J231" s="2">
        <v>-30.6</v>
      </c>
      <c r="K231" s="2">
        <f t="shared" si="28"/>
        <v>-26.8</v>
      </c>
      <c r="L231" s="8">
        <f t="shared" si="32"/>
        <v>4.6773514128719676E-13</v>
      </c>
      <c r="M231" s="26"/>
      <c r="N231" s="17"/>
      <c r="O231" s="9">
        <f t="shared" si="30"/>
        <v>-30.6</v>
      </c>
      <c r="P231" s="8">
        <f>D230/B230*10^(O231/10)</f>
        <v>3.3967580008287111E-2</v>
      </c>
      <c r="Q231" s="26"/>
      <c r="R231" s="17"/>
      <c r="S231" s="19"/>
      <c r="T231" s="17"/>
      <c r="U231" s="22"/>
    </row>
    <row r="232" spans="1:21" x14ac:dyDescent="0.25">
      <c r="A232" s="24"/>
      <c r="B232" s="24"/>
      <c r="C232" s="17"/>
      <c r="D232" s="24"/>
      <c r="E232" s="24"/>
      <c r="F232" s="25"/>
      <c r="G232" s="1">
        <v>1075</v>
      </c>
      <c r="H232" s="2">
        <v>94.6</v>
      </c>
      <c r="I232" s="2">
        <v>-26.2</v>
      </c>
      <c r="J232" s="2">
        <v>-27.7</v>
      </c>
      <c r="K232" s="2">
        <f t="shared" si="28"/>
        <v>-26.2</v>
      </c>
      <c r="L232" s="8">
        <f t="shared" si="32"/>
        <v>8.3176377110266952E-13</v>
      </c>
      <c r="M232" s="26"/>
      <c r="N232" s="17"/>
      <c r="O232" s="9">
        <f t="shared" si="30"/>
        <v>-27.7</v>
      </c>
      <c r="P232" s="8">
        <f>D230/B230*10^(O232/10)</f>
        <v>6.6231502446007964E-2</v>
      </c>
      <c r="Q232" s="26"/>
      <c r="R232" s="17"/>
      <c r="S232" s="19"/>
      <c r="T232" s="17"/>
      <c r="U232" s="22"/>
    </row>
    <row r="233" spans="1:21" x14ac:dyDescent="0.25">
      <c r="A233" s="24"/>
      <c r="B233" s="24"/>
      <c r="C233" s="17"/>
      <c r="D233" s="24"/>
      <c r="E233" s="24"/>
      <c r="F233" s="25"/>
      <c r="G233" s="1">
        <v>1175</v>
      </c>
      <c r="H233" s="2">
        <v>97.8</v>
      </c>
      <c r="I233" s="2">
        <v>-19</v>
      </c>
      <c r="J233" s="2">
        <v>-28.3</v>
      </c>
      <c r="K233" s="2">
        <f t="shared" si="28"/>
        <v>-19</v>
      </c>
      <c r="L233" s="8">
        <f t="shared" si="32"/>
        <v>2.0892961308540349E-12</v>
      </c>
      <c r="M233" s="26"/>
      <c r="N233" s="17"/>
      <c r="O233" s="9">
        <f t="shared" si="30"/>
        <v>-28.3</v>
      </c>
      <c r="P233" s="8">
        <f>D230/B230*10^(O233/10)</f>
        <v>5.7685227138560058E-2</v>
      </c>
      <c r="Q233" s="26"/>
      <c r="R233" s="17"/>
      <c r="S233" s="19"/>
      <c r="T233" s="17"/>
      <c r="U233" s="22"/>
    </row>
    <row r="234" spans="1:21" x14ac:dyDescent="0.25">
      <c r="A234" s="24"/>
      <c r="B234" s="24"/>
      <c r="C234" s="17"/>
      <c r="D234" s="24"/>
      <c r="E234" s="24"/>
      <c r="F234" s="25"/>
      <c r="G234" s="1">
        <v>1275</v>
      </c>
      <c r="H234" s="2">
        <v>100.1</v>
      </c>
      <c r="I234" s="2">
        <v>-21.1</v>
      </c>
      <c r="J234" s="2">
        <v>-29.6</v>
      </c>
      <c r="K234" s="2">
        <f t="shared" si="28"/>
        <v>-21.1</v>
      </c>
      <c r="L234" s="8">
        <f t="shared" si="32"/>
        <v>7.5857757502918275E-13</v>
      </c>
      <c r="M234" s="26"/>
      <c r="N234" s="17"/>
      <c r="O234" s="9">
        <f t="shared" si="30"/>
        <v>-29.6</v>
      </c>
      <c r="P234" s="8">
        <f>D230/B230*10^(O234/10)</f>
        <v>4.2762649649584213E-2</v>
      </c>
      <c r="Q234" s="26"/>
      <c r="R234" s="17"/>
      <c r="S234" s="19"/>
      <c r="T234" s="17"/>
      <c r="U234" s="22"/>
    </row>
    <row r="235" spans="1:21" x14ac:dyDescent="0.25">
      <c r="A235" s="24"/>
      <c r="B235" s="24"/>
      <c r="C235" s="17"/>
      <c r="D235" s="24"/>
      <c r="E235" s="24"/>
      <c r="F235" s="25"/>
      <c r="G235" s="1">
        <v>1375</v>
      </c>
      <c r="H235" s="2">
        <v>103</v>
      </c>
      <c r="I235" s="2">
        <v>-25.8</v>
      </c>
      <c r="J235" s="2">
        <v>-26.8</v>
      </c>
      <c r="K235" s="2">
        <f t="shared" si="28"/>
        <v>-25.8</v>
      </c>
      <c r="L235" s="8">
        <f t="shared" si="32"/>
        <v>1.3182567385564006E-13</v>
      </c>
      <c r="M235" s="26"/>
      <c r="N235" s="17"/>
      <c r="O235" s="9">
        <f t="shared" si="30"/>
        <v>-26.8</v>
      </c>
      <c r="P235" s="8">
        <f>D230/B230*10^(O235/10)</f>
        <v>8.1482549103307447E-2</v>
      </c>
      <c r="Q235" s="26"/>
      <c r="R235" s="17"/>
      <c r="S235" s="20"/>
      <c r="T235" s="17"/>
      <c r="U235" s="23"/>
    </row>
    <row r="236" spans="1:21" x14ac:dyDescent="0.25">
      <c r="A236" s="24">
        <v>2000</v>
      </c>
      <c r="B236" s="24">
        <v>3</v>
      </c>
      <c r="C236" s="17">
        <v>0.5</v>
      </c>
      <c r="D236" s="24">
        <v>234</v>
      </c>
      <c r="E236" s="24">
        <v>6</v>
      </c>
      <c r="F236" s="25">
        <v>68</v>
      </c>
      <c r="G236" s="1">
        <v>1425</v>
      </c>
      <c r="H236" s="2">
        <v>102.8</v>
      </c>
      <c r="I236" s="2">
        <v>-20.6</v>
      </c>
      <c r="J236" s="2">
        <v>-27.5</v>
      </c>
      <c r="K236" s="2">
        <f t="shared" si="28"/>
        <v>-20.6</v>
      </c>
      <c r="L236" s="8">
        <f t="shared" si="32"/>
        <v>4.5708818961487372E-13</v>
      </c>
      <c r="M236" s="26">
        <f>SUM(L236:L241)</f>
        <v>6.7240700403198826E-12</v>
      </c>
      <c r="N236" s="17">
        <f>10*LOG10(M236/E236)</f>
        <v>-119.50519021825905</v>
      </c>
      <c r="O236" s="9">
        <f t="shared" si="30"/>
        <v>-27.5</v>
      </c>
      <c r="P236" s="8">
        <f>D236/B236*10^(O236/10)</f>
        <v>0.13870579398303595</v>
      </c>
      <c r="Q236" s="26">
        <f>SUM(P236:P241)</f>
        <v>0.92151773276225346</v>
      </c>
      <c r="R236" s="17">
        <f>10*LOG10(Q236)</f>
        <v>-0.35496303237422155</v>
      </c>
      <c r="S236" s="18">
        <f>F236+N236-Kzt-H</f>
        <v>-51.505190218259045</v>
      </c>
      <c r="T236" s="17">
        <v>1</v>
      </c>
      <c r="U236" s="21">
        <f>T236*10^((S236-R236)/10)</f>
        <v>7.6732134859410013E-6</v>
      </c>
    </row>
    <row r="237" spans="1:21" x14ac:dyDescent="0.25">
      <c r="A237" s="24"/>
      <c r="B237" s="24"/>
      <c r="C237" s="17"/>
      <c r="D237" s="24"/>
      <c r="E237" s="24"/>
      <c r="F237" s="25"/>
      <c r="G237" s="1">
        <v>1625</v>
      </c>
      <c r="H237" s="2">
        <v>104.1</v>
      </c>
      <c r="I237" s="2">
        <v>-21.5</v>
      </c>
      <c r="J237" s="2">
        <v>-26.1</v>
      </c>
      <c r="K237" s="2">
        <f t="shared" si="28"/>
        <v>-21.5</v>
      </c>
      <c r="L237" s="8">
        <f t="shared" si="32"/>
        <v>2.754228703338164E-13</v>
      </c>
      <c r="M237" s="26"/>
      <c r="N237" s="17"/>
      <c r="O237" s="9">
        <f t="shared" si="30"/>
        <v>-26.1</v>
      </c>
      <c r="P237" s="8">
        <f>D236/B236*10^(O237/10)</f>
        <v>0.19146729542343205</v>
      </c>
      <c r="Q237" s="26"/>
      <c r="R237" s="17"/>
      <c r="S237" s="19"/>
      <c r="T237" s="17"/>
      <c r="U237" s="22"/>
    </row>
    <row r="238" spans="1:21" x14ac:dyDescent="0.25">
      <c r="A238" s="24"/>
      <c r="B238" s="24"/>
      <c r="C238" s="17"/>
      <c r="D238" s="24"/>
      <c r="E238" s="24"/>
      <c r="F238" s="25"/>
      <c r="G238" s="1">
        <v>1825</v>
      </c>
      <c r="H238" s="2">
        <v>107.6</v>
      </c>
      <c r="I238" s="2">
        <v>-23.8</v>
      </c>
      <c r="J238" s="2">
        <v>-31.7</v>
      </c>
      <c r="K238" s="2">
        <f t="shared" si="28"/>
        <v>-23.8</v>
      </c>
      <c r="L238" s="8">
        <f t="shared" si="32"/>
        <v>7.2443596007498585E-14</v>
      </c>
      <c r="M238" s="26"/>
      <c r="N238" s="17"/>
      <c r="O238" s="9">
        <f t="shared" si="30"/>
        <v>-31.7</v>
      </c>
      <c r="P238" s="8">
        <f>D236/B236*10^(O238/10)</f>
        <v>5.2734472080574538E-2</v>
      </c>
      <c r="Q238" s="26"/>
      <c r="R238" s="17"/>
      <c r="S238" s="19"/>
      <c r="T238" s="17"/>
      <c r="U238" s="22"/>
    </row>
    <row r="239" spans="1:21" x14ac:dyDescent="0.25">
      <c r="A239" s="24"/>
      <c r="B239" s="24"/>
      <c r="C239" s="17"/>
      <c r="D239" s="24"/>
      <c r="E239" s="24"/>
      <c r="F239" s="25"/>
      <c r="G239" s="1">
        <v>2125</v>
      </c>
      <c r="H239" s="2">
        <v>104.2</v>
      </c>
      <c r="I239" s="2">
        <v>-17.5</v>
      </c>
      <c r="J239" s="2">
        <v>-27.4</v>
      </c>
      <c r="K239" s="2">
        <f t="shared" si="28"/>
        <v>-17.5</v>
      </c>
      <c r="L239" s="8">
        <f t="shared" si="32"/>
        <v>6.7608297539198111E-13</v>
      </c>
      <c r="M239" s="26"/>
      <c r="N239" s="17"/>
      <c r="O239" s="9">
        <f t="shared" si="30"/>
        <v>-27.4</v>
      </c>
      <c r="P239" s="8">
        <f>D236/B236*10^(O239/10)</f>
        <v>0.14193666697157864</v>
      </c>
      <c r="Q239" s="26"/>
      <c r="R239" s="17"/>
      <c r="S239" s="19"/>
      <c r="T239" s="17"/>
      <c r="U239" s="22"/>
    </row>
    <row r="240" spans="1:21" x14ac:dyDescent="0.25">
      <c r="A240" s="24"/>
      <c r="B240" s="24"/>
      <c r="C240" s="17"/>
      <c r="D240" s="24"/>
      <c r="E240" s="24"/>
      <c r="F240" s="25"/>
      <c r="G240" s="1">
        <v>2425</v>
      </c>
      <c r="H240" s="2">
        <v>93.7</v>
      </c>
      <c r="I240" s="2">
        <v>-20</v>
      </c>
      <c r="J240" s="2">
        <v>-25.1</v>
      </c>
      <c r="K240" s="2">
        <f t="shared" si="28"/>
        <v>-20</v>
      </c>
      <c r="L240" s="8">
        <f t="shared" si="32"/>
        <v>4.2657951880159045E-12</v>
      </c>
      <c r="M240" s="26"/>
      <c r="N240" s="17"/>
      <c r="O240" s="9">
        <f t="shared" si="30"/>
        <v>-25.1</v>
      </c>
      <c r="P240" s="8">
        <f>D236/B236*10^(O240/10)</f>
        <v>0.24104304373605984</v>
      </c>
      <c r="Q240" s="26"/>
      <c r="R240" s="17"/>
      <c r="S240" s="19"/>
      <c r="T240" s="17"/>
      <c r="U240" s="22"/>
    </row>
    <row r="241" spans="1:21" x14ac:dyDescent="0.25">
      <c r="A241" s="24"/>
      <c r="B241" s="24"/>
      <c r="C241" s="17"/>
      <c r="D241" s="24"/>
      <c r="E241" s="24"/>
      <c r="F241" s="25"/>
      <c r="G241" s="1">
        <v>2775</v>
      </c>
      <c r="H241" s="2">
        <v>100.2</v>
      </c>
      <c r="I241" s="2">
        <v>-19.899999999999999</v>
      </c>
      <c r="J241" s="2">
        <v>-27</v>
      </c>
      <c r="K241" s="2">
        <f t="shared" si="28"/>
        <v>-19.899999999999999</v>
      </c>
      <c r="L241" s="8">
        <f t="shared" si="32"/>
        <v>9.7723722095580816E-13</v>
      </c>
      <c r="M241" s="26"/>
      <c r="N241" s="17"/>
      <c r="O241" s="9">
        <f t="shared" si="30"/>
        <v>-27</v>
      </c>
      <c r="P241" s="8">
        <f>D236/B236*10^(O241/10)</f>
        <v>0.15563046056757249</v>
      </c>
      <c r="Q241" s="26"/>
      <c r="R241" s="17"/>
      <c r="S241" s="20"/>
      <c r="T241" s="17"/>
      <c r="U241" s="23"/>
    </row>
    <row r="242" spans="1:21" x14ac:dyDescent="0.25">
      <c r="A242" s="24">
        <v>4000</v>
      </c>
      <c r="B242" s="24">
        <v>3</v>
      </c>
      <c r="C242" s="17">
        <v>0.5</v>
      </c>
      <c r="D242" s="24">
        <v>470</v>
      </c>
      <c r="E242" s="24">
        <v>6</v>
      </c>
      <c r="F242" s="25">
        <v>62</v>
      </c>
      <c r="G242" s="1">
        <v>2825</v>
      </c>
      <c r="H242" s="2">
        <v>99.4</v>
      </c>
      <c r="I242" s="2">
        <v>-20.6</v>
      </c>
      <c r="J242" s="2">
        <v>-31.1</v>
      </c>
      <c r="K242" s="2">
        <f t="shared" si="28"/>
        <v>-20.6</v>
      </c>
      <c r="L242" s="8">
        <f t="shared" si="32"/>
        <v>9.9999999999999998E-13</v>
      </c>
      <c r="M242" s="26">
        <f>SUM(L242:L247)</f>
        <v>3.1448803873122006E-12</v>
      </c>
      <c r="N242" s="17">
        <f>10*LOG10(M242/E242)</f>
        <v>-122.80547118286981</v>
      </c>
      <c r="O242" s="9">
        <f t="shared" si="30"/>
        <v>-31.1</v>
      </c>
      <c r="P242" s="8">
        <f>D242/B242*10^(O242/10)</f>
        <v>0.12161204827182819</v>
      </c>
      <c r="Q242" s="26">
        <f>SUM(P242:P247)</f>
        <v>1.3484320987334057</v>
      </c>
      <c r="R242" s="17">
        <f>10*LOG10(Q242)</f>
        <v>1.2982908212902331</v>
      </c>
      <c r="S242" s="18">
        <f>F242+N242-Kzt-H</f>
        <v>-60.805471182869809</v>
      </c>
      <c r="T242" s="17">
        <v>0.9</v>
      </c>
      <c r="U242" s="21">
        <f>T242*10^((S242-R242)/10)</f>
        <v>5.5445500611087883E-7</v>
      </c>
    </row>
    <row r="243" spans="1:21" x14ac:dyDescent="0.25">
      <c r="A243" s="24"/>
      <c r="B243" s="24"/>
      <c r="C243" s="17"/>
      <c r="D243" s="24"/>
      <c r="E243" s="24"/>
      <c r="F243" s="25"/>
      <c r="G243" s="1">
        <v>3425</v>
      </c>
      <c r="H243" s="2">
        <v>103.5</v>
      </c>
      <c r="I243" s="2">
        <v>-25.2</v>
      </c>
      <c r="J243" s="2">
        <v>-26.7</v>
      </c>
      <c r="K243" s="2">
        <f t="shared" si="28"/>
        <v>-25.2</v>
      </c>
      <c r="L243" s="8">
        <f t="shared" si="32"/>
        <v>1.3489628825916516E-13</v>
      </c>
      <c r="M243" s="26"/>
      <c r="N243" s="17"/>
      <c r="O243" s="9">
        <f t="shared" si="30"/>
        <v>-26.7</v>
      </c>
      <c r="P243" s="8">
        <f>D242/B242*10^(O243/10)</f>
        <v>0.33494739402201629</v>
      </c>
      <c r="Q243" s="26"/>
      <c r="R243" s="17"/>
      <c r="S243" s="19"/>
      <c r="T243" s="17"/>
      <c r="U243" s="22"/>
    </row>
    <row r="244" spans="1:21" x14ac:dyDescent="0.25">
      <c r="A244" s="24"/>
      <c r="B244" s="24"/>
      <c r="C244" s="17"/>
      <c r="D244" s="24"/>
      <c r="E244" s="24"/>
      <c r="F244" s="25"/>
      <c r="G244" s="1">
        <v>4025</v>
      </c>
      <c r="H244" s="2">
        <v>103.6</v>
      </c>
      <c r="I244" s="2">
        <v>-20.8</v>
      </c>
      <c r="J244" s="2">
        <v>-30.7</v>
      </c>
      <c r="K244" s="2">
        <f t="shared" si="28"/>
        <v>-20.8</v>
      </c>
      <c r="L244" s="8">
        <f t="shared" si="32"/>
        <v>3.6307805477010062E-13</v>
      </c>
      <c r="M244" s="26"/>
      <c r="N244" s="17"/>
      <c r="O244" s="9">
        <f t="shared" si="30"/>
        <v>-30.7</v>
      </c>
      <c r="P244" s="8">
        <f>D242/B242*10^(O244/10)</f>
        <v>0.13334495931837231</v>
      </c>
      <c r="Q244" s="26"/>
      <c r="R244" s="17"/>
      <c r="S244" s="19"/>
      <c r="T244" s="17"/>
      <c r="U244" s="22"/>
    </row>
    <row r="245" spans="1:21" x14ac:dyDescent="0.25">
      <c r="A245" s="24"/>
      <c r="B245" s="24"/>
      <c r="C245" s="17"/>
      <c r="D245" s="24"/>
      <c r="E245" s="24"/>
      <c r="F245" s="25"/>
      <c r="G245" s="1">
        <v>4625</v>
      </c>
      <c r="H245" s="2">
        <v>105.6</v>
      </c>
      <c r="I245" s="2">
        <v>-22.5</v>
      </c>
      <c r="J245" s="2">
        <v>-27.4</v>
      </c>
      <c r="K245" s="2">
        <f t="shared" si="28"/>
        <v>-22.5</v>
      </c>
      <c r="L245" s="8">
        <f t="shared" si="32"/>
        <v>1.5488166189124838E-13</v>
      </c>
      <c r="M245" s="26"/>
      <c r="N245" s="17"/>
      <c r="O245" s="9">
        <f t="shared" si="30"/>
        <v>-27.4</v>
      </c>
      <c r="P245" s="8">
        <f>D242/B242*10^(O245/10)</f>
        <v>0.28508646784889724</v>
      </c>
      <c r="Q245" s="26"/>
      <c r="R245" s="17"/>
      <c r="S245" s="19"/>
      <c r="T245" s="17"/>
      <c r="U245" s="22"/>
    </row>
    <row r="246" spans="1:21" x14ac:dyDescent="0.25">
      <c r="A246" s="24"/>
      <c r="B246" s="24"/>
      <c r="C246" s="17"/>
      <c r="D246" s="24"/>
      <c r="E246" s="24"/>
      <c r="F246" s="25"/>
      <c r="G246" s="1">
        <v>5225</v>
      </c>
      <c r="H246" s="2">
        <v>103.5</v>
      </c>
      <c r="I246" s="2">
        <v>-16.7</v>
      </c>
      <c r="J246" s="2">
        <v>-27.4</v>
      </c>
      <c r="K246" s="2">
        <f t="shared" si="28"/>
        <v>-16.7</v>
      </c>
      <c r="L246" s="8">
        <f t="shared" si="32"/>
        <v>9.5499258602143367E-13</v>
      </c>
      <c r="M246" s="26"/>
      <c r="N246" s="17"/>
      <c r="O246" s="9">
        <f t="shared" si="30"/>
        <v>-27.4</v>
      </c>
      <c r="P246" s="8">
        <f>D242/B242*10^(O246/10)</f>
        <v>0.28508646784889724</v>
      </c>
      <c r="Q246" s="26"/>
      <c r="R246" s="17"/>
      <c r="S246" s="19"/>
      <c r="T246" s="17"/>
      <c r="U246" s="22"/>
    </row>
    <row r="247" spans="1:21" x14ac:dyDescent="0.25">
      <c r="A247" s="24"/>
      <c r="B247" s="24"/>
      <c r="C247" s="17"/>
      <c r="D247" s="24"/>
      <c r="E247" s="24"/>
      <c r="F247" s="25"/>
      <c r="G247" s="1">
        <v>5625</v>
      </c>
      <c r="H247" s="2">
        <v>99.5</v>
      </c>
      <c r="I247" s="2">
        <v>-23.2</v>
      </c>
      <c r="J247" s="2">
        <v>-29.2</v>
      </c>
      <c r="K247" s="2">
        <f t="shared" si="28"/>
        <v>-23.2</v>
      </c>
      <c r="L247" s="8">
        <f t="shared" si="32"/>
        <v>5.3703179637025273E-13</v>
      </c>
      <c r="M247" s="26"/>
      <c r="N247" s="17"/>
      <c r="O247" s="9">
        <f t="shared" si="30"/>
        <v>-29.2</v>
      </c>
      <c r="P247" s="8">
        <f>D242/B242*10^(O247/10)</f>
        <v>0.18835476142339458</v>
      </c>
      <c r="Q247" s="26"/>
      <c r="R247" s="17"/>
      <c r="S247" s="20"/>
      <c r="T247" s="17"/>
      <c r="U247" s="23"/>
    </row>
    <row r="248" spans="1:21" x14ac:dyDescent="0.25">
      <c r="A248" s="24">
        <v>8000</v>
      </c>
      <c r="B248" s="24">
        <v>3</v>
      </c>
      <c r="C248" s="17">
        <v>0.5</v>
      </c>
      <c r="D248" s="24">
        <v>943</v>
      </c>
      <c r="E248" s="24">
        <v>6</v>
      </c>
      <c r="F248" s="25">
        <v>54</v>
      </c>
      <c r="G248" s="1">
        <v>6025</v>
      </c>
      <c r="H248" s="2">
        <v>95</v>
      </c>
      <c r="I248" s="2">
        <v>-22.1</v>
      </c>
      <c r="J248" s="2">
        <v>-27.6</v>
      </c>
      <c r="K248" s="2">
        <f t="shared" si="28"/>
        <v>-22.1</v>
      </c>
      <c r="L248" s="8">
        <f t="shared" si="32"/>
        <v>1.9498445997580419E-12</v>
      </c>
      <c r="M248" s="26">
        <f>SUM(L248:L253)</f>
        <v>2.3232124954971337E-11</v>
      </c>
      <c r="N248" s="17">
        <f>10*LOG10(M248/E248)</f>
        <v>-114.12062315486037</v>
      </c>
      <c r="O248" s="9">
        <f t="shared" si="30"/>
        <v>-27.6</v>
      </c>
      <c r="P248" s="8">
        <f>D248/B248*10^(O248/10)</f>
        <v>0.54624872717021966</v>
      </c>
      <c r="Q248" s="26">
        <f>SUM(P248:P253)</f>
        <v>3.4958014459277882</v>
      </c>
      <c r="R248" s="17">
        <f>10*LOG10(Q248)</f>
        <v>5.4354675766181018</v>
      </c>
      <c r="S248" s="18">
        <f>F248+N248-Kzt-H</f>
        <v>-60.120623154860368</v>
      </c>
      <c r="T248" s="17">
        <v>0.7</v>
      </c>
      <c r="U248" s="21">
        <f>T248*10^((S248-R248)/10)</f>
        <v>1.9475515722941629E-7</v>
      </c>
    </row>
    <row r="249" spans="1:21" x14ac:dyDescent="0.25">
      <c r="A249" s="24"/>
      <c r="B249" s="24"/>
      <c r="C249" s="17"/>
      <c r="D249" s="24"/>
      <c r="E249" s="24"/>
      <c r="F249" s="25"/>
      <c r="G249" s="1">
        <v>7025</v>
      </c>
      <c r="H249" s="2">
        <v>94.8</v>
      </c>
      <c r="I249" s="2">
        <v>-22</v>
      </c>
      <c r="J249" s="2">
        <v>-27.1</v>
      </c>
      <c r="K249" s="2">
        <f t="shared" si="28"/>
        <v>-22</v>
      </c>
      <c r="L249" s="8">
        <f t="shared" si="32"/>
        <v>2.0892961308540349E-12</v>
      </c>
      <c r="M249" s="26"/>
      <c r="N249" s="17"/>
      <c r="O249" s="9">
        <f t="shared" si="30"/>
        <v>-27.1</v>
      </c>
      <c r="P249" s="8">
        <f>D248/B248*10^(O249/10)</f>
        <v>0.61290115252394517</v>
      </c>
      <c r="Q249" s="26"/>
      <c r="R249" s="17"/>
      <c r="S249" s="19"/>
      <c r="T249" s="17"/>
      <c r="U249" s="22"/>
    </row>
    <row r="250" spans="1:21" x14ac:dyDescent="0.25">
      <c r="A250" s="24"/>
      <c r="B250" s="24"/>
      <c r="C250" s="17"/>
      <c r="D250" s="24"/>
      <c r="E250" s="24"/>
      <c r="F250" s="25"/>
      <c r="G250" s="1">
        <v>8025</v>
      </c>
      <c r="H250" s="2">
        <v>101.9</v>
      </c>
      <c r="I250" s="2">
        <v>-19.899999999999999</v>
      </c>
      <c r="J250" s="2">
        <v>-27.4</v>
      </c>
      <c r="K250" s="2">
        <f t="shared" si="28"/>
        <v>-19.899999999999999</v>
      </c>
      <c r="L250" s="8">
        <f t="shared" si="32"/>
        <v>6.6069344800759308E-13</v>
      </c>
      <c r="M250" s="26"/>
      <c r="N250" s="17"/>
      <c r="O250" s="9">
        <f t="shared" si="30"/>
        <v>-27.4</v>
      </c>
      <c r="P250" s="8">
        <f>D248/B248*10^(O250/10)</f>
        <v>0.57199263655640453</v>
      </c>
      <c r="Q250" s="26"/>
      <c r="R250" s="17"/>
      <c r="S250" s="19"/>
      <c r="T250" s="17"/>
      <c r="U250" s="22"/>
    </row>
    <row r="251" spans="1:21" x14ac:dyDescent="0.25">
      <c r="A251" s="24"/>
      <c r="B251" s="24"/>
      <c r="C251" s="17"/>
      <c r="D251" s="24"/>
      <c r="E251" s="24"/>
      <c r="F251" s="25"/>
      <c r="G251" s="1">
        <v>9025</v>
      </c>
      <c r="H251" s="2">
        <v>93.2</v>
      </c>
      <c r="I251" s="2">
        <v>-21.6</v>
      </c>
      <c r="J251" s="2">
        <v>-28.9</v>
      </c>
      <c r="K251" s="2">
        <f t="shared" si="28"/>
        <v>-21.6</v>
      </c>
      <c r="L251" s="8">
        <f t="shared" si="32"/>
        <v>3.3113112148258976E-12</v>
      </c>
      <c r="M251" s="26"/>
      <c r="N251" s="17"/>
      <c r="O251" s="9">
        <f t="shared" si="30"/>
        <v>-28.9</v>
      </c>
      <c r="P251" s="8">
        <f>D248/B248*10^(O251/10)</f>
        <v>0.40493977574887513</v>
      </c>
      <c r="Q251" s="26"/>
      <c r="R251" s="17"/>
      <c r="S251" s="19"/>
      <c r="T251" s="17"/>
      <c r="U251" s="22"/>
    </row>
    <row r="252" spans="1:21" x14ac:dyDescent="0.25">
      <c r="A252" s="24"/>
      <c r="B252" s="24"/>
      <c r="C252" s="17"/>
      <c r="D252" s="24"/>
      <c r="E252" s="24"/>
      <c r="F252" s="25"/>
      <c r="G252" s="1">
        <v>10025</v>
      </c>
      <c r="H252" s="2">
        <v>88.3</v>
      </c>
      <c r="I252" s="2">
        <v>-22</v>
      </c>
      <c r="J252" s="2">
        <v>-26.6</v>
      </c>
      <c r="K252" s="2">
        <f t="shared" si="28"/>
        <v>-22</v>
      </c>
      <c r="L252" s="8">
        <f t="shared" si="32"/>
        <v>9.3325430079698992E-12</v>
      </c>
      <c r="M252" s="26"/>
      <c r="N252" s="17"/>
      <c r="O252" s="9">
        <f t="shared" si="30"/>
        <v>-26.6</v>
      </c>
      <c r="P252" s="8">
        <f>D248/B248*10^(O252/10)</f>
        <v>0.6876864037948085</v>
      </c>
      <c r="Q252" s="26"/>
      <c r="R252" s="17"/>
      <c r="S252" s="19"/>
      <c r="T252" s="17"/>
      <c r="U252" s="22"/>
    </row>
    <row r="253" spans="1:21" x14ac:dyDescent="0.25">
      <c r="A253" s="24"/>
      <c r="B253" s="24"/>
      <c r="C253" s="17"/>
      <c r="D253" s="24"/>
      <c r="E253" s="24"/>
      <c r="F253" s="25"/>
      <c r="G253" s="1">
        <v>11025</v>
      </c>
      <c r="H253" s="2">
        <v>86</v>
      </c>
      <c r="I253" s="2">
        <v>-26.3</v>
      </c>
      <c r="J253" s="2">
        <v>-26.7</v>
      </c>
      <c r="K253" s="2">
        <f t="shared" si="28"/>
        <v>-26.3</v>
      </c>
      <c r="L253" s="8">
        <f t="shared" si="32"/>
        <v>5.8884365535558725E-12</v>
      </c>
      <c r="M253" s="26"/>
      <c r="N253" s="17"/>
      <c r="O253" s="9">
        <f t="shared" si="30"/>
        <v>-26.7</v>
      </c>
      <c r="P253" s="8">
        <f>D248/B248*10^(O253/10)</f>
        <v>0.67203275013353481</v>
      </c>
      <c r="Q253" s="26"/>
      <c r="R253" s="17"/>
      <c r="S253" s="20"/>
      <c r="T253" s="17"/>
      <c r="U253" s="23"/>
    </row>
    <row r="254" spans="1:21" x14ac:dyDescent="0.25">
      <c r="A254" s="24" t="s">
        <v>20</v>
      </c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12">
        <f>U254</f>
        <v>6.9789023180979126E-2</v>
      </c>
      <c r="T254" s="2"/>
      <c r="U254" s="8">
        <f>0.8*SQRT(SUM(U220:U253))</f>
        <v>6.9789023180979126E-2</v>
      </c>
    </row>
    <row r="255" spans="1:21" x14ac:dyDescent="0.25">
      <c r="A255" s="27" t="s">
        <v>79</v>
      </c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9"/>
    </row>
    <row r="256" spans="1:21" x14ac:dyDescent="0.25">
      <c r="A256" s="24">
        <v>250</v>
      </c>
      <c r="B256" s="24">
        <v>3</v>
      </c>
      <c r="C256" s="17">
        <v>0.5</v>
      </c>
      <c r="D256" s="24">
        <v>38</v>
      </c>
      <c r="E256" s="24">
        <v>4</v>
      </c>
      <c r="F256" s="25">
        <v>84</v>
      </c>
      <c r="G256" s="1">
        <v>175</v>
      </c>
      <c r="H256" s="2">
        <v>84.8</v>
      </c>
      <c r="I256" s="2">
        <v>-21.1</v>
      </c>
      <c r="J256" s="2">
        <v>-31.6</v>
      </c>
      <c r="K256" s="2">
        <f>I256</f>
        <v>-21.1</v>
      </c>
      <c r="L256" s="8">
        <f>10^((K256-H256)/10)</f>
        <v>2.5703957827688591E-11</v>
      </c>
      <c r="M256" s="26">
        <f>SUM(L256:L259)</f>
        <v>4.2641123008667628E-11</v>
      </c>
      <c r="N256" s="17">
        <f>10*LOG10(M256/E256)</f>
        <v>-109.72231357456606</v>
      </c>
      <c r="O256" s="9">
        <f>J256</f>
        <v>-31.6</v>
      </c>
      <c r="P256" s="8">
        <f>D256/B256*10^(O256/10)</f>
        <v>8.7631922983065196E-3</v>
      </c>
      <c r="Q256" s="26">
        <f>SUM(P256:P259)</f>
        <v>0.11151494647636039</v>
      </c>
      <c r="R256" s="17">
        <f>10*LOG10(Q256)</f>
        <v>-9.5266691972633044</v>
      </c>
      <c r="S256" s="18">
        <f>F256+N256-Kzt-H</f>
        <v>-25.722313574566058</v>
      </c>
      <c r="T256" s="17">
        <v>0.2</v>
      </c>
      <c r="U256" s="21">
        <f>T256*10^((S256-R256)/10)</f>
        <v>4.8024799228374732E-3</v>
      </c>
    </row>
    <row r="257" spans="1:21" x14ac:dyDescent="0.25">
      <c r="A257" s="24"/>
      <c r="B257" s="24"/>
      <c r="C257" s="17"/>
      <c r="D257" s="24"/>
      <c r="E257" s="24"/>
      <c r="F257" s="25"/>
      <c r="G257" s="1">
        <v>225</v>
      </c>
      <c r="H257" s="2">
        <v>90</v>
      </c>
      <c r="I257" s="2">
        <v>-24.5</v>
      </c>
      <c r="J257" s="2">
        <v>-29.6</v>
      </c>
      <c r="K257" s="2">
        <f t="shared" ref="K257:K289" si="33">I257</f>
        <v>-24.5</v>
      </c>
      <c r="L257" s="8">
        <f t="shared" ref="L257:L258" si="34">10^((K257-H257)/10)</f>
        <v>3.5481338923357515E-12</v>
      </c>
      <c r="M257" s="26"/>
      <c r="N257" s="17"/>
      <c r="O257" s="9">
        <f t="shared" ref="O257:O289" si="35">J257</f>
        <v>-29.6</v>
      </c>
      <c r="P257" s="8">
        <f>D256/B256*10^(O257/10)</f>
        <v>1.3888723817813675E-2</v>
      </c>
      <c r="Q257" s="26"/>
      <c r="R257" s="17"/>
      <c r="S257" s="19"/>
      <c r="T257" s="17"/>
      <c r="U257" s="22"/>
    </row>
    <row r="258" spans="1:21" x14ac:dyDescent="0.25">
      <c r="A258" s="24"/>
      <c r="B258" s="24"/>
      <c r="C258" s="17"/>
      <c r="D258" s="24"/>
      <c r="E258" s="24"/>
      <c r="F258" s="25"/>
      <c r="G258" s="1">
        <v>275</v>
      </c>
      <c r="H258" s="2">
        <v>92.2</v>
      </c>
      <c r="I258" s="2">
        <v>-19.8</v>
      </c>
      <c r="J258" s="2">
        <v>-24.6</v>
      </c>
      <c r="K258" s="2">
        <f t="shared" si="33"/>
        <v>-19.8</v>
      </c>
      <c r="L258" s="8">
        <f t="shared" si="34"/>
        <v>6.3095734448019345E-12</v>
      </c>
      <c r="M258" s="26"/>
      <c r="N258" s="17"/>
      <c r="O258" s="9">
        <f t="shared" si="35"/>
        <v>-24.6</v>
      </c>
      <c r="P258" s="8">
        <f>D256/B256*10^(O258/10)</f>
        <v>4.3920001057320655E-2</v>
      </c>
      <c r="Q258" s="26"/>
      <c r="R258" s="17"/>
      <c r="S258" s="19"/>
      <c r="T258" s="17"/>
      <c r="U258" s="22"/>
    </row>
    <row r="259" spans="1:21" x14ac:dyDescent="0.25">
      <c r="A259" s="24"/>
      <c r="B259" s="24"/>
      <c r="C259" s="17"/>
      <c r="D259" s="24"/>
      <c r="E259" s="24"/>
      <c r="F259" s="25"/>
      <c r="G259" s="1">
        <v>325</v>
      </c>
      <c r="H259" s="2">
        <v>93.3</v>
      </c>
      <c r="I259" s="2">
        <v>-18.2</v>
      </c>
      <c r="J259" s="2">
        <v>-24.5</v>
      </c>
      <c r="K259" s="2">
        <f t="shared" si="33"/>
        <v>-18.2</v>
      </c>
      <c r="L259" s="8">
        <f>10^((K259-H259)/10)</f>
        <v>7.0794578438413538E-12</v>
      </c>
      <c r="M259" s="26"/>
      <c r="N259" s="17"/>
      <c r="O259" s="9">
        <f t="shared" si="35"/>
        <v>-24.5</v>
      </c>
      <c r="P259" s="8">
        <f>D256/B256*10^(O259/10)</f>
        <v>4.4943029302919532E-2</v>
      </c>
      <c r="Q259" s="26"/>
      <c r="R259" s="17"/>
      <c r="S259" s="20"/>
      <c r="T259" s="17"/>
      <c r="U259" s="23"/>
    </row>
    <row r="260" spans="1:21" x14ac:dyDescent="0.25">
      <c r="A260" s="24">
        <v>500</v>
      </c>
      <c r="B260" s="24">
        <v>3</v>
      </c>
      <c r="C260" s="17">
        <v>0.5</v>
      </c>
      <c r="D260" s="24">
        <v>59</v>
      </c>
      <c r="E260" s="24">
        <v>6</v>
      </c>
      <c r="F260" s="25">
        <v>84</v>
      </c>
      <c r="G260" s="1">
        <v>375</v>
      </c>
      <c r="H260" s="2">
        <v>91.9</v>
      </c>
      <c r="I260" s="2">
        <v>-23.2</v>
      </c>
      <c r="J260" s="2">
        <v>-29.5</v>
      </c>
      <c r="K260" s="2">
        <f t="shared" si="33"/>
        <v>-23.2</v>
      </c>
      <c r="L260" s="8">
        <f t="shared" ref="L260:L261" si="36">10^((K260-H260)/10)</f>
        <v>3.0902954325135679E-12</v>
      </c>
      <c r="M260" s="26">
        <f>SUM(L260:L265)</f>
        <v>2.4046126123853656E-11</v>
      </c>
      <c r="N260" s="17">
        <f>10*LOG10(M260/E260)</f>
        <v>-113.97106129696488</v>
      </c>
      <c r="O260" s="9">
        <f t="shared" si="35"/>
        <v>-29.5</v>
      </c>
      <c r="P260" s="8">
        <f>D260/B260*10^(O260/10)</f>
        <v>2.2066362934605257E-2</v>
      </c>
      <c r="Q260" s="26">
        <f>SUM(P260:P265)</f>
        <v>0.2879437901647961</v>
      </c>
      <c r="R260" s="17">
        <f>10*LOG10(Q260)</f>
        <v>-5.4069228308734179</v>
      </c>
      <c r="S260" s="18">
        <f>F260+N260-Kzt-H</f>
        <v>-29.971061296964876</v>
      </c>
      <c r="T260" s="17">
        <v>0.5</v>
      </c>
      <c r="U260" s="21">
        <f>T260*10^((S260-R260)/10)</f>
        <v>1.7480592857581452E-3</v>
      </c>
    </row>
    <row r="261" spans="1:21" x14ac:dyDescent="0.25">
      <c r="A261" s="24"/>
      <c r="B261" s="24"/>
      <c r="C261" s="17"/>
      <c r="D261" s="24"/>
      <c r="E261" s="24"/>
      <c r="F261" s="25"/>
      <c r="G261" s="1">
        <v>425</v>
      </c>
      <c r="H261" s="2">
        <v>88.1</v>
      </c>
      <c r="I261" s="2">
        <v>-21.5</v>
      </c>
      <c r="J261" s="2">
        <v>-27.2</v>
      </c>
      <c r="K261" s="2">
        <f t="shared" si="33"/>
        <v>-21.5</v>
      </c>
      <c r="L261" s="8">
        <f t="shared" si="36"/>
        <v>1.096478196143183E-11</v>
      </c>
      <c r="M261" s="26"/>
      <c r="N261" s="17"/>
      <c r="O261" s="9">
        <f t="shared" si="35"/>
        <v>-27.2</v>
      </c>
      <c r="P261" s="8">
        <f>D260/B260*10^(O261/10)</f>
        <v>3.7474060786610537E-2</v>
      </c>
      <c r="Q261" s="26"/>
      <c r="R261" s="17"/>
      <c r="S261" s="19"/>
      <c r="T261" s="17"/>
      <c r="U261" s="22"/>
    </row>
    <row r="262" spans="1:21" x14ac:dyDescent="0.25">
      <c r="A262" s="24"/>
      <c r="B262" s="24"/>
      <c r="C262" s="17"/>
      <c r="D262" s="24"/>
      <c r="E262" s="24"/>
      <c r="F262" s="25"/>
      <c r="G262" s="1">
        <v>475</v>
      </c>
      <c r="H262" s="2">
        <v>90</v>
      </c>
      <c r="I262" s="2">
        <v>-23.1</v>
      </c>
      <c r="J262" s="2">
        <v>-25.5</v>
      </c>
      <c r="K262" s="2">
        <f t="shared" si="33"/>
        <v>-23.1</v>
      </c>
      <c r="L262" s="8">
        <f>10^((K262-H262)/10)</f>
        <v>4.8977881936844688E-12</v>
      </c>
      <c r="M262" s="26"/>
      <c r="N262" s="17"/>
      <c r="O262" s="9">
        <f t="shared" si="35"/>
        <v>-25.5</v>
      </c>
      <c r="P262" s="8">
        <f>D260/B260*10^(O262/10)</f>
        <v>5.5428197648200894E-2</v>
      </c>
      <c r="Q262" s="26"/>
      <c r="R262" s="17"/>
      <c r="S262" s="19"/>
      <c r="T262" s="17"/>
      <c r="U262" s="22"/>
    </row>
    <row r="263" spans="1:21" x14ac:dyDescent="0.25">
      <c r="A263" s="24"/>
      <c r="B263" s="24"/>
      <c r="C263" s="17"/>
      <c r="D263" s="24"/>
      <c r="E263" s="24"/>
      <c r="F263" s="25"/>
      <c r="G263" s="1">
        <v>575</v>
      </c>
      <c r="H263" s="2">
        <v>97</v>
      </c>
      <c r="I263" s="2">
        <v>-22.4</v>
      </c>
      <c r="J263" s="2">
        <v>-25.8</v>
      </c>
      <c r="K263" s="2">
        <f t="shared" si="33"/>
        <v>-22.4</v>
      </c>
      <c r="L263" s="8">
        <f t="shared" ref="L263:L289" si="37">10^((K263-H263)/10)</f>
        <v>1.1481536214968749E-12</v>
      </c>
      <c r="M263" s="26"/>
      <c r="N263" s="17"/>
      <c r="O263" s="9">
        <f t="shared" si="35"/>
        <v>-25.8</v>
      </c>
      <c r="P263" s="8">
        <f>D260/B260*10^(O263/10)</f>
        <v>5.1728603840609129E-2</v>
      </c>
      <c r="Q263" s="26"/>
      <c r="R263" s="17"/>
      <c r="S263" s="19"/>
      <c r="T263" s="17"/>
      <c r="U263" s="22"/>
    </row>
    <row r="264" spans="1:21" x14ac:dyDescent="0.25">
      <c r="A264" s="24"/>
      <c r="B264" s="24"/>
      <c r="C264" s="17"/>
      <c r="D264" s="24"/>
      <c r="E264" s="24"/>
      <c r="F264" s="25"/>
      <c r="G264" s="1">
        <v>625</v>
      </c>
      <c r="H264" s="2">
        <v>92</v>
      </c>
      <c r="I264" s="2">
        <v>-25.1</v>
      </c>
      <c r="J264" s="2">
        <v>-27.7</v>
      </c>
      <c r="K264" s="2">
        <f t="shared" si="33"/>
        <v>-25.1</v>
      </c>
      <c r="L264" s="8">
        <f t="shared" si="37"/>
        <v>1.9498445997580419E-12</v>
      </c>
      <c r="M264" s="26"/>
      <c r="N264" s="17"/>
      <c r="O264" s="9">
        <f t="shared" si="35"/>
        <v>-27.7</v>
      </c>
      <c r="P264" s="8">
        <f>D260/B260*10^(O264/10)</f>
        <v>3.3398791831747605E-2</v>
      </c>
      <c r="Q264" s="26"/>
      <c r="R264" s="17"/>
      <c r="S264" s="19"/>
      <c r="T264" s="17"/>
      <c r="U264" s="22"/>
    </row>
    <row r="265" spans="1:21" x14ac:dyDescent="0.25">
      <c r="A265" s="24"/>
      <c r="B265" s="24"/>
      <c r="C265" s="17"/>
      <c r="D265" s="24"/>
      <c r="E265" s="24"/>
      <c r="F265" s="25"/>
      <c r="G265" s="1">
        <v>675</v>
      </c>
      <c r="H265" s="2">
        <v>94.5</v>
      </c>
      <c r="I265" s="2">
        <v>-22.5</v>
      </c>
      <c r="J265" s="2">
        <v>-23.5</v>
      </c>
      <c r="K265" s="2">
        <f t="shared" si="33"/>
        <v>-22.5</v>
      </c>
      <c r="L265" s="8">
        <f t="shared" si="37"/>
        <v>1.9952623149688759E-12</v>
      </c>
      <c r="M265" s="26"/>
      <c r="N265" s="17"/>
      <c r="O265" s="9">
        <f t="shared" si="35"/>
        <v>-23.5</v>
      </c>
      <c r="P265" s="8">
        <f>D260/B260*10^(O265/10)</f>
        <v>8.7847773123022693E-2</v>
      </c>
      <c r="Q265" s="26"/>
      <c r="R265" s="17"/>
      <c r="S265" s="20"/>
      <c r="T265" s="17"/>
      <c r="U265" s="23"/>
    </row>
    <row r="266" spans="1:21" x14ac:dyDescent="0.25">
      <c r="A266" s="24">
        <v>1000</v>
      </c>
      <c r="B266" s="24">
        <v>3</v>
      </c>
      <c r="C266" s="17">
        <v>0.5</v>
      </c>
      <c r="D266" s="24">
        <v>117</v>
      </c>
      <c r="E266" s="24">
        <v>6</v>
      </c>
      <c r="F266" s="25">
        <v>76</v>
      </c>
      <c r="G266" s="1">
        <v>875</v>
      </c>
      <c r="H266" s="2">
        <v>91.1</v>
      </c>
      <c r="I266" s="2">
        <v>-21.8</v>
      </c>
      <c r="J266" s="2">
        <v>-25</v>
      </c>
      <c r="K266" s="2">
        <f t="shared" si="33"/>
        <v>-21.8</v>
      </c>
      <c r="L266" s="8">
        <f t="shared" si="37"/>
        <v>5.128613839913655E-12</v>
      </c>
      <c r="M266" s="26">
        <f>SUM(L266:L271)</f>
        <v>1.0320363954692825E-11</v>
      </c>
      <c r="N266" s="17">
        <f>10*LOG10(M266/E266)</f>
        <v>-117.64456237130473</v>
      </c>
      <c r="O266" s="9">
        <f t="shared" si="35"/>
        <v>-25</v>
      </c>
      <c r="P266" s="8">
        <f>D266/B266*10^(O266/10)</f>
        <v>0.12332882874656667</v>
      </c>
      <c r="Q266" s="26">
        <f>SUM(P266:P271)</f>
        <v>0.44781626233026484</v>
      </c>
      <c r="R266" s="17">
        <f>10*LOG10(Q266)</f>
        <v>-3.4890013918026592</v>
      </c>
      <c r="S266" s="18">
        <f>F266+N266-Kzt-H</f>
        <v>-41.64456237130473</v>
      </c>
      <c r="T266" s="17">
        <v>0.8</v>
      </c>
      <c r="U266" s="21">
        <f>T266*10^((S266-R266)/10)</f>
        <v>1.223302572564149E-4</v>
      </c>
    </row>
    <row r="267" spans="1:21" x14ac:dyDescent="0.25">
      <c r="A267" s="24"/>
      <c r="B267" s="24"/>
      <c r="C267" s="17"/>
      <c r="D267" s="24"/>
      <c r="E267" s="24"/>
      <c r="F267" s="25"/>
      <c r="G267" s="1">
        <v>975</v>
      </c>
      <c r="H267" s="2">
        <v>96.5</v>
      </c>
      <c r="I267" s="2">
        <v>-20.8</v>
      </c>
      <c r="J267" s="2">
        <v>-25.8</v>
      </c>
      <c r="K267" s="2">
        <f t="shared" si="33"/>
        <v>-20.8</v>
      </c>
      <c r="L267" s="8">
        <f t="shared" si="37"/>
        <v>1.8620871366628578E-12</v>
      </c>
      <c r="M267" s="26"/>
      <c r="N267" s="17"/>
      <c r="O267" s="9">
        <f t="shared" si="35"/>
        <v>-25.8</v>
      </c>
      <c r="P267" s="8">
        <f>D266/B266*10^(O267/10)</f>
        <v>0.10258045168391978</v>
      </c>
      <c r="Q267" s="26"/>
      <c r="R267" s="17"/>
      <c r="S267" s="19"/>
      <c r="T267" s="17"/>
      <c r="U267" s="22"/>
    </row>
    <row r="268" spans="1:21" x14ac:dyDescent="0.25">
      <c r="A268" s="24"/>
      <c r="B268" s="24"/>
      <c r="C268" s="17"/>
      <c r="D268" s="24"/>
      <c r="E268" s="24"/>
      <c r="F268" s="25"/>
      <c r="G268" s="1">
        <v>1075</v>
      </c>
      <c r="H268" s="2">
        <v>94.6</v>
      </c>
      <c r="I268" s="2">
        <v>-26.4</v>
      </c>
      <c r="J268" s="2">
        <v>-28.3</v>
      </c>
      <c r="K268" s="2">
        <f t="shared" si="33"/>
        <v>-26.4</v>
      </c>
      <c r="L268" s="8">
        <f t="shared" si="37"/>
        <v>7.9432823472428024E-13</v>
      </c>
      <c r="M268" s="26"/>
      <c r="N268" s="17"/>
      <c r="O268" s="9">
        <f t="shared" si="35"/>
        <v>-28.3</v>
      </c>
      <c r="P268" s="8">
        <f>D266/B266*10^(O268/10)</f>
        <v>5.7685227138560058E-2</v>
      </c>
      <c r="Q268" s="26"/>
      <c r="R268" s="17"/>
      <c r="S268" s="19"/>
      <c r="T268" s="17"/>
      <c r="U268" s="22"/>
    </row>
    <row r="269" spans="1:21" x14ac:dyDescent="0.25">
      <c r="A269" s="24"/>
      <c r="B269" s="24"/>
      <c r="C269" s="17"/>
      <c r="D269" s="24"/>
      <c r="E269" s="24"/>
      <c r="F269" s="25"/>
      <c r="G269" s="1">
        <v>1175</v>
      </c>
      <c r="H269" s="2">
        <v>97.8</v>
      </c>
      <c r="I269" s="2">
        <v>-20.9</v>
      </c>
      <c r="J269" s="2">
        <v>-29.2</v>
      </c>
      <c r="K269" s="2">
        <f t="shared" si="33"/>
        <v>-20.9</v>
      </c>
      <c r="L269" s="8">
        <f t="shared" si="37"/>
        <v>1.3489628825916532E-12</v>
      </c>
      <c r="M269" s="26"/>
      <c r="N269" s="17"/>
      <c r="O269" s="9">
        <f t="shared" si="35"/>
        <v>-29.2</v>
      </c>
      <c r="P269" s="8">
        <f>D266/B266*10^(O269/10)</f>
        <v>4.6888312950079079E-2</v>
      </c>
      <c r="Q269" s="26"/>
      <c r="R269" s="17"/>
      <c r="S269" s="19"/>
      <c r="T269" s="17"/>
      <c r="U269" s="22"/>
    </row>
    <row r="270" spans="1:21" x14ac:dyDescent="0.25">
      <c r="A270" s="24"/>
      <c r="B270" s="24"/>
      <c r="C270" s="17"/>
      <c r="D270" s="24"/>
      <c r="E270" s="24"/>
      <c r="F270" s="25"/>
      <c r="G270" s="1">
        <v>1275</v>
      </c>
      <c r="H270" s="2">
        <v>100.1</v>
      </c>
      <c r="I270" s="2">
        <v>-20.399999999999999</v>
      </c>
      <c r="J270" s="2">
        <v>-28.7</v>
      </c>
      <c r="K270" s="2">
        <f t="shared" si="33"/>
        <v>-20.399999999999999</v>
      </c>
      <c r="L270" s="8">
        <f t="shared" si="37"/>
        <v>8.9125093813374051E-13</v>
      </c>
      <c r="M270" s="26"/>
      <c r="N270" s="17"/>
      <c r="O270" s="9">
        <f t="shared" si="35"/>
        <v>-28.7</v>
      </c>
      <c r="P270" s="8">
        <f>D266/B266*10^(O270/10)</f>
        <v>5.2609552421074443E-2</v>
      </c>
      <c r="Q270" s="26"/>
      <c r="R270" s="17"/>
      <c r="S270" s="19"/>
      <c r="T270" s="17"/>
      <c r="U270" s="22"/>
    </row>
    <row r="271" spans="1:21" x14ac:dyDescent="0.25">
      <c r="A271" s="24"/>
      <c r="B271" s="24"/>
      <c r="C271" s="17"/>
      <c r="D271" s="24"/>
      <c r="E271" s="24"/>
      <c r="F271" s="25"/>
      <c r="G271" s="1">
        <v>1375</v>
      </c>
      <c r="H271" s="2">
        <v>103</v>
      </c>
      <c r="I271" s="2">
        <v>-22.3</v>
      </c>
      <c r="J271" s="2">
        <v>-27.8</v>
      </c>
      <c r="K271" s="2">
        <f t="shared" si="33"/>
        <v>-22.3</v>
      </c>
      <c r="L271" s="8">
        <f t="shared" si="37"/>
        <v>2.9512092266663824E-13</v>
      </c>
      <c r="M271" s="26"/>
      <c r="N271" s="17"/>
      <c r="O271" s="9">
        <f t="shared" si="35"/>
        <v>-27.8</v>
      </c>
      <c r="P271" s="8">
        <f>D266/B266*10^(O271/10)</f>
        <v>6.4723889390064807E-2</v>
      </c>
      <c r="Q271" s="26"/>
      <c r="R271" s="17"/>
      <c r="S271" s="20"/>
      <c r="T271" s="17"/>
      <c r="U271" s="23"/>
    </row>
    <row r="272" spans="1:21" x14ac:dyDescent="0.25">
      <c r="A272" s="24">
        <v>2000</v>
      </c>
      <c r="B272" s="24">
        <v>3</v>
      </c>
      <c r="C272" s="17">
        <v>0.5</v>
      </c>
      <c r="D272" s="24">
        <v>234</v>
      </c>
      <c r="E272" s="24">
        <v>6</v>
      </c>
      <c r="F272" s="25">
        <v>68</v>
      </c>
      <c r="G272" s="1">
        <v>1425</v>
      </c>
      <c r="H272" s="2">
        <v>102.8</v>
      </c>
      <c r="I272" s="2">
        <v>-21.6</v>
      </c>
      <c r="J272" s="2">
        <v>-32.200000000000003</v>
      </c>
      <c r="K272" s="2">
        <f t="shared" si="33"/>
        <v>-21.6</v>
      </c>
      <c r="L272" s="8">
        <f t="shared" si="37"/>
        <v>3.6307805477009936E-13</v>
      </c>
      <c r="M272" s="26">
        <f>SUM(L272:L277)</f>
        <v>3.700181928071963E-12</v>
      </c>
      <c r="N272" s="17">
        <f>10*LOG10(M272/E272)</f>
        <v>-122.09928172690874</v>
      </c>
      <c r="O272" s="9">
        <f t="shared" si="35"/>
        <v>-32.200000000000003</v>
      </c>
      <c r="P272" s="8">
        <f>D272/B272*10^(O272/10)</f>
        <v>4.6999647713799851E-2</v>
      </c>
      <c r="Q272" s="26">
        <f>SUM(P272:P277)</f>
        <v>0.77937146269341229</v>
      </c>
      <c r="R272" s="17">
        <f>10*LOG10(Q272)</f>
        <v>-1.0825550029041255</v>
      </c>
      <c r="S272" s="18">
        <f>F272+N272-Kzt-H</f>
        <v>-54.099281726908742</v>
      </c>
      <c r="T272" s="17">
        <v>1</v>
      </c>
      <c r="U272" s="21">
        <f>T272*10^((S272-R272)/10)</f>
        <v>4.9926063825876612E-6</v>
      </c>
    </row>
    <row r="273" spans="1:21" x14ac:dyDescent="0.25">
      <c r="A273" s="24"/>
      <c r="B273" s="24"/>
      <c r="C273" s="17"/>
      <c r="D273" s="24"/>
      <c r="E273" s="24"/>
      <c r="F273" s="25"/>
      <c r="G273" s="1">
        <v>1625</v>
      </c>
      <c r="H273" s="2">
        <v>104.1</v>
      </c>
      <c r="I273" s="2">
        <v>-26.1</v>
      </c>
      <c r="J273" s="2">
        <v>-26.1</v>
      </c>
      <c r="K273" s="2">
        <f t="shared" si="33"/>
        <v>-26.1</v>
      </c>
      <c r="L273" s="8">
        <f t="shared" si="37"/>
        <v>9.5499258602143264E-14</v>
      </c>
      <c r="M273" s="26"/>
      <c r="N273" s="17"/>
      <c r="O273" s="9">
        <f t="shared" si="35"/>
        <v>-26.1</v>
      </c>
      <c r="P273" s="8">
        <f>D272/B272*10^(O273/10)</f>
        <v>0.19146729542343205</v>
      </c>
      <c r="Q273" s="26"/>
      <c r="R273" s="17"/>
      <c r="S273" s="19"/>
      <c r="T273" s="17"/>
      <c r="U273" s="22"/>
    </row>
    <row r="274" spans="1:21" x14ac:dyDescent="0.25">
      <c r="A274" s="24"/>
      <c r="B274" s="24"/>
      <c r="C274" s="17"/>
      <c r="D274" s="24"/>
      <c r="E274" s="24"/>
      <c r="F274" s="25"/>
      <c r="G274" s="1">
        <v>1825</v>
      </c>
      <c r="H274" s="2">
        <v>107.6</v>
      </c>
      <c r="I274" s="2">
        <v>-22.7</v>
      </c>
      <c r="J274" s="2">
        <v>-25.4</v>
      </c>
      <c r="K274" s="2">
        <f t="shared" si="33"/>
        <v>-22.7</v>
      </c>
      <c r="L274" s="8">
        <f t="shared" si="37"/>
        <v>9.3325430079699445E-14</v>
      </c>
      <c r="M274" s="26"/>
      <c r="N274" s="17"/>
      <c r="O274" s="9">
        <f t="shared" si="35"/>
        <v>-25.4</v>
      </c>
      <c r="P274" s="8">
        <f>D272/B272*10^(O274/10)</f>
        <v>0.22495445724387514</v>
      </c>
      <c r="Q274" s="26"/>
      <c r="R274" s="17"/>
      <c r="S274" s="19"/>
      <c r="T274" s="17"/>
      <c r="U274" s="22"/>
    </row>
    <row r="275" spans="1:21" x14ac:dyDescent="0.25">
      <c r="A275" s="24"/>
      <c r="B275" s="24"/>
      <c r="C275" s="17"/>
      <c r="D275" s="24"/>
      <c r="E275" s="24"/>
      <c r="F275" s="25"/>
      <c r="G275" s="1">
        <v>2125</v>
      </c>
      <c r="H275" s="2">
        <v>104.2</v>
      </c>
      <c r="I275" s="2">
        <v>-24.4</v>
      </c>
      <c r="J275" s="2">
        <v>-27.2</v>
      </c>
      <c r="K275" s="2">
        <f t="shared" si="33"/>
        <v>-24.4</v>
      </c>
      <c r="L275" s="8">
        <f t="shared" si="37"/>
        <v>1.3803842646028828E-13</v>
      </c>
      <c r="M275" s="26"/>
      <c r="N275" s="17"/>
      <c r="O275" s="9">
        <f t="shared" si="35"/>
        <v>-27.2</v>
      </c>
      <c r="P275" s="8">
        <f>D272/B272*10^(O275/10)</f>
        <v>0.1486259360011333</v>
      </c>
      <c r="Q275" s="26"/>
      <c r="R275" s="17"/>
      <c r="S275" s="19"/>
      <c r="T275" s="17"/>
      <c r="U275" s="22"/>
    </row>
    <row r="276" spans="1:21" x14ac:dyDescent="0.25">
      <c r="A276" s="24"/>
      <c r="B276" s="24"/>
      <c r="C276" s="17"/>
      <c r="D276" s="24"/>
      <c r="E276" s="24"/>
      <c r="F276" s="25"/>
      <c r="G276" s="1">
        <v>2425</v>
      </c>
      <c r="H276" s="2">
        <v>93.7</v>
      </c>
      <c r="I276" s="2">
        <v>-23.6</v>
      </c>
      <c r="J276" s="2">
        <v>-33.9</v>
      </c>
      <c r="K276" s="2">
        <f t="shared" si="33"/>
        <v>-23.6</v>
      </c>
      <c r="L276" s="8">
        <f t="shared" si="37"/>
        <v>1.8620871366628578E-12</v>
      </c>
      <c r="M276" s="26"/>
      <c r="N276" s="17"/>
      <c r="O276" s="9">
        <f t="shared" si="35"/>
        <v>-33.9</v>
      </c>
      <c r="P276" s="8">
        <f>D272/B272*10^(O276/10)</f>
        <v>3.1775661668720812E-2</v>
      </c>
      <c r="Q276" s="26"/>
      <c r="R276" s="17"/>
      <c r="S276" s="19"/>
      <c r="T276" s="17"/>
      <c r="U276" s="22"/>
    </row>
    <row r="277" spans="1:21" x14ac:dyDescent="0.25">
      <c r="A277" s="24"/>
      <c r="B277" s="24"/>
      <c r="C277" s="17"/>
      <c r="D277" s="24"/>
      <c r="E277" s="24"/>
      <c r="F277" s="25"/>
      <c r="G277" s="1">
        <v>2775</v>
      </c>
      <c r="H277" s="2">
        <v>100.2</v>
      </c>
      <c r="I277" s="2">
        <v>-19.2</v>
      </c>
      <c r="J277" s="2">
        <v>-27.6</v>
      </c>
      <c r="K277" s="2">
        <f t="shared" si="33"/>
        <v>-19.2</v>
      </c>
      <c r="L277" s="8">
        <f t="shared" si="37"/>
        <v>1.1481536214968749E-12</v>
      </c>
      <c r="M277" s="26"/>
      <c r="N277" s="17"/>
      <c r="O277" s="9">
        <f t="shared" si="35"/>
        <v>-27.6</v>
      </c>
      <c r="P277" s="8">
        <f>D272/B272*10^(O277/10)</f>
        <v>0.13554846464245113</v>
      </c>
      <c r="Q277" s="26"/>
      <c r="R277" s="17"/>
      <c r="S277" s="20"/>
      <c r="T277" s="17"/>
      <c r="U277" s="23"/>
    </row>
    <row r="278" spans="1:21" x14ac:dyDescent="0.25">
      <c r="A278" s="24">
        <v>4000</v>
      </c>
      <c r="B278" s="24">
        <v>3</v>
      </c>
      <c r="C278" s="17">
        <v>0.5</v>
      </c>
      <c r="D278" s="24">
        <v>470</v>
      </c>
      <c r="E278" s="24">
        <v>6</v>
      </c>
      <c r="F278" s="25">
        <v>62</v>
      </c>
      <c r="G278" s="1">
        <v>2825</v>
      </c>
      <c r="H278" s="2">
        <v>99.4</v>
      </c>
      <c r="I278" s="2">
        <v>-21.1</v>
      </c>
      <c r="J278" s="2">
        <v>-29</v>
      </c>
      <c r="K278" s="2">
        <f t="shared" si="33"/>
        <v>-21.1</v>
      </c>
      <c r="L278" s="8">
        <f t="shared" si="37"/>
        <v>8.9125093813374051E-13</v>
      </c>
      <c r="M278" s="26">
        <f>SUM(L278:L283)</f>
        <v>2.2086275372553604E-12</v>
      </c>
      <c r="N278" s="17">
        <f>10*LOG10(M278/E278)</f>
        <v>-124.34028767718826</v>
      </c>
      <c r="O278" s="9">
        <f t="shared" si="35"/>
        <v>-29</v>
      </c>
      <c r="P278" s="8">
        <f>D278/B278*10^(O278/10)</f>
        <v>0.19723164784775268</v>
      </c>
      <c r="Q278" s="26">
        <f>SUM(P278:P283)</f>
        <v>1.2125560252504992</v>
      </c>
      <c r="R278" s="17">
        <f>10*LOG10(Q278)</f>
        <v>0.83701813991845131</v>
      </c>
      <c r="S278" s="18">
        <f>F278+N278-Kzt-H</f>
        <v>-62.340287677188257</v>
      </c>
      <c r="T278" s="17">
        <v>0.9</v>
      </c>
      <c r="U278" s="21">
        <f>T278*10^((S278-R278)/10)</f>
        <v>4.3302396040896584E-7</v>
      </c>
    </row>
    <row r="279" spans="1:21" x14ac:dyDescent="0.25">
      <c r="A279" s="24"/>
      <c r="B279" s="24"/>
      <c r="C279" s="17"/>
      <c r="D279" s="24"/>
      <c r="E279" s="24"/>
      <c r="F279" s="25"/>
      <c r="G279" s="1">
        <v>3425</v>
      </c>
      <c r="H279" s="2">
        <v>103.5</v>
      </c>
      <c r="I279" s="2">
        <v>-19.899999999999999</v>
      </c>
      <c r="J279" s="2">
        <v>-28.9</v>
      </c>
      <c r="K279" s="2">
        <f t="shared" si="33"/>
        <v>-19.899999999999999</v>
      </c>
      <c r="L279" s="8">
        <f t="shared" si="37"/>
        <v>4.5708818961487372E-13</v>
      </c>
      <c r="M279" s="26"/>
      <c r="N279" s="17"/>
      <c r="O279" s="9">
        <f t="shared" si="35"/>
        <v>-28.9</v>
      </c>
      <c r="P279" s="8">
        <f>D278/B278*10^(O279/10)</f>
        <v>0.20182576309859099</v>
      </c>
      <c r="Q279" s="26"/>
      <c r="R279" s="17"/>
      <c r="S279" s="19"/>
      <c r="T279" s="17"/>
      <c r="U279" s="22"/>
    </row>
    <row r="280" spans="1:21" x14ac:dyDescent="0.25">
      <c r="A280" s="24"/>
      <c r="B280" s="24"/>
      <c r="C280" s="17"/>
      <c r="D280" s="24"/>
      <c r="E280" s="24"/>
      <c r="F280" s="25"/>
      <c r="G280" s="1">
        <v>4025</v>
      </c>
      <c r="H280" s="2">
        <v>103.6</v>
      </c>
      <c r="I280" s="2">
        <v>-24.7</v>
      </c>
      <c r="J280" s="2">
        <v>-28.1</v>
      </c>
      <c r="K280" s="2">
        <f t="shared" si="33"/>
        <v>-24.7</v>
      </c>
      <c r="L280" s="8">
        <f t="shared" si="37"/>
        <v>1.47910838816821E-13</v>
      </c>
      <c r="M280" s="26"/>
      <c r="N280" s="17"/>
      <c r="O280" s="9">
        <f t="shared" si="35"/>
        <v>-28.1</v>
      </c>
      <c r="P280" s="8">
        <f>D278/B278*10^(O280/10)</f>
        <v>0.24264793696295522</v>
      </c>
      <c r="Q280" s="26"/>
      <c r="R280" s="17"/>
      <c r="S280" s="19"/>
      <c r="T280" s="17"/>
      <c r="U280" s="22"/>
    </row>
    <row r="281" spans="1:21" x14ac:dyDescent="0.25">
      <c r="A281" s="24"/>
      <c r="B281" s="24"/>
      <c r="C281" s="17"/>
      <c r="D281" s="24"/>
      <c r="E281" s="24"/>
      <c r="F281" s="25"/>
      <c r="G281" s="1">
        <v>4625</v>
      </c>
      <c r="H281" s="2">
        <v>105.6</v>
      </c>
      <c r="I281" s="2">
        <v>-24.8</v>
      </c>
      <c r="J281" s="2">
        <v>-30.8</v>
      </c>
      <c r="K281" s="2">
        <f t="shared" si="33"/>
        <v>-24.8</v>
      </c>
      <c r="L281" s="8">
        <f t="shared" si="37"/>
        <v>9.1201083935590668E-14</v>
      </c>
      <c r="M281" s="26"/>
      <c r="N281" s="17"/>
      <c r="O281" s="9">
        <f t="shared" si="35"/>
        <v>-30.8</v>
      </c>
      <c r="P281" s="8">
        <f>D278/B278*10^(O281/10)</f>
        <v>0.13030965747275167</v>
      </c>
      <c r="Q281" s="26"/>
      <c r="R281" s="17"/>
      <c r="S281" s="19"/>
      <c r="T281" s="17"/>
      <c r="U281" s="22"/>
    </row>
    <row r="282" spans="1:21" x14ac:dyDescent="0.25">
      <c r="A282" s="24"/>
      <c r="B282" s="24"/>
      <c r="C282" s="17"/>
      <c r="D282" s="24"/>
      <c r="E282" s="24"/>
      <c r="F282" s="25"/>
      <c r="G282" s="1">
        <v>5225</v>
      </c>
      <c r="H282" s="2">
        <v>103.5</v>
      </c>
      <c r="I282" s="2">
        <v>-23.2</v>
      </c>
      <c r="J282" s="2">
        <v>-33.299999999999997</v>
      </c>
      <c r="K282" s="2">
        <f t="shared" si="33"/>
        <v>-23.2</v>
      </c>
      <c r="L282" s="8">
        <f t="shared" si="37"/>
        <v>2.1379620895022253E-13</v>
      </c>
      <c r="M282" s="26"/>
      <c r="N282" s="17"/>
      <c r="O282" s="9">
        <f t="shared" si="35"/>
        <v>-33.299999999999997</v>
      </c>
      <c r="P282" s="8">
        <f>D278/B278*10^(O282/10)</f>
        <v>7.327850546832769E-2</v>
      </c>
      <c r="Q282" s="26"/>
      <c r="R282" s="17"/>
      <c r="S282" s="19"/>
      <c r="T282" s="17"/>
      <c r="U282" s="22"/>
    </row>
    <row r="283" spans="1:21" x14ac:dyDescent="0.25">
      <c r="A283" s="24"/>
      <c r="B283" s="24"/>
      <c r="C283" s="17"/>
      <c r="D283" s="24"/>
      <c r="E283" s="24"/>
      <c r="F283" s="25"/>
      <c r="G283" s="1">
        <v>5625</v>
      </c>
      <c r="H283" s="2">
        <v>99.5</v>
      </c>
      <c r="I283" s="2">
        <v>-24.400000000000002</v>
      </c>
      <c r="J283" s="2">
        <v>-26.3</v>
      </c>
      <c r="K283" s="2">
        <f t="shared" si="33"/>
        <v>-24.400000000000002</v>
      </c>
      <c r="L283" s="8">
        <f t="shared" si="37"/>
        <v>4.0738027780411177E-13</v>
      </c>
      <c r="M283" s="26"/>
      <c r="N283" s="17"/>
      <c r="O283" s="9">
        <f t="shared" si="35"/>
        <v>-26.3</v>
      </c>
      <c r="P283" s="8">
        <f>D278/B278*10^(O283/10)</f>
        <v>0.36726251440012081</v>
      </c>
      <c r="Q283" s="26"/>
      <c r="R283" s="17"/>
      <c r="S283" s="20"/>
      <c r="T283" s="17"/>
      <c r="U283" s="23"/>
    </row>
    <row r="284" spans="1:21" x14ac:dyDescent="0.25">
      <c r="A284" s="24">
        <v>8000</v>
      </c>
      <c r="B284" s="24">
        <v>3</v>
      </c>
      <c r="C284" s="17">
        <v>0.5</v>
      </c>
      <c r="D284" s="24">
        <v>943</v>
      </c>
      <c r="E284" s="24">
        <v>6</v>
      </c>
      <c r="F284" s="25">
        <v>54</v>
      </c>
      <c r="G284" s="1">
        <v>6025</v>
      </c>
      <c r="H284" s="2">
        <v>95</v>
      </c>
      <c r="I284" s="2">
        <v>-22.3</v>
      </c>
      <c r="J284" s="2">
        <v>-25.7</v>
      </c>
      <c r="K284" s="2">
        <f t="shared" si="33"/>
        <v>-22.3</v>
      </c>
      <c r="L284" s="8">
        <f t="shared" si="37"/>
        <v>1.8620871366628578E-12</v>
      </c>
      <c r="M284" s="26">
        <f>SUM(L284:L289)</f>
        <v>3.1454159603647778E-11</v>
      </c>
      <c r="N284" s="17">
        <f>10*LOG10(M284/E284)</f>
        <v>-112.80473164244405</v>
      </c>
      <c r="O284" s="9">
        <f t="shared" si="35"/>
        <v>-25.7</v>
      </c>
      <c r="P284" s="8">
        <f>D284/B284*10^(O284/10)</f>
        <v>0.84603910670102689</v>
      </c>
      <c r="Q284" s="26">
        <f>SUM(P284:P289)</f>
        <v>3.7744766131081469</v>
      </c>
      <c r="R284" s="17">
        <f>10*LOG10(Q284)</f>
        <v>5.7685673880021788</v>
      </c>
      <c r="S284" s="18">
        <f>F284+N284-Kzt-H</f>
        <v>-58.804731642444054</v>
      </c>
      <c r="T284" s="17">
        <v>0.7</v>
      </c>
      <c r="U284" s="21">
        <f>T284*10^((S284-R284)/10)</f>
        <v>2.4421263915102479E-7</v>
      </c>
    </row>
    <row r="285" spans="1:21" x14ac:dyDescent="0.25">
      <c r="A285" s="24"/>
      <c r="B285" s="24"/>
      <c r="C285" s="17"/>
      <c r="D285" s="24"/>
      <c r="E285" s="24"/>
      <c r="F285" s="25"/>
      <c r="G285" s="1">
        <v>7025</v>
      </c>
      <c r="H285" s="2">
        <v>94.8</v>
      </c>
      <c r="I285" s="2">
        <v>-23.2</v>
      </c>
      <c r="J285" s="2">
        <v>-30.4</v>
      </c>
      <c r="K285" s="2">
        <f t="shared" si="33"/>
        <v>-23.2</v>
      </c>
      <c r="L285" s="8">
        <f t="shared" si="37"/>
        <v>1.5848931924611065E-12</v>
      </c>
      <c r="M285" s="26"/>
      <c r="N285" s="17"/>
      <c r="O285" s="9">
        <f t="shared" si="35"/>
        <v>-30.4</v>
      </c>
      <c r="P285" s="8">
        <f>D284/B284*10^(O285/10)</f>
        <v>0.28667540717087392</v>
      </c>
      <c r="Q285" s="26"/>
      <c r="R285" s="17"/>
      <c r="S285" s="19"/>
      <c r="T285" s="17"/>
      <c r="U285" s="22"/>
    </row>
    <row r="286" spans="1:21" x14ac:dyDescent="0.25">
      <c r="A286" s="24"/>
      <c r="B286" s="24"/>
      <c r="C286" s="17"/>
      <c r="D286" s="24"/>
      <c r="E286" s="24"/>
      <c r="F286" s="25"/>
      <c r="G286" s="1">
        <v>8025</v>
      </c>
      <c r="H286" s="2">
        <v>101.9</v>
      </c>
      <c r="I286" s="2">
        <v>-22.6</v>
      </c>
      <c r="J286" s="2">
        <v>-27.7</v>
      </c>
      <c r="K286" s="2">
        <f t="shared" si="33"/>
        <v>-22.6</v>
      </c>
      <c r="L286" s="8">
        <f t="shared" si="37"/>
        <v>3.5481338923357479E-13</v>
      </c>
      <c r="M286" s="26"/>
      <c r="N286" s="17"/>
      <c r="O286" s="9">
        <f t="shared" si="35"/>
        <v>-27.7</v>
      </c>
      <c r="P286" s="8">
        <f>D284/B284*10^(O286/10)</f>
        <v>0.53381458809047433</v>
      </c>
      <c r="Q286" s="26"/>
      <c r="R286" s="17"/>
      <c r="S286" s="19"/>
      <c r="T286" s="17"/>
      <c r="U286" s="22"/>
    </row>
    <row r="287" spans="1:21" x14ac:dyDescent="0.25">
      <c r="A287" s="24"/>
      <c r="B287" s="24"/>
      <c r="C287" s="17"/>
      <c r="D287" s="24"/>
      <c r="E287" s="24"/>
      <c r="F287" s="25"/>
      <c r="G287" s="1">
        <v>9025</v>
      </c>
      <c r="H287" s="2">
        <v>93.2</v>
      </c>
      <c r="I287" s="2">
        <v>-22.8</v>
      </c>
      <c r="J287" s="2">
        <v>-26.5</v>
      </c>
      <c r="K287" s="2">
        <f t="shared" si="33"/>
        <v>-22.8</v>
      </c>
      <c r="L287" s="8">
        <f t="shared" si="37"/>
        <v>2.5118864315095726E-12</v>
      </c>
      <c r="M287" s="26"/>
      <c r="N287" s="17"/>
      <c r="O287" s="9">
        <f t="shared" si="35"/>
        <v>-26.5</v>
      </c>
      <c r="P287" s="8">
        <f>D284/B284*10^(O287/10)</f>
        <v>0.70370467788998103</v>
      </c>
      <c r="Q287" s="26"/>
      <c r="R287" s="17"/>
      <c r="S287" s="19"/>
      <c r="T287" s="17"/>
      <c r="U287" s="22"/>
    </row>
    <row r="288" spans="1:21" x14ac:dyDescent="0.25">
      <c r="A288" s="24"/>
      <c r="B288" s="24"/>
      <c r="C288" s="17"/>
      <c r="D288" s="24"/>
      <c r="E288" s="24"/>
      <c r="F288" s="25"/>
      <c r="G288" s="1">
        <v>10025</v>
      </c>
      <c r="H288" s="2">
        <v>88.3</v>
      </c>
      <c r="I288" s="2">
        <v>-22.8</v>
      </c>
      <c r="J288" s="2">
        <v>-24.6</v>
      </c>
      <c r="K288" s="2">
        <f t="shared" si="33"/>
        <v>-22.8</v>
      </c>
      <c r="L288" s="8">
        <f t="shared" si="37"/>
        <v>7.762471166286914E-12</v>
      </c>
      <c r="M288" s="26"/>
      <c r="N288" s="17"/>
      <c r="O288" s="9">
        <f t="shared" si="35"/>
        <v>-24.6</v>
      </c>
      <c r="P288" s="8">
        <f>D284/B284*10^(O288/10)</f>
        <v>1.0899094999224572</v>
      </c>
      <c r="Q288" s="26"/>
      <c r="R288" s="17"/>
      <c r="S288" s="19"/>
      <c r="T288" s="17"/>
      <c r="U288" s="22"/>
    </row>
    <row r="289" spans="1:21" x14ac:dyDescent="0.25">
      <c r="A289" s="24"/>
      <c r="B289" s="24"/>
      <c r="C289" s="17"/>
      <c r="D289" s="24"/>
      <c r="E289" s="24"/>
      <c r="F289" s="25"/>
      <c r="G289" s="1">
        <v>11025</v>
      </c>
      <c r="H289" s="2">
        <v>86</v>
      </c>
      <c r="I289" s="2">
        <v>-21.6</v>
      </c>
      <c r="J289" s="2">
        <v>-30</v>
      </c>
      <c r="K289" s="2">
        <f t="shared" si="33"/>
        <v>-21.6</v>
      </c>
      <c r="L289" s="8">
        <f t="shared" si="37"/>
        <v>1.7378008287493749E-11</v>
      </c>
      <c r="M289" s="26"/>
      <c r="N289" s="17"/>
      <c r="O289" s="9">
        <f t="shared" si="35"/>
        <v>-30</v>
      </c>
      <c r="P289" s="8">
        <f>D284/B284*10^(O289/10)</f>
        <v>0.3143333333333333</v>
      </c>
      <c r="Q289" s="26"/>
      <c r="R289" s="17"/>
      <c r="S289" s="20"/>
      <c r="T289" s="17"/>
      <c r="U289" s="23"/>
    </row>
    <row r="290" spans="1:21" x14ac:dyDescent="0.25">
      <c r="A290" s="24" t="s">
        <v>20</v>
      </c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12">
        <f>U290</f>
        <v>6.5377864431731603E-2</v>
      </c>
      <c r="T290" s="2"/>
      <c r="U290" s="8">
        <f>0.8*SQRT(SUM(U256:U289))</f>
        <v>6.5377864431731603E-2</v>
      </c>
    </row>
    <row r="291" spans="1:21" x14ac:dyDescent="0.25">
      <c r="A291" s="27" t="s">
        <v>80</v>
      </c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9"/>
    </row>
    <row r="292" spans="1:21" x14ac:dyDescent="0.25">
      <c r="A292" s="24">
        <v>250</v>
      </c>
      <c r="B292" s="24">
        <v>3</v>
      </c>
      <c r="C292" s="17">
        <v>0.5</v>
      </c>
      <c r="D292" s="24">
        <v>38</v>
      </c>
      <c r="E292" s="24">
        <v>4</v>
      </c>
      <c r="F292" s="25">
        <v>84</v>
      </c>
      <c r="G292" s="1">
        <v>175</v>
      </c>
      <c r="H292" s="2">
        <v>84.8</v>
      </c>
      <c r="I292" s="2">
        <v>-12.5</v>
      </c>
      <c r="J292" s="2">
        <v>-12.6</v>
      </c>
      <c r="K292" s="2">
        <f>I292</f>
        <v>-12.5</v>
      </c>
      <c r="L292" s="8">
        <f>10^((K292-H292)/10)</f>
        <v>1.862087136662862E-10</v>
      </c>
      <c r="M292" s="26">
        <f>SUM(L292:L295)</f>
        <v>2.2781461526503756E-10</v>
      </c>
      <c r="N292" s="17">
        <f>10*LOG10(M292/E292)</f>
        <v>-102.44478408874832</v>
      </c>
      <c r="O292" s="9">
        <f>J292</f>
        <v>-12.6</v>
      </c>
      <c r="P292" s="8">
        <f>D292/B292*10^(O292/10)</f>
        <v>0.69608510688632419</v>
      </c>
      <c r="Q292" s="26">
        <f>SUM(P292:P295)</f>
        <v>0.81313698293415193</v>
      </c>
      <c r="R292" s="17">
        <f>10*LOG10(Q292)</f>
        <v>-0.89836285991238407</v>
      </c>
      <c r="S292" s="18">
        <f>F292+N292-Kzt-H</f>
        <v>-18.444784088748321</v>
      </c>
      <c r="T292" s="17">
        <v>0.2</v>
      </c>
      <c r="U292" s="21">
        <f>T292*10^((S292-R292)/10)</f>
        <v>3.5187456295427372E-3</v>
      </c>
    </row>
    <row r="293" spans="1:21" x14ac:dyDescent="0.25">
      <c r="A293" s="24"/>
      <c r="B293" s="24"/>
      <c r="C293" s="17"/>
      <c r="D293" s="24"/>
      <c r="E293" s="24"/>
      <c r="F293" s="25"/>
      <c r="G293" s="1">
        <v>225</v>
      </c>
      <c r="H293" s="2">
        <v>90</v>
      </c>
      <c r="I293" s="2">
        <v>-15.1</v>
      </c>
      <c r="J293" s="2">
        <v>-25.9</v>
      </c>
      <c r="K293" s="2">
        <f t="shared" ref="K293:K325" si="38">I293</f>
        <v>-15.1</v>
      </c>
      <c r="L293" s="8">
        <f t="shared" ref="L293:L294" si="39">10^((K293-H293)/10)</f>
        <v>3.0902954325135829E-11</v>
      </c>
      <c r="M293" s="26"/>
      <c r="N293" s="17"/>
      <c r="O293" s="9">
        <f t="shared" ref="O293:O325" si="40">J293</f>
        <v>-25.9</v>
      </c>
      <c r="P293" s="8">
        <f>D292/B292*10^(O293/10)</f>
        <v>3.2558346581738937E-2</v>
      </c>
      <c r="Q293" s="26"/>
      <c r="R293" s="17"/>
      <c r="S293" s="19"/>
      <c r="T293" s="17"/>
      <c r="U293" s="22"/>
    </row>
    <row r="294" spans="1:21" x14ac:dyDescent="0.25">
      <c r="A294" s="24"/>
      <c r="B294" s="24"/>
      <c r="C294" s="17"/>
      <c r="D294" s="24"/>
      <c r="E294" s="24"/>
      <c r="F294" s="25"/>
      <c r="G294" s="1">
        <v>275</v>
      </c>
      <c r="H294" s="2">
        <v>92.2</v>
      </c>
      <c r="I294" s="2">
        <v>-21.1</v>
      </c>
      <c r="J294" s="2">
        <v>-22.5</v>
      </c>
      <c r="K294" s="2">
        <f t="shared" si="38"/>
        <v>-21.1</v>
      </c>
      <c r="L294" s="8">
        <f t="shared" si="39"/>
        <v>4.6773514128719567E-12</v>
      </c>
      <c r="M294" s="26"/>
      <c r="N294" s="17"/>
      <c r="O294" s="9">
        <f t="shared" si="40"/>
        <v>-22.5</v>
      </c>
      <c r="P294" s="8">
        <f>D292/B292*10^(O294/10)</f>
        <v>7.1229901190777489E-2</v>
      </c>
      <c r="Q294" s="26"/>
      <c r="R294" s="17"/>
      <c r="S294" s="19"/>
      <c r="T294" s="17"/>
      <c r="U294" s="22"/>
    </row>
    <row r="295" spans="1:21" x14ac:dyDescent="0.25">
      <c r="A295" s="24"/>
      <c r="B295" s="24"/>
      <c r="C295" s="17"/>
      <c r="D295" s="24"/>
      <c r="E295" s="24"/>
      <c r="F295" s="25"/>
      <c r="G295" s="1">
        <v>325</v>
      </c>
      <c r="H295" s="2">
        <v>93.3</v>
      </c>
      <c r="I295" s="2">
        <v>-18.899999999999999</v>
      </c>
      <c r="J295" s="2">
        <v>-29.8</v>
      </c>
      <c r="K295" s="2">
        <f t="shared" si="38"/>
        <v>-18.899999999999999</v>
      </c>
      <c r="L295" s="8">
        <f>10^((K295-H295)/10)</f>
        <v>6.0255958607435815E-12</v>
      </c>
      <c r="M295" s="26"/>
      <c r="N295" s="17"/>
      <c r="O295" s="9">
        <f t="shared" si="40"/>
        <v>-29.8</v>
      </c>
      <c r="P295" s="8">
        <f>D292/B292*10^(O295/10)</f>
        <v>1.3263628275311384E-2</v>
      </c>
      <c r="Q295" s="26"/>
      <c r="R295" s="17"/>
      <c r="S295" s="20"/>
      <c r="T295" s="17"/>
      <c r="U295" s="23"/>
    </row>
    <row r="296" spans="1:21" x14ac:dyDescent="0.25">
      <c r="A296" s="24">
        <v>500</v>
      </c>
      <c r="B296" s="24">
        <v>3</v>
      </c>
      <c r="C296" s="17">
        <v>0.5</v>
      </c>
      <c r="D296" s="24">
        <v>59</v>
      </c>
      <c r="E296" s="24">
        <v>6</v>
      </c>
      <c r="F296" s="25">
        <v>84</v>
      </c>
      <c r="G296" s="1">
        <v>375</v>
      </c>
      <c r="H296" s="2">
        <v>91.9</v>
      </c>
      <c r="I296" s="2">
        <v>-24.1</v>
      </c>
      <c r="J296" s="2">
        <v>-25.1</v>
      </c>
      <c r="K296" s="2">
        <f t="shared" si="38"/>
        <v>-24.1</v>
      </c>
      <c r="L296" s="8">
        <f t="shared" ref="L296:L297" si="41">10^((K296-H296)/10)</f>
        <v>2.5118864315095726E-12</v>
      </c>
      <c r="M296" s="26">
        <f>SUM(L296:L301)</f>
        <v>1.1983931624145848E-10</v>
      </c>
      <c r="N296" s="17">
        <f>10*LOG10(M296/E296)</f>
        <v>-106.9955192794388</v>
      </c>
      <c r="O296" s="9">
        <f t="shared" si="40"/>
        <v>-25.1</v>
      </c>
      <c r="P296" s="8">
        <f>D296/B296*10^(O296/10)</f>
        <v>6.0775810172767231E-2</v>
      </c>
      <c r="Q296" s="26">
        <f>SUM(P296:P301)</f>
        <v>0.66154092527716912</v>
      </c>
      <c r="R296" s="17">
        <f>10*LOG10(Q296)</f>
        <v>-1.7944328364237017</v>
      </c>
      <c r="S296" s="18">
        <f>F296+N296-Kzt-H</f>
        <v>-22.995519279438795</v>
      </c>
      <c r="T296" s="17">
        <v>0.5</v>
      </c>
      <c r="U296" s="21">
        <f>T296*10^((S296-R296)/10)</f>
        <v>3.7919391545602902E-3</v>
      </c>
    </row>
    <row r="297" spans="1:21" x14ac:dyDescent="0.25">
      <c r="A297" s="24"/>
      <c r="B297" s="24"/>
      <c r="C297" s="17"/>
      <c r="D297" s="24"/>
      <c r="E297" s="24"/>
      <c r="F297" s="25"/>
      <c r="G297" s="1">
        <v>425</v>
      </c>
      <c r="H297" s="2">
        <v>88.1</v>
      </c>
      <c r="I297" s="2">
        <v>-21.4</v>
      </c>
      <c r="J297" s="2">
        <v>-23</v>
      </c>
      <c r="K297" s="2">
        <f t="shared" si="38"/>
        <v>-21.4</v>
      </c>
      <c r="L297" s="8">
        <f t="shared" si="41"/>
        <v>1.1220184543019613E-11</v>
      </c>
      <c r="M297" s="26"/>
      <c r="N297" s="17"/>
      <c r="O297" s="9">
        <f t="shared" si="40"/>
        <v>-23</v>
      </c>
      <c r="P297" s="8">
        <f>D296/B296*10^(O297/10)</f>
        <v>9.8566822613363525E-2</v>
      </c>
      <c r="Q297" s="26"/>
      <c r="R297" s="17"/>
      <c r="S297" s="19"/>
      <c r="T297" s="17"/>
      <c r="U297" s="22"/>
    </row>
    <row r="298" spans="1:21" x14ac:dyDescent="0.25">
      <c r="A298" s="24"/>
      <c r="B298" s="24"/>
      <c r="C298" s="17"/>
      <c r="D298" s="24"/>
      <c r="E298" s="24"/>
      <c r="F298" s="25"/>
      <c r="G298" s="1">
        <v>475</v>
      </c>
      <c r="H298" s="2">
        <v>90</v>
      </c>
      <c r="I298" s="2">
        <v>-11.6</v>
      </c>
      <c r="J298" s="2">
        <v>-23.7</v>
      </c>
      <c r="K298" s="2">
        <f t="shared" si="38"/>
        <v>-11.6</v>
      </c>
      <c r="L298" s="8">
        <f>10^((K298-H298)/10)</f>
        <v>6.9183097091893483E-11</v>
      </c>
      <c r="M298" s="26"/>
      <c r="N298" s="17"/>
      <c r="O298" s="9">
        <f t="shared" si="40"/>
        <v>-23.7</v>
      </c>
      <c r="P298" s="8">
        <f>D296/B296*10^(O298/10)</f>
        <v>8.3893972030979869E-2</v>
      </c>
      <c r="Q298" s="26"/>
      <c r="R298" s="17"/>
      <c r="S298" s="19"/>
      <c r="T298" s="17"/>
      <c r="U298" s="22"/>
    </row>
    <row r="299" spans="1:21" x14ac:dyDescent="0.25">
      <c r="A299" s="24"/>
      <c r="B299" s="24"/>
      <c r="C299" s="17"/>
      <c r="D299" s="24"/>
      <c r="E299" s="24"/>
      <c r="F299" s="25"/>
      <c r="G299" s="1">
        <v>575</v>
      </c>
      <c r="H299" s="2">
        <v>97</v>
      </c>
      <c r="I299" s="2">
        <v>-19.899999999999999</v>
      </c>
      <c r="J299" s="2">
        <v>-23.3</v>
      </c>
      <c r="K299" s="2">
        <f t="shared" si="38"/>
        <v>-19.899999999999999</v>
      </c>
      <c r="L299" s="8">
        <f t="shared" ref="L299:L325" si="42">10^((K299-H299)/10)</f>
        <v>2.0417379446695178E-12</v>
      </c>
      <c r="M299" s="26"/>
      <c r="N299" s="17"/>
      <c r="O299" s="9">
        <f t="shared" si="40"/>
        <v>-23.3</v>
      </c>
      <c r="P299" s="8">
        <f>D296/B296*10^(O299/10)</f>
        <v>9.1987911119815566E-2</v>
      </c>
      <c r="Q299" s="26"/>
      <c r="R299" s="17"/>
      <c r="S299" s="19"/>
      <c r="T299" s="17"/>
      <c r="U299" s="22"/>
    </row>
    <row r="300" spans="1:21" x14ac:dyDescent="0.25">
      <c r="A300" s="24"/>
      <c r="B300" s="24"/>
      <c r="C300" s="17"/>
      <c r="D300" s="24"/>
      <c r="E300" s="24"/>
      <c r="F300" s="25"/>
      <c r="G300" s="1">
        <v>625</v>
      </c>
      <c r="H300" s="2">
        <v>92</v>
      </c>
      <c r="I300" s="2">
        <v>-13.3</v>
      </c>
      <c r="J300" s="2">
        <v>-26.7</v>
      </c>
      <c r="K300" s="2">
        <f t="shared" si="38"/>
        <v>-13.3</v>
      </c>
      <c r="L300" s="8">
        <f t="shared" si="42"/>
        <v>2.9512092266663787E-11</v>
      </c>
      <c r="M300" s="26"/>
      <c r="N300" s="17"/>
      <c r="O300" s="9">
        <f t="shared" si="40"/>
        <v>-26.7</v>
      </c>
      <c r="P300" s="8">
        <f>D296/B296*10^(O300/10)</f>
        <v>4.2046587760210558E-2</v>
      </c>
      <c r="Q300" s="26"/>
      <c r="R300" s="17"/>
      <c r="S300" s="19"/>
      <c r="T300" s="17"/>
      <c r="U300" s="22"/>
    </row>
    <row r="301" spans="1:21" x14ac:dyDescent="0.25">
      <c r="A301" s="24"/>
      <c r="B301" s="24"/>
      <c r="C301" s="17"/>
      <c r="D301" s="24"/>
      <c r="E301" s="24"/>
      <c r="F301" s="25"/>
      <c r="G301" s="1">
        <v>675</v>
      </c>
      <c r="H301" s="2">
        <v>94.5</v>
      </c>
      <c r="I301" s="2">
        <v>-18.2</v>
      </c>
      <c r="J301" s="2">
        <v>-18.399999999999999</v>
      </c>
      <c r="K301" s="2">
        <f t="shared" si="38"/>
        <v>-18.2</v>
      </c>
      <c r="L301" s="8">
        <f t="shared" si="42"/>
        <v>5.3703179637025143E-12</v>
      </c>
      <c r="M301" s="26"/>
      <c r="N301" s="17"/>
      <c r="O301" s="9">
        <f t="shared" si="40"/>
        <v>-18.399999999999999</v>
      </c>
      <c r="P301" s="8">
        <f>D296/B296*10^(O301/10)</f>
        <v>0.28426982158003239</v>
      </c>
      <c r="Q301" s="26"/>
      <c r="R301" s="17"/>
      <c r="S301" s="20"/>
      <c r="T301" s="17"/>
      <c r="U301" s="23"/>
    </row>
    <row r="302" spans="1:21" x14ac:dyDescent="0.25">
      <c r="A302" s="24">
        <v>1000</v>
      </c>
      <c r="B302" s="24">
        <v>3</v>
      </c>
      <c r="C302" s="17">
        <v>0.5</v>
      </c>
      <c r="D302" s="24">
        <v>117</v>
      </c>
      <c r="E302" s="24">
        <v>6</v>
      </c>
      <c r="F302" s="25">
        <v>76</v>
      </c>
      <c r="G302" s="1">
        <v>875</v>
      </c>
      <c r="H302" s="2">
        <v>91.1</v>
      </c>
      <c r="I302" s="2">
        <v>-15.5</v>
      </c>
      <c r="J302" s="2">
        <v>-25.3</v>
      </c>
      <c r="K302" s="2">
        <f t="shared" si="38"/>
        <v>-15.5</v>
      </c>
      <c r="L302" s="8">
        <f t="shared" si="42"/>
        <v>2.1877616239495499E-11</v>
      </c>
      <c r="M302" s="26">
        <f>SUM(L302:L307)</f>
        <v>2.8684826613916476E-11</v>
      </c>
      <c r="N302" s="17">
        <f>10*LOG10(M302/E302)</f>
        <v>-113.20499021260073</v>
      </c>
      <c r="O302" s="9">
        <f t="shared" si="40"/>
        <v>-25.3</v>
      </c>
      <c r="P302" s="8">
        <f>D302/B302*10^(O302/10)</f>
        <v>0.11509715983998897</v>
      </c>
      <c r="Q302" s="26">
        <f>SUM(P302:P307)</f>
        <v>0.51754235173479746</v>
      </c>
      <c r="R302" s="17">
        <f>10*LOG10(Q302)</f>
        <v>-2.8605410505534561</v>
      </c>
      <c r="S302" s="18">
        <f>F302+N302-Kzt-H</f>
        <v>-37.204990212600734</v>
      </c>
      <c r="T302" s="17">
        <v>0.8</v>
      </c>
      <c r="U302" s="21">
        <f>T302*10^((S302-R302)/10)</f>
        <v>2.9420162743668292E-4</v>
      </c>
    </row>
    <row r="303" spans="1:21" x14ac:dyDescent="0.25">
      <c r="A303" s="24"/>
      <c r="B303" s="24"/>
      <c r="C303" s="17"/>
      <c r="D303" s="24"/>
      <c r="E303" s="24"/>
      <c r="F303" s="25"/>
      <c r="G303" s="1">
        <v>975</v>
      </c>
      <c r="H303" s="2">
        <v>96.5</v>
      </c>
      <c r="I303" s="2">
        <v>-20.900000000000002</v>
      </c>
      <c r="J303" s="2">
        <v>-22.3</v>
      </c>
      <c r="K303" s="2">
        <f t="shared" si="38"/>
        <v>-20.900000000000002</v>
      </c>
      <c r="L303" s="8">
        <f t="shared" si="42"/>
        <v>1.8197008586099809E-12</v>
      </c>
      <c r="M303" s="26"/>
      <c r="N303" s="17"/>
      <c r="O303" s="9">
        <f t="shared" si="40"/>
        <v>-22.3</v>
      </c>
      <c r="P303" s="8">
        <f>D302/B302*10^(O303/10)</f>
        <v>0.22964902558867969</v>
      </c>
      <c r="Q303" s="26"/>
      <c r="R303" s="17"/>
      <c r="S303" s="19"/>
      <c r="T303" s="17"/>
      <c r="U303" s="22"/>
    </row>
    <row r="304" spans="1:21" x14ac:dyDescent="0.25">
      <c r="A304" s="24"/>
      <c r="B304" s="24"/>
      <c r="C304" s="17"/>
      <c r="D304" s="24"/>
      <c r="E304" s="24"/>
      <c r="F304" s="25"/>
      <c r="G304" s="1">
        <v>1075</v>
      </c>
      <c r="H304" s="2">
        <v>94.6</v>
      </c>
      <c r="I304" s="2">
        <v>-21.4</v>
      </c>
      <c r="J304" s="2">
        <v>-31.7</v>
      </c>
      <c r="K304" s="2">
        <f t="shared" si="38"/>
        <v>-21.4</v>
      </c>
      <c r="L304" s="8">
        <f t="shared" si="42"/>
        <v>2.5118864315095726E-12</v>
      </c>
      <c r="M304" s="26"/>
      <c r="N304" s="17"/>
      <c r="O304" s="9">
        <f t="shared" si="40"/>
        <v>-31.7</v>
      </c>
      <c r="P304" s="8">
        <f>D302/B302*10^(O304/10)</f>
        <v>2.6367236040287269E-2</v>
      </c>
      <c r="Q304" s="26"/>
      <c r="R304" s="17"/>
      <c r="S304" s="19"/>
      <c r="T304" s="17"/>
      <c r="U304" s="22"/>
    </row>
    <row r="305" spans="1:21" x14ac:dyDescent="0.25">
      <c r="A305" s="24"/>
      <c r="B305" s="24"/>
      <c r="C305" s="17"/>
      <c r="D305" s="24"/>
      <c r="E305" s="24"/>
      <c r="F305" s="25"/>
      <c r="G305" s="1">
        <v>1175</v>
      </c>
      <c r="H305" s="2">
        <v>97.8</v>
      </c>
      <c r="I305" s="2">
        <v>-23.3</v>
      </c>
      <c r="J305" s="2">
        <v>-26.8</v>
      </c>
      <c r="K305" s="2">
        <f t="shared" si="38"/>
        <v>-23.3</v>
      </c>
      <c r="L305" s="8">
        <f t="shared" si="42"/>
        <v>7.7624711662869047E-13</v>
      </c>
      <c r="M305" s="26"/>
      <c r="N305" s="17"/>
      <c r="O305" s="9">
        <f t="shared" si="40"/>
        <v>-26.8</v>
      </c>
      <c r="P305" s="8">
        <f>D302/B302*10^(O305/10)</f>
        <v>8.1482549103307447E-2</v>
      </c>
      <c r="Q305" s="26"/>
      <c r="R305" s="17"/>
      <c r="S305" s="19"/>
      <c r="T305" s="17"/>
      <c r="U305" s="22"/>
    </row>
    <row r="306" spans="1:21" x14ac:dyDescent="0.25">
      <c r="A306" s="24"/>
      <c r="B306" s="24"/>
      <c r="C306" s="17"/>
      <c r="D306" s="24"/>
      <c r="E306" s="24"/>
      <c r="F306" s="25"/>
      <c r="G306" s="1">
        <v>1275</v>
      </c>
      <c r="H306" s="2">
        <v>100.1</v>
      </c>
      <c r="I306" s="2">
        <v>-21.6</v>
      </c>
      <c r="J306" s="2">
        <v>-30.6</v>
      </c>
      <c r="K306" s="2">
        <f t="shared" si="38"/>
        <v>-21.6</v>
      </c>
      <c r="L306" s="8">
        <f t="shared" si="42"/>
        <v>6.7608297539198353E-13</v>
      </c>
      <c r="M306" s="26"/>
      <c r="N306" s="17"/>
      <c r="O306" s="9">
        <f t="shared" si="40"/>
        <v>-30.6</v>
      </c>
      <c r="P306" s="8">
        <f>D302/B302*10^(O306/10)</f>
        <v>3.3967580008287111E-2</v>
      </c>
      <c r="Q306" s="26"/>
      <c r="R306" s="17"/>
      <c r="S306" s="19"/>
      <c r="T306" s="17"/>
      <c r="U306" s="22"/>
    </row>
    <row r="307" spans="1:21" x14ac:dyDescent="0.25">
      <c r="A307" s="24"/>
      <c r="B307" s="24"/>
      <c r="C307" s="17"/>
      <c r="D307" s="24"/>
      <c r="E307" s="24"/>
      <c r="F307" s="25"/>
      <c r="G307" s="1">
        <v>1375</v>
      </c>
      <c r="H307" s="2">
        <v>103</v>
      </c>
      <c r="I307" s="2">
        <v>-16.899999999999999</v>
      </c>
      <c r="J307" s="2">
        <v>-31</v>
      </c>
      <c r="K307" s="2">
        <f t="shared" si="38"/>
        <v>-16.899999999999999</v>
      </c>
      <c r="L307" s="8">
        <f t="shared" si="42"/>
        <v>1.0232929922807514E-12</v>
      </c>
      <c r="M307" s="26"/>
      <c r="N307" s="17"/>
      <c r="O307" s="9">
        <f t="shared" si="40"/>
        <v>-31</v>
      </c>
      <c r="P307" s="8">
        <f>D302/B302*10^(O307/10)</f>
        <v>3.0978801154246959E-2</v>
      </c>
      <c r="Q307" s="26"/>
      <c r="R307" s="17"/>
      <c r="S307" s="20"/>
      <c r="T307" s="17"/>
      <c r="U307" s="23"/>
    </row>
    <row r="308" spans="1:21" x14ac:dyDescent="0.25">
      <c r="A308" s="24">
        <v>2000</v>
      </c>
      <c r="B308" s="24">
        <v>3</v>
      </c>
      <c r="C308" s="17">
        <v>0.5</v>
      </c>
      <c r="D308" s="24">
        <v>234</v>
      </c>
      <c r="E308" s="24">
        <v>6</v>
      </c>
      <c r="F308" s="25">
        <v>68</v>
      </c>
      <c r="G308" s="1">
        <v>1425</v>
      </c>
      <c r="H308" s="2">
        <v>102.8</v>
      </c>
      <c r="I308" s="2">
        <v>-24.4</v>
      </c>
      <c r="J308" s="2">
        <v>-26.2</v>
      </c>
      <c r="K308" s="2">
        <f t="shared" si="38"/>
        <v>-24.4</v>
      </c>
      <c r="L308" s="8">
        <f t="shared" si="42"/>
        <v>1.9054607179632483E-13</v>
      </c>
      <c r="M308" s="26">
        <f>SUM(L308:L313)</f>
        <v>5.8439941350143546E-12</v>
      </c>
      <c r="N308" s="17">
        <f>10*LOG10(M308/E308)</f>
        <v>-120.11441478975625</v>
      </c>
      <c r="O308" s="9">
        <f t="shared" si="40"/>
        <v>-26.2</v>
      </c>
      <c r="P308" s="8">
        <f>D308/B308*10^(O308/10)</f>
        <v>0.18710896768352012</v>
      </c>
      <c r="Q308" s="26">
        <f>SUM(P308:P313)</f>
        <v>4.0946370162214007</v>
      </c>
      <c r="R308" s="17">
        <f>10*LOG10(Q308)</f>
        <v>6.1221540821140108</v>
      </c>
      <c r="S308" s="18">
        <f>F308+N308-Kzt-H</f>
        <v>-52.114414789756253</v>
      </c>
      <c r="T308" s="17">
        <v>1</v>
      </c>
      <c r="U308" s="21">
        <f>T308*10^((S308-R308)/10)</f>
        <v>1.5008701243352986E-6</v>
      </c>
    </row>
    <row r="309" spans="1:21" x14ac:dyDescent="0.25">
      <c r="A309" s="24"/>
      <c r="B309" s="24"/>
      <c r="C309" s="17"/>
      <c r="D309" s="24"/>
      <c r="E309" s="24"/>
      <c r="F309" s="25"/>
      <c r="G309" s="1">
        <v>1625</v>
      </c>
      <c r="H309" s="2">
        <v>104.1</v>
      </c>
      <c r="I309" s="2">
        <v>-15.2</v>
      </c>
      <c r="J309" s="2">
        <v>-15.2</v>
      </c>
      <c r="K309" s="2">
        <f t="shared" si="38"/>
        <v>-15.2</v>
      </c>
      <c r="L309" s="8">
        <f t="shared" si="42"/>
        <v>1.1748975549395258E-12</v>
      </c>
      <c r="M309" s="26"/>
      <c r="N309" s="17"/>
      <c r="O309" s="9">
        <f t="shared" si="40"/>
        <v>-15.2</v>
      </c>
      <c r="P309" s="8">
        <f>D308/B308*10^(O309/10)</f>
        <v>2.3555623419135716</v>
      </c>
      <c r="Q309" s="26"/>
      <c r="R309" s="17"/>
      <c r="S309" s="19"/>
      <c r="T309" s="17"/>
      <c r="U309" s="22"/>
    </row>
    <row r="310" spans="1:21" x14ac:dyDescent="0.25">
      <c r="A310" s="24"/>
      <c r="B310" s="24"/>
      <c r="C310" s="17"/>
      <c r="D310" s="24"/>
      <c r="E310" s="24"/>
      <c r="F310" s="25"/>
      <c r="G310" s="1">
        <v>1825</v>
      </c>
      <c r="H310" s="2">
        <v>107.6</v>
      </c>
      <c r="I310" s="2">
        <v>-19.3</v>
      </c>
      <c r="J310" s="2">
        <v>-20.2</v>
      </c>
      <c r="K310" s="2">
        <f t="shared" si="38"/>
        <v>-19.3</v>
      </c>
      <c r="L310" s="8">
        <f t="shared" si="42"/>
        <v>2.0417379446695228E-13</v>
      </c>
      <c r="M310" s="26"/>
      <c r="N310" s="17"/>
      <c r="O310" s="9">
        <f t="shared" si="40"/>
        <v>-20.2</v>
      </c>
      <c r="P310" s="8">
        <f>D308/B308*10^(O310/10)</f>
        <v>0.74489421709671988</v>
      </c>
      <c r="Q310" s="26"/>
      <c r="R310" s="17"/>
      <c r="S310" s="19"/>
      <c r="T310" s="17"/>
      <c r="U310" s="22"/>
    </row>
    <row r="311" spans="1:21" x14ac:dyDescent="0.25">
      <c r="A311" s="24"/>
      <c r="B311" s="24"/>
      <c r="C311" s="17"/>
      <c r="D311" s="24"/>
      <c r="E311" s="24"/>
      <c r="F311" s="25"/>
      <c r="G311" s="1">
        <v>2125</v>
      </c>
      <c r="H311" s="2">
        <v>104.2</v>
      </c>
      <c r="I311" s="2">
        <v>-25.4</v>
      </c>
      <c r="J311" s="2">
        <v>-26.7</v>
      </c>
      <c r="K311" s="2">
        <f t="shared" si="38"/>
        <v>-25.4</v>
      </c>
      <c r="L311" s="8">
        <f t="shared" si="42"/>
        <v>1.0964781961431845E-13</v>
      </c>
      <c r="M311" s="26"/>
      <c r="N311" s="17"/>
      <c r="O311" s="9">
        <f t="shared" si="40"/>
        <v>-26.7</v>
      </c>
      <c r="P311" s="8">
        <f>D308/B308*10^(O311/10)</f>
        <v>0.16676104298117408</v>
      </c>
      <c r="Q311" s="26"/>
      <c r="R311" s="17"/>
      <c r="S311" s="19"/>
      <c r="T311" s="17"/>
      <c r="U311" s="22"/>
    </row>
    <row r="312" spans="1:21" x14ac:dyDescent="0.25">
      <c r="A312" s="24"/>
      <c r="B312" s="24"/>
      <c r="C312" s="17"/>
      <c r="D312" s="24"/>
      <c r="E312" s="24"/>
      <c r="F312" s="25"/>
      <c r="G312" s="1">
        <v>2425</v>
      </c>
      <c r="H312" s="2">
        <v>93.7</v>
      </c>
      <c r="I312" s="2">
        <v>-20.8</v>
      </c>
      <c r="J312" s="2">
        <v>-26.1</v>
      </c>
      <c r="K312" s="2">
        <f t="shared" si="38"/>
        <v>-20.8</v>
      </c>
      <c r="L312" s="8">
        <f t="shared" si="42"/>
        <v>3.5481338923357515E-12</v>
      </c>
      <c r="M312" s="26"/>
      <c r="N312" s="17"/>
      <c r="O312" s="9">
        <f t="shared" si="40"/>
        <v>-26.1</v>
      </c>
      <c r="P312" s="8">
        <f>D308/B308*10^(O312/10)</f>
        <v>0.19146729542343205</v>
      </c>
      <c r="Q312" s="26"/>
      <c r="R312" s="17"/>
      <c r="S312" s="19"/>
      <c r="T312" s="17"/>
      <c r="U312" s="22"/>
    </row>
    <row r="313" spans="1:21" x14ac:dyDescent="0.25">
      <c r="A313" s="24"/>
      <c r="B313" s="24"/>
      <c r="C313" s="17"/>
      <c r="D313" s="24"/>
      <c r="E313" s="24"/>
      <c r="F313" s="25"/>
      <c r="G313" s="1">
        <v>2775</v>
      </c>
      <c r="H313" s="2">
        <v>100.2</v>
      </c>
      <c r="I313" s="2">
        <v>-21.9</v>
      </c>
      <c r="J313" s="2">
        <v>-22.4</v>
      </c>
      <c r="K313" s="2">
        <f t="shared" si="38"/>
        <v>-21.9</v>
      </c>
      <c r="L313" s="8">
        <f t="shared" si="42"/>
        <v>6.1659500186148178E-13</v>
      </c>
      <c r="M313" s="26"/>
      <c r="N313" s="17"/>
      <c r="O313" s="9">
        <f t="shared" si="40"/>
        <v>-22.4</v>
      </c>
      <c r="P313" s="8">
        <f>D308/B308*10^(O313/10)</f>
        <v>0.44884315112298245</v>
      </c>
      <c r="Q313" s="26"/>
      <c r="R313" s="17"/>
      <c r="S313" s="20"/>
      <c r="T313" s="17"/>
      <c r="U313" s="23"/>
    </row>
    <row r="314" spans="1:21" x14ac:dyDescent="0.25">
      <c r="A314" s="24">
        <v>4000</v>
      </c>
      <c r="B314" s="24">
        <v>3</v>
      </c>
      <c r="C314" s="17">
        <v>0.5</v>
      </c>
      <c r="D314" s="24">
        <v>470</v>
      </c>
      <c r="E314" s="24">
        <v>6</v>
      </c>
      <c r="F314" s="25">
        <v>62</v>
      </c>
      <c r="G314" s="1">
        <v>2825</v>
      </c>
      <c r="H314" s="2">
        <v>99.4</v>
      </c>
      <c r="I314" s="2">
        <v>-13.6</v>
      </c>
      <c r="J314" s="2">
        <v>-24.4</v>
      </c>
      <c r="K314" s="2">
        <f t="shared" si="38"/>
        <v>-13.6</v>
      </c>
      <c r="L314" s="8">
        <f t="shared" si="42"/>
        <v>5.0118723362726945E-12</v>
      </c>
      <c r="M314" s="26">
        <f>SUM(L314:L319)</f>
        <v>8.5632930579046576E-12</v>
      </c>
      <c r="N314" s="17">
        <f>10*LOG10(M314/E314)</f>
        <v>-118.45510443433795</v>
      </c>
      <c r="O314" s="9">
        <f t="shared" si="40"/>
        <v>-24.4</v>
      </c>
      <c r="P314" s="8">
        <f>D314/B314*10^(O314/10)</f>
        <v>0.56882228580649163</v>
      </c>
      <c r="Q314" s="26">
        <f>SUM(P314:P319)</f>
        <v>1.8199377637003622</v>
      </c>
      <c r="R314" s="17">
        <f>10*LOG10(Q314)</f>
        <v>2.600565366973528</v>
      </c>
      <c r="S314" s="18">
        <f>F314+N314-Kzt-H</f>
        <v>-56.455104434337954</v>
      </c>
      <c r="T314" s="17">
        <v>0.9</v>
      </c>
      <c r="U314" s="21">
        <f>T314*10^((S314-R314)/10)</f>
        <v>1.1186018398448719E-6</v>
      </c>
    </row>
    <row r="315" spans="1:21" x14ac:dyDescent="0.25">
      <c r="A315" s="24"/>
      <c r="B315" s="24"/>
      <c r="C315" s="17"/>
      <c r="D315" s="24"/>
      <c r="E315" s="24"/>
      <c r="F315" s="25"/>
      <c r="G315" s="1">
        <v>3425</v>
      </c>
      <c r="H315" s="2">
        <v>103.5</v>
      </c>
      <c r="I315" s="2">
        <v>-20.3</v>
      </c>
      <c r="J315" s="2">
        <v>-27.3</v>
      </c>
      <c r="K315" s="2">
        <f t="shared" si="38"/>
        <v>-20.3</v>
      </c>
      <c r="L315" s="8">
        <f t="shared" si="42"/>
        <v>4.1686938347033585E-13</v>
      </c>
      <c r="M315" s="26"/>
      <c r="N315" s="17"/>
      <c r="O315" s="9">
        <f t="shared" si="40"/>
        <v>-27.3</v>
      </c>
      <c r="P315" s="8">
        <f>D314/B314*10^(O315/10)</f>
        <v>0.29172698474384906</v>
      </c>
      <c r="Q315" s="26"/>
      <c r="R315" s="17"/>
      <c r="S315" s="19"/>
      <c r="T315" s="17"/>
      <c r="U315" s="22"/>
    </row>
    <row r="316" spans="1:21" x14ac:dyDescent="0.25">
      <c r="A316" s="24"/>
      <c r="B316" s="24"/>
      <c r="C316" s="17"/>
      <c r="D316" s="24"/>
      <c r="E316" s="24"/>
      <c r="F316" s="25"/>
      <c r="G316" s="1">
        <v>4025</v>
      </c>
      <c r="H316" s="2">
        <v>103.6</v>
      </c>
      <c r="I316" s="2">
        <v>-21.5</v>
      </c>
      <c r="J316" s="2">
        <v>-30.8</v>
      </c>
      <c r="K316" s="2">
        <f t="shared" si="38"/>
        <v>-21.5</v>
      </c>
      <c r="L316" s="8">
        <f t="shared" si="42"/>
        <v>3.0902954325135866E-13</v>
      </c>
      <c r="M316" s="26"/>
      <c r="N316" s="17"/>
      <c r="O316" s="9">
        <f t="shared" si="40"/>
        <v>-30.8</v>
      </c>
      <c r="P316" s="8">
        <f>D314/B314*10^(O316/10)</f>
        <v>0.13030965747275167</v>
      </c>
      <c r="Q316" s="26"/>
      <c r="R316" s="17"/>
      <c r="S316" s="19"/>
      <c r="T316" s="17"/>
      <c r="U316" s="22"/>
    </row>
    <row r="317" spans="1:21" x14ac:dyDescent="0.25">
      <c r="A317" s="24"/>
      <c r="B317" s="24"/>
      <c r="C317" s="17"/>
      <c r="D317" s="24"/>
      <c r="E317" s="24"/>
      <c r="F317" s="25"/>
      <c r="G317" s="1">
        <v>4625</v>
      </c>
      <c r="H317" s="2">
        <v>105.6</v>
      </c>
      <c r="I317" s="2">
        <v>-17.600000000000001</v>
      </c>
      <c r="J317" s="2">
        <v>-32.9</v>
      </c>
      <c r="K317" s="2">
        <f t="shared" si="38"/>
        <v>-17.600000000000001</v>
      </c>
      <c r="L317" s="8">
        <f t="shared" si="42"/>
        <v>4.7863009232263857E-13</v>
      </c>
      <c r="M317" s="26"/>
      <c r="N317" s="17"/>
      <c r="O317" s="9">
        <f t="shared" si="40"/>
        <v>-32.9</v>
      </c>
      <c r="P317" s="8">
        <f>D314/B314*10^(O317/10)</f>
        <v>8.0348283491980449E-2</v>
      </c>
      <c r="Q317" s="26"/>
      <c r="R317" s="17"/>
      <c r="S317" s="19"/>
      <c r="T317" s="17"/>
      <c r="U317" s="22"/>
    </row>
    <row r="318" spans="1:21" x14ac:dyDescent="0.25">
      <c r="A318" s="24"/>
      <c r="B318" s="24"/>
      <c r="C318" s="17"/>
      <c r="D318" s="24"/>
      <c r="E318" s="24"/>
      <c r="F318" s="25"/>
      <c r="G318" s="1">
        <v>5225</v>
      </c>
      <c r="H318" s="2">
        <v>103.5</v>
      </c>
      <c r="I318" s="2">
        <v>-23.3</v>
      </c>
      <c r="J318" s="2">
        <v>-24.2</v>
      </c>
      <c r="K318" s="2">
        <f t="shared" si="38"/>
        <v>-23.3</v>
      </c>
      <c r="L318" s="8">
        <f t="shared" si="42"/>
        <v>2.0892961308540331E-13</v>
      </c>
      <c r="M318" s="26"/>
      <c r="N318" s="17"/>
      <c r="O318" s="9">
        <f t="shared" si="40"/>
        <v>-24.2</v>
      </c>
      <c r="P318" s="8">
        <f>D314/B314*10^(O318/10)</f>
        <v>0.59563005423554594</v>
      </c>
      <c r="Q318" s="26"/>
      <c r="R318" s="17"/>
      <c r="S318" s="19"/>
      <c r="T318" s="17"/>
      <c r="U318" s="22"/>
    </row>
    <row r="319" spans="1:21" x14ac:dyDescent="0.25">
      <c r="A319" s="24"/>
      <c r="B319" s="24"/>
      <c r="C319" s="17"/>
      <c r="D319" s="24"/>
      <c r="E319" s="24"/>
      <c r="F319" s="25"/>
      <c r="G319" s="1">
        <v>5625</v>
      </c>
      <c r="H319" s="2">
        <v>99.5</v>
      </c>
      <c r="I319" s="2">
        <v>-17.2</v>
      </c>
      <c r="J319" s="2">
        <v>-30.1</v>
      </c>
      <c r="K319" s="2">
        <f t="shared" si="38"/>
        <v>-17.2</v>
      </c>
      <c r="L319" s="8">
        <f t="shared" si="42"/>
        <v>2.1379620895022273E-12</v>
      </c>
      <c r="M319" s="26"/>
      <c r="N319" s="17"/>
      <c r="O319" s="9">
        <f t="shared" si="40"/>
        <v>-30.1</v>
      </c>
      <c r="P319" s="8">
        <f>D314/B314*10^(O319/10)</f>
        <v>0.15310049794974345</v>
      </c>
      <c r="Q319" s="26"/>
      <c r="R319" s="17"/>
      <c r="S319" s="20"/>
      <c r="T319" s="17"/>
      <c r="U319" s="23"/>
    </row>
    <row r="320" spans="1:21" x14ac:dyDescent="0.25">
      <c r="A320" s="24">
        <v>8000</v>
      </c>
      <c r="B320" s="24">
        <v>3</v>
      </c>
      <c r="C320" s="17">
        <v>0.5</v>
      </c>
      <c r="D320" s="24">
        <v>943</v>
      </c>
      <c r="E320" s="24">
        <v>6</v>
      </c>
      <c r="F320" s="25">
        <v>54</v>
      </c>
      <c r="G320" s="1">
        <v>6025</v>
      </c>
      <c r="H320" s="2">
        <v>95</v>
      </c>
      <c r="I320" s="2">
        <v>-16</v>
      </c>
      <c r="J320" s="2">
        <v>-31.8</v>
      </c>
      <c r="K320" s="2">
        <f t="shared" si="38"/>
        <v>-16</v>
      </c>
      <c r="L320" s="8">
        <f t="shared" si="42"/>
        <v>7.9432823472428101E-12</v>
      </c>
      <c r="M320" s="26">
        <f>SUM(L320:L325)</f>
        <v>5.3643388785013245E-11</v>
      </c>
      <c r="N320" s="17">
        <f>10*LOG10(M320/E320)</f>
        <v>-110.48635044885214</v>
      </c>
      <c r="O320" s="9">
        <f t="shared" si="40"/>
        <v>-31.8</v>
      </c>
      <c r="P320" s="8">
        <f>D320/B320*10^(O320/10)</f>
        <v>0.20767797382372083</v>
      </c>
      <c r="Q320" s="26">
        <f>SUM(P320:P325)</f>
        <v>3.4384661008081245</v>
      </c>
      <c r="R320" s="17">
        <f>10*LOG10(Q320)</f>
        <v>5.3636474707136861</v>
      </c>
      <c r="S320" s="18">
        <f>F320+N320-Kzt-H</f>
        <v>-56.486350448852136</v>
      </c>
      <c r="T320" s="17">
        <v>0.7</v>
      </c>
      <c r="U320" s="21">
        <f>T320*10^((S320-R320)/10)</f>
        <v>4.5719160586517992E-7</v>
      </c>
    </row>
    <row r="321" spans="1:21" x14ac:dyDescent="0.25">
      <c r="A321" s="24"/>
      <c r="B321" s="24"/>
      <c r="C321" s="17"/>
      <c r="D321" s="24"/>
      <c r="E321" s="24"/>
      <c r="F321" s="25"/>
      <c r="G321" s="1">
        <v>7025</v>
      </c>
      <c r="H321" s="2">
        <v>94.8</v>
      </c>
      <c r="I321" s="2">
        <v>-14.5</v>
      </c>
      <c r="J321" s="2">
        <v>-25.4</v>
      </c>
      <c r="K321" s="2">
        <f t="shared" si="38"/>
        <v>-14.5</v>
      </c>
      <c r="L321" s="8">
        <f t="shared" si="42"/>
        <v>1.1748975549395269E-11</v>
      </c>
      <c r="M321" s="26"/>
      <c r="N321" s="17"/>
      <c r="O321" s="9">
        <f t="shared" si="40"/>
        <v>-25.4</v>
      </c>
      <c r="P321" s="8">
        <f>D320/B320*10^(O321/10)</f>
        <v>0.90654723581612917</v>
      </c>
      <c r="Q321" s="26"/>
      <c r="R321" s="17"/>
      <c r="S321" s="19"/>
      <c r="T321" s="17"/>
      <c r="U321" s="22"/>
    </row>
    <row r="322" spans="1:21" x14ac:dyDescent="0.25">
      <c r="A322" s="24"/>
      <c r="B322" s="24"/>
      <c r="C322" s="17"/>
      <c r="D322" s="24"/>
      <c r="E322" s="24"/>
      <c r="F322" s="25"/>
      <c r="G322" s="1">
        <v>8025</v>
      </c>
      <c r="H322" s="2">
        <v>101.9</v>
      </c>
      <c r="I322" s="2">
        <v>-18.7</v>
      </c>
      <c r="J322" s="2">
        <v>-30.3</v>
      </c>
      <c r="K322" s="2">
        <f t="shared" si="38"/>
        <v>-18.7</v>
      </c>
      <c r="L322" s="8">
        <f t="shared" si="42"/>
        <v>8.7096358995607888E-13</v>
      </c>
      <c r="M322" s="26"/>
      <c r="N322" s="17"/>
      <c r="O322" s="9">
        <f t="shared" si="40"/>
        <v>-30.3</v>
      </c>
      <c r="P322" s="8">
        <f>D320/B320*10^(O322/10)</f>
        <v>0.29335293521718714</v>
      </c>
      <c r="Q322" s="26"/>
      <c r="R322" s="17"/>
      <c r="S322" s="19"/>
      <c r="T322" s="17"/>
      <c r="U322" s="22"/>
    </row>
    <row r="323" spans="1:21" x14ac:dyDescent="0.25">
      <c r="A323" s="24"/>
      <c r="B323" s="24"/>
      <c r="C323" s="17"/>
      <c r="D323" s="24"/>
      <c r="E323" s="24"/>
      <c r="F323" s="25"/>
      <c r="G323" s="1">
        <v>9025</v>
      </c>
      <c r="H323" s="2">
        <v>93.2</v>
      </c>
      <c r="I323" s="2">
        <v>-24.7</v>
      </c>
      <c r="J323" s="2">
        <v>-26.5</v>
      </c>
      <c r="K323" s="2">
        <f t="shared" si="38"/>
        <v>-24.7</v>
      </c>
      <c r="L323" s="8">
        <f t="shared" si="42"/>
        <v>1.6218100973589226E-12</v>
      </c>
      <c r="M323" s="26"/>
      <c r="N323" s="17"/>
      <c r="O323" s="9">
        <f t="shared" si="40"/>
        <v>-26.5</v>
      </c>
      <c r="P323" s="8">
        <f>D320/B320*10^(O323/10)</f>
        <v>0.70370467788998103</v>
      </c>
      <c r="Q323" s="26"/>
      <c r="R323" s="17"/>
      <c r="S323" s="19"/>
      <c r="T323" s="17"/>
      <c r="U323" s="22"/>
    </row>
    <row r="324" spans="1:21" x14ac:dyDescent="0.25">
      <c r="A324" s="24"/>
      <c r="B324" s="24"/>
      <c r="C324" s="17"/>
      <c r="D324" s="24"/>
      <c r="E324" s="24"/>
      <c r="F324" s="25"/>
      <c r="G324" s="1">
        <v>10025</v>
      </c>
      <c r="H324" s="2">
        <v>88.3</v>
      </c>
      <c r="I324" s="2">
        <v>-24.099999999999998</v>
      </c>
      <c r="J324" s="2">
        <v>-25.2</v>
      </c>
      <c r="K324" s="2">
        <f t="shared" si="38"/>
        <v>-24.099999999999998</v>
      </c>
      <c r="L324" s="8">
        <f t="shared" si="42"/>
        <v>5.754399373371574E-12</v>
      </c>
      <c r="M324" s="26"/>
      <c r="N324" s="17"/>
      <c r="O324" s="9">
        <f t="shared" si="40"/>
        <v>-25.2</v>
      </c>
      <c r="P324" s="8">
        <f>D320/B320*10^(O324/10)</f>
        <v>0.94927149077969952</v>
      </c>
      <c r="Q324" s="26"/>
      <c r="R324" s="17"/>
      <c r="S324" s="19"/>
      <c r="T324" s="17"/>
      <c r="U324" s="22"/>
    </row>
    <row r="325" spans="1:21" x14ac:dyDescent="0.25">
      <c r="A325" s="24"/>
      <c r="B325" s="24"/>
      <c r="C325" s="17"/>
      <c r="D325" s="24"/>
      <c r="E325" s="24"/>
      <c r="F325" s="25"/>
      <c r="G325" s="1">
        <v>11025</v>
      </c>
      <c r="H325" s="2">
        <v>86</v>
      </c>
      <c r="I325" s="2">
        <v>-19.899999999999999</v>
      </c>
      <c r="J325" s="2">
        <v>-29.2</v>
      </c>
      <c r="K325" s="2">
        <f t="shared" si="38"/>
        <v>-19.899999999999999</v>
      </c>
      <c r="L325" s="8">
        <f t="shared" si="42"/>
        <v>2.5703957827688591E-11</v>
      </c>
      <c r="M325" s="26"/>
      <c r="N325" s="17"/>
      <c r="O325" s="9">
        <f t="shared" si="40"/>
        <v>-29.2</v>
      </c>
      <c r="P325" s="8">
        <f>D320/B320*10^(O325/10)</f>
        <v>0.37791178728140662</v>
      </c>
      <c r="Q325" s="26"/>
      <c r="R325" s="17"/>
      <c r="S325" s="20"/>
      <c r="T325" s="17"/>
      <c r="U325" s="23"/>
    </row>
    <row r="326" spans="1:21" x14ac:dyDescent="0.25">
      <c r="A326" s="24" t="s">
        <v>20</v>
      </c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12">
        <f>U326</f>
        <v>6.977891062541923E-2</v>
      </c>
      <c r="T326" s="2"/>
      <c r="U326" s="8">
        <f>0.8*SQRT(SUM(U292:U325))</f>
        <v>6.977891062541923E-2</v>
      </c>
    </row>
    <row r="327" spans="1:21" x14ac:dyDescent="0.25">
      <c r="A327" s="27" t="s">
        <v>81</v>
      </c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9"/>
    </row>
    <row r="328" spans="1:21" x14ac:dyDescent="0.25">
      <c r="A328" s="24">
        <v>250</v>
      </c>
      <c r="B328" s="24">
        <v>3</v>
      </c>
      <c r="C328" s="17">
        <v>0.5</v>
      </c>
      <c r="D328" s="24">
        <v>38</v>
      </c>
      <c r="E328" s="24">
        <v>4</v>
      </c>
      <c r="F328" s="25">
        <v>84</v>
      </c>
      <c r="G328" s="1">
        <v>175</v>
      </c>
      <c r="H328" s="2">
        <v>84.8</v>
      </c>
      <c r="I328" s="2">
        <v>-21.099999999999998</v>
      </c>
      <c r="J328" s="2">
        <v>-22.9</v>
      </c>
      <c r="K328" s="2">
        <f>I328</f>
        <v>-21.099999999999998</v>
      </c>
      <c r="L328" s="8">
        <f>10^((K328-H328)/10)</f>
        <v>2.5703957827688591E-11</v>
      </c>
      <c r="M328" s="26">
        <f>SUM(L328:L331)</f>
        <v>4.4687225799969528E-11</v>
      </c>
      <c r="N328" s="17">
        <f>10*LOG10(M328/E328)</f>
        <v>-109.51876596997923</v>
      </c>
      <c r="O328" s="9">
        <f>J328</f>
        <v>-22.9</v>
      </c>
      <c r="P328" s="8">
        <f>D328/B328*10^(O328/10)</f>
        <v>6.4962441972239521E-2</v>
      </c>
      <c r="Q328" s="26">
        <f>SUM(P328:P331)</f>
        <v>0.14274971868145492</v>
      </c>
      <c r="R328" s="17">
        <f>10*LOG10(Q328)</f>
        <v>-8.4542473895050083</v>
      </c>
      <c r="S328" s="18">
        <f>F328+N328-Kzt-H</f>
        <v>-25.518765969979228</v>
      </c>
      <c r="T328" s="17">
        <v>0.2</v>
      </c>
      <c r="U328" s="21">
        <f>T328*10^((S328-R328)/10)</f>
        <v>3.9316797674127718E-3</v>
      </c>
    </row>
    <row r="329" spans="1:21" x14ac:dyDescent="0.25">
      <c r="A329" s="24"/>
      <c r="B329" s="24"/>
      <c r="C329" s="17"/>
      <c r="D329" s="24"/>
      <c r="E329" s="24"/>
      <c r="F329" s="25"/>
      <c r="G329" s="1">
        <v>225</v>
      </c>
      <c r="H329" s="2">
        <v>90</v>
      </c>
      <c r="I329" s="2">
        <v>-19.399999999999999</v>
      </c>
      <c r="J329" s="2">
        <v>-25.3</v>
      </c>
      <c r="K329" s="2">
        <f t="shared" ref="K329:K361" si="43">I329</f>
        <v>-19.399999999999999</v>
      </c>
      <c r="L329" s="8">
        <f t="shared" ref="L329:L330" si="44">10^((K329-H329)/10)</f>
        <v>1.1481536214968764E-11</v>
      </c>
      <c r="M329" s="26"/>
      <c r="N329" s="17"/>
      <c r="O329" s="9">
        <f t="shared" ref="O329:O361" si="45">J329</f>
        <v>-25.3</v>
      </c>
      <c r="P329" s="8">
        <f>D328/B328*10^(O329/10)</f>
        <v>3.7381983537774194E-2</v>
      </c>
      <c r="Q329" s="26"/>
      <c r="R329" s="17"/>
      <c r="S329" s="19"/>
      <c r="T329" s="17"/>
      <c r="U329" s="22"/>
    </row>
    <row r="330" spans="1:21" x14ac:dyDescent="0.25">
      <c r="A330" s="24"/>
      <c r="B330" s="24"/>
      <c r="C330" s="17"/>
      <c r="D330" s="24"/>
      <c r="E330" s="24"/>
      <c r="F330" s="25"/>
      <c r="G330" s="1">
        <v>275</v>
      </c>
      <c r="H330" s="2">
        <v>92.2</v>
      </c>
      <c r="I330" s="2">
        <v>-21.5</v>
      </c>
      <c r="J330" s="2">
        <v>-26.9</v>
      </c>
      <c r="K330" s="2">
        <f t="shared" si="43"/>
        <v>-21.5</v>
      </c>
      <c r="L330" s="8">
        <f t="shared" si="44"/>
        <v>4.2657951880159045E-12</v>
      </c>
      <c r="M330" s="26"/>
      <c r="N330" s="17"/>
      <c r="O330" s="9">
        <f t="shared" si="45"/>
        <v>-26.9</v>
      </c>
      <c r="P330" s="8">
        <f>D328/B328*10^(O330/10)</f>
        <v>2.5862013965814036E-2</v>
      </c>
      <c r="Q330" s="26"/>
      <c r="R330" s="17"/>
      <c r="S330" s="19"/>
      <c r="T330" s="17"/>
      <c r="U330" s="22"/>
    </row>
    <row r="331" spans="1:21" x14ac:dyDescent="0.25">
      <c r="A331" s="24"/>
      <c r="B331" s="24"/>
      <c r="C331" s="17"/>
      <c r="D331" s="24"/>
      <c r="E331" s="24"/>
      <c r="F331" s="25"/>
      <c r="G331" s="1">
        <v>325</v>
      </c>
      <c r="H331" s="2">
        <v>93.3</v>
      </c>
      <c r="I331" s="2">
        <v>-21.6</v>
      </c>
      <c r="J331" s="2">
        <v>-29.4</v>
      </c>
      <c r="K331" s="2">
        <f t="shared" si="43"/>
        <v>-21.6</v>
      </c>
      <c r="L331" s="8">
        <f>10^((K331-H331)/10)</f>
        <v>3.2359365692962695E-12</v>
      </c>
      <c r="M331" s="26"/>
      <c r="N331" s="17"/>
      <c r="O331" s="9">
        <f t="shared" si="45"/>
        <v>-29.4</v>
      </c>
      <c r="P331" s="8">
        <f>D328/B328*10^(O331/10)</f>
        <v>1.4543279205627178E-2</v>
      </c>
      <c r="Q331" s="26"/>
      <c r="R331" s="17"/>
      <c r="S331" s="20"/>
      <c r="T331" s="17"/>
      <c r="U331" s="23"/>
    </row>
    <row r="332" spans="1:21" x14ac:dyDescent="0.25">
      <c r="A332" s="24">
        <v>500</v>
      </c>
      <c r="B332" s="24">
        <v>3</v>
      </c>
      <c r="C332" s="17">
        <v>0.5</v>
      </c>
      <c r="D332" s="24">
        <v>59</v>
      </c>
      <c r="E332" s="24">
        <v>6</v>
      </c>
      <c r="F332" s="25">
        <v>84</v>
      </c>
      <c r="G332" s="1">
        <v>375</v>
      </c>
      <c r="H332" s="2">
        <v>91.9</v>
      </c>
      <c r="I332" s="2">
        <v>-18.3</v>
      </c>
      <c r="J332" s="2">
        <v>-26.7</v>
      </c>
      <c r="K332" s="2">
        <f t="shared" si="43"/>
        <v>-18.3</v>
      </c>
      <c r="L332" s="8">
        <f t="shared" ref="L332:L333" si="46">10^((K332-H332)/10)</f>
        <v>9.5499258602143472E-12</v>
      </c>
      <c r="M332" s="26">
        <f>SUM(L332:L337)</f>
        <v>2.3294051891571912E-11</v>
      </c>
      <c r="N332" s="17">
        <f>10*LOG10(M332/E332)</f>
        <v>-114.10906211780477</v>
      </c>
      <c r="O332" s="9">
        <f t="shared" si="45"/>
        <v>-26.7</v>
      </c>
      <c r="P332" s="8">
        <f>D332/B332*10^(O332/10)</f>
        <v>4.2046587760210558E-2</v>
      </c>
      <c r="Q332" s="26">
        <f>SUM(P332:P337)</f>
        <v>0.2825481947477223</v>
      </c>
      <c r="R332" s="17">
        <f>10*LOG10(Q332)</f>
        <v>-5.4890746314437786</v>
      </c>
      <c r="S332" s="18">
        <f>F332+N332-Kzt-H</f>
        <v>-30.109062117804768</v>
      </c>
      <c r="T332" s="17">
        <v>0.5</v>
      </c>
      <c r="U332" s="21">
        <f>T332*10^((S332-R332)/10)</f>
        <v>1.7257236691237421E-3</v>
      </c>
    </row>
    <row r="333" spans="1:21" x14ac:dyDescent="0.25">
      <c r="A333" s="24"/>
      <c r="B333" s="24"/>
      <c r="C333" s="17"/>
      <c r="D333" s="24"/>
      <c r="E333" s="24"/>
      <c r="F333" s="25"/>
      <c r="G333" s="1">
        <v>425</v>
      </c>
      <c r="H333" s="2">
        <v>88.1</v>
      </c>
      <c r="I333" s="2">
        <v>-25.1</v>
      </c>
      <c r="J333" s="2">
        <v>-26.4</v>
      </c>
      <c r="K333" s="2">
        <f t="shared" si="43"/>
        <v>-25.1</v>
      </c>
      <c r="L333" s="8">
        <f t="shared" si="46"/>
        <v>4.7863009232263907E-12</v>
      </c>
      <c r="M333" s="26"/>
      <c r="N333" s="17"/>
      <c r="O333" s="9">
        <f t="shared" si="45"/>
        <v>-26.4</v>
      </c>
      <c r="P333" s="8">
        <f>D332/B332*10^(O333/10)</f>
        <v>4.5053730504432885E-2</v>
      </c>
      <c r="Q333" s="26"/>
      <c r="R333" s="17"/>
      <c r="S333" s="19"/>
      <c r="T333" s="17"/>
      <c r="U333" s="22"/>
    </row>
    <row r="334" spans="1:21" x14ac:dyDescent="0.25">
      <c r="A334" s="24"/>
      <c r="B334" s="24"/>
      <c r="C334" s="17"/>
      <c r="D334" s="24"/>
      <c r="E334" s="24"/>
      <c r="F334" s="25"/>
      <c r="G334" s="1">
        <v>475</v>
      </c>
      <c r="H334" s="2">
        <v>90</v>
      </c>
      <c r="I334" s="2">
        <v>-25.599999999999998</v>
      </c>
      <c r="J334" s="2">
        <v>-27.4</v>
      </c>
      <c r="K334" s="2">
        <f t="shared" si="43"/>
        <v>-25.599999999999998</v>
      </c>
      <c r="L334" s="8">
        <f>10^((K334-H334)/10)</f>
        <v>2.7542287033381671E-12</v>
      </c>
      <c r="M334" s="26"/>
      <c r="N334" s="17"/>
      <c r="O334" s="9">
        <f t="shared" si="45"/>
        <v>-27.4</v>
      </c>
      <c r="P334" s="8">
        <f>D332/B332*10^(O334/10)</f>
        <v>3.5787450219329664E-2</v>
      </c>
      <c r="Q334" s="26"/>
      <c r="R334" s="17"/>
      <c r="S334" s="19"/>
      <c r="T334" s="17"/>
      <c r="U334" s="22"/>
    </row>
    <row r="335" spans="1:21" x14ac:dyDescent="0.25">
      <c r="A335" s="24"/>
      <c r="B335" s="24"/>
      <c r="C335" s="17"/>
      <c r="D335" s="24"/>
      <c r="E335" s="24"/>
      <c r="F335" s="25"/>
      <c r="G335" s="1">
        <v>575</v>
      </c>
      <c r="H335" s="2">
        <v>97</v>
      </c>
      <c r="I335" s="2">
        <v>-22.1</v>
      </c>
      <c r="J335" s="2">
        <v>-24.9</v>
      </c>
      <c r="K335" s="2">
        <f t="shared" si="43"/>
        <v>-22.1</v>
      </c>
      <c r="L335" s="8">
        <f t="shared" ref="L335:L361" si="47">10^((K335-H335)/10)</f>
        <v>1.2302687708123772E-12</v>
      </c>
      <c r="M335" s="26"/>
      <c r="N335" s="17"/>
      <c r="O335" s="9">
        <f t="shared" si="45"/>
        <v>-24.9</v>
      </c>
      <c r="P335" s="8">
        <f>D332/B332*10^(O335/10)</f>
        <v>6.3640085862826892E-2</v>
      </c>
      <c r="Q335" s="26"/>
      <c r="R335" s="17"/>
      <c r="S335" s="19"/>
      <c r="T335" s="17"/>
      <c r="U335" s="22"/>
    </row>
    <row r="336" spans="1:21" x14ac:dyDescent="0.25">
      <c r="A336" s="24"/>
      <c r="B336" s="24"/>
      <c r="C336" s="17"/>
      <c r="D336" s="24"/>
      <c r="E336" s="24"/>
      <c r="F336" s="25"/>
      <c r="G336" s="1">
        <v>625</v>
      </c>
      <c r="H336" s="2">
        <v>92</v>
      </c>
      <c r="I336" s="2">
        <v>-23.4</v>
      </c>
      <c r="J336" s="2">
        <v>-32.1</v>
      </c>
      <c r="K336" s="2">
        <f t="shared" si="43"/>
        <v>-23.4</v>
      </c>
      <c r="L336" s="8">
        <f t="shared" si="47"/>
        <v>2.8840315031265959E-12</v>
      </c>
      <c r="M336" s="26"/>
      <c r="N336" s="17"/>
      <c r="O336" s="9">
        <f t="shared" si="45"/>
        <v>-32.1</v>
      </c>
      <c r="P336" s="8">
        <f>D332/B332*10^(O336/10)</f>
        <v>1.2126368369942476E-2</v>
      </c>
      <c r="Q336" s="26"/>
      <c r="R336" s="17"/>
      <c r="S336" s="19"/>
      <c r="T336" s="17"/>
      <c r="U336" s="22"/>
    </row>
    <row r="337" spans="1:21" x14ac:dyDescent="0.25">
      <c r="A337" s="24"/>
      <c r="B337" s="24"/>
      <c r="C337" s="17"/>
      <c r="D337" s="24"/>
      <c r="E337" s="24"/>
      <c r="F337" s="25"/>
      <c r="G337" s="1">
        <v>675</v>
      </c>
      <c r="H337" s="2">
        <v>94.5</v>
      </c>
      <c r="I337" s="2">
        <v>-22.3</v>
      </c>
      <c r="J337" s="2">
        <v>-23.7</v>
      </c>
      <c r="K337" s="2">
        <f t="shared" si="43"/>
        <v>-22.3</v>
      </c>
      <c r="L337" s="8">
        <f t="shared" si="47"/>
        <v>2.0892961308540349E-12</v>
      </c>
      <c r="M337" s="26"/>
      <c r="N337" s="17"/>
      <c r="O337" s="9">
        <f t="shared" si="45"/>
        <v>-23.7</v>
      </c>
      <c r="P337" s="8">
        <f>D332/B332*10^(O337/10)</f>
        <v>8.3893972030979869E-2</v>
      </c>
      <c r="Q337" s="26"/>
      <c r="R337" s="17"/>
      <c r="S337" s="20"/>
      <c r="T337" s="17"/>
      <c r="U337" s="23"/>
    </row>
    <row r="338" spans="1:21" x14ac:dyDescent="0.25">
      <c r="A338" s="24">
        <v>1000</v>
      </c>
      <c r="B338" s="24">
        <v>3</v>
      </c>
      <c r="C338" s="17">
        <v>0.5</v>
      </c>
      <c r="D338" s="24">
        <v>117</v>
      </c>
      <c r="E338" s="24">
        <v>6</v>
      </c>
      <c r="F338" s="25">
        <v>76</v>
      </c>
      <c r="G338" s="1">
        <v>875</v>
      </c>
      <c r="H338" s="2">
        <v>91.1</v>
      </c>
      <c r="I338" s="2">
        <v>-24.6</v>
      </c>
      <c r="J338" s="2">
        <v>-26.4</v>
      </c>
      <c r="K338" s="2">
        <f t="shared" si="43"/>
        <v>-24.6</v>
      </c>
      <c r="L338" s="8">
        <f t="shared" si="47"/>
        <v>2.6915348039269171E-12</v>
      </c>
      <c r="M338" s="26">
        <f>SUM(L338:L343)</f>
        <v>8.2239312483325893E-12</v>
      </c>
      <c r="N338" s="17">
        <f>10*LOG10(M338/E338)</f>
        <v>-118.63071779398128</v>
      </c>
      <c r="O338" s="9">
        <f t="shared" si="45"/>
        <v>-26.4</v>
      </c>
      <c r="P338" s="8">
        <f>D338/B338*10^(O338/10)</f>
        <v>8.9343838457943178E-2</v>
      </c>
      <c r="Q338" s="26">
        <f>SUM(P338:P343)</f>
        <v>0.50959199861900772</v>
      </c>
      <c r="R338" s="17">
        <f>10*LOG10(Q338)</f>
        <v>-2.9277739971292083</v>
      </c>
      <c r="S338" s="18">
        <f>F338+N338-Kzt-H</f>
        <v>-42.630717793981276</v>
      </c>
      <c r="T338" s="17">
        <v>0.8</v>
      </c>
      <c r="U338" s="21">
        <f>T338*10^((S338-R338)/10)</f>
        <v>8.5663459106441079E-5</v>
      </c>
    </row>
    <row r="339" spans="1:21" x14ac:dyDescent="0.25">
      <c r="A339" s="24"/>
      <c r="B339" s="24"/>
      <c r="C339" s="17"/>
      <c r="D339" s="24"/>
      <c r="E339" s="24"/>
      <c r="F339" s="25"/>
      <c r="G339" s="1">
        <v>975</v>
      </c>
      <c r="H339" s="2">
        <v>96.5</v>
      </c>
      <c r="I339" s="2">
        <v>-22.9</v>
      </c>
      <c r="J339" s="2">
        <v>-27.1</v>
      </c>
      <c r="K339" s="2">
        <f t="shared" si="43"/>
        <v>-22.9</v>
      </c>
      <c r="L339" s="8">
        <f t="shared" si="47"/>
        <v>1.1481536214968749E-12</v>
      </c>
      <c r="M339" s="26"/>
      <c r="N339" s="17"/>
      <c r="O339" s="9">
        <f t="shared" si="45"/>
        <v>-27.1</v>
      </c>
      <c r="P339" s="8">
        <f>D338/B338*10^(O339/10)</f>
        <v>7.6043939390563725E-2</v>
      </c>
      <c r="Q339" s="26"/>
      <c r="R339" s="17"/>
      <c r="S339" s="19"/>
      <c r="T339" s="17"/>
      <c r="U339" s="22"/>
    </row>
    <row r="340" spans="1:21" x14ac:dyDescent="0.25">
      <c r="A340" s="24"/>
      <c r="B340" s="24"/>
      <c r="C340" s="17"/>
      <c r="D340" s="24"/>
      <c r="E340" s="24"/>
      <c r="F340" s="25"/>
      <c r="G340" s="1">
        <v>1075</v>
      </c>
      <c r="H340" s="2">
        <v>94.6</v>
      </c>
      <c r="I340" s="2">
        <v>-21.7</v>
      </c>
      <c r="J340" s="2">
        <v>-26.7</v>
      </c>
      <c r="K340" s="2">
        <f t="shared" si="43"/>
        <v>-21.7</v>
      </c>
      <c r="L340" s="8">
        <f t="shared" si="47"/>
        <v>2.3442288153199247E-12</v>
      </c>
      <c r="M340" s="26"/>
      <c r="N340" s="17"/>
      <c r="O340" s="9">
        <f t="shared" si="45"/>
        <v>-26.7</v>
      </c>
      <c r="P340" s="8">
        <f>D338/B338*10^(O340/10)</f>
        <v>8.3380521490587042E-2</v>
      </c>
      <c r="Q340" s="26"/>
      <c r="R340" s="17"/>
      <c r="S340" s="19"/>
      <c r="T340" s="17"/>
      <c r="U340" s="22"/>
    </row>
    <row r="341" spans="1:21" x14ac:dyDescent="0.25">
      <c r="A341" s="24"/>
      <c r="B341" s="24"/>
      <c r="C341" s="17"/>
      <c r="D341" s="24"/>
      <c r="E341" s="24"/>
      <c r="F341" s="25"/>
      <c r="G341" s="1">
        <v>1175</v>
      </c>
      <c r="H341" s="2">
        <v>97.8</v>
      </c>
      <c r="I341" s="2">
        <v>-22.6</v>
      </c>
      <c r="J341" s="2">
        <v>-29.8</v>
      </c>
      <c r="K341" s="2">
        <f t="shared" si="43"/>
        <v>-22.6</v>
      </c>
      <c r="L341" s="8">
        <f t="shared" si="47"/>
        <v>9.1201083935590446E-13</v>
      </c>
      <c r="M341" s="26"/>
      <c r="N341" s="17"/>
      <c r="O341" s="9">
        <f t="shared" si="45"/>
        <v>-29.8</v>
      </c>
      <c r="P341" s="8">
        <f>D338/B338*10^(O341/10)</f>
        <v>4.0838013373985051E-2</v>
      </c>
      <c r="Q341" s="26"/>
      <c r="R341" s="17"/>
      <c r="S341" s="19"/>
      <c r="T341" s="17"/>
      <c r="U341" s="22"/>
    </row>
    <row r="342" spans="1:21" x14ac:dyDescent="0.25">
      <c r="A342" s="24"/>
      <c r="B342" s="24"/>
      <c r="C342" s="17"/>
      <c r="D342" s="24"/>
      <c r="E342" s="24"/>
      <c r="F342" s="25"/>
      <c r="G342" s="1">
        <v>1275</v>
      </c>
      <c r="H342" s="2">
        <v>100.1</v>
      </c>
      <c r="I342" s="2">
        <v>-20.5</v>
      </c>
      <c r="J342" s="2">
        <v>-24</v>
      </c>
      <c r="K342" s="2">
        <f t="shared" si="43"/>
        <v>-20.5</v>
      </c>
      <c r="L342" s="8">
        <f t="shared" si="47"/>
        <v>8.7096358995608191E-13</v>
      </c>
      <c r="M342" s="26"/>
      <c r="N342" s="17"/>
      <c r="O342" s="9">
        <f t="shared" si="45"/>
        <v>-24</v>
      </c>
      <c r="P342" s="8">
        <f>D338/B338*10^(O342/10)</f>
        <v>0.15526179651586389</v>
      </c>
      <c r="Q342" s="26"/>
      <c r="R342" s="17"/>
      <c r="S342" s="19"/>
      <c r="T342" s="17"/>
      <c r="U342" s="22"/>
    </row>
    <row r="343" spans="1:21" x14ac:dyDescent="0.25">
      <c r="A343" s="24"/>
      <c r="B343" s="24"/>
      <c r="C343" s="17"/>
      <c r="D343" s="24"/>
      <c r="E343" s="24"/>
      <c r="F343" s="25"/>
      <c r="G343" s="1">
        <v>1375</v>
      </c>
      <c r="H343" s="2">
        <v>103</v>
      </c>
      <c r="I343" s="2">
        <v>-22.9</v>
      </c>
      <c r="J343" s="2">
        <v>-27.8</v>
      </c>
      <c r="K343" s="2">
        <f t="shared" si="43"/>
        <v>-22.9</v>
      </c>
      <c r="L343" s="8">
        <f t="shared" si="47"/>
        <v>2.5703957827688533E-13</v>
      </c>
      <c r="M343" s="26"/>
      <c r="N343" s="17"/>
      <c r="O343" s="9">
        <f t="shared" si="45"/>
        <v>-27.8</v>
      </c>
      <c r="P343" s="8">
        <f>D338/B338*10^(O343/10)</f>
        <v>6.4723889390064807E-2</v>
      </c>
      <c r="Q343" s="26"/>
      <c r="R343" s="17"/>
      <c r="S343" s="20"/>
      <c r="T343" s="17"/>
      <c r="U343" s="23"/>
    </row>
    <row r="344" spans="1:21" x14ac:dyDescent="0.25">
      <c r="A344" s="24">
        <v>2000</v>
      </c>
      <c r="B344" s="24">
        <v>3</v>
      </c>
      <c r="C344" s="17">
        <v>0.5</v>
      </c>
      <c r="D344" s="24">
        <v>234</v>
      </c>
      <c r="E344" s="24">
        <v>6</v>
      </c>
      <c r="F344" s="25">
        <v>68</v>
      </c>
      <c r="G344" s="1">
        <v>1425</v>
      </c>
      <c r="H344" s="2">
        <v>102.8</v>
      </c>
      <c r="I344" s="2">
        <v>-21.4</v>
      </c>
      <c r="J344" s="2">
        <v>-29.6</v>
      </c>
      <c r="K344" s="2">
        <f t="shared" si="43"/>
        <v>-21.4</v>
      </c>
      <c r="L344" s="8">
        <f t="shared" si="47"/>
        <v>3.8018939632056172E-13</v>
      </c>
      <c r="M344" s="26">
        <f>SUM(L344:L349)</f>
        <v>2.9766192112652005E-12</v>
      </c>
      <c r="N344" s="17">
        <f>10*LOG10(M344/E344)</f>
        <v>-123.04427969994137</v>
      </c>
      <c r="O344" s="9">
        <f t="shared" si="45"/>
        <v>-29.6</v>
      </c>
      <c r="P344" s="8">
        <f>D344/B344*10^(O344/10)</f>
        <v>8.5525299299168425E-2</v>
      </c>
      <c r="Q344" s="26">
        <f>SUM(P344:P349)</f>
        <v>1.0956145190474853</v>
      </c>
      <c r="R344" s="17">
        <f>10*LOG10(Q344)</f>
        <v>0.3965777887621435</v>
      </c>
      <c r="S344" s="18">
        <f>F344+N344-Kzt-H</f>
        <v>-55.04427969994137</v>
      </c>
      <c r="T344" s="17">
        <v>1</v>
      </c>
      <c r="U344" s="21">
        <f>T344*10^((S344-R344)/10)</f>
        <v>2.8570263847626375E-6</v>
      </c>
    </row>
    <row r="345" spans="1:21" x14ac:dyDescent="0.25">
      <c r="A345" s="24"/>
      <c r="B345" s="24"/>
      <c r="C345" s="17"/>
      <c r="D345" s="24"/>
      <c r="E345" s="24"/>
      <c r="F345" s="25"/>
      <c r="G345" s="1">
        <v>1625</v>
      </c>
      <c r="H345" s="2">
        <v>104.1</v>
      </c>
      <c r="I345" s="2">
        <v>-21</v>
      </c>
      <c r="J345" s="2">
        <v>-24.1</v>
      </c>
      <c r="K345" s="2">
        <f t="shared" si="43"/>
        <v>-21</v>
      </c>
      <c r="L345" s="8">
        <f t="shared" si="47"/>
        <v>3.0902954325135866E-13</v>
      </c>
      <c r="M345" s="26"/>
      <c r="N345" s="17"/>
      <c r="O345" s="9">
        <f t="shared" si="45"/>
        <v>-24.1</v>
      </c>
      <c r="P345" s="8">
        <f>D344/B344*10^(O345/10)</f>
        <v>0.30345521309553858</v>
      </c>
      <c r="Q345" s="26"/>
      <c r="R345" s="17"/>
      <c r="S345" s="19"/>
      <c r="T345" s="17"/>
      <c r="U345" s="22"/>
    </row>
    <row r="346" spans="1:21" x14ac:dyDescent="0.25">
      <c r="A346" s="24"/>
      <c r="B346" s="24"/>
      <c r="C346" s="17"/>
      <c r="D346" s="24"/>
      <c r="E346" s="24"/>
      <c r="F346" s="25"/>
      <c r="G346" s="1">
        <v>1825</v>
      </c>
      <c r="H346" s="2">
        <v>107.6</v>
      </c>
      <c r="I346" s="2">
        <v>-23.8</v>
      </c>
      <c r="J346" s="2">
        <v>-25.5</v>
      </c>
      <c r="K346" s="2">
        <f t="shared" si="43"/>
        <v>-23.8</v>
      </c>
      <c r="L346" s="8">
        <f t="shared" si="47"/>
        <v>7.2443596007498585E-14</v>
      </c>
      <c r="M346" s="26"/>
      <c r="N346" s="17"/>
      <c r="O346" s="9">
        <f t="shared" si="45"/>
        <v>-25.5</v>
      </c>
      <c r="P346" s="8">
        <f>D344/B344*10^(O346/10)</f>
        <v>0.21983386863862728</v>
      </c>
      <c r="Q346" s="26"/>
      <c r="R346" s="17"/>
      <c r="S346" s="19"/>
      <c r="T346" s="17"/>
      <c r="U346" s="22"/>
    </row>
    <row r="347" spans="1:21" x14ac:dyDescent="0.25">
      <c r="A347" s="24"/>
      <c r="B347" s="24"/>
      <c r="C347" s="17"/>
      <c r="D347" s="24"/>
      <c r="E347" s="24"/>
      <c r="F347" s="25"/>
      <c r="G347" s="1">
        <v>2125</v>
      </c>
      <c r="H347" s="2">
        <v>104.2</v>
      </c>
      <c r="I347" s="2">
        <v>-28.9</v>
      </c>
      <c r="J347" s="2">
        <v>-30.4</v>
      </c>
      <c r="K347" s="2">
        <f t="shared" si="43"/>
        <v>-28.9</v>
      </c>
      <c r="L347" s="8">
        <f t="shared" si="47"/>
        <v>4.8977881936844584E-14</v>
      </c>
      <c r="M347" s="26"/>
      <c r="N347" s="17"/>
      <c r="O347" s="9">
        <f t="shared" si="45"/>
        <v>-30.4</v>
      </c>
      <c r="P347" s="8">
        <f>D344/B344*10^(O347/10)</f>
        <v>7.1136845469760873E-2</v>
      </c>
      <c r="Q347" s="26"/>
      <c r="R347" s="17"/>
      <c r="S347" s="19"/>
      <c r="T347" s="17"/>
      <c r="U347" s="22"/>
    </row>
    <row r="348" spans="1:21" x14ac:dyDescent="0.25">
      <c r="A348" s="24"/>
      <c r="B348" s="24"/>
      <c r="C348" s="17"/>
      <c r="D348" s="24"/>
      <c r="E348" s="24"/>
      <c r="F348" s="25"/>
      <c r="G348" s="1">
        <v>2425</v>
      </c>
      <c r="H348" s="2">
        <v>93.7</v>
      </c>
      <c r="I348" s="2">
        <v>-24</v>
      </c>
      <c r="J348" s="2">
        <v>-25.1</v>
      </c>
      <c r="K348" s="2">
        <f t="shared" si="43"/>
        <v>-24</v>
      </c>
      <c r="L348" s="8">
        <f t="shared" si="47"/>
        <v>1.6982436524617421E-12</v>
      </c>
      <c r="M348" s="26"/>
      <c r="N348" s="17"/>
      <c r="O348" s="9">
        <f t="shared" si="45"/>
        <v>-25.1</v>
      </c>
      <c r="P348" s="8">
        <f>D344/B344*10^(O348/10)</f>
        <v>0.24104304373605984</v>
      </c>
      <c r="Q348" s="26"/>
      <c r="R348" s="17"/>
      <c r="S348" s="19"/>
      <c r="T348" s="17"/>
      <c r="U348" s="22"/>
    </row>
    <row r="349" spans="1:21" x14ac:dyDescent="0.25">
      <c r="A349" s="24"/>
      <c r="B349" s="24"/>
      <c r="C349" s="17"/>
      <c r="D349" s="24"/>
      <c r="E349" s="24"/>
      <c r="F349" s="25"/>
      <c r="G349" s="1">
        <v>2775</v>
      </c>
      <c r="H349" s="2">
        <v>100.2</v>
      </c>
      <c r="I349" s="2">
        <v>-23.1</v>
      </c>
      <c r="J349" s="2">
        <v>-26.5</v>
      </c>
      <c r="K349" s="2">
        <f t="shared" si="43"/>
        <v>-23.1</v>
      </c>
      <c r="L349" s="8">
        <f t="shared" si="47"/>
        <v>4.6773514128719514E-13</v>
      </c>
      <c r="M349" s="26"/>
      <c r="N349" s="17"/>
      <c r="O349" s="9">
        <f t="shared" si="45"/>
        <v>-26.5</v>
      </c>
      <c r="P349" s="8">
        <f>D344/B344*10^(O349/10)</f>
        <v>0.17462024880833041</v>
      </c>
      <c r="Q349" s="26"/>
      <c r="R349" s="17"/>
      <c r="S349" s="20"/>
      <c r="T349" s="17"/>
      <c r="U349" s="23"/>
    </row>
    <row r="350" spans="1:21" x14ac:dyDescent="0.25">
      <c r="A350" s="24">
        <v>4000</v>
      </c>
      <c r="B350" s="24">
        <v>3</v>
      </c>
      <c r="C350" s="17">
        <v>0.5</v>
      </c>
      <c r="D350" s="24">
        <v>470</v>
      </c>
      <c r="E350" s="24">
        <v>6</v>
      </c>
      <c r="F350" s="25">
        <v>62</v>
      </c>
      <c r="G350" s="1">
        <v>2825</v>
      </c>
      <c r="H350" s="2">
        <v>99.4</v>
      </c>
      <c r="I350" s="2">
        <v>-22.7</v>
      </c>
      <c r="J350" s="2">
        <v>-27.5</v>
      </c>
      <c r="K350" s="2">
        <f t="shared" si="43"/>
        <v>-22.7</v>
      </c>
      <c r="L350" s="8">
        <f t="shared" si="47"/>
        <v>6.1659500186147956E-13</v>
      </c>
      <c r="M350" s="26">
        <f>SUM(L350:L355)</f>
        <v>2.3378996993445626E-12</v>
      </c>
      <c r="N350" s="17">
        <f>10*LOG10(M350/E350)</f>
        <v>-124.09325375275351</v>
      </c>
      <c r="O350" s="9">
        <f t="shared" si="45"/>
        <v>-27.5</v>
      </c>
      <c r="P350" s="8">
        <f>D350/B350*10^(O350/10)</f>
        <v>0.27859710757276446</v>
      </c>
      <c r="Q350" s="26">
        <f>SUM(P350:P355)</f>
        <v>1.9933205303856685</v>
      </c>
      <c r="R350" s="17">
        <f>10*LOG10(Q350)</f>
        <v>2.9957713983695271</v>
      </c>
      <c r="S350" s="18">
        <f>F350+N350-Kzt-H</f>
        <v>-62.093253752753512</v>
      </c>
      <c r="T350" s="17">
        <v>0.9</v>
      </c>
      <c r="U350" s="21">
        <f>T350*10^((S350-R350)/10)</f>
        <v>2.7883031818002415E-7</v>
      </c>
    </row>
    <row r="351" spans="1:21" x14ac:dyDescent="0.25">
      <c r="A351" s="24"/>
      <c r="B351" s="24"/>
      <c r="C351" s="17"/>
      <c r="D351" s="24"/>
      <c r="E351" s="24"/>
      <c r="F351" s="25"/>
      <c r="G351" s="1">
        <v>3425</v>
      </c>
      <c r="H351" s="2">
        <v>103.5</v>
      </c>
      <c r="I351" s="2">
        <v>-28.6</v>
      </c>
      <c r="J351" s="2">
        <v>-29</v>
      </c>
      <c r="K351" s="2">
        <f t="shared" si="43"/>
        <v>-28.6</v>
      </c>
      <c r="L351" s="8">
        <f t="shared" si="47"/>
        <v>6.1659500186148115E-14</v>
      </c>
      <c r="M351" s="26"/>
      <c r="N351" s="17"/>
      <c r="O351" s="9">
        <f t="shared" si="45"/>
        <v>-29</v>
      </c>
      <c r="P351" s="8">
        <f>D350/B350*10^(O351/10)</f>
        <v>0.19723164784775268</v>
      </c>
      <c r="Q351" s="26"/>
      <c r="R351" s="17"/>
      <c r="S351" s="19"/>
      <c r="T351" s="17"/>
      <c r="U351" s="22"/>
    </row>
    <row r="352" spans="1:21" x14ac:dyDescent="0.25">
      <c r="A352" s="24"/>
      <c r="B352" s="24"/>
      <c r="C352" s="17"/>
      <c r="D352" s="24"/>
      <c r="E352" s="24"/>
      <c r="F352" s="25"/>
      <c r="G352" s="1">
        <v>4025</v>
      </c>
      <c r="H352" s="2">
        <v>103.6</v>
      </c>
      <c r="I352" s="2">
        <v>-25.3</v>
      </c>
      <c r="J352" s="2">
        <v>-26.8</v>
      </c>
      <c r="K352" s="2">
        <f t="shared" si="43"/>
        <v>-25.3</v>
      </c>
      <c r="L352" s="8">
        <f t="shared" si="47"/>
        <v>1.288249551693128E-13</v>
      </c>
      <c r="M352" s="26"/>
      <c r="N352" s="17"/>
      <c r="O352" s="9">
        <f t="shared" si="45"/>
        <v>-26.8</v>
      </c>
      <c r="P352" s="8">
        <f>D350/B350*10^(O352/10)</f>
        <v>0.32732306050046583</v>
      </c>
      <c r="Q352" s="26"/>
      <c r="R352" s="17"/>
      <c r="S352" s="19"/>
      <c r="T352" s="17"/>
      <c r="U352" s="22"/>
    </row>
    <row r="353" spans="1:21" x14ac:dyDescent="0.25">
      <c r="A353" s="24"/>
      <c r="B353" s="24"/>
      <c r="C353" s="17"/>
      <c r="D353" s="24"/>
      <c r="E353" s="24"/>
      <c r="F353" s="25"/>
      <c r="G353" s="1">
        <v>4625</v>
      </c>
      <c r="H353" s="2">
        <v>105.6</v>
      </c>
      <c r="I353" s="2">
        <v>-15.9</v>
      </c>
      <c r="J353" s="2">
        <v>-27.5</v>
      </c>
      <c r="K353" s="2">
        <f t="shared" si="43"/>
        <v>-15.9</v>
      </c>
      <c r="L353" s="8">
        <f t="shared" si="47"/>
        <v>7.0794578438413455E-13</v>
      </c>
      <c r="M353" s="26"/>
      <c r="N353" s="17"/>
      <c r="O353" s="9">
        <f t="shared" si="45"/>
        <v>-27.5</v>
      </c>
      <c r="P353" s="8">
        <f>D350/B350*10^(O353/10)</f>
        <v>0.27859710757276446</v>
      </c>
      <c r="Q353" s="26"/>
      <c r="R353" s="17"/>
      <c r="S353" s="19"/>
      <c r="T353" s="17"/>
      <c r="U353" s="22"/>
    </row>
    <row r="354" spans="1:21" x14ac:dyDescent="0.25">
      <c r="A354" s="24"/>
      <c r="B354" s="24"/>
      <c r="C354" s="17"/>
      <c r="D354" s="24"/>
      <c r="E354" s="24"/>
      <c r="F354" s="25"/>
      <c r="G354" s="1">
        <v>5225</v>
      </c>
      <c r="H354" s="2">
        <v>103.5</v>
      </c>
      <c r="I354" s="2">
        <v>-24.4</v>
      </c>
      <c r="J354" s="2">
        <v>-24.4</v>
      </c>
      <c r="K354" s="2">
        <f t="shared" si="43"/>
        <v>-24.4</v>
      </c>
      <c r="L354" s="8">
        <f t="shared" si="47"/>
        <v>1.6218100973589207E-13</v>
      </c>
      <c r="M354" s="26"/>
      <c r="N354" s="17"/>
      <c r="O354" s="9">
        <f t="shared" si="45"/>
        <v>-24.4</v>
      </c>
      <c r="P354" s="8">
        <f>D350/B350*10^(O354/10)</f>
        <v>0.56882228580649163</v>
      </c>
      <c r="Q354" s="26"/>
      <c r="R354" s="17"/>
      <c r="S354" s="19"/>
      <c r="T354" s="17"/>
      <c r="U354" s="22"/>
    </row>
    <row r="355" spans="1:21" x14ac:dyDescent="0.25">
      <c r="A355" s="24"/>
      <c r="B355" s="24"/>
      <c r="C355" s="17"/>
      <c r="D355" s="24"/>
      <c r="E355" s="24"/>
      <c r="F355" s="25"/>
      <c r="G355" s="1">
        <v>5625</v>
      </c>
      <c r="H355" s="2">
        <v>99.5</v>
      </c>
      <c r="I355" s="2">
        <v>-22.3</v>
      </c>
      <c r="J355" s="2">
        <v>-26.6</v>
      </c>
      <c r="K355" s="2">
        <f t="shared" si="43"/>
        <v>-22.3</v>
      </c>
      <c r="L355" s="8">
        <f t="shared" si="47"/>
        <v>6.606934480075954E-13</v>
      </c>
      <c r="M355" s="26"/>
      <c r="N355" s="17"/>
      <c r="O355" s="9">
        <f t="shared" si="45"/>
        <v>-26.6</v>
      </c>
      <c r="P355" s="8">
        <f>D350/B350*10^(O355/10)</f>
        <v>0.34274932108542944</v>
      </c>
      <c r="Q355" s="26"/>
      <c r="R355" s="17"/>
      <c r="S355" s="20"/>
      <c r="T355" s="17"/>
      <c r="U355" s="23"/>
    </row>
    <row r="356" spans="1:21" x14ac:dyDescent="0.25">
      <c r="A356" s="24">
        <v>8000</v>
      </c>
      <c r="B356" s="24">
        <v>3</v>
      </c>
      <c r="C356" s="17">
        <v>0.5</v>
      </c>
      <c r="D356" s="24">
        <v>943</v>
      </c>
      <c r="E356" s="24">
        <v>6</v>
      </c>
      <c r="F356" s="25">
        <v>54</v>
      </c>
      <c r="G356" s="1">
        <v>6025</v>
      </c>
      <c r="H356" s="2">
        <v>95</v>
      </c>
      <c r="I356" s="2">
        <v>-22.8</v>
      </c>
      <c r="J356" s="2">
        <v>-29.6</v>
      </c>
      <c r="K356" s="2">
        <f t="shared" si="43"/>
        <v>-22.8</v>
      </c>
      <c r="L356" s="8">
        <f t="shared" si="47"/>
        <v>1.6595869074375588E-12</v>
      </c>
      <c r="M356" s="26">
        <f>SUM(L356:L361)</f>
        <v>3.2126644876275395E-11</v>
      </c>
      <c r="N356" s="17">
        <f>10*LOG10(M356/E356)</f>
        <v>-112.71285877704932</v>
      </c>
      <c r="O356" s="9">
        <f t="shared" si="45"/>
        <v>-29.6</v>
      </c>
      <c r="P356" s="8">
        <f>D356/B356*10^(O356/10)</f>
        <v>0.34465964632100776</v>
      </c>
      <c r="Q356" s="26">
        <f>SUM(P356:P361)</f>
        <v>3.8548370793648932</v>
      </c>
      <c r="R356" s="17">
        <f>10*LOG10(Q356)</f>
        <v>5.8600602777530311</v>
      </c>
      <c r="S356" s="18">
        <f>F356+N356-Kzt-H</f>
        <v>-58.71285877704932</v>
      </c>
      <c r="T356" s="17">
        <v>0.7</v>
      </c>
      <c r="U356" s="21">
        <f>T356*10^((S356-R356)/10)</f>
        <v>2.4423400689070897E-7</v>
      </c>
    </row>
    <row r="357" spans="1:21" x14ac:dyDescent="0.25">
      <c r="A357" s="24"/>
      <c r="B357" s="24"/>
      <c r="C357" s="17"/>
      <c r="D357" s="24"/>
      <c r="E357" s="24"/>
      <c r="F357" s="25"/>
      <c r="G357" s="1">
        <v>7025</v>
      </c>
      <c r="H357" s="2">
        <v>94.8</v>
      </c>
      <c r="I357" s="2">
        <v>-19</v>
      </c>
      <c r="J357" s="2">
        <v>-26.9</v>
      </c>
      <c r="K357" s="2">
        <f t="shared" si="43"/>
        <v>-19</v>
      </c>
      <c r="L357" s="8">
        <f t="shared" si="47"/>
        <v>4.1686938347033479E-12</v>
      </c>
      <c r="M357" s="26"/>
      <c r="N357" s="17"/>
      <c r="O357" s="9">
        <f t="shared" si="45"/>
        <v>-26.9</v>
      </c>
      <c r="P357" s="8">
        <f>D356/B356*10^(O357/10)</f>
        <v>0.64178629394112197</v>
      </c>
      <c r="Q357" s="26"/>
      <c r="R357" s="17"/>
      <c r="S357" s="19"/>
      <c r="T357" s="17"/>
      <c r="U357" s="22"/>
    </row>
    <row r="358" spans="1:21" x14ac:dyDescent="0.25">
      <c r="A358" s="24"/>
      <c r="B358" s="24"/>
      <c r="C358" s="17"/>
      <c r="D358" s="24"/>
      <c r="E358" s="24"/>
      <c r="F358" s="25"/>
      <c r="G358" s="1">
        <v>8025</v>
      </c>
      <c r="H358" s="2">
        <v>101.9</v>
      </c>
      <c r="I358" s="2">
        <v>-19.600000000000001</v>
      </c>
      <c r="J358" s="2">
        <v>-30.2</v>
      </c>
      <c r="K358" s="2">
        <f t="shared" si="43"/>
        <v>-19.600000000000001</v>
      </c>
      <c r="L358" s="8">
        <f t="shared" si="47"/>
        <v>7.0794578438413455E-13</v>
      </c>
      <c r="M358" s="26"/>
      <c r="N358" s="17"/>
      <c r="O358" s="9">
        <f t="shared" si="45"/>
        <v>-30.2</v>
      </c>
      <c r="P358" s="8">
        <f>D356/B356*10^(O358/10)</f>
        <v>0.30018600287273789</v>
      </c>
      <c r="Q358" s="26"/>
      <c r="R358" s="17"/>
      <c r="S358" s="19"/>
      <c r="T358" s="17"/>
      <c r="U358" s="22"/>
    </row>
    <row r="359" spans="1:21" x14ac:dyDescent="0.25">
      <c r="A359" s="24"/>
      <c r="B359" s="24"/>
      <c r="C359" s="17"/>
      <c r="D359" s="24"/>
      <c r="E359" s="24"/>
      <c r="F359" s="25"/>
      <c r="G359" s="1">
        <v>9025</v>
      </c>
      <c r="H359" s="2">
        <v>93.2</v>
      </c>
      <c r="I359" s="2">
        <v>-22.3</v>
      </c>
      <c r="J359" s="2">
        <v>-29.3</v>
      </c>
      <c r="K359" s="2">
        <f t="shared" si="43"/>
        <v>-22.3</v>
      </c>
      <c r="L359" s="8">
        <f t="shared" si="47"/>
        <v>2.8183829312644444E-12</v>
      </c>
      <c r="M359" s="26"/>
      <c r="N359" s="17"/>
      <c r="O359" s="9">
        <f t="shared" si="45"/>
        <v>-29.3</v>
      </c>
      <c r="P359" s="8">
        <f>D356/B356*10^(O359/10)</f>
        <v>0.36930946476932491</v>
      </c>
      <c r="Q359" s="26"/>
      <c r="R359" s="17"/>
      <c r="S359" s="19"/>
      <c r="T359" s="17"/>
      <c r="U359" s="22"/>
    </row>
    <row r="360" spans="1:21" x14ac:dyDescent="0.25">
      <c r="A360" s="24"/>
      <c r="B360" s="24"/>
      <c r="C360" s="17"/>
      <c r="D360" s="24"/>
      <c r="E360" s="24"/>
      <c r="F360" s="25"/>
      <c r="G360" s="1">
        <v>10025</v>
      </c>
      <c r="H360" s="2">
        <v>88.3</v>
      </c>
      <c r="I360" s="2">
        <v>-22.5</v>
      </c>
      <c r="J360" s="2">
        <v>-23.6</v>
      </c>
      <c r="K360" s="2">
        <f t="shared" si="43"/>
        <v>-22.5</v>
      </c>
      <c r="L360" s="8">
        <f t="shared" si="47"/>
        <v>8.3176377110266746E-12</v>
      </c>
      <c r="M360" s="26"/>
      <c r="N360" s="17"/>
      <c r="O360" s="9">
        <f t="shared" si="45"/>
        <v>-23.6</v>
      </c>
      <c r="P360" s="8">
        <f>D356/B356*10^(O360/10)</f>
        <v>1.3721147660082529</v>
      </c>
      <c r="Q360" s="26"/>
      <c r="R360" s="17"/>
      <c r="S360" s="19"/>
      <c r="T360" s="17"/>
      <c r="U360" s="22"/>
    </row>
    <row r="361" spans="1:21" x14ac:dyDescent="0.25">
      <c r="A361" s="24"/>
      <c r="B361" s="24"/>
      <c r="C361" s="17"/>
      <c r="D361" s="24"/>
      <c r="E361" s="24"/>
      <c r="F361" s="25"/>
      <c r="G361" s="1">
        <v>11025</v>
      </c>
      <c r="H361" s="2">
        <v>86</v>
      </c>
      <c r="I361" s="2">
        <v>-22.4</v>
      </c>
      <c r="J361" s="2">
        <v>-25.8</v>
      </c>
      <c r="K361" s="2">
        <f t="shared" si="43"/>
        <v>-22.4</v>
      </c>
      <c r="L361" s="8">
        <f t="shared" si="47"/>
        <v>1.4454397707459232E-11</v>
      </c>
      <c r="M361" s="26"/>
      <c r="N361" s="17"/>
      <c r="O361" s="9">
        <f t="shared" si="45"/>
        <v>-25.8</v>
      </c>
      <c r="P361" s="8">
        <f>D356/B356*10^(O361/10)</f>
        <v>0.82678090545244742</v>
      </c>
      <c r="Q361" s="26"/>
      <c r="R361" s="17"/>
      <c r="S361" s="20"/>
      <c r="T361" s="17"/>
      <c r="U361" s="23"/>
    </row>
    <row r="362" spans="1:21" x14ac:dyDescent="0.25">
      <c r="A362" s="24" t="s">
        <v>20</v>
      </c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12">
        <f>U362</f>
        <v>6.0644258353662675E-2</v>
      </c>
      <c r="T362" s="2"/>
      <c r="U362" s="8">
        <f>0.8*SQRT(SUM(U328:U361))</f>
        <v>6.0644258353662675E-2</v>
      </c>
    </row>
    <row r="363" spans="1:21" x14ac:dyDescent="0.25">
      <c r="A363" s="27" t="s">
        <v>82</v>
      </c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9"/>
    </row>
    <row r="364" spans="1:21" x14ac:dyDescent="0.25">
      <c r="A364" s="24">
        <v>250</v>
      </c>
      <c r="B364" s="24">
        <v>3</v>
      </c>
      <c r="C364" s="17">
        <v>0.5</v>
      </c>
      <c r="D364" s="24">
        <v>38</v>
      </c>
      <c r="E364" s="24">
        <v>4</v>
      </c>
      <c r="F364" s="25">
        <v>84</v>
      </c>
      <c r="G364" s="1">
        <v>175</v>
      </c>
      <c r="H364" s="2">
        <v>84.8</v>
      </c>
      <c r="I364" s="2">
        <v>-22.3</v>
      </c>
      <c r="J364" s="2">
        <v>-28.8</v>
      </c>
      <c r="K364" s="2">
        <f>I364</f>
        <v>-22.3</v>
      </c>
      <c r="L364" s="8">
        <f>10^((K364-H364)/10)</f>
        <v>1.949844599758044E-11</v>
      </c>
      <c r="M364" s="26">
        <f>SUM(L364:L367)</f>
        <v>3.4207534363797713E-11</v>
      </c>
      <c r="N364" s="17">
        <f>10*LOG10(M364/E364)</f>
        <v>-110.67938219416723</v>
      </c>
      <c r="O364" s="9">
        <f>J364</f>
        <v>-28.8</v>
      </c>
      <c r="P364" s="8">
        <f>D364/B364*10^(O364/10)</f>
        <v>1.6697918688381157E-2</v>
      </c>
      <c r="Q364" s="26">
        <f>SUM(P364:P367)</f>
        <v>0.1108972132614208</v>
      </c>
      <c r="R364" s="17">
        <f>10*LOG10(Q364)</f>
        <v>-9.5507936710957502</v>
      </c>
      <c r="S364" s="18">
        <f>F364+N364-Kzt-H</f>
        <v>-26.679382194167232</v>
      </c>
      <c r="T364" s="17">
        <v>0.2</v>
      </c>
      <c r="U364" s="21">
        <f>T364*10^((S364-R364)/10)</f>
        <v>3.8741028244446045E-3</v>
      </c>
    </row>
    <row r="365" spans="1:21" x14ac:dyDescent="0.25">
      <c r="A365" s="24"/>
      <c r="B365" s="24"/>
      <c r="C365" s="17"/>
      <c r="D365" s="24"/>
      <c r="E365" s="24"/>
      <c r="F365" s="25"/>
      <c r="G365" s="1">
        <v>225</v>
      </c>
      <c r="H365" s="2">
        <v>90</v>
      </c>
      <c r="I365" s="2">
        <v>-22.5</v>
      </c>
      <c r="J365" s="2">
        <v>-25.9</v>
      </c>
      <c r="K365" s="2">
        <f t="shared" ref="K365:K397" si="48">I365</f>
        <v>-22.5</v>
      </c>
      <c r="L365" s="8">
        <f t="shared" ref="L365:L366" si="49">10^((K365-H365)/10)</f>
        <v>5.6234132519034759E-12</v>
      </c>
      <c r="M365" s="26"/>
      <c r="N365" s="17"/>
      <c r="O365" s="9">
        <f t="shared" ref="O365:O397" si="50">J365</f>
        <v>-25.9</v>
      </c>
      <c r="P365" s="8">
        <f>D364/B364*10^(O365/10)</f>
        <v>3.2558346581738937E-2</v>
      </c>
      <c r="Q365" s="26"/>
      <c r="R365" s="17"/>
      <c r="S365" s="19"/>
      <c r="T365" s="17"/>
      <c r="U365" s="22"/>
    </row>
    <row r="366" spans="1:21" x14ac:dyDescent="0.25">
      <c r="A366" s="24"/>
      <c r="B366" s="24"/>
      <c r="C366" s="17"/>
      <c r="D366" s="24"/>
      <c r="E366" s="24"/>
      <c r="F366" s="25"/>
      <c r="G366" s="1">
        <v>275</v>
      </c>
      <c r="H366" s="2">
        <v>92.2</v>
      </c>
      <c r="I366" s="2">
        <v>-21.7</v>
      </c>
      <c r="J366" s="2">
        <v>-24.5</v>
      </c>
      <c r="K366" s="2">
        <f t="shared" si="48"/>
        <v>-21.7</v>
      </c>
      <c r="L366" s="8">
        <f t="shared" si="49"/>
        <v>4.0738027780411076E-12</v>
      </c>
      <c r="M366" s="26"/>
      <c r="N366" s="17"/>
      <c r="O366" s="9">
        <f t="shared" si="50"/>
        <v>-24.5</v>
      </c>
      <c r="P366" s="8">
        <f>D364/B364*10^(O366/10)</f>
        <v>4.4943029302919532E-2</v>
      </c>
      <c r="Q366" s="26"/>
      <c r="R366" s="17"/>
      <c r="S366" s="19"/>
      <c r="T366" s="17"/>
      <c r="U366" s="22"/>
    </row>
    <row r="367" spans="1:21" x14ac:dyDescent="0.25">
      <c r="A367" s="24"/>
      <c r="B367" s="24"/>
      <c r="C367" s="17"/>
      <c r="D367" s="24"/>
      <c r="E367" s="24"/>
      <c r="F367" s="25"/>
      <c r="G367" s="1">
        <v>325</v>
      </c>
      <c r="H367" s="2">
        <v>93.3</v>
      </c>
      <c r="I367" s="2">
        <v>-19.7</v>
      </c>
      <c r="J367" s="2">
        <v>-28.8</v>
      </c>
      <c r="K367" s="2">
        <f t="shared" si="48"/>
        <v>-19.7</v>
      </c>
      <c r="L367" s="8">
        <f>10^((K367-H367)/10)</f>
        <v>5.0118723362726945E-12</v>
      </c>
      <c r="M367" s="26"/>
      <c r="N367" s="17"/>
      <c r="O367" s="9">
        <f t="shared" si="50"/>
        <v>-28.8</v>
      </c>
      <c r="P367" s="8">
        <f>D364/B364*10^(O367/10)</f>
        <v>1.6697918688381157E-2</v>
      </c>
      <c r="Q367" s="26"/>
      <c r="R367" s="17"/>
      <c r="S367" s="20"/>
      <c r="T367" s="17"/>
      <c r="U367" s="23"/>
    </row>
    <row r="368" spans="1:21" x14ac:dyDescent="0.25">
      <c r="A368" s="24">
        <v>500</v>
      </c>
      <c r="B368" s="24">
        <v>3</v>
      </c>
      <c r="C368" s="17">
        <v>0.5</v>
      </c>
      <c r="D368" s="24">
        <v>59</v>
      </c>
      <c r="E368" s="24">
        <v>6</v>
      </c>
      <c r="F368" s="25">
        <v>84</v>
      </c>
      <c r="G368" s="1">
        <v>375</v>
      </c>
      <c r="H368" s="2">
        <v>91.9</v>
      </c>
      <c r="I368" s="2">
        <v>-20.100000000000001</v>
      </c>
      <c r="J368" s="2">
        <v>-25</v>
      </c>
      <c r="K368" s="2">
        <f t="shared" si="48"/>
        <v>-20.100000000000001</v>
      </c>
      <c r="L368" s="8">
        <f t="shared" ref="L368:L369" si="51">10^((K368-H368)/10)</f>
        <v>6.3095734448019345E-12</v>
      </c>
      <c r="M368" s="26">
        <f>SUM(L368:L373)</f>
        <v>2.1181340604788746E-11</v>
      </c>
      <c r="N368" s="17">
        <f>10*LOG10(M368/E368)</f>
        <v>-114.52197806470677</v>
      </c>
      <c r="O368" s="9">
        <f t="shared" si="50"/>
        <v>-25</v>
      </c>
      <c r="P368" s="8">
        <f>D368/B368*10^(O368/10)</f>
        <v>6.2191460649978075E-2</v>
      </c>
      <c r="Q368" s="26">
        <f>SUM(P368:P373)</f>
        <v>0.30341634444516302</v>
      </c>
      <c r="R368" s="17">
        <f>10*LOG10(Q368)</f>
        <v>-5.1796102832465154</v>
      </c>
      <c r="S368" s="18">
        <f>F368+N368-Kzt-H</f>
        <v>-30.521978064706772</v>
      </c>
      <c r="T368" s="17">
        <v>0.5</v>
      </c>
      <c r="U368" s="21">
        <f>T368*10^((S368-R368)/10)</f>
        <v>1.461279279566725E-3</v>
      </c>
    </row>
    <row r="369" spans="1:21" x14ac:dyDescent="0.25">
      <c r="A369" s="24"/>
      <c r="B369" s="24"/>
      <c r="C369" s="17"/>
      <c r="D369" s="24"/>
      <c r="E369" s="24"/>
      <c r="F369" s="25"/>
      <c r="G369" s="1">
        <v>425</v>
      </c>
      <c r="H369" s="2">
        <v>88.1</v>
      </c>
      <c r="I369" s="2">
        <v>-26</v>
      </c>
      <c r="J369" s="2">
        <v>-27.2</v>
      </c>
      <c r="K369" s="2">
        <f t="shared" si="48"/>
        <v>-26</v>
      </c>
      <c r="L369" s="8">
        <f t="shared" si="51"/>
        <v>3.890451449942802E-12</v>
      </c>
      <c r="M369" s="26"/>
      <c r="N369" s="17"/>
      <c r="O369" s="9">
        <f t="shared" si="50"/>
        <v>-27.2</v>
      </c>
      <c r="P369" s="8">
        <f>D368/B368*10^(O369/10)</f>
        <v>3.7474060786610537E-2</v>
      </c>
      <c r="Q369" s="26"/>
      <c r="R369" s="17"/>
      <c r="S369" s="19"/>
      <c r="T369" s="17"/>
      <c r="U369" s="22"/>
    </row>
    <row r="370" spans="1:21" x14ac:dyDescent="0.25">
      <c r="A370" s="24"/>
      <c r="B370" s="24"/>
      <c r="C370" s="17"/>
      <c r="D370" s="24"/>
      <c r="E370" s="24"/>
      <c r="F370" s="25"/>
      <c r="G370" s="1">
        <v>475</v>
      </c>
      <c r="H370" s="2">
        <v>90</v>
      </c>
      <c r="I370" s="2">
        <v>-24.5</v>
      </c>
      <c r="J370" s="2">
        <v>-26.5</v>
      </c>
      <c r="K370" s="2">
        <f t="shared" si="48"/>
        <v>-24.5</v>
      </c>
      <c r="L370" s="8">
        <f>10^((K370-H370)/10)</f>
        <v>3.5481338923357515E-12</v>
      </c>
      <c r="M370" s="26"/>
      <c r="N370" s="17"/>
      <c r="O370" s="9">
        <f t="shared" si="50"/>
        <v>-26.5</v>
      </c>
      <c r="P370" s="8">
        <f>D368/B368*10^(O370/10)</f>
        <v>4.4028182391843994E-2</v>
      </c>
      <c r="Q370" s="26"/>
      <c r="R370" s="17"/>
      <c r="S370" s="19"/>
      <c r="T370" s="17"/>
      <c r="U370" s="22"/>
    </row>
    <row r="371" spans="1:21" x14ac:dyDescent="0.25">
      <c r="A371" s="24"/>
      <c r="B371" s="24"/>
      <c r="C371" s="17"/>
      <c r="D371" s="24"/>
      <c r="E371" s="24"/>
      <c r="F371" s="25"/>
      <c r="G371" s="1">
        <v>575</v>
      </c>
      <c r="H371" s="2">
        <v>97</v>
      </c>
      <c r="I371" s="2">
        <v>-19.5</v>
      </c>
      <c r="J371" s="2">
        <v>-25.3</v>
      </c>
      <c r="K371" s="2">
        <f t="shared" si="48"/>
        <v>-19.5</v>
      </c>
      <c r="L371" s="8">
        <f t="shared" ref="L371:L397" si="52">10^((K371-H371)/10)</f>
        <v>2.2387211385683343E-12</v>
      </c>
      <c r="M371" s="26"/>
      <c r="N371" s="17"/>
      <c r="O371" s="9">
        <f t="shared" si="50"/>
        <v>-25.3</v>
      </c>
      <c r="P371" s="8">
        <f>D368/B368*10^(O371/10)</f>
        <v>5.8040448124438884E-2</v>
      </c>
      <c r="Q371" s="26"/>
      <c r="R371" s="17"/>
      <c r="S371" s="19"/>
      <c r="T371" s="17"/>
      <c r="U371" s="22"/>
    </row>
    <row r="372" spans="1:21" x14ac:dyDescent="0.25">
      <c r="A372" s="24"/>
      <c r="B372" s="24"/>
      <c r="C372" s="17"/>
      <c r="D372" s="24"/>
      <c r="E372" s="24"/>
      <c r="F372" s="25"/>
      <c r="G372" s="1">
        <v>625</v>
      </c>
      <c r="H372" s="2">
        <v>92</v>
      </c>
      <c r="I372" s="2">
        <v>-22.3</v>
      </c>
      <c r="J372" s="2">
        <v>-29.6</v>
      </c>
      <c r="K372" s="2">
        <f t="shared" si="48"/>
        <v>-22.3</v>
      </c>
      <c r="L372" s="8">
        <f t="shared" si="52"/>
        <v>3.7153522909717219E-12</v>
      </c>
      <c r="M372" s="26"/>
      <c r="N372" s="17"/>
      <c r="O372" s="9">
        <f t="shared" si="50"/>
        <v>-29.6</v>
      </c>
      <c r="P372" s="8">
        <f>D368/B368*10^(O372/10)</f>
        <v>2.1564071190815971E-2</v>
      </c>
      <c r="Q372" s="26"/>
      <c r="R372" s="17"/>
      <c r="S372" s="19"/>
      <c r="T372" s="17"/>
      <c r="U372" s="22"/>
    </row>
    <row r="373" spans="1:21" x14ac:dyDescent="0.25">
      <c r="A373" s="24"/>
      <c r="B373" s="24"/>
      <c r="C373" s="17"/>
      <c r="D373" s="24"/>
      <c r="E373" s="24"/>
      <c r="F373" s="25"/>
      <c r="G373" s="1">
        <v>675</v>
      </c>
      <c r="H373" s="2">
        <v>94.5</v>
      </c>
      <c r="I373" s="2">
        <v>-23.799999999999997</v>
      </c>
      <c r="J373" s="2">
        <v>-23.9</v>
      </c>
      <c r="K373" s="2">
        <f t="shared" si="48"/>
        <v>-23.799999999999997</v>
      </c>
      <c r="L373" s="8">
        <f t="shared" si="52"/>
        <v>1.4791083881682012E-12</v>
      </c>
      <c r="M373" s="26"/>
      <c r="N373" s="17"/>
      <c r="O373" s="9">
        <f t="shared" si="50"/>
        <v>-23.9</v>
      </c>
      <c r="P373" s="8">
        <f>D368/B368*10^(O373/10)</f>
        <v>8.0118121301475567E-2</v>
      </c>
      <c r="Q373" s="26"/>
      <c r="R373" s="17"/>
      <c r="S373" s="20"/>
      <c r="T373" s="17"/>
      <c r="U373" s="23"/>
    </row>
    <row r="374" spans="1:21" x14ac:dyDescent="0.25">
      <c r="A374" s="24">
        <v>1000</v>
      </c>
      <c r="B374" s="24">
        <v>3</v>
      </c>
      <c r="C374" s="17">
        <v>0.5</v>
      </c>
      <c r="D374" s="24">
        <v>117</v>
      </c>
      <c r="E374" s="24">
        <v>6</v>
      </c>
      <c r="F374" s="25">
        <v>76</v>
      </c>
      <c r="G374" s="1">
        <v>875</v>
      </c>
      <c r="H374" s="2">
        <v>91.1</v>
      </c>
      <c r="I374" s="2">
        <v>-20.6</v>
      </c>
      <c r="J374" s="2">
        <v>-27.1</v>
      </c>
      <c r="K374" s="2">
        <f t="shared" si="48"/>
        <v>-20.6</v>
      </c>
      <c r="L374" s="8">
        <f t="shared" si="52"/>
        <v>6.7608297539198193E-12</v>
      </c>
      <c r="M374" s="26">
        <f>SUM(L374:L379)</f>
        <v>1.2221296082361089E-11</v>
      </c>
      <c r="N374" s="17">
        <f>10*LOG10(M374/E374)</f>
        <v>-116.91033984610549</v>
      </c>
      <c r="O374" s="9">
        <f t="shared" si="50"/>
        <v>-27.1</v>
      </c>
      <c r="P374" s="8">
        <f>D374/B374*10^(O374/10)</f>
        <v>7.6043939390563725E-2</v>
      </c>
      <c r="Q374" s="26">
        <f>SUM(P374:P379)</f>
        <v>0.41727588694959167</v>
      </c>
      <c r="R374" s="17">
        <f>10*LOG10(Q374)</f>
        <v>-3.7957671106424362</v>
      </c>
      <c r="S374" s="18">
        <f>F374+N374-Kzt-H</f>
        <v>-40.910339846105487</v>
      </c>
      <c r="T374" s="17">
        <v>0.8</v>
      </c>
      <c r="U374" s="21">
        <f>T374*10^((S374-R374)/10)</f>
        <v>1.5546502944491417E-4</v>
      </c>
    </row>
    <row r="375" spans="1:21" x14ac:dyDescent="0.25">
      <c r="A375" s="24"/>
      <c r="B375" s="24"/>
      <c r="C375" s="17"/>
      <c r="D375" s="24"/>
      <c r="E375" s="24"/>
      <c r="F375" s="25"/>
      <c r="G375" s="1">
        <v>975</v>
      </c>
      <c r="H375" s="2">
        <v>96.5</v>
      </c>
      <c r="I375" s="2">
        <v>-21.5</v>
      </c>
      <c r="J375" s="2">
        <v>-27.4</v>
      </c>
      <c r="K375" s="2">
        <f t="shared" si="48"/>
        <v>-21.5</v>
      </c>
      <c r="L375" s="8">
        <f t="shared" si="52"/>
        <v>1.5848931924611065E-12</v>
      </c>
      <c r="M375" s="26"/>
      <c r="N375" s="17"/>
      <c r="O375" s="9">
        <f t="shared" si="50"/>
        <v>-27.4</v>
      </c>
      <c r="P375" s="8">
        <f>D374/B374*10^(O375/10)</f>
        <v>7.096833348578932E-2</v>
      </c>
      <c r="Q375" s="26"/>
      <c r="R375" s="17"/>
      <c r="S375" s="19"/>
      <c r="T375" s="17"/>
      <c r="U375" s="22"/>
    </row>
    <row r="376" spans="1:21" x14ac:dyDescent="0.25">
      <c r="A376" s="24"/>
      <c r="B376" s="24"/>
      <c r="C376" s="17"/>
      <c r="D376" s="24"/>
      <c r="E376" s="24"/>
      <c r="F376" s="25"/>
      <c r="G376" s="1">
        <v>1075</v>
      </c>
      <c r="H376" s="2">
        <v>94.6</v>
      </c>
      <c r="I376" s="2">
        <v>-22.2</v>
      </c>
      <c r="J376" s="2">
        <v>-30.9</v>
      </c>
      <c r="K376" s="2">
        <f t="shared" si="48"/>
        <v>-22.2</v>
      </c>
      <c r="L376" s="8">
        <f t="shared" si="52"/>
        <v>2.0892961308540349E-12</v>
      </c>
      <c r="M376" s="26"/>
      <c r="N376" s="17"/>
      <c r="O376" s="9">
        <f t="shared" si="50"/>
        <v>-30.9</v>
      </c>
      <c r="P376" s="8">
        <f>D374/B374*10^(O376/10)</f>
        <v>3.1700390130399853E-2</v>
      </c>
      <c r="Q376" s="26"/>
      <c r="R376" s="17"/>
      <c r="S376" s="19"/>
      <c r="T376" s="17"/>
      <c r="U376" s="22"/>
    </row>
    <row r="377" spans="1:21" x14ac:dyDescent="0.25">
      <c r="A377" s="24"/>
      <c r="B377" s="24"/>
      <c r="C377" s="17"/>
      <c r="D377" s="24"/>
      <c r="E377" s="24"/>
      <c r="F377" s="25"/>
      <c r="G377" s="1">
        <v>1175</v>
      </c>
      <c r="H377" s="2">
        <v>97.8</v>
      </c>
      <c r="I377" s="2">
        <v>-22.9</v>
      </c>
      <c r="J377" s="2">
        <v>-31.5</v>
      </c>
      <c r="K377" s="2">
        <f t="shared" si="48"/>
        <v>-22.9</v>
      </c>
      <c r="L377" s="8">
        <f t="shared" si="52"/>
        <v>8.5113803820237784E-13</v>
      </c>
      <c r="M377" s="26"/>
      <c r="N377" s="17"/>
      <c r="O377" s="9">
        <f t="shared" si="50"/>
        <v>-31.5</v>
      </c>
      <c r="P377" s="8">
        <f>D374/B374*10^(O377/10)</f>
        <v>2.7609885590981376E-2</v>
      </c>
      <c r="Q377" s="26"/>
      <c r="R377" s="17"/>
      <c r="S377" s="19"/>
      <c r="T377" s="17"/>
      <c r="U377" s="22"/>
    </row>
    <row r="378" spans="1:21" x14ac:dyDescent="0.25">
      <c r="A378" s="24"/>
      <c r="B378" s="24"/>
      <c r="C378" s="17"/>
      <c r="D378" s="24"/>
      <c r="E378" s="24"/>
      <c r="F378" s="25"/>
      <c r="G378" s="1">
        <v>1275</v>
      </c>
      <c r="H378" s="2">
        <v>100.1</v>
      </c>
      <c r="I378" s="2">
        <v>-22.6</v>
      </c>
      <c r="J378" s="2">
        <v>-24.4</v>
      </c>
      <c r="K378" s="2">
        <f t="shared" si="48"/>
        <v>-22.6</v>
      </c>
      <c r="L378" s="8">
        <f t="shared" si="52"/>
        <v>5.3703179637025273E-13</v>
      </c>
      <c r="M378" s="26"/>
      <c r="N378" s="17"/>
      <c r="O378" s="9">
        <f t="shared" si="50"/>
        <v>-24.4</v>
      </c>
      <c r="P378" s="8">
        <f>D374/B374*10^(O378/10)</f>
        <v>0.14160044136033942</v>
      </c>
      <c r="Q378" s="26"/>
      <c r="R378" s="17"/>
      <c r="S378" s="19"/>
      <c r="T378" s="17"/>
      <c r="U378" s="22"/>
    </row>
    <row r="379" spans="1:21" x14ac:dyDescent="0.25">
      <c r="A379" s="24"/>
      <c r="B379" s="24"/>
      <c r="C379" s="17"/>
      <c r="D379" s="24"/>
      <c r="E379" s="24"/>
      <c r="F379" s="25"/>
      <c r="G379" s="1">
        <v>1375</v>
      </c>
      <c r="H379" s="2">
        <v>103</v>
      </c>
      <c r="I379" s="2">
        <v>-21</v>
      </c>
      <c r="J379" s="2">
        <v>-27.5</v>
      </c>
      <c r="K379" s="2">
        <f t="shared" si="48"/>
        <v>-21</v>
      </c>
      <c r="L379" s="8">
        <f t="shared" si="52"/>
        <v>3.9810717055349631E-13</v>
      </c>
      <c r="M379" s="26"/>
      <c r="N379" s="17"/>
      <c r="O379" s="9">
        <f t="shared" si="50"/>
        <v>-27.5</v>
      </c>
      <c r="P379" s="8">
        <f>D374/B374*10^(O379/10)</f>
        <v>6.9352896991517976E-2</v>
      </c>
      <c r="Q379" s="26"/>
      <c r="R379" s="17"/>
      <c r="S379" s="20"/>
      <c r="T379" s="17"/>
      <c r="U379" s="23"/>
    </row>
    <row r="380" spans="1:21" x14ac:dyDescent="0.25">
      <c r="A380" s="24">
        <v>2000</v>
      </c>
      <c r="B380" s="24">
        <v>3</v>
      </c>
      <c r="C380" s="17">
        <v>0.5</v>
      </c>
      <c r="D380" s="24">
        <v>234</v>
      </c>
      <c r="E380" s="24">
        <v>6</v>
      </c>
      <c r="F380" s="25">
        <v>68</v>
      </c>
      <c r="G380" s="1">
        <v>1425</v>
      </c>
      <c r="H380" s="2">
        <v>102.8</v>
      </c>
      <c r="I380" s="2">
        <v>-24.1</v>
      </c>
      <c r="J380" s="2">
        <v>-27.9</v>
      </c>
      <c r="K380" s="2">
        <f t="shared" si="48"/>
        <v>-24.1</v>
      </c>
      <c r="L380" s="8">
        <f t="shared" si="52"/>
        <v>2.0417379446695155E-13</v>
      </c>
      <c r="M380" s="26">
        <f>SUM(L380:L385)</f>
        <v>4.2096209283539307E-12</v>
      </c>
      <c r="N380" s="17">
        <f>10*LOG10(M380/E380)</f>
        <v>-121.53908260518575</v>
      </c>
      <c r="O380" s="9">
        <f t="shared" si="50"/>
        <v>-27.9</v>
      </c>
      <c r="P380" s="8">
        <f>D380/B380*10^(O380/10)</f>
        <v>0.12650118759399642</v>
      </c>
      <c r="Q380" s="26">
        <f>SUM(P380:P385)</f>
        <v>0.60157409450155319</v>
      </c>
      <c r="R380" s="17">
        <f>10*LOG10(Q380)</f>
        <v>-2.2071087397436751</v>
      </c>
      <c r="S380" s="18">
        <f>F380+N380-Kzt-H</f>
        <v>-53.539082605185754</v>
      </c>
      <c r="T380" s="17">
        <v>1</v>
      </c>
      <c r="U380" s="21">
        <f>T380*10^((S380-R380)/10)</f>
        <v>7.3587256790127081E-6</v>
      </c>
    </row>
    <row r="381" spans="1:21" x14ac:dyDescent="0.25">
      <c r="A381" s="24"/>
      <c r="B381" s="24"/>
      <c r="C381" s="17"/>
      <c r="D381" s="24"/>
      <c r="E381" s="24"/>
      <c r="F381" s="25"/>
      <c r="G381" s="1">
        <v>1625</v>
      </c>
      <c r="H381" s="2">
        <v>104.1</v>
      </c>
      <c r="I381" s="2">
        <v>-22.8</v>
      </c>
      <c r="J381" s="2">
        <v>-27.6</v>
      </c>
      <c r="K381" s="2">
        <f t="shared" si="48"/>
        <v>-22.8</v>
      </c>
      <c r="L381" s="8">
        <f t="shared" si="52"/>
        <v>2.0417379446695228E-13</v>
      </c>
      <c r="M381" s="26"/>
      <c r="N381" s="17"/>
      <c r="O381" s="9">
        <f t="shared" si="50"/>
        <v>-27.6</v>
      </c>
      <c r="P381" s="8">
        <f>D380/B380*10^(O381/10)</f>
        <v>0.13554846464245113</v>
      </c>
      <c r="Q381" s="26"/>
      <c r="R381" s="17"/>
      <c r="S381" s="19"/>
      <c r="T381" s="17"/>
      <c r="U381" s="22"/>
    </row>
    <row r="382" spans="1:21" x14ac:dyDescent="0.25">
      <c r="A382" s="24"/>
      <c r="B382" s="24"/>
      <c r="C382" s="17"/>
      <c r="D382" s="24"/>
      <c r="E382" s="24"/>
      <c r="F382" s="25"/>
      <c r="G382" s="1">
        <v>1825</v>
      </c>
      <c r="H382" s="2">
        <v>107.6</v>
      </c>
      <c r="I382" s="2">
        <v>-24.5</v>
      </c>
      <c r="J382" s="2">
        <v>-27.3</v>
      </c>
      <c r="K382" s="2">
        <f t="shared" si="48"/>
        <v>-24.5</v>
      </c>
      <c r="L382" s="8">
        <f t="shared" si="52"/>
        <v>6.1659500186148115E-14</v>
      </c>
      <c r="M382" s="26"/>
      <c r="N382" s="17"/>
      <c r="O382" s="9">
        <f t="shared" si="50"/>
        <v>-27.3</v>
      </c>
      <c r="P382" s="8">
        <f>D380/B380*10^(O382/10)</f>
        <v>0.14524279665970358</v>
      </c>
      <c r="Q382" s="26"/>
      <c r="R382" s="17"/>
      <c r="S382" s="19"/>
      <c r="T382" s="17"/>
      <c r="U382" s="22"/>
    </row>
    <row r="383" spans="1:21" x14ac:dyDescent="0.25">
      <c r="A383" s="24"/>
      <c r="B383" s="24"/>
      <c r="C383" s="17"/>
      <c r="D383" s="24"/>
      <c r="E383" s="24"/>
      <c r="F383" s="25"/>
      <c r="G383" s="1">
        <v>2125</v>
      </c>
      <c r="H383" s="2">
        <v>104.2</v>
      </c>
      <c r="I383" s="2">
        <v>-20.100000000000001</v>
      </c>
      <c r="J383" s="2">
        <v>-31.8</v>
      </c>
      <c r="K383" s="2">
        <f t="shared" si="48"/>
        <v>-20.100000000000001</v>
      </c>
      <c r="L383" s="8">
        <f t="shared" si="52"/>
        <v>3.7153522909717049E-13</v>
      </c>
      <c r="M383" s="26"/>
      <c r="N383" s="17"/>
      <c r="O383" s="9">
        <f t="shared" si="50"/>
        <v>-31.8</v>
      </c>
      <c r="P383" s="8">
        <f>D380/B380*10^(O383/10)</f>
        <v>5.1534088944592452E-2</v>
      </c>
      <c r="Q383" s="26"/>
      <c r="R383" s="17"/>
      <c r="S383" s="19"/>
      <c r="T383" s="17"/>
      <c r="U383" s="22"/>
    </row>
    <row r="384" spans="1:21" x14ac:dyDescent="0.25">
      <c r="A384" s="24"/>
      <c r="B384" s="24"/>
      <c r="C384" s="17"/>
      <c r="D384" s="24"/>
      <c r="E384" s="24"/>
      <c r="F384" s="25"/>
      <c r="G384" s="1">
        <v>2425</v>
      </c>
      <c r="H384" s="2">
        <v>93.7</v>
      </c>
      <c r="I384" s="2">
        <v>-21.6</v>
      </c>
      <c r="J384" s="2">
        <v>-29.7</v>
      </c>
      <c r="K384" s="2">
        <f t="shared" si="48"/>
        <v>-21.6</v>
      </c>
      <c r="L384" s="8">
        <f t="shared" si="52"/>
        <v>2.9512092266663754E-12</v>
      </c>
      <c r="M384" s="26"/>
      <c r="N384" s="17"/>
      <c r="O384" s="9">
        <f t="shared" si="50"/>
        <v>-29.7</v>
      </c>
      <c r="P384" s="8">
        <f>D380/B380*10^(O384/10)</f>
        <v>8.3578505808533293E-2</v>
      </c>
      <c r="Q384" s="26"/>
      <c r="R384" s="17"/>
      <c r="S384" s="19"/>
      <c r="T384" s="17"/>
      <c r="U384" s="22"/>
    </row>
    <row r="385" spans="1:21" x14ac:dyDescent="0.25">
      <c r="A385" s="24"/>
      <c r="B385" s="24"/>
      <c r="C385" s="17"/>
      <c r="D385" s="24"/>
      <c r="E385" s="24"/>
      <c r="F385" s="25"/>
      <c r="G385" s="1">
        <v>2775</v>
      </c>
      <c r="H385" s="2">
        <v>100.2</v>
      </c>
      <c r="I385" s="2">
        <v>-23.6</v>
      </c>
      <c r="J385" s="2">
        <v>-31.2</v>
      </c>
      <c r="K385" s="2">
        <f t="shared" si="48"/>
        <v>-23.6</v>
      </c>
      <c r="L385" s="8">
        <f t="shared" si="52"/>
        <v>4.1686938347033292E-13</v>
      </c>
      <c r="M385" s="26"/>
      <c r="N385" s="17"/>
      <c r="O385" s="9">
        <f t="shared" si="50"/>
        <v>-31.2</v>
      </c>
      <c r="P385" s="8">
        <f>D380/B380*10^(O385/10)</f>
        <v>5.9169050852276257E-2</v>
      </c>
      <c r="Q385" s="26"/>
      <c r="R385" s="17"/>
      <c r="S385" s="20"/>
      <c r="T385" s="17"/>
      <c r="U385" s="23"/>
    </row>
    <row r="386" spans="1:21" x14ac:dyDescent="0.25">
      <c r="A386" s="24">
        <v>4000</v>
      </c>
      <c r="B386" s="24">
        <v>3</v>
      </c>
      <c r="C386" s="17">
        <v>0.5</v>
      </c>
      <c r="D386" s="24">
        <v>470</v>
      </c>
      <c r="E386" s="24">
        <v>6</v>
      </c>
      <c r="F386" s="25">
        <v>62</v>
      </c>
      <c r="G386" s="1">
        <v>2825</v>
      </c>
      <c r="H386" s="2">
        <v>99.4</v>
      </c>
      <c r="I386" s="2">
        <v>-23.2</v>
      </c>
      <c r="J386" s="2">
        <v>-27.7</v>
      </c>
      <c r="K386" s="2">
        <f t="shared" si="48"/>
        <v>-23.2</v>
      </c>
      <c r="L386" s="8">
        <f t="shared" si="52"/>
        <v>5.4954087385762056E-13</v>
      </c>
      <c r="M386" s="26">
        <f>SUM(L386:L391)</f>
        <v>1.9472410625840351E-12</v>
      </c>
      <c r="N386" s="17">
        <f>10*LOG10(M386/E386)</f>
        <v>-124.88731531185395</v>
      </c>
      <c r="O386" s="9">
        <f t="shared" si="50"/>
        <v>-27.7</v>
      </c>
      <c r="P386" s="8">
        <f>D386/B386*10^(O386/10)</f>
        <v>0.26605817221900629</v>
      </c>
      <c r="Q386" s="26">
        <f>SUM(P386:P391)</f>
        <v>1.7964451287792866</v>
      </c>
      <c r="R386" s="17">
        <f>10*LOG10(Q386)</f>
        <v>2.544139565073773</v>
      </c>
      <c r="S386" s="18">
        <f>F386+N386-Kzt-H</f>
        <v>-62.887315311853953</v>
      </c>
      <c r="T386" s="17">
        <v>0.9</v>
      </c>
      <c r="U386" s="21">
        <f>T386*10^((S386-R386)/10)</f>
        <v>2.5768967735746661E-7</v>
      </c>
    </row>
    <row r="387" spans="1:21" x14ac:dyDescent="0.25">
      <c r="A387" s="24"/>
      <c r="B387" s="24"/>
      <c r="C387" s="17"/>
      <c r="D387" s="24"/>
      <c r="E387" s="24"/>
      <c r="F387" s="25"/>
      <c r="G387" s="1">
        <v>3425</v>
      </c>
      <c r="H387" s="2">
        <v>103.5</v>
      </c>
      <c r="I387" s="2">
        <v>-23.1</v>
      </c>
      <c r="J387" s="2">
        <v>-28.6</v>
      </c>
      <c r="K387" s="2">
        <f t="shared" si="48"/>
        <v>-23.1</v>
      </c>
      <c r="L387" s="8">
        <f t="shared" si="52"/>
        <v>2.1877616239495453E-13</v>
      </c>
      <c r="M387" s="26"/>
      <c r="N387" s="17"/>
      <c r="O387" s="9">
        <f t="shared" si="50"/>
        <v>-28.6</v>
      </c>
      <c r="P387" s="8">
        <f>D386/B386*10^(O387/10)</f>
        <v>0.21626020145445171</v>
      </c>
      <c r="Q387" s="26"/>
      <c r="R387" s="17"/>
      <c r="S387" s="19"/>
      <c r="T387" s="17"/>
      <c r="U387" s="22"/>
    </row>
    <row r="388" spans="1:21" x14ac:dyDescent="0.25">
      <c r="A388" s="24"/>
      <c r="B388" s="24"/>
      <c r="C388" s="17"/>
      <c r="D388" s="24"/>
      <c r="E388" s="24"/>
      <c r="F388" s="25"/>
      <c r="G388" s="1">
        <v>4025</v>
      </c>
      <c r="H388" s="2">
        <v>103.6</v>
      </c>
      <c r="I388" s="2">
        <v>-22.9</v>
      </c>
      <c r="J388" s="2">
        <v>-28.7</v>
      </c>
      <c r="K388" s="2">
        <f t="shared" si="48"/>
        <v>-22.9</v>
      </c>
      <c r="L388" s="8">
        <f t="shared" si="52"/>
        <v>2.238721138568332E-13</v>
      </c>
      <c r="M388" s="26"/>
      <c r="N388" s="17"/>
      <c r="O388" s="9">
        <f t="shared" si="50"/>
        <v>-28.7</v>
      </c>
      <c r="P388" s="8">
        <f>D386/B386*10^(O388/10)</f>
        <v>0.21133751827269218</v>
      </c>
      <c r="Q388" s="26"/>
      <c r="R388" s="17"/>
      <c r="S388" s="19"/>
      <c r="T388" s="17"/>
      <c r="U388" s="22"/>
    </row>
    <row r="389" spans="1:21" x14ac:dyDescent="0.25">
      <c r="A389" s="24"/>
      <c r="B389" s="24"/>
      <c r="C389" s="17"/>
      <c r="D389" s="24"/>
      <c r="E389" s="24"/>
      <c r="F389" s="25"/>
      <c r="G389" s="1">
        <v>4625</v>
      </c>
      <c r="H389" s="2">
        <v>105.6</v>
      </c>
      <c r="I389" s="2">
        <v>-21.6</v>
      </c>
      <c r="J389" s="2">
        <v>-28.6</v>
      </c>
      <c r="K389" s="2">
        <f t="shared" si="48"/>
        <v>-21.6</v>
      </c>
      <c r="L389" s="8">
        <f t="shared" si="52"/>
        <v>1.9054607179632483E-13</v>
      </c>
      <c r="M389" s="26"/>
      <c r="N389" s="17"/>
      <c r="O389" s="9">
        <f t="shared" si="50"/>
        <v>-28.6</v>
      </c>
      <c r="P389" s="8">
        <f>D386/B386*10^(O389/10)</f>
        <v>0.21626020145445171</v>
      </c>
      <c r="Q389" s="26"/>
      <c r="R389" s="17"/>
      <c r="S389" s="19"/>
      <c r="T389" s="17"/>
      <c r="U389" s="22"/>
    </row>
    <row r="390" spans="1:21" x14ac:dyDescent="0.25">
      <c r="A390" s="24"/>
      <c r="B390" s="24"/>
      <c r="C390" s="17"/>
      <c r="D390" s="24"/>
      <c r="E390" s="24"/>
      <c r="F390" s="25"/>
      <c r="G390" s="1">
        <v>5225</v>
      </c>
      <c r="H390" s="2">
        <v>103.5</v>
      </c>
      <c r="I390" s="2">
        <v>-24.8</v>
      </c>
      <c r="J390" s="2">
        <v>-28</v>
      </c>
      <c r="K390" s="2">
        <f t="shared" si="48"/>
        <v>-24.8</v>
      </c>
      <c r="L390" s="8">
        <f t="shared" si="52"/>
        <v>1.4791083881681996E-13</v>
      </c>
      <c r="M390" s="26"/>
      <c r="N390" s="17"/>
      <c r="O390" s="9">
        <f t="shared" si="50"/>
        <v>-28</v>
      </c>
      <c r="P390" s="8">
        <f>D386/B386*10^(O390/10)</f>
        <v>0.24829993348557441</v>
      </c>
      <c r="Q390" s="26"/>
      <c r="R390" s="17"/>
      <c r="S390" s="19"/>
      <c r="T390" s="17"/>
      <c r="U390" s="22"/>
    </row>
    <row r="391" spans="1:21" x14ac:dyDescent="0.25">
      <c r="A391" s="24"/>
      <c r="B391" s="24"/>
      <c r="C391" s="17"/>
      <c r="D391" s="24"/>
      <c r="E391" s="24"/>
      <c r="F391" s="25"/>
      <c r="G391" s="1">
        <v>5625</v>
      </c>
      <c r="H391" s="2">
        <v>99.5</v>
      </c>
      <c r="I391" s="2">
        <v>-22.599999999999998</v>
      </c>
      <c r="J391" s="2">
        <v>-23.9</v>
      </c>
      <c r="K391" s="2">
        <f t="shared" si="48"/>
        <v>-22.599999999999998</v>
      </c>
      <c r="L391" s="8">
        <f t="shared" si="52"/>
        <v>6.1659500186148178E-13</v>
      </c>
      <c r="M391" s="26"/>
      <c r="N391" s="17"/>
      <c r="O391" s="9">
        <f t="shared" si="50"/>
        <v>-23.9</v>
      </c>
      <c r="P391" s="8">
        <f>D386/B386*10^(O391/10)</f>
        <v>0.63822910189311033</v>
      </c>
      <c r="Q391" s="26"/>
      <c r="R391" s="17"/>
      <c r="S391" s="20"/>
      <c r="T391" s="17"/>
      <c r="U391" s="23"/>
    </row>
    <row r="392" spans="1:21" x14ac:dyDescent="0.25">
      <c r="A392" s="24">
        <v>8000</v>
      </c>
      <c r="B392" s="24">
        <v>3</v>
      </c>
      <c r="C392" s="17">
        <v>0.5</v>
      </c>
      <c r="D392" s="24">
        <v>943</v>
      </c>
      <c r="E392" s="24">
        <v>6</v>
      </c>
      <c r="F392" s="25">
        <v>54</v>
      </c>
      <c r="G392" s="1">
        <v>6025</v>
      </c>
      <c r="H392" s="2">
        <v>95</v>
      </c>
      <c r="I392" s="2">
        <v>-26</v>
      </c>
      <c r="J392" s="2">
        <v>-26.2</v>
      </c>
      <c r="K392" s="2">
        <f t="shared" si="48"/>
        <v>-26</v>
      </c>
      <c r="L392" s="8">
        <f t="shared" si="52"/>
        <v>7.9432823472428024E-13</v>
      </c>
      <c r="M392" s="26">
        <f>SUM(L392:L397)</f>
        <v>3.5783240367732009E-11</v>
      </c>
      <c r="N392" s="17">
        <f>10*LOG10(M392/E392)</f>
        <v>-112.24471584635653</v>
      </c>
      <c r="O392" s="9">
        <f t="shared" si="50"/>
        <v>-26.2</v>
      </c>
      <c r="P392" s="8">
        <f>D392/B392*10^(O392/10)</f>
        <v>0.75403314754512585</v>
      </c>
      <c r="Q392" s="26">
        <f>SUM(P392:P397)</f>
        <v>3.2536222406316737</v>
      </c>
      <c r="R392" s="17">
        <f>10*LOG10(Q392)</f>
        <v>5.1236712809292806</v>
      </c>
      <c r="S392" s="18">
        <f>F392+N392-Kzt-H</f>
        <v>-58.244715846356527</v>
      </c>
      <c r="T392" s="17">
        <v>0.7</v>
      </c>
      <c r="U392" s="21">
        <f>T392*10^((S392-R392)/10)</f>
        <v>3.2229927403614346E-7</v>
      </c>
    </row>
    <row r="393" spans="1:21" x14ac:dyDescent="0.25">
      <c r="A393" s="24"/>
      <c r="B393" s="24"/>
      <c r="C393" s="17"/>
      <c r="D393" s="24"/>
      <c r="E393" s="24"/>
      <c r="F393" s="25"/>
      <c r="G393" s="1">
        <v>7025</v>
      </c>
      <c r="H393" s="2">
        <v>94.8</v>
      </c>
      <c r="I393" s="2">
        <v>-22</v>
      </c>
      <c r="J393" s="2">
        <v>-26</v>
      </c>
      <c r="K393" s="2">
        <f t="shared" si="48"/>
        <v>-22</v>
      </c>
      <c r="L393" s="8">
        <f t="shared" si="52"/>
        <v>2.0892961308540349E-12</v>
      </c>
      <c r="M393" s="26"/>
      <c r="N393" s="17"/>
      <c r="O393" s="9">
        <f t="shared" si="50"/>
        <v>-26</v>
      </c>
      <c r="P393" s="8">
        <f>D392/B392*10^(O393/10)</f>
        <v>0.78956963497117716</v>
      </c>
      <c r="Q393" s="26"/>
      <c r="R393" s="17"/>
      <c r="S393" s="19"/>
      <c r="T393" s="17"/>
      <c r="U393" s="22"/>
    </row>
    <row r="394" spans="1:21" x14ac:dyDescent="0.25">
      <c r="A394" s="24"/>
      <c r="B394" s="24"/>
      <c r="C394" s="17"/>
      <c r="D394" s="24"/>
      <c r="E394" s="24"/>
      <c r="F394" s="25"/>
      <c r="G394" s="1">
        <v>8025</v>
      </c>
      <c r="H394" s="2">
        <v>101.9</v>
      </c>
      <c r="I394" s="2">
        <v>-23.9</v>
      </c>
      <c r="J394" s="2">
        <v>-27.6</v>
      </c>
      <c r="K394" s="2">
        <f t="shared" si="48"/>
        <v>-23.9</v>
      </c>
      <c r="L394" s="8">
        <f t="shared" si="52"/>
        <v>2.6302679918953618E-13</v>
      </c>
      <c r="M394" s="26"/>
      <c r="N394" s="17"/>
      <c r="O394" s="9">
        <f t="shared" si="50"/>
        <v>-27.6</v>
      </c>
      <c r="P394" s="8">
        <f>D392/B392*10^(O394/10)</f>
        <v>0.54624872717021966</v>
      </c>
      <c r="Q394" s="26"/>
      <c r="R394" s="17"/>
      <c r="S394" s="19"/>
      <c r="T394" s="17"/>
      <c r="U394" s="22"/>
    </row>
    <row r="395" spans="1:21" x14ac:dyDescent="0.25">
      <c r="A395" s="24"/>
      <c r="B395" s="24"/>
      <c r="C395" s="17"/>
      <c r="D395" s="24"/>
      <c r="E395" s="24"/>
      <c r="F395" s="25"/>
      <c r="G395" s="1">
        <v>9025</v>
      </c>
      <c r="H395" s="2">
        <v>93.2</v>
      </c>
      <c r="I395" s="2">
        <v>-21.7</v>
      </c>
      <c r="J395" s="2">
        <v>-28.5</v>
      </c>
      <c r="K395" s="2">
        <f t="shared" si="48"/>
        <v>-21.7</v>
      </c>
      <c r="L395" s="8">
        <f t="shared" si="52"/>
        <v>3.2359365692962695E-12</v>
      </c>
      <c r="M395" s="26"/>
      <c r="N395" s="17"/>
      <c r="O395" s="9">
        <f t="shared" si="50"/>
        <v>-28.5</v>
      </c>
      <c r="P395" s="8">
        <f>D392/B392*10^(O395/10)</f>
        <v>0.44400763485975192</v>
      </c>
      <c r="Q395" s="26"/>
      <c r="R395" s="17"/>
      <c r="S395" s="19"/>
      <c r="T395" s="17"/>
      <c r="U395" s="22"/>
    </row>
    <row r="396" spans="1:21" x14ac:dyDescent="0.25">
      <c r="A396" s="24"/>
      <c r="B396" s="24"/>
      <c r="C396" s="17"/>
      <c r="D396" s="24"/>
      <c r="E396" s="24"/>
      <c r="F396" s="25"/>
      <c r="G396" s="1">
        <v>10025</v>
      </c>
      <c r="H396" s="2">
        <v>88.3</v>
      </c>
      <c r="I396" s="2">
        <v>-20.9</v>
      </c>
      <c r="J396" s="2">
        <v>-28.2</v>
      </c>
      <c r="K396" s="2">
        <f t="shared" si="48"/>
        <v>-20.9</v>
      </c>
      <c r="L396" s="8">
        <f t="shared" si="52"/>
        <v>1.2022644346174143E-11</v>
      </c>
      <c r="M396" s="26"/>
      <c r="N396" s="17"/>
      <c r="O396" s="9">
        <f t="shared" si="50"/>
        <v>-28.2</v>
      </c>
      <c r="P396" s="8">
        <f>D392/B392*10^(O396/10)</f>
        <v>0.47576275242511445</v>
      </c>
      <c r="Q396" s="26"/>
      <c r="R396" s="17"/>
      <c r="S396" s="19"/>
      <c r="T396" s="17"/>
      <c r="U396" s="22"/>
    </row>
    <row r="397" spans="1:21" x14ac:dyDescent="0.25">
      <c r="A397" s="24"/>
      <c r="B397" s="24"/>
      <c r="C397" s="17"/>
      <c r="D397" s="24"/>
      <c r="E397" s="24"/>
      <c r="F397" s="25"/>
      <c r="G397" s="1">
        <v>11025</v>
      </c>
      <c r="H397" s="2">
        <v>86</v>
      </c>
      <c r="I397" s="2">
        <v>-21.6</v>
      </c>
      <c r="J397" s="2">
        <v>-31.1</v>
      </c>
      <c r="K397" s="2">
        <f t="shared" si="48"/>
        <v>-21.6</v>
      </c>
      <c r="L397" s="8">
        <f t="shared" si="52"/>
        <v>1.7378008287493749E-11</v>
      </c>
      <c r="M397" s="26"/>
      <c r="N397" s="17"/>
      <c r="O397" s="9">
        <f t="shared" si="50"/>
        <v>-31.1</v>
      </c>
      <c r="P397" s="8">
        <f>D392/B392*10^(O397/10)</f>
        <v>0.24400034366028509</v>
      </c>
      <c r="Q397" s="26"/>
      <c r="R397" s="17"/>
      <c r="S397" s="20"/>
      <c r="T397" s="17"/>
      <c r="U397" s="23"/>
    </row>
    <row r="398" spans="1:21" x14ac:dyDescent="0.25">
      <c r="A398" s="24" t="s">
        <v>20</v>
      </c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12">
        <f>U398</f>
        <v>5.9323038886889938E-2</v>
      </c>
      <c r="T398" s="2"/>
      <c r="U398" s="8">
        <f>0.8*SQRT(SUM(U364:U397))</f>
        <v>5.9323038886889938E-2</v>
      </c>
    </row>
    <row r="399" spans="1:21" x14ac:dyDescent="0.25">
      <c r="A399" s="27" t="s">
        <v>83</v>
      </c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9"/>
    </row>
    <row r="400" spans="1:21" x14ac:dyDescent="0.25">
      <c r="A400" s="24">
        <v>250</v>
      </c>
      <c r="B400" s="24">
        <v>3</v>
      </c>
      <c r="C400" s="17">
        <v>0.5</v>
      </c>
      <c r="D400" s="24">
        <v>38</v>
      </c>
      <c r="E400" s="24">
        <v>4</v>
      </c>
      <c r="F400" s="25">
        <v>84</v>
      </c>
      <c r="G400" s="1">
        <v>175</v>
      </c>
      <c r="H400" s="2">
        <v>84.8</v>
      </c>
      <c r="I400" s="2">
        <v>-21.6</v>
      </c>
      <c r="J400" s="2">
        <v>-24</v>
      </c>
      <c r="K400" s="2">
        <f>I400</f>
        <v>-21.6</v>
      </c>
      <c r="L400" s="8">
        <f>10^((K400-H400)/10)</f>
        <v>2.2908676527677615E-11</v>
      </c>
      <c r="M400" s="26">
        <f>SUM(L400:L403)</f>
        <v>5.0592129636965679E-11</v>
      </c>
      <c r="N400" s="17">
        <f>10*LOG10(M400/E400)</f>
        <v>-108.9797703024088</v>
      </c>
      <c r="O400" s="9">
        <f>J400</f>
        <v>-24</v>
      </c>
      <c r="P400" s="8">
        <f>D400/B400*10^(O400/10)</f>
        <v>5.0426908270109636E-2</v>
      </c>
      <c r="Q400" s="26">
        <f>SUM(P400:P403)</f>
        <v>0.16625869742238439</v>
      </c>
      <c r="R400" s="17">
        <f>10*LOG10(Q400)</f>
        <v>-7.7921562636321609</v>
      </c>
      <c r="S400" s="18">
        <f>F400+N400-Kzt-H</f>
        <v>-24.979770302408795</v>
      </c>
      <c r="T400" s="17">
        <v>0.2</v>
      </c>
      <c r="U400" s="21">
        <f>T400*10^((S400-R400)/10)</f>
        <v>3.8218055941282125E-3</v>
      </c>
    </row>
    <row r="401" spans="1:21" x14ac:dyDescent="0.25">
      <c r="A401" s="24"/>
      <c r="B401" s="24"/>
      <c r="C401" s="17"/>
      <c r="D401" s="24"/>
      <c r="E401" s="24"/>
      <c r="F401" s="25"/>
      <c r="G401" s="1">
        <v>225</v>
      </c>
      <c r="H401" s="2">
        <v>90</v>
      </c>
      <c r="I401" s="2">
        <v>-20.100000000000001</v>
      </c>
      <c r="J401" s="2">
        <v>-24.9</v>
      </c>
      <c r="K401" s="2">
        <f t="shared" ref="K401:K433" si="53">I401</f>
        <v>-20.100000000000001</v>
      </c>
      <c r="L401" s="8">
        <f t="shared" ref="L401:L402" si="54">10^((K401-H401)/10)</f>
        <v>9.7723722095580929E-12</v>
      </c>
      <c r="M401" s="26"/>
      <c r="N401" s="17"/>
      <c r="O401" s="9">
        <f t="shared" ref="O401:O433" si="55">J401</f>
        <v>-24.9</v>
      </c>
      <c r="P401" s="8">
        <f>D400/B400*10^(O401/10)</f>
        <v>4.0988529877752908E-2</v>
      </c>
      <c r="Q401" s="26"/>
      <c r="R401" s="17"/>
      <c r="S401" s="19"/>
      <c r="T401" s="17"/>
      <c r="U401" s="22"/>
    </row>
    <row r="402" spans="1:21" x14ac:dyDescent="0.25">
      <c r="A402" s="24"/>
      <c r="B402" s="24"/>
      <c r="C402" s="17"/>
      <c r="D402" s="24"/>
      <c r="E402" s="24"/>
      <c r="F402" s="25"/>
      <c r="G402" s="1">
        <v>275</v>
      </c>
      <c r="H402" s="2">
        <v>92.2</v>
      </c>
      <c r="I402" s="2">
        <v>-17</v>
      </c>
      <c r="J402" s="2">
        <v>-25.5</v>
      </c>
      <c r="K402" s="2">
        <f t="shared" si="53"/>
        <v>-17</v>
      </c>
      <c r="L402" s="8">
        <f t="shared" si="54"/>
        <v>1.2022644346174101E-11</v>
      </c>
      <c r="M402" s="26"/>
      <c r="N402" s="17"/>
      <c r="O402" s="9">
        <f t="shared" si="55"/>
        <v>-25.5</v>
      </c>
      <c r="P402" s="8">
        <f>D400/B400*10^(O402/10)</f>
        <v>3.5699517129349725E-2</v>
      </c>
      <c r="Q402" s="26"/>
      <c r="R402" s="17"/>
      <c r="S402" s="19"/>
      <c r="T402" s="17"/>
      <c r="U402" s="22"/>
    </row>
    <row r="403" spans="1:21" x14ac:dyDescent="0.25">
      <c r="A403" s="24"/>
      <c r="B403" s="24"/>
      <c r="C403" s="17"/>
      <c r="D403" s="24"/>
      <c r="E403" s="24"/>
      <c r="F403" s="25"/>
      <c r="G403" s="1">
        <v>325</v>
      </c>
      <c r="H403" s="2">
        <v>93.3</v>
      </c>
      <c r="I403" s="2">
        <v>-19</v>
      </c>
      <c r="J403" s="2">
        <v>-25.1</v>
      </c>
      <c r="K403" s="2">
        <f t="shared" si="53"/>
        <v>-19</v>
      </c>
      <c r="L403" s="8">
        <f>10^((K403-H403)/10)</f>
        <v>5.8884365535558725E-12</v>
      </c>
      <c r="M403" s="26"/>
      <c r="N403" s="17"/>
      <c r="O403" s="9">
        <f t="shared" si="55"/>
        <v>-25.1</v>
      </c>
      <c r="P403" s="8">
        <f>D400/B400*10^(O403/10)</f>
        <v>3.9143742145172113E-2</v>
      </c>
      <c r="Q403" s="26"/>
      <c r="R403" s="17"/>
      <c r="S403" s="20"/>
      <c r="T403" s="17"/>
      <c r="U403" s="23"/>
    </row>
    <row r="404" spans="1:21" x14ac:dyDescent="0.25">
      <c r="A404" s="24">
        <v>500</v>
      </c>
      <c r="B404" s="24">
        <v>3</v>
      </c>
      <c r="C404" s="17">
        <v>0.5</v>
      </c>
      <c r="D404" s="24">
        <v>59</v>
      </c>
      <c r="E404" s="24">
        <v>6</v>
      </c>
      <c r="F404" s="25">
        <v>84</v>
      </c>
      <c r="G404" s="1">
        <v>375</v>
      </c>
      <c r="H404" s="2">
        <v>91.9</v>
      </c>
      <c r="I404" s="2">
        <v>-19.8</v>
      </c>
      <c r="J404" s="2">
        <v>-23.4</v>
      </c>
      <c r="K404" s="2">
        <f t="shared" si="53"/>
        <v>-19.8</v>
      </c>
      <c r="L404" s="8">
        <f t="shared" ref="L404:L405" si="56">10^((K404-H404)/10)</f>
        <v>6.7608297539197943E-12</v>
      </c>
      <c r="M404" s="26">
        <f>SUM(L404:L409)</f>
        <v>2.4866542820159075E-11</v>
      </c>
      <c r="N404" s="17">
        <f>10*LOG10(M404/E404)</f>
        <v>-113.82535840606059</v>
      </c>
      <c r="O404" s="9">
        <f t="shared" si="55"/>
        <v>-23.4</v>
      </c>
      <c r="P404" s="8">
        <f>D404/B404*10^(O404/10)</f>
        <v>8.9894010624258766E-2</v>
      </c>
      <c r="Q404" s="26">
        <f>SUM(P404:P409)</f>
        <v>0.36591074560004255</v>
      </c>
      <c r="R404" s="17">
        <f>10*LOG10(Q404)</f>
        <v>-4.3662483651973609</v>
      </c>
      <c r="S404" s="18">
        <f>F404+N404-Kzt-H</f>
        <v>-29.825358406060587</v>
      </c>
      <c r="T404" s="17">
        <v>0.5</v>
      </c>
      <c r="U404" s="21">
        <f>T404*10^((S404-R404)/10)</f>
        <v>1.4225220280171633E-3</v>
      </c>
    </row>
    <row r="405" spans="1:21" x14ac:dyDescent="0.25">
      <c r="A405" s="24"/>
      <c r="B405" s="24"/>
      <c r="C405" s="17"/>
      <c r="D405" s="24"/>
      <c r="E405" s="24"/>
      <c r="F405" s="25"/>
      <c r="G405" s="1">
        <v>425</v>
      </c>
      <c r="H405" s="2">
        <v>88.1</v>
      </c>
      <c r="I405" s="2">
        <v>-24.7</v>
      </c>
      <c r="J405" s="2">
        <v>-24.9</v>
      </c>
      <c r="K405" s="2">
        <f t="shared" si="53"/>
        <v>-24.7</v>
      </c>
      <c r="L405" s="8">
        <f t="shared" si="56"/>
        <v>5.2480746024977136E-12</v>
      </c>
      <c r="M405" s="26"/>
      <c r="N405" s="17"/>
      <c r="O405" s="9">
        <f t="shared" si="55"/>
        <v>-24.9</v>
      </c>
      <c r="P405" s="8">
        <f>D404/B404*10^(O405/10)</f>
        <v>6.3640085862826892E-2</v>
      </c>
      <c r="Q405" s="26"/>
      <c r="R405" s="17"/>
      <c r="S405" s="19"/>
      <c r="T405" s="17"/>
      <c r="U405" s="22"/>
    </row>
    <row r="406" spans="1:21" x14ac:dyDescent="0.25">
      <c r="A406" s="24"/>
      <c r="B406" s="24"/>
      <c r="C406" s="17"/>
      <c r="D406" s="24"/>
      <c r="E406" s="24"/>
      <c r="F406" s="25"/>
      <c r="G406" s="1">
        <v>475</v>
      </c>
      <c r="H406" s="2">
        <v>90</v>
      </c>
      <c r="I406" s="2">
        <v>-23.8</v>
      </c>
      <c r="J406" s="2">
        <v>-25.7</v>
      </c>
      <c r="K406" s="2">
        <f t="shared" si="53"/>
        <v>-23.8</v>
      </c>
      <c r="L406" s="8">
        <f>10^((K406-H406)/10)</f>
        <v>4.1686938347033479E-12</v>
      </c>
      <c r="M406" s="26"/>
      <c r="N406" s="17"/>
      <c r="O406" s="9">
        <f t="shared" si="55"/>
        <v>-25.7</v>
      </c>
      <c r="P406" s="8">
        <f>D404/B404*10^(O406/10)</f>
        <v>5.2933517810562658E-2</v>
      </c>
      <c r="Q406" s="26"/>
      <c r="R406" s="17"/>
      <c r="S406" s="19"/>
      <c r="T406" s="17"/>
      <c r="U406" s="22"/>
    </row>
    <row r="407" spans="1:21" x14ac:dyDescent="0.25">
      <c r="A407" s="24"/>
      <c r="B407" s="24"/>
      <c r="C407" s="17"/>
      <c r="D407" s="24"/>
      <c r="E407" s="24"/>
      <c r="F407" s="25"/>
      <c r="G407" s="1">
        <v>575</v>
      </c>
      <c r="H407" s="2">
        <v>97</v>
      </c>
      <c r="I407" s="2">
        <v>-20.7</v>
      </c>
      <c r="J407" s="2">
        <v>-25.6</v>
      </c>
      <c r="K407" s="2">
        <f t="shared" si="53"/>
        <v>-20.7</v>
      </c>
      <c r="L407" s="8">
        <f t="shared" ref="L407:L433" si="57">10^((K407-H407)/10)</f>
        <v>1.6982436524617421E-12</v>
      </c>
      <c r="M407" s="26"/>
      <c r="N407" s="17"/>
      <c r="O407" s="9">
        <f t="shared" si="55"/>
        <v>-25.6</v>
      </c>
      <c r="P407" s="8">
        <f>D404/B404*10^(O407/10)</f>
        <v>5.4166497832317251E-2</v>
      </c>
      <c r="Q407" s="26"/>
      <c r="R407" s="17"/>
      <c r="S407" s="19"/>
      <c r="T407" s="17"/>
      <c r="U407" s="22"/>
    </row>
    <row r="408" spans="1:21" x14ac:dyDescent="0.25">
      <c r="A408" s="24"/>
      <c r="B408" s="24"/>
      <c r="C408" s="17"/>
      <c r="D408" s="24"/>
      <c r="E408" s="24"/>
      <c r="F408" s="25"/>
      <c r="G408" s="1">
        <v>625</v>
      </c>
      <c r="H408" s="2">
        <v>92</v>
      </c>
      <c r="I408" s="2">
        <v>-20.9</v>
      </c>
      <c r="J408" s="2">
        <v>-24.8</v>
      </c>
      <c r="K408" s="2">
        <f t="shared" si="53"/>
        <v>-20.9</v>
      </c>
      <c r="L408" s="8">
        <f t="shared" si="57"/>
        <v>5.1286138399136186E-12</v>
      </c>
      <c r="M408" s="26"/>
      <c r="N408" s="17"/>
      <c r="O408" s="9">
        <f t="shared" si="55"/>
        <v>-24.8</v>
      </c>
      <c r="P408" s="8">
        <f>D404/B404*10^(O408/10)</f>
        <v>6.512245389157624E-2</v>
      </c>
      <c r="Q408" s="26"/>
      <c r="R408" s="17"/>
      <c r="S408" s="19"/>
      <c r="T408" s="17"/>
      <c r="U408" s="22"/>
    </row>
    <row r="409" spans="1:21" x14ac:dyDescent="0.25">
      <c r="A409" s="24"/>
      <c r="B409" s="24"/>
      <c r="C409" s="17"/>
      <c r="D409" s="24"/>
      <c r="E409" s="24"/>
      <c r="F409" s="25"/>
      <c r="G409" s="1">
        <v>675</v>
      </c>
      <c r="H409" s="2">
        <v>94.5</v>
      </c>
      <c r="I409" s="2">
        <v>-22.8</v>
      </c>
      <c r="J409" s="2">
        <v>-26.9</v>
      </c>
      <c r="K409" s="2">
        <f t="shared" si="53"/>
        <v>-22.8</v>
      </c>
      <c r="L409" s="8">
        <f t="shared" si="57"/>
        <v>1.8620871366628578E-12</v>
      </c>
      <c r="M409" s="26"/>
      <c r="N409" s="17"/>
      <c r="O409" s="9">
        <f t="shared" si="55"/>
        <v>-26.9</v>
      </c>
      <c r="P409" s="8">
        <f>D404/B404*10^(O409/10)</f>
        <v>4.0154179578500745E-2</v>
      </c>
      <c r="Q409" s="26"/>
      <c r="R409" s="17"/>
      <c r="S409" s="20"/>
      <c r="T409" s="17"/>
      <c r="U409" s="23"/>
    </row>
    <row r="410" spans="1:21" x14ac:dyDescent="0.25">
      <c r="A410" s="24">
        <v>1000</v>
      </c>
      <c r="B410" s="24">
        <v>3</v>
      </c>
      <c r="C410" s="17">
        <v>0.5</v>
      </c>
      <c r="D410" s="24">
        <v>117</v>
      </c>
      <c r="E410" s="24">
        <v>6</v>
      </c>
      <c r="F410" s="25">
        <v>76</v>
      </c>
      <c r="G410" s="1">
        <v>875</v>
      </c>
      <c r="H410" s="2">
        <v>91.1</v>
      </c>
      <c r="I410" s="2">
        <v>-20.3</v>
      </c>
      <c r="J410" s="2">
        <v>-31.2</v>
      </c>
      <c r="K410" s="2">
        <f t="shared" si="53"/>
        <v>-20.3</v>
      </c>
      <c r="L410" s="8">
        <f t="shared" si="57"/>
        <v>7.2443596007498992E-12</v>
      </c>
      <c r="M410" s="26">
        <f>SUM(L410:L415)</f>
        <v>1.260298783478835E-11</v>
      </c>
      <c r="N410" s="17">
        <f>10*LOG10(M410/E410)</f>
        <v>-116.77677733334656</v>
      </c>
      <c r="O410" s="9">
        <f t="shared" si="55"/>
        <v>-31.2</v>
      </c>
      <c r="P410" s="8">
        <f>D410/B410*10^(O410/10)</f>
        <v>2.9584525426138129E-2</v>
      </c>
      <c r="Q410" s="26">
        <f>SUM(P410:P415)</f>
        <v>0.50504683431029918</v>
      </c>
      <c r="R410" s="17">
        <f>10*LOG10(Q410)</f>
        <v>-2.9666834675378944</v>
      </c>
      <c r="S410" s="18">
        <f>F410+N410-Kzt-H</f>
        <v>-40.776777333346558</v>
      </c>
      <c r="T410" s="17">
        <v>0.8</v>
      </c>
      <c r="U410" s="21">
        <f>T410*10^((S410-R410)/10)</f>
        <v>1.3245873416286254E-4</v>
      </c>
    </row>
    <row r="411" spans="1:21" x14ac:dyDescent="0.25">
      <c r="A411" s="24"/>
      <c r="B411" s="24"/>
      <c r="C411" s="17"/>
      <c r="D411" s="24"/>
      <c r="E411" s="24"/>
      <c r="F411" s="25"/>
      <c r="G411" s="1">
        <v>975</v>
      </c>
      <c r="H411" s="2">
        <v>96.5</v>
      </c>
      <c r="I411" s="2">
        <v>-26</v>
      </c>
      <c r="J411" s="2">
        <v>-26.4</v>
      </c>
      <c r="K411" s="2">
        <f t="shared" si="53"/>
        <v>-26</v>
      </c>
      <c r="L411" s="8">
        <f t="shared" si="57"/>
        <v>5.6234132519034702E-13</v>
      </c>
      <c r="M411" s="26"/>
      <c r="N411" s="17"/>
      <c r="O411" s="9">
        <f t="shared" si="55"/>
        <v>-26.4</v>
      </c>
      <c r="P411" s="8">
        <f>D410/B410*10^(O411/10)</f>
        <v>8.9343838457943178E-2</v>
      </c>
      <c r="Q411" s="26"/>
      <c r="R411" s="17"/>
      <c r="S411" s="19"/>
      <c r="T411" s="17"/>
      <c r="U411" s="22"/>
    </row>
    <row r="412" spans="1:21" x14ac:dyDescent="0.25">
      <c r="A412" s="24"/>
      <c r="B412" s="24"/>
      <c r="C412" s="17"/>
      <c r="D412" s="24"/>
      <c r="E412" s="24"/>
      <c r="F412" s="25"/>
      <c r="G412" s="1">
        <v>1075</v>
      </c>
      <c r="H412" s="2">
        <v>94.6</v>
      </c>
      <c r="I412" s="2">
        <v>-20.9</v>
      </c>
      <c r="J412" s="2">
        <v>-28.6</v>
      </c>
      <c r="K412" s="2">
        <f t="shared" si="53"/>
        <v>-20.9</v>
      </c>
      <c r="L412" s="8">
        <f t="shared" si="57"/>
        <v>2.8183829312644444E-12</v>
      </c>
      <c r="M412" s="26"/>
      <c r="N412" s="17"/>
      <c r="O412" s="9">
        <f t="shared" si="55"/>
        <v>-28.6</v>
      </c>
      <c r="P412" s="8">
        <f>D410/B410*10^(O412/10)</f>
        <v>5.3834986319512453E-2</v>
      </c>
      <c r="Q412" s="26"/>
      <c r="R412" s="17"/>
      <c r="S412" s="19"/>
      <c r="T412" s="17"/>
      <c r="U412" s="22"/>
    </row>
    <row r="413" spans="1:21" x14ac:dyDescent="0.25">
      <c r="A413" s="24"/>
      <c r="B413" s="24"/>
      <c r="C413" s="17"/>
      <c r="D413" s="24"/>
      <c r="E413" s="24"/>
      <c r="F413" s="25"/>
      <c r="G413" s="1">
        <v>1175</v>
      </c>
      <c r="H413" s="2">
        <v>97.8</v>
      </c>
      <c r="I413" s="2">
        <v>-22.3</v>
      </c>
      <c r="J413" s="2">
        <v>-24.2</v>
      </c>
      <c r="K413" s="2">
        <f t="shared" si="53"/>
        <v>-22.3</v>
      </c>
      <c r="L413" s="8">
        <f t="shared" si="57"/>
        <v>9.7723722095580816E-13</v>
      </c>
      <c r="M413" s="26"/>
      <c r="N413" s="17"/>
      <c r="O413" s="9">
        <f t="shared" si="55"/>
        <v>-24.2</v>
      </c>
      <c r="P413" s="8">
        <f>D410/B410*10^(O413/10)</f>
        <v>0.14827386456501887</v>
      </c>
      <c r="Q413" s="26"/>
      <c r="R413" s="17"/>
      <c r="S413" s="19"/>
      <c r="T413" s="17"/>
      <c r="U413" s="22"/>
    </row>
    <row r="414" spans="1:21" x14ac:dyDescent="0.25">
      <c r="A414" s="24"/>
      <c r="B414" s="24"/>
      <c r="C414" s="17"/>
      <c r="D414" s="24"/>
      <c r="E414" s="24"/>
      <c r="F414" s="25"/>
      <c r="G414" s="1">
        <v>1275</v>
      </c>
      <c r="H414" s="2">
        <v>100.1</v>
      </c>
      <c r="I414" s="2">
        <v>-23.9</v>
      </c>
      <c r="J414" s="2">
        <v>-25.2</v>
      </c>
      <c r="K414" s="2">
        <f t="shared" si="53"/>
        <v>-23.9</v>
      </c>
      <c r="L414" s="8">
        <f t="shared" si="57"/>
        <v>3.9810717055349631E-13</v>
      </c>
      <c r="M414" s="26"/>
      <c r="N414" s="17"/>
      <c r="O414" s="9">
        <f t="shared" si="55"/>
        <v>-25.2</v>
      </c>
      <c r="P414" s="8">
        <f>D410/B410*10^(O414/10)</f>
        <v>0.11777811709567852</v>
      </c>
      <c r="Q414" s="26"/>
      <c r="R414" s="17"/>
      <c r="S414" s="19"/>
      <c r="T414" s="17"/>
      <c r="U414" s="22"/>
    </row>
    <row r="415" spans="1:21" x14ac:dyDescent="0.25">
      <c r="A415" s="24"/>
      <c r="B415" s="24"/>
      <c r="C415" s="17"/>
      <c r="D415" s="24"/>
      <c r="E415" s="24"/>
      <c r="F415" s="25"/>
      <c r="G415" s="1">
        <v>1375</v>
      </c>
      <c r="H415" s="2">
        <v>103</v>
      </c>
      <c r="I415" s="2">
        <v>-19.2</v>
      </c>
      <c r="J415" s="2">
        <v>-27.7</v>
      </c>
      <c r="K415" s="2">
        <f t="shared" si="53"/>
        <v>-19.2</v>
      </c>
      <c r="L415" s="8">
        <f t="shared" si="57"/>
        <v>6.025595860743553E-13</v>
      </c>
      <c r="M415" s="26"/>
      <c r="N415" s="17"/>
      <c r="O415" s="9">
        <f t="shared" si="55"/>
        <v>-27.7</v>
      </c>
      <c r="P415" s="8">
        <f>D410/B410*10^(O415/10)</f>
        <v>6.6231502446007964E-2</v>
      </c>
      <c r="Q415" s="26"/>
      <c r="R415" s="17"/>
      <c r="S415" s="20"/>
      <c r="T415" s="17"/>
      <c r="U415" s="23"/>
    </row>
    <row r="416" spans="1:21" x14ac:dyDescent="0.25">
      <c r="A416" s="24">
        <v>2000</v>
      </c>
      <c r="B416" s="24">
        <v>3</v>
      </c>
      <c r="C416" s="17">
        <v>0.5</v>
      </c>
      <c r="D416" s="24">
        <v>234</v>
      </c>
      <c r="E416" s="24">
        <v>6</v>
      </c>
      <c r="F416" s="25">
        <v>68</v>
      </c>
      <c r="G416" s="1">
        <v>1425</v>
      </c>
      <c r="H416" s="2">
        <v>102.8</v>
      </c>
      <c r="I416" s="2">
        <v>-22.5</v>
      </c>
      <c r="J416" s="2">
        <v>-23.8</v>
      </c>
      <c r="K416" s="2">
        <f t="shared" si="53"/>
        <v>-22.5</v>
      </c>
      <c r="L416" s="8">
        <f t="shared" si="57"/>
        <v>2.9512092266663824E-13</v>
      </c>
      <c r="M416" s="26">
        <f>SUM(L416:L421)</f>
        <v>5.8290011370097361E-12</v>
      </c>
      <c r="N416" s="17">
        <f>10*LOG10(M416/E416)</f>
        <v>-120.12557110350355</v>
      </c>
      <c r="O416" s="9">
        <f t="shared" si="55"/>
        <v>-23.8</v>
      </c>
      <c r="P416" s="8">
        <f>D416/B416*10^(O416/10)</f>
        <v>0.32515811910686149</v>
      </c>
      <c r="Q416" s="26">
        <f>SUM(P416:P421)</f>
        <v>1.2038205820321686</v>
      </c>
      <c r="R416" s="17">
        <f>10*LOG10(Q416)</f>
        <v>0.80561764297446481</v>
      </c>
      <c r="S416" s="18">
        <f>F416+N416-Kzt-H</f>
        <v>-52.125571103503546</v>
      </c>
      <c r="T416" s="17">
        <v>1</v>
      </c>
      <c r="U416" s="21">
        <f>T416*10^((S416-R416)/10)</f>
        <v>5.0919147660291937E-6</v>
      </c>
    </row>
    <row r="417" spans="1:21" x14ac:dyDescent="0.25">
      <c r="A417" s="24"/>
      <c r="B417" s="24"/>
      <c r="C417" s="17"/>
      <c r="D417" s="24"/>
      <c r="E417" s="24"/>
      <c r="F417" s="25"/>
      <c r="G417" s="1">
        <v>1625</v>
      </c>
      <c r="H417" s="2">
        <v>104.1</v>
      </c>
      <c r="I417" s="2">
        <v>-22.2</v>
      </c>
      <c r="J417" s="2">
        <v>-26.3</v>
      </c>
      <c r="K417" s="2">
        <f t="shared" si="53"/>
        <v>-22.2</v>
      </c>
      <c r="L417" s="8">
        <f t="shared" si="57"/>
        <v>2.3442288153199217E-13</v>
      </c>
      <c r="M417" s="26"/>
      <c r="N417" s="17"/>
      <c r="O417" s="9">
        <f t="shared" si="55"/>
        <v>-26.3</v>
      </c>
      <c r="P417" s="8">
        <f>D416/B416*10^(O417/10)</f>
        <v>0.18284984759495379</v>
      </c>
      <c r="Q417" s="26"/>
      <c r="R417" s="17"/>
      <c r="S417" s="19"/>
      <c r="T417" s="17"/>
      <c r="U417" s="22"/>
    </row>
    <row r="418" spans="1:21" x14ac:dyDescent="0.25">
      <c r="A418" s="24"/>
      <c r="B418" s="24"/>
      <c r="C418" s="17"/>
      <c r="D418" s="24"/>
      <c r="E418" s="24"/>
      <c r="F418" s="25"/>
      <c r="G418" s="1">
        <v>1825</v>
      </c>
      <c r="H418" s="2">
        <v>107.6</v>
      </c>
      <c r="I418" s="2">
        <v>-25.4</v>
      </c>
      <c r="J418" s="2">
        <v>-25.9</v>
      </c>
      <c r="K418" s="2">
        <f t="shared" si="53"/>
        <v>-25.4</v>
      </c>
      <c r="L418" s="8">
        <f t="shared" si="57"/>
        <v>5.0118723362727011E-14</v>
      </c>
      <c r="M418" s="26"/>
      <c r="N418" s="17"/>
      <c r="O418" s="9">
        <f t="shared" si="55"/>
        <v>-25.9</v>
      </c>
      <c r="P418" s="8">
        <f>D416/B416*10^(O418/10)</f>
        <v>0.20049087105597135</v>
      </c>
      <c r="Q418" s="26"/>
      <c r="R418" s="17"/>
      <c r="S418" s="19"/>
      <c r="T418" s="17"/>
      <c r="U418" s="22"/>
    </row>
    <row r="419" spans="1:21" x14ac:dyDescent="0.25">
      <c r="A419" s="24"/>
      <c r="B419" s="24"/>
      <c r="C419" s="17"/>
      <c r="D419" s="24"/>
      <c r="E419" s="24"/>
      <c r="F419" s="25"/>
      <c r="G419" s="1">
        <v>2125</v>
      </c>
      <c r="H419" s="2">
        <v>104.2</v>
      </c>
      <c r="I419" s="2">
        <v>-21.9</v>
      </c>
      <c r="J419" s="2">
        <v>-29.5</v>
      </c>
      <c r="K419" s="2">
        <f t="shared" si="53"/>
        <v>-21.9</v>
      </c>
      <c r="L419" s="8">
        <f t="shared" si="57"/>
        <v>2.4547089156850296E-13</v>
      </c>
      <c r="M419" s="26"/>
      <c r="N419" s="17"/>
      <c r="O419" s="9">
        <f t="shared" si="55"/>
        <v>-29.5</v>
      </c>
      <c r="P419" s="8">
        <f>D416/B416*10^(O419/10)</f>
        <v>8.7517439435553054E-2</v>
      </c>
      <c r="Q419" s="26"/>
      <c r="R419" s="17"/>
      <c r="S419" s="19"/>
      <c r="T419" s="17"/>
      <c r="U419" s="22"/>
    </row>
    <row r="420" spans="1:21" x14ac:dyDescent="0.25">
      <c r="A420" s="24"/>
      <c r="B420" s="24"/>
      <c r="C420" s="17"/>
      <c r="D420" s="24"/>
      <c r="E420" s="24"/>
      <c r="F420" s="25"/>
      <c r="G420" s="1">
        <v>2425</v>
      </c>
      <c r="H420" s="2">
        <v>93.7</v>
      </c>
      <c r="I420" s="2">
        <v>-19.8</v>
      </c>
      <c r="J420" s="2">
        <v>-26.3</v>
      </c>
      <c r="K420" s="2">
        <f t="shared" si="53"/>
        <v>-19.8</v>
      </c>
      <c r="L420" s="8">
        <f t="shared" si="57"/>
        <v>4.4668359215096234E-12</v>
      </c>
      <c r="M420" s="26"/>
      <c r="N420" s="17"/>
      <c r="O420" s="9">
        <f t="shared" si="55"/>
        <v>-26.3</v>
      </c>
      <c r="P420" s="8">
        <f>D416/B416*10^(O420/10)</f>
        <v>0.18284984759495379</v>
      </c>
      <c r="Q420" s="26"/>
      <c r="R420" s="17"/>
      <c r="S420" s="19"/>
      <c r="T420" s="17"/>
      <c r="U420" s="22"/>
    </row>
    <row r="421" spans="1:21" x14ac:dyDescent="0.25">
      <c r="A421" s="24"/>
      <c r="B421" s="24"/>
      <c r="C421" s="17"/>
      <c r="D421" s="24"/>
      <c r="E421" s="24"/>
      <c r="F421" s="25"/>
      <c r="G421" s="1">
        <v>2775</v>
      </c>
      <c r="H421" s="2">
        <v>100.2</v>
      </c>
      <c r="I421" s="2">
        <v>-22.5</v>
      </c>
      <c r="J421" s="2">
        <v>-25.4</v>
      </c>
      <c r="K421" s="2">
        <f t="shared" si="53"/>
        <v>-22.5</v>
      </c>
      <c r="L421" s="8">
        <f t="shared" si="57"/>
        <v>5.3703179637025273E-13</v>
      </c>
      <c r="M421" s="26"/>
      <c r="N421" s="17"/>
      <c r="O421" s="9">
        <f t="shared" si="55"/>
        <v>-25.4</v>
      </c>
      <c r="P421" s="8">
        <f>D416/B416*10^(O421/10)</f>
        <v>0.22495445724387514</v>
      </c>
      <c r="Q421" s="26"/>
      <c r="R421" s="17"/>
      <c r="S421" s="20"/>
      <c r="T421" s="17"/>
      <c r="U421" s="23"/>
    </row>
    <row r="422" spans="1:21" x14ac:dyDescent="0.25">
      <c r="A422" s="24">
        <v>4000</v>
      </c>
      <c r="B422" s="24">
        <v>3</v>
      </c>
      <c r="C422" s="17">
        <v>0.5</v>
      </c>
      <c r="D422" s="24">
        <v>470</v>
      </c>
      <c r="E422" s="24">
        <v>6</v>
      </c>
      <c r="F422" s="25">
        <v>62</v>
      </c>
      <c r="G422" s="1">
        <v>2825</v>
      </c>
      <c r="H422" s="2">
        <v>99.4</v>
      </c>
      <c r="I422" s="2">
        <v>-23.6</v>
      </c>
      <c r="J422" s="2">
        <v>-31.5</v>
      </c>
      <c r="K422" s="2">
        <f t="shared" si="53"/>
        <v>-23.6</v>
      </c>
      <c r="L422" s="8">
        <f t="shared" si="57"/>
        <v>5.0118723362727066E-13</v>
      </c>
      <c r="M422" s="26">
        <f>SUM(L422:L427)</f>
        <v>1.8341587708996613E-12</v>
      </c>
      <c r="N422" s="17">
        <f>10*LOG10(M422/E422)</f>
        <v>-125.14714323443803</v>
      </c>
      <c r="O422" s="9">
        <f t="shared" si="55"/>
        <v>-31.5</v>
      </c>
      <c r="P422" s="8">
        <f>D422/B422*10^(O422/10)</f>
        <v>0.11091150622018159</v>
      </c>
      <c r="Q422" s="26">
        <f>SUM(P422:P427)</f>
        <v>1.7874317019427535</v>
      </c>
      <c r="R422" s="17">
        <f>10*LOG10(Q422)</f>
        <v>2.5222945632706817</v>
      </c>
      <c r="S422" s="18">
        <f>F422+N422-Kzt-H</f>
        <v>-63.147143234438033</v>
      </c>
      <c r="T422" s="17">
        <v>0.9</v>
      </c>
      <c r="U422" s="21">
        <f>T422*10^((S422-R422)/10)</f>
        <v>2.4394882445568348E-7</v>
      </c>
    </row>
    <row r="423" spans="1:21" x14ac:dyDescent="0.25">
      <c r="A423" s="24"/>
      <c r="B423" s="24"/>
      <c r="C423" s="17"/>
      <c r="D423" s="24"/>
      <c r="E423" s="24"/>
      <c r="F423" s="25"/>
      <c r="G423" s="1">
        <v>3425</v>
      </c>
      <c r="H423" s="2">
        <v>103.5</v>
      </c>
      <c r="I423" s="2">
        <v>-19.7</v>
      </c>
      <c r="J423" s="2">
        <v>-28.1</v>
      </c>
      <c r="K423" s="2">
        <f t="shared" si="53"/>
        <v>-19.7</v>
      </c>
      <c r="L423" s="8">
        <f t="shared" si="57"/>
        <v>4.7863009232263685E-13</v>
      </c>
      <c r="M423" s="26"/>
      <c r="N423" s="17"/>
      <c r="O423" s="9">
        <f t="shared" si="55"/>
        <v>-28.1</v>
      </c>
      <c r="P423" s="8">
        <f>D422/B422*10^(O423/10)</f>
        <v>0.24264793696295522</v>
      </c>
      <c r="Q423" s="26"/>
      <c r="R423" s="17"/>
      <c r="S423" s="19"/>
      <c r="T423" s="17"/>
      <c r="U423" s="22"/>
    </row>
    <row r="424" spans="1:21" x14ac:dyDescent="0.25">
      <c r="A424" s="24"/>
      <c r="B424" s="24"/>
      <c r="C424" s="17"/>
      <c r="D424" s="24"/>
      <c r="E424" s="24"/>
      <c r="F424" s="25"/>
      <c r="G424" s="1">
        <v>4025</v>
      </c>
      <c r="H424" s="2">
        <v>103.6</v>
      </c>
      <c r="I424" s="2">
        <v>-23.900000000000002</v>
      </c>
      <c r="J424" s="2">
        <v>-25.3</v>
      </c>
      <c r="K424" s="2">
        <f t="shared" si="53"/>
        <v>-23.900000000000002</v>
      </c>
      <c r="L424" s="8">
        <f t="shared" si="57"/>
        <v>1.7782794100389184E-13</v>
      </c>
      <c r="M424" s="26"/>
      <c r="N424" s="17"/>
      <c r="O424" s="9">
        <f t="shared" si="55"/>
        <v>-25.3</v>
      </c>
      <c r="P424" s="8">
        <f>D422/B422*10^(O424/10)</f>
        <v>0.46235611217773342</v>
      </c>
      <c r="Q424" s="26"/>
      <c r="R424" s="17"/>
      <c r="S424" s="19"/>
      <c r="T424" s="17"/>
      <c r="U424" s="22"/>
    </row>
    <row r="425" spans="1:21" x14ac:dyDescent="0.25">
      <c r="A425" s="24"/>
      <c r="B425" s="24"/>
      <c r="C425" s="17"/>
      <c r="D425" s="24"/>
      <c r="E425" s="24"/>
      <c r="F425" s="25"/>
      <c r="G425" s="1">
        <v>4625</v>
      </c>
      <c r="H425" s="2">
        <v>105.6</v>
      </c>
      <c r="I425" s="2">
        <v>-21.2</v>
      </c>
      <c r="J425" s="2">
        <v>-27.8</v>
      </c>
      <c r="K425" s="2">
        <f t="shared" si="53"/>
        <v>-21.2</v>
      </c>
      <c r="L425" s="8">
        <f t="shared" si="57"/>
        <v>2.0892961308540331E-13</v>
      </c>
      <c r="M425" s="26"/>
      <c r="N425" s="17"/>
      <c r="O425" s="9">
        <f t="shared" si="55"/>
        <v>-27.8</v>
      </c>
      <c r="P425" s="8">
        <f>D422/B422*10^(O425/10)</f>
        <v>0.26000194883188427</v>
      </c>
      <c r="Q425" s="26"/>
      <c r="R425" s="17"/>
      <c r="S425" s="19"/>
      <c r="T425" s="17"/>
      <c r="U425" s="22"/>
    </row>
    <row r="426" spans="1:21" x14ac:dyDescent="0.25">
      <c r="A426" s="24"/>
      <c r="B426" s="24"/>
      <c r="C426" s="17"/>
      <c r="D426" s="24"/>
      <c r="E426" s="24"/>
      <c r="F426" s="25"/>
      <c r="G426" s="1">
        <v>5225</v>
      </c>
      <c r="H426" s="2">
        <v>103.5</v>
      </c>
      <c r="I426" s="2">
        <v>-24.7</v>
      </c>
      <c r="J426" s="2">
        <v>-24.8</v>
      </c>
      <c r="K426" s="2">
        <f t="shared" si="53"/>
        <v>-24.7</v>
      </c>
      <c r="L426" s="8">
        <f t="shared" si="57"/>
        <v>1.5135612484362107E-13</v>
      </c>
      <c r="M426" s="26"/>
      <c r="N426" s="17"/>
      <c r="O426" s="9">
        <f t="shared" si="55"/>
        <v>-24.8</v>
      </c>
      <c r="P426" s="8">
        <f>D422/B422*10^(O426/10)</f>
        <v>0.51877209032272598</v>
      </c>
      <c r="Q426" s="26"/>
      <c r="R426" s="17"/>
      <c r="S426" s="19"/>
      <c r="T426" s="17"/>
      <c r="U426" s="22"/>
    </row>
    <row r="427" spans="1:21" x14ac:dyDescent="0.25">
      <c r="A427" s="24"/>
      <c r="B427" s="24"/>
      <c r="C427" s="17"/>
      <c r="D427" s="24"/>
      <c r="E427" s="24"/>
      <c r="F427" s="25"/>
      <c r="G427" s="1">
        <v>5625</v>
      </c>
      <c r="H427" s="2">
        <v>99.5</v>
      </c>
      <c r="I427" s="2">
        <v>-25.5</v>
      </c>
      <c r="J427" s="2">
        <v>-29.1</v>
      </c>
      <c r="K427" s="2">
        <f t="shared" si="53"/>
        <v>-25.5</v>
      </c>
      <c r="L427" s="8">
        <f t="shared" si="57"/>
        <v>3.1622776601683746E-13</v>
      </c>
      <c r="M427" s="26"/>
      <c r="N427" s="17"/>
      <c r="O427" s="9">
        <f t="shared" si="55"/>
        <v>-29.1</v>
      </c>
      <c r="P427" s="8">
        <f>D422/B422*10^(O427/10)</f>
        <v>0.19274210742727299</v>
      </c>
      <c r="Q427" s="26"/>
      <c r="R427" s="17"/>
      <c r="S427" s="20"/>
      <c r="T427" s="17"/>
      <c r="U427" s="23"/>
    </row>
    <row r="428" spans="1:21" x14ac:dyDescent="0.25">
      <c r="A428" s="24">
        <v>8000</v>
      </c>
      <c r="B428" s="24">
        <v>3</v>
      </c>
      <c r="C428" s="17">
        <v>0.5</v>
      </c>
      <c r="D428" s="24">
        <v>943</v>
      </c>
      <c r="E428" s="24">
        <v>6</v>
      </c>
      <c r="F428" s="25">
        <v>54</v>
      </c>
      <c r="G428" s="1">
        <v>6025</v>
      </c>
      <c r="H428" s="2">
        <v>95</v>
      </c>
      <c r="I428" s="2">
        <v>-21.9</v>
      </c>
      <c r="J428" s="2">
        <v>-28.6</v>
      </c>
      <c r="K428" s="2">
        <f t="shared" si="53"/>
        <v>-21.9</v>
      </c>
      <c r="L428" s="8">
        <f t="shared" si="57"/>
        <v>2.0417379446695178E-12</v>
      </c>
      <c r="M428" s="26">
        <f>SUM(L428:L433)</f>
        <v>3.0753329617543848E-11</v>
      </c>
      <c r="N428" s="17">
        <f>10*LOG10(M428/E428)</f>
        <v>-112.90259107304946</v>
      </c>
      <c r="O428" s="9">
        <f t="shared" si="55"/>
        <v>-28.6</v>
      </c>
      <c r="P428" s="8">
        <f>D428/B428*10^(O428/10)</f>
        <v>0.43390078717350633</v>
      </c>
      <c r="Q428" s="26">
        <f>SUM(P428:P433)</f>
        <v>3.5562428356678542</v>
      </c>
      <c r="R428" s="17">
        <f>10*LOG10(Q428)</f>
        <v>5.5099140881948339</v>
      </c>
      <c r="S428" s="18">
        <f>F428+N428-Kzt-H</f>
        <v>-58.902591073049464</v>
      </c>
      <c r="T428" s="17">
        <v>0.7</v>
      </c>
      <c r="U428" s="21">
        <f>T428*10^((S428-R428)/10)</f>
        <v>2.5342387303949855E-7</v>
      </c>
    </row>
    <row r="429" spans="1:21" x14ac:dyDescent="0.25">
      <c r="A429" s="24"/>
      <c r="B429" s="24"/>
      <c r="C429" s="17"/>
      <c r="D429" s="24"/>
      <c r="E429" s="24"/>
      <c r="F429" s="25"/>
      <c r="G429" s="1">
        <v>7025</v>
      </c>
      <c r="H429" s="2">
        <v>94.8</v>
      </c>
      <c r="I429" s="2">
        <v>-26.1</v>
      </c>
      <c r="J429" s="2">
        <v>-26.2</v>
      </c>
      <c r="K429" s="2">
        <f t="shared" si="53"/>
        <v>-26.1</v>
      </c>
      <c r="L429" s="8">
        <f t="shared" si="57"/>
        <v>8.1283051616409777E-13</v>
      </c>
      <c r="M429" s="26"/>
      <c r="N429" s="17"/>
      <c r="O429" s="9">
        <f t="shared" si="55"/>
        <v>-26.2</v>
      </c>
      <c r="P429" s="8">
        <f>D428/B428*10^(O429/10)</f>
        <v>0.75403314754512585</v>
      </c>
      <c r="Q429" s="26"/>
      <c r="R429" s="17"/>
      <c r="S429" s="19"/>
      <c r="T429" s="17"/>
      <c r="U429" s="22"/>
    </row>
    <row r="430" spans="1:21" x14ac:dyDescent="0.25">
      <c r="A430" s="24"/>
      <c r="B430" s="24"/>
      <c r="C430" s="17"/>
      <c r="D430" s="24"/>
      <c r="E430" s="24"/>
      <c r="F430" s="25"/>
      <c r="G430" s="1">
        <v>8025</v>
      </c>
      <c r="H430" s="2">
        <v>101.9</v>
      </c>
      <c r="I430" s="2">
        <v>-23.8</v>
      </c>
      <c r="J430" s="2">
        <v>-24.6</v>
      </c>
      <c r="K430" s="2">
        <f t="shared" si="53"/>
        <v>-23.8</v>
      </c>
      <c r="L430" s="8">
        <f t="shared" si="57"/>
        <v>2.6915348039269041E-13</v>
      </c>
      <c r="M430" s="26"/>
      <c r="N430" s="17"/>
      <c r="O430" s="9">
        <f t="shared" si="55"/>
        <v>-24.6</v>
      </c>
      <c r="P430" s="8">
        <f>D428/B428*10^(O430/10)</f>
        <v>1.0899094999224572</v>
      </c>
      <c r="Q430" s="26"/>
      <c r="R430" s="17"/>
      <c r="S430" s="19"/>
      <c r="T430" s="17"/>
      <c r="U430" s="22"/>
    </row>
    <row r="431" spans="1:21" x14ac:dyDescent="0.25">
      <c r="A431" s="24"/>
      <c r="B431" s="24"/>
      <c r="C431" s="17"/>
      <c r="D431" s="24"/>
      <c r="E431" s="24"/>
      <c r="F431" s="25"/>
      <c r="G431" s="1">
        <v>9025</v>
      </c>
      <c r="H431" s="2">
        <v>93.2</v>
      </c>
      <c r="I431" s="2">
        <v>-23.1</v>
      </c>
      <c r="J431" s="2">
        <v>-29</v>
      </c>
      <c r="K431" s="2">
        <f t="shared" si="53"/>
        <v>-23.1</v>
      </c>
      <c r="L431" s="8">
        <f t="shared" si="57"/>
        <v>2.3442288153199162E-12</v>
      </c>
      <c r="M431" s="26"/>
      <c r="N431" s="17"/>
      <c r="O431" s="9">
        <f t="shared" si="55"/>
        <v>-29</v>
      </c>
      <c r="P431" s="8">
        <f>D428/B428*10^(O431/10)</f>
        <v>0.39572222110729954</v>
      </c>
      <c r="Q431" s="26"/>
      <c r="R431" s="17"/>
      <c r="S431" s="19"/>
      <c r="T431" s="17"/>
      <c r="U431" s="22"/>
    </row>
    <row r="432" spans="1:21" x14ac:dyDescent="0.25">
      <c r="A432" s="24"/>
      <c r="B432" s="24"/>
      <c r="C432" s="17"/>
      <c r="D432" s="24"/>
      <c r="E432" s="24"/>
      <c r="F432" s="25"/>
      <c r="G432" s="1">
        <v>10025</v>
      </c>
      <c r="H432" s="2">
        <v>88.3</v>
      </c>
      <c r="I432" s="2">
        <v>-21.1</v>
      </c>
      <c r="J432" s="2">
        <v>-27</v>
      </c>
      <c r="K432" s="2">
        <f t="shared" si="53"/>
        <v>-21.1</v>
      </c>
      <c r="L432" s="8">
        <f t="shared" si="57"/>
        <v>1.1481536214968764E-11</v>
      </c>
      <c r="M432" s="26"/>
      <c r="N432" s="17"/>
      <c r="O432" s="9">
        <f t="shared" si="55"/>
        <v>-27</v>
      </c>
      <c r="P432" s="8">
        <f>D428/B428*10^(O432/10)</f>
        <v>0.62717745433855066</v>
      </c>
      <c r="Q432" s="26"/>
      <c r="R432" s="17"/>
      <c r="S432" s="19"/>
      <c r="T432" s="17"/>
      <c r="U432" s="22"/>
    </row>
    <row r="433" spans="1:21" x14ac:dyDescent="0.25">
      <c r="A433" s="24"/>
      <c r="B433" s="24"/>
      <c r="C433" s="17"/>
      <c r="D433" s="24"/>
      <c r="E433" s="24"/>
      <c r="F433" s="25"/>
      <c r="G433" s="1">
        <v>11025</v>
      </c>
      <c r="H433" s="2">
        <v>86</v>
      </c>
      <c r="I433" s="2">
        <v>-22.6</v>
      </c>
      <c r="J433" s="2">
        <v>-30.9</v>
      </c>
      <c r="K433" s="2">
        <f t="shared" si="53"/>
        <v>-22.6</v>
      </c>
      <c r="L433" s="8">
        <f t="shared" si="57"/>
        <v>1.380384264602886E-11</v>
      </c>
      <c r="M433" s="26"/>
      <c r="N433" s="17"/>
      <c r="O433" s="9">
        <f t="shared" si="55"/>
        <v>-30.9</v>
      </c>
      <c r="P433" s="8">
        <f>D428/B428*10^(O433/10)</f>
        <v>0.25549972558091499</v>
      </c>
      <c r="Q433" s="26"/>
      <c r="R433" s="17"/>
      <c r="S433" s="20"/>
      <c r="T433" s="17"/>
      <c r="U433" s="23"/>
    </row>
    <row r="434" spans="1:21" x14ac:dyDescent="0.25">
      <c r="A434" s="24" t="s">
        <v>20</v>
      </c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12">
        <f>U434</f>
        <v>5.8691740577477586E-2</v>
      </c>
      <c r="T434" s="2"/>
      <c r="U434" s="8">
        <f>0.8*SQRT(SUM(U400:U433))</f>
        <v>5.8691740577477586E-2</v>
      </c>
    </row>
    <row r="435" spans="1:21" x14ac:dyDescent="0.25">
      <c r="A435" s="27" t="s">
        <v>84</v>
      </c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9"/>
    </row>
    <row r="436" spans="1:21" x14ac:dyDescent="0.25">
      <c r="A436" s="24">
        <v>250</v>
      </c>
      <c r="B436" s="24">
        <v>3</v>
      </c>
      <c r="C436" s="17">
        <v>0.5</v>
      </c>
      <c r="D436" s="24">
        <v>38</v>
      </c>
      <c r="E436" s="24">
        <v>4</v>
      </c>
      <c r="F436" s="25">
        <v>84</v>
      </c>
      <c r="G436" s="1">
        <v>175</v>
      </c>
      <c r="H436" s="2">
        <v>84.8</v>
      </c>
      <c r="I436" s="2">
        <v>-21.6</v>
      </c>
      <c r="J436" s="2">
        <v>-24.8</v>
      </c>
      <c r="K436" s="2">
        <f>I436</f>
        <v>-21.6</v>
      </c>
      <c r="L436" s="8">
        <f>10^((K436-H436)/10)</f>
        <v>2.2908676527677615E-11</v>
      </c>
      <c r="M436" s="26">
        <f>SUM(L436:L439)</f>
        <v>3.8331378832918848E-11</v>
      </c>
      <c r="N436" s="17">
        <f>10*LOG10(M436/E436)</f>
        <v>-110.18505549617106</v>
      </c>
      <c r="O436" s="9">
        <f>J436</f>
        <v>-24.8</v>
      </c>
      <c r="P436" s="8">
        <f>D436/B436*10^(O436/10)</f>
        <v>4.1943275387794861E-2</v>
      </c>
      <c r="Q436" s="26">
        <f>SUM(P436:P439)</f>
        <v>0.11542574029172087</v>
      </c>
      <c r="R436" s="17">
        <f>10*LOG10(Q436)</f>
        <v>-9.3769733138736164</v>
      </c>
      <c r="S436" s="18">
        <f>F436+N436-Kzt-H</f>
        <v>-26.18505549617106</v>
      </c>
      <c r="T436" s="17">
        <v>0.2</v>
      </c>
      <c r="U436" s="21">
        <f>T436*10^((S436-R436)/10)</f>
        <v>4.1708231694299351E-3</v>
      </c>
    </row>
    <row r="437" spans="1:21" x14ac:dyDescent="0.25">
      <c r="A437" s="24"/>
      <c r="B437" s="24"/>
      <c r="C437" s="17"/>
      <c r="D437" s="24"/>
      <c r="E437" s="24"/>
      <c r="F437" s="25"/>
      <c r="G437" s="1">
        <v>225</v>
      </c>
      <c r="H437" s="2">
        <v>90</v>
      </c>
      <c r="I437" s="2">
        <v>-21.9</v>
      </c>
      <c r="J437" s="2">
        <v>-27.4</v>
      </c>
      <c r="K437" s="2">
        <f t="shared" ref="K437:K469" si="58">I437</f>
        <v>-21.9</v>
      </c>
      <c r="L437" s="8">
        <f t="shared" ref="L437:L438" si="59">10^((K437-H437)/10)</f>
        <v>6.4565422903465118E-12</v>
      </c>
      <c r="M437" s="26"/>
      <c r="N437" s="17"/>
      <c r="O437" s="9">
        <f t="shared" ref="O437:O469" si="60">J437</f>
        <v>-27.4</v>
      </c>
      <c r="P437" s="8">
        <f>D436/B436*10^(O437/10)</f>
        <v>2.3049544209059778E-2</v>
      </c>
      <c r="Q437" s="26"/>
      <c r="R437" s="17"/>
      <c r="S437" s="19"/>
      <c r="T437" s="17"/>
      <c r="U437" s="22"/>
    </row>
    <row r="438" spans="1:21" x14ac:dyDescent="0.25">
      <c r="A438" s="24"/>
      <c r="B438" s="24"/>
      <c r="C438" s="17"/>
      <c r="D438" s="24"/>
      <c r="E438" s="24"/>
      <c r="F438" s="25"/>
      <c r="G438" s="1">
        <v>275</v>
      </c>
      <c r="H438" s="2">
        <v>92.2</v>
      </c>
      <c r="I438" s="2">
        <v>-26.4</v>
      </c>
      <c r="J438" s="2">
        <v>-30.5</v>
      </c>
      <c r="K438" s="2">
        <f t="shared" si="58"/>
        <v>-26.4</v>
      </c>
      <c r="L438" s="8">
        <f t="shared" si="59"/>
        <v>1.3803842646028842E-12</v>
      </c>
      <c r="M438" s="26"/>
      <c r="N438" s="17"/>
      <c r="O438" s="9">
        <f t="shared" si="60"/>
        <v>-30.5</v>
      </c>
      <c r="P438" s="8">
        <f>D436/B436*10^(O438/10)</f>
        <v>1.1289178549694108E-2</v>
      </c>
      <c r="Q438" s="26"/>
      <c r="R438" s="17"/>
      <c r="S438" s="19"/>
      <c r="T438" s="17"/>
      <c r="U438" s="22"/>
    </row>
    <row r="439" spans="1:21" x14ac:dyDescent="0.25">
      <c r="A439" s="24"/>
      <c r="B439" s="24"/>
      <c r="C439" s="17"/>
      <c r="D439" s="24"/>
      <c r="E439" s="24"/>
      <c r="F439" s="25"/>
      <c r="G439" s="1">
        <v>325</v>
      </c>
      <c r="H439" s="2">
        <v>93.3</v>
      </c>
      <c r="I439" s="2">
        <v>-17.899999999999999</v>
      </c>
      <c r="J439" s="2">
        <v>-25.1</v>
      </c>
      <c r="K439" s="2">
        <f t="shared" si="58"/>
        <v>-17.899999999999999</v>
      </c>
      <c r="L439" s="8">
        <f>10^((K439-H439)/10)</f>
        <v>7.585775750291834E-12</v>
      </c>
      <c r="M439" s="26"/>
      <c r="N439" s="17"/>
      <c r="O439" s="9">
        <f t="shared" si="60"/>
        <v>-25.1</v>
      </c>
      <c r="P439" s="8">
        <f>D436/B436*10^(O439/10)</f>
        <v>3.9143742145172113E-2</v>
      </c>
      <c r="Q439" s="26"/>
      <c r="R439" s="17"/>
      <c r="S439" s="20"/>
      <c r="T439" s="17"/>
      <c r="U439" s="23"/>
    </row>
    <row r="440" spans="1:21" x14ac:dyDescent="0.25">
      <c r="A440" s="24">
        <v>500</v>
      </c>
      <c r="B440" s="24">
        <v>3</v>
      </c>
      <c r="C440" s="17">
        <v>0.5</v>
      </c>
      <c r="D440" s="24">
        <v>59</v>
      </c>
      <c r="E440" s="24">
        <v>6</v>
      </c>
      <c r="F440" s="25">
        <v>84</v>
      </c>
      <c r="G440" s="1">
        <v>375</v>
      </c>
      <c r="H440" s="2">
        <v>91.9</v>
      </c>
      <c r="I440" s="2">
        <v>-23</v>
      </c>
      <c r="J440" s="2">
        <v>-27.8</v>
      </c>
      <c r="K440" s="2">
        <f t="shared" si="58"/>
        <v>-23</v>
      </c>
      <c r="L440" s="8">
        <f t="shared" ref="L440:L441" si="61">10^((K440-H440)/10)</f>
        <v>3.2359365692962695E-12</v>
      </c>
      <c r="M440" s="26">
        <f>SUM(L440:L445)</f>
        <v>2.7777743610909374E-11</v>
      </c>
      <c r="N440" s="17">
        <f>10*LOG10(M440/E440)</f>
        <v>-113.34454285336626</v>
      </c>
      <c r="O440" s="9">
        <f t="shared" si="60"/>
        <v>-27.8</v>
      </c>
      <c r="P440" s="8">
        <f>D440/B440*10^(O440/10)</f>
        <v>3.2638542512938663E-2</v>
      </c>
      <c r="Q440" s="26">
        <f>SUM(P440:P445)</f>
        <v>0.3424450410541614</v>
      </c>
      <c r="R440" s="17">
        <f>10*LOG10(Q440)</f>
        <v>-4.6540911842592507</v>
      </c>
      <c r="S440" s="18">
        <f>F440+N440-Kzt-H</f>
        <v>-29.344542853366264</v>
      </c>
      <c r="T440" s="17">
        <v>0.5</v>
      </c>
      <c r="U440" s="21">
        <f>T440*10^((S440-R440)/10)</f>
        <v>1.6979497658808156E-3</v>
      </c>
    </row>
    <row r="441" spans="1:21" x14ac:dyDescent="0.25">
      <c r="A441" s="24"/>
      <c r="B441" s="24"/>
      <c r="C441" s="17"/>
      <c r="D441" s="24"/>
      <c r="E441" s="24"/>
      <c r="F441" s="25"/>
      <c r="G441" s="1">
        <v>425</v>
      </c>
      <c r="H441" s="2">
        <v>88.1</v>
      </c>
      <c r="I441" s="2">
        <v>-20.3</v>
      </c>
      <c r="J441" s="2">
        <v>-26.8</v>
      </c>
      <c r="K441" s="2">
        <f t="shared" si="58"/>
        <v>-20.3</v>
      </c>
      <c r="L441" s="8">
        <f t="shared" si="61"/>
        <v>1.4454397707459232E-11</v>
      </c>
      <c r="M441" s="26"/>
      <c r="N441" s="17"/>
      <c r="O441" s="9">
        <f t="shared" si="60"/>
        <v>-26.8</v>
      </c>
      <c r="P441" s="8">
        <f>D440/B440*10^(O441/10)</f>
        <v>4.1089490573462735E-2</v>
      </c>
      <c r="Q441" s="26"/>
      <c r="R441" s="17"/>
      <c r="S441" s="19"/>
      <c r="T441" s="17"/>
      <c r="U441" s="22"/>
    </row>
    <row r="442" spans="1:21" x14ac:dyDescent="0.25">
      <c r="A442" s="24"/>
      <c r="B442" s="24"/>
      <c r="C442" s="17"/>
      <c r="D442" s="24"/>
      <c r="E442" s="24"/>
      <c r="F442" s="25"/>
      <c r="G442" s="1">
        <v>475</v>
      </c>
      <c r="H442" s="2">
        <v>90</v>
      </c>
      <c r="I442" s="2">
        <v>-23.2</v>
      </c>
      <c r="J442" s="2">
        <v>-25.6</v>
      </c>
      <c r="K442" s="2">
        <f t="shared" si="58"/>
        <v>-23.2</v>
      </c>
      <c r="L442" s="8">
        <f>10^((K442-H442)/10)</f>
        <v>4.7863009232263738E-12</v>
      </c>
      <c r="M442" s="26"/>
      <c r="N442" s="17"/>
      <c r="O442" s="9">
        <f t="shared" si="60"/>
        <v>-25.6</v>
      </c>
      <c r="P442" s="8">
        <f>D440/B440*10^(O442/10)</f>
        <v>5.4166497832317251E-2</v>
      </c>
      <c r="Q442" s="26"/>
      <c r="R442" s="17"/>
      <c r="S442" s="19"/>
      <c r="T442" s="17"/>
      <c r="U442" s="22"/>
    </row>
    <row r="443" spans="1:21" x14ac:dyDescent="0.25">
      <c r="A443" s="24"/>
      <c r="B443" s="24"/>
      <c r="C443" s="17"/>
      <c r="D443" s="24"/>
      <c r="E443" s="24"/>
      <c r="F443" s="25"/>
      <c r="G443" s="1">
        <v>575</v>
      </c>
      <c r="H443" s="2">
        <v>97</v>
      </c>
      <c r="I443" s="2">
        <v>-22.4</v>
      </c>
      <c r="J443" s="2">
        <v>-22.5</v>
      </c>
      <c r="K443" s="2">
        <f t="shared" si="58"/>
        <v>-22.4</v>
      </c>
      <c r="L443" s="8">
        <f t="shared" ref="L443:L469" si="62">10^((K443-H443)/10)</f>
        <v>1.1481536214968749E-12</v>
      </c>
      <c r="M443" s="26"/>
      <c r="N443" s="17"/>
      <c r="O443" s="9">
        <f t="shared" si="60"/>
        <v>-22.5</v>
      </c>
      <c r="P443" s="8">
        <f>D440/B440*10^(O443/10)</f>
        <v>0.1105937939541019</v>
      </c>
      <c r="Q443" s="26"/>
      <c r="R443" s="17"/>
      <c r="S443" s="19"/>
      <c r="T443" s="17"/>
      <c r="U443" s="22"/>
    </row>
    <row r="444" spans="1:21" x14ac:dyDescent="0.25">
      <c r="A444" s="24"/>
      <c r="B444" s="24"/>
      <c r="C444" s="17"/>
      <c r="D444" s="24"/>
      <c r="E444" s="24"/>
      <c r="F444" s="25"/>
      <c r="G444" s="1">
        <v>625</v>
      </c>
      <c r="H444" s="2">
        <v>92</v>
      </c>
      <c r="I444" s="2">
        <v>-24.4</v>
      </c>
      <c r="J444" s="2">
        <v>-24.5</v>
      </c>
      <c r="K444" s="2">
        <f t="shared" si="58"/>
        <v>-24.4</v>
      </c>
      <c r="L444" s="8">
        <f t="shared" si="62"/>
        <v>2.2908676527677675E-12</v>
      </c>
      <c r="M444" s="26"/>
      <c r="N444" s="17"/>
      <c r="O444" s="9">
        <f t="shared" si="60"/>
        <v>-24.5</v>
      </c>
      <c r="P444" s="8">
        <f>D440/B440*10^(O444/10)</f>
        <v>6.9779966549269809E-2</v>
      </c>
      <c r="Q444" s="26"/>
      <c r="R444" s="17"/>
      <c r="S444" s="19"/>
      <c r="T444" s="17"/>
      <c r="U444" s="22"/>
    </row>
    <row r="445" spans="1:21" x14ac:dyDescent="0.25">
      <c r="A445" s="24"/>
      <c r="B445" s="24"/>
      <c r="C445" s="17"/>
      <c r="D445" s="24"/>
      <c r="E445" s="24"/>
      <c r="F445" s="25"/>
      <c r="G445" s="1">
        <v>675</v>
      </c>
      <c r="H445" s="2">
        <v>94.5</v>
      </c>
      <c r="I445" s="2">
        <v>-22.8</v>
      </c>
      <c r="J445" s="2">
        <v>-27.6</v>
      </c>
      <c r="K445" s="2">
        <f t="shared" si="58"/>
        <v>-22.8</v>
      </c>
      <c r="L445" s="8">
        <f t="shared" si="62"/>
        <v>1.8620871366628578E-12</v>
      </c>
      <c r="M445" s="26"/>
      <c r="N445" s="17"/>
      <c r="O445" s="9">
        <f t="shared" si="60"/>
        <v>-27.6</v>
      </c>
      <c r="P445" s="8">
        <f>D440/B440*10^(O445/10)</f>
        <v>3.4176749632071013E-2</v>
      </c>
      <c r="Q445" s="26"/>
      <c r="R445" s="17"/>
      <c r="S445" s="20"/>
      <c r="T445" s="17"/>
      <c r="U445" s="23"/>
    </row>
    <row r="446" spans="1:21" x14ac:dyDescent="0.25">
      <c r="A446" s="24">
        <v>1000</v>
      </c>
      <c r="B446" s="24">
        <v>3</v>
      </c>
      <c r="C446" s="17">
        <v>0.5</v>
      </c>
      <c r="D446" s="24">
        <v>117</v>
      </c>
      <c r="E446" s="24">
        <v>6</v>
      </c>
      <c r="F446" s="25">
        <v>76</v>
      </c>
      <c r="G446" s="1">
        <v>875</v>
      </c>
      <c r="H446" s="2">
        <v>91.1</v>
      </c>
      <c r="I446" s="2">
        <v>-23</v>
      </c>
      <c r="J446" s="2">
        <v>-29.2</v>
      </c>
      <c r="K446" s="2">
        <f t="shared" si="58"/>
        <v>-23</v>
      </c>
      <c r="L446" s="8">
        <f t="shared" si="62"/>
        <v>3.890451449942802E-12</v>
      </c>
      <c r="M446" s="26">
        <f>SUM(L446:L451)</f>
        <v>8.7166204786264922E-12</v>
      </c>
      <c r="N446" s="17">
        <f>10*LOG10(M446/E446)</f>
        <v>-118.37803113154024</v>
      </c>
      <c r="O446" s="9">
        <f t="shared" si="60"/>
        <v>-29.2</v>
      </c>
      <c r="P446" s="8">
        <f>D446/B446*10^(O446/10)</f>
        <v>4.6888312950079079E-2</v>
      </c>
      <c r="Q446" s="26">
        <f>SUM(P446:P451)</f>
        <v>0.46751465740048181</v>
      </c>
      <c r="R446" s="17">
        <f>10*LOG10(Q446)</f>
        <v>-3.3020476868801856</v>
      </c>
      <c r="S446" s="18">
        <f>F446+N446-Kzt-H</f>
        <v>-42.37803113154024</v>
      </c>
      <c r="T446" s="17">
        <v>0.8</v>
      </c>
      <c r="U446" s="21">
        <f>T446*10^((S446-R446)/10)</f>
        <v>9.8967281862482562E-5</v>
      </c>
    </row>
    <row r="447" spans="1:21" x14ac:dyDescent="0.25">
      <c r="A447" s="24"/>
      <c r="B447" s="24"/>
      <c r="C447" s="17"/>
      <c r="D447" s="24"/>
      <c r="E447" s="24"/>
      <c r="F447" s="25"/>
      <c r="G447" s="1">
        <v>975</v>
      </c>
      <c r="H447" s="2">
        <v>96.5</v>
      </c>
      <c r="I447" s="2">
        <v>-24.6</v>
      </c>
      <c r="J447" s="2">
        <v>-24.8</v>
      </c>
      <c r="K447" s="2">
        <f t="shared" si="58"/>
        <v>-24.6</v>
      </c>
      <c r="L447" s="8">
        <f t="shared" si="62"/>
        <v>7.7624711662869047E-13</v>
      </c>
      <c r="M447" s="26"/>
      <c r="N447" s="17"/>
      <c r="O447" s="9">
        <f t="shared" si="60"/>
        <v>-24.8</v>
      </c>
      <c r="P447" s="8">
        <f>D446/B446*10^(O447/10)</f>
        <v>0.12914113737821051</v>
      </c>
      <c r="Q447" s="26"/>
      <c r="R447" s="17"/>
      <c r="S447" s="19"/>
      <c r="T447" s="17"/>
      <c r="U447" s="22"/>
    </row>
    <row r="448" spans="1:21" x14ac:dyDescent="0.25">
      <c r="A448" s="24"/>
      <c r="B448" s="24"/>
      <c r="C448" s="17"/>
      <c r="D448" s="24"/>
      <c r="E448" s="24"/>
      <c r="F448" s="25"/>
      <c r="G448" s="1">
        <v>1075</v>
      </c>
      <c r="H448" s="2">
        <v>94.6</v>
      </c>
      <c r="I448" s="2">
        <v>-22.9</v>
      </c>
      <c r="J448" s="2">
        <v>-26.6</v>
      </c>
      <c r="K448" s="2">
        <f t="shared" si="58"/>
        <v>-22.9</v>
      </c>
      <c r="L448" s="8">
        <f t="shared" si="62"/>
        <v>1.7782794100389204E-12</v>
      </c>
      <c r="M448" s="26"/>
      <c r="N448" s="17"/>
      <c r="O448" s="9">
        <f t="shared" si="60"/>
        <v>-26.6</v>
      </c>
      <c r="P448" s="8">
        <f>D446/B446*10^(O448/10)</f>
        <v>8.532270333403244E-2</v>
      </c>
      <c r="Q448" s="26"/>
      <c r="R448" s="17"/>
      <c r="S448" s="19"/>
      <c r="T448" s="17"/>
      <c r="U448" s="22"/>
    </row>
    <row r="449" spans="1:21" x14ac:dyDescent="0.25">
      <c r="A449" s="24"/>
      <c r="B449" s="24"/>
      <c r="C449" s="17"/>
      <c r="D449" s="24"/>
      <c r="E449" s="24"/>
      <c r="F449" s="25"/>
      <c r="G449" s="1">
        <v>1175</v>
      </c>
      <c r="H449" s="2">
        <v>97.8</v>
      </c>
      <c r="I449" s="2">
        <v>-22.8</v>
      </c>
      <c r="J449" s="2">
        <v>-28</v>
      </c>
      <c r="K449" s="2">
        <f t="shared" si="58"/>
        <v>-22.8</v>
      </c>
      <c r="L449" s="8">
        <f t="shared" si="62"/>
        <v>8.7096358995608191E-13</v>
      </c>
      <c r="M449" s="26"/>
      <c r="N449" s="17"/>
      <c r="O449" s="9">
        <f t="shared" si="60"/>
        <v>-28</v>
      </c>
      <c r="P449" s="8">
        <f>D446/B446*10^(O449/10)</f>
        <v>6.1810834505983424E-2</v>
      </c>
      <c r="Q449" s="26"/>
      <c r="R449" s="17"/>
      <c r="S449" s="19"/>
      <c r="T449" s="17"/>
      <c r="U449" s="22"/>
    </row>
    <row r="450" spans="1:21" x14ac:dyDescent="0.25">
      <c r="A450" s="24"/>
      <c r="B450" s="24"/>
      <c r="C450" s="17"/>
      <c r="D450" s="24"/>
      <c r="E450" s="24"/>
      <c r="F450" s="25"/>
      <c r="G450" s="1">
        <v>1275</v>
      </c>
      <c r="H450" s="2">
        <v>100.1</v>
      </c>
      <c r="I450" s="2">
        <v>-22.5</v>
      </c>
      <c r="J450" s="2">
        <v>-27.8</v>
      </c>
      <c r="K450" s="2">
        <f t="shared" si="58"/>
        <v>-22.5</v>
      </c>
      <c r="L450" s="8">
        <f t="shared" si="62"/>
        <v>5.4954087385762248E-13</v>
      </c>
      <c r="M450" s="26"/>
      <c r="N450" s="17"/>
      <c r="O450" s="9">
        <f t="shared" si="60"/>
        <v>-27.8</v>
      </c>
      <c r="P450" s="8">
        <f>D446/B446*10^(O450/10)</f>
        <v>6.4723889390064807E-2</v>
      </c>
      <c r="Q450" s="26"/>
      <c r="R450" s="17"/>
      <c r="S450" s="19"/>
      <c r="T450" s="17"/>
      <c r="U450" s="22"/>
    </row>
    <row r="451" spans="1:21" x14ac:dyDescent="0.25">
      <c r="A451" s="24"/>
      <c r="B451" s="24"/>
      <c r="C451" s="17"/>
      <c r="D451" s="24"/>
      <c r="E451" s="24"/>
      <c r="F451" s="25"/>
      <c r="G451" s="1">
        <v>1375</v>
      </c>
      <c r="H451" s="2">
        <v>103</v>
      </c>
      <c r="I451" s="2">
        <v>-17.7</v>
      </c>
      <c r="J451" s="2">
        <v>-26.9</v>
      </c>
      <c r="K451" s="2">
        <f t="shared" si="58"/>
        <v>-17.7</v>
      </c>
      <c r="L451" s="8">
        <f t="shared" si="62"/>
        <v>8.5113803820237492E-13</v>
      </c>
      <c r="M451" s="26"/>
      <c r="N451" s="17"/>
      <c r="O451" s="9">
        <f t="shared" si="60"/>
        <v>-26.9</v>
      </c>
      <c r="P451" s="8">
        <f>D446/B446*10^(O451/10)</f>
        <v>7.962777984211164E-2</v>
      </c>
      <c r="Q451" s="26"/>
      <c r="R451" s="17"/>
      <c r="S451" s="20"/>
      <c r="T451" s="17"/>
      <c r="U451" s="23"/>
    </row>
    <row r="452" spans="1:21" x14ac:dyDescent="0.25">
      <c r="A452" s="24">
        <v>2000</v>
      </c>
      <c r="B452" s="24">
        <v>3</v>
      </c>
      <c r="C452" s="17">
        <v>0.5</v>
      </c>
      <c r="D452" s="24">
        <v>234</v>
      </c>
      <c r="E452" s="24">
        <v>6</v>
      </c>
      <c r="F452" s="25">
        <v>68</v>
      </c>
      <c r="G452" s="1">
        <v>1425</v>
      </c>
      <c r="H452" s="2">
        <v>102.8</v>
      </c>
      <c r="I452" s="2">
        <v>-22.1</v>
      </c>
      <c r="J452" s="2">
        <v>-25.3</v>
      </c>
      <c r="K452" s="2">
        <f t="shared" si="58"/>
        <v>-22.1</v>
      </c>
      <c r="L452" s="8">
        <f t="shared" si="62"/>
        <v>3.2359365692962775E-13</v>
      </c>
      <c r="M452" s="26">
        <f>SUM(L452:L457)</f>
        <v>3.8336365437580929E-12</v>
      </c>
      <c r="N452" s="17">
        <f>10*LOG10(M452/E452)</f>
        <v>-121.94540314121869</v>
      </c>
      <c r="O452" s="9">
        <f t="shared" si="60"/>
        <v>-25.3</v>
      </c>
      <c r="P452" s="8">
        <f>D452/B452*10^(O452/10)</f>
        <v>0.23019431967997794</v>
      </c>
      <c r="Q452" s="26">
        <f>SUM(P452:P457)</f>
        <v>0.92216546671720889</v>
      </c>
      <c r="R452" s="17">
        <f>10*LOG10(Q452)</f>
        <v>-0.35191145286173425</v>
      </c>
      <c r="S452" s="18">
        <f>F452+N452-Kzt-H</f>
        <v>-53.945403141218691</v>
      </c>
      <c r="T452" s="17">
        <v>1</v>
      </c>
      <c r="U452" s="21">
        <f>T452*10^((S452-R452)/10)</f>
        <v>4.3717048271222377E-6</v>
      </c>
    </row>
    <row r="453" spans="1:21" x14ac:dyDescent="0.25">
      <c r="A453" s="24"/>
      <c r="B453" s="24"/>
      <c r="C453" s="17"/>
      <c r="D453" s="24"/>
      <c r="E453" s="24"/>
      <c r="F453" s="25"/>
      <c r="G453" s="1">
        <v>1625</v>
      </c>
      <c r="H453" s="2">
        <v>104.1</v>
      </c>
      <c r="I453" s="2">
        <v>-17.8</v>
      </c>
      <c r="J453" s="2">
        <v>-28.2</v>
      </c>
      <c r="K453" s="2">
        <f t="shared" si="58"/>
        <v>-17.8</v>
      </c>
      <c r="L453" s="8">
        <f t="shared" si="62"/>
        <v>6.4565422903465492E-13</v>
      </c>
      <c r="M453" s="26"/>
      <c r="N453" s="17"/>
      <c r="O453" s="9">
        <f t="shared" si="60"/>
        <v>-28.2</v>
      </c>
      <c r="P453" s="8">
        <f>D452/B452*10^(O453/10)</f>
        <v>0.11805777737802417</v>
      </c>
      <c r="Q453" s="26"/>
      <c r="R453" s="17"/>
      <c r="S453" s="19"/>
      <c r="T453" s="17"/>
      <c r="U453" s="22"/>
    </row>
    <row r="454" spans="1:21" x14ac:dyDescent="0.25">
      <c r="A454" s="24"/>
      <c r="B454" s="24"/>
      <c r="C454" s="17"/>
      <c r="D454" s="24"/>
      <c r="E454" s="24"/>
      <c r="F454" s="25"/>
      <c r="G454" s="1">
        <v>1825</v>
      </c>
      <c r="H454" s="2">
        <v>107.6</v>
      </c>
      <c r="I454" s="2">
        <v>-24.9</v>
      </c>
      <c r="J454" s="2">
        <v>-26.2</v>
      </c>
      <c r="K454" s="2">
        <f t="shared" si="58"/>
        <v>-24.9</v>
      </c>
      <c r="L454" s="8">
        <f t="shared" si="62"/>
        <v>5.6234132519034836E-14</v>
      </c>
      <c r="M454" s="26"/>
      <c r="N454" s="17"/>
      <c r="O454" s="9">
        <f t="shared" si="60"/>
        <v>-26.2</v>
      </c>
      <c r="P454" s="8">
        <f>D452/B452*10^(O454/10)</f>
        <v>0.18710896768352012</v>
      </c>
      <c r="Q454" s="26"/>
      <c r="R454" s="17"/>
      <c r="S454" s="19"/>
      <c r="T454" s="17"/>
      <c r="U454" s="22"/>
    </row>
    <row r="455" spans="1:21" x14ac:dyDescent="0.25">
      <c r="A455" s="24"/>
      <c r="B455" s="24"/>
      <c r="C455" s="17"/>
      <c r="D455" s="24"/>
      <c r="E455" s="24"/>
      <c r="F455" s="25"/>
      <c r="G455" s="1">
        <v>2125</v>
      </c>
      <c r="H455" s="2">
        <v>104.2</v>
      </c>
      <c r="I455" s="2">
        <v>-21.7</v>
      </c>
      <c r="J455" s="2">
        <v>-28.5</v>
      </c>
      <c r="K455" s="2">
        <f t="shared" si="58"/>
        <v>-21.7</v>
      </c>
      <c r="L455" s="8">
        <f t="shared" si="62"/>
        <v>2.5703957827688533E-13</v>
      </c>
      <c r="M455" s="26"/>
      <c r="N455" s="17"/>
      <c r="O455" s="9">
        <f t="shared" si="60"/>
        <v>-28.5</v>
      </c>
      <c r="P455" s="8">
        <f>D452/B452*10^(O455/10)</f>
        <v>0.11017792848057471</v>
      </c>
      <c r="Q455" s="26"/>
      <c r="R455" s="17"/>
      <c r="S455" s="19"/>
      <c r="T455" s="17"/>
      <c r="U455" s="22"/>
    </row>
    <row r="456" spans="1:21" x14ac:dyDescent="0.25">
      <c r="A456" s="24"/>
      <c r="B456" s="24"/>
      <c r="C456" s="17"/>
      <c r="D456" s="24"/>
      <c r="E456" s="24"/>
      <c r="F456" s="25"/>
      <c r="G456" s="1">
        <v>2425</v>
      </c>
      <c r="H456" s="2">
        <v>93.7</v>
      </c>
      <c r="I456" s="2">
        <v>-23.5</v>
      </c>
      <c r="J456" s="2">
        <v>-26.3</v>
      </c>
      <c r="K456" s="2">
        <f t="shared" si="58"/>
        <v>-23.5</v>
      </c>
      <c r="L456" s="8">
        <f t="shared" si="62"/>
        <v>1.905460717963237E-12</v>
      </c>
      <c r="M456" s="26"/>
      <c r="N456" s="17"/>
      <c r="O456" s="9">
        <f t="shared" si="60"/>
        <v>-26.3</v>
      </c>
      <c r="P456" s="8">
        <f>D452/B452*10^(O456/10)</f>
        <v>0.18284984759495379</v>
      </c>
      <c r="Q456" s="26"/>
      <c r="R456" s="17"/>
      <c r="S456" s="19"/>
      <c r="T456" s="17"/>
      <c r="U456" s="22"/>
    </row>
    <row r="457" spans="1:21" x14ac:dyDescent="0.25">
      <c r="A457" s="24"/>
      <c r="B457" s="24"/>
      <c r="C457" s="17"/>
      <c r="D457" s="24"/>
      <c r="E457" s="24"/>
      <c r="F457" s="25"/>
      <c r="G457" s="1">
        <v>2775</v>
      </c>
      <c r="H457" s="2">
        <v>100.2</v>
      </c>
      <c r="I457" s="2">
        <v>-21.7</v>
      </c>
      <c r="J457" s="2">
        <v>-29.2</v>
      </c>
      <c r="K457" s="2">
        <f t="shared" si="58"/>
        <v>-21.7</v>
      </c>
      <c r="L457" s="8">
        <f t="shared" si="62"/>
        <v>6.456542290346527E-13</v>
      </c>
      <c r="M457" s="26"/>
      <c r="N457" s="17"/>
      <c r="O457" s="9">
        <f t="shared" si="60"/>
        <v>-29.2</v>
      </c>
      <c r="P457" s="8">
        <f>D452/B452*10^(O457/10)</f>
        <v>9.3776625900158159E-2</v>
      </c>
      <c r="Q457" s="26"/>
      <c r="R457" s="17"/>
      <c r="S457" s="20"/>
      <c r="T457" s="17"/>
      <c r="U457" s="23"/>
    </row>
    <row r="458" spans="1:21" x14ac:dyDescent="0.25">
      <c r="A458" s="24">
        <v>4000</v>
      </c>
      <c r="B458" s="24">
        <v>3</v>
      </c>
      <c r="C458" s="17">
        <v>0.5</v>
      </c>
      <c r="D458" s="24">
        <v>470</v>
      </c>
      <c r="E458" s="24">
        <v>6</v>
      </c>
      <c r="F458" s="25">
        <v>62</v>
      </c>
      <c r="G458" s="1">
        <v>2825</v>
      </c>
      <c r="H458" s="2">
        <v>99.4</v>
      </c>
      <c r="I458" s="2">
        <v>-23.4</v>
      </c>
      <c r="J458" s="2">
        <v>-29.9</v>
      </c>
      <c r="K458" s="2">
        <f t="shared" si="58"/>
        <v>-23.4</v>
      </c>
      <c r="L458" s="8">
        <f t="shared" si="62"/>
        <v>5.2480746024976895E-13</v>
      </c>
      <c r="M458" s="26">
        <f>SUM(L458:L463)</f>
        <v>6.8204907824187521E-12</v>
      </c>
      <c r="N458" s="17">
        <f>10*LOG10(M458/E458)</f>
        <v>-119.44335624051581</v>
      </c>
      <c r="O458" s="9">
        <f t="shared" si="60"/>
        <v>-29.9</v>
      </c>
      <c r="P458" s="8">
        <f>D458/B458*10^(O458/10)</f>
        <v>0.1603159021239848</v>
      </c>
      <c r="Q458" s="26">
        <f>SUM(P458:P463)</f>
        <v>1.5456358113653694</v>
      </c>
      <c r="R458" s="17">
        <f>10*LOG10(Q458)</f>
        <v>1.891071715055507</v>
      </c>
      <c r="S458" s="18">
        <f>F458+N458-Kzt-H</f>
        <v>-57.443356240515811</v>
      </c>
      <c r="T458" s="17">
        <v>0.9</v>
      </c>
      <c r="U458" s="21">
        <f>T458*10^((S458-R458)/10)</f>
        <v>1.0490585166453471E-6</v>
      </c>
    </row>
    <row r="459" spans="1:21" x14ac:dyDescent="0.25">
      <c r="A459" s="24"/>
      <c r="B459" s="24"/>
      <c r="C459" s="17"/>
      <c r="D459" s="24"/>
      <c r="E459" s="24"/>
      <c r="F459" s="25"/>
      <c r="G459" s="1">
        <v>3425</v>
      </c>
      <c r="H459" s="2">
        <v>103.5</v>
      </c>
      <c r="I459" s="2">
        <v>-21.9</v>
      </c>
      <c r="J459" s="2">
        <v>-29</v>
      </c>
      <c r="K459" s="2">
        <f t="shared" si="58"/>
        <v>-21.9</v>
      </c>
      <c r="L459" s="8">
        <f t="shared" si="62"/>
        <v>2.8840315031265929E-13</v>
      </c>
      <c r="M459" s="26"/>
      <c r="N459" s="17"/>
      <c r="O459" s="9">
        <f t="shared" si="60"/>
        <v>-29</v>
      </c>
      <c r="P459" s="8">
        <f>D458/B458*10^(O459/10)</f>
        <v>0.19723164784775268</v>
      </c>
      <c r="Q459" s="26"/>
      <c r="R459" s="17"/>
      <c r="S459" s="19"/>
      <c r="T459" s="17"/>
      <c r="U459" s="22"/>
    </row>
    <row r="460" spans="1:21" x14ac:dyDescent="0.25">
      <c r="A460" s="24"/>
      <c r="B460" s="24"/>
      <c r="C460" s="17"/>
      <c r="D460" s="24"/>
      <c r="E460" s="24"/>
      <c r="F460" s="25"/>
      <c r="G460" s="1">
        <v>4025</v>
      </c>
      <c r="H460" s="2">
        <v>103.6</v>
      </c>
      <c r="I460" s="2">
        <v>-19</v>
      </c>
      <c r="J460" s="2">
        <v>-26.6</v>
      </c>
      <c r="K460" s="2">
        <f t="shared" si="58"/>
        <v>-19</v>
      </c>
      <c r="L460" s="8">
        <f t="shared" si="62"/>
        <v>5.4954087385762248E-13</v>
      </c>
      <c r="M460" s="26"/>
      <c r="N460" s="17"/>
      <c r="O460" s="9">
        <f t="shared" si="60"/>
        <v>-26.6</v>
      </c>
      <c r="P460" s="8">
        <f>D458/B458*10^(O460/10)</f>
        <v>0.34274932108542944</v>
      </c>
      <c r="Q460" s="26"/>
      <c r="R460" s="17"/>
      <c r="S460" s="19"/>
      <c r="T460" s="17"/>
      <c r="U460" s="22"/>
    </row>
    <row r="461" spans="1:21" x14ac:dyDescent="0.25">
      <c r="A461" s="24"/>
      <c r="B461" s="24"/>
      <c r="C461" s="17"/>
      <c r="D461" s="24"/>
      <c r="E461" s="24"/>
      <c r="F461" s="25"/>
      <c r="G461" s="1">
        <v>4625</v>
      </c>
      <c r="H461" s="2">
        <v>105.6</v>
      </c>
      <c r="I461" s="2">
        <v>-18.600000000000001</v>
      </c>
      <c r="J461" s="2">
        <v>-30.9</v>
      </c>
      <c r="K461" s="2">
        <f t="shared" si="58"/>
        <v>-18.600000000000001</v>
      </c>
      <c r="L461" s="8">
        <f t="shared" si="62"/>
        <v>3.8018939632056172E-13</v>
      </c>
      <c r="M461" s="26"/>
      <c r="N461" s="17"/>
      <c r="O461" s="9">
        <f t="shared" si="60"/>
        <v>-30.9</v>
      </c>
      <c r="P461" s="8">
        <f>D458/B458*10^(O461/10)</f>
        <v>0.12734344753237545</v>
      </c>
      <c r="Q461" s="26"/>
      <c r="R461" s="17"/>
      <c r="S461" s="19"/>
      <c r="T461" s="17"/>
      <c r="U461" s="22"/>
    </row>
    <row r="462" spans="1:21" x14ac:dyDescent="0.25">
      <c r="A462" s="24"/>
      <c r="B462" s="24"/>
      <c r="C462" s="17"/>
      <c r="D462" s="24"/>
      <c r="E462" s="24"/>
      <c r="F462" s="25"/>
      <c r="G462" s="1">
        <v>5225</v>
      </c>
      <c r="H462" s="2">
        <v>103.5</v>
      </c>
      <c r="I462" s="2">
        <v>-16.100000000000001</v>
      </c>
      <c r="J462" s="2">
        <v>-26.5</v>
      </c>
      <c r="K462" s="2">
        <f t="shared" si="58"/>
        <v>-16.100000000000001</v>
      </c>
      <c r="L462" s="8">
        <f t="shared" si="62"/>
        <v>1.0964781961431857E-12</v>
      </c>
      <c r="M462" s="26"/>
      <c r="N462" s="17"/>
      <c r="O462" s="9">
        <f t="shared" si="60"/>
        <v>-26.5</v>
      </c>
      <c r="P462" s="8">
        <f>D458/B458*10^(O462/10)</f>
        <v>0.35073297837570638</v>
      </c>
      <c r="Q462" s="26"/>
      <c r="R462" s="17"/>
      <c r="S462" s="19"/>
      <c r="T462" s="17"/>
      <c r="U462" s="22"/>
    </row>
    <row r="463" spans="1:21" x14ac:dyDescent="0.25">
      <c r="A463" s="24"/>
      <c r="B463" s="24"/>
      <c r="C463" s="17"/>
      <c r="D463" s="24"/>
      <c r="E463" s="24"/>
      <c r="F463" s="25"/>
      <c r="G463" s="1">
        <v>5625</v>
      </c>
      <c r="H463" s="2">
        <v>99.5</v>
      </c>
      <c r="I463" s="2">
        <v>-14.5</v>
      </c>
      <c r="J463" s="2">
        <v>-26.3</v>
      </c>
      <c r="K463" s="2">
        <f t="shared" si="58"/>
        <v>-14.5</v>
      </c>
      <c r="L463" s="8">
        <f t="shared" si="62"/>
        <v>3.9810717055349533E-12</v>
      </c>
      <c r="M463" s="26"/>
      <c r="N463" s="17"/>
      <c r="O463" s="9">
        <f t="shared" si="60"/>
        <v>-26.3</v>
      </c>
      <c r="P463" s="8">
        <f>D458/B458*10^(O463/10)</f>
        <v>0.36726251440012081</v>
      </c>
      <c r="Q463" s="26"/>
      <c r="R463" s="17"/>
      <c r="S463" s="20"/>
      <c r="T463" s="17"/>
      <c r="U463" s="23"/>
    </row>
    <row r="464" spans="1:21" x14ac:dyDescent="0.25">
      <c r="A464" s="24">
        <v>8000</v>
      </c>
      <c r="B464" s="24">
        <v>3</v>
      </c>
      <c r="C464" s="17">
        <v>0.5</v>
      </c>
      <c r="D464" s="24">
        <v>943</v>
      </c>
      <c r="E464" s="24">
        <v>6</v>
      </c>
      <c r="F464" s="25">
        <v>54</v>
      </c>
      <c r="G464" s="1">
        <v>6025</v>
      </c>
      <c r="H464" s="2">
        <v>95</v>
      </c>
      <c r="I464" s="2">
        <v>-17.399999999999999</v>
      </c>
      <c r="J464" s="2">
        <v>-27.7</v>
      </c>
      <c r="K464" s="2">
        <f t="shared" si="58"/>
        <v>-17.399999999999999</v>
      </c>
      <c r="L464" s="8">
        <f t="shared" si="62"/>
        <v>5.7543993733715538E-12</v>
      </c>
      <c r="M464" s="26">
        <f>SUM(L464:L469)</f>
        <v>2.7089917652207819E-11</v>
      </c>
      <c r="N464" s="17">
        <f>10*LOG10(M464/E464)</f>
        <v>-113.45343565514598</v>
      </c>
      <c r="O464" s="9">
        <f t="shared" si="60"/>
        <v>-27.7</v>
      </c>
      <c r="P464" s="8">
        <f>D464/B464*10^(O464/10)</f>
        <v>0.53381458809047433</v>
      </c>
      <c r="Q464" s="26">
        <f>SUM(P464:P469)</f>
        <v>4.1550045354654852</v>
      </c>
      <c r="R464" s="17">
        <f>10*LOG10(Q464)</f>
        <v>6.1857150218187664</v>
      </c>
      <c r="S464" s="18">
        <f>F464+N464-Kzt-H</f>
        <v>-59.453435655145981</v>
      </c>
      <c r="T464" s="17">
        <v>0.7</v>
      </c>
      <c r="U464" s="21">
        <f>T464*10^((S464-R464)/10)</f>
        <v>1.9106580670903562E-7</v>
      </c>
    </row>
    <row r="465" spans="1:21" x14ac:dyDescent="0.25">
      <c r="A465" s="24"/>
      <c r="B465" s="24"/>
      <c r="C465" s="17"/>
      <c r="D465" s="24"/>
      <c r="E465" s="24"/>
      <c r="F465" s="25"/>
      <c r="G465" s="1">
        <v>7025</v>
      </c>
      <c r="H465" s="2">
        <v>94.8</v>
      </c>
      <c r="I465" s="2">
        <v>-23.4</v>
      </c>
      <c r="J465" s="2">
        <v>-23.9</v>
      </c>
      <c r="K465" s="2">
        <f t="shared" si="58"/>
        <v>-23.4</v>
      </c>
      <c r="L465" s="8">
        <f t="shared" si="62"/>
        <v>1.513561248436207E-12</v>
      </c>
      <c r="M465" s="26"/>
      <c r="N465" s="17"/>
      <c r="O465" s="9">
        <f t="shared" si="60"/>
        <v>-23.9</v>
      </c>
      <c r="P465" s="8">
        <f>D464/B464*10^(O465/10)</f>
        <v>1.2805320065642618</v>
      </c>
      <c r="Q465" s="26"/>
      <c r="R465" s="17"/>
      <c r="S465" s="19"/>
      <c r="T465" s="17"/>
      <c r="U465" s="22"/>
    </row>
    <row r="466" spans="1:21" x14ac:dyDescent="0.25">
      <c r="A466" s="24"/>
      <c r="B466" s="24"/>
      <c r="C466" s="17"/>
      <c r="D466" s="24"/>
      <c r="E466" s="24"/>
      <c r="F466" s="25"/>
      <c r="G466" s="1">
        <v>8025</v>
      </c>
      <c r="H466" s="2">
        <v>101.9</v>
      </c>
      <c r="I466" s="2">
        <v>-16.3</v>
      </c>
      <c r="J466" s="2">
        <v>-25.5</v>
      </c>
      <c r="K466" s="2">
        <f t="shared" si="58"/>
        <v>-16.3</v>
      </c>
      <c r="L466" s="8">
        <f t="shared" si="62"/>
        <v>1.5135612484362015E-12</v>
      </c>
      <c r="M466" s="26"/>
      <c r="N466" s="17"/>
      <c r="O466" s="9">
        <f t="shared" si="60"/>
        <v>-25.5</v>
      </c>
      <c r="P466" s="8">
        <f>D464/B464*10^(O466/10)</f>
        <v>0.88591170139412612</v>
      </c>
      <c r="Q466" s="26"/>
      <c r="R466" s="17"/>
      <c r="S466" s="19"/>
      <c r="T466" s="17"/>
      <c r="U466" s="22"/>
    </row>
    <row r="467" spans="1:21" x14ac:dyDescent="0.25">
      <c r="A467" s="24"/>
      <c r="B467" s="24"/>
      <c r="C467" s="17"/>
      <c r="D467" s="24"/>
      <c r="E467" s="24"/>
      <c r="F467" s="25"/>
      <c r="G467" s="1">
        <v>9025</v>
      </c>
      <c r="H467" s="2">
        <v>93.2</v>
      </c>
      <c r="I467" s="2">
        <v>-21.4</v>
      </c>
      <c r="J467" s="2">
        <v>-29.5</v>
      </c>
      <c r="K467" s="2">
        <f t="shared" si="58"/>
        <v>-21.4</v>
      </c>
      <c r="L467" s="8">
        <f t="shared" si="62"/>
        <v>3.4673685045253144E-12</v>
      </c>
      <c r="M467" s="26"/>
      <c r="N467" s="17"/>
      <c r="O467" s="9">
        <f t="shared" si="60"/>
        <v>-29.5</v>
      </c>
      <c r="P467" s="8">
        <f>D464/B464*10^(O467/10)</f>
        <v>0.3526878008022501</v>
      </c>
      <c r="Q467" s="26"/>
      <c r="R467" s="17"/>
      <c r="S467" s="19"/>
      <c r="T467" s="17"/>
      <c r="U467" s="22"/>
    </row>
    <row r="468" spans="1:21" x14ac:dyDescent="0.25">
      <c r="A468" s="24"/>
      <c r="B468" s="24"/>
      <c r="C468" s="17"/>
      <c r="D468" s="24"/>
      <c r="E468" s="24"/>
      <c r="F468" s="25"/>
      <c r="G468" s="1">
        <v>10025</v>
      </c>
      <c r="H468" s="2">
        <v>88.3</v>
      </c>
      <c r="I468" s="2">
        <v>-27.2</v>
      </c>
      <c r="J468" s="2">
        <v>-28.8</v>
      </c>
      <c r="K468" s="2">
        <f t="shared" si="58"/>
        <v>-27.2</v>
      </c>
      <c r="L468" s="8">
        <f t="shared" si="62"/>
        <v>2.8183829312644444E-12</v>
      </c>
      <c r="M468" s="26"/>
      <c r="N468" s="17"/>
      <c r="O468" s="9">
        <f t="shared" si="60"/>
        <v>-28.8</v>
      </c>
      <c r="P468" s="8">
        <f>D464/B464*10^(O468/10)</f>
        <v>0.41437203481956392</v>
      </c>
      <c r="Q468" s="26"/>
      <c r="R468" s="17"/>
      <c r="S468" s="19"/>
      <c r="T468" s="17"/>
      <c r="U468" s="22"/>
    </row>
    <row r="469" spans="1:21" x14ac:dyDescent="0.25">
      <c r="A469" s="24"/>
      <c r="B469" s="24"/>
      <c r="C469" s="17"/>
      <c r="D469" s="24"/>
      <c r="E469" s="24"/>
      <c r="F469" s="25"/>
      <c r="G469" s="1">
        <v>11025</v>
      </c>
      <c r="H469" s="2">
        <v>86</v>
      </c>
      <c r="I469" s="2">
        <v>-23.2</v>
      </c>
      <c r="J469" s="2">
        <v>-26.6</v>
      </c>
      <c r="K469" s="2">
        <f t="shared" si="58"/>
        <v>-23.2</v>
      </c>
      <c r="L469" s="8">
        <f t="shared" si="62"/>
        <v>1.2022644346174101E-11</v>
      </c>
      <c r="M469" s="26"/>
      <c r="N469" s="17"/>
      <c r="O469" s="9">
        <f t="shared" si="60"/>
        <v>-26.6</v>
      </c>
      <c r="P469" s="8">
        <f>D464/B464*10^(O469/10)</f>
        <v>0.6876864037948085</v>
      </c>
      <c r="Q469" s="26"/>
      <c r="R469" s="17"/>
      <c r="S469" s="20"/>
      <c r="T469" s="17"/>
      <c r="U469" s="23"/>
    </row>
    <row r="470" spans="1:21" x14ac:dyDescent="0.25">
      <c r="A470" s="24" t="s">
        <v>20</v>
      </c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12">
        <f>U470</f>
        <v>6.1829970965925365E-2</v>
      </c>
      <c r="T470" s="2"/>
      <c r="U470" s="8">
        <f>0.8*SQRT(SUM(U436:U469))</f>
        <v>6.1829970965925365E-2</v>
      </c>
    </row>
    <row r="471" spans="1:21" x14ac:dyDescent="0.25">
      <c r="A471" s="27" t="s">
        <v>85</v>
      </c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9"/>
    </row>
    <row r="472" spans="1:21" x14ac:dyDescent="0.25">
      <c r="A472" s="24">
        <v>250</v>
      </c>
      <c r="B472" s="24">
        <v>3</v>
      </c>
      <c r="C472" s="17">
        <v>0.5</v>
      </c>
      <c r="D472" s="24">
        <v>38</v>
      </c>
      <c r="E472" s="24">
        <v>4</v>
      </c>
      <c r="F472" s="25">
        <v>84</v>
      </c>
      <c r="G472" s="1">
        <v>175</v>
      </c>
      <c r="H472" s="2">
        <v>84.8</v>
      </c>
      <c r="I472" s="2">
        <v>-18.8</v>
      </c>
      <c r="J472" s="2">
        <v>-23.3</v>
      </c>
      <c r="K472" s="2">
        <f>I472</f>
        <v>-18.8</v>
      </c>
      <c r="L472" s="8">
        <f>10^((K472-H472)/10)</f>
        <v>4.3651583224016577E-11</v>
      </c>
      <c r="M472" s="26">
        <f>SUM(L472:L475)</f>
        <v>5.7835876831441977E-11</v>
      </c>
      <c r="N472" s="17">
        <f>10*LOG10(M472/E472)</f>
        <v>-108.39862667158714</v>
      </c>
      <c r="O472" s="9">
        <f>J472</f>
        <v>-23.3</v>
      </c>
      <c r="P472" s="8">
        <f>D472/B472*10^(O472/10)</f>
        <v>5.9246451229711714E-2</v>
      </c>
      <c r="Q472" s="26">
        <f>SUM(P472:P475)</f>
        <v>0.12456963629381965</v>
      </c>
      <c r="R472" s="17">
        <f>10*LOG10(Q472)</f>
        <v>-9.0458780356004489</v>
      </c>
      <c r="S472" s="18">
        <f>F472+N472-Kzt-H</f>
        <v>-24.398626671587138</v>
      </c>
      <c r="T472" s="17">
        <v>0.2</v>
      </c>
      <c r="U472" s="21">
        <f>T472*10^((S472-R472)/10)</f>
        <v>5.8311623357676211E-3</v>
      </c>
    </row>
    <row r="473" spans="1:21" x14ac:dyDescent="0.25">
      <c r="A473" s="24"/>
      <c r="B473" s="24"/>
      <c r="C473" s="17"/>
      <c r="D473" s="24"/>
      <c r="E473" s="24"/>
      <c r="F473" s="25"/>
      <c r="G473" s="1">
        <v>225</v>
      </c>
      <c r="H473" s="2">
        <v>90</v>
      </c>
      <c r="I473" s="2">
        <v>-20.6</v>
      </c>
      <c r="J473" s="2">
        <v>-30.6</v>
      </c>
      <c r="K473" s="2">
        <f t="shared" ref="K473:K505" si="63">I473</f>
        <v>-20.6</v>
      </c>
      <c r="L473" s="8">
        <f t="shared" ref="L473:L474" si="64">10^((K473-H473)/10)</f>
        <v>8.7096358995607975E-12</v>
      </c>
      <c r="M473" s="26"/>
      <c r="N473" s="17"/>
      <c r="O473" s="9">
        <f t="shared" ref="O473:O505" si="65">J473</f>
        <v>-30.6</v>
      </c>
      <c r="P473" s="8">
        <f>D472/B472*10^(O473/10)</f>
        <v>1.103220547277701E-2</v>
      </c>
      <c r="Q473" s="26"/>
      <c r="R473" s="17"/>
      <c r="S473" s="19"/>
      <c r="T473" s="17"/>
      <c r="U473" s="22"/>
    </row>
    <row r="474" spans="1:21" x14ac:dyDescent="0.25">
      <c r="A474" s="24"/>
      <c r="B474" s="24"/>
      <c r="C474" s="17"/>
      <c r="D474" s="24"/>
      <c r="E474" s="24"/>
      <c r="F474" s="25"/>
      <c r="G474" s="1">
        <v>275</v>
      </c>
      <c r="H474" s="2">
        <v>92.2</v>
      </c>
      <c r="I474" s="2">
        <v>-22.7</v>
      </c>
      <c r="J474" s="2">
        <v>-27</v>
      </c>
      <c r="K474" s="2">
        <f t="shared" si="63"/>
        <v>-22.7</v>
      </c>
      <c r="L474" s="8">
        <f t="shared" si="64"/>
        <v>3.2359365692962695E-12</v>
      </c>
      <c r="M474" s="26"/>
      <c r="N474" s="17"/>
      <c r="O474" s="9">
        <f t="shared" si="65"/>
        <v>-27</v>
      </c>
      <c r="P474" s="8">
        <f>D472/B472*10^(O474/10)</f>
        <v>2.5273322656272454E-2</v>
      </c>
      <c r="Q474" s="26"/>
      <c r="R474" s="17"/>
      <c r="S474" s="19"/>
      <c r="T474" s="17"/>
      <c r="U474" s="22"/>
    </row>
    <row r="475" spans="1:21" x14ac:dyDescent="0.25">
      <c r="A475" s="24"/>
      <c r="B475" s="24"/>
      <c r="C475" s="17"/>
      <c r="D475" s="24"/>
      <c r="E475" s="24"/>
      <c r="F475" s="25"/>
      <c r="G475" s="1">
        <v>325</v>
      </c>
      <c r="H475" s="2">
        <v>93.3</v>
      </c>
      <c r="I475" s="2">
        <v>-23.2</v>
      </c>
      <c r="J475" s="2">
        <v>-26.4</v>
      </c>
      <c r="K475" s="2">
        <f t="shared" si="63"/>
        <v>-23.2</v>
      </c>
      <c r="L475" s="8">
        <f>10^((K475-H475)/10)</f>
        <v>2.2387211385683343E-12</v>
      </c>
      <c r="M475" s="26"/>
      <c r="N475" s="17"/>
      <c r="O475" s="9">
        <f t="shared" si="65"/>
        <v>-26.4</v>
      </c>
      <c r="P475" s="8">
        <f>D472/B472*10^(O475/10)</f>
        <v>2.9017656935058464E-2</v>
      </c>
      <c r="Q475" s="26"/>
      <c r="R475" s="17"/>
      <c r="S475" s="20"/>
      <c r="T475" s="17"/>
      <c r="U475" s="23"/>
    </row>
    <row r="476" spans="1:21" x14ac:dyDescent="0.25">
      <c r="A476" s="24">
        <v>500</v>
      </c>
      <c r="B476" s="24">
        <v>3</v>
      </c>
      <c r="C476" s="17">
        <v>0.5</v>
      </c>
      <c r="D476" s="24">
        <v>59</v>
      </c>
      <c r="E476" s="24">
        <v>6</v>
      </c>
      <c r="F476" s="25">
        <v>84</v>
      </c>
      <c r="G476" s="1">
        <v>375</v>
      </c>
      <c r="H476" s="2">
        <v>91.9</v>
      </c>
      <c r="I476" s="2">
        <v>-17.8</v>
      </c>
      <c r="J476" s="2">
        <v>-31.3</v>
      </c>
      <c r="K476" s="2">
        <f t="shared" si="63"/>
        <v>-17.8</v>
      </c>
      <c r="L476" s="8">
        <f t="shared" ref="L476:L477" si="66">10^((K476-H476)/10)</f>
        <v>1.0715193052376007E-11</v>
      </c>
      <c r="M476" s="26">
        <f>SUM(L476:L481)</f>
        <v>2.882985801610567E-11</v>
      </c>
      <c r="N476" s="17">
        <f>10*LOG10(M476/E476)</f>
        <v>-113.18308746842945</v>
      </c>
      <c r="O476" s="9">
        <f t="shared" si="65"/>
        <v>-31.3</v>
      </c>
      <c r="P476" s="8">
        <f>D476/B476*10^(O476/10)</f>
        <v>1.4579101412251374E-2</v>
      </c>
      <c r="Q476" s="26">
        <f>SUM(P476:P481)</f>
        <v>0.25496687571319043</v>
      </c>
      <c r="R476" s="17">
        <f>10*LOG10(Q476)</f>
        <v>-5.9351623772057103</v>
      </c>
      <c r="S476" s="18">
        <f>F476+N476-Kzt-H</f>
        <v>-29.183087468429449</v>
      </c>
      <c r="T476" s="17">
        <v>0.5</v>
      </c>
      <c r="U476" s="21">
        <f>T476*10^((S476-R476)/10)</f>
        <v>2.3668868413605514E-3</v>
      </c>
    </row>
    <row r="477" spans="1:21" x14ac:dyDescent="0.25">
      <c r="A477" s="24"/>
      <c r="B477" s="24"/>
      <c r="C477" s="17"/>
      <c r="D477" s="24"/>
      <c r="E477" s="24"/>
      <c r="F477" s="25"/>
      <c r="G477" s="1">
        <v>425</v>
      </c>
      <c r="H477" s="2">
        <v>88.1</v>
      </c>
      <c r="I477" s="2">
        <v>-25.2</v>
      </c>
      <c r="J477" s="2">
        <v>-27</v>
      </c>
      <c r="K477" s="2">
        <f t="shared" si="63"/>
        <v>-25.2</v>
      </c>
      <c r="L477" s="8">
        <f t="shared" si="66"/>
        <v>4.6773514128719737E-12</v>
      </c>
      <c r="M477" s="26"/>
      <c r="N477" s="17"/>
      <c r="O477" s="9">
        <f t="shared" si="65"/>
        <v>-27</v>
      </c>
      <c r="P477" s="8">
        <f>D476/B476*10^(O477/10)</f>
        <v>3.9240158861054607E-2</v>
      </c>
      <c r="Q477" s="26"/>
      <c r="R477" s="17"/>
      <c r="S477" s="19"/>
      <c r="T477" s="17"/>
      <c r="U477" s="22"/>
    </row>
    <row r="478" spans="1:21" x14ac:dyDescent="0.25">
      <c r="A478" s="24"/>
      <c r="B478" s="24"/>
      <c r="C478" s="17"/>
      <c r="D478" s="24"/>
      <c r="E478" s="24"/>
      <c r="F478" s="25"/>
      <c r="G478" s="1">
        <v>475</v>
      </c>
      <c r="H478" s="2">
        <v>90</v>
      </c>
      <c r="I478" s="2">
        <v>-23.3</v>
      </c>
      <c r="J478" s="2">
        <v>-23.7</v>
      </c>
      <c r="K478" s="2">
        <f t="shared" si="63"/>
        <v>-23.3</v>
      </c>
      <c r="L478" s="8">
        <f>10^((K478-H478)/10)</f>
        <v>4.6773514128719737E-12</v>
      </c>
      <c r="M478" s="26"/>
      <c r="N478" s="17"/>
      <c r="O478" s="9">
        <f t="shared" si="65"/>
        <v>-23.7</v>
      </c>
      <c r="P478" s="8">
        <f>D476/B476*10^(O478/10)</f>
        <v>8.3893972030979869E-2</v>
      </c>
      <c r="Q478" s="26"/>
      <c r="R478" s="17"/>
      <c r="S478" s="19"/>
      <c r="T478" s="17"/>
      <c r="U478" s="22"/>
    </row>
    <row r="479" spans="1:21" x14ac:dyDescent="0.25">
      <c r="A479" s="24"/>
      <c r="B479" s="24"/>
      <c r="C479" s="17"/>
      <c r="D479" s="24"/>
      <c r="E479" s="24"/>
      <c r="F479" s="25"/>
      <c r="G479" s="1">
        <v>575</v>
      </c>
      <c r="H479" s="2">
        <v>97</v>
      </c>
      <c r="I479" s="2">
        <v>-17.8</v>
      </c>
      <c r="J479" s="2">
        <v>-30.3</v>
      </c>
      <c r="K479" s="2">
        <f t="shared" si="63"/>
        <v>-17.8</v>
      </c>
      <c r="L479" s="8">
        <f t="shared" ref="L479:L505" si="67">10^((K479-H479)/10)</f>
        <v>3.3113112148258976E-12</v>
      </c>
      <c r="M479" s="26"/>
      <c r="N479" s="17"/>
      <c r="O479" s="9">
        <f t="shared" si="65"/>
        <v>-30.3</v>
      </c>
      <c r="P479" s="8">
        <f>D476/B476*10^(O479/10)</f>
        <v>1.8354001249007469E-2</v>
      </c>
      <c r="Q479" s="26"/>
      <c r="R479" s="17"/>
      <c r="S479" s="19"/>
      <c r="T479" s="17"/>
      <c r="U479" s="22"/>
    </row>
    <row r="480" spans="1:21" x14ac:dyDescent="0.25">
      <c r="A480" s="24"/>
      <c r="B480" s="24"/>
      <c r="C480" s="17"/>
      <c r="D480" s="24"/>
      <c r="E480" s="24"/>
      <c r="F480" s="25"/>
      <c r="G480" s="1">
        <v>625</v>
      </c>
      <c r="H480" s="2">
        <v>92</v>
      </c>
      <c r="I480" s="2">
        <v>-23.5</v>
      </c>
      <c r="J480" s="2">
        <v>-30.2</v>
      </c>
      <c r="K480" s="2">
        <f t="shared" si="63"/>
        <v>-23.5</v>
      </c>
      <c r="L480" s="8">
        <f t="shared" si="67"/>
        <v>2.8183829312644444E-12</v>
      </c>
      <c r="M480" s="26"/>
      <c r="N480" s="17"/>
      <c r="O480" s="9">
        <f t="shared" si="65"/>
        <v>-30.2</v>
      </c>
      <c r="P480" s="8">
        <f>D476/B476*10^(O480/10)</f>
        <v>1.8781520858421566E-2</v>
      </c>
      <c r="Q480" s="26"/>
      <c r="R480" s="17"/>
      <c r="S480" s="19"/>
      <c r="T480" s="17"/>
      <c r="U480" s="22"/>
    </row>
    <row r="481" spans="1:21" x14ac:dyDescent="0.25">
      <c r="A481" s="24"/>
      <c r="B481" s="24"/>
      <c r="C481" s="17"/>
      <c r="D481" s="24"/>
      <c r="E481" s="24"/>
      <c r="F481" s="25"/>
      <c r="G481" s="1">
        <v>675</v>
      </c>
      <c r="H481" s="2">
        <v>94.5</v>
      </c>
      <c r="I481" s="2">
        <v>-21.3</v>
      </c>
      <c r="J481" s="2">
        <v>-23.9</v>
      </c>
      <c r="K481" s="2">
        <f t="shared" si="63"/>
        <v>-21.3</v>
      </c>
      <c r="L481" s="8">
        <f t="shared" si="67"/>
        <v>2.6302679918953739E-12</v>
      </c>
      <c r="M481" s="26"/>
      <c r="N481" s="17"/>
      <c r="O481" s="9">
        <f t="shared" si="65"/>
        <v>-23.9</v>
      </c>
      <c r="P481" s="8">
        <f>D476/B476*10^(O481/10)</f>
        <v>8.0118121301475567E-2</v>
      </c>
      <c r="Q481" s="26"/>
      <c r="R481" s="17"/>
      <c r="S481" s="20"/>
      <c r="T481" s="17"/>
      <c r="U481" s="23"/>
    </row>
    <row r="482" spans="1:21" x14ac:dyDescent="0.25">
      <c r="A482" s="24">
        <v>1000</v>
      </c>
      <c r="B482" s="24">
        <v>3</v>
      </c>
      <c r="C482" s="17">
        <v>0.5</v>
      </c>
      <c r="D482" s="24">
        <v>117</v>
      </c>
      <c r="E482" s="24">
        <v>6</v>
      </c>
      <c r="F482" s="25">
        <v>76</v>
      </c>
      <c r="G482" s="1">
        <v>875</v>
      </c>
      <c r="H482" s="2">
        <v>91.1</v>
      </c>
      <c r="I482" s="2">
        <v>-22.8</v>
      </c>
      <c r="J482" s="2">
        <v>-26.9</v>
      </c>
      <c r="K482" s="2">
        <f t="shared" si="63"/>
        <v>-22.8</v>
      </c>
      <c r="L482" s="8">
        <f t="shared" si="67"/>
        <v>4.0738027780411221E-12</v>
      </c>
      <c r="M482" s="26">
        <f>SUM(L482:L487)</f>
        <v>1.2736952142652233E-11</v>
      </c>
      <c r="N482" s="17">
        <f>10*LOG10(M482/E482)</f>
        <v>-116.73085733372304</v>
      </c>
      <c r="O482" s="9">
        <f t="shared" si="65"/>
        <v>-26.9</v>
      </c>
      <c r="P482" s="8">
        <f>D482/B482*10^(O482/10)</f>
        <v>7.962777984211164E-2</v>
      </c>
      <c r="Q482" s="26">
        <f>SUM(P482:P487)</f>
        <v>0.46240801998353509</v>
      </c>
      <c r="R482" s="17">
        <f>10*LOG10(Q482)</f>
        <v>-3.3497464213858863</v>
      </c>
      <c r="S482" s="18">
        <f>F482+N482-Kzt-H</f>
        <v>-40.730857333723037</v>
      </c>
      <c r="T482" s="17">
        <v>0.8</v>
      </c>
      <c r="U482" s="21">
        <f>T482*10^((S482-R482)/10)</f>
        <v>1.4621061226885383E-4</v>
      </c>
    </row>
    <row r="483" spans="1:21" x14ac:dyDescent="0.25">
      <c r="A483" s="24"/>
      <c r="B483" s="24"/>
      <c r="C483" s="17"/>
      <c r="D483" s="24"/>
      <c r="E483" s="24"/>
      <c r="F483" s="25"/>
      <c r="G483" s="1">
        <v>975</v>
      </c>
      <c r="H483" s="2">
        <v>96.5</v>
      </c>
      <c r="I483" s="2">
        <v>-24.2</v>
      </c>
      <c r="J483" s="2">
        <v>-26.3</v>
      </c>
      <c r="K483" s="2">
        <f t="shared" si="63"/>
        <v>-24.2</v>
      </c>
      <c r="L483" s="8">
        <f t="shared" si="67"/>
        <v>8.5113803820237492E-13</v>
      </c>
      <c r="M483" s="26"/>
      <c r="N483" s="17"/>
      <c r="O483" s="9">
        <f t="shared" si="65"/>
        <v>-26.3</v>
      </c>
      <c r="P483" s="8">
        <f>D482/B482*10^(O483/10)</f>
        <v>9.1424923797476895E-2</v>
      </c>
      <c r="Q483" s="26"/>
      <c r="R483" s="17"/>
      <c r="S483" s="19"/>
      <c r="T483" s="17"/>
      <c r="U483" s="22"/>
    </row>
    <row r="484" spans="1:21" x14ac:dyDescent="0.25">
      <c r="A484" s="24"/>
      <c r="B484" s="24"/>
      <c r="C484" s="17"/>
      <c r="D484" s="24"/>
      <c r="E484" s="24"/>
      <c r="F484" s="25"/>
      <c r="G484" s="1">
        <v>1075</v>
      </c>
      <c r="H484" s="2">
        <v>94.6</v>
      </c>
      <c r="I484" s="2">
        <v>-20.3</v>
      </c>
      <c r="J484" s="2">
        <v>-30.6</v>
      </c>
      <c r="K484" s="2">
        <f t="shared" si="63"/>
        <v>-20.3</v>
      </c>
      <c r="L484" s="8">
        <f t="shared" si="67"/>
        <v>3.2359365692962812E-12</v>
      </c>
      <c r="M484" s="26"/>
      <c r="N484" s="17"/>
      <c r="O484" s="9">
        <f t="shared" si="65"/>
        <v>-30.6</v>
      </c>
      <c r="P484" s="8">
        <f>D482/B482*10^(O484/10)</f>
        <v>3.3967580008287111E-2</v>
      </c>
      <c r="Q484" s="26"/>
      <c r="R484" s="17"/>
      <c r="S484" s="19"/>
      <c r="T484" s="17"/>
      <c r="U484" s="22"/>
    </row>
    <row r="485" spans="1:21" x14ac:dyDescent="0.25">
      <c r="A485" s="24"/>
      <c r="B485" s="24"/>
      <c r="C485" s="17"/>
      <c r="D485" s="24"/>
      <c r="E485" s="24"/>
      <c r="F485" s="25"/>
      <c r="G485" s="1">
        <v>1175</v>
      </c>
      <c r="H485" s="2">
        <v>97.8</v>
      </c>
      <c r="I485" s="2">
        <v>-17.600000000000001</v>
      </c>
      <c r="J485" s="2">
        <v>-26.5</v>
      </c>
      <c r="K485" s="2">
        <f t="shared" si="63"/>
        <v>-17.600000000000001</v>
      </c>
      <c r="L485" s="8">
        <f t="shared" si="67"/>
        <v>2.8840315031265959E-12</v>
      </c>
      <c r="M485" s="26"/>
      <c r="N485" s="17"/>
      <c r="O485" s="9">
        <f t="shared" si="65"/>
        <v>-26.5</v>
      </c>
      <c r="P485" s="8">
        <f>D482/B482*10^(O485/10)</f>
        <v>8.7310124404165204E-2</v>
      </c>
      <c r="Q485" s="26"/>
      <c r="R485" s="17"/>
      <c r="S485" s="19"/>
      <c r="T485" s="17"/>
      <c r="U485" s="22"/>
    </row>
    <row r="486" spans="1:21" x14ac:dyDescent="0.25">
      <c r="A486" s="24"/>
      <c r="B486" s="24"/>
      <c r="C486" s="17"/>
      <c r="D486" s="24"/>
      <c r="E486" s="24"/>
      <c r="F486" s="25"/>
      <c r="G486" s="1">
        <v>1275</v>
      </c>
      <c r="H486" s="2">
        <v>100.1</v>
      </c>
      <c r="I486" s="2">
        <v>-19.100000000000001</v>
      </c>
      <c r="J486" s="2">
        <v>-24.5</v>
      </c>
      <c r="K486" s="2">
        <f t="shared" si="63"/>
        <v>-19.100000000000001</v>
      </c>
      <c r="L486" s="8">
        <f t="shared" si="67"/>
        <v>1.202264434617413E-12</v>
      </c>
      <c r="M486" s="26"/>
      <c r="N486" s="17"/>
      <c r="O486" s="9">
        <f t="shared" si="65"/>
        <v>-24.5</v>
      </c>
      <c r="P486" s="8">
        <f>D482/B482*10^(O486/10)</f>
        <v>0.13837722180109435</v>
      </c>
      <c r="Q486" s="26"/>
      <c r="R486" s="17"/>
      <c r="S486" s="19"/>
      <c r="T486" s="17"/>
      <c r="U486" s="22"/>
    </row>
    <row r="487" spans="1:21" x14ac:dyDescent="0.25">
      <c r="A487" s="24"/>
      <c r="B487" s="24"/>
      <c r="C487" s="17"/>
      <c r="D487" s="24"/>
      <c r="E487" s="24"/>
      <c r="F487" s="25"/>
      <c r="G487" s="1">
        <v>1375</v>
      </c>
      <c r="H487" s="2">
        <v>103</v>
      </c>
      <c r="I487" s="2">
        <v>-20.100000000000001</v>
      </c>
      <c r="J487" s="2">
        <v>-30.9</v>
      </c>
      <c r="K487" s="2">
        <f t="shared" si="63"/>
        <v>-20.100000000000001</v>
      </c>
      <c r="L487" s="8">
        <f t="shared" si="67"/>
        <v>4.8977881936844633E-13</v>
      </c>
      <c r="M487" s="26"/>
      <c r="N487" s="17"/>
      <c r="O487" s="9">
        <f t="shared" si="65"/>
        <v>-30.9</v>
      </c>
      <c r="P487" s="8">
        <f>D482/B482*10^(O487/10)</f>
        <v>3.1700390130399853E-2</v>
      </c>
      <c r="Q487" s="26"/>
      <c r="R487" s="17"/>
      <c r="S487" s="20"/>
      <c r="T487" s="17"/>
      <c r="U487" s="23"/>
    </row>
    <row r="488" spans="1:21" x14ac:dyDescent="0.25">
      <c r="A488" s="24">
        <v>2000</v>
      </c>
      <c r="B488" s="24">
        <v>3</v>
      </c>
      <c r="C488" s="17">
        <v>0.5</v>
      </c>
      <c r="D488" s="24">
        <v>234</v>
      </c>
      <c r="E488" s="24">
        <v>6</v>
      </c>
      <c r="F488" s="25">
        <v>68</v>
      </c>
      <c r="G488" s="1">
        <v>1425</v>
      </c>
      <c r="H488" s="2">
        <v>102.8</v>
      </c>
      <c r="I488" s="2">
        <v>-21.3</v>
      </c>
      <c r="J488" s="2">
        <v>-24.9</v>
      </c>
      <c r="K488" s="2">
        <f t="shared" si="63"/>
        <v>-21.3</v>
      </c>
      <c r="L488" s="8">
        <f t="shared" si="67"/>
        <v>3.8904514499427974E-13</v>
      </c>
      <c r="M488" s="26">
        <f>SUM(L488:L493)</f>
        <v>4.2006173250290168E-12</v>
      </c>
      <c r="N488" s="17">
        <f>10*LOG10(M488/E488)</f>
        <v>-121.54838131139897</v>
      </c>
      <c r="O488" s="9">
        <f t="shared" si="65"/>
        <v>-24.9</v>
      </c>
      <c r="P488" s="8">
        <f>D488/B488*10^(O488/10)</f>
        <v>0.25240305240511002</v>
      </c>
      <c r="Q488" s="26">
        <f>SUM(P488:P493)</f>
        <v>1.1712100159959076</v>
      </c>
      <c r="R488" s="17">
        <f>10*LOG10(Q488)</f>
        <v>0.68634777745356257</v>
      </c>
      <c r="S488" s="18">
        <f>F488+N488-Kzt-H</f>
        <v>-53.54838131139897</v>
      </c>
      <c r="T488" s="17">
        <v>1</v>
      </c>
      <c r="U488" s="21">
        <f>T488*10^((S488-R488)/10)</f>
        <v>3.7716127144570939E-6</v>
      </c>
    </row>
    <row r="489" spans="1:21" x14ac:dyDescent="0.25">
      <c r="A489" s="24"/>
      <c r="B489" s="24"/>
      <c r="C489" s="17"/>
      <c r="D489" s="24"/>
      <c r="E489" s="24"/>
      <c r="F489" s="25"/>
      <c r="G489" s="1">
        <v>1625</v>
      </c>
      <c r="H489" s="2">
        <v>104.1</v>
      </c>
      <c r="I489" s="2">
        <v>-24.2</v>
      </c>
      <c r="J489" s="2">
        <v>-29</v>
      </c>
      <c r="K489" s="2">
        <f t="shared" si="63"/>
        <v>-24.2</v>
      </c>
      <c r="L489" s="8">
        <f t="shared" si="67"/>
        <v>1.47910838816821E-13</v>
      </c>
      <c r="M489" s="26"/>
      <c r="N489" s="17"/>
      <c r="O489" s="9">
        <f t="shared" si="65"/>
        <v>-29</v>
      </c>
      <c r="P489" s="8">
        <f>D488/B488*10^(O489/10)</f>
        <v>9.8196182119944964E-2</v>
      </c>
      <c r="Q489" s="26"/>
      <c r="R489" s="17"/>
      <c r="S489" s="19"/>
      <c r="T489" s="17"/>
      <c r="U489" s="22"/>
    </row>
    <row r="490" spans="1:21" x14ac:dyDescent="0.25">
      <c r="A490" s="24"/>
      <c r="B490" s="24"/>
      <c r="C490" s="17"/>
      <c r="D490" s="24"/>
      <c r="E490" s="24"/>
      <c r="F490" s="25"/>
      <c r="G490" s="1">
        <v>1825</v>
      </c>
      <c r="H490" s="2">
        <v>107.6</v>
      </c>
      <c r="I490" s="2">
        <v>-22.7</v>
      </c>
      <c r="J490" s="2">
        <v>-25.3</v>
      </c>
      <c r="K490" s="2">
        <f t="shared" si="63"/>
        <v>-22.7</v>
      </c>
      <c r="L490" s="8">
        <f t="shared" si="67"/>
        <v>9.3325430079699445E-14</v>
      </c>
      <c r="M490" s="26"/>
      <c r="N490" s="17"/>
      <c r="O490" s="9">
        <f t="shared" si="65"/>
        <v>-25.3</v>
      </c>
      <c r="P490" s="8">
        <f>D488/B488*10^(O490/10)</f>
        <v>0.23019431967997794</v>
      </c>
      <c r="Q490" s="26"/>
      <c r="R490" s="17"/>
      <c r="S490" s="19"/>
      <c r="T490" s="17"/>
      <c r="U490" s="22"/>
    </row>
    <row r="491" spans="1:21" x14ac:dyDescent="0.25">
      <c r="A491" s="24"/>
      <c r="B491" s="24"/>
      <c r="C491" s="17"/>
      <c r="D491" s="24"/>
      <c r="E491" s="24"/>
      <c r="F491" s="25"/>
      <c r="G491" s="1">
        <v>2125</v>
      </c>
      <c r="H491" s="2">
        <v>104.2</v>
      </c>
      <c r="I491" s="2">
        <v>-24.7</v>
      </c>
      <c r="J491" s="2">
        <v>-27.2</v>
      </c>
      <c r="K491" s="2">
        <f t="shared" si="63"/>
        <v>-24.7</v>
      </c>
      <c r="L491" s="8">
        <f t="shared" si="67"/>
        <v>1.288249551693128E-13</v>
      </c>
      <c r="M491" s="26"/>
      <c r="N491" s="17"/>
      <c r="O491" s="9">
        <f t="shared" si="65"/>
        <v>-27.2</v>
      </c>
      <c r="P491" s="8">
        <f>D488/B488*10^(O491/10)</f>
        <v>0.1486259360011333</v>
      </c>
      <c r="Q491" s="26"/>
      <c r="R491" s="17"/>
      <c r="S491" s="19"/>
      <c r="T491" s="17"/>
      <c r="U491" s="22"/>
    </row>
    <row r="492" spans="1:21" x14ac:dyDescent="0.25">
      <c r="A492" s="24"/>
      <c r="B492" s="24"/>
      <c r="C492" s="17"/>
      <c r="D492" s="24"/>
      <c r="E492" s="24"/>
      <c r="F492" s="25"/>
      <c r="G492" s="1">
        <v>2425</v>
      </c>
      <c r="H492" s="2">
        <v>93.7</v>
      </c>
      <c r="I492" s="2">
        <v>-23.7</v>
      </c>
      <c r="J492" s="2">
        <v>-24.2</v>
      </c>
      <c r="K492" s="2">
        <f t="shared" si="63"/>
        <v>-23.7</v>
      </c>
      <c r="L492" s="8">
        <f t="shared" si="67"/>
        <v>1.8197008586099809E-12</v>
      </c>
      <c r="M492" s="26"/>
      <c r="N492" s="17"/>
      <c r="O492" s="9">
        <f t="shared" si="65"/>
        <v>-24.2</v>
      </c>
      <c r="P492" s="8">
        <f>D488/B488*10^(O492/10)</f>
        <v>0.29654772913003774</v>
      </c>
      <c r="Q492" s="26"/>
      <c r="R492" s="17"/>
      <c r="S492" s="19"/>
      <c r="T492" s="17"/>
      <c r="U492" s="22"/>
    </row>
    <row r="493" spans="1:21" x14ac:dyDescent="0.25">
      <c r="A493" s="24"/>
      <c r="B493" s="24"/>
      <c r="C493" s="17"/>
      <c r="D493" s="24"/>
      <c r="E493" s="24"/>
      <c r="F493" s="25"/>
      <c r="G493" s="1">
        <v>2775</v>
      </c>
      <c r="H493" s="2">
        <v>100.2</v>
      </c>
      <c r="I493" s="2">
        <v>-17.7</v>
      </c>
      <c r="J493" s="2">
        <v>-27.3</v>
      </c>
      <c r="K493" s="2">
        <f t="shared" si="63"/>
        <v>-17.7</v>
      </c>
      <c r="L493" s="8">
        <f t="shared" si="67"/>
        <v>1.6218100973589226E-12</v>
      </c>
      <c r="M493" s="26"/>
      <c r="N493" s="17"/>
      <c r="O493" s="9">
        <f t="shared" si="65"/>
        <v>-27.3</v>
      </c>
      <c r="P493" s="8">
        <f>D488/B488*10^(O493/10)</f>
        <v>0.14524279665970358</v>
      </c>
      <c r="Q493" s="26"/>
      <c r="R493" s="17"/>
      <c r="S493" s="20"/>
      <c r="T493" s="17"/>
      <c r="U493" s="23"/>
    </row>
    <row r="494" spans="1:21" x14ac:dyDescent="0.25">
      <c r="A494" s="24">
        <v>4000</v>
      </c>
      <c r="B494" s="24">
        <v>3</v>
      </c>
      <c r="C494" s="17">
        <v>0.5</v>
      </c>
      <c r="D494" s="24">
        <v>470</v>
      </c>
      <c r="E494" s="24">
        <v>6</v>
      </c>
      <c r="F494" s="25">
        <v>62</v>
      </c>
      <c r="G494" s="1">
        <v>2825</v>
      </c>
      <c r="H494" s="2">
        <v>99.4</v>
      </c>
      <c r="I494" s="2">
        <v>-25.4</v>
      </c>
      <c r="J494" s="2">
        <v>-25.8</v>
      </c>
      <c r="K494" s="2">
        <f t="shared" si="63"/>
        <v>-25.4</v>
      </c>
      <c r="L494" s="8">
        <f t="shared" si="67"/>
        <v>3.311311214825894E-13</v>
      </c>
      <c r="M494" s="26">
        <f>SUM(L494:L499)</f>
        <v>2.1826414145977204E-12</v>
      </c>
      <c r="N494" s="17">
        <f>10*LOG10(M494/E494)</f>
        <v>-124.39168858904166</v>
      </c>
      <c r="O494" s="9">
        <f t="shared" si="65"/>
        <v>-25.8</v>
      </c>
      <c r="P494" s="8">
        <f>D494/B494*10^(O494/10)</f>
        <v>0.41207531873027603</v>
      </c>
      <c r="Q494" s="26">
        <f>SUM(P494:P499)</f>
        <v>1.972506799996405</v>
      </c>
      <c r="R494" s="17">
        <f>10*LOG10(Q494)</f>
        <v>2.9501850906565319</v>
      </c>
      <c r="S494" s="18">
        <f>F494+N494-Kzt-H</f>
        <v>-62.391688589041664</v>
      </c>
      <c r="T494" s="17">
        <v>0.9</v>
      </c>
      <c r="U494" s="21">
        <f>T494*10^((S494-R494)/10)</f>
        <v>2.6306019727682953E-7</v>
      </c>
    </row>
    <row r="495" spans="1:21" x14ac:dyDescent="0.25">
      <c r="A495" s="24"/>
      <c r="B495" s="24"/>
      <c r="C495" s="17"/>
      <c r="D495" s="24"/>
      <c r="E495" s="24"/>
      <c r="F495" s="25"/>
      <c r="G495" s="1">
        <v>3425</v>
      </c>
      <c r="H495" s="2">
        <v>103.5</v>
      </c>
      <c r="I495" s="2">
        <v>-22.7</v>
      </c>
      <c r="J495" s="2">
        <v>-26.9</v>
      </c>
      <c r="K495" s="2">
        <f t="shared" si="63"/>
        <v>-22.7</v>
      </c>
      <c r="L495" s="8">
        <f t="shared" si="67"/>
        <v>2.3988329190194817E-13</v>
      </c>
      <c r="M495" s="26"/>
      <c r="N495" s="17"/>
      <c r="O495" s="9">
        <f t="shared" si="65"/>
        <v>-26.9</v>
      </c>
      <c r="P495" s="8">
        <f>D494/B494*10^(O495/10)</f>
        <v>0.31987227799822626</v>
      </c>
      <c r="Q495" s="26"/>
      <c r="R495" s="17"/>
      <c r="S495" s="19"/>
      <c r="T495" s="17"/>
      <c r="U495" s="22"/>
    </row>
    <row r="496" spans="1:21" x14ac:dyDescent="0.25">
      <c r="A496" s="24"/>
      <c r="B496" s="24"/>
      <c r="C496" s="17"/>
      <c r="D496" s="24"/>
      <c r="E496" s="24"/>
      <c r="F496" s="25"/>
      <c r="G496" s="1">
        <v>4025</v>
      </c>
      <c r="H496" s="2">
        <v>103.6</v>
      </c>
      <c r="I496" s="2">
        <v>-21.7</v>
      </c>
      <c r="J496" s="2">
        <v>-28.1</v>
      </c>
      <c r="K496" s="2">
        <f t="shared" si="63"/>
        <v>-21.7</v>
      </c>
      <c r="L496" s="8">
        <f t="shared" si="67"/>
        <v>2.9512092266663824E-13</v>
      </c>
      <c r="M496" s="26"/>
      <c r="N496" s="17"/>
      <c r="O496" s="9">
        <f t="shared" si="65"/>
        <v>-28.1</v>
      </c>
      <c r="P496" s="8">
        <f>D494/B494*10^(O496/10)</f>
        <v>0.24264793696295522</v>
      </c>
      <c r="Q496" s="26"/>
      <c r="R496" s="17"/>
      <c r="S496" s="19"/>
      <c r="T496" s="17"/>
      <c r="U496" s="22"/>
    </row>
    <row r="497" spans="1:21" x14ac:dyDescent="0.25">
      <c r="A497" s="24"/>
      <c r="B497" s="24"/>
      <c r="C497" s="17"/>
      <c r="D497" s="24"/>
      <c r="E497" s="24"/>
      <c r="F497" s="25"/>
      <c r="G497" s="1">
        <v>4625</v>
      </c>
      <c r="H497" s="2">
        <v>105.6</v>
      </c>
      <c r="I497" s="2">
        <v>-23.1</v>
      </c>
      <c r="J497" s="2">
        <v>-24.9</v>
      </c>
      <c r="K497" s="2">
        <f t="shared" si="63"/>
        <v>-23.1</v>
      </c>
      <c r="L497" s="8">
        <f t="shared" si="67"/>
        <v>1.3489628825916516E-13</v>
      </c>
      <c r="M497" s="26"/>
      <c r="N497" s="17"/>
      <c r="O497" s="9">
        <f t="shared" si="65"/>
        <v>-24.9</v>
      </c>
      <c r="P497" s="8">
        <f>D494/B494*10^(O497/10)</f>
        <v>0.50696339585641759</v>
      </c>
      <c r="Q497" s="26"/>
      <c r="R497" s="17"/>
      <c r="S497" s="19"/>
      <c r="T497" s="17"/>
      <c r="U497" s="22"/>
    </row>
    <row r="498" spans="1:21" x14ac:dyDescent="0.25">
      <c r="A498" s="24"/>
      <c r="B498" s="24"/>
      <c r="C498" s="17"/>
      <c r="D498" s="24"/>
      <c r="E498" s="24"/>
      <c r="F498" s="25"/>
      <c r="G498" s="1">
        <v>5225</v>
      </c>
      <c r="H498" s="2">
        <v>103.5</v>
      </c>
      <c r="I498" s="2">
        <v>-18.100000000000001</v>
      </c>
      <c r="J498" s="2">
        <v>-28.1</v>
      </c>
      <c r="K498" s="2">
        <f t="shared" si="63"/>
        <v>-18.100000000000001</v>
      </c>
      <c r="L498" s="8">
        <f t="shared" si="67"/>
        <v>6.9183097091893335E-13</v>
      </c>
      <c r="M498" s="26"/>
      <c r="N498" s="17"/>
      <c r="O498" s="9">
        <f t="shared" si="65"/>
        <v>-28.1</v>
      </c>
      <c r="P498" s="8">
        <f>D494/B494*10^(O498/10)</f>
        <v>0.24264793696295522</v>
      </c>
      <c r="Q498" s="26"/>
      <c r="R498" s="17"/>
      <c r="S498" s="19"/>
      <c r="T498" s="17"/>
      <c r="U498" s="22"/>
    </row>
    <row r="499" spans="1:21" x14ac:dyDescent="0.25">
      <c r="A499" s="24"/>
      <c r="B499" s="24"/>
      <c r="C499" s="17"/>
      <c r="D499" s="24"/>
      <c r="E499" s="24"/>
      <c r="F499" s="25"/>
      <c r="G499" s="1">
        <v>5625</v>
      </c>
      <c r="H499" s="2">
        <v>99.5</v>
      </c>
      <c r="I499" s="2">
        <v>-23.6</v>
      </c>
      <c r="J499" s="2">
        <v>-28</v>
      </c>
      <c r="K499" s="2">
        <f t="shared" si="63"/>
        <v>-23.6</v>
      </c>
      <c r="L499" s="8">
        <f t="shared" si="67"/>
        <v>4.8977881936844633E-13</v>
      </c>
      <c r="M499" s="26"/>
      <c r="N499" s="17"/>
      <c r="O499" s="9">
        <f t="shared" si="65"/>
        <v>-28</v>
      </c>
      <c r="P499" s="8">
        <f>D494/B494*10^(O499/10)</f>
        <v>0.24829993348557441</v>
      </c>
      <c r="Q499" s="26"/>
      <c r="R499" s="17"/>
      <c r="S499" s="20"/>
      <c r="T499" s="17"/>
      <c r="U499" s="23"/>
    </row>
    <row r="500" spans="1:21" x14ac:dyDescent="0.25">
      <c r="A500" s="24">
        <v>8000</v>
      </c>
      <c r="B500" s="24">
        <v>3</v>
      </c>
      <c r="C500" s="17">
        <v>0.5</v>
      </c>
      <c r="D500" s="24">
        <v>943</v>
      </c>
      <c r="E500" s="24">
        <v>6</v>
      </c>
      <c r="F500" s="25">
        <v>54</v>
      </c>
      <c r="G500" s="1">
        <v>6025</v>
      </c>
      <c r="H500" s="2">
        <v>95</v>
      </c>
      <c r="I500" s="2">
        <v>-22.8</v>
      </c>
      <c r="J500" s="2">
        <v>-28.8</v>
      </c>
      <c r="K500" s="2">
        <f t="shared" si="63"/>
        <v>-22.8</v>
      </c>
      <c r="L500" s="8">
        <f t="shared" si="67"/>
        <v>1.6595869074375588E-12</v>
      </c>
      <c r="M500" s="26">
        <f>SUM(L500:L505)</f>
        <v>4.0498223212912003E-11</v>
      </c>
      <c r="N500" s="17">
        <f>10*LOG10(M500/E500)</f>
        <v>-111.70715280644404</v>
      </c>
      <c r="O500" s="9">
        <f t="shared" si="65"/>
        <v>-28.8</v>
      </c>
      <c r="P500" s="8">
        <f>D500/B500*10^(O500/10)</f>
        <v>0.41437203481956392</v>
      </c>
      <c r="Q500" s="26">
        <f>SUM(P500:P505)</f>
        <v>3.3219043113321662</v>
      </c>
      <c r="R500" s="17">
        <f>10*LOG10(Q500)</f>
        <v>5.2138711828426541</v>
      </c>
      <c r="S500" s="18">
        <f>F500+N500-Kzt-H</f>
        <v>-57.707152806444043</v>
      </c>
      <c r="T500" s="17">
        <v>0.7</v>
      </c>
      <c r="U500" s="21">
        <f>T500*10^((S500-R500)/10)</f>
        <v>3.5726925230413825E-7</v>
      </c>
    </row>
    <row r="501" spans="1:21" x14ac:dyDescent="0.25">
      <c r="A501" s="24"/>
      <c r="B501" s="24"/>
      <c r="C501" s="17"/>
      <c r="D501" s="24"/>
      <c r="E501" s="24"/>
      <c r="F501" s="25"/>
      <c r="G501" s="1">
        <v>7025</v>
      </c>
      <c r="H501" s="2">
        <v>94.8</v>
      </c>
      <c r="I501" s="2">
        <v>-20.9</v>
      </c>
      <c r="J501" s="2">
        <v>-26.8</v>
      </c>
      <c r="K501" s="2">
        <f t="shared" si="63"/>
        <v>-20.9</v>
      </c>
      <c r="L501" s="8">
        <f t="shared" si="67"/>
        <v>2.6915348039269171E-12</v>
      </c>
      <c r="M501" s="26"/>
      <c r="N501" s="17"/>
      <c r="O501" s="9">
        <f t="shared" si="65"/>
        <v>-26.8</v>
      </c>
      <c r="P501" s="8">
        <f>D500/B500*10^(O501/10)</f>
        <v>0.65673541713178563</v>
      </c>
      <c r="Q501" s="26"/>
      <c r="R501" s="17"/>
      <c r="S501" s="19"/>
      <c r="T501" s="17"/>
      <c r="U501" s="22"/>
    </row>
    <row r="502" spans="1:21" x14ac:dyDescent="0.25">
      <c r="A502" s="24"/>
      <c r="B502" s="24"/>
      <c r="C502" s="17"/>
      <c r="D502" s="24"/>
      <c r="E502" s="24"/>
      <c r="F502" s="25"/>
      <c r="G502" s="1">
        <v>8025</v>
      </c>
      <c r="H502" s="2">
        <v>101.9</v>
      </c>
      <c r="I502" s="2">
        <v>-20.7</v>
      </c>
      <c r="J502" s="2">
        <v>-26.4</v>
      </c>
      <c r="K502" s="2">
        <f t="shared" si="63"/>
        <v>-20.7</v>
      </c>
      <c r="L502" s="8">
        <f t="shared" si="67"/>
        <v>5.4954087385762056E-13</v>
      </c>
      <c r="M502" s="26"/>
      <c r="N502" s="17"/>
      <c r="O502" s="9">
        <f t="shared" si="65"/>
        <v>-26.4</v>
      </c>
      <c r="P502" s="8">
        <f>D500/B500*10^(O502/10)</f>
        <v>0.72009606552000349</v>
      </c>
      <c r="Q502" s="26"/>
      <c r="R502" s="17"/>
      <c r="S502" s="19"/>
      <c r="T502" s="17"/>
      <c r="U502" s="22"/>
    </row>
    <row r="503" spans="1:21" x14ac:dyDescent="0.25">
      <c r="A503" s="24"/>
      <c r="B503" s="24"/>
      <c r="C503" s="17"/>
      <c r="D503" s="24"/>
      <c r="E503" s="24"/>
      <c r="F503" s="25"/>
      <c r="G503" s="1">
        <v>9025</v>
      </c>
      <c r="H503" s="2">
        <v>93.2</v>
      </c>
      <c r="I503" s="2">
        <v>-23.5</v>
      </c>
      <c r="J503" s="2">
        <v>-30.4</v>
      </c>
      <c r="K503" s="2">
        <f t="shared" si="63"/>
        <v>-23.5</v>
      </c>
      <c r="L503" s="8">
        <f t="shared" si="67"/>
        <v>2.1379620895022273E-12</v>
      </c>
      <c r="M503" s="26"/>
      <c r="N503" s="17"/>
      <c r="O503" s="9">
        <f t="shared" si="65"/>
        <v>-30.4</v>
      </c>
      <c r="P503" s="8">
        <f>D500/B500*10^(O503/10)</f>
        <v>0.28667540717087392</v>
      </c>
      <c r="Q503" s="26"/>
      <c r="R503" s="17"/>
      <c r="S503" s="19"/>
      <c r="T503" s="17"/>
      <c r="U503" s="22"/>
    </row>
    <row r="504" spans="1:21" x14ac:dyDescent="0.25">
      <c r="A504" s="24"/>
      <c r="B504" s="24"/>
      <c r="C504" s="17"/>
      <c r="D504" s="24"/>
      <c r="E504" s="24"/>
      <c r="F504" s="25"/>
      <c r="G504" s="1">
        <v>10025</v>
      </c>
      <c r="H504" s="2">
        <v>88.3</v>
      </c>
      <c r="I504" s="2">
        <v>-22.2</v>
      </c>
      <c r="J504" s="2">
        <v>-27.4</v>
      </c>
      <c r="K504" s="2">
        <f t="shared" si="63"/>
        <v>-22.2</v>
      </c>
      <c r="L504" s="8">
        <f t="shared" si="67"/>
        <v>8.9125093813374152E-12</v>
      </c>
      <c r="M504" s="26"/>
      <c r="N504" s="17"/>
      <c r="O504" s="9">
        <f t="shared" si="65"/>
        <v>-27.4</v>
      </c>
      <c r="P504" s="8">
        <f>D500/B500*10^(O504/10)</f>
        <v>0.57199263655640453</v>
      </c>
      <c r="Q504" s="26"/>
      <c r="R504" s="17"/>
      <c r="S504" s="19"/>
      <c r="T504" s="17"/>
      <c r="U504" s="22"/>
    </row>
    <row r="505" spans="1:21" x14ac:dyDescent="0.25">
      <c r="A505" s="24"/>
      <c r="B505" s="24"/>
      <c r="C505" s="17"/>
      <c r="D505" s="24"/>
      <c r="E505" s="24"/>
      <c r="F505" s="25"/>
      <c r="G505" s="1">
        <v>11025</v>
      </c>
      <c r="H505" s="2">
        <v>86</v>
      </c>
      <c r="I505" s="2">
        <v>-20.100000000000001</v>
      </c>
      <c r="J505" s="2">
        <v>-26.7</v>
      </c>
      <c r="K505" s="2">
        <f t="shared" si="63"/>
        <v>-20.100000000000001</v>
      </c>
      <c r="L505" s="8">
        <f t="shared" si="67"/>
        <v>2.4547089156850264E-11</v>
      </c>
      <c r="M505" s="26"/>
      <c r="N505" s="17"/>
      <c r="O505" s="9">
        <f t="shared" si="65"/>
        <v>-26.7</v>
      </c>
      <c r="P505" s="8">
        <f>D500/B500*10^(O505/10)</f>
        <v>0.67203275013353481</v>
      </c>
      <c r="Q505" s="26"/>
      <c r="R505" s="17"/>
      <c r="S505" s="20"/>
      <c r="T505" s="17"/>
      <c r="U505" s="23"/>
    </row>
    <row r="506" spans="1:21" x14ac:dyDescent="0.25">
      <c r="A506" s="24" t="s">
        <v>20</v>
      </c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12">
        <f>U506</f>
        <v>7.3096765374393149E-2</v>
      </c>
      <c r="T506" s="2"/>
      <c r="U506" s="8">
        <f>0.8*SQRT(SUM(U472:U505))</f>
        <v>7.3096765374393149E-2</v>
      </c>
    </row>
    <row r="507" spans="1:21" x14ac:dyDescent="0.25">
      <c r="A507" s="27" t="s">
        <v>86</v>
      </c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9"/>
    </row>
    <row r="508" spans="1:21" x14ac:dyDescent="0.25">
      <c r="A508" s="24">
        <v>250</v>
      </c>
      <c r="B508" s="24">
        <v>3</v>
      </c>
      <c r="C508" s="17">
        <v>0.5</v>
      </c>
      <c r="D508" s="24">
        <v>38</v>
      </c>
      <c r="E508" s="24">
        <v>4</v>
      </c>
      <c r="F508" s="25">
        <v>84</v>
      </c>
      <c r="G508" s="1">
        <v>175</v>
      </c>
      <c r="H508" s="2">
        <v>84.8</v>
      </c>
      <c r="I508" s="2">
        <v>-21.8</v>
      </c>
      <c r="J508" s="2">
        <v>-23.8</v>
      </c>
      <c r="K508" s="2">
        <f>I508</f>
        <v>-21.8</v>
      </c>
      <c r="L508" s="8">
        <f>10^((K508-H508)/10)</f>
        <v>2.1877616239495499E-11</v>
      </c>
      <c r="M508" s="26">
        <f>SUM(L508:L511)</f>
        <v>4.5806785641000487E-11</v>
      </c>
      <c r="N508" s="17">
        <f>10*LOG10(M508/E508)</f>
        <v>-109.41130173844709</v>
      </c>
      <c r="O508" s="9">
        <f>J508</f>
        <v>-23.8</v>
      </c>
      <c r="P508" s="8">
        <f>D508/B508*10^(O508/10)</f>
        <v>5.2803455239575796E-2</v>
      </c>
      <c r="Q508" s="26">
        <f>SUM(P508:P511)</f>
        <v>0.18680129832877815</v>
      </c>
      <c r="R508" s="17">
        <f>10*LOG10(Q508)</f>
        <v>-7.2862010960986261</v>
      </c>
      <c r="S508" s="18">
        <f>F508+N508-Kzt-H</f>
        <v>-25.411301738447094</v>
      </c>
      <c r="T508" s="17">
        <v>0.2</v>
      </c>
      <c r="U508" s="21">
        <f>T508*10^((S508-R508)/10)</f>
        <v>3.0797816811793232E-3</v>
      </c>
    </row>
    <row r="509" spans="1:21" x14ac:dyDescent="0.25">
      <c r="A509" s="24"/>
      <c r="B509" s="24"/>
      <c r="C509" s="17"/>
      <c r="D509" s="24"/>
      <c r="E509" s="24"/>
      <c r="F509" s="25"/>
      <c r="G509" s="1">
        <v>225</v>
      </c>
      <c r="H509" s="2">
        <v>90</v>
      </c>
      <c r="I509" s="2">
        <v>-19.3</v>
      </c>
      <c r="J509" s="2">
        <v>-24.2</v>
      </c>
      <c r="K509" s="2">
        <f t="shared" ref="K509:K541" si="68">I509</f>
        <v>-19.3</v>
      </c>
      <c r="L509" s="8">
        <f t="shared" ref="L509:L510" si="69">10^((K509-H509)/10)</f>
        <v>1.1748975549395269E-11</v>
      </c>
      <c r="M509" s="26"/>
      <c r="N509" s="17"/>
      <c r="O509" s="9">
        <f t="shared" ref="O509:O541" si="70">J509</f>
        <v>-24.2</v>
      </c>
      <c r="P509" s="8">
        <f>D508/B508*10^(O509/10)</f>
        <v>4.815732353393775E-2</v>
      </c>
      <c r="Q509" s="26"/>
      <c r="R509" s="17"/>
      <c r="S509" s="19"/>
      <c r="T509" s="17"/>
      <c r="U509" s="22"/>
    </row>
    <row r="510" spans="1:21" x14ac:dyDescent="0.25">
      <c r="A510" s="24"/>
      <c r="B510" s="24"/>
      <c r="C510" s="17"/>
      <c r="D510" s="24"/>
      <c r="E510" s="24"/>
      <c r="F510" s="25"/>
      <c r="G510" s="1">
        <v>275</v>
      </c>
      <c r="H510" s="2">
        <v>92.2</v>
      </c>
      <c r="I510" s="2">
        <v>-23.599999999999998</v>
      </c>
      <c r="J510" s="2">
        <v>-24.7</v>
      </c>
      <c r="K510" s="2">
        <f t="shared" si="68"/>
        <v>-23.599999999999998</v>
      </c>
      <c r="L510" s="8">
        <f t="shared" si="69"/>
        <v>2.6302679918953739E-12</v>
      </c>
      <c r="M510" s="26"/>
      <c r="N510" s="17"/>
      <c r="O510" s="9">
        <f t="shared" si="70"/>
        <v>-24.7</v>
      </c>
      <c r="P510" s="8">
        <f>D508/B508*10^(O510/10)</f>
        <v>4.2920259777632301E-2</v>
      </c>
      <c r="Q510" s="26"/>
      <c r="R510" s="17"/>
      <c r="S510" s="19"/>
      <c r="T510" s="17"/>
      <c r="U510" s="22"/>
    </row>
    <row r="511" spans="1:21" x14ac:dyDescent="0.25">
      <c r="A511" s="24"/>
      <c r="B511" s="24"/>
      <c r="C511" s="17"/>
      <c r="D511" s="24"/>
      <c r="E511" s="24"/>
      <c r="F511" s="25"/>
      <c r="G511" s="1">
        <v>325</v>
      </c>
      <c r="H511" s="2">
        <v>93.3</v>
      </c>
      <c r="I511" s="2">
        <v>-16.899999999999999</v>
      </c>
      <c r="J511" s="2">
        <v>-24.7</v>
      </c>
      <c r="K511" s="2">
        <f t="shared" si="68"/>
        <v>-16.899999999999999</v>
      </c>
      <c r="L511" s="8">
        <f>10^((K511-H511)/10)</f>
        <v>9.5499258602143472E-12</v>
      </c>
      <c r="M511" s="26"/>
      <c r="N511" s="17"/>
      <c r="O511" s="9">
        <f t="shared" si="70"/>
        <v>-24.7</v>
      </c>
      <c r="P511" s="8">
        <f>D508/B508*10^(O511/10)</f>
        <v>4.2920259777632301E-2</v>
      </c>
      <c r="Q511" s="26"/>
      <c r="R511" s="17"/>
      <c r="S511" s="20"/>
      <c r="T511" s="17"/>
      <c r="U511" s="23"/>
    </row>
    <row r="512" spans="1:21" x14ac:dyDescent="0.25">
      <c r="A512" s="24">
        <v>500</v>
      </c>
      <c r="B512" s="24">
        <v>3</v>
      </c>
      <c r="C512" s="17">
        <v>0.5</v>
      </c>
      <c r="D512" s="24">
        <v>59</v>
      </c>
      <c r="E512" s="24">
        <v>6</v>
      </c>
      <c r="F512" s="25">
        <v>84</v>
      </c>
      <c r="G512" s="1">
        <v>375</v>
      </c>
      <c r="H512" s="2">
        <v>91.9</v>
      </c>
      <c r="I512" s="2">
        <v>-21.7</v>
      </c>
      <c r="J512" s="2">
        <v>-23.9</v>
      </c>
      <c r="K512" s="2">
        <f t="shared" si="68"/>
        <v>-21.7</v>
      </c>
      <c r="L512" s="8">
        <f t="shared" ref="L512:L513" si="71">10^((K512-H512)/10)</f>
        <v>4.3651583224016369E-12</v>
      </c>
      <c r="M512" s="26">
        <f>SUM(L512:L517)</f>
        <v>3.118198749059726E-11</v>
      </c>
      <c r="N512" s="17">
        <f>10*LOG10(M512/E512)</f>
        <v>-112.84247457404761</v>
      </c>
      <c r="O512" s="9">
        <f t="shared" si="70"/>
        <v>-23.9</v>
      </c>
      <c r="P512" s="8">
        <f>D512/B512*10^(O512/10)</f>
        <v>8.0118121301475567E-2</v>
      </c>
      <c r="Q512" s="26">
        <f>SUM(P512:P517)</f>
        <v>0.22681783487828597</v>
      </c>
      <c r="R512" s="17">
        <f>10*LOG10(Q512)</f>
        <v>-6.4432279949387574</v>
      </c>
      <c r="S512" s="18">
        <f>F512+N512-Kzt-H</f>
        <v>-28.842474574047614</v>
      </c>
      <c r="T512" s="17">
        <v>0.5</v>
      </c>
      <c r="U512" s="21">
        <f>T512*10^((S512-R512)/10)</f>
        <v>2.8776988711066835E-3</v>
      </c>
    </row>
    <row r="513" spans="1:21" x14ac:dyDescent="0.25">
      <c r="A513" s="24"/>
      <c r="B513" s="24"/>
      <c r="C513" s="17"/>
      <c r="D513" s="24"/>
      <c r="E513" s="24"/>
      <c r="F513" s="25"/>
      <c r="G513" s="1">
        <v>425</v>
      </c>
      <c r="H513" s="2">
        <v>88.1</v>
      </c>
      <c r="I513" s="2">
        <v>-21.1</v>
      </c>
      <c r="J513" s="2">
        <v>-29.6</v>
      </c>
      <c r="K513" s="2">
        <f t="shared" si="68"/>
        <v>-21.1</v>
      </c>
      <c r="L513" s="8">
        <f t="shared" si="71"/>
        <v>1.2022644346174143E-11</v>
      </c>
      <c r="M513" s="26"/>
      <c r="N513" s="17"/>
      <c r="O513" s="9">
        <f t="shared" si="70"/>
        <v>-29.6</v>
      </c>
      <c r="P513" s="8">
        <f>D512/B512*10^(O513/10)</f>
        <v>2.1564071190815971E-2</v>
      </c>
      <c r="Q513" s="26"/>
      <c r="R513" s="17"/>
      <c r="S513" s="19"/>
      <c r="T513" s="17"/>
      <c r="U513" s="22"/>
    </row>
    <row r="514" spans="1:21" x14ac:dyDescent="0.25">
      <c r="A514" s="24"/>
      <c r="B514" s="24"/>
      <c r="C514" s="17"/>
      <c r="D514" s="24"/>
      <c r="E514" s="24"/>
      <c r="F514" s="25"/>
      <c r="G514" s="1">
        <v>475</v>
      </c>
      <c r="H514" s="2">
        <v>90</v>
      </c>
      <c r="I514" s="2">
        <v>-21.2</v>
      </c>
      <c r="J514" s="2">
        <v>-26.7</v>
      </c>
      <c r="K514" s="2">
        <f t="shared" si="68"/>
        <v>-21.2</v>
      </c>
      <c r="L514" s="8">
        <f>10^((K514-H514)/10)</f>
        <v>7.5857757502918081E-12</v>
      </c>
      <c r="M514" s="26"/>
      <c r="N514" s="17"/>
      <c r="O514" s="9">
        <f t="shared" si="70"/>
        <v>-26.7</v>
      </c>
      <c r="P514" s="8">
        <f>D512/B512*10^(O514/10)</f>
        <v>4.2046587760210558E-2</v>
      </c>
      <c r="Q514" s="26"/>
      <c r="R514" s="17"/>
      <c r="S514" s="19"/>
      <c r="T514" s="17"/>
      <c r="U514" s="22"/>
    </row>
    <row r="515" spans="1:21" x14ac:dyDescent="0.25">
      <c r="A515" s="24"/>
      <c r="B515" s="24"/>
      <c r="C515" s="17"/>
      <c r="D515" s="24"/>
      <c r="E515" s="24"/>
      <c r="F515" s="25"/>
      <c r="G515" s="1">
        <v>575</v>
      </c>
      <c r="H515" s="2">
        <v>97</v>
      </c>
      <c r="I515" s="2">
        <v>-24.1</v>
      </c>
      <c r="J515" s="2">
        <v>-29.3</v>
      </c>
      <c r="K515" s="2">
        <f t="shared" si="68"/>
        <v>-24.1</v>
      </c>
      <c r="L515" s="8">
        <f t="shared" ref="L515:L541" si="72">10^((K515-H515)/10)</f>
        <v>7.7624711662869047E-13</v>
      </c>
      <c r="M515" s="26"/>
      <c r="N515" s="17"/>
      <c r="O515" s="9">
        <f t="shared" si="70"/>
        <v>-29.3</v>
      </c>
      <c r="P515" s="8">
        <f>D512/B512*10^(O515/10)</f>
        <v>2.3106318580477386E-2</v>
      </c>
      <c r="Q515" s="26"/>
      <c r="R515" s="17"/>
      <c r="S515" s="19"/>
      <c r="T515" s="17"/>
      <c r="U515" s="22"/>
    </row>
    <row r="516" spans="1:21" x14ac:dyDescent="0.25">
      <c r="A516" s="24"/>
      <c r="B516" s="24"/>
      <c r="C516" s="17"/>
      <c r="D516" s="24"/>
      <c r="E516" s="24"/>
      <c r="F516" s="25"/>
      <c r="G516" s="1">
        <v>625</v>
      </c>
      <c r="H516" s="2">
        <v>92</v>
      </c>
      <c r="I516" s="2">
        <v>-22.2</v>
      </c>
      <c r="J516" s="2">
        <v>-29.1</v>
      </c>
      <c r="K516" s="2">
        <f t="shared" si="68"/>
        <v>-22.2</v>
      </c>
      <c r="L516" s="8">
        <f t="shared" si="72"/>
        <v>3.8018939632056084E-12</v>
      </c>
      <c r="M516" s="26"/>
      <c r="N516" s="17"/>
      <c r="O516" s="9">
        <f t="shared" si="70"/>
        <v>-29.1</v>
      </c>
      <c r="P516" s="8">
        <f>D512/B512*10^(O516/10)</f>
        <v>2.4195285825976822E-2</v>
      </c>
      <c r="Q516" s="26"/>
      <c r="R516" s="17"/>
      <c r="S516" s="19"/>
      <c r="T516" s="17"/>
      <c r="U516" s="22"/>
    </row>
    <row r="517" spans="1:21" x14ac:dyDescent="0.25">
      <c r="A517" s="24"/>
      <c r="B517" s="24"/>
      <c r="C517" s="17"/>
      <c r="D517" s="24"/>
      <c r="E517" s="24"/>
      <c r="F517" s="25"/>
      <c r="G517" s="1">
        <v>675</v>
      </c>
      <c r="H517" s="2">
        <v>94.5</v>
      </c>
      <c r="I517" s="2">
        <v>-21.3</v>
      </c>
      <c r="J517" s="2">
        <v>-27.4</v>
      </c>
      <c r="K517" s="2">
        <f t="shared" si="68"/>
        <v>-21.3</v>
      </c>
      <c r="L517" s="8">
        <f t="shared" si="72"/>
        <v>2.6302679918953739E-12</v>
      </c>
      <c r="M517" s="26"/>
      <c r="N517" s="17"/>
      <c r="O517" s="9">
        <f t="shared" si="70"/>
        <v>-27.4</v>
      </c>
      <c r="P517" s="8">
        <f>D512/B512*10^(O517/10)</f>
        <v>3.5787450219329664E-2</v>
      </c>
      <c r="Q517" s="26"/>
      <c r="R517" s="17"/>
      <c r="S517" s="20"/>
      <c r="T517" s="17"/>
      <c r="U517" s="23"/>
    </row>
    <row r="518" spans="1:21" x14ac:dyDescent="0.25">
      <c r="A518" s="24">
        <v>1000</v>
      </c>
      <c r="B518" s="24">
        <v>3</v>
      </c>
      <c r="C518" s="17">
        <v>0.5</v>
      </c>
      <c r="D518" s="24">
        <v>117</v>
      </c>
      <c r="E518" s="24">
        <v>6</v>
      </c>
      <c r="F518" s="25">
        <v>76</v>
      </c>
      <c r="G518" s="1">
        <v>875</v>
      </c>
      <c r="H518" s="2">
        <v>91.1</v>
      </c>
      <c r="I518" s="2">
        <v>-21.6</v>
      </c>
      <c r="J518" s="2">
        <v>-25.2</v>
      </c>
      <c r="K518" s="2">
        <f t="shared" si="68"/>
        <v>-21.6</v>
      </c>
      <c r="L518" s="8">
        <f t="shared" si="72"/>
        <v>5.3703179637025143E-12</v>
      </c>
      <c r="M518" s="26">
        <f>SUM(L518:L523)</f>
        <v>1.1262329027293012E-11</v>
      </c>
      <c r="N518" s="17">
        <f>10*LOG10(M518/E518)</f>
        <v>-117.26523039343633</v>
      </c>
      <c r="O518" s="9">
        <f t="shared" si="70"/>
        <v>-25.2</v>
      </c>
      <c r="P518" s="8">
        <f>D518/B518*10^(O518/10)</f>
        <v>0.11777811709567852</v>
      </c>
      <c r="Q518" s="26">
        <f>SUM(P518:P523)</f>
        <v>0.699060097806391</v>
      </c>
      <c r="R518" s="17">
        <f>10*LOG10(Q518)</f>
        <v>-1.5548548659516199</v>
      </c>
      <c r="S518" s="18">
        <f>F518+N518-Kzt-H</f>
        <v>-41.265230393436326</v>
      </c>
      <c r="T518" s="17">
        <v>0.8</v>
      </c>
      <c r="U518" s="21">
        <f>T518*10^((S518-R518)/10)</f>
        <v>8.5516995500433646E-5</v>
      </c>
    </row>
    <row r="519" spans="1:21" x14ac:dyDescent="0.25">
      <c r="A519" s="24"/>
      <c r="B519" s="24"/>
      <c r="C519" s="17"/>
      <c r="D519" s="24"/>
      <c r="E519" s="24"/>
      <c r="F519" s="25"/>
      <c r="G519" s="1">
        <v>975</v>
      </c>
      <c r="H519" s="2">
        <v>96.5</v>
      </c>
      <c r="I519" s="2">
        <v>-24.299999999999997</v>
      </c>
      <c r="J519" s="2">
        <v>-25.9</v>
      </c>
      <c r="K519" s="2">
        <f t="shared" si="68"/>
        <v>-24.299999999999997</v>
      </c>
      <c r="L519" s="8">
        <f t="shared" si="72"/>
        <v>8.3176377110266952E-13</v>
      </c>
      <c r="M519" s="26"/>
      <c r="N519" s="17"/>
      <c r="O519" s="9">
        <f t="shared" si="70"/>
        <v>-25.9</v>
      </c>
      <c r="P519" s="8">
        <f>D518/B518*10^(O519/10)</f>
        <v>0.10024543552798568</v>
      </c>
      <c r="Q519" s="26"/>
      <c r="R519" s="17"/>
      <c r="S519" s="19"/>
      <c r="T519" s="17"/>
      <c r="U519" s="22"/>
    </row>
    <row r="520" spans="1:21" x14ac:dyDescent="0.25">
      <c r="A520" s="24"/>
      <c r="B520" s="24"/>
      <c r="C520" s="17"/>
      <c r="D520" s="24"/>
      <c r="E520" s="24"/>
      <c r="F520" s="25"/>
      <c r="G520" s="1">
        <v>1075</v>
      </c>
      <c r="H520" s="2">
        <v>94.6</v>
      </c>
      <c r="I520" s="2">
        <v>-19.899999999999999</v>
      </c>
      <c r="J520" s="2">
        <v>-22.7</v>
      </c>
      <c r="K520" s="2">
        <f t="shared" si="68"/>
        <v>-19.899999999999999</v>
      </c>
      <c r="L520" s="8">
        <f t="shared" si="72"/>
        <v>3.5481338923357515E-12</v>
      </c>
      <c r="M520" s="26"/>
      <c r="N520" s="17"/>
      <c r="O520" s="9">
        <f t="shared" si="70"/>
        <v>-22.7</v>
      </c>
      <c r="P520" s="8">
        <f>D518/B518*10^(O520/10)</f>
        <v>0.20944240058439845</v>
      </c>
      <c r="Q520" s="26"/>
      <c r="R520" s="17"/>
      <c r="S520" s="19"/>
      <c r="T520" s="17"/>
      <c r="U520" s="22"/>
    </row>
    <row r="521" spans="1:21" x14ac:dyDescent="0.25">
      <c r="A521" s="24"/>
      <c r="B521" s="24"/>
      <c r="C521" s="17"/>
      <c r="D521" s="24"/>
      <c r="E521" s="24"/>
      <c r="F521" s="25"/>
      <c r="G521" s="1">
        <v>1175</v>
      </c>
      <c r="H521" s="2">
        <v>97.8</v>
      </c>
      <c r="I521" s="2">
        <v>-22</v>
      </c>
      <c r="J521" s="2">
        <v>-23.5</v>
      </c>
      <c r="K521" s="2">
        <f t="shared" si="68"/>
        <v>-22</v>
      </c>
      <c r="L521" s="8">
        <f t="shared" si="72"/>
        <v>1.0471285480508967E-12</v>
      </c>
      <c r="M521" s="26"/>
      <c r="N521" s="17"/>
      <c r="O521" s="9">
        <f t="shared" si="70"/>
        <v>-23.5</v>
      </c>
      <c r="P521" s="8">
        <f>D518/B518*10^(O521/10)</f>
        <v>0.17420660093887549</v>
      </c>
      <c r="Q521" s="26"/>
      <c r="R521" s="17"/>
      <c r="S521" s="19"/>
      <c r="T521" s="17"/>
      <c r="U521" s="22"/>
    </row>
    <row r="522" spans="1:21" x14ac:dyDescent="0.25">
      <c r="A522" s="24"/>
      <c r="B522" s="24"/>
      <c r="C522" s="17"/>
      <c r="D522" s="24"/>
      <c r="E522" s="24"/>
      <c r="F522" s="25"/>
      <c r="G522" s="1">
        <v>1275</v>
      </c>
      <c r="H522" s="2">
        <v>100.1</v>
      </c>
      <c r="I522" s="2">
        <v>-25.9</v>
      </c>
      <c r="J522" s="2">
        <v>-29.4</v>
      </c>
      <c r="K522" s="2">
        <f t="shared" si="68"/>
        <v>-25.9</v>
      </c>
      <c r="L522" s="8">
        <f t="shared" si="72"/>
        <v>2.511886431509579E-13</v>
      </c>
      <c r="M522" s="26"/>
      <c r="N522" s="17"/>
      <c r="O522" s="9">
        <f t="shared" si="70"/>
        <v>-29.4</v>
      </c>
      <c r="P522" s="8">
        <f>D518/B518*10^(O522/10)</f>
        <v>4.4777991238378417E-2</v>
      </c>
      <c r="Q522" s="26"/>
      <c r="R522" s="17"/>
      <c r="S522" s="19"/>
      <c r="T522" s="17"/>
      <c r="U522" s="22"/>
    </row>
    <row r="523" spans="1:21" x14ac:dyDescent="0.25">
      <c r="A523" s="24"/>
      <c r="B523" s="24"/>
      <c r="C523" s="17"/>
      <c r="D523" s="24"/>
      <c r="E523" s="24"/>
      <c r="F523" s="25"/>
      <c r="G523" s="1">
        <v>1375</v>
      </c>
      <c r="H523" s="2">
        <v>103</v>
      </c>
      <c r="I523" s="2">
        <v>-23.7</v>
      </c>
      <c r="J523" s="2">
        <v>-28.7</v>
      </c>
      <c r="K523" s="2">
        <f t="shared" si="68"/>
        <v>-23.7</v>
      </c>
      <c r="L523" s="8">
        <f t="shared" si="72"/>
        <v>2.1379620895022253E-13</v>
      </c>
      <c r="M523" s="26"/>
      <c r="N523" s="17"/>
      <c r="O523" s="9">
        <f t="shared" si="70"/>
        <v>-28.7</v>
      </c>
      <c r="P523" s="8">
        <f>D518/B518*10^(O523/10)</f>
        <v>5.2609552421074443E-2</v>
      </c>
      <c r="Q523" s="26"/>
      <c r="R523" s="17"/>
      <c r="S523" s="20"/>
      <c r="T523" s="17"/>
      <c r="U523" s="23"/>
    </row>
    <row r="524" spans="1:21" x14ac:dyDescent="0.25">
      <c r="A524" s="24">
        <v>2000</v>
      </c>
      <c r="B524" s="24">
        <v>3</v>
      </c>
      <c r="C524" s="17">
        <v>0.5</v>
      </c>
      <c r="D524" s="24">
        <v>234</v>
      </c>
      <c r="E524" s="24">
        <v>6</v>
      </c>
      <c r="F524" s="25">
        <v>68</v>
      </c>
      <c r="G524" s="1">
        <v>1425</v>
      </c>
      <c r="H524" s="2">
        <v>102.8</v>
      </c>
      <c r="I524" s="2">
        <v>-24.1</v>
      </c>
      <c r="J524" s="2">
        <v>-26</v>
      </c>
      <c r="K524" s="2">
        <f t="shared" si="68"/>
        <v>-24.1</v>
      </c>
      <c r="L524" s="8">
        <f t="shared" si="72"/>
        <v>2.0417379446695155E-13</v>
      </c>
      <c r="M524" s="26">
        <f>SUM(L524:L529)</f>
        <v>4.2144562151132954E-12</v>
      </c>
      <c r="N524" s="17">
        <f>10*LOG10(M524/E524)</f>
        <v>-121.53409704165669</v>
      </c>
      <c r="O524" s="9">
        <f t="shared" si="70"/>
        <v>-26</v>
      </c>
      <c r="P524" s="8">
        <f>D524/B524*10^(O524/10)</f>
        <v>0.19592714165774705</v>
      </c>
      <c r="Q524" s="26">
        <f>SUM(P524:P529)</f>
        <v>0.7325053777592514</v>
      </c>
      <c r="R524" s="17">
        <f>10*LOG10(Q524)</f>
        <v>-1.3518918254710264</v>
      </c>
      <c r="S524" s="18">
        <f>F524+N524-Kzt-H</f>
        <v>-53.534097041656693</v>
      </c>
      <c r="T524" s="17">
        <v>1</v>
      </c>
      <c r="U524" s="21">
        <f>T524*10^((S524-R524)/10)</f>
        <v>6.0503357896845691E-6</v>
      </c>
    </row>
    <row r="525" spans="1:21" x14ac:dyDescent="0.25">
      <c r="A525" s="24"/>
      <c r="B525" s="24"/>
      <c r="C525" s="17"/>
      <c r="D525" s="24"/>
      <c r="E525" s="24"/>
      <c r="F525" s="25"/>
      <c r="G525" s="1">
        <v>1625</v>
      </c>
      <c r="H525" s="2">
        <v>104.1</v>
      </c>
      <c r="I525" s="2">
        <v>-21</v>
      </c>
      <c r="J525" s="2">
        <v>-31.7</v>
      </c>
      <c r="K525" s="2">
        <f t="shared" si="68"/>
        <v>-21</v>
      </c>
      <c r="L525" s="8">
        <f t="shared" si="72"/>
        <v>3.0902954325135866E-13</v>
      </c>
      <c r="M525" s="26"/>
      <c r="N525" s="17"/>
      <c r="O525" s="9">
        <f t="shared" si="70"/>
        <v>-31.7</v>
      </c>
      <c r="P525" s="8">
        <f>D524/B524*10^(O525/10)</f>
        <v>5.2734472080574538E-2</v>
      </c>
      <c r="Q525" s="26"/>
      <c r="R525" s="17"/>
      <c r="S525" s="19"/>
      <c r="T525" s="17"/>
      <c r="U525" s="22"/>
    </row>
    <row r="526" spans="1:21" x14ac:dyDescent="0.25">
      <c r="A526" s="24"/>
      <c r="B526" s="24"/>
      <c r="C526" s="17"/>
      <c r="D526" s="24"/>
      <c r="E526" s="24"/>
      <c r="F526" s="25"/>
      <c r="G526" s="1">
        <v>1825</v>
      </c>
      <c r="H526" s="2">
        <v>107.6</v>
      </c>
      <c r="I526" s="2">
        <v>-24.1</v>
      </c>
      <c r="J526" s="2">
        <v>-30.3</v>
      </c>
      <c r="K526" s="2">
        <f t="shared" si="68"/>
        <v>-24.1</v>
      </c>
      <c r="L526" s="8">
        <f t="shared" si="72"/>
        <v>6.760829753919828E-14</v>
      </c>
      <c r="M526" s="26"/>
      <c r="N526" s="17"/>
      <c r="O526" s="9">
        <f t="shared" si="70"/>
        <v>-30.3</v>
      </c>
      <c r="P526" s="8">
        <f>D524/B524*10^(O526/10)</f>
        <v>7.279383546216521E-2</v>
      </c>
      <c r="Q526" s="26"/>
      <c r="R526" s="17"/>
      <c r="S526" s="19"/>
      <c r="T526" s="17"/>
      <c r="U526" s="22"/>
    </row>
    <row r="527" spans="1:21" x14ac:dyDescent="0.25">
      <c r="A527" s="24"/>
      <c r="B527" s="24"/>
      <c r="C527" s="17"/>
      <c r="D527" s="24"/>
      <c r="E527" s="24"/>
      <c r="F527" s="25"/>
      <c r="G527" s="1">
        <v>2125</v>
      </c>
      <c r="H527" s="2">
        <v>104.2</v>
      </c>
      <c r="I527" s="2">
        <v>-23</v>
      </c>
      <c r="J527" s="2">
        <v>-26.1</v>
      </c>
      <c r="K527" s="2">
        <f t="shared" si="68"/>
        <v>-23</v>
      </c>
      <c r="L527" s="8">
        <f t="shared" si="72"/>
        <v>1.9054607179632417E-13</v>
      </c>
      <c r="M527" s="26"/>
      <c r="N527" s="17"/>
      <c r="O527" s="9">
        <f t="shared" si="70"/>
        <v>-26.1</v>
      </c>
      <c r="P527" s="8">
        <f>D524/B524*10^(O527/10)</f>
        <v>0.19146729542343205</v>
      </c>
      <c r="Q527" s="26"/>
      <c r="R527" s="17"/>
      <c r="S527" s="19"/>
      <c r="T527" s="17"/>
      <c r="U527" s="22"/>
    </row>
    <row r="528" spans="1:21" x14ac:dyDescent="0.25">
      <c r="A528" s="24"/>
      <c r="B528" s="24"/>
      <c r="C528" s="17"/>
      <c r="D528" s="24"/>
      <c r="E528" s="24"/>
      <c r="F528" s="25"/>
      <c r="G528" s="1">
        <v>2425</v>
      </c>
      <c r="H528" s="2">
        <v>93.7</v>
      </c>
      <c r="I528" s="2">
        <v>-22.1</v>
      </c>
      <c r="J528" s="2">
        <v>-28</v>
      </c>
      <c r="K528" s="2">
        <f t="shared" si="68"/>
        <v>-22.1</v>
      </c>
      <c r="L528" s="8">
        <f t="shared" si="72"/>
        <v>2.6302679918953646E-12</v>
      </c>
      <c r="M528" s="26"/>
      <c r="N528" s="17"/>
      <c r="O528" s="9">
        <f t="shared" si="70"/>
        <v>-28</v>
      </c>
      <c r="P528" s="8">
        <f>D524/B524*10^(O528/10)</f>
        <v>0.12362166901196685</v>
      </c>
      <c r="Q528" s="26"/>
      <c r="R528" s="17"/>
      <c r="S528" s="19"/>
      <c r="T528" s="17"/>
      <c r="U528" s="22"/>
    </row>
    <row r="529" spans="1:21" x14ac:dyDescent="0.25">
      <c r="A529" s="24"/>
      <c r="B529" s="24"/>
      <c r="C529" s="17"/>
      <c r="D529" s="24"/>
      <c r="E529" s="24"/>
      <c r="F529" s="25"/>
      <c r="G529" s="1">
        <v>2775</v>
      </c>
      <c r="H529" s="2">
        <v>100.2</v>
      </c>
      <c r="I529" s="2">
        <v>-20.7</v>
      </c>
      <c r="J529" s="2">
        <v>-29.1</v>
      </c>
      <c r="K529" s="2">
        <f t="shared" si="68"/>
        <v>-20.7</v>
      </c>
      <c r="L529" s="8">
        <f t="shared" si="72"/>
        <v>8.1283051616409777E-13</v>
      </c>
      <c r="M529" s="26"/>
      <c r="N529" s="17"/>
      <c r="O529" s="9">
        <f t="shared" si="70"/>
        <v>-29.1</v>
      </c>
      <c r="P529" s="8">
        <f>D524/B524*10^(O529/10)</f>
        <v>9.5960964123365702E-2</v>
      </c>
      <c r="Q529" s="26"/>
      <c r="R529" s="17"/>
      <c r="S529" s="20"/>
      <c r="T529" s="17"/>
      <c r="U529" s="23"/>
    </row>
    <row r="530" spans="1:21" x14ac:dyDescent="0.25">
      <c r="A530" s="24">
        <v>4000</v>
      </c>
      <c r="B530" s="24">
        <v>3</v>
      </c>
      <c r="C530" s="17">
        <v>0.5</v>
      </c>
      <c r="D530" s="24">
        <v>470</v>
      </c>
      <c r="E530" s="24">
        <v>6</v>
      </c>
      <c r="F530" s="25">
        <v>62</v>
      </c>
      <c r="G530" s="1">
        <v>2825</v>
      </c>
      <c r="H530" s="2">
        <v>99.4</v>
      </c>
      <c r="I530" s="2">
        <v>-20.8</v>
      </c>
      <c r="J530" s="2">
        <v>-27.7</v>
      </c>
      <c r="K530" s="2">
        <f t="shared" si="68"/>
        <v>-20.8</v>
      </c>
      <c r="L530" s="8">
        <f t="shared" si="72"/>
        <v>9.5499258602143367E-13</v>
      </c>
      <c r="M530" s="26">
        <f>SUM(L530:L535)</f>
        <v>2.2222036402973262E-12</v>
      </c>
      <c r="N530" s="17">
        <f>10*LOG10(M530/E530)</f>
        <v>-124.31367395686522</v>
      </c>
      <c r="O530" s="9">
        <f t="shared" si="70"/>
        <v>-27.7</v>
      </c>
      <c r="P530" s="8">
        <f>D530/B530*10^(O530/10)</f>
        <v>0.26605817221900629</v>
      </c>
      <c r="Q530" s="26">
        <f>SUM(P530:P535)</f>
        <v>1.8318216096527076</v>
      </c>
      <c r="R530" s="17">
        <f>10*LOG10(Q530)</f>
        <v>2.628831780023023</v>
      </c>
      <c r="S530" s="18">
        <f>F530+N530-Kzt-H</f>
        <v>-62.313673956865216</v>
      </c>
      <c r="T530" s="17">
        <v>0.9</v>
      </c>
      <c r="U530" s="21">
        <f>T530*10^((S530-R530)/10)</f>
        <v>2.8839779511367818E-7</v>
      </c>
    </row>
    <row r="531" spans="1:21" x14ac:dyDescent="0.25">
      <c r="A531" s="24"/>
      <c r="B531" s="24"/>
      <c r="C531" s="17"/>
      <c r="D531" s="24"/>
      <c r="E531" s="24"/>
      <c r="F531" s="25"/>
      <c r="G531" s="1">
        <v>3425</v>
      </c>
      <c r="H531" s="2">
        <v>103.5</v>
      </c>
      <c r="I531" s="2">
        <v>-25.6</v>
      </c>
      <c r="J531" s="2">
        <v>-26.7</v>
      </c>
      <c r="K531" s="2">
        <f t="shared" si="68"/>
        <v>-25.6</v>
      </c>
      <c r="L531" s="8">
        <f t="shared" si="72"/>
        <v>1.2302687708123759E-13</v>
      </c>
      <c r="M531" s="26"/>
      <c r="N531" s="17"/>
      <c r="O531" s="9">
        <f t="shared" si="70"/>
        <v>-26.7</v>
      </c>
      <c r="P531" s="8">
        <f>D530/B530*10^(O531/10)</f>
        <v>0.33494739402201629</v>
      </c>
      <c r="Q531" s="26"/>
      <c r="R531" s="17"/>
      <c r="S531" s="19"/>
      <c r="T531" s="17"/>
      <c r="U531" s="22"/>
    </row>
    <row r="532" spans="1:21" x14ac:dyDescent="0.25">
      <c r="A532" s="24"/>
      <c r="B532" s="24"/>
      <c r="C532" s="17"/>
      <c r="D532" s="24"/>
      <c r="E532" s="24"/>
      <c r="F532" s="25"/>
      <c r="G532" s="1">
        <v>4025</v>
      </c>
      <c r="H532" s="2">
        <v>103.6</v>
      </c>
      <c r="I532" s="2">
        <v>-24.5</v>
      </c>
      <c r="J532" s="2">
        <v>-27.6</v>
      </c>
      <c r="K532" s="2">
        <f t="shared" si="68"/>
        <v>-24.5</v>
      </c>
      <c r="L532" s="8">
        <f t="shared" si="72"/>
        <v>1.5488166189124838E-13</v>
      </c>
      <c r="M532" s="26"/>
      <c r="N532" s="17"/>
      <c r="O532" s="9">
        <f t="shared" si="70"/>
        <v>-27.6</v>
      </c>
      <c r="P532" s="8">
        <f>D530/B530*10^(O532/10)</f>
        <v>0.27225546317073518</v>
      </c>
      <c r="Q532" s="26"/>
      <c r="R532" s="17"/>
      <c r="S532" s="19"/>
      <c r="T532" s="17"/>
      <c r="U532" s="22"/>
    </row>
    <row r="533" spans="1:21" x14ac:dyDescent="0.25">
      <c r="A533" s="24"/>
      <c r="B533" s="24"/>
      <c r="C533" s="17"/>
      <c r="D533" s="24"/>
      <c r="E533" s="24"/>
      <c r="F533" s="25"/>
      <c r="G533" s="1">
        <v>4625</v>
      </c>
      <c r="H533" s="2">
        <v>105.6</v>
      </c>
      <c r="I533" s="2">
        <v>-22.4</v>
      </c>
      <c r="J533" s="2">
        <v>-26.7</v>
      </c>
      <c r="K533" s="2">
        <f t="shared" si="68"/>
        <v>-22.4</v>
      </c>
      <c r="L533" s="8">
        <f t="shared" si="72"/>
        <v>1.5848931924611046E-13</v>
      </c>
      <c r="M533" s="26"/>
      <c r="N533" s="17"/>
      <c r="O533" s="9">
        <f t="shared" si="70"/>
        <v>-26.7</v>
      </c>
      <c r="P533" s="8">
        <f>D530/B530*10^(O533/10)</f>
        <v>0.33494739402201629</v>
      </c>
      <c r="Q533" s="26"/>
      <c r="R533" s="17"/>
      <c r="S533" s="19"/>
      <c r="T533" s="17"/>
      <c r="U533" s="22"/>
    </row>
    <row r="534" spans="1:21" x14ac:dyDescent="0.25">
      <c r="A534" s="24"/>
      <c r="B534" s="24"/>
      <c r="C534" s="17"/>
      <c r="D534" s="24"/>
      <c r="E534" s="24"/>
      <c r="F534" s="25"/>
      <c r="G534" s="1">
        <v>5225</v>
      </c>
      <c r="H534" s="2">
        <v>103.5</v>
      </c>
      <c r="I534" s="2">
        <v>-20.9</v>
      </c>
      <c r="J534" s="2">
        <v>-25.4</v>
      </c>
      <c r="K534" s="2">
        <f t="shared" si="68"/>
        <v>-20.9</v>
      </c>
      <c r="L534" s="8">
        <f t="shared" si="72"/>
        <v>3.6307805477009936E-13</v>
      </c>
      <c r="M534" s="26"/>
      <c r="N534" s="17"/>
      <c r="O534" s="9">
        <f t="shared" si="70"/>
        <v>-25.4</v>
      </c>
      <c r="P534" s="8">
        <f>D530/B530*10^(O534/10)</f>
        <v>0.45183160215650131</v>
      </c>
      <c r="Q534" s="26"/>
      <c r="R534" s="17"/>
      <c r="S534" s="19"/>
      <c r="T534" s="17"/>
      <c r="U534" s="22"/>
    </row>
    <row r="535" spans="1:21" x14ac:dyDescent="0.25">
      <c r="A535" s="24"/>
      <c r="B535" s="24"/>
      <c r="C535" s="17"/>
      <c r="D535" s="24"/>
      <c r="E535" s="24"/>
      <c r="F535" s="25"/>
      <c r="G535" s="1">
        <v>5625</v>
      </c>
      <c r="H535" s="2">
        <v>99.5</v>
      </c>
      <c r="I535" s="2">
        <v>-23.8</v>
      </c>
      <c r="J535" s="2">
        <v>-29.6</v>
      </c>
      <c r="K535" s="2">
        <f t="shared" si="68"/>
        <v>-23.8</v>
      </c>
      <c r="L535" s="8">
        <f t="shared" si="72"/>
        <v>4.6773514128719676E-13</v>
      </c>
      <c r="M535" s="26"/>
      <c r="N535" s="17"/>
      <c r="O535" s="9">
        <f t="shared" si="70"/>
        <v>-29.6</v>
      </c>
      <c r="P535" s="8">
        <f>D530/B530*10^(O535/10)</f>
        <v>0.1717815840624323</v>
      </c>
      <c r="Q535" s="26"/>
      <c r="R535" s="17"/>
      <c r="S535" s="20"/>
      <c r="T535" s="17"/>
      <c r="U535" s="23"/>
    </row>
    <row r="536" spans="1:21" x14ac:dyDescent="0.25">
      <c r="A536" s="24">
        <v>8000</v>
      </c>
      <c r="B536" s="24">
        <v>3</v>
      </c>
      <c r="C536" s="17">
        <v>0.5</v>
      </c>
      <c r="D536" s="24">
        <v>943</v>
      </c>
      <c r="E536" s="24">
        <v>6</v>
      </c>
      <c r="F536" s="25">
        <v>54</v>
      </c>
      <c r="G536" s="1">
        <v>6025</v>
      </c>
      <c r="H536" s="2">
        <v>95</v>
      </c>
      <c r="I536" s="2">
        <v>-19.100000000000001</v>
      </c>
      <c r="J536" s="2">
        <v>-27.4</v>
      </c>
      <c r="K536" s="2">
        <f t="shared" si="68"/>
        <v>-19.100000000000001</v>
      </c>
      <c r="L536" s="8">
        <f t="shared" si="72"/>
        <v>3.890451449942802E-12</v>
      </c>
      <c r="M536" s="26">
        <f>SUM(L536:L541)</f>
        <v>2.9513253901071307E-11</v>
      </c>
      <c r="N536" s="17">
        <f>10*LOG10(M536/E536)</f>
        <v>-113.08134156323347</v>
      </c>
      <c r="O536" s="9">
        <f t="shared" si="70"/>
        <v>-27.4</v>
      </c>
      <c r="P536" s="8">
        <f>D536/B536*10^(O536/10)</f>
        <v>0.57199263655640453</v>
      </c>
      <c r="Q536" s="26">
        <f>SUM(P536:P541)</f>
        <v>4.0431135209714117</v>
      </c>
      <c r="R536" s="17">
        <f>10*LOG10(Q536)</f>
        <v>6.0671593545668276</v>
      </c>
      <c r="S536" s="18">
        <f>F536+N536-Kzt-H</f>
        <v>-59.081341563233465</v>
      </c>
      <c r="T536" s="17">
        <v>0.7</v>
      </c>
      <c r="U536" s="21">
        <f>T536*10^((S536-R536)/10)</f>
        <v>2.1391830474001705E-7</v>
      </c>
    </row>
    <row r="537" spans="1:21" x14ac:dyDescent="0.25">
      <c r="A537" s="24"/>
      <c r="B537" s="24"/>
      <c r="C537" s="17"/>
      <c r="D537" s="24"/>
      <c r="E537" s="24"/>
      <c r="F537" s="25"/>
      <c r="G537" s="1">
        <v>7025</v>
      </c>
      <c r="H537" s="2">
        <v>94.8</v>
      </c>
      <c r="I537" s="2">
        <v>-21.4</v>
      </c>
      <c r="J537" s="2">
        <v>-27</v>
      </c>
      <c r="K537" s="2">
        <f t="shared" si="68"/>
        <v>-21.4</v>
      </c>
      <c r="L537" s="8">
        <f t="shared" si="72"/>
        <v>2.3988329190194925E-12</v>
      </c>
      <c r="M537" s="26"/>
      <c r="N537" s="17"/>
      <c r="O537" s="9">
        <f t="shared" si="70"/>
        <v>-27</v>
      </c>
      <c r="P537" s="8">
        <f>D536/B536*10^(O537/10)</f>
        <v>0.62717745433855066</v>
      </c>
      <c r="Q537" s="26"/>
      <c r="R537" s="17"/>
      <c r="S537" s="19"/>
      <c r="T537" s="17"/>
      <c r="U537" s="22"/>
    </row>
    <row r="538" spans="1:21" x14ac:dyDescent="0.25">
      <c r="A538" s="24"/>
      <c r="B538" s="24"/>
      <c r="C538" s="17"/>
      <c r="D538" s="24"/>
      <c r="E538" s="24"/>
      <c r="F538" s="25"/>
      <c r="G538" s="1">
        <v>8025</v>
      </c>
      <c r="H538" s="2">
        <v>101.9</v>
      </c>
      <c r="I538" s="2">
        <v>-19.7</v>
      </c>
      <c r="J538" s="2">
        <v>-26.4</v>
      </c>
      <c r="K538" s="2">
        <f t="shared" si="68"/>
        <v>-19.7</v>
      </c>
      <c r="L538" s="8">
        <f t="shared" si="72"/>
        <v>6.9183097091893335E-13</v>
      </c>
      <c r="M538" s="26"/>
      <c r="N538" s="17"/>
      <c r="O538" s="9">
        <f t="shared" si="70"/>
        <v>-26.4</v>
      </c>
      <c r="P538" s="8">
        <f>D536/B536*10^(O538/10)</f>
        <v>0.72009606552000349</v>
      </c>
      <c r="Q538" s="26"/>
      <c r="R538" s="17"/>
      <c r="S538" s="19"/>
      <c r="T538" s="17"/>
      <c r="U538" s="22"/>
    </row>
    <row r="539" spans="1:21" x14ac:dyDescent="0.25">
      <c r="A539" s="24"/>
      <c r="B539" s="24"/>
      <c r="C539" s="17"/>
      <c r="D539" s="24"/>
      <c r="E539" s="24"/>
      <c r="F539" s="25"/>
      <c r="G539" s="1">
        <v>9025</v>
      </c>
      <c r="H539" s="2">
        <v>93.2</v>
      </c>
      <c r="I539" s="2">
        <v>-20.399999999999999</v>
      </c>
      <c r="J539" s="2">
        <v>-29.1</v>
      </c>
      <c r="K539" s="2">
        <f t="shared" si="68"/>
        <v>-20.399999999999999</v>
      </c>
      <c r="L539" s="8">
        <f t="shared" si="72"/>
        <v>4.3651583224016522E-12</v>
      </c>
      <c r="M539" s="26"/>
      <c r="N539" s="17"/>
      <c r="O539" s="9">
        <f t="shared" si="70"/>
        <v>-29.1</v>
      </c>
      <c r="P539" s="8">
        <f>D536/B536*10^(O539/10)</f>
        <v>0.38671448362535832</v>
      </c>
      <c r="Q539" s="26"/>
      <c r="R539" s="17"/>
      <c r="S539" s="19"/>
      <c r="T539" s="17"/>
      <c r="U539" s="22"/>
    </row>
    <row r="540" spans="1:21" x14ac:dyDescent="0.25">
      <c r="A540" s="24"/>
      <c r="B540" s="24"/>
      <c r="C540" s="17"/>
      <c r="D540" s="24"/>
      <c r="E540" s="24"/>
      <c r="F540" s="25"/>
      <c r="G540" s="1">
        <v>10025</v>
      </c>
      <c r="H540" s="2">
        <v>88.3</v>
      </c>
      <c r="I540" s="2">
        <v>-25</v>
      </c>
      <c r="J540" s="2">
        <v>-26.7</v>
      </c>
      <c r="K540" s="2">
        <f t="shared" si="68"/>
        <v>-25</v>
      </c>
      <c r="L540" s="8">
        <f t="shared" si="72"/>
        <v>4.6773514128719737E-12</v>
      </c>
      <c r="M540" s="26"/>
      <c r="N540" s="17"/>
      <c r="O540" s="9">
        <f t="shared" si="70"/>
        <v>-26.7</v>
      </c>
      <c r="P540" s="8">
        <f>D536/B536*10^(O540/10)</f>
        <v>0.67203275013353481</v>
      </c>
      <c r="Q540" s="26"/>
      <c r="R540" s="17"/>
      <c r="S540" s="19"/>
      <c r="T540" s="17"/>
      <c r="U540" s="22"/>
    </row>
    <row r="541" spans="1:21" x14ac:dyDescent="0.25">
      <c r="A541" s="24"/>
      <c r="B541" s="24"/>
      <c r="C541" s="17"/>
      <c r="D541" s="24"/>
      <c r="E541" s="24"/>
      <c r="F541" s="25"/>
      <c r="G541" s="1">
        <v>11025</v>
      </c>
      <c r="H541" s="2">
        <v>86</v>
      </c>
      <c r="I541" s="2">
        <v>-22.7</v>
      </c>
      <c r="J541" s="2">
        <v>-24.7</v>
      </c>
      <c r="K541" s="2">
        <f t="shared" si="68"/>
        <v>-22.7</v>
      </c>
      <c r="L541" s="8">
        <f t="shared" si="72"/>
        <v>1.348962882591645E-11</v>
      </c>
      <c r="M541" s="26"/>
      <c r="N541" s="17"/>
      <c r="O541" s="9">
        <f t="shared" si="70"/>
        <v>-24.7</v>
      </c>
      <c r="P541" s="8">
        <f>D536/B536*10^(O541/10)</f>
        <v>1.0651001307975594</v>
      </c>
      <c r="Q541" s="26"/>
      <c r="R541" s="17"/>
      <c r="S541" s="20"/>
      <c r="T541" s="17"/>
      <c r="U541" s="23"/>
    </row>
    <row r="542" spans="1:21" x14ac:dyDescent="0.25">
      <c r="A542" s="24" t="s">
        <v>20</v>
      </c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12">
        <f>U542</f>
        <v>6.222308356062585E-2</v>
      </c>
      <c r="T542" s="2"/>
      <c r="U542" s="8">
        <f>0.8*SQRT(SUM(U508:U541))</f>
        <v>6.222308356062585E-2</v>
      </c>
    </row>
    <row r="543" spans="1:21" x14ac:dyDescent="0.25">
      <c r="A543" s="27" t="s">
        <v>87</v>
      </c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9"/>
    </row>
    <row r="544" spans="1:21" x14ac:dyDescent="0.25">
      <c r="A544" s="24">
        <v>250</v>
      </c>
      <c r="B544" s="24">
        <v>3</v>
      </c>
      <c r="C544" s="17">
        <v>0.5</v>
      </c>
      <c r="D544" s="24">
        <v>38</v>
      </c>
      <c r="E544" s="24">
        <v>4</v>
      </c>
      <c r="F544" s="25">
        <v>84</v>
      </c>
      <c r="G544" s="1">
        <v>175</v>
      </c>
      <c r="H544" s="2">
        <v>84.8</v>
      </c>
      <c r="I544" s="2">
        <v>-10.3</v>
      </c>
      <c r="J544" s="2">
        <v>-17.5</v>
      </c>
      <c r="K544" s="2">
        <f>I544</f>
        <v>-10.3</v>
      </c>
      <c r="L544" s="8">
        <f>10^((K544-H544)/10)</f>
        <v>3.090295432513586E-10</v>
      </c>
      <c r="M544" s="26">
        <f>SUM(L544:L547)</f>
        <v>3.7142279773739111E-10</v>
      </c>
      <c r="N544" s="17">
        <f>10*LOG10(M544/E544)</f>
        <v>-100.32191434337541</v>
      </c>
      <c r="O544" s="9">
        <f>J544</f>
        <v>-17.5</v>
      </c>
      <c r="P544" s="8">
        <f>D544/B544*10^(O544/10)</f>
        <v>0.22524872527159684</v>
      </c>
      <c r="Q544" s="26">
        <f>SUM(P544:P547)</f>
        <v>0.62473610586204398</v>
      </c>
      <c r="R544" s="17">
        <f>10*LOG10(Q544)</f>
        <v>-2.0430339380822602</v>
      </c>
      <c r="S544" s="18">
        <f>F544+N544-Kzt-H</f>
        <v>-16.321914343375411</v>
      </c>
      <c r="T544" s="17">
        <v>0.2</v>
      </c>
      <c r="U544" s="21">
        <f>T544*10^((S544-R544)/10)</f>
        <v>7.4669278535015558E-3</v>
      </c>
    </row>
    <row r="545" spans="1:21" x14ac:dyDescent="0.25">
      <c r="A545" s="24"/>
      <c r="B545" s="24"/>
      <c r="C545" s="17"/>
      <c r="D545" s="24"/>
      <c r="E545" s="24"/>
      <c r="F545" s="25"/>
      <c r="G545" s="1">
        <v>225</v>
      </c>
      <c r="H545" s="2">
        <v>90</v>
      </c>
      <c r="I545" s="2">
        <v>-15.5</v>
      </c>
      <c r="J545" s="2">
        <v>-19.3</v>
      </c>
      <c r="K545" s="2">
        <f t="shared" ref="K545:K577" si="73">I545</f>
        <v>-15.5</v>
      </c>
      <c r="L545" s="8">
        <f t="shared" ref="L545:L546" si="74">10^((K545-H545)/10)</f>
        <v>2.8183829312644474E-11</v>
      </c>
      <c r="M545" s="26"/>
      <c r="N545" s="17"/>
      <c r="O545" s="9">
        <f t="shared" ref="O545:O577" si="75">J545</f>
        <v>-19.3</v>
      </c>
      <c r="P545" s="8">
        <f>D544/B544*10^(O545/10)</f>
        <v>0.14882035695900692</v>
      </c>
      <c r="Q545" s="26"/>
      <c r="R545" s="17"/>
      <c r="S545" s="19"/>
      <c r="T545" s="17"/>
      <c r="U545" s="22"/>
    </row>
    <row r="546" spans="1:21" x14ac:dyDescent="0.25">
      <c r="A546" s="24"/>
      <c r="B546" s="24"/>
      <c r="C546" s="17"/>
      <c r="D546" s="24"/>
      <c r="E546" s="24"/>
      <c r="F546" s="25"/>
      <c r="G546" s="1">
        <v>275</v>
      </c>
      <c r="H546" s="2">
        <v>92.2</v>
      </c>
      <c r="I546" s="2">
        <v>-13.3</v>
      </c>
      <c r="J546" s="2">
        <v>-18.8</v>
      </c>
      <c r="K546" s="2">
        <f t="shared" si="73"/>
        <v>-13.3</v>
      </c>
      <c r="L546" s="8">
        <f t="shared" si="74"/>
        <v>2.8183829312644474E-11</v>
      </c>
      <c r="M546" s="26"/>
      <c r="N546" s="17"/>
      <c r="O546" s="9">
        <f t="shared" si="75"/>
        <v>-18.8</v>
      </c>
      <c r="P546" s="8">
        <f>D544/B544*10^(O546/10)</f>
        <v>0.16697918688381144</v>
      </c>
      <c r="Q546" s="26"/>
      <c r="R546" s="17"/>
      <c r="S546" s="19"/>
      <c r="T546" s="17"/>
      <c r="U546" s="22"/>
    </row>
    <row r="547" spans="1:21" x14ac:dyDescent="0.25">
      <c r="A547" s="24"/>
      <c r="B547" s="24"/>
      <c r="C547" s="17"/>
      <c r="D547" s="24"/>
      <c r="E547" s="24"/>
      <c r="F547" s="25"/>
      <c r="G547" s="1">
        <v>325</v>
      </c>
      <c r="H547" s="2">
        <v>93.3</v>
      </c>
      <c r="I547" s="2">
        <v>-18.899999999999999</v>
      </c>
      <c r="J547" s="2">
        <v>-21.8</v>
      </c>
      <c r="K547" s="2">
        <f t="shared" si="73"/>
        <v>-18.899999999999999</v>
      </c>
      <c r="L547" s="8">
        <f>10^((K547-H547)/10)</f>
        <v>6.0255958607435815E-12</v>
      </c>
      <c r="M547" s="26"/>
      <c r="N547" s="17"/>
      <c r="O547" s="9">
        <f t="shared" si="75"/>
        <v>-21.8</v>
      </c>
      <c r="P547" s="8">
        <f>D544/B544*10^(O547/10)</f>
        <v>8.368783674762878E-2</v>
      </c>
      <c r="Q547" s="26"/>
      <c r="R547" s="17"/>
      <c r="S547" s="20"/>
      <c r="T547" s="17"/>
      <c r="U547" s="23"/>
    </row>
    <row r="548" spans="1:21" x14ac:dyDescent="0.25">
      <c r="A548" s="24">
        <v>500</v>
      </c>
      <c r="B548" s="24">
        <v>3</v>
      </c>
      <c r="C548" s="17">
        <v>0.5</v>
      </c>
      <c r="D548" s="24">
        <v>59</v>
      </c>
      <c r="E548" s="24">
        <v>6</v>
      </c>
      <c r="F548" s="25">
        <v>84</v>
      </c>
      <c r="G548" s="1">
        <v>375</v>
      </c>
      <c r="H548" s="2">
        <v>91.9</v>
      </c>
      <c r="I548" s="2">
        <v>-10.199999999999999</v>
      </c>
      <c r="J548" s="2">
        <v>-18.399999999999999</v>
      </c>
      <c r="K548" s="2">
        <f t="shared" si="73"/>
        <v>-10.199999999999999</v>
      </c>
      <c r="L548" s="8">
        <f t="shared" ref="L548:L549" si="76">10^((K548-H548)/10)</f>
        <v>6.1659500186147878E-11</v>
      </c>
      <c r="M548" s="26">
        <f>SUM(L548:L553)</f>
        <v>1.8310911693812552E-10</v>
      </c>
      <c r="N548" s="17">
        <f>10*LOG10(M548/E548)</f>
        <v>-105.15441282175074</v>
      </c>
      <c r="O548" s="9">
        <f t="shared" si="75"/>
        <v>-18.399999999999999</v>
      </c>
      <c r="P548" s="8">
        <f>D548/B548*10^(O548/10)</f>
        <v>0.28426982158003239</v>
      </c>
      <c r="Q548" s="26">
        <f>SUM(P548:P553)</f>
        <v>1.6727914260953141</v>
      </c>
      <c r="R548" s="17">
        <f>10*LOG10(Q548)</f>
        <v>2.2344179383577751</v>
      </c>
      <c r="S548" s="18">
        <f>F548+N548-Kzt-H</f>
        <v>-21.154412821750739</v>
      </c>
      <c r="T548" s="17">
        <v>0.5</v>
      </c>
      <c r="U548" s="21">
        <f>T548*10^((S548-R548)/10)</f>
        <v>2.2913262384231521E-3</v>
      </c>
    </row>
    <row r="549" spans="1:21" x14ac:dyDescent="0.25">
      <c r="A549" s="24"/>
      <c r="B549" s="24"/>
      <c r="C549" s="17"/>
      <c r="D549" s="24"/>
      <c r="E549" s="24"/>
      <c r="F549" s="25"/>
      <c r="G549" s="1">
        <v>425</v>
      </c>
      <c r="H549" s="2">
        <v>88.1</v>
      </c>
      <c r="I549" s="2">
        <v>-18.100000000000001</v>
      </c>
      <c r="J549" s="2">
        <v>-21.7</v>
      </c>
      <c r="K549" s="2">
        <f t="shared" si="73"/>
        <v>-18.100000000000001</v>
      </c>
      <c r="L549" s="8">
        <f t="shared" si="76"/>
        <v>2.3988329190194867E-11</v>
      </c>
      <c r="M549" s="26"/>
      <c r="N549" s="17"/>
      <c r="O549" s="9">
        <f t="shared" si="75"/>
        <v>-21.7</v>
      </c>
      <c r="P549" s="8">
        <f>D548/B548*10^(O549/10)</f>
        <v>0.13296298516042301</v>
      </c>
      <c r="Q549" s="26"/>
      <c r="R549" s="17"/>
      <c r="S549" s="19"/>
      <c r="T549" s="17"/>
      <c r="U549" s="22"/>
    </row>
    <row r="550" spans="1:21" x14ac:dyDescent="0.25">
      <c r="A550" s="24"/>
      <c r="B550" s="24"/>
      <c r="C550" s="17"/>
      <c r="D550" s="24"/>
      <c r="E550" s="24"/>
      <c r="F550" s="25"/>
      <c r="G550" s="1">
        <v>475</v>
      </c>
      <c r="H550" s="2">
        <v>90</v>
      </c>
      <c r="I550" s="2">
        <v>-15.3</v>
      </c>
      <c r="J550" s="2">
        <v>-17.8</v>
      </c>
      <c r="K550" s="2">
        <f t="shared" si="73"/>
        <v>-15.3</v>
      </c>
      <c r="L550" s="8">
        <f>10^((K550-H550)/10)</f>
        <v>2.9512092266663787E-11</v>
      </c>
      <c r="M550" s="26"/>
      <c r="N550" s="17"/>
      <c r="O550" s="9">
        <f t="shared" si="75"/>
        <v>-17.8</v>
      </c>
      <c r="P550" s="8">
        <f>D548/B548*10^(O550/10)</f>
        <v>0.32638542512938667</v>
      </c>
      <c r="Q550" s="26"/>
      <c r="R550" s="17"/>
      <c r="S550" s="19"/>
      <c r="T550" s="17"/>
      <c r="U550" s="22"/>
    </row>
    <row r="551" spans="1:21" x14ac:dyDescent="0.25">
      <c r="A551" s="24"/>
      <c r="B551" s="24"/>
      <c r="C551" s="17"/>
      <c r="D551" s="24"/>
      <c r="E551" s="24"/>
      <c r="F551" s="25"/>
      <c r="G551" s="1">
        <v>575</v>
      </c>
      <c r="H551" s="2">
        <v>97</v>
      </c>
      <c r="I551" s="2">
        <v>-16.899999999999999</v>
      </c>
      <c r="J551" s="2">
        <v>-17</v>
      </c>
      <c r="K551" s="2">
        <f t="shared" si="73"/>
        <v>-16.899999999999999</v>
      </c>
      <c r="L551" s="8">
        <f t="shared" ref="L551:L577" si="77">10^((K551-H551)/10)</f>
        <v>4.0738027780411076E-12</v>
      </c>
      <c r="M551" s="26"/>
      <c r="N551" s="17"/>
      <c r="O551" s="9">
        <f t="shared" si="75"/>
        <v>-17</v>
      </c>
      <c r="P551" s="8">
        <f>D548/B548*10^(O551/10)</f>
        <v>0.39240158861054625</v>
      </c>
      <c r="Q551" s="26"/>
      <c r="R551" s="17"/>
      <c r="S551" s="19"/>
      <c r="T551" s="17"/>
      <c r="U551" s="22"/>
    </row>
    <row r="552" spans="1:21" x14ac:dyDescent="0.25">
      <c r="A552" s="24"/>
      <c r="B552" s="24"/>
      <c r="C552" s="17"/>
      <c r="D552" s="24"/>
      <c r="E552" s="24"/>
      <c r="F552" s="25"/>
      <c r="G552" s="1">
        <v>625</v>
      </c>
      <c r="H552" s="2">
        <v>92</v>
      </c>
      <c r="I552" s="2">
        <v>-10.9</v>
      </c>
      <c r="J552" s="2">
        <v>-18.600000000000001</v>
      </c>
      <c r="K552" s="2">
        <f t="shared" si="73"/>
        <v>-10.9</v>
      </c>
      <c r="L552" s="8">
        <f t="shared" si="77"/>
        <v>5.1286138399136241E-11</v>
      </c>
      <c r="M552" s="26"/>
      <c r="N552" s="17"/>
      <c r="O552" s="9">
        <f t="shared" si="75"/>
        <v>-18.600000000000001</v>
      </c>
      <c r="P552" s="8">
        <f>D548/B548*10^(O552/10)</f>
        <v>0.27147557203856715</v>
      </c>
      <c r="Q552" s="26"/>
      <c r="R552" s="17"/>
      <c r="S552" s="19"/>
      <c r="T552" s="17"/>
      <c r="U552" s="22"/>
    </row>
    <row r="553" spans="1:21" x14ac:dyDescent="0.25">
      <c r="A553" s="24"/>
      <c r="B553" s="24"/>
      <c r="C553" s="17"/>
      <c r="D553" s="24"/>
      <c r="E553" s="24"/>
      <c r="F553" s="25"/>
      <c r="G553" s="1">
        <v>675</v>
      </c>
      <c r="H553" s="2">
        <v>94.5</v>
      </c>
      <c r="I553" s="2">
        <v>-14.5</v>
      </c>
      <c r="J553" s="2">
        <v>-18.7</v>
      </c>
      <c r="K553" s="2">
        <f t="shared" si="73"/>
        <v>-14.5</v>
      </c>
      <c r="L553" s="8">
        <f t="shared" si="77"/>
        <v>1.2589254117941641E-11</v>
      </c>
      <c r="M553" s="26"/>
      <c r="N553" s="17"/>
      <c r="O553" s="9">
        <f t="shared" si="75"/>
        <v>-18.7</v>
      </c>
      <c r="P553" s="8">
        <f>D548/B548*10^(O553/10)</f>
        <v>0.26529603357635856</v>
      </c>
      <c r="Q553" s="26"/>
      <c r="R553" s="17"/>
      <c r="S553" s="20"/>
      <c r="T553" s="17"/>
      <c r="U553" s="23"/>
    </row>
    <row r="554" spans="1:21" x14ac:dyDescent="0.25">
      <c r="A554" s="24">
        <v>1000</v>
      </c>
      <c r="B554" s="24">
        <v>3</v>
      </c>
      <c r="C554" s="17">
        <v>0.5</v>
      </c>
      <c r="D554" s="24">
        <v>117</v>
      </c>
      <c r="E554" s="24">
        <v>6</v>
      </c>
      <c r="F554" s="25">
        <v>76</v>
      </c>
      <c r="G554" s="1">
        <v>875</v>
      </c>
      <c r="H554" s="2">
        <v>91.1</v>
      </c>
      <c r="I554" s="2">
        <v>-17.3</v>
      </c>
      <c r="J554" s="2">
        <v>-20.7</v>
      </c>
      <c r="K554" s="2">
        <f t="shared" si="73"/>
        <v>-17.3</v>
      </c>
      <c r="L554" s="8">
        <f t="shared" si="77"/>
        <v>1.4454397707459232E-11</v>
      </c>
      <c r="M554" s="26">
        <f>SUM(L554:L559)</f>
        <v>4.8476872326736213E-11</v>
      </c>
      <c r="N554" s="17">
        <f>10*LOG10(M554/E554)</f>
        <v>-110.92616658512908</v>
      </c>
      <c r="O554" s="9">
        <f t="shared" si="75"/>
        <v>-20.7</v>
      </c>
      <c r="P554" s="8">
        <f>D554/B554*10^(O554/10)</f>
        <v>0.33194383489892693</v>
      </c>
      <c r="Q554" s="26">
        <f>SUM(P554:P559)</f>
        <v>2.2607619356728343</v>
      </c>
      <c r="R554" s="17">
        <f>10*LOG10(Q554)</f>
        <v>3.5425483237319737</v>
      </c>
      <c r="S554" s="18">
        <f>F554+N554-Kzt-H</f>
        <v>-34.926166585129081</v>
      </c>
      <c r="T554" s="17">
        <v>0.8</v>
      </c>
      <c r="U554" s="21">
        <f>T554*10^((S554-R554)/10)</f>
        <v>1.138199776795541E-4</v>
      </c>
    </row>
    <row r="555" spans="1:21" x14ac:dyDescent="0.25">
      <c r="A555" s="24"/>
      <c r="B555" s="24"/>
      <c r="C555" s="17"/>
      <c r="D555" s="24"/>
      <c r="E555" s="24"/>
      <c r="F555" s="25"/>
      <c r="G555" s="1">
        <v>975</v>
      </c>
      <c r="H555" s="2">
        <v>96.5</v>
      </c>
      <c r="I555" s="2">
        <v>-12.9</v>
      </c>
      <c r="J555" s="2">
        <v>-18.899999999999999</v>
      </c>
      <c r="K555" s="2">
        <f t="shared" si="73"/>
        <v>-12.9</v>
      </c>
      <c r="L555" s="8">
        <f t="shared" si="77"/>
        <v>1.1481536214968764E-11</v>
      </c>
      <c r="M555" s="26"/>
      <c r="N555" s="17"/>
      <c r="O555" s="9">
        <f t="shared" si="75"/>
        <v>-18.899999999999999</v>
      </c>
      <c r="P555" s="8">
        <f>D554/B554*10^(O555/10)</f>
        <v>0.50241732516032189</v>
      </c>
      <c r="Q555" s="26"/>
      <c r="R555" s="17"/>
      <c r="S555" s="19"/>
      <c r="T555" s="17"/>
      <c r="U555" s="22"/>
    </row>
    <row r="556" spans="1:21" x14ac:dyDescent="0.25">
      <c r="A556" s="24"/>
      <c r="B556" s="24"/>
      <c r="C556" s="17"/>
      <c r="D556" s="24"/>
      <c r="E556" s="24"/>
      <c r="F556" s="25"/>
      <c r="G556" s="1">
        <v>1075</v>
      </c>
      <c r="H556" s="2">
        <v>94.6</v>
      </c>
      <c r="I556" s="2">
        <v>-16.600000000000001</v>
      </c>
      <c r="J556" s="2">
        <v>-18.8</v>
      </c>
      <c r="K556" s="2">
        <f t="shared" si="73"/>
        <v>-16.600000000000001</v>
      </c>
      <c r="L556" s="8">
        <f t="shared" si="77"/>
        <v>7.585775750291834E-12</v>
      </c>
      <c r="M556" s="26"/>
      <c r="N556" s="17"/>
      <c r="O556" s="9">
        <f t="shared" si="75"/>
        <v>-18.8</v>
      </c>
      <c r="P556" s="8">
        <f>D554/B554*10^(O556/10)</f>
        <v>0.51412012803699836</v>
      </c>
      <c r="Q556" s="26"/>
      <c r="R556" s="17"/>
      <c r="S556" s="19"/>
      <c r="T556" s="17"/>
      <c r="U556" s="22"/>
    </row>
    <row r="557" spans="1:21" x14ac:dyDescent="0.25">
      <c r="A557" s="24"/>
      <c r="B557" s="24"/>
      <c r="C557" s="17"/>
      <c r="D557" s="24"/>
      <c r="E557" s="24"/>
      <c r="F557" s="25"/>
      <c r="G557" s="1">
        <v>1175</v>
      </c>
      <c r="H557" s="2">
        <v>97.8</v>
      </c>
      <c r="I557" s="2">
        <v>-13.1</v>
      </c>
      <c r="J557" s="2">
        <v>-19.3</v>
      </c>
      <c r="K557" s="2">
        <f t="shared" si="73"/>
        <v>-13.1</v>
      </c>
      <c r="L557" s="8">
        <f t="shared" si="77"/>
        <v>8.1283051616409864E-12</v>
      </c>
      <c r="M557" s="26"/>
      <c r="N557" s="17"/>
      <c r="O557" s="9">
        <f t="shared" si="75"/>
        <v>-19.3</v>
      </c>
      <c r="P557" s="8">
        <f>D554/B554*10^(O557/10)</f>
        <v>0.45821004642641605</v>
      </c>
      <c r="Q557" s="26"/>
      <c r="R557" s="17"/>
      <c r="S557" s="19"/>
      <c r="T557" s="17"/>
      <c r="U557" s="22"/>
    </row>
    <row r="558" spans="1:21" x14ac:dyDescent="0.25">
      <c r="A558" s="24"/>
      <c r="B558" s="24"/>
      <c r="C558" s="17"/>
      <c r="D558" s="24"/>
      <c r="E558" s="24"/>
      <c r="F558" s="25"/>
      <c r="G558" s="1">
        <v>1275</v>
      </c>
      <c r="H558" s="2">
        <v>100.1</v>
      </c>
      <c r="I558" s="2">
        <v>-12.8</v>
      </c>
      <c r="J558" s="2">
        <v>-22.4</v>
      </c>
      <c r="K558" s="2">
        <f t="shared" si="73"/>
        <v>-12.8</v>
      </c>
      <c r="L558" s="8">
        <f t="shared" si="77"/>
        <v>5.128613839913655E-12</v>
      </c>
      <c r="M558" s="26"/>
      <c r="N558" s="17"/>
      <c r="O558" s="9">
        <f t="shared" si="75"/>
        <v>-22.4</v>
      </c>
      <c r="P558" s="8">
        <f>D554/B554*10^(O558/10)</f>
        <v>0.22442157556149123</v>
      </c>
      <c r="Q558" s="26"/>
      <c r="R558" s="17"/>
      <c r="S558" s="19"/>
      <c r="T558" s="17"/>
      <c r="U558" s="22"/>
    </row>
    <row r="559" spans="1:21" x14ac:dyDescent="0.25">
      <c r="A559" s="24"/>
      <c r="B559" s="24"/>
      <c r="C559" s="17"/>
      <c r="D559" s="24"/>
      <c r="E559" s="24"/>
      <c r="F559" s="25"/>
      <c r="G559" s="1">
        <v>1375</v>
      </c>
      <c r="H559" s="2">
        <v>103</v>
      </c>
      <c r="I559" s="2">
        <v>-14.7</v>
      </c>
      <c r="J559" s="2">
        <v>-22.3</v>
      </c>
      <c r="K559" s="2">
        <f t="shared" si="73"/>
        <v>-14.7</v>
      </c>
      <c r="L559" s="8">
        <f t="shared" si="77"/>
        <v>1.6982436524617421E-12</v>
      </c>
      <c r="M559" s="26"/>
      <c r="N559" s="17"/>
      <c r="O559" s="9">
        <f t="shared" si="75"/>
        <v>-22.3</v>
      </c>
      <c r="P559" s="8">
        <f>D554/B554*10^(O559/10)</f>
        <v>0.22964902558867969</v>
      </c>
      <c r="Q559" s="26"/>
      <c r="R559" s="17"/>
      <c r="S559" s="20"/>
      <c r="T559" s="17"/>
      <c r="U559" s="23"/>
    </row>
    <row r="560" spans="1:21" x14ac:dyDescent="0.25">
      <c r="A560" s="24">
        <v>2000</v>
      </c>
      <c r="B560" s="24">
        <v>3</v>
      </c>
      <c r="C560" s="17">
        <v>0.5</v>
      </c>
      <c r="D560" s="24">
        <v>234</v>
      </c>
      <c r="E560" s="24">
        <v>6</v>
      </c>
      <c r="F560" s="25">
        <v>68</v>
      </c>
      <c r="G560" s="1">
        <v>1425</v>
      </c>
      <c r="H560" s="2">
        <v>102.8</v>
      </c>
      <c r="I560" s="2">
        <v>-15.7</v>
      </c>
      <c r="J560" s="2">
        <v>-19.8</v>
      </c>
      <c r="K560" s="2">
        <f t="shared" si="73"/>
        <v>-15.7</v>
      </c>
      <c r="L560" s="8">
        <f t="shared" si="77"/>
        <v>1.4125375446227535E-12</v>
      </c>
      <c r="M560" s="26">
        <f>SUM(L560:L565)</f>
        <v>1.0613271978470164E-11</v>
      </c>
      <c r="N560" s="17">
        <f>10*LOG10(M560/E560)</f>
        <v>-117.52301956667907</v>
      </c>
      <c r="O560" s="9">
        <f t="shared" si="75"/>
        <v>-19.8</v>
      </c>
      <c r="P560" s="8">
        <f>D560/B560*10^(O560/10)</f>
        <v>0.8167602674797011</v>
      </c>
      <c r="Q560" s="26">
        <f>SUM(P560:P565)</f>
        <v>5.8567537688858105</v>
      </c>
      <c r="R560" s="17">
        <f>10*LOG10(Q560)</f>
        <v>7.6765696569398933</v>
      </c>
      <c r="S560" s="18">
        <f>F560+N560-Kzt-H</f>
        <v>-49.523019566679068</v>
      </c>
      <c r="T560" s="17">
        <v>1</v>
      </c>
      <c r="U560" s="21">
        <f>T560*10^((S560-R560)/10)</f>
        <v>1.9056409540261785E-6</v>
      </c>
    </row>
    <row r="561" spans="1:21" x14ac:dyDescent="0.25">
      <c r="A561" s="24"/>
      <c r="B561" s="24"/>
      <c r="C561" s="17"/>
      <c r="D561" s="24"/>
      <c r="E561" s="24"/>
      <c r="F561" s="25"/>
      <c r="G561" s="1">
        <v>1625</v>
      </c>
      <c r="H561" s="2">
        <v>104.1</v>
      </c>
      <c r="I561" s="2">
        <v>-16.200000000000003</v>
      </c>
      <c r="J561" s="2">
        <v>-17.100000000000001</v>
      </c>
      <c r="K561" s="2">
        <f t="shared" si="73"/>
        <v>-16.200000000000003</v>
      </c>
      <c r="L561" s="8">
        <f t="shared" si="77"/>
        <v>9.3325430079698887E-13</v>
      </c>
      <c r="M561" s="26"/>
      <c r="N561" s="17"/>
      <c r="O561" s="9">
        <f t="shared" si="75"/>
        <v>-17.100000000000001</v>
      </c>
      <c r="P561" s="8">
        <f>D560/B560*10^(O561/10)</f>
        <v>1.5208787878112739</v>
      </c>
      <c r="Q561" s="26"/>
      <c r="R561" s="17"/>
      <c r="S561" s="19"/>
      <c r="T561" s="17"/>
      <c r="U561" s="22"/>
    </row>
    <row r="562" spans="1:21" x14ac:dyDescent="0.25">
      <c r="A562" s="24"/>
      <c r="B562" s="24"/>
      <c r="C562" s="17"/>
      <c r="D562" s="24"/>
      <c r="E562" s="24"/>
      <c r="F562" s="25"/>
      <c r="G562" s="1">
        <v>1825</v>
      </c>
      <c r="H562" s="2">
        <v>107.6</v>
      </c>
      <c r="I562" s="2">
        <v>-17.600000000000001</v>
      </c>
      <c r="J562" s="2">
        <v>-18.399999999999999</v>
      </c>
      <c r="K562" s="2">
        <f t="shared" si="73"/>
        <v>-17.600000000000001</v>
      </c>
      <c r="L562" s="8">
        <f t="shared" si="77"/>
        <v>3.0199517204020122E-13</v>
      </c>
      <c r="M562" s="26"/>
      <c r="N562" s="17"/>
      <c r="O562" s="9">
        <f t="shared" si="75"/>
        <v>-18.399999999999999</v>
      </c>
      <c r="P562" s="8">
        <f>D560/B560*10^(O562/10)</f>
        <v>1.1274430211818232</v>
      </c>
      <c r="Q562" s="26"/>
      <c r="R562" s="17"/>
      <c r="S562" s="19"/>
      <c r="T562" s="17"/>
      <c r="U562" s="22"/>
    </row>
    <row r="563" spans="1:21" x14ac:dyDescent="0.25">
      <c r="A563" s="24"/>
      <c r="B563" s="24"/>
      <c r="C563" s="17"/>
      <c r="D563" s="24"/>
      <c r="E563" s="24"/>
      <c r="F563" s="25"/>
      <c r="G563" s="1">
        <v>2125</v>
      </c>
      <c r="H563" s="2">
        <v>104.2</v>
      </c>
      <c r="I563" s="2">
        <v>-16.899999999999999</v>
      </c>
      <c r="J563" s="2">
        <v>-19.8</v>
      </c>
      <c r="K563" s="2">
        <f t="shared" si="73"/>
        <v>-16.899999999999999</v>
      </c>
      <c r="L563" s="8">
        <f t="shared" si="77"/>
        <v>7.7624711662869047E-13</v>
      </c>
      <c r="M563" s="26"/>
      <c r="N563" s="17"/>
      <c r="O563" s="9">
        <f t="shared" si="75"/>
        <v>-19.8</v>
      </c>
      <c r="P563" s="8">
        <f>D560/B560*10^(O563/10)</f>
        <v>0.8167602674797011</v>
      </c>
      <c r="Q563" s="26"/>
      <c r="R563" s="17"/>
      <c r="S563" s="19"/>
      <c r="T563" s="17"/>
      <c r="U563" s="22"/>
    </row>
    <row r="564" spans="1:21" x14ac:dyDescent="0.25">
      <c r="A564" s="24"/>
      <c r="B564" s="24"/>
      <c r="C564" s="17"/>
      <c r="D564" s="24"/>
      <c r="E564" s="24"/>
      <c r="F564" s="25"/>
      <c r="G564" s="1">
        <v>2425</v>
      </c>
      <c r="H564" s="2">
        <v>93.7</v>
      </c>
      <c r="I564" s="2">
        <v>-19.600000000000001</v>
      </c>
      <c r="J564" s="2">
        <v>-20.6</v>
      </c>
      <c r="K564" s="2">
        <f t="shared" si="73"/>
        <v>-19.600000000000001</v>
      </c>
      <c r="L564" s="8">
        <f t="shared" si="77"/>
        <v>4.6773514128719567E-12</v>
      </c>
      <c r="M564" s="26"/>
      <c r="N564" s="17"/>
      <c r="O564" s="9">
        <f t="shared" si="75"/>
        <v>-20.6</v>
      </c>
      <c r="P564" s="8">
        <f>D560/B560*10^(O564/10)</f>
        <v>0.67935160016574248</v>
      </c>
      <c r="Q564" s="26"/>
      <c r="R564" s="17"/>
      <c r="S564" s="19"/>
      <c r="T564" s="17"/>
      <c r="U564" s="22"/>
    </row>
    <row r="565" spans="1:21" x14ac:dyDescent="0.25">
      <c r="A565" s="24"/>
      <c r="B565" s="24"/>
      <c r="C565" s="17"/>
      <c r="D565" s="24"/>
      <c r="E565" s="24"/>
      <c r="F565" s="25"/>
      <c r="G565" s="1">
        <v>2775</v>
      </c>
      <c r="H565" s="2">
        <v>100.2</v>
      </c>
      <c r="I565" s="2">
        <v>-15.8</v>
      </c>
      <c r="J565" s="2">
        <v>-19.399999999999999</v>
      </c>
      <c r="K565" s="2">
        <f t="shared" si="73"/>
        <v>-15.8</v>
      </c>
      <c r="L565" s="8">
        <f t="shared" si="77"/>
        <v>2.5118864315095726E-12</v>
      </c>
      <c r="M565" s="26"/>
      <c r="N565" s="17"/>
      <c r="O565" s="9">
        <f t="shared" si="75"/>
        <v>-19.399999999999999</v>
      </c>
      <c r="P565" s="8">
        <f>D560/B560*10^(O565/10)</f>
        <v>0.89555982476756846</v>
      </c>
      <c r="Q565" s="26"/>
      <c r="R565" s="17"/>
      <c r="S565" s="20"/>
      <c r="T565" s="17"/>
      <c r="U565" s="23"/>
    </row>
    <row r="566" spans="1:21" x14ac:dyDescent="0.25">
      <c r="A566" s="24">
        <v>4000</v>
      </c>
      <c r="B566" s="24">
        <v>3</v>
      </c>
      <c r="C566" s="17">
        <v>0.5</v>
      </c>
      <c r="D566" s="24">
        <v>470</v>
      </c>
      <c r="E566" s="24">
        <v>6</v>
      </c>
      <c r="F566" s="25">
        <v>62</v>
      </c>
      <c r="G566" s="1">
        <v>2825</v>
      </c>
      <c r="H566" s="2">
        <v>99.4</v>
      </c>
      <c r="I566" s="2">
        <v>-14.8</v>
      </c>
      <c r="J566" s="2">
        <v>-19.100000000000001</v>
      </c>
      <c r="K566" s="2">
        <f t="shared" si="73"/>
        <v>-14.8</v>
      </c>
      <c r="L566" s="8">
        <f t="shared" si="77"/>
        <v>3.8018939632056084E-12</v>
      </c>
      <c r="M566" s="26">
        <f>SUM(L566:L571)</f>
        <v>1.1079338429248878E-11</v>
      </c>
      <c r="N566" s="17">
        <f>10*LOG10(M566/E566)</f>
        <v>-117.33637421859876</v>
      </c>
      <c r="O566" s="9">
        <f t="shared" si="75"/>
        <v>-19.100000000000001</v>
      </c>
      <c r="P566" s="8">
        <f>D566/B566*10^(O566/10)</f>
        <v>1.92742107427273</v>
      </c>
      <c r="Q566" s="26">
        <f>SUM(P566:P571)</f>
        <v>10.455607840014515</v>
      </c>
      <c r="R566" s="17">
        <f>10*LOG10(Q566)</f>
        <v>10.193492857324291</v>
      </c>
      <c r="S566" s="18">
        <f>F566+N566-Kzt-H</f>
        <v>-55.336374218598763</v>
      </c>
      <c r="T566" s="17">
        <v>0.9</v>
      </c>
      <c r="U566" s="21">
        <f>T566*10^((S566-R566)/10)</f>
        <v>2.5191602901775825E-7</v>
      </c>
    </row>
    <row r="567" spans="1:21" x14ac:dyDescent="0.25">
      <c r="A567" s="24"/>
      <c r="B567" s="24"/>
      <c r="C567" s="17"/>
      <c r="D567" s="24"/>
      <c r="E567" s="24"/>
      <c r="F567" s="25"/>
      <c r="G567" s="1">
        <v>3425</v>
      </c>
      <c r="H567" s="2">
        <v>103.5</v>
      </c>
      <c r="I567" s="2">
        <v>-18.899999999999999</v>
      </c>
      <c r="J567" s="2">
        <v>-20.5</v>
      </c>
      <c r="K567" s="2">
        <f t="shared" si="73"/>
        <v>-18.899999999999999</v>
      </c>
      <c r="L567" s="8">
        <f t="shared" si="77"/>
        <v>5.7543993733715476E-13</v>
      </c>
      <c r="M567" s="26"/>
      <c r="N567" s="17"/>
      <c r="O567" s="9">
        <f t="shared" si="75"/>
        <v>-20.5</v>
      </c>
      <c r="P567" s="8">
        <f>D566/B566*10^(O567/10)</f>
        <v>1.3962931364095346</v>
      </c>
      <c r="Q567" s="26"/>
      <c r="R567" s="17"/>
      <c r="S567" s="19"/>
      <c r="T567" s="17"/>
      <c r="U567" s="22"/>
    </row>
    <row r="568" spans="1:21" x14ac:dyDescent="0.25">
      <c r="A568" s="24"/>
      <c r="B568" s="24"/>
      <c r="C568" s="17"/>
      <c r="D568" s="24"/>
      <c r="E568" s="24"/>
      <c r="F568" s="25"/>
      <c r="G568" s="1">
        <v>4025</v>
      </c>
      <c r="H568" s="2">
        <v>103.6</v>
      </c>
      <c r="I568" s="2">
        <v>-17</v>
      </c>
      <c r="J568" s="2">
        <v>-20.7</v>
      </c>
      <c r="K568" s="2">
        <f t="shared" si="73"/>
        <v>-17</v>
      </c>
      <c r="L568" s="8">
        <f t="shared" si="77"/>
        <v>8.7096358995608191E-13</v>
      </c>
      <c r="M568" s="26"/>
      <c r="N568" s="17"/>
      <c r="O568" s="9">
        <f t="shared" si="75"/>
        <v>-20.7</v>
      </c>
      <c r="P568" s="8">
        <f>D566/B566*10^(O568/10)</f>
        <v>1.3334495931837236</v>
      </c>
      <c r="Q568" s="26"/>
      <c r="R568" s="17"/>
      <c r="S568" s="19"/>
      <c r="T568" s="17"/>
      <c r="U568" s="22"/>
    </row>
    <row r="569" spans="1:21" x14ac:dyDescent="0.25">
      <c r="A569" s="24"/>
      <c r="B569" s="24"/>
      <c r="C569" s="17"/>
      <c r="D569" s="24"/>
      <c r="E569" s="24"/>
      <c r="F569" s="25"/>
      <c r="G569" s="1">
        <v>4625</v>
      </c>
      <c r="H569" s="2">
        <v>105.6</v>
      </c>
      <c r="I569" s="2">
        <v>-14.8</v>
      </c>
      <c r="J569" s="2">
        <v>-19.8</v>
      </c>
      <c r="K569" s="2">
        <f t="shared" si="73"/>
        <v>-14.8</v>
      </c>
      <c r="L569" s="8">
        <f t="shared" si="77"/>
        <v>9.1201083935590769E-13</v>
      </c>
      <c r="M569" s="26"/>
      <c r="N569" s="17"/>
      <c r="O569" s="9">
        <f t="shared" si="75"/>
        <v>-19.8</v>
      </c>
      <c r="P569" s="8">
        <f>D566/B566*10^(O569/10)</f>
        <v>1.6405013919464082</v>
      </c>
      <c r="Q569" s="26"/>
      <c r="R569" s="17"/>
      <c r="S569" s="19"/>
      <c r="T569" s="17"/>
      <c r="U569" s="22"/>
    </row>
    <row r="570" spans="1:21" x14ac:dyDescent="0.25">
      <c r="A570" s="24"/>
      <c r="B570" s="24"/>
      <c r="C570" s="17"/>
      <c r="D570" s="24"/>
      <c r="E570" s="24"/>
      <c r="F570" s="25"/>
      <c r="G570" s="1">
        <v>5225</v>
      </c>
      <c r="H570" s="2">
        <v>103.5</v>
      </c>
      <c r="I570" s="2">
        <v>-15.4</v>
      </c>
      <c r="J570" s="2">
        <v>-18.3</v>
      </c>
      <c r="K570" s="2">
        <f t="shared" si="73"/>
        <v>-15.4</v>
      </c>
      <c r="L570" s="8">
        <f t="shared" si="77"/>
        <v>1.2882495516931293E-12</v>
      </c>
      <c r="M570" s="26"/>
      <c r="N570" s="17"/>
      <c r="O570" s="9">
        <f t="shared" si="75"/>
        <v>-18.3</v>
      </c>
      <c r="P570" s="8">
        <f>D566/B566*10^(O570/10)</f>
        <v>2.3172698081301908</v>
      </c>
      <c r="Q570" s="26"/>
      <c r="R570" s="17"/>
      <c r="S570" s="19"/>
      <c r="T570" s="17"/>
      <c r="U570" s="22"/>
    </row>
    <row r="571" spans="1:21" x14ac:dyDescent="0.25">
      <c r="A571" s="24"/>
      <c r="B571" s="24"/>
      <c r="C571" s="17"/>
      <c r="D571" s="24"/>
      <c r="E571" s="24"/>
      <c r="F571" s="25"/>
      <c r="G571" s="1">
        <v>5625</v>
      </c>
      <c r="H571" s="2">
        <v>99.5</v>
      </c>
      <c r="I571" s="2">
        <v>-14.9</v>
      </c>
      <c r="J571" s="2">
        <v>-19.3</v>
      </c>
      <c r="K571" s="2">
        <f t="shared" si="73"/>
        <v>-14.9</v>
      </c>
      <c r="L571" s="8">
        <f t="shared" si="77"/>
        <v>3.6307805477009972E-12</v>
      </c>
      <c r="M571" s="26"/>
      <c r="N571" s="17"/>
      <c r="O571" s="9">
        <f t="shared" si="75"/>
        <v>-19.3</v>
      </c>
      <c r="P571" s="8">
        <f>D566/B566*10^(O571/10)</f>
        <v>1.8406728360719276</v>
      </c>
      <c r="Q571" s="26"/>
      <c r="R571" s="17"/>
      <c r="S571" s="20"/>
      <c r="T571" s="17"/>
      <c r="U571" s="23"/>
    </row>
    <row r="572" spans="1:21" x14ac:dyDescent="0.25">
      <c r="A572" s="24">
        <v>8000</v>
      </c>
      <c r="B572" s="24">
        <v>3</v>
      </c>
      <c r="C572" s="17">
        <v>0.5</v>
      </c>
      <c r="D572" s="24">
        <v>943</v>
      </c>
      <c r="E572" s="24">
        <v>6</v>
      </c>
      <c r="F572" s="25">
        <v>54</v>
      </c>
      <c r="G572" s="1">
        <v>6025</v>
      </c>
      <c r="H572" s="2">
        <v>95</v>
      </c>
      <c r="I572" s="2">
        <v>-19.100000000000001</v>
      </c>
      <c r="J572" s="2">
        <v>-20.7</v>
      </c>
      <c r="K572" s="2">
        <f t="shared" si="73"/>
        <v>-19.100000000000001</v>
      </c>
      <c r="L572" s="8">
        <f t="shared" si="77"/>
        <v>3.890451449942802E-12</v>
      </c>
      <c r="M572" s="26">
        <f>SUM(L572:L577)</f>
        <v>1.5510039607723702E-10</v>
      </c>
      <c r="N572" s="17">
        <f>10*LOG10(M572/E572)</f>
        <v>-105.87538343518207</v>
      </c>
      <c r="O572" s="9">
        <f t="shared" si="75"/>
        <v>-20.7</v>
      </c>
      <c r="P572" s="8">
        <f>D572/B572*10^(O572/10)</f>
        <v>2.6754105667494708</v>
      </c>
      <c r="Q572" s="26">
        <f>SUM(P572:P577)</f>
        <v>20.991041659016201</v>
      </c>
      <c r="R572" s="17">
        <f>10*LOG10(Q572)</f>
        <v>13.2203399053752</v>
      </c>
      <c r="S572" s="18">
        <f>F572+N572-Kzt-H</f>
        <v>-51.875383435182073</v>
      </c>
      <c r="T572" s="17">
        <v>0.7</v>
      </c>
      <c r="U572" s="21">
        <f>T572*10^((S572-R572)/10)</f>
        <v>2.1653380422133813E-7</v>
      </c>
    </row>
    <row r="573" spans="1:21" x14ac:dyDescent="0.25">
      <c r="A573" s="24"/>
      <c r="B573" s="24"/>
      <c r="C573" s="17"/>
      <c r="D573" s="24"/>
      <c r="E573" s="24"/>
      <c r="F573" s="25"/>
      <c r="G573" s="1">
        <v>7025</v>
      </c>
      <c r="H573" s="2">
        <v>94.8</v>
      </c>
      <c r="I573" s="2">
        <v>-16.3</v>
      </c>
      <c r="J573" s="2">
        <v>-19.600000000000001</v>
      </c>
      <c r="K573" s="2">
        <f t="shared" si="73"/>
        <v>-16.3</v>
      </c>
      <c r="L573" s="8">
        <f t="shared" si="77"/>
        <v>7.762471166286914E-12</v>
      </c>
      <c r="M573" s="26"/>
      <c r="N573" s="17"/>
      <c r="O573" s="9">
        <f t="shared" si="75"/>
        <v>-19.600000000000001</v>
      </c>
      <c r="P573" s="8">
        <f>D572/B572*10^(O573/10)</f>
        <v>3.4465964632100756</v>
      </c>
      <c r="Q573" s="26"/>
      <c r="R573" s="17"/>
      <c r="S573" s="19"/>
      <c r="T573" s="17"/>
      <c r="U573" s="22"/>
    </row>
    <row r="574" spans="1:21" x14ac:dyDescent="0.25">
      <c r="A574" s="24"/>
      <c r="B574" s="24"/>
      <c r="C574" s="17"/>
      <c r="D574" s="24"/>
      <c r="E574" s="24"/>
      <c r="F574" s="25"/>
      <c r="G574" s="1">
        <v>8025</v>
      </c>
      <c r="H574" s="2">
        <v>101.9</v>
      </c>
      <c r="I574" s="2">
        <v>-14.3</v>
      </c>
      <c r="J574" s="2">
        <v>-19.2</v>
      </c>
      <c r="K574" s="2">
        <f t="shared" si="73"/>
        <v>-14.3</v>
      </c>
      <c r="L574" s="8">
        <f t="shared" si="77"/>
        <v>2.3988329190194755E-12</v>
      </c>
      <c r="M574" s="26"/>
      <c r="N574" s="17"/>
      <c r="O574" s="9">
        <f t="shared" si="75"/>
        <v>-19.2</v>
      </c>
      <c r="P574" s="8">
        <f>D572/B572*10^(O574/10)</f>
        <v>3.7791178728140662</v>
      </c>
      <c r="Q574" s="26"/>
      <c r="R574" s="17"/>
      <c r="S574" s="19"/>
      <c r="T574" s="17"/>
      <c r="U574" s="22"/>
    </row>
    <row r="575" spans="1:21" x14ac:dyDescent="0.25">
      <c r="A575" s="24"/>
      <c r="B575" s="24"/>
      <c r="C575" s="17"/>
      <c r="D575" s="24"/>
      <c r="E575" s="24"/>
      <c r="F575" s="25"/>
      <c r="G575" s="1">
        <v>9025</v>
      </c>
      <c r="H575" s="2">
        <v>93.2</v>
      </c>
      <c r="I575" s="2">
        <v>-14</v>
      </c>
      <c r="J575" s="2">
        <v>-21.2</v>
      </c>
      <c r="K575" s="2">
        <f t="shared" si="73"/>
        <v>-14</v>
      </c>
      <c r="L575" s="8">
        <f t="shared" si="77"/>
        <v>1.9054607179632392E-11</v>
      </c>
      <c r="M575" s="26"/>
      <c r="N575" s="17"/>
      <c r="O575" s="9">
        <f t="shared" si="75"/>
        <v>-21.2</v>
      </c>
      <c r="P575" s="8">
        <f>D572/B572*10^(O575/10)</f>
        <v>2.3844621775083983</v>
      </c>
      <c r="Q575" s="26"/>
      <c r="R575" s="17"/>
      <c r="S575" s="19"/>
      <c r="T575" s="17"/>
      <c r="U575" s="22"/>
    </row>
    <row r="576" spans="1:21" x14ac:dyDescent="0.25">
      <c r="A576" s="24"/>
      <c r="B576" s="24"/>
      <c r="C576" s="17"/>
      <c r="D576" s="24"/>
      <c r="E576" s="24"/>
      <c r="F576" s="25"/>
      <c r="G576" s="1">
        <v>10025</v>
      </c>
      <c r="H576" s="2">
        <v>88.3</v>
      </c>
      <c r="I576" s="2">
        <v>-13</v>
      </c>
      <c r="J576" s="2">
        <v>-16.399999999999999</v>
      </c>
      <c r="K576" s="2">
        <f t="shared" si="73"/>
        <v>-13</v>
      </c>
      <c r="L576" s="8">
        <f t="shared" si="77"/>
        <v>7.413102413009181E-11</v>
      </c>
      <c r="M576" s="26"/>
      <c r="N576" s="17"/>
      <c r="O576" s="9">
        <f t="shared" si="75"/>
        <v>-16.399999999999999</v>
      </c>
      <c r="P576" s="8">
        <f>D572/B572*10^(O576/10)</f>
        <v>7.2009606552000305</v>
      </c>
      <c r="Q576" s="26"/>
      <c r="R576" s="17"/>
      <c r="S576" s="19"/>
      <c r="T576" s="17"/>
      <c r="U576" s="22"/>
    </row>
    <row r="577" spans="1:21" x14ac:dyDescent="0.25">
      <c r="A577" s="24"/>
      <c r="B577" s="24"/>
      <c r="C577" s="17"/>
      <c r="D577" s="24"/>
      <c r="E577" s="24"/>
      <c r="F577" s="25"/>
      <c r="G577" s="1">
        <v>11025</v>
      </c>
      <c r="H577" s="2">
        <v>86</v>
      </c>
      <c r="I577" s="2">
        <v>-17.2</v>
      </c>
      <c r="J577" s="2">
        <v>-23.2</v>
      </c>
      <c r="K577" s="2">
        <f t="shared" si="73"/>
        <v>-17.2</v>
      </c>
      <c r="L577" s="8">
        <f t="shared" si="77"/>
        <v>4.786300923226362E-11</v>
      </c>
      <c r="M577" s="26"/>
      <c r="N577" s="17"/>
      <c r="O577" s="9">
        <f t="shared" si="75"/>
        <v>-23.2</v>
      </c>
      <c r="P577" s="8">
        <f>D572/B572*10^(O577/10)</f>
        <v>1.5044939235341599</v>
      </c>
      <c r="Q577" s="26"/>
      <c r="R577" s="17"/>
      <c r="S577" s="20"/>
      <c r="T577" s="17"/>
      <c r="U577" s="23"/>
    </row>
    <row r="578" spans="1:21" x14ac:dyDescent="0.25">
      <c r="A578" s="24" t="s">
        <v>20</v>
      </c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12">
        <f>U578</f>
        <v>7.9496206341249889E-2</v>
      </c>
      <c r="T578" s="2"/>
      <c r="U578" s="8">
        <f>0.8*SQRT(SUM(U544:U577))</f>
        <v>7.9496206341249889E-2</v>
      </c>
    </row>
    <row r="579" spans="1:21" x14ac:dyDescent="0.25">
      <c r="A579" s="27" t="s">
        <v>88</v>
      </c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9"/>
    </row>
    <row r="580" spans="1:21" x14ac:dyDescent="0.25">
      <c r="A580" s="24">
        <v>250</v>
      </c>
      <c r="B580" s="24">
        <v>3</v>
      </c>
      <c r="C580" s="17">
        <v>0.5</v>
      </c>
      <c r="D580" s="24">
        <v>38</v>
      </c>
      <c r="E580" s="24">
        <v>4</v>
      </c>
      <c r="F580" s="25">
        <v>84</v>
      </c>
      <c r="G580" s="1">
        <v>175</v>
      </c>
      <c r="H580" s="2">
        <v>84.8</v>
      </c>
      <c r="I580" s="2">
        <v>-12.9</v>
      </c>
      <c r="J580" s="2">
        <v>-18</v>
      </c>
      <c r="K580" s="2">
        <f>I580</f>
        <v>-12.9</v>
      </c>
      <c r="L580" s="8">
        <f>10^((K580-H580)/10)</f>
        <v>1.6982436524617399E-10</v>
      </c>
      <c r="M580" s="26">
        <f>SUM(L580:L583)</f>
        <v>2.4774147089862472E-10</v>
      </c>
      <c r="N580" s="17">
        <f>10*LOG10(M580/E580)</f>
        <v>-102.08061279554803</v>
      </c>
      <c r="O580" s="9">
        <f>J580</f>
        <v>-18</v>
      </c>
      <c r="P580" s="8">
        <f>D580/B580*10^(O580/10)</f>
        <v>0.20075313771174089</v>
      </c>
      <c r="Q580" s="26">
        <f>SUM(P580:P583)</f>
        <v>0.78103457725113778</v>
      </c>
      <c r="R580" s="17">
        <f>10*LOG10(Q580)</f>
        <v>-1.0732973900751328</v>
      </c>
      <c r="S580" s="18">
        <f>F580+N580-Kzt-H</f>
        <v>-18.080612795548035</v>
      </c>
      <c r="T580" s="17">
        <v>0.2</v>
      </c>
      <c r="U580" s="21">
        <f>T580*10^((S580-R580)/10)</f>
        <v>3.9838085111588081E-3</v>
      </c>
    </row>
    <row r="581" spans="1:21" x14ac:dyDescent="0.25">
      <c r="A581" s="24"/>
      <c r="B581" s="24"/>
      <c r="C581" s="17"/>
      <c r="D581" s="24"/>
      <c r="E581" s="24"/>
      <c r="F581" s="25"/>
      <c r="G581" s="1">
        <v>225</v>
      </c>
      <c r="H581" s="2">
        <v>90</v>
      </c>
      <c r="I581" s="2">
        <v>-15.5</v>
      </c>
      <c r="J581" s="2">
        <v>-17.2</v>
      </c>
      <c r="K581" s="2">
        <f t="shared" ref="K581:K613" si="78">I581</f>
        <v>-15.5</v>
      </c>
      <c r="L581" s="8">
        <f t="shared" ref="L581:L582" si="79">10^((K581-H581)/10)</f>
        <v>2.8183829312644474E-11</v>
      </c>
      <c r="M581" s="26"/>
      <c r="N581" s="17"/>
      <c r="O581" s="9">
        <f t="shared" ref="O581:O613" si="80">J581</f>
        <v>-17.2</v>
      </c>
      <c r="P581" s="8">
        <f>D580/B580*10^(O581/10)</f>
        <v>0.24135835760867785</v>
      </c>
      <c r="Q581" s="26"/>
      <c r="R581" s="17"/>
      <c r="S581" s="19"/>
      <c r="T581" s="17"/>
      <c r="U581" s="22"/>
    </row>
    <row r="582" spans="1:21" x14ac:dyDescent="0.25">
      <c r="A582" s="24"/>
      <c r="B582" s="24"/>
      <c r="C582" s="17"/>
      <c r="D582" s="24"/>
      <c r="E582" s="24"/>
      <c r="F582" s="25"/>
      <c r="G582" s="1">
        <v>275</v>
      </c>
      <c r="H582" s="2">
        <v>92.2</v>
      </c>
      <c r="I582" s="2">
        <v>-13.2</v>
      </c>
      <c r="J582" s="2">
        <v>-19.100000000000001</v>
      </c>
      <c r="K582" s="2">
        <f t="shared" si="78"/>
        <v>-13.2</v>
      </c>
      <c r="L582" s="8">
        <f t="shared" si="79"/>
        <v>2.8840315031265894E-11</v>
      </c>
      <c r="M582" s="26"/>
      <c r="N582" s="17"/>
      <c r="O582" s="9">
        <f t="shared" si="80"/>
        <v>-19.100000000000001</v>
      </c>
      <c r="P582" s="8">
        <f>D580/B580*10^(O582/10)</f>
        <v>0.15583404430290157</v>
      </c>
      <c r="Q582" s="26"/>
      <c r="R582" s="17"/>
      <c r="S582" s="19"/>
      <c r="T582" s="17"/>
      <c r="U582" s="22"/>
    </row>
    <row r="583" spans="1:21" x14ac:dyDescent="0.25">
      <c r="A583" s="24"/>
      <c r="B583" s="24"/>
      <c r="C583" s="17"/>
      <c r="D583" s="24"/>
      <c r="E583" s="24"/>
      <c r="F583" s="25"/>
      <c r="G583" s="1">
        <v>325</v>
      </c>
      <c r="H583" s="2">
        <v>93.3</v>
      </c>
      <c r="I583" s="2">
        <v>-13.5</v>
      </c>
      <c r="J583" s="2">
        <v>-18.399999999999999</v>
      </c>
      <c r="K583" s="2">
        <f t="shared" si="78"/>
        <v>-13.5</v>
      </c>
      <c r="L583" s="8">
        <f>10^((K583-H583)/10)</f>
        <v>2.0892961308540373E-11</v>
      </c>
      <c r="M583" s="26"/>
      <c r="N583" s="17"/>
      <c r="O583" s="9">
        <f t="shared" si="80"/>
        <v>-18.399999999999999</v>
      </c>
      <c r="P583" s="8">
        <f>D580/B580*10^(O583/10)</f>
        <v>0.18308903762781745</v>
      </c>
      <c r="Q583" s="26"/>
      <c r="R583" s="17"/>
      <c r="S583" s="20"/>
      <c r="T583" s="17"/>
      <c r="U583" s="23"/>
    </row>
    <row r="584" spans="1:21" x14ac:dyDescent="0.25">
      <c r="A584" s="24">
        <v>500</v>
      </c>
      <c r="B584" s="24">
        <v>3</v>
      </c>
      <c r="C584" s="17">
        <v>0.5</v>
      </c>
      <c r="D584" s="24">
        <v>59</v>
      </c>
      <c r="E584" s="24">
        <v>6</v>
      </c>
      <c r="F584" s="25">
        <v>84</v>
      </c>
      <c r="G584" s="1">
        <v>375</v>
      </c>
      <c r="H584" s="2">
        <v>91.9</v>
      </c>
      <c r="I584" s="2">
        <v>-13.8</v>
      </c>
      <c r="J584" s="2">
        <v>-21.8</v>
      </c>
      <c r="K584" s="2">
        <f t="shared" si="78"/>
        <v>-13.8</v>
      </c>
      <c r="L584" s="8">
        <f t="shared" ref="L584:L585" si="81">10^((K584-H584)/10)</f>
        <v>2.6915348039269103E-11</v>
      </c>
      <c r="M584" s="26">
        <f>SUM(L584:L589)</f>
        <v>1.8886053648375459E-10</v>
      </c>
      <c r="N584" s="17">
        <f>10*LOG10(M584/E584)</f>
        <v>-105.02010031359862</v>
      </c>
      <c r="O584" s="9">
        <f t="shared" si="80"/>
        <v>-21.8</v>
      </c>
      <c r="P584" s="8">
        <f>D584/B584*10^(O584/10)</f>
        <v>0.12993637810816047</v>
      </c>
      <c r="Q584" s="26">
        <f>SUM(P584:P589)</f>
        <v>1.480263764979342</v>
      </c>
      <c r="R584" s="17">
        <f>10*LOG10(Q584)</f>
        <v>1.7033910827913608</v>
      </c>
      <c r="S584" s="18">
        <f>F584+N584-Kzt-H</f>
        <v>-21.020100313598618</v>
      </c>
      <c r="T584" s="17">
        <v>0.5</v>
      </c>
      <c r="U584" s="21">
        <f>T584*10^((S584-R584)/10)</f>
        <v>2.670673915603283E-3</v>
      </c>
    </row>
    <row r="585" spans="1:21" x14ac:dyDescent="0.25">
      <c r="A585" s="24"/>
      <c r="B585" s="24"/>
      <c r="C585" s="17"/>
      <c r="D585" s="24"/>
      <c r="E585" s="24"/>
      <c r="F585" s="25"/>
      <c r="G585" s="1">
        <v>425</v>
      </c>
      <c r="H585" s="2">
        <v>88.1</v>
      </c>
      <c r="I585" s="2">
        <v>-11.9</v>
      </c>
      <c r="J585" s="2">
        <v>-19.899999999999999</v>
      </c>
      <c r="K585" s="2">
        <f t="shared" si="78"/>
        <v>-11.9</v>
      </c>
      <c r="L585" s="8">
        <f t="shared" si="81"/>
        <v>1E-10</v>
      </c>
      <c r="M585" s="26"/>
      <c r="N585" s="17"/>
      <c r="O585" s="9">
        <f t="shared" si="80"/>
        <v>-19.899999999999999</v>
      </c>
      <c r="P585" s="8">
        <f>D584/B584*10^(O585/10)</f>
        <v>0.20124762181521505</v>
      </c>
      <c r="Q585" s="26"/>
      <c r="R585" s="17"/>
      <c r="S585" s="19"/>
      <c r="T585" s="17"/>
      <c r="U585" s="22"/>
    </row>
    <row r="586" spans="1:21" x14ac:dyDescent="0.25">
      <c r="A586" s="24"/>
      <c r="B586" s="24"/>
      <c r="C586" s="17"/>
      <c r="D586" s="24"/>
      <c r="E586" s="24"/>
      <c r="F586" s="25"/>
      <c r="G586" s="1">
        <v>475</v>
      </c>
      <c r="H586" s="2">
        <v>90</v>
      </c>
      <c r="I586" s="2">
        <v>-14.2</v>
      </c>
      <c r="J586" s="2">
        <v>-18.7</v>
      </c>
      <c r="K586" s="2">
        <f t="shared" si="78"/>
        <v>-14.2</v>
      </c>
      <c r="L586" s="8">
        <f>10^((K586-H586)/10)</f>
        <v>3.8018939632055986E-11</v>
      </c>
      <c r="M586" s="26"/>
      <c r="N586" s="17"/>
      <c r="O586" s="9">
        <f t="shared" si="80"/>
        <v>-18.7</v>
      </c>
      <c r="P586" s="8">
        <f>D584/B584*10^(O586/10)</f>
        <v>0.26529603357635856</v>
      </c>
      <c r="Q586" s="26"/>
      <c r="R586" s="17"/>
      <c r="S586" s="19"/>
      <c r="T586" s="17"/>
      <c r="U586" s="22"/>
    </row>
    <row r="587" spans="1:21" x14ac:dyDescent="0.25">
      <c r="A587" s="24"/>
      <c r="B587" s="24"/>
      <c r="C587" s="17"/>
      <c r="D587" s="24"/>
      <c r="E587" s="24"/>
      <c r="F587" s="25"/>
      <c r="G587" s="1">
        <v>575</v>
      </c>
      <c r="H587" s="2">
        <v>97</v>
      </c>
      <c r="I587" s="2">
        <v>-18</v>
      </c>
      <c r="J587" s="2">
        <v>-19</v>
      </c>
      <c r="K587" s="2">
        <f t="shared" si="78"/>
        <v>-18</v>
      </c>
      <c r="L587" s="8">
        <f t="shared" ref="L587:L613" si="82">10^((K587-H587)/10)</f>
        <v>3.1622776601683669E-12</v>
      </c>
      <c r="M587" s="26"/>
      <c r="N587" s="17"/>
      <c r="O587" s="9">
        <f t="shared" si="80"/>
        <v>-19</v>
      </c>
      <c r="P587" s="8">
        <f>D584/B584*10^(O587/10)</f>
        <v>0.24758866431951942</v>
      </c>
      <c r="Q587" s="26"/>
      <c r="R587" s="17"/>
      <c r="S587" s="19"/>
      <c r="T587" s="17"/>
      <c r="U587" s="22"/>
    </row>
    <row r="588" spans="1:21" x14ac:dyDescent="0.25">
      <c r="A588" s="24"/>
      <c r="B588" s="24"/>
      <c r="C588" s="17"/>
      <c r="D588" s="24"/>
      <c r="E588" s="24"/>
      <c r="F588" s="25"/>
      <c r="G588" s="1">
        <v>625</v>
      </c>
      <c r="H588" s="2">
        <v>92</v>
      </c>
      <c r="I588" s="2">
        <v>-16.400000000000002</v>
      </c>
      <c r="J588" s="2">
        <v>-16.600000000000001</v>
      </c>
      <c r="K588" s="2">
        <f t="shared" si="78"/>
        <v>-16.400000000000002</v>
      </c>
      <c r="L588" s="8">
        <f t="shared" si="82"/>
        <v>1.4454397707459232E-11</v>
      </c>
      <c r="M588" s="26"/>
      <c r="N588" s="17"/>
      <c r="O588" s="9">
        <f t="shared" si="80"/>
        <v>-16.600000000000001</v>
      </c>
      <c r="P588" s="8">
        <f>D584/B584*10^(O588/10)</f>
        <v>0.43025978604341175</v>
      </c>
      <c r="Q588" s="26"/>
      <c r="R588" s="17"/>
      <c r="S588" s="19"/>
      <c r="T588" s="17"/>
      <c r="U588" s="22"/>
    </row>
    <row r="589" spans="1:21" x14ac:dyDescent="0.25">
      <c r="A589" s="24"/>
      <c r="B589" s="24"/>
      <c r="C589" s="17"/>
      <c r="D589" s="24"/>
      <c r="E589" s="24"/>
      <c r="F589" s="25"/>
      <c r="G589" s="1">
        <v>675</v>
      </c>
      <c r="H589" s="2">
        <v>94.5</v>
      </c>
      <c r="I589" s="2">
        <v>-17.5</v>
      </c>
      <c r="J589" s="2">
        <v>-19.8</v>
      </c>
      <c r="K589" s="2">
        <f t="shared" si="78"/>
        <v>-17.5</v>
      </c>
      <c r="L589" s="8">
        <f t="shared" si="82"/>
        <v>6.3095734448019345E-12</v>
      </c>
      <c r="M589" s="26"/>
      <c r="N589" s="17"/>
      <c r="O589" s="9">
        <f t="shared" si="80"/>
        <v>-19.8</v>
      </c>
      <c r="P589" s="8">
        <f>D584/B584*10^(O589/10)</f>
        <v>0.2059352811166768</v>
      </c>
      <c r="Q589" s="26"/>
      <c r="R589" s="17"/>
      <c r="S589" s="20"/>
      <c r="T589" s="17"/>
      <c r="U589" s="23"/>
    </row>
    <row r="590" spans="1:21" x14ac:dyDescent="0.25">
      <c r="A590" s="24">
        <v>1000</v>
      </c>
      <c r="B590" s="24">
        <v>3</v>
      </c>
      <c r="C590" s="17">
        <v>0.5</v>
      </c>
      <c r="D590" s="24">
        <v>117</v>
      </c>
      <c r="E590" s="24">
        <v>6</v>
      </c>
      <c r="F590" s="25">
        <v>76</v>
      </c>
      <c r="G590" s="1">
        <v>875</v>
      </c>
      <c r="H590" s="2">
        <v>91.1</v>
      </c>
      <c r="I590" s="2">
        <v>-14.2</v>
      </c>
      <c r="J590" s="2">
        <v>-20.5</v>
      </c>
      <c r="K590" s="2">
        <f t="shared" si="78"/>
        <v>-14.2</v>
      </c>
      <c r="L590" s="8">
        <f t="shared" si="82"/>
        <v>2.9512092266663787E-11</v>
      </c>
      <c r="M590" s="26">
        <f>SUM(L590:L595)</f>
        <v>5.695315973561006E-11</v>
      </c>
      <c r="N590" s="17">
        <f>10*LOG10(M590/E590)</f>
        <v>-110.22633426838183</v>
      </c>
      <c r="O590" s="9">
        <f t="shared" si="80"/>
        <v>-20.5</v>
      </c>
      <c r="P590" s="8">
        <f>D590/B590*10^(O590/10)</f>
        <v>0.34758786587216078</v>
      </c>
      <c r="Q590" s="26">
        <f>SUM(P590:P595)</f>
        <v>3.0496489266818472</v>
      </c>
      <c r="R590" s="17">
        <f>10*LOG10(Q590)</f>
        <v>4.8424984656627723</v>
      </c>
      <c r="S590" s="18">
        <f>F590+N590-Kzt-H</f>
        <v>-34.226334268381834</v>
      </c>
      <c r="T590" s="17">
        <v>0.8</v>
      </c>
      <c r="U590" s="21">
        <f>T590*10^((S590-R590)/10)</f>
        <v>9.9130366900274737E-5</v>
      </c>
    </row>
    <row r="591" spans="1:21" x14ac:dyDescent="0.25">
      <c r="A591" s="24"/>
      <c r="B591" s="24"/>
      <c r="C591" s="17"/>
      <c r="D591" s="24"/>
      <c r="E591" s="24"/>
      <c r="F591" s="25"/>
      <c r="G591" s="1">
        <v>975</v>
      </c>
      <c r="H591" s="2">
        <v>96.5</v>
      </c>
      <c r="I591" s="2">
        <v>-15.4</v>
      </c>
      <c r="J591" s="2">
        <v>-18.8</v>
      </c>
      <c r="K591" s="2">
        <f t="shared" si="78"/>
        <v>-15.4</v>
      </c>
      <c r="L591" s="8">
        <f t="shared" si="82"/>
        <v>6.4565422903465118E-12</v>
      </c>
      <c r="M591" s="26"/>
      <c r="N591" s="17"/>
      <c r="O591" s="9">
        <f t="shared" si="80"/>
        <v>-18.8</v>
      </c>
      <c r="P591" s="8">
        <f>D590/B590*10^(O591/10)</f>
        <v>0.51412012803699836</v>
      </c>
      <c r="Q591" s="26"/>
      <c r="R591" s="17"/>
      <c r="S591" s="19"/>
      <c r="T591" s="17"/>
      <c r="U591" s="22"/>
    </row>
    <row r="592" spans="1:21" x14ac:dyDescent="0.25">
      <c r="A592" s="24"/>
      <c r="B592" s="24"/>
      <c r="C592" s="17"/>
      <c r="D592" s="24"/>
      <c r="E592" s="24"/>
      <c r="F592" s="25"/>
      <c r="G592" s="1">
        <v>1075</v>
      </c>
      <c r="H592" s="2">
        <v>94.6</v>
      </c>
      <c r="I592" s="2">
        <v>-14.299999999999999</v>
      </c>
      <c r="J592" s="2">
        <v>-16.2</v>
      </c>
      <c r="K592" s="2">
        <f t="shared" si="78"/>
        <v>-14.299999999999999</v>
      </c>
      <c r="L592" s="8">
        <f t="shared" si="82"/>
        <v>1.2882495516931353E-11</v>
      </c>
      <c r="M592" s="26"/>
      <c r="N592" s="17"/>
      <c r="O592" s="9">
        <f t="shared" si="80"/>
        <v>-16.2</v>
      </c>
      <c r="P592" s="8">
        <f>D590/B590*10^(O592/10)</f>
        <v>0.93554483841760117</v>
      </c>
      <c r="Q592" s="26"/>
      <c r="R592" s="17"/>
      <c r="S592" s="19"/>
      <c r="T592" s="17"/>
      <c r="U592" s="22"/>
    </row>
    <row r="593" spans="1:21" x14ac:dyDescent="0.25">
      <c r="A593" s="24"/>
      <c r="B593" s="24"/>
      <c r="C593" s="17"/>
      <c r="D593" s="24"/>
      <c r="E593" s="24"/>
      <c r="F593" s="25"/>
      <c r="G593" s="1">
        <v>1175</v>
      </c>
      <c r="H593" s="2">
        <v>97.8</v>
      </c>
      <c r="I593" s="2">
        <v>-14.9</v>
      </c>
      <c r="J593" s="2">
        <v>-23.8</v>
      </c>
      <c r="K593" s="2">
        <f t="shared" si="78"/>
        <v>-14.9</v>
      </c>
      <c r="L593" s="8">
        <f t="shared" si="82"/>
        <v>5.3703179637025143E-12</v>
      </c>
      <c r="M593" s="26"/>
      <c r="N593" s="17"/>
      <c r="O593" s="9">
        <f t="shared" si="80"/>
        <v>-23.8</v>
      </c>
      <c r="P593" s="8">
        <f>D590/B590*10^(O593/10)</f>
        <v>0.16257905955343074</v>
      </c>
      <c r="Q593" s="26"/>
      <c r="R593" s="17"/>
      <c r="S593" s="19"/>
      <c r="T593" s="17"/>
      <c r="U593" s="22"/>
    </row>
    <row r="594" spans="1:21" x14ac:dyDescent="0.25">
      <c r="A594" s="24"/>
      <c r="B594" s="24"/>
      <c r="C594" s="17"/>
      <c r="D594" s="24"/>
      <c r="E594" s="24"/>
      <c r="F594" s="25"/>
      <c r="G594" s="1">
        <v>1275</v>
      </c>
      <c r="H594" s="2">
        <v>100.1</v>
      </c>
      <c r="I594" s="2">
        <v>-17.299999999999997</v>
      </c>
      <c r="J594" s="2">
        <v>-18.399999999999999</v>
      </c>
      <c r="K594" s="2">
        <f t="shared" si="78"/>
        <v>-17.299999999999997</v>
      </c>
      <c r="L594" s="8">
        <f t="shared" si="82"/>
        <v>1.819700858609987E-12</v>
      </c>
      <c r="M594" s="26"/>
      <c r="N594" s="17"/>
      <c r="O594" s="9">
        <f t="shared" si="80"/>
        <v>-18.399999999999999</v>
      </c>
      <c r="P594" s="8">
        <f>D590/B590*10^(O594/10)</f>
        <v>0.56372151059091158</v>
      </c>
      <c r="Q594" s="26"/>
      <c r="R594" s="17"/>
      <c r="S594" s="19"/>
      <c r="T594" s="17"/>
      <c r="U594" s="22"/>
    </row>
    <row r="595" spans="1:21" x14ac:dyDescent="0.25">
      <c r="A595" s="24"/>
      <c r="B595" s="24"/>
      <c r="C595" s="17"/>
      <c r="D595" s="24"/>
      <c r="E595" s="24"/>
      <c r="F595" s="25"/>
      <c r="G595" s="1">
        <v>1375</v>
      </c>
      <c r="H595" s="2">
        <v>103</v>
      </c>
      <c r="I595" s="2">
        <v>-17.399999999999999</v>
      </c>
      <c r="J595" s="2">
        <v>-18.7</v>
      </c>
      <c r="K595" s="2">
        <f t="shared" si="78"/>
        <v>-17.399999999999999</v>
      </c>
      <c r="L595" s="8">
        <f t="shared" si="82"/>
        <v>9.1201083935590446E-13</v>
      </c>
      <c r="M595" s="26"/>
      <c r="N595" s="17"/>
      <c r="O595" s="9">
        <f t="shared" si="80"/>
        <v>-18.7</v>
      </c>
      <c r="P595" s="8">
        <f>D590/B590*10^(O595/10)</f>
        <v>0.5260955242107449</v>
      </c>
      <c r="Q595" s="26"/>
      <c r="R595" s="17"/>
      <c r="S595" s="20"/>
      <c r="T595" s="17"/>
      <c r="U595" s="23"/>
    </row>
    <row r="596" spans="1:21" x14ac:dyDescent="0.25">
      <c r="A596" s="24">
        <v>2000</v>
      </c>
      <c r="B596" s="24">
        <v>3</v>
      </c>
      <c r="C596" s="17">
        <v>0.5</v>
      </c>
      <c r="D596" s="24">
        <v>234</v>
      </c>
      <c r="E596" s="24">
        <v>6</v>
      </c>
      <c r="F596" s="25">
        <v>68</v>
      </c>
      <c r="G596" s="1">
        <v>1425</v>
      </c>
      <c r="H596" s="2">
        <v>102.8</v>
      </c>
      <c r="I596" s="2">
        <v>-14.4</v>
      </c>
      <c r="J596" s="2">
        <v>-19.3</v>
      </c>
      <c r="K596" s="2">
        <f t="shared" si="78"/>
        <v>-14.4</v>
      </c>
      <c r="L596" s="8">
        <f t="shared" si="82"/>
        <v>1.905460717963237E-12</v>
      </c>
      <c r="M596" s="26">
        <f>SUM(L596:L601)</f>
        <v>1.2543312155243707E-11</v>
      </c>
      <c r="N596" s="17">
        <f>10*LOG10(M596/E596)</f>
        <v>-116.79739020044289</v>
      </c>
      <c r="O596" s="9">
        <f t="shared" si="80"/>
        <v>-19.3</v>
      </c>
      <c r="P596" s="8">
        <f>D596/B596*10^(O596/10)</f>
        <v>0.9164200928528321</v>
      </c>
      <c r="Q596" s="26">
        <f>SUM(P596:P601)</f>
        <v>5.2088679116491337</v>
      </c>
      <c r="R596" s="17">
        <f>10*LOG10(Q596)</f>
        <v>7.1674334457624811</v>
      </c>
      <c r="S596" s="18">
        <f>F596+N596-Kzt-H</f>
        <v>-48.797390200442891</v>
      </c>
      <c r="T596" s="17">
        <v>1</v>
      </c>
      <c r="U596" s="21">
        <f>T596*10^((S596-R596)/10)</f>
        <v>2.5323144627898672E-6</v>
      </c>
    </row>
    <row r="597" spans="1:21" x14ac:dyDescent="0.25">
      <c r="A597" s="24"/>
      <c r="B597" s="24"/>
      <c r="C597" s="17"/>
      <c r="D597" s="24"/>
      <c r="E597" s="24"/>
      <c r="F597" s="25"/>
      <c r="G597" s="1">
        <v>1625</v>
      </c>
      <c r="H597" s="2">
        <v>104.1</v>
      </c>
      <c r="I597" s="2">
        <v>-17.7</v>
      </c>
      <c r="J597" s="2">
        <v>-22.7</v>
      </c>
      <c r="K597" s="2">
        <f t="shared" si="78"/>
        <v>-17.7</v>
      </c>
      <c r="L597" s="8">
        <f t="shared" si="82"/>
        <v>6.606934480075954E-13</v>
      </c>
      <c r="M597" s="26"/>
      <c r="N597" s="17"/>
      <c r="O597" s="9">
        <f t="shared" si="80"/>
        <v>-22.7</v>
      </c>
      <c r="P597" s="8">
        <f>D596/B596*10^(O597/10)</f>
        <v>0.41888480116879689</v>
      </c>
      <c r="Q597" s="26"/>
      <c r="R597" s="17"/>
      <c r="S597" s="19"/>
      <c r="T597" s="17"/>
      <c r="U597" s="22"/>
    </row>
    <row r="598" spans="1:21" x14ac:dyDescent="0.25">
      <c r="A598" s="24"/>
      <c r="B598" s="24"/>
      <c r="C598" s="17"/>
      <c r="D598" s="24"/>
      <c r="E598" s="24"/>
      <c r="F598" s="25"/>
      <c r="G598" s="1">
        <v>1825</v>
      </c>
      <c r="H598" s="2">
        <v>107.6</v>
      </c>
      <c r="I598" s="2">
        <v>-15.2</v>
      </c>
      <c r="J598" s="2">
        <v>-17.2</v>
      </c>
      <c r="K598" s="2">
        <f t="shared" si="78"/>
        <v>-15.2</v>
      </c>
      <c r="L598" s="8">
        <f t="shared" si="82"/>
        <v>5.2480746024977259E-13</v>
      </c>
      <c r="M598" s="26"/>
      <c r="N598" s="17"/>
      <c r="O598" s="9">
        <f t="shared" si="80"/>
        <v>-17.2</v>
      </c>
      <c r="P598" s="8">
        <f>D596/B596*10^(O598/10)</f>
        <v>1.4862593600113321</v>
      </c>
      <c r="Q598" s="26"/>
      <c r="R598" s="17"/>
      <c r="S598" s="19"/>
      <c r="T598" s="17"/>
      <c r="U598" s="22"/>
    </row>
    <row r="599" spans="1:21" x14ac:dyDescent="0.25">
      <c r="A599" s="24"/>
      <c r="B599" s="24"/>
      <c r="C599" s="17"/>
      <c r="D599" s="24"/>
      <c r="E599" s="24"/>
      <c r="F599" s="25"/>
      <c r="G599" s="1">
        <v>2125</v>
      </c>
      <c r="H599" s="2">
        <v>104.2</v>
      </c>
      <c r="I599" s="2">
        <v>-18.8</v>
      </c>
      <c r="J599" s="2">
        <v>-20.5</v>
      </c>
      <c r="K599" s="2">
        <f t="shared" si="78"/>
        <v>-18.8</v>
      </c>
      <c r="L599" s="8">
        <f t="shared" si="82"/>
        <v>5.0118723362727066E-13</v>
      </c>
      <c r="M599" s="26"/>
      <c r="N599" s="17"/>
      <c r="O599" s="9">
        <f t="shared" si="80"/>
        <v>-20.5</v>
      </c>
      <c r="P599" s="8">
        <f>D596/B596*10^(O599/10)</f>
        <v>0.69517573174432157</v>
      </c>
      <c r="Q599" s="26"/>
      <c r="R599" s="17"/>
      <c r="S599" s="19"/>
      <c r="T599" s="17"/>
      <c r="U599" s="22"/>
    </row>
    <row r="600" spans="1:21" x14ac:dyDescent="0.25">
      <c r="A600" s="24"/>
      <c r="B600" s="24"/>
      <c r="C600" s="17"/>
      <c r="D600" s="24"/>
      <c r="E600" s="24"/>
      <c r="F600" s="25"/>
      <c r="G600" s="1">
        <v>2425</v>
      </c>
      <c r="H600" s="2">
        <v>93.7</v>
      </c>
      <c r="I600" s="2">
        <v>-18.100000000000001</v>
      </c>
      <c r="J600" s="2">
        <v>-20.7</v>
      </c>
      <c r="K600" s="2">
        <f t="shared" si="78"/>
        <v>-18.100000000000001</v>
      </c>
      <c r="L600" s="8">
        <f t="shared" si="82"/>
        <v>6.6069344800759144E-12</v>
      </c>
      <c r="M600" s="26"/>
      <c r="N600" s="17"/>
      <c r="O600" s="9">
        <f t="shared" si="80"/>
        <v>-20.7</v>
      </c>
      <c r="P600" s="8">
        <f>D596/B596*10^(O600/10)</f>
        <v>0.66388766979785385</v>
      </c>
      <c r="Q600" s="26"/>
      <c r="R600" s="17"/>
      <c r="S600" s="19"/>
      <c r="T600" s="17"/>
      <c r="U600" s="22"/>
    </row>
    <row r="601" spans="1:21" x14ac:dyDescent="0.25">
      <c r="A601" s="24"/>
      <c r="B601" s="24"/>
      <c r="C601" s="17"/>
      <c r="D601" s="24"/>
      <c r="E601" s="24"/>
      <c r="F601" s="25"/>
      <c r="G601" s="1">
        <v>2775</v>
      </c>
      <c r="H601" s="2">
        <v>100.2</v>
      </c>
      <c r="I601" s="2">
        <v>-16.100000000000001</v>
      </c>
      <c r="J601" s="2">
        <v>-18.8</v>
      </c>
      <c r="K601" s="2">
        <f t="shared" si="78"/>
        <v>-16.100000000000001</v>
      </c>
      <c r="L601" s="8">
        <f t="shared" si="82"/>
        <v>2.3442288153199162E-12</v>
      </c>
      <c r="M601" s="26"/>
      <c r="N601" s="17"/>
      <c r="O601" s="9">
        <f t="shared" si="80"/>
        <v>-18.8</v>
      </c>
      <c r="P601" s="8">
        <f>D596/B596*10^(O601/10)</f>
        <v>1.0282402560739967</v>
      </c>
      <c r="Q601" s="26"/>
      <c r="R601" s="17"/>
      <c r="S601" s="20"/>
      <c r="T601" s="17"/>
      <c r="U601" s="23"/>
    </row>
    <row r="602" spans="1:21" x14ac:dyDescent="0.25">
      <c r="A602" s="24">
        <v>4000</v>
      </c>
      <c r="B602" s="24">
        <v>3</v>
      </c>
      <c r="C602" s="17">
        <v>0.5</v>
      </c>
      <c r="D602" s="24">
        <v>470</v>
      </c>
      <c r="E602" s="24">
        <v>6</v>
      </c>
      <c r="F602" s="25">
        <v>62</v>
      </c>
      <c r="G602" s="1">
        <v>2825</v>
      </c>
      <c r="H602" s="2">
        <v>99.4</v>
      </c>
      <c r="I602" s="2">
        <v>-16.8</v>
      </c>
      <c r="J602" s="2">
        <v>-22.4</v>
      </c>
      <c r="K602" s="2">
        <f t="shared" si="78"/>
        <v>-16.8</v>
      </c>
      <c r="L602" s="8">
        <f t="shared" si="82"/>
        <v>2.3988329190194755E-12</v>
      </c>
      <c r="M602" s="26">
        <f>SUM(L602:L607)</f>
        <v>8.3627310409846963E-12</v>
      </c>
      <c r="N602" s="17">
        <f>10*LOG10(M602/E602)</f>
        <v>-118.55803120990285</v>
      </c>
      <c r="O602" s="9">
        <f t="shared" si="80"/>
        <v>-22.4</v>
      </c>
      <c r="P602" s="8">
        <f>D602/B602*10^(O602/10)</f>
        <v>0.90152256849487922</v>
      </c>
      <c r="Q602" s="26">
        <f>SUM(P602:P607)</f>
        <v>6.2480911914333825</v>
      </c>
      <c r="R602" s="17">
        <f>10*LOG10(Q602)</f>
        <v>7.9574735948116802</v>
      </c>
      <c r="S602" s="18">
        <f>F602+N602-Kzt-H</f>
        <v>-56.55803120990285</v>
      </c>
      <c r="T602" s="17">
        <v>0.9</v>
      </c>
      <c r="U602" s="21">
        <f>T602*10^((S602-R602)/10)</f>
        <v>3.1819403137262687E-7</v>
      </c>
    </row>
    <row r="603" spans="1:21" x14ac:dyDescent="0.25">
      <c r="A603" s="24"/>
      <c r="B603" s="24"/>
      <c r="C603" s="17"/>
      <c r="D603" s="24"/>
      <c r="E603" s="24"/>
      <c r="F603" s="25"/>
      <c r="G603" s="1">
        <v>3425</v>
      </c>
      <c r="H603" s="2">
        <v>103.5</v>
      </c>
      <c r="I603" s="2">
        <v>-12.8</v>
      </c>
      <c r="J603" s="2">
        <v>-22.3</v>
      </c>
      <c r="K603" s="2">
        <f t="shared" si="78"/>
        <v>-12.8</v>
      </c>
      <c r="L603" s="8">
        <f t="shared" si="82"/>
        <v>2.3442288153199247E-12</v>
      </c>
      <c r="M603" s="26"/>
      <c r="N603" s="17"/>
      <c r="O603" s="9">
        <f t="shared" si="80"/>
        <v>-22.3</v>
      </c>
      <c r="P603" s="8">
        <f>D602/B602*10^(O603/10)</f>
        <v>0.92252172672375599</v>
      </c>
      <c r="Q603" s="26"/>
      <c r="R603" s="17"/>
      <c r="S603" s="19"/>
      <c r="T603" s="17"/>
      <c r="U603" s="22"/>
    </row>
    <row r="604" spans="1:21" x14ac:dyDescent="0.25">
      <c r="A604" s="24"/>
      <c r="B604" s="24"/>
      <c r="C604" s="17"/>
      <c r="D604" s="24"/>
      <c r="E604" s="24"/>
      <c r="F604" s="25"/>
      <c r="G604" s="1">
        <v>4025</v>
      </c>
      <c r="H604" s="2">
        <v>103.6</v>
      </c>
      <c r="I604" s="2">
        <v>-16.399999999999999</v>
      </c>
      <c r="J604" s="2">
        <v>-24.7</v>
      </c>
      <c r="K604" s="2">
        <f t="shared" si="78"/>
        <v>-16.399999999999999</v>
      </c>
      <c r="L604" s="8">
        <f t="shared" si="82"/>
        <v>9.9999999999999998E-13</v>
      </c>
      <c r="M604" s="26"/>
      <c r="N604" s="17"/>
      <c r="O604" s="9">
        <f t="shared" si="80"/>
        <v>-24.7</v>
      </c>
      <c r="P604" s="8">
        <f>D602/B602*10^(O604/10)</f>
        <v>0.53085584461808366</v>
      </c>
      <c r="Q604" s="26"/>
      <c r="R604" s="17"/>
      <c r="S604" s="19"/>
      <c r="T604" s="17"/>
      <c r="U604" s="22"/>
    </row>
    <row r="605" spans="1:21" x14ac:dyDescent="0.25">
      <c r="A605" s="24"/>
      <c r="B605" s="24"/>
      <c r="C605" s="17"/>
      <c r="D605" s="24"/>
      <c r="E605" s="24"/>
      <c r="F605" s="25"/>
      <c r="G605" s="1">
        <v>4625</v>
      </c>
      <c r="H605" s="2">
        <v>105.6</v>
      </c>
      <c r="I605" s="2">
        <v>-19.7</v>
      </c>
      <c r="J605" s="2">
        <v>-20.399999999999999</v>
      </c>
      <c r="K605" s="2">
        <f t="shared" si="78"/>
        <v>-19.7</v>
      </c>
      <c r="L605" s="8">
        <f t="shared" si="82"/>
        <v>2.9512092266663824E-13</v>
      </c>
      <c r="M605" s="26"/>
      <c r="N605" s="17"/>
      <c r="O605" s="9">
        <f t="shared" si="80"/>
        <v>-20.399999999999999</v>
      </c>
      <c r="P605" s="8">
        <f>D602/B602*10^(O605/10)</f>
        <v>1.4288169816575904</v>
      </c>
      <c r="Q605" s="26"/>
      <c r="R605" s="17"/>
      <c r="S605" s="19"/>
      <c r="T605" s="17"/>
      <c r="U605" s="22"/>
    </row>
    <row r="606" spans="1:21" x14ac:dyDescent="0.25">
      <c r="A606" s="24"/>
      <c r="B606" s="24"/>
      <c r="C606" s="17"/>
      <c r="D606" s="24"/>
      <c r="E606" s="24"/>
      <c r="F606" s="25"/>
      <c r="G606" s="1">
        <v>5225</v>
      </c>
      <c r="H606" s="2">
        <v>103.5</v>
      </c>
      <c r="I606" s="2">
        <v>-16.899999999999999</v>
      </c>
      <c r="J606" s="2">
        <v>-19.3</v>
      </c>
      <c r="K606" s="2">
        <f t="shared" si="78"/>
        <v>-16.899999999999999</v>
      </c>
      <c r="L606" s="8">
        <f t="shared" si="82"/>
        <v>9.1201083935590446E-13</v>
      </c>
      <c r="M606" s="26"/>
      <c r="N606" s="17"/>
      <c r="O606" s="9">
        <f t="shared" si="80"/>
        <v>-19.3</v>
      </c>
      <c r="P606" s="8">
        <f>D602/B602*10^(O606/10)</f>
        <v>1.8406728360719276</v>
      </c>
      <c r="Q606" s="26"/>
      <c r="R606" s="17"/>
      <c r="S606" s="19"/>
      <c r="T606" s="17"/>
      <c r="U606" s="22"/>
    </row>
    <row r="607" spans="1:21" x14ac:dyDescent="0.25">
      <c r="A607" s="24"/>
      <c r="B607" s="24"/>
      <c r="C607" s="17"/>
      <c r="D607" s="24"/>
      <c r="E607" s="24"/>
      <c r="F607" s="25"/>
      <c r="G607" s="1">
        <v>5625</v>
      </c>
      <c r="H607" s="2">
        <v>99.5</v>
      </c>
      <c r="I607" s="2">
        <v>-19</v>
      </c>
      <c r="J607" s="2">
        <v>-24</v>
      </c>
      <c r="K607" s="2">
        <f t="shared" si="78"/>
        <v>-19</v>
      </c>
      <c r="L607" s="8">
        <f t="shared" si="82"/>
        <v>1.4125375446227535E-12</v>
      </c>
      <c r="M607" s="26"/>
      <c r="N607" s="17"/>
      <c r="O607" s="9">
        <f t="shared" si="80"/>
        <v>-24</v>
      </c>
      <c r="P607" s="8">
        <f>D602/B602*10^(O607/10)</f>
        <v>0.62370123386714549</v>
      </c>
      <c r="Q607" s="26"/>
      <c r="R607" s="17"/>
      <c r="S607" s="20"/>
      <c r="T607" s="17"/>
      <c r="U607" s="23"/>
    </row>
    <row r="608" spans="1:21" x14ac:dyDescent="0.25">
      <c r="A608" s="24">
        <v>8000</v>
      </c>
      <c r="B608" s="24">
        <v>3</v>
      </c>
      <c r="C608" s="17">
        <v>0.5</v>
      </c>
      <c r="D608" s="24">
        <v>943</v>
      </c>
      <c r="E608" s="24">
        <v>6</v>
      </c>
      <c r="F608" s="25">
        <v>54</v>
      </c>
      <c r="G608" s="1">
        <v>6025</v>
      </c>
      <c r="H608" s="2">
        <v>95</v>
      </c>
      <c r="I608" s="2">
        <v>-15.2</v>
      </c>
      <c r="J608" s="2">
        <v>-20.7</v>
      </c>
      <c r="K608" s="2">
        <f t="shared" si="78"/>
        <v>-15.2</v>
      </c>
      <c r="L608" s="8">
        <f t="shared" si="82"/>
        <v>9.5499258602143472E-12</v>
      </c>
      <c r="M608" s="26">
        <f>SUM(L608:L613)</f>
        <v>8.9516165229844484E-11</v>
      </c>
      <c r="N608" s="17">
        <f>10*LOG10(M608/E608)</f>
        <v>-108.26249781143844</v>
      </c>
      <c r="O608" s="9">
        <f t="shared" si="80"/>
        <v>-20.7</v>
      </c>
      <c r="P608" s="8">
        <f>D608/B608*10^(O608/10)</f>
        <v>2.6754105667494708</v>
      </c>
      <c r="Q608" s="26">
        <f>SUM(P608:P613)</f>
        <v>16.499211692326746</v>
      </c>
      <c r="R608" s="17">
        <f>10*LOG10(Q608)</f>
        <v>12.174631947683865</v>
      </c>
      <c r="S608" s="18">
        <f>F608+N608-Kzt-H</f>
        <v>-54.262497811438436</v>
      </c>
      <c r="T608" s="17">
        <v>0.7</v>
      </c>
      <c r="U608" s="21">
        <f>T608*10^((S608-R608)/10)</f>
        <v>1.5899558468231911E-7</v>
      </c>
    </row>
    <row r="609" spans="1:21" x14ac:dyDescent="0.25">
      <c r="A609" s="24"/>
      <c r="B609" s="24"/>
      <c r="C609" s="17"/>
      <c r="D609" s="24"/>
      <c r="E609" s="24"/>
      <c r="F609" s="25"/>
      <c r="G609" s="1">
        <v>7025</v>
      </c>
      <c r="H609" s="2">
        <v>94.8</v>
      </c>
      <c r="I609" s="2">
        <v>-16.100000000000001</v>
      </c>
      <c r="J609" s="2">
        <v>-18.7</v>
      </c>
      <c r="K609" s="2">
        <f t="shared" si="78"/>
        <v>-16.100000000000001</v>
      </c>
      <c r="L609" s="8">
        <f t="shared" si="82"/>
        <v>8.1283051616409864E-12</v>
      </c>
      <c r="M609" s="26"/>
      <c r="N609" s="17"/>
      <c r="O609" s="9">
        <f t="shared" si="80"/>
        <v>-18.7</v>
      </c>
      <c r="P609" s="8">
        <f>D608/B608*10^(O609/10)</f>
        <v>4.2402399942797642</v>
      </c>
      <c r="Q609" s="26"/>
      <c r="R609" s="17"/>
      <c r="S609" s="19"/>
      <c r="T609" s="17"/>
      <c r="U609" s="22"/>
    </row>
    <row r="610" spans="1:21" x14ac:dyDescent="0.25">
      <c r="A610" s="24"/>
      <c r="B610" s="24"/>
      <c r="C610" s="17"/>
      <c r="D610" s="24"/>
      <c r="E610" s="24"/>
      <c r="F610" s="25"/>
      <c r="G610" s="1">
        <v>8025</v>
      </c>
      <c r="H610" s="2">
        <v>101.9</v>
      </c>
      <c r="I610" s="2">
        <v>-12</v>
      </c>
      <c r="J610" s="2">
        <v>-22.1</v>
      </c>
      <c r="K610" s="2">
        <f t="shared" si="78"/>
        <v>-12</v>
      </c>
      <c r="L610" s="8">
        <f t="shared" si="82"/>
        <v>4.0738027780411076E-12</v>
      </c>
      <c r="M610" s="26"/>
      <c r="N610" s="17"/>
      <c r="O610" s="9">
        <f t="shared" si="80"/>
        <v>-22.1</v>
      </c>
      <c r="P610" s="8">
        <f>D608/B608*10^(O610/10)</f>
        <v>1.9381636225179248</v>
      </c>
      <c r="Q610" s="26"/>
      <c r="R610" s="17"/>
      <c r="S610" s="19"/>
      <c r="T610" s="17"/>
      <c r="U610" s="22"/>
    </row>
    <row r="611" spans="1:21" x14ac:dyDescent="0.25">
      <c r="A611" s="24"/>
      <c r="B611" s="24"/>
      <c r="C611" s="17"/>
      <c r="D611" s="24"/>
      <c r="E611" s="24"/>
      <c r="F611" s="25"/>
      <c r="G611" s="1">
        <v>9025</v>
      </c>
      <c r="H611" s="2">
        <v>93.2</v>
      </c>
      <c r="I611" s="2">
        <v>-17.100000000000001</v>
      </c>
      <c r="J611" s="2">
        <v>-21.8</v>
      </c>
      <c r="K611" s="2">
        <f t="shared" si="78"/>
        <v>-17.100000000000001</v>
      </c>
      <c r="L611" s="8">
        <f t="shared" si="82"/>
        <v>9.3325430079698653E-12</v>
      </c>
      <c r="M611" s="26"/>
      <c r="N611" s="17"/>
      <c r="O611" s="9">
        <f t="shared" si="80"/>
        <v>-21.8</v>
      </c>
      <c r="P611" s="8">
        <f>D608/B608*10^(O611/10)</f>
        <v>2.0767797382372088</v>
      </c>
      <c r="Q611" s="26"/>
      <c r="R611" s="17"/>
      <c r="S611" s="19"/>
      <c r="T611" s="17"/>
      <c r="U611" s="22"/>
    </row>
    <row r="612" spans="1:21" x14ac:dyDescent="0.25">
      <c r="A612" s="24"/>
      <c r="B612" s="24"/>
      <c r="C612" s="17"/>
      <c r="D612" s="24"/>
      <c r="E612" s="24"/>
      <c r="F612" s="25"/>
      <c r="G612" s="1">
        <v>10025</v>
      </c>
      <c r="H612" s="2">
        <v>88.3</v>
      </c>
      <c r="I612" s="2">
        <v>-19</v>
      </c>
      <c r="J612" s="2">
        <v>-19.8</v>
      </c>
      <c r="K612" s="2">
        <f t="shared" si="78"/>
        <v>-19</v>
      </c>
      <c r="L612" s="8">
        <f t="shared" si="82"/>
        <v>1.8620871366628599E-11</v>
      </c>
      <c r="M612" s="26"/>
      <c r="N612" s="17"/>
      <c r="O612" s="9">
        <f t="shared" si="80"/>
        <v>-19.8</v>
      </c>
      <c r="P612" s="8">
        <f>D608/B608*10^(O612/10)</f>
        <v>3.2914740693733253</v>
      </c>
      <c r="Q612" s="26"/>
      <c r="R612" s="17"/>
      <c r="S612" s="19"/>
      <c r="T612" s="17"/>
      <c r="U612" s="22"/>
    </row>
    <row r="613" spans="1:21" x14ac:dyDescent="0.25">
      <c r="A613" s="24"/>
      <c r="B613" s="24"/>
      <c r="C613" s="17"/>
      <c r="D613" s="24"/>
      <c r="E613" s="24"/>
      <c r="F613" s="25"/>
      <c r="G613" s="1">
        <v>11025</v>
      </c>
      <c r="H613" s="2">
        <v>86</v>
      </c>
      <c r="I613" s="2">
        <v>-18</v>
      </c>
      <c r="J613" s="2">
        <v>-21.4</v>
      </c>
      <c r="K613" s="2">
        <f t="shared" si="78"/>
        <v>-18</v>
      </c>
      <c r="L613" s="8">
        <f t="shared" si="82"/>
        <v>3.9810717055349579E-11</v>
      </c>
      <c r="M613" s="26"/>
      <c r="N613" s="17"/>
      <c r="O613" s="9">
        <f t="shared" si="80"/>
        <v>-21.4</v>
      </c>
      <c r="P613" s="8">
        <f>D608/B608*10^(O613/10)</f>
        <v>2.2771437011690518</v>
      </c>
      <c r="Q613" s="26"/>
      <c r="R613" s="17"/>
      <c r="S613" s="20"/>
      <c r="T613" s="17"/>
      <c r="U613" s="23"/>
    </row>
    <row r="614" spans="1:21" x14ac:dyDescent="0.25">
      <c r="A614" s="24" t="s">
        <v>20</v>
      </c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12">
        <f>U614</f>
        <v>6.5758940613078423E-2</v>
      </c>
      <c r="T614" s="2"/>
      <c r="U614" s="8">
        <f>0.8*SQRT(SUM(U580:U613))</f>
        <v>6.5758940613078423E-2</v>
      </c>
    </row>
    <row r="615" spans="1:21" x14ac:dyDescent="0.25">
      <c r="A615" s="27" t="s">
        <v>89</v>
      </c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9"/>
    </row>
    <row r="616" spans="1:21" x14ac:dyDescent="0.25">
      <c r="A616" s="24">
        <v>250</v>
      </c>
      <c r="B616" s="24">
        <v>3</v>
      </c>
      <c r="C616" s="17">
        <v>0.5</v>
      </c>
      <c r="D616" s="24">
        <v>38</v>
      </c>
      <c r="E616" s="24">
        <v>4</v>
      </c>
      <c r="F616" s="25">
        <v>84</v>
      </c>
      <c r="G616" s="1">
        <v>175</v>
      </c>
      <c r="H616" s="2">
        <v>84.8</v>
      </c>
      <c r="I616" s="2">
        <v>-15.1</v>
      </c>
      <c r="J616" s="2">
        <v>-16.7</v>
      </c>
      <c r="K616" s="2">
        <f>I616</f>
        <v>-15.1</v>
      </c>
      <c r="L616" s="8">
        <f>10^((K616-H616)/10)</f>
        <v>1.0232929922807573E-10</v>
      </c>
      <c r="M616" s="26">
        <f>SUM(L616:L619)</f>
        <v>1.6765116575340422E-10</v>
      </c>
      <c r="N616" s="17">
        <f>10*LOG10(M616/E616)</f>
        <v>-103.77653413709199</v>
      </c>
      <c r="O616" s="9">
        <f>J616</f>
        <v>-16.7</v>
      </c>
      <c r="P616" s="8">
        <f>D616/B616*10^(O616/10)</f>
        <v>0.27080853133694938</v>
      </c>
      <c r="Q616" s="26">
        <f>SUM(P616:P619)</f>
        <v>0.74366112777162874</v>
      </c>
      <c r="R616" s="17">
        <f>10*LOG10(Q616)</f>
        <v>-1.286249191115429</v>
      </c>
      <c r="S616" s="18">
        <f>F616+N616-Kzt-H</f>
        <v>-19.776534137091986</v>
      </c>
      <c r="T616" s="17">
        <v>0.2</v>
      </c>
      <c r="U616" s="21">
        <f>T616*10^((S616-R616)/10)</f>
        <v>2.8314017820497278E-3</v>
      </c>
    </row>
    <row r="617" spans="1:21" x14ac:dyDescent="0.25">
      <c r="A617" s="24"/>
      <c r="B617" s="24"/>
      <c r="C617" s="17"/>
      <c r="D617" s="24"/>
      <c r="E617" s="24"/>
      <c r="F617" s="25"/>
      <c r="G617" s="1">
        <v>225</v>
      </c>
      <c r="H617" s="2">
        <v>90</v>
      </c>
      <c r="I617" s="2">
        <v>-14</v>
      </c>
      <c r="J617" s="2">
        <v>-19.399999999999999</v>
      </c>
      <c r="K617" s="2">
        <f t="shared" ref="K617:K649" si="83">I617</f>
        <v>-14</v>
      </c>
      <c r="L617" s="8">
        <f t="shared" ref="L617:L618" si="84">10^((K617-H617)/10)</f>
        <v>3.9810717055349579E-11</v>
      </c>
      <c r="M617" s="26"/>
      <c r="N617" s="17"/>
      <c r="O617" s="9">
        <f t="shared" ref="O617:O649" si="85">J617</f>
        <v>-19.399999999999999</v>
      </c>
      <c r="P617" s="8">
        <f>D616/B616*10^(O617/10)</f>
        <v>0.1454327920562718</v>
      </c>
      <c r="Q617" s="26"/>
      <c r="R617" s="17"/>
      <c r="S617" s="19"/>
      <c r="T617" s="17"/>
      <c r="U617" s="22"/>
    </row>
    <row r="618" spans="1:21" x14ac:dyDescent="0.25">
      <c r="A618" s="24"/>
      <c r="B618" s="24"/>
      <c r="C618" s="17"/>
      <c r="D618" s="24"/>
      <c r="E618" s="24"/>
      <c r="F618" s="25"/>
      <c r="G618" s="1">
        <v>275</v>
      </c>
      <c r="H618" s="2">
        <v>92.2</v>
      </c>
      <c r="I618" s="2">
        <v>-15</v>
      </c>
      <c r="J618" s="2">
        <v>-18</v>
      </c>
      <c r="K618" s="2">
        <f t="shared" si="83"/>
        <v>-15</v>
      </c>
      <c r="L618" s="8">
        <f t="shared" si="84"/>
        <v>1.9054607179632392E-11</v>
      </c>
      <c r="M618" s="26"/>
      <c r="N618" s="17"/>
      <c r="O618" s="9">
        <f t="shared" si="85"/>
        <v>-18</v>
      </c>
      <c r="P618" s="8">
        <f>D616/B616*10^(O618/10)</f>
        <v>0.20075313771174089</v>
      </c>
      <c r="Q618" s="26"/>
      <c r="R618" s="17"/>
      <c r="S618" s="19"/>
      <c r="T618" s="17"/>
      <c r="U618" s="22"/>
    </row>
    <row r="619" spans="1:21" x14ac:dyDescent="0.25">
      <c r="A619" s="24"/>
      <c r="B619" s="24"/>
      <c r="C619" s="17"/>
      <c r="D619" s="24"/>
      <c r="E619" s="24"/>
      <c r="F619" s="25"/>
      <c r="G619" s="1">
        <v>325</v>
      </c>
      <c r="H619" s="2">
        <v>93.3</v>
      </c>
      <c r="I619" s="2">
        <v>-18.600000000000001</v>
      </c>
      <c r="J619" s="2">
        <v>-20</v>
      </c>
      <c r="K619" s="2">
        <f t="shared" si="83"/>
        <v>-18.600000000000001</v>
      </c>
      <c r="L619" s="8">
        <f>10^((K619-H619)/10)</f>
        <v>6.4565422903465118E-12</v>
      </c>
      <c r="M619" s="26"/>
      <c r="N619" s="17"/>
      <c r="O619" s="9">
        <f t="shared" si="85"/>
        <v>-20</v>
      </c>
      <c r="P619" s="8">
        <f>D616/B616*10^(O619/10)</f>
        <v>0.12666666666666665</v>
      </c>
      <c r="Q619" s="26"/>
      <c r="R619" s="17"/>
      <c r="S619" s="20"/>
      <c r="T619" s="17"/>
      <c r="U619" s="23"/>
    </row>
    <row r="620" spans="1:21" x14ac:dyDescent="0.25">
      <c r="A620" s="24">
        <v>500</v>
      </c>
      <c r="B620" s="24">
        <v>3</v>
      </c>
      <c r="C620" s="17">
        <v>0.5</v>
      </c>
      <c r="D620" s="24">
        <v>59</v>
      </c>
      <c r="E620" s="24">
        <v>6</v>
      </c>
      <c r="F620" s="25">
        <v>84</v>
      </c>
      <c r="G620" s="1">
        <v>375</v>
      </c>
      <c r="H620" s="2">
        <v>91.9</v>
      </c>
      <c r="I620" s="2">
        <v>-19.399999999999999</v>
      </c>
      <c r="J620" s="2">
        <v>-20.2</v>
      </c>
      <c r="K620" s="2">
        <f t="shared" si="83"/>
        <v>-19.399999999999999</v>
      </c>
      <c r="L620" s="8">
        <f t="shared" ref="L620:L621" si="86">10^((K620-H620)/10)</f>
        <v>7.4131024130091464E-12</v>
      </c>
      <c r="M620" s="26">
        <f>SUM(L620:L625)</f>
        <v>1.0127356155340462E-10</v>
      </c>
      <c r="N620" s="17">
        <f>10*LOG10(M620/E620)</f>
        <v>-107.72655167018321</v>
      </c>
      <c r="O620" s="9">
        <f t="shared" si="85"/>
        <v>-20.2</v>
      </c>
      <c r="P620" s="8">
        <f>D620/B620*10^(O620/10)</f>
        <v>0.18781520858421571</v>
      </c>
      <c r="Q620" s="26">
        <f>SUM(P620:P625)</f>
        <v>1.1090915184625925</v>
      </c>
      <c r="R620" s="17">
        <f>10*LOG10(Q620)</f>
        <v>0.44967384132388349</v>
      </c>
      <c r="S620" s="18">
        <f>F620+N620-Kzt-H</f>
        <v>-23.726551670183213</v>
      </c>
      <c r="T620" s="17">
        <v>0.5</v>
      </c>
      <c r="U620" s="21">
        <f>T620*10^((S620-R620)/10)</f>
        <v>1.9113818299478984E-3</v>
      </c>
    </row>
    <row r="621" spans="1:21" x14ac:dyDescent="0.25">
      <c r="A621" s="24"/>
      <c r="B621" s="24"/>
      <c r="C621" s="17"/>
      <c r="D621" s="24"/>
      <c r="E621" s="24"/>
      <c r="F621" s="25"/>
      <c r="G621" s="1">
        <v>425</v>
      </c>
      <c r="H621" s="2">
        <v>88.1</v>
      </c>
      <c r="I621" s="2">
        <v>-16.7</v>
      </c>
      <c r="J621" s="2">
        <v>-18.100000000000001</v>
      </c>
      <c r="K621" s="2">
        <f t="shared" si="83"/>
        <v>-16.7</v>
      </c>
      <c r="L621" s="8">
        <f t="shared" si="86"/>
        <v>3.3113112148259015E-11</v>
      </c>
      <c r="M621" s="26"/>
      <c r="N621" s="17"/>
      <c r="O621" s="9">
        <f t="shared" si="85"/>
        <v>-18.100000000000001</v>
      </c>
      <c r="P621" s="8">
        <f>D620/B620*10^(O621/10)</f>
        <v>0.30460060171945447</v>
      </c>
      <c r="Q621" s="26"/>
      <c r="R621" s="17"/>
      <c r="S621" s="19"/>
      <c r="T621" s="17"/>
      <c r="U621" s="22"/>
    </row>
    <row r="622" spans="1:21" x14ac:dyDescent="0.25">
      <c r="A622" s="24"/>
      <c r="B622" s="24"/>
      <c r="C622" s="17"/>
      <c r="D622" s="24"/>
      <c r="E622" s="24"/>
      <c r="F622" s="25"/>
      <c r="G622" s="1">
        <v>475</v>
      </c>
      <c r="H622" s="2">
        <v>90</v>
      </c>
      <c r="I622" s="2">
        <v>-16.5</v>
      </c>
      <c r="J622" s="2">
        <v>-19.399999999999999</v>
      </c>
      <c r="K622" s="2">
        <f t="shared" si="83"/>
        <v>-16.5</v>
      </c>
      <c r="L622" s="8">
        <f>10^((K622-H622)/10)</f>
        <v>2.238721138568329E-11</v>
      </c>
      <c r="M622" s="26"/>
      <c r="N622" s="17"/>
      <c r="O622" s="9">
        <f t="shared" si="85"/>
        <v>-19.399999999999999</v>
      </c>
      <c r="P622" s="8">
        <f>D620/B620*10^(O622/10)</f>
        <v>0.22580354556105359</v>
      </c>
      <c r="Q622" s="26"/>
      <c r="R622" s="17"/>
      <c r="S622" s="19"/>
      <c r="T622" s="17"/>
      <c r="U622" s="22"/>
    </row>
    <row r="623" spans="1:21" x14ac:dyDescent="0.25">
      <c r="A623" s="24"/>
      <c r="B623" s="24"/>
      <c r="C623" s="17"/>
      <c r="D623" s="24"/>
      <c r="E623" s="24"/>
      <c r="F623" s="25"/>
      <c r="G623" s="1">
        <v>575</v>
      </c>
      <c r="H623" s="2">
        <v>97</v>
      </c>
      <c r="I623" s="2">
        <v>-15.6</v>
      </c>
      <c r="J623" s="2">
        <v>-19.7</v>
      </c>
      <c r="K623" s="2">
        <f t="shared" si="83"/>
        <v>-15.6</v>
      </c>
      <c r="L623" s="8">
        <f t="shared" ref="L623:L649" si="87">10^((K623-H623)/10)</f>
        <v>5.4954087385762314E-12</v>
      </c>
      <c r="M623" s="26"/>
      <c r="N623" s="17"/>
      <c r="O623" s="9">
        <f t="shared" si="85"/>
        <v>-19.7</v>
      </c>
      <c r="P623" s="8">
        <f>D620/B620*10^(O623/10)</f>
        <v>0.21073213003006244</v>
      </c>
      <c r="Q623" s="26"/>
      <c r="R623" s="17"/>
      <c r="S623" s="19"/>
      <c r="T623" s="17"/>
      <c r="U623" s="22"/>
    </row>
    <row r="624" spans="1:21" x14ac:dyDescent="0.25">
      <c r="A624" s="24"/>
      <c r="B624" s="24"/>
      <c r="C624" s="17"/>
      <c r="D624" s="24"/>
      <c r="E624" s="24"/>
      <c r="F624" s="25"/>
      <c r="G624" s="1">
        <v>625</v>
      </c>
      <c r="H624" s="2">
        <v>92</v>
      </c>
      <c r="I624" s="2">
        <v>-18.8</v>
      </c>
      <c r="J624" s="2">
        <v>-26.2</v>
      </c>
      <c r="K624" s="2">
        <f t="shared" si="83"/>
        <v>-18.8</v>
      </c>
      <c r="L624" s="8">
        <f t="shared" si="87"/>
        <v>8.3176377110266746E-12</v>
      </c>
      <c r="M624" s="26"/>
      <c r="N624" s="17"/>
      <c r="O624" s="9">
        <f t="shared" si="85"/>
        <v>-26.2</v>
      </c>
      <c r="P624" s="8">
        <f>D620/B620*10^(O624/10)</f>
        <v>4.717704740738328E-2</v>
      </c>
      <c r="Q624" s="26"/>
      <c r="R624" s="17"/>
      <c r="S624" s="19"/>
      <c r="T624" s="17"/>
      <c r="U624" s="22"/>
    </row>
    <row r="625" spans="1:21" x14ac:dyDescent="0.25">
      <c r="A625" s="24"/>
      <c r="B625" s="24"/>
      <c r="C625" s="17"/>
      <c r="D625" s="24"/>
      <c r="E625" s="24"/>
      <c r="F625" s="25"/>
      <c r="G625" s="1">
        <v>675</v>
      </c>
      <c r="H625" s="2">
        <v>94.5</v>
      </c>
      <c r="I625" s="2">
        <v>-11.6</v>
      </c>
      <c r="J625" s="2">
        <v>-21.7</v>
      </c>
      <c r="K625" s="2">
        <f t="shared" si="83"/>
        <v>-11.6</v>
      </c>
      <c r="L625" s="8">
        <f t="shared" si="87"/>
        <v>2.4547089156850264E-11</v>
      </c>
      <c r="M625" s="26"/>
      <c r="N625" s="17"/>
      <c r="O625" s="9">
        <f t="shared" si="85"/>
        <v>-21.7</v>
      </c>
      <c r="P625" s="8">
        <f>D620/B620*10^(O625/10)</f>
        <v>0.13296298516042301</v>
      </c>
      <c r="Q625" s="26"/>
      <c r="R625" s="17"/>
      <c r="S625" s="20"/>
      <c r="T625" s="17"/>
      <c r="U625" s="23"/>
    </row>
    <row r="626" spans="1:21" x14ac:dyDescent="0.25">
      <c r="A626" s="24">
        <v>1000</v>
      </c>
      <c r="B626" s="24">
        <v>3</v>
      </c>
      <c r="C626" s="17">
        <v>0.5</v>
      </c>
      <c r="D626" s="24">
        <v>117</v>
      </c>
      <c r="E626" s="24">
        <v>6</v>
      </c>
      <c r="F626" s="25">
        <v>76</v>
      </c>
      <c r="G626" s="1">
        <v>875</v>
      </c>
      <c r="H626" s="2">
        <v>91.1</v>
      </c>
      <c r="I626" s="2">
        <v>-21.5</v>
      </c>
      <c r="J626" s="2">
        <v>-22.1</v>
      </c>
      <c r="K626" s="2">
        <f t="shared" si="83"/>
        <v>-21.5</v>
      </c>
      <c r="L626" s="8">
        <f t="shared" si="87"/>
        <v>5.4954087385762314E-12</v>
      </c>
      <c r="M626" s="26">
        <f>SUM(L626:L631)</f>
        <v>2.8856613567862131E-11</v>
      </c>
      <c r="N626" s="17">
        <f>10*LOG10(M626/E626)</f>
        <v>-113.17905886726793</v>
      </c>
      <c r="O626" s="9">
        <f t="shared" si="85"/>
        <v>-22.1</v>
      </c>
      <c r="P626" s="8">
        <f>D626/B626*10^(O626/10)</f>
        <v>0.24047205072597796</v>
      </c>
      <c r="Q626" s="26">
        <f>SUM(P626:P631)</f>
        <v>2.0588745752020183</v>
      </c>
      <c r="R626" s="17">
        <f>10*LOG10(Q626)</f>
        <v>3.136298905923903</v>
      </c>
      <c r="S626" s="18">
        <f>F626+N626-Kzt-H</f>
        <v>-37.179058867267926</v>
      </c>
      <c r="T626" s="17">
        <v>0.8</v>
      </c>
      <c r="U626" s="21">
        <f>T626*10^((S626-R626)/10)</f>
        <v>7.4396792096187127E-5</v>
      </c>
    </row>
    <row r="627" spans="1:21" x14ac:dyDescent="0.25">
      <c r="A627" s="24"/>
      <c r="B627" s="24"/>
      <c r="C627" s="17"/>
      <c r="D627" s="24"/>
      <c r="E627" s="24"/>
      <c r="F627" s="25"/>
      <c r="G627" s="1">
        <v>975</v>
      </c>
      <c r="H627" s="2">
        <v>96.5</v>
      </c>
      <c r="I627" s="2">
        <v>-18.5</v>
      </c>
      <c r="J627" s="2">
        <v>-20.100000000000001</v>
      </c>
      <c r="K627" s="2">
        <f t="shared" si="83"/>
        <v>-18.5</v>
      </c>
      <c r="L627" s="8">
        <f t="shared" si="87"/>
        <v>3.1622776601683669E-12</v>
      </c>
      <c r="M627" s="26"/>
      <c r="N627" s="17"/>
      <c r="O627" s="9">
        <f t="shared" si="85"/>
        <v>-20.100000000000001</v>
      </c>
      <c r="P627" s="8">
        <f>D626/B626*10^(O627/10)</f>
        <v>0.38112251617276571</v>
      </c>
      <c r="Q627" s="26"/>
      <c r="R627" s="17"/>
      <c r="S627" s="19"/>
      <c r="T627" s="17"/>
      <c r="U627" s="22"/>
    </row>
    <row r="628" spans="1:21" x14ac:dyDescent="0.25">
      <c r="A628" s="24"/>
      <c r="B628" s="24"/>
      <c r="C628" s="17"/>
      <c r="D628" s="24"/>
      <c r="E628" s="24"/>
      <c r="F628" s="25"/>
      <c r="G628" s="1">
        <v>1075</v>
      </c>
      <c r="H628" s="2">
        <v>94.6</v>
      </c>
      <c r="I628" s="2">
        <v>-15.3</v>
      </c>
      <c r="J628" s="2">
        <v>-21.4</v>
      </c>
      <c r="K628" s="2">
        <f t="shared" si="83"/>
        <v>-15.3</v>
      </c>
      <c r="L628" s="8">
        <f t="shared" si="87"/>
        <v>1.0232929922807561E-11</v>
      </c>
      <c r="M628" s="26"/>
      <c r="N628" s="17"/>
      <c r="O628" s="9">
        <f t="shared" si="85"/>
        <v>-21.4</v>
      </c>
      <c r="P628" s="8">
        <f>D626/B626*10^(O628/10)</f>
        <v>0.28253002442924613</v>
      </c>
      <c r="Q628" s="26"/>
      <c r="R628" s="17"/>
      <c r="S628" s="19"/>
      <c r="T628" s="17"/>
      <c r="U628" s="22"/>
    </row>
    <row r="629" spans="1:21" x14ac:dyDescent="0.25">
      <c r="A629" s="24"/>
      <c r="B629" s="24"/>
      <c r="C629" s="17"/>
      <c r="D629" s="24"/>
      <c r="E629" s="24"/>
      <c r="F629" s="25"/>
      <c r="G629" s="1">
        <v>1175</v>
      </c>
      <c r="H629" s="2">
        <v>97.8</v>
      </c>
      <c r="I629" s="2">
        <v>-14.4</v>
      </c>
      <c r="J629" s="2">
        <v>-20.2</v>
      </c>
      <c r="K629" s="2">
        <f t="shared" si="83"/>
        <v>-14.4</v>
      </c>
      <c r="L629" s="8">
        <f t="shared" si="87"/>
        <v>6.0255958607435596E-12</v>
      </c>
      <c r="M629" s="26"/>
      <c r="N629" s="17"/>
      <c r="O629" s="9">
        <f t="shared" si="85"/>
        <v>-20.2</v>
      </c>
      <c r="P629" s="8">
        <f>D626/B626*10^(O629/10)</f>
        <v>0.37244710854835994</v>
      </c>
      <c r="Q629" s="26"/>
      <c r="R629" s="17"/>
      <c r="S629" s="19"/>
      <c r="T629" s="17"/>
      <c r="U629" s="22"/>
    </row>
    <row r="630" spans="1:21" x14ac:dyDescent="0.25">
      <c r="A630" s="24"/>
      <c r="B630" s="24"/>
      <c r="C630" s="17"/>
      <c r="D630" s="24"/>
      <c r="E630" s="24"/>
      <c r="F630" s="25"/>
      <c r="G630" s="1">
        <v>1275</v>
      </c>
      <c r="H630" s="2">
        <v>100.1</v>
      </c>
      <c r="I630" s="2">
        <v>-15.4</v>
      </c>
      <c r="J630" s="2">
        <v>-23.4</v>
      </c>
      <c r="K630" s="2">
        <f t="shared" si="83"/>
        <v>-15.4</v>
      </c>
      <c r="L630" s="8">
        <f t="shared" si="87"/>
        <v>2.8183829312644444E-12</v>
      </c>
      <c r="M630" s="26"/>
      <c r="N630" s="17"/>
      <c r="O630" s="9">
        <f t="shared" si="85"/>
        <v>-23.4</v>
      </c>
      <c r="P630" s="8">
        <f>D626/B626*10^(O630/10)</f>
        <v>0.17826439394980126</v>
      </c>
      <c r="Q630" s="26"/>
      <c r="R630" s="17"/>
      <c r="S630" s="19"/>
      <c r="T630" s="17"/>
      <c r="U630" s="22"/>
    </row>
    <row r="631" spans="1:21" x14ac:dyDescent="0.25">
      <c r="A631" s="24"/>
      <c r="B631" s="24"/>
      <c r="C631" s="17"/>
      <c r="D631" s="24"/>
      <c r="E631" s="24"/>
      <c r="F631" s="25"/>
      <c r="G631" s="1">
        <v>1375</v>
      </c>
      <c r="H631" s="2">
        <v>103</v>
      </c>
      <c r="I631" s="2">
        <v>-16.5</v>
      </c>
      <c r="J631" s="2">
        <v>-18.100000000000001</v>
      </c>
      <c r="K631" s="2">
        <f t="shared" si="83"/>
        <v>-16.5</v>
      </c>
      <c r="L631" s="8">
        <f t="shared" si="87"/>
        <v>1.122018454301964E-12</v>
      </c>
      <c r="M631" s="26"/>
      <c r="N631" s="17"/>
      <c r="O631" s="9">
        <f t="shared" si="85"/>
        <v>-18.100000000000001</v>
      </c>
      <c r="P631" s="8">
        <f>D626/B626*10^(O631/10)</f>
        <v>0.60403848137586735</v>
      </c>
      <c r="Q631" s="26"/>
      <c r="R631" s="17"/>
      <c r="S631" s="20"/>
      <c r="T631" s="17"/>
      <c r="U631" s="23"/>
    </row>
    <row r="632" spans="1:21" x14ac:dyDescent="0.25">
      <c r="A632" s="24">
        <v>2000</v>
      </c>
      <c r="B632" s="24">
        <v>3</v>
      </c>
      <c r="C632" s="17">
        <v>0.5</v>
      </c>
      <c r="D632" s="24">
        <v>234</v>
      </c>
      <c r="E632" s="24">
        <v>6</v>
      </c>
      <c r="F632" s="25">
        <v>68</v>
      </c>
      <c r="G632" s="1">
        <v>1425</v>
      </c>
      <c r="H632" s="2">
        <v>102.8</v>
      </c>
      <c r="I632" s="2">
        <v>-16.5</v>
      </c>
      <c r="J632" s="2">
        <v>-17.899999999999999</v>
      </c>
      <c r="K632" s="2">
        <f t="shared" si="83"/>
        <v>-16.5</v>
      </c>
      <c r="L632" s="8">
        <f t="shared" si="87"/>
        <v>1.1748975549395258E-12</v>
      </c>
      <c r="M632" s="26">
        <f>SUM(L632:L637)</f>
        <v>1.0242163384942293E-11</v>
      </c>
      <c r="N632" s="17">
        <f>10*LOG10(M632/E632)</f>
        <v>-117.67759550881664</v>
      </c>
      <c r="O632" s="9">
        <f t="shared" si="85"/>
        <v>-17.899999999999999</v>
      </c>
      <c r="P632" s="8">
        <f>D632/B632*10^(O632/10)</f>
        <v>1.2650118759399658</v>
      </c>
      <c r="Q632" s="26">
        <f>SUM(P632:P637)</f>
        <v>4.7809428886449181</v>
      </c>
      <c r="R632" s="17">
        <f>10*LOG10(Q632)</f>
        <v>6.7951355580737482</v>
      </c>
      <c r="S632" s="18">
        <f>F632+N632-Kzt-H</f>
        <v>-49.677595508816637</v>
      </c>
      <c r="T632" s="17">
        <v>1</v>
      </c>
      <c r="U632" s="21">
        <f>T632*10^((S632-R632)/10)</f>
        <v>2.2528220763188934E-6</v>
      </c>
    </row>
    <row r="633" spans="1:21" x14ac:dyDescent="0.25">
      <c r="A633" s="24"/>
      <c r="B633" s="24"/>
      <c r="C633" s="17"/>
      <c r="D633" s="24"/>
      <c r="E633" s="24"/>
      <c r="F633" s="25"/>
      <c r="G633" s="1">
        <v>1625</v>
      </c>
      <c r="H633" s="2">
        <v>104.1</v>
      </c>
      <c r="I633" s="2">
        <v>-19.8</v>
      </c>
      <c r="J633" s="2">
        <v>-20</v>
      </c>
      <c r="K633" s="2">
        <f t="shared" si="83"/>
        <v>-19.8</v>
      </c>
      <c r="L633" s="8">
        <f t="shared" si="87"/>
        <v>4.0738027780411313E-13</v>
      </c>
      <c r="M633" s="26"/>
      <c r="N633" s="17"/>
      <c r="O633" s="9">
        <f t="shared" si="85"/>
        <v>-20</v>
      </c>
      <c r="P633" s="8">
        <f>D632/B632*10^(O633/10)</f>
        <v>0.78</v>
      </c>
      <c r="Q633" s="26"/>
      <c r="R633" s="17"/>
      <c r="S633" s="19"/>
      <c r="T633" s="17"/>
      <c r="U633" s="22"/>
    </row>
    <row r="634" spans="1:21" x14ac:dyDescent="0.25">
      <c r="A634" s="24"/>
      <c r="B634" s="24"/>
      <c r="C634" s="17"/>
      <c r="D634" s="24"/>
      <c r="E634" s="24"/>
      <c r="F634" s="25"/>
      <c r="G634" s="1">
        <v>1825</v>
      </c>
      <c r="H634" s="2">
        <v>107.6</v>
      </c>
      <c r="I634" s="2">
        <v>-14.9</v>
      </c>
      <c r="J634" s="2">
        <v>-21.7</v>
      </c>
      <c r="K634" s="2">
        <f t="shared" si="83"/>
        <v>-14.9</v>
      </c>
      <c r="L634" s="8">
        <f t="shared" si="87"/>
        <v>5.6234132519034702E-13</v>
      </c>
      <c r="M634" s="26"/>
      <c r="N634" s="17"/>
      <c r="O634" s="9">
        <f t="shared" si="85"/>
        <v>-21.7</v>
      </c>
      <c r="P634" s="8">
        <f>D632/B632*10^(O634/10)</f>
        <v>0.52734472080574546</v>
      </c>
      <c r="Q634" s="26"/>
      <c r="R634" s="17"/>
      <c r="S634" s="19"/>
      <c r="T634" s="17"/>
      <c r="U634" s="22"/>
    </row>
    <row r="635" spans="1:21" x14ac:dyDescent="0.25">
      <c r="A635" s="24"/>
      <c r="B635" s="24"/>
      <c r="C635" s="17"/>
      <c r="D635" s="24"/>
      <c r="E635" s="24"/>
      <c r="F635" s="25"/>
      <c r="G635" s="1">
        <v>2125</v>
      </c>
      <c r="H635" s="2">
        <v>104.2</v>
      </c>
      <c r="I635" s="2">
        <v>-16.8</v>
      </c>
      <c r="J635" s="2">
        <v>-20.7</v>
      </c>
      <c r="K635" s="2">
        <f t="shared" si="83"/>
        <v>-16.8</v>
      </c>
      <c r="L635" s="8">
        <f t="shared" si="87"/>
        <v>7.9432823472428024E-13</v>
      </c>
      <c r="M635" s="26"/>
      <c r="N635" s="17"/>
      <c r="O635" s="9">
        <f t="shared" si="85"/>
        <v>-20.7</v>
      </c>
      <c r="P635" s="8">
        <f>D632/B632*10^(O635/10)</f>
        <v>0.66388766979785385</v>
      </c>
      <c r="Q635" s="26"/>
      <c r="R635" s="17"/>
      <c r="S635" s="19"/>
      <c r="T635" s="17"/>
      <c r="U635" s="22"/>
    </row>
    <row r="636" spans="1:21" x14ac:dyDescent="0.25">
      <c r="A636" s="24"/>
      <c r="B636" s="24"/>
      <c r="C636" s="17"/>
      <c r="D636" s="24"/>
      <c r="E636" s="24"/>
      <c r="F636" s="25"/>
      <c r="G636" s="1">
        <v>2425</v>
      </c>
      <c r="H636" s="2">
        <v>93.7</v>
      </c>
      <c r="I636" s="2">
        <v>-18.7</v>
      </c>
      <c r="J636" s="2">
        <v>-20.3</v>
      </c>
      <c r="K636" s="2">
        <f t="shared" si="83"/>
        <v>-18.7</v>
      </c>
      <c r="L636" s="8">
        <f t="shared" si="87"/>
        <v>5.7543993733715538E-12</v>
      </c>
      <c r="M636" s="26"/>
      <c r="N636" s="17"/>
      <c r="O636" s="9">
        <f t="shared" si="85"/>
        <v>-20.3</v>
      </c>
      <c r="P636" s="8">
        <f>D632/B632*10^(O636/10)</f>
        <v>0.72793835462165224</v>
      </c>
      <c r="Q636" s="26"/>
      <c r="R636" s="17"/>
      <c r="S636" s="19"/>
      <c r="T636" s="17"/>
      <c r="U636" s="22"/>
    </row>
    <row r="637" spans="1:21" x14ac:dyDescent="0.25">
      <c r="A637" s="24"/>
      <c r="B637" s="24"/>
      <c r="C637" s="17"/>
      <c r="D637" s="24"/>
      <c r="E637" s="24"/>
      <c r="F637" s="25"/>
      <c r="G637" s="1">
        <v>2775</v>
      </c>
      <c r="H637" s="2">
        <v>100.2</v>
      </c>
      <c r="I637" s="2">
        <v>-17.900000000000002</v>
      </c>
      <c r="J637" s="2">
        <v>-19.8</v>
      </c>
      <c r="K637" s="2">
        <f t="shared" si="83"/>
        <v>-17.900000000000002</v>
      </c>
      <c r="L637" s="8">
        <f t="shared" si="87"/>
        <v>1.5488166189124747E-12</v>
      </c>
      <c r="M637" s="26"/>
      <c r="N637" s="17"/>
      <c r="O637" s="9">
        <f t="shared" si="85"/>
        <v>-19.8</v>
      </c>
      <c r="P637" s="8">
        <f>D632/B632*10^(O637/10)</f>
        <v>0.8167602674797011</v>
      </c>
      <c r="Q637" s="26"/>
      <c r="R637" s="17"/>
      <c r="S637" s="20"/>
      <c r="T637" s="17"/>
      <c r="U637" s="23"/>
    </row>
    <row r="638" spans="1:21" x14ac:dyDescent="0.25">
      <c r="A638" s="24">
        <v>4000</v>
      </c>
      <c r="B638" s="24">
        <v>3</v>
      </c>
      <c r="C638" s="17">
        <v>0.5</v>
      </c>
      <c r="D638" s="24">
        <v>470</v>
      </c>
      <c r="E638" s="24">
        <v>6</v>
      </c>
      <c r="F638" s="25">
        <v>62</v>
      </c>
      <c r="G638" s="1">
        <v>2825</v>
      </c>
      <c r="H638" s="2">
        <v>99.4</v>
      </c>
      <c r="I638" s="2">
        <v>-16.600000000000001</v>
      </c>
      <c r="J638" s="2">
        <v>-23.3</v>
      </c>
      <c r="K638" s="2">
        <f t="shared" si="83"/>
        <v>-16.600000000000001</v>
      </c>
      <c r="L638" s="8">
        <f t="shared" si="87"/>
        <v>2.5118864315095726E-12</v>
      </c>
      <c r="M638" s="26">
        <f>SUM(L638:L643)</f>
        <v>1.041221222778338E-11</v>
      </c>
      <c r="N638" s="17">
        <f>10*LOG10(M638/E638)</f>
        <v>-117.60608238812763</v>
      </c>
      <c r="O638" s="9">
        <f t="shared" si="85"/>
        <v>-23.3</v>
      </c>
      <c r="P638" s="8">
        <f>D638/B638*10^(O638/10)</f>
        <v>0.73278505468327648</v>
      </c>
      <c r="Q638" s="26">
        <f>SUM(P638:P643)</f>
        <v>8.4933084101862431</v>
      </c>
      <c r="R638" s="17">
        <f>10*LOG10(Q638)</f>
        <v>9.2907689453221387</v>
      </c>
      <c r="S638" s="18">
        <f>F638+N638-Kzt-H</f>
        <v>-55.606082388127632</v>
      </c>
      <c r="T638" s="17">
        <v>0.9</v>
      </c>
      <c r="U638" s="21">
        <f>T638*10^((S638-R638)/10)</f>
        <v>2.9144551477400718E-7</v>
      </c>
    </row>
    <row r="639" spans="1:21" x14ac:dyDescent="0.25">
      <c r="A639" s="24"/>
      <c r="B639" s="24"/>
      <c r="C639" s="17"/>
      <c r="D639" s="24"/>
      <c r="E639" s="24"/>
      <c r="F639" s="25"/>
      <c r="G639" s="1">
        <v>3425</v>
      </c>
      <c r="H639" s="2">
        <v>103.5</v>
      </c>
      <c r="I639" s="2">
        <v>-15.8</v>
      </c>
      <c r="J639" s="2">
        <v>-21.9</v>
      </c>
      <c r="K639" s="2">
        <f t="shared" si="83"/>
        <v>-15.8</v>
      </c>
      <c r="L639" s="8">
        <f t="shared" si="87"/>
        <v>1.1748975549395258E-12</v>
      </c>
      <c r="M639" s="26"/>
      <c r="N639" s="17"/>
      <c r="O639" s="9">
        <f t="shared" si="85"/>
        <v>-21.9</v>
      </c>
      <c r="P639" s="8">
        <f>D638/B638*10^(O639/10)</f>
        <v>1.0115249588209598</v>
      </c>
      <c r="Q639" s="26"/>
      <c r="R639" s="17"/>
      <c r="S639" s="19"/>
      <c r="T639" s="17"/>
      <c r="U639" s="22"/>
    </row>
    <row r="640" spans="1:21" x14ac:dyDescent="0.25">
      <c r="A640" s="24"/>
      <c r="B640" s="24"/>
      <c r="C640" s="17"/>
      <c r="D640" s="24"/>
      <c r="E640" s="24"/>
      <c r="F640" s="25"/>
      <c r="G640" s="1">
        <v>4025</v>
      </c>
      <c r="H640" s="2">
        <v>103.6</v>
      </c>
      <c r="I640" s="2">
        <v>-15.3</v>
      </c>
      <c r="J640" s="2">
        <v>-18.3</v>
      </c>
      <c r="K640" s="2">
        <f t="shared" si="83"/>
        <v>-15.3</v>
      </c>
      <c r="L640" s="8">
        <f t="shared" si="87"/>
        <v>1.2882495516931339E-12</v>
      </c>
      <c r="M640" s="26"/>
      <c r="N640" s="17"/>
      <c r="O640" s="9">
        <f t="shared" si="85"/>
        <v>-18.3</v>
      </c>
      <c r="P640" s="8">
        <f>D638/B638*10^(O640/10)</f>
        <v>2.3172698081301908</v>
      </c>
      <c r="Q640" s="26"/>
      <c r="R640" s="17"/>
      <c r="S640" s="19"/>
      <c r="T640" s="17"/>
      <c r="U640" s="22"/>
    </row>
    <row r="641" spans="1:21" x14ac:dyDescent="0.25">
      <c r="A641" s="24"/>
      <c r="B641" s="24"/>
      <c r="C641" s="17"/>
      <c r="D641" s="24"/>
      <c r="E641" s="24"/>
      <c r="F641" s="25"/>
      <c r="G641" s="1">
        <v>4625</v>
      </c>
      <c r="H641" s="2">
        <v>105.6</v>
      </c>
      <c r="I641" s="2">
        <v>-18.599999999999998</v>
      </c>
      <c r="J641" s="2">
        <v>-20.2</v>
      </c>
      <c r="K641" s="2">
        <f t="shared" si="83"/>
        <v>-18.599999999999998</v>
      </c>
      <c r="L641" s="8">
        <f t="shared" si="87"/>
        <v>3.8018939632056172E-13</v>
      </c>
      <c r="M641" s="26"/>
      <c r="N641" s="17"/>
      <c r="O641" s="9">
        <f t="shared" si="85"/>
        <v>-20.2</v>
      </c>
      <c r="P641" s="8">
        <f>D638/B638*10^(O641/10)</f>
        <v>1.4961550514335826</v>
      </c>
      <c r="Q641" s="26"/>
      <c r="R641" s="17"/>
      <c r="S641" s="19"/>
      <c r="T641" s="17"/>
      <c r="U641" s="22"/>
    </row>
    <row r="642" spans="1:21" x14ac:dyDescent="0.25">
      <c r="A642" s="24"/>
      <c r="B642" s="24"/>
      <c r="C642" s="17"/>
      <c r="D642" s="24"/>
      <c r="E642" s="24"/>
      <c r="F642" s="25"/>
      <c r="G642" s="1">
        <v>5225</v>
      </c>
      <c r="H642" s="2">
        <v>103.5</v>
      </c>
      <c r="I642" s="2">
        <v>-18.100000000000001</v>
      </c>
      <c r="J642" s="2">
        <v>-22.8</v>
      </c>
      <c r="K642" s="2">
        <f t="shared" si="83"/>
        <v>-18.100000000000001</v>
      </c>
      <c r="L642" s="8">
        <f t="shared" si="87"/>
        <v>6.9183097091893335E-13</v>
      </c>
      <c r="M642" s="26"/>
      <c r="N642" s="17"/>
      <c r="O642" s="9">
        <f t="shared" si="85"/>
        <v>-22.8</v>
      </c>
      <c r="P642" s="8">
        <f>D638/B638*10^(O642/10)</f>
        <v>0.82219835439130917</v>
      </c>
      <c r="Q642" s="26"/>
      <c r="R642" s="17"/>
      <c r="S642" s="19"/>
      <c r="T642" s="17"/>
      <c r="U642" s="22"/>
    </row>
    <row r="643" spans="1:21" x14ac:dyDescent="0.25">
      <c r="A643" s="24"/>
      <c r="B643" s="24"/>
      <c r="C643" s="17"/>
      <c r="D643" s="24"/>
      <c r="E643" s="24"/>
      <c r="F643" s="25"/>
      <c r="G643" s="1">
        <v>5625</v>
      </c>
      <c r="H643" s="2">
        <v>99.5</v>
      </c>
      <c r="I643" s="2">
        <v>-14.1</v>
      </c>
      <c r="J643" s="2">
        <v>-18.7</v>
      </c>
      <c r="K643" s="2">
        <f t="shared" si="83"/>
        <v>-14.1</v>
      </c>
      <c r="L643" s="8">
        <f t="shared" si="87"/>
        <v>4.3651583224016522E-12</v>
      </c>
      <c r="M643" s="26"/>
      <c r="N643" s="17"/>
      <c r="O643" s="9">
        <f t="shared" si="85"/>
        <v>-18.7</v>
      </c>
      <c r="P643" s="8">
        <f>D638/B638*10^(O643/10)</f>
        <v>2.1133751827269238</v>
      </c>
      <c r="Q643" s="26"/>
      <c r="R643" s="17"/>
      <c r="S643" s="20"/>
      <c r="T643" s="17"/>
      <c r="U643" s="23"/>
    </row>
    <row r="644" spans="1:21" x14ac:dyDescent="0.25">
      <c r="A644" s="24">
        <v>8000</v>
      </c>
      <c r="B644" s="24">
        <v>3</v>
      </c>
      <c r="C644" s="17">
        <v>0.5</v>
      </c>
      <c r="D644" s="24">
        <v>943</v>
      </c>
      <c r="E644" s="24">
        <v>6</v>
      </c>
      <c r="F644" s="25">
        <v>54</v>
      </c>
      <c r="G644" s="1">
        <v>6025</v>
      </c>
      <c r="H644" s="2">
        <v>95</v>
      </c>
      <c r="I644" s="2">
        <v>-16.7</v>
      </c>
      <c r="J644" s="2">
        <v>-24.5</v>
      </c>
      <c r="K644" s="2">
        <f t="shared" si="83"/>
        <v>-16.7</v>
      </c>
      <c r="L644" s="8">
        <f t="shared" si="87"/>
        <v>6.7608297539197943E-12</v>
      </c>
      <c r="M644" s="26">
        <f>SUM(L644:L649)</f>
        <v>1.2086661629124342E-10</v>
      </c>
      <c r="N644" s="17">
        <f>10*LOG10(M644/E644)</f>
        <v>-106.95844886351313</v>
      </c>
      <c r="O644" s="9">
        <f t="shared" si="85"/>
        <v>-24.5</v>
      </c>
      <c r="P644" s="8">
        <f>D644/B644*10^(O644/10)</f>
        <v>1.1152967534908715</v>
      </c>
      <c r="Q644" s="26">
        <f>SUM(P644:P649)</f>
        <v>10.214490652853632</v>
      </c>
      <c r="R644" s="17">
        <f>10*LOG10(Q644)</f>
        <v>10.092167153473014</v>
      </c>
      <c r="S644" s="18">
        <f>F644+N644-Kzt-H</f>
        <v>-52.958448863513127</v>
      </c>
      <c r="T644" s="17">
        <v>0.7</v>
      </c>
      <c r="U644" s="21">
        <f>T644*10^((S644-R644)/10)</f>
        <v>3.4676594370002855E-7</v>
      </c>
    </row>
    <row r="645" spans="1:21" x14ac:dyDescent="0.25">
      <c r="A645" s="24"/>
      <c r="B645" s="24"/>
      <c r="C645" s="17"/>
      <c r="D645" s="24"/>
      <c r="E645" s="24"/>
      <c r="F645" s="25"/>
      <c r="G645" s="1">
        <v>7025</v>
      </c>
      <c r="H645" s="2">
        <v>94.8</v>
      </c>
      <c r="I645" s="2">
        <v>-15.4</v>
      </c>
      <c r="J645" s="2">
        <v>-20.100000000000001</v>
      </c>
      <c r="K645" s="2">
        <f t="shared" si="83"/>
        <v>-15.4</v>
      </c>
      <c r="L645" s="8">
        <f t="shared" si="87"/>
        <v>9.5499258602143472E-12</v>
      </c>
      <c r="M645" s="26"/>
      <c r="N645" s="17"/>
      <c r="O645" s="9">
        <f t="shared" si="85"/>
        <v>-20.100000000000001</v>
      </c>
      <c r="P645" s="8">
        <f>D644/B644*10^(O645/10)</f>
        <v>3.0717823312044277</v>
      </c>
      <c r="Q645" s="26"/>
      <c r="R645" s="17"/>
      <c r="S645" s="19"/>
      <c r="T645" s="17"/>
      <c r="U645" s="22"/>
    </row>
    <row r="646" spans="1:21" x14ac:dyDescent="0.25">
      <c r="A646" s="24"/>
      <c r="B646" s="24"/>
      <c r="C646" s="17"/>
      <c r="D646" s="24"/>
      <c r="E646" s="24"/>
      <c r="F646" s="25"/>
      <c r="G646" s="1">
        <v>8025</v>
      </c>
      <c r="H646" s="2">
        <v>101.9</v>
      </c>
      <c r="I646" s="2">
        <v>-13.9</v>
      </c>
      <c r="J646" s="2">
        <v>-24.1</v>
      </c>
      <c r="K646" s="2">
        <f t="shared" si="83"/>
        <v>-13.9</v>
      </c>
      <c r="L646" s="8">
        <f t="shared" si="87"/>
        <v>2.6302679918953646E-12</v>
      </c>
      <c r="M646" s="26"/>
      <c r="N646" s="17"/>
      <c r="O646" s="9">
        <f t="shared" si="85"/>
        <v>-24.1</v>
      </c>
      <c r="P646" s="8">
        <f>D644/B644*10^(O646/10)</f>
        <v>1.2228985724320207</v>
      </c>
      <c r="Q646" s="26"/>
      <c r="R646" s="17"/>
      <c r="S646" s="19"/>
      <c r="T646" s="17"/>
      <c r="U646" s="22"/>
    </row>
    <row r="647" spans="1:21" x14ac:dyDescent="0.25">
      <c r="A647" s="24"/>
      <c r="B647" s="24"/>
      <c r="C647" s="17"/>
      <c r="D647" s="24"/>
      <c r="E647" s="24"/>
      <c r="F647" s="25"/>
      <c r="G647" s="1">
        <v>9025</v>
      </c>
      <c r="H647" s="2">
        <v>93.2</v>
      </c>
      <c r="I647" s="2">
        <v>-20.2</v>
      </c>
      <c r="J647" s="2">
        <v>-21.8</v>
      </c>
      <c r="K647" s="2">
        <f t="shared" si="83"/>
        <v>-20.2</v>
      </c>
      <c r="L647" s="8">
        <f t="shared" si="87"/>
        <v>4.5708818961487419E-12</v>
      </c>
      <c r="M647" s="26"/>
      <c r="N647" s="17"/>
      <c r="O647" s="9">
        <f t="shared" si="85"/>
        <v>-21.8</v>
      </c>
      <c r="P647" s="8">
        <f>D644/B644*10^(O647/10)</f>
        <v>2.0767797382372088</v>
      </c>
      <c r="Q647" s="26"/>
      <c r="R647" s="17"/>
      <c r="S647" s="19"/>
      <c r="T647" s="17"/>
      <c r="U647" s="22"/>
    </row>
    <row r="648" spans="1:21" x14ac:dyDescent="0.25">
      <c r="A648" s="24"/>
      <c r="B648" s="24"/>
      <c r="C648" s="17"/>
      <c r="D648" s="24"/>
      <c r="E648" s="24"/>
      <c r="F648" s="25"/>
      <c r="G648" s="1">
        <v>10025</v>
      </c>
      <c r="H648" s="2">
        <v>88.3</v>
      </c>
      <c r="I648" s="2">
        <v>-15.7</v>
      </c>
      <c r="J648" s="2">
        <v>-26</v>
      </c>
      <c r="K648" s="2">
        <f t="shared" si="83"/>
        <v>-15.7</v>
      </c>
      <c r="L648" s="8">
        <f t="shared" si="87"/>
        <v>3.9810717055349579E-11</v>
      </c>
      <c r="M648" s="26"/>
      <c r="N648" s="17"/>
      <c r="O648" s="9">
        <f t="shared" si="85"/>
        <v>-26</v>
      </c>
      <c r="P648" s="8">
        <f>D644/B644*10^(O648/10)</f>
        <v>0.78956963497117716</v>
      </c>
      <c r="Q648" s="26"/>
      <c r="R648" s="17"/>
      <c r="S648" s="19"/>
      <c r="T648" s="17"/>
      <c r="U648" s="22"/>
    </row>
    <row r="649" spans="1:21" x14ac:dyDescent="0.25">
      <c r="A649" s="24"/>
      <c r="B649" s="24"/>
      <c r="C649" s="17"/>
      <c r="D649" s="24"/>
      <c r="E649" s="24"/>
      <c r="F649" s="25"/>
      <c r="G649" s="1">
        <v>11025</v>
      </c>
      <c r="H649" s="2">
        <v>86</v>
      </c>
      <c r="I649" s="2">
        <v>-16.399999999999999</v>
      </c>
      <c r="J649" s="2">
        <v>-22.1</v>
      </c>
      <c r="K649" s="2">
        <f t="shared" si="83"/>
        <v>-16.399999999999999</v>
      </c>
      <c r="L649" s="8">
        <f t="shared" si="87"/>
        <v>5.7543993733715601E-11</v>
      </c>
      <c r="M649" s="26"/>
      <c r="N649" s="17"/>
      <c r="O649" s="9">
        <f t="shared" si="85"/>
        <v>-22.1</v>
      </c>
      <c r="P649" s="8">
        <f>D644/B644*10^(O649/10)</f>
        <v>1.9381636225179248</v>
      </c>
      <c r="Q649" s="26"/>
      <c r="R649" s="17"/>
      <c r="S649" s="20"/>
      <c r="T649" s="17"/>
      <c r="U649" s="23"/>
    </row>
    <row r="650" spans="1:21" x14ac:dyDescent="0.25">
      <c r="A650" s="24" t="s">
        <v>20</v>
      </c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12">
        <f>U650</f>
        <v>5.5541387451902104E-2</v>
      </c>
      <c r="T650" s="2"/>
      <c r="U650" s="8">
        <f>0.8*SQRT(SUM(U616:U649))</f>
        <v>5.5541387451902104E-2</v>
      </c>
    </row>
    <row r="651" spans="1:21" x14ac:dyDescent="0.25">
      <c r="A651" s="27" t="s">
        <v>90</v>
      </c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9"/>
    </row>
    <row r="652" spans="1:21" x14ac:dyDescent="0.25">
      <c r="A652" s="24">
        <v>250</v>
      </c>
      <c r="B652" s="24">
        <v>3</v>
      </c>
      <c r="C652" s="17">
        <v>0.5</v>
      </c>
      <c r="D652" s="24">
        <v>38</v>
      </c>
      <c r="E652" s="24">
        <v>4</v>
      </c>
      <c r="F652" s="25">
        <v>84</v>
      </c>
      <c r="G652" s="1">
        <v>175</v>
      </c>
      <c r="H652" s="2">
        <v>84.8</v>
      </c>
      <c r="I652" s="2">
        <v>-21.6</v>
      </c>
      <c r="J652" s="2">
        <v>-24.7</v>
      </c>
      <c r="K652" s="2">
        <f>I652</f>
        <v>-21.6</v>
      </c>
      <c r="L652" s="8">
        <f>10^((K652-H652)/10)</f>
        <v>2.2908676527677615E-11</v>
      </c>
      <c r="M652" s="26">
        <f>SUM(L652:L655)</f>
        <v>3.6450930498831399E-11</v>
      </c>
      <c r="N652" s="17">
        <f>10*LOG10(M652/E652)</f>
        <v>-110.40351372107443</v>
      </c>
      <c r="O652" s="9">
        <f>J652</f>
        <v>-24.7</v>
      </c>
      <c r="P652" s="8">
        <f>D652/B652*10^(O652/10)</f>
        <v>4.2920259777632301E-2</v>
      </c>
      <c r="Q652" s="26">
        <f>SUM(P652:P655)</f>
        <v>0.15182056527713136</v>
      </c>
      <c r="R652" s="17">
        <f>10*LOG10(Q652)</f>
        <v>-8.1866939588825414</v>
      </c>
      <c r="S652" s="18">
        <f>F652+N652-Kzt-H</f>
        <v>-26.403513721074432</v>
      </c>
      <c r="T652" s="17">
        <v>0.2</v>
      </c>
      <c r="U652" s="21">
        <f>T652*10^((S652-R652)/10)</f>
        <v>3.0154214473111576E-3</v>
      </c>
    </row>
    <row r="653" spans="1:21" x14ac:dyDescent="0.25">
      <c r="A653" s="24"/>
      <c r="B653" s="24"/>
      <c r="C653" s="17"/>
      <c r="D653" s="24"/>
      <c r="E653" s="24"/>
      <c r="F653" s="25"/>
      <c r="G653" s="1">
        <v>225</v>
      </c>
      <c r="H653" s="2">
        <v>90</v>
      </c>
      <c r="I653" s="2">
        <v>-20.9</v>
      </c>
      <c r="J653" s="2">
        <v>-24.9</v>
      </c>
      <c r="K653" s="2">
        <f t="shared" ref="K653:K685" si="88">I653</f>
        <v>-20.9</v>
      </c>
      <c r="L653" s="8">
        <f t="shared" ref="L653:L654" si="89">10^((K653-H653)/10)</f>
        <v>8.1283051616409864E-12</v>
      </c>
      <c r="M653" s="26"/>
      <c r="N653" s="17"/>
      <c r="O653" s="9">
        <f t="shared" ref="O653:O685" si="90">J653</f>
        <v>-24.9</v>
      </c>
      <c r="P653" s="8">
        <f>D652/B652*10^(O653/10)</f>
        <v>4.0988529877752908E-2</v>
      </c>
      <c r="Q653" s="26"/>
      <c r="R653" s="17"/>
      <c r="S653" s="19"/>
      <c r="T653" s="17"/>
      <c r="U653" s="22"/>
    </row>
    <row r="654" spans="1:21" x14ac:dyDescent="0.25">
      <c r="A654" s="24"/>
      <c r="B654" s="24"/>
      <c r="C654" s="17"/>
      <c r="D654" s="24"/>
      <c r="E654" s="24"/>
      <c r="F654" s="25"/>
      <c r="G654" s="1">
        <v>275</v>
      </c>
      <c r="H654" s="2">
        <v>92.2</v>
      </c>
      <c r="I654" s="2">
        <v>-27.2</v>
      </c>
      <c r="J654" s="2">
        <v>-28.6</v>
      </c>
      <c r="K654" s="2">
        <f t="shared" si="88"/>
        <v>-27.2</v>
      </c>
      <c r="L654" s="8">
        <f t="shared" si="89"/>
        <v>1.1481536214968749E-12</v>
      </c>
      <c r="M654" s="26"/>
      <c r="N654" s="17"/>
      <c r="O654" s="9">
        <f t="shared" si="90"/>
        <v>-28.6</v>
      </c>
      <c r="P654" s="8">
        <f>D652/B652*10^(O654/10)</f>
        <v>1.7484867351636523E-2</v>
      </c>
      <c r="Q654" s="26"/>
      <c r="R654" s="17"/>
      <c r="S654" s="19"/>
      <c r="T654" s="17"/>
      <c r="U654" s="22"/>
    </row>
    <row r="655" spans="1:21" x14ac:dyDescent="0.25">
      <c r="A655" s="24"/>
      <c r="B655" s="24"/>
      <c r="C655" s="17"/>
      <c r="D655" s="24"/>
      <c r="E655" s="24"/>
      <c r="F655" s="25"/>
      <c r="G655" s="1">
        <v>325</v>
      </c>
      <c r="H655" s="2">
        <v>93.3</v>
      </c>
      <c r="I655" s="2">
        <v>-20.399999999999999</v>
      </c>
      <c r="J655" s="2">
        <v>-24</v>
      </c>
      <c r="K655" s="2">
        <f t="shared" si="88"/>
        <v>-20.399999999999999</v>
      </c>
      <c r="L655" s="8">
        <f>10^((K655-H655)/10)</f>
        <v>4.2657951880159207E-12</v>
      </c>
      <c r="M655" s="26"/>
      <c r="N655" s="17"/>
      <c r="O655" s="9">
        <f t="shared" si="90"/>
        <v>-24</v>
      </c>
      <c r="P655" s="8">
        <f>D652/B652*10^(O655/10)</f>
        <v>5.0426908270109636E-2</v>
      </c>
      <c r="Q655" s="26"/>
      <c r="R655" s="17"/>
      <c r="S655" s="20"/>
      <c r="T655" s="17"/>
      <c r="U655" s="23"/>
    </row>
    <row r="656" spans="1:21" x14ac:dyDescent="0.25">
      <c r="A656" s="24">
        <v>500</v>
      </c>
      <c r="B656" s="24">
        <v>3</v>
      </c>
      <c r="C656" s="17">
        <v>0.5</v>
      </c>
      <c r="D656" s="24">
        <v>59</v>
      </c>
      <c r="E656" s="24">
        <v>6</v>
      </c>
      <c r="F656" s="25">
        <v>84</v>
      </c>
      <c r="G656" s="1">
        <v>375</v>
      </c>
      <c r="H656" s="2">
        <v>91.9</v>
      </c>
      <c r="I656" s="2">
        <v>-25.2</v>
      </c>
      <c r="J656" s="2">
        <v>-27.2</v>
      </c>
      <c r="K656" s="2">
        <f t="shared" si="88"/>
        <v>-25.2</v>
      </c>
      <c r="L656" s="8">
        <f t="shared" ref="L656:L657" si="91">10^((K656-H656)/10)</f>
        <v>1.9498445997580347E-12</v>
      </c>
      <c r="M656" s="26">
        <f>SUM(L656:L661)</f>
        <v>2.3255671178330141E-11</v>
      </c>
      <c r="N656" s="17">
        <f>10*LOG10(M656/E656)</f>
        <v>-114.1162237224934</v>
      </c>
      <c r="O656" s="9">
        <f t="shared" si="90"/>
        <v>-27.2</v>
      </c>
      <c r="P656" s="8">
        <f>D656/B656*10^(O656/10)</f>
        <v>3.7474060786610537E-2</v>
      </c>
      <c r="Q656" s="26">
        <f>SUM(P656:P661)</f>
        <v>0.24203822710337042</v>
      </c>
      <c r="R656" s="17">
        <f>10*LOG10(Q656)</f>
        <v>-6.161160368751375</v>
      </c>
      <c r="S656" s="18">
        <f>F656+N656-Kzt-H</f>
        <v>-30.116223722493402</v>
      </c>
      <c r="T656" s="17">
        <v>0.5</v>
      </c>
      <c r="U656" s="21">
        <f>T656*10^((S656-R656)/10)</f>
        <v>2.0112389403522985E-3</v>
      </c>
    </row>
    <row r="657" spans="1:21" x14ac:dyDescent="0.25">
      <c r="A657" s="24"/>
      <c r="B657" s="24"/>
      <c r="C657" s="17"/>
      <c r="D657" s="24"/>
      <c r="E657" s="24"/>
      <c r="F657" s="25"/>
      <c r="G657" s="1">
        <v>425</v>
      </c>
      <c r="H657" s="2">
        <v>88.1</v>
      </c>
      <c r="I657" s="2">
        <v>-21.5</v>
      </c>
      <c r="J657" s="2">
        <v>-24.5</v>
      </c>
      <c r="K657" s="2">
        <f t="shared" si="88"/>
        <v>-21.5</v>
      </c>
      <c r="L657" s="8">
        <f t="shared" si="91"/>
        <v>1.096478196143183E-11</v>
      </c>
      <c r="M657" s="26"/>
      <c r="N657" s="17"/>
      <c r="O657" s="9">
        <f t="shared" si="90"/>
        <v>-24.5</v>
      </c>
      <c r="P657" s="8">
        <f>D656/B656*10^(O657/10)</f>
        <v>6.9779966549269809E-2</v>
      </c>
      <c r="Q657" s="26"/>
      <c r="R657" s="17"/>
      <c r="S657" s="19"/>
      <c r="T657" s="17"/>
      <c r="U657" s="22"/>
    </row>
    <row r="658" spans="1:21" x14ac:dyDescent="0.25">
      <c r="A658" s="24"/>
      <c r="B658" s="24"/>
      <c r="C658" s="17"/>
      <c r="D658" s="24"/>
      <c r="E658" s="24"/>
      <c r="F658" s="25"/>
      <c r="G658" s="1">
        <v>475</v>
      </c>
      <c r="H658" s="2">
        <v>90</v>
      </c>
      <c r="I658" s="2">
        <v>-23.4</v>
      </c>
      <c r="J658" s="2">
        <v>-29.2</v>
      </c>
      <c r="K658" s="2">
        <f t="shared" si="88"/>
        <v>-23.4</v>
      </c>
      <c r="L658" s="8">
        <f>10^((K658-H658)/10)</f>
        <v>4.5708818961487419E-12</v>
      </c>
      <c r="M658" s="26"/>
      <c r="N658" s="17"/>
      <c r="O658" s="9">
        <f t="shared" si="90"/>
        <v>-29.2</v>
      </c>
      <c r="P658" s="8">
        <f>D656/B656*10^(O658/10)</f>
        <v>2.3644533880809112E-2</v>
      </c>
      <c r="Q658" s="26"/>
      <c r="R658" s="17"/>
      <c r="S658" s="19"/>
      <c r="T658" s="17"/>
      <c r="U658" s="22"/>
    </row>
    <row r="659" spans="1:21" x14ac:dyDescent="0.25">
      <c r="A659" s="24"/>
      <c r="B659" s="24"/>
      <c r="C659" s="17"/>
      <c r="D659" s="24"/>
      <c r="E659" s="24"/>
      <c r="F659" s="25"/>
      <c r="G659" s="1">
        <v>575</v>
      </c>
      <c r="H659" s="2">
        <v>97</v>
      </c>
      <c r="I659" s="2">
        <v>-21.6</v>
      </c>
      <c r="J659" s="2">
        <v>-27.8</v>
      </c>
      <c r="K659" s="2">
        <f t="shared" si="88"/>
        <v>-21.6</v>
      </c>
      <c r="L659" s="8">
        <f t="shared" ref="L659:L685" si="92">10^((K659-H659)/10)</f>
        <v>1.3803842646028842E-12</v>
      </c>
      <c r="M659" s="26"/>
      <c r="N659" s="17"/>
      <c r="O659" s="9">
        <f t="shared" si="90"/>
        <v>-27.8</v>
      </c>
      <c r="P659" s="8">
        <f>D656/B656*10^(O659/10)</f>
        <v>3.2638542512938663E-2</v>
      </c>
      <c r="Q659" s="26"/>
      <c r="R659" s="17"/>
      <c r="S659" s="19"/>
      <c r="T659" s="17"/>
      <c r="U659" s="22"/>
    </row>
    <row r="660" spans="1:21" x14ac:dyDescent="0.25">
      <c r="A660" s="24"/>
      <c r="B660" s="24"/>
      <c r="C660" s="17"/>
      <c r="D660" s="24"/>
      <c r="E660" s="24"/>
      <c r="F660" s="25"/>
      <c r="G660" s="1">
        <v>625</v>
      </c>
      <c r="H660" s="2">
        <v>92</v>
      </c>
      <c r="I660" s="2">
        <v>-23.7</v>
      </c>
      <c r="J660" s="2">
        <v>-27.1</v>
      </c>
      <c r="K660" s="2">
        <f t="shared" si="88"/>
        <v>-23.7</v>
      </c>
      <c r="L660" s="8">
        <f t="shared" si="92"/>
        <v>2.6915348039269074E-12</v>
      </c>
      <c r="M660" s="26"/>
      <c r="N660" s="17"/>
      <c r="O660" s="9">
        <f t="shared" si="90"/>
        <v>-27.1</v>
      </c>
      <c r="P660" s="8">
        <f>D656/B656*10^(O660/10)</f>
        <v>3.8346943795241534E-2</v>
      </c>
      <c r="Q660" s="26"/>
      <c r="R660" s="17"/>
      <c r="S660" s="19"/>
      <c r="T660" s="17"/>
      <c r="U660" s="22"/>
    </row>
    <row r="661" spans="1:21" x14ac:dyDescent="0.25">
      <c r="A661" s="24"/>
      <c r="B661" s="24"/>
      <c r="C661" s="17"/>
      <c r="D661" s="24"/>
      <c r="E661" s="24"/>
      <c r="F661" s="25"/>
      <c r="G661" s="1">
        <v>675</v>
      </c>
      <c r="H661" s="2">
        <v>94.5</v>
      </c>
      <c r="I661" s="2">
        <v>-23.2</v>
      </c>
      <c r="J661" s="2">
        <v>-26.9</v>
      </c>
      <c r="K661" s="2">
        <f t="shared" si="88"/>
        <v>-23.2</v>
      </c>
      <c r="L661" s="8">
        <f t="shared" si="92"/>
        <v>1.6982436524617421E-12</v>
      </c>
      <c r="M661" s="26"/>
      <c r="N661" s="17"/>
      <c r="O661" s="9">
        <f t="shared" si="90"/>
        <v>-26.9</v>
      </c>
      <c r="P661" s="8">
        <f>D656/B656*10^(O661/10)</f>
        <v>4.0154179578500745E-2</v>
      </c>
      <c r="Q661" s="26"/>
      <c r="R661" s="17"/>
      <c r="S661" s="20"/>
      <c r="T661" s="17"/>
      <c r="U661" s="23"/>
    </row>
    <row r="662" spans="1:21" x14ac:dyDescent="0.25">
      <c r="A662" s="24">
        <v>1000</v>
      </c>
      <c r="B662" s="24">
        <v>3</v>
      </c>
      <c r="C662" s="17">
        <v>0.5</v>
      </c>
      <c r="D662" s="24">
        <v>117</v>
      </c>
      <c r="E662" s="24">
        <v>6</v>
      </c>
      <c r="F662" s="25">
        <v>76</v>
      </c>
      <c r="G662" s="1">
        <v>875</v>
      </c>
      <c r="H662" s="2">
        <v>91.1</v>
      </c>
      <c r="I662" s="2">
        <v>-23.2</v>
      </c>
      <c r="J662" s="2">
        <v>-24.5</v>
      </c>
      <c r="K662" s="2">
        <f t="shared" si="88"/>
        <v>-23.2</v>
      </c>
      <c r="L662" s="8">
        <f t="shared" si="92"/>
        <v>3.7153522909717219E-12</v>
      </c>
      <c r="M662" s="26">
        <f>SUM(L662:L667)</f>
        <v>1.0686763058284677E-11</v>
      </c>
      <c r="N662" s="17">
        <f>10*LOG10(M662/E662)</f>
        <v>-117.49305069852583</v>
      </c>
      <c r="O662" s="9">
        <f t="shared" si="90"/>
        <v>-24.5</v>
      </c>
      <c r="P662" s="8">
        <f>D662/B662*10^(O662/10)</f>
        <v>0.13837722180109435</v>
      </c>
      <c r="Q662" s="26">
        <f>SUM(P662:P667)</f>
        <v>0.38115900824263044</v>
      </c>
      <c r="R662" s="17">
        <f>10*LOG10(Q662)</f>
        <v>-4.1889381173591396</v>
      </c>
      <c r="S662" s="18">
        <f>F662+N662-Kzt-H</f>
        <v>-41.493050698525835</v>
      </c>
      <c r="T662" s="17">
        <v>0.8</v>
      </c>
      <c r="U662" s="21">
        <f>T662*10^((S662-R662)/10)</f>
        <v>1.4882597241590504E-4</v>
      </c>
    </row>
    <row r="663" spans="1:21" x14ac:dyDescent="0.25">
      <c r="A663" s="24"/>
      <c r="B663" s="24"/>
      <c r="C663" s="17"/>
      <c r="D663" s="24"/>
      <c r="E663" s="24"/>
      <c r="F663" s="25"/>
      <c r="G663" s="1">
        <v>975</v>
      </c>
      <c r="H663" s="2">
        <v>96.5</v>
      </c>
      <c r="I663" s="2">
        <v>-28.7</v>
      </c>
      <c r="J663" s="2">
        <v>-29.3</v>
      </c>
      <c r="K663" s="2">
        <f t="shared" si="88"/>
        <v>-28.7</v>
      </c>
      <c r="L663" s="8">
        <f t="shared" si="92"/>
        <v>3.0199517204020122E-13</v>
      </c>
      <c r="M663" s="26"/>
      <c r="N663" s="17"/>
      <c r="O663" s="9">
        <f t="shared" si="90"/>
        <v>-29.3</v>
      </c>
      <c r="P663" s="8">
        <f>D662/B662*10^(O663/10)</f>
        <v>4.5821004642641591E-2</v>
      </c>
      <c r="Q663" s="26"/>
      <c r="R663" s="17"/>
      <c r="S663" s="19"/>
      <c r="T663" s="17"/>
      <c r="U663" s="22"/>
    </row>
    <row r="664" spans="1:21" x14ac:dyDescent="0.25">
      <c r="A664" s="24"/>
      <c r="B664" s="24"/>
      <c r="C664" s="17"/>
      <c r="D664" s="24"/>
      <c r="E664" s="24"/>
      <c r="F664" s="25"/>
      <c r="G664" s="1">
        <v>1075</v>
      </c>
      <c r="H664" s="2">
        <v>94.6</v>
      </c>
      <c r="I664" s="2">
        <v>-17.899999999999999</v>
      </c>
      <c r="J664" s="2">
        <v>-27.2</v>
      </c>
      <c r="K664" s="2">
        <f t="shared" si="88"/>
        <v>-17.899999999999999</v>
      </c>
      <c r="L664" s="8">
        <f t="shared" si="92"/>
        <v>5.6234132519034759E-12</v>
      </c>
      <c r="M664" s="26"/>
      <c r="N664" s="17"/>
      <c r="O664" s="9">
        <f t="shared" si="90"/>
        <v>-27.2</v>
      </c>
      <c r="P664" s="8">
        <f>D662/B662*10^(O664/10)</f>
        <v>7.4312968000566651E-2</v>
      </c>
      <c r="Q664" s="26"/>
      <c r="R664" s="17"/>
      <c r="S664" s="19"/>
      <c r="T664" s="17"/>
      <c r="U664" s="22"/>
    </row>
    <row r="665" spans="1:21" x14ac:dyDescent="0.25">
      <c r="A665" s="24"/>
      <c r="B665" s="24"/>
      <c r="C665" s="17"/>
      <c r="D665" s="24"/>
      <c r="E665" s="24"/>
      <c r="F665" s="25"/>
      <c r="G665" s="1">
        <v>1175</v>
      </c>
      <c r="H665" s="2">
        <v>97.8</v>
      </c>
      <c r="I665" s="2">
        <v>-28.5</v>
      </c>
      <c r="J665" s="2">
        <v>-29.9</v>
      </c>
      <c r="K665" s="2">
        <f t="shared" si="88"/>
        <v>-28.5</v>
      </c>
      <c r="L665" s="8">
        <f t="shared" si="92"/>
        <v>2.3442288153199217E-13</v>
      </c>
      <c r="M665" s="26"/>
      <c r="N665" s="17"/>
      <c r="O665" s="9">
        <f t="shared" si="90"/>
        <v>-29.9</v>
      </c>
      <c r="P665" s="8">
        <f>D662/B662*10^(O665/10)</f>
        <v>3.9908426698949416E-2</v>
      </c>
      <c r="Q665" s="26"/>
      <c r="R665" s="17"/>
      <c r="S665" s="19"/>
      <c r="T665" s="17"/>
      <c r="U665" s="22"/>
    </row>
    <row r="666" spans="1:21" x14ac:dyDescent="0.25">
      <c r="A666" s="24"/>
      <c r="B666" s="24"/>
      <c r="C666" s="17"/>
      <c r="D666" s="24"/>
      <c r="E666" s="24"/>
      <c r="F666" s="25"/>
      <c r="G666" s="1">
        <v>1275</v>
      </c>
      <c r="H666" s="2">
        <v>100.1</v>
      </c>
      <c r="I666" s="2">
        <v>-22</v>
      </c>
      <c r="J666" s="2">
        <v>-28.4</v>
      </c>
      <c r="K666" s="2">
        <f t="shared" si="88"/>
        <v>-22</v>
      </c>
      <c r="L666" s="8">
        <f t="shared" si="92"/>
        <v>6.1659500186148178E-13</v>
      </c>
      <c r="M666" s="26"/>
      <c r="N666" s="17"/>
      <c r="O666" s="9">
        <f t="shared" si="90"/>
        <v>-28.4</v>
      </c>
      <c r="P666" s="8">
        <f>D662/B662*10^(O666/10)</f>
        <v>5.6372151059091158E-2</v>
      </c>
      <c r="Q666" s="26"/>
      <c r="R666" s="17"/>
      <c r="S666" s="19"/>
      <c r="T666" s="17"/>
      <c r="U666" s="22"/>
    </row>
    <row r="667" spans="1:21" x14ac:dyDescent="0.25">
      <c r="A667" s="24"/>
      <c r="B667" s="24"/>
      <c r="C667" s="17"/>
      <c r="D667" s="24"/>
      <c r="E667" s="24"/>
      <c r="F667" s="25"/>
      <c r="G667" s="1">
        <v>1375</v>
      </c>
      <c r="H667" s="2">
        <v>103</v>
      </c>
      <c r="I667" s="2">
        <v>-24.1</v>
      </c>
      <c r="J667" s="2">
        <v>-31.7</v>
      </c>
      <c r="K667" s="2">
        <f t="shared" si="88"/>
        <v>-24.1</v>
      </c>
      <c r="L667" s="8">
        <f t="shared" si="92"/>
        <v>1.9498445997580464E-13</v>
      </c>
      <c r="M667" s="26"/>
      <c r="N667" s="17"/>
      <c r="O667" s="9">
        <f t="shared" si="90"/>
        <v>-31.7</v>
      </c>
      <c r="P667" s="8">
        <f>D662/B662*10^(O667/10)</f>
        <v>2.6367236040287269E-2</v>
      </c>
      <c r="Q667" s="26"/>
      <c r="R667" s="17"/>
      <c r="S667" s="20"/>
      <c r="T667" s="17"/>
      <c r="U667" s="23"/>
    </row>
    <row r="668" spans="1:21" x14ac:dyDescent="0.25">
      <c r="A668" s="24">
        <v>2000</v>
      </c>
      <c r="B668" s="24">
        <v>3</v>
      </c>
      <c r="C668" s="17">
        <v>0.5</v>
      </c>
      <c r="D668" s="24">
        <v>234</v>
      </c>
      <c r="E668" s="24">
        <v>6</v>
      </c>
      <c r="F668" s="25">
        <v>68</v>
      </c>
      <c r="G668" s="1">
        <v>1425</v>
      </c>
      <c r="H668" s="2">
        <v>102.8</v>
      </c>
      <c r="I668" s="2">
        <v>-20.100000000000001</v>
      </c>
      <c r="J668" s="2">
        <v>-24.9</v>
      </c>
      <c r="K668" s="2">
        <f t="shared" si="88"/>
        <v>-20.100000000000001</v>
      </c>
      <c r="L668" s="8">
        <f t="shared" si="92"/>
        <v>5.1286138399136307E-13</v>
      </c>
      <c r="M668" s="26">
        <f>SUM(L668:L673)</f>
        <v>3.9122825090484384E-12</v>
      </c>
      <c r="N668" s="17">
        <f>10*LOG10(M668/E668)</f>
        <v>-121.85721042383911</v>
      </c>
      <c r="O668" s="9">
        <f t="shared" si="90"/>
        <v>-24.9</v>
      </c>
      <c r="P668" s="8">
        <f>D668/B668*10^(O668/10)</f>
        <v>0.25240305240511002</v>
      </c>
      <c r="Q668" s="26">
        <f>SUM(P668:P673)</f>
        <v>0.97726623493100584</v>
      </c>
      <c r="R668" s="17">
        <f>10*LOG10(Q668)</f>
        <v>-9.9871060761869634E-2</v>
      </c>
      <c r="S668" s="18">
        <f>F668+N668-Kzt-H</f>
        <v>-53.857210423839106</v>
      </c>
      <c r="T668" s="17">
        <v>1</v>
      </c>
      <c r="U668" s="21">
        <f>T668*10^((S668-R668)/10)</f>
        <v>4.2098445891423928E-6</v>
      </c>
    </row>
    <row r="669" spans="1:21" x14ac:dyDescent="0.25">
      <c r="A669" s="24"/>
      <c r="B669" s="24"/>
      <c r="C669" s="17"/>
      <c r="D669" s="24"/>
      <c r="E669" s="24"/>
      <c r="F669" s="25"/>
      <c r="G669" s="1">
        <v>1625</v>
      </c>
      <c r="H669" s="2">
        <v>104.1</v>
      </c>
      <c r="I669" s="2">
        <v>-22.8</v>
      </c>
      <c r="J669" s="2">
        <v>-32.5</v>
      </c>
      <c r="K669" s="2">
        <f t="shared" si="88"/>
        <v>-22.8</v>
      </c>
      <c r="L669" s="8">
        <f t="shared" si="92"/>
        <v>2.0417379446695228E-13</v>
      </c>
      <c r="M669" s="26"/>
      <c r="N669" s="17"/>
      <c r="O669" s="9">
        <f t="shared" si="90"/>
        <v>-32.5</v>
      </c>
      <c r="P669" s="8">
        <f>D668/B668*10^(O669/10)</f>
        <v>4.3862623364847191E-2</v>
      </c>
      <c r="Q669" s="26"/>
      <c r="R669" s="17"/>
      <c r="S669" s="19"/>
      <c r="T669" s="17"/>
      <c r="U669" s="22"/>
    </row>
    <row r="670" spans="1:21" x14ac:dyDescent="0.25">
      <c r="A670" s="24"/>
      <c r="B670" s="24"/>
      <c r="C670" s="17"/>
      <c r="D670" s="24"/>
      <c r="E670" s="24"/>
      <c r="F670" s="25"/>
      <c r="G670" s="1">
        <v>1825</v>
      </c>
      <c r="H670" s="2">
        <v>107.6</v>
      </c>
      <c r="I670" s="2">
        <v>-23.2</v>
      </c>
      <c r="J670" s="2">
        <v>-27.2</v>
      </c>
      <c r="K670" s="2">
        <f t="shared" si="88"/>
        <v>-23.2</v>
      </c>
      <c r="L670" s="8">
        <f t="shared" si="92"/>
        <v>8.3176377110267161E-14</v>
      </c>
      <c r="M670" s="26"/>
      <c r="N670" s="17"/>
      <c r="O670" s="9">
        <f t="shared" si="90"/>
        <v>-27.2</v>
      </c>
      <c r="P670" s="8">
        <f>D668/B668*10^(O670/10)</f>
        <v>0.1486259360011333</v>
      </c>
      <c r="Q670" s="26"/>
      <c r="R670" s="17"/>
      <c r="S670" s="19"/>
      <c r="T670" s="17"/>
      <c r="U670" s="22"/>
    </row>
    <row r="671" spans="1:21" x14ac:dyDescent="0.25">
      <c r="A671" s="24"/>
      <c r="B671" s="24"/>
      <c r="C671" s="17"/>
      <c r="D671" s="24"/>
      <c r="E671" s="24"/>
      <c r="F671" s="25"/>
      <c r="G671" s="1">
        <v>2125</v>
      </c>
      <c r="H671" s="2">
        <v>104.2</v>
      </c>
      <c r="I671" s="2">
        <v>-22.4</v>
      </c>
      <c r="J671" s="2">
        <v>-26.6</v>
      </c>
      <c r="K671" s="2">
        <f t="shared" si="88"/>
        <v>-22.4</v>
      </c>
      <c r="L671" s="8">
        <f t="shared" si="92"/>
        <v>2.1877616239495453E-13</v>
      </c>
      <c r="M671" s="26"/>
      <c r="N671" s="17"/>
      <c r="O671" s="9">
        <f t="shared" si="90"/>
        <v>-26.6</v>
      </c>
      <c r="P671" s="8">
        <f>D668/B668*10^(O671/10)</f>
        <v>0.17064540666806488</v>
      </c>
      <c r="Q671" s="26"/>
      <c r="R671" s="17"/>
      <c r="S671" s="19"/>
      <c r="T671" s="17"/>
      <c r="U671" s="22"/>
    </row>
    <row r="672" spans="1:21" x14ac:dyDescent="0.25">
      <c r="A672" s="24"/>
      <c r="B672" s="24"/>
      <c r="C672" s="17"/>
      <c r="D672" s="24"/>
      <c r="E672" s="24"/>
      <c r="F672" s="25"/>
      <c r="G672" s="1">
        <v>2425</v>
      </c>
      <c r="H672" s="2">
        <v>93.7</v>
      </c>
      <c r="I672" s="2">
        <v>-22.1</v>
      </c>
      <c r="J672" s="2">
        <v>-26.5</v>
      </c>
      <c r="K672" s="2">
        <f t="shared" si="88"/>
        <v>-22.1</v>
      </c>
      <c r="L672" s="8">
        <f t="shared" si="92"/>
        <v>2.6302679918953646E-12</v>
      </c>
      <c r="M672" s="26"/>
      <c r="N672" s="17"/>
      <c r="O672" s="9">
        <f t="shared" si="90"/>
        <v>-26.5</v>
      </c>
      <c r="P672" s="8">
        <f>D668/B668*10^(O672/10)</f>
        <v>0.17462024880833041</v>
      </c>
      <c r="Q672" s="26"/>
      <c r="R672" s="17"/>
      <c r="S672" s="19"/>
      <c r="T672" s="17"/>
      <c r="U672" s="22"/>
    </row>
    <row r="673" spans="1:21" x14ac:dyDescent="0.25">
      <c r="A673" s="24"/>
      <c r="B673" s="24"/>
      <c r="C673" s="17"/>
      <c r="D673" s="24"/>
      <c r="E673" s="24"/>
      <c r="F673" s="25"/>
      <c r="G673" s="1">
        <v>2775</v>
      </c>
      <c r="H673" s="2">
        <v>100.2</v>
      </c>
      <c r="I673" s="2">
        <v>-25.599999999999998</v>
      </c>
      <c r="J673" s="2">
        <v>-26.2</v>
      </c>
      <c r="K673" s="2">
        <f t="shared" si="88"/>
        <v>-25.599999999999998</v>
      </c>
      <c r="L673" s="8">
        <f t="shared" si="92"/>
        <v>2.6302679918953709E-13</v>
      </c>
      <c r="M673" s="26"/>
      <c r="N673" s="17"/>
      <c r="O673" s="9">
        <f t="shared" si="90"/>
        <v>-26.2</v>
      </c>
      <c r="P673" s="8">
        <f>D668/B668*10^(O673/10)</f>
        <v>0.18710896768352012</v>
      </c>
      <c r="Q673" s="26"/>
      <c r="R673" s="17"/>
      <c r="S673" s="20"/>
      <c r="T673" s="17"/>
      <c r="U673" s="23"/>
    </row>
    <row r="674" spans="1:21" x14ac:dyDescent="0.25">
      <c r="A674" s="24">
        <v>4000</v>
      </c>
      <c r="B674" s="24">
        <v>3</v>
      </c>
      <c r="C674" s="17">
        <v>0.5</v>
      </c>
      <c r="D674" s="24">
        <v>470</v>
      </c>
      <c r="E674" s="24">
        <v>6</v>
      </c>
      <c r="F674" s="25">
        <v>62</v>
      </c>
      <c r="G674" s="1">
        <v>2825</v>
      </c>
      <c r="H674" s="2">
        <v>99.4</v>
      </c>
      <c r="I674" s="2">
        <v>-22.9</v>
      </c>
      <c r="J674" s="2">
        <v>-28.4</v>
      </c>
      <c r="K674" s="2">
        <f t="shared" si="88"/>
        <v>-22.9</v>
      </c>
      <c r="L674" s="8">
        <f t="shared" si="92"/>
        <v>5.8884365535558666E-13</v>
      </c>
      <c r="M674" s="26">
        <f>SUM(L674:L679)</f>
        <v>2.3211207045049158E-12</v>
      </c>
      <c r="N674" s="17">
        <f>10*LOG10(M674/E674)</f>
        <v>-124.12453524862075</v>
      </c>
      <c r="O674" s="9">
        <f t="shared" si="90"/>
        <v>-28.4</v>
      </c>
      <c r="P674" s="8">
        <f>D674/B674*10^(O674/10)</f>
        <v>0.22645223075019524</v>
      </c>
      <c r="Q674" s="26">
        <f>SUM(P674:P679)</f>
        <v>1.6319777045388426</v>
      </c>
      <c r="R674" s="17">
        <f>10*LOG10(Q674)</f>
        <v>2.1271422129168229</v>
      </c>
      <c r="S674" s="18">
        <f>F674+N674-Kzt-H</f>
        <v>-62.124535248620745</v>
      </c>
      <c r="T674" s="17">
        <v>0.9</v>
      </c>
      <c r="U674" s="21">
        <f>T674*10^((S674-R674)/10)</f>
        <v>3.381230386805344E-7</v>
      </c>
    </row>
    <row r="675" spans="1:21" x14ac:dyDescent="0.25">
      <c r="A675" s="24"/>
      <c r="B675" s="24"/>
      <c r="C675" s="17"/>
      <c r="D675" s="24"/>
      <c r="E675" s="24"/>
      <c r="F675" s="25"/>
      <c r="G675" s="1">
        <v>3425</v>
      </c>
      <c r="H675" s="2">
        <v>103.5</v>
      </c>
      <c r="I675" s="2">
        <v>-25.8</v>
      </c>
      <c r="J675" s="2">
        <v>-27.4</v>
      </c>
      <c r="K675" s="2">
        <f t="shared" si="88"/>
        <v>-25.8</v>
      </c>
      <c r="L675" s="8">
        <f t="shared" si="92"/>
        <v>1.1748975549395202E-13</v>
      </c>
      <c r="M675" s="26"/>
      <c r="N675" s="17"/>
      <c r="O675" s="9">
        <f t="shared" si="90"/>
        <v>-27.4</v>
      </c>
      <c r="P675" s="8">
        <f>D674/B674*10^(O675/10)</f>
        <v>0.28508646784889724</v>
      </c>
      <c r="Q675" s="26"/>
      <c r="R675" s="17"/>
      <c r="S675" s="19"/>
      <c r="T675" s="17"/>
      <c r="U675" s="22"/>
    </row>
    <row r="676" spans="1:21" x14ac:dyDescent="0.25">
      <c r="A676" s="24"/>
      <c r="B676" s="24"/>
      <c r="C676" s="17"/>
      <c r="D676" s="24"/>
      <c r="E676" s="24"/>
      <c r="F676" s="25"/>
      <c r="G676" s="1">
        <v>4025</v>
      </c>
      <c r="H676" s="2">
        <v>103.6</v>
      </c>
      <c r="I676" s="2">
        <v>-23.9</v>
      </c>
      <c r="J676" s="2">
        <v>-27.7</v>
      </c>
      <c r="K676" s="2">
        <f t="shared" si="88"/>
        <v>-23.9</v>
      </c>
      <c r="L676" s="8">
        <f t="shared" si="92"/>
        <v>1.7782794100389184E-13</v>
      </c>
      <c r="M676" s="26"/>
      <c r="N676" s="17"/>
      <c r="O676" s="9">
        <f t="shared" si="90"/>
        <v>-27.7</v>
      </c>
      <c r="P676" s="8">
        <f>D674/B674*10^(O676/10)</f>
        <v>0.26605817221900629</v>
      </c>
      <c r="Q676" s="26"/>
      <c r="R676" s="17"/>
      <c r="S676" s="19"/>
      <c r="T676" s="17"/>
      <c r="U676" s="22"/>
    </row>
    <row r="677" spans="1:21" x14ac:dyDescent="0.25">
      <c r="A677" s="24"/>
      <c r="B677" s="24"/>
      <c r="C677" s="17"/>
      <c r="D677" s="24"/>
      <c r="E677" s="24"/>
      <c r="F677" s="25"/>
      <c r="G677" s="1">
        <v>4625</v>
      </c>
      <c r="H677" s="2">
        <v>105.6</v>
      </c>
      <c r="I677" s="2">
        <v>-20.9</v>
      </c>
      <c r="J677" s="2">
        <v>-30.3</v>
      </c>
      <c r="K677" s="2">
        <f t="shared" si="88"/>
        <v>-20.9</v>
      </c>
      <c r="L677" s="8">
        <f t="shared" si="92"/>
        <v>2.238721138568332E-13</v>
      </c>
      <c r="M677" s="26"/>
      <c r="N677" s="17"/>
      <c r="O677" s="9">
        <f t="shared" si="90"/>
        <v>-30.3</v>
      </c>
      <c r="P677" s="8">
        <f>D674/B674*10^(O677/10)</f>
        <v>0.14620984045819507</v>
      </c>
      <c r="Q677" s="26"/>
      <c r="R677" s="17"/>
      <c r="S677" s="19"/>
      <c r="T677" s="17"/>
      <c r="U677" s="22"/>
    </row>
    <row r="678" spans="1:21" x14ac:dyDescent="0.25">
      <c r="A678" s="24"/>
      <c r="B678" s="24"/>
      <c r="C678" s="17"/>
      <c r="D678" s="24"/>
      <c r="E678" s="24"/>
      <c r="F678" s="25"/>
      <c r="G678" s="1">
        <v>5225</v>
      </c>
      <c r="H678" s="2">
        <v>103.5</v>
      </c>
      <c r="I678" s="2">
        <v>-24.299999999999997</v>
      </c>
      <c r="J678" s="2">
        <v>-25.9</v>
      </c>
      <c r="K678" s="2">
        <f t="shared" si="88"/>
        <v>-24.299999999999997</v>
      </c>
      <c r="L678" s="8">
        <f t="shared" si="92"/>
        <v>1.6595869074375568E-13</v>
      </c>
      <c r="M678" s="26"/>
      <c r="N678" s="17"/>
      <c r="O678" s="9">
        <f t="shared" si="90"/>
        <v>-25.9</v>
      </c>
      <c r="P678" s="8">
        <f>D674/B674*10^(O678/10)</f>
        <v>0.40269533930045526</v>
      </c>
      <c r="Q678" s="26"/>
      <c r="R678" s="17"/>
      <c r="S678" s="19"/>
      <c r="T678" s="17"/>
      <c r="U678" s="22"/>
    </row>
    <row r="679" spans="1:21" x14ac:dyDescent="0.25">
      <c r="A679" s="24"/>
      <c r="B679" s="24"/>
      <c r="C679" s="17"/>
      <c r="D679" s="24"/>
      <c r="E679" s="24"/>
      <c r="F679" s="25"/>
      <c r="G679" s="1">
        <v>5625</v>
      </c>
      <c r="H679" s="2">
        <v>99.5</v>
      </c>
      <c r="I679" s="2">
        <v>-20.3</v>
      </c>
      <c r="J679" s="2">
        <v>-27.1</v>
      </c>
      <c r="K679" s="2">
        <f t="shared" si="88"/>
        <v>-20.3</v>
      </c>
      <c r="L679" s="8">
        <f t="shared" si="92"/>
        <v>1.0471285480508967E-12</v>
      </c>
      <c r="M679" s="26"/>
      <c r="N679" s="17"/>
      <c r="O679" s="9">
        <f t="shared" si="90"/>
        <v>-27.1</v>
      </c>
      <c r="P679" s="8">
        <f>D674/B674*10^(O679/10)</f>
        <v>0.30547565396209353</v>
      </c>
      <c r="Q679" s="26"/>
      <c r="R679" s="17"/>
      <c r="S679" s="20"/>
      <c r="T679" s="17"/>
      <c r="U679" s="23"/>
    </row>
    <row r="680" spans="1:21" x14ac:dyDescent="0.25">
      <c r="A680" s="24">
        <v>8000</v>
      </c>
      <c r="B680" s="24">
        <v>3</v>
      </c>
      <c r="C680" s="17">
        <v>0.5</v>
      </c>
      <c r="D680" s="24">
        <v>943</v>
      </c>
      <c r="E680" s="24">
        <v>6</v>
      </c>
      <c r="F680" s="25">
        <v>54</v>
      </c>
      <c r="G680" s="1">
        <v>6025</v>
      </c>
      <c r="H680" s="2">
        <v>95</v>
      </c>
      <c r="I680" s="2">
        <v>-25.8</v>
      </c>
      <c r="J680" s="2">
        <v>-30.3</v>
      </c>
      <c r="K680" s="2">
        <f t="shared" si="88"/>
        <v>-25.8</v>
      </c>
      <c r="L680" s="8">
        <f t="shared" si="92"/>
        <v>8.3176377110266952E-13</v>
      </c>
      <c r="M680" s="26">
        <f>SUM(L680:L685)</f>
        <v>4.2594780183751199E-11</v>
      </c>
      <c r="N680" s="17">
        <f>10*LOG10(M680/E680)</f>
        <v>-111.48794869034204</v>
      </c>
      <c r="O680" s="9">
        <f t="shared" si="90"/>
        <v>-30.3</v>
      </c>
      <c r="P680" s="8">
        <f>D680/B680*10^(O680/10)</f>
        <v>0.29335293521718714</v>
      </c>
      <c r="Q680" s="26">
        <f>SUM(P680:P685)</f>
        <v>2.8300020136760384</v>
      </c>
      <c r="R680" s="17">
        <f>10*LOG10(Q680)</f>
        <v>4.5178674454481342</v>
      </c>
      <c r="S680" s="18">
        <f>F680+N680-Kzt-H</f>
        <v>-57.487948690342037</v>
      </c>
      <c r="T680" s="17">
        <v>0.7</v>
      </c>
      <c r="U680" s="21">
        <f>T680*10^((S680-R680)/10)</f>
        <v>4.4107904585553653E-7</v>
      </c>
    </row>
    <row r="681" spans="1:21" x14ac:dyDescent="0.25">
      <c r="A681" s="24"/>
      <c r="B681" s="24"/>
      <c r="C681" s="17"/>
      <c r="D681" s="24"/>
      <c r="E681" s="24"/>
      <c r="F681" s="25"/>
      <c r="G681" s="1">
        <v>7025</v>
      </c>
      <c r="H681" s="2">
        <v>94.8</v>
      </c>
      <c r="I681" s="2">
        <v>-24.3</v>
      </c>
      <c r="J681" s="2">
        <v>-29.7</v>
      </c>
      <c r="K681" s="2">
        <f t="shared" si="88"/>
        <v>-24.3</v>
      </c>
      <c r="L681" s="8">
        <f t="shared" si="92"/>
        <v>1.2302687708123772E-12</v>
      </c>
      <c r="M681" s="26"/>
      <c r="N681" s="17"/>
      <c r="O681" s="9">
        <f t="shared" si="90"/>
        <v>-29.7</v>
      </c>
      <c r="P681" s="8">
        <f>D680/B680*10^(O681/10)</f>
        <v>0.33681423494635426</v>
      </c>
      <c r="Q681" s="26"/>
      <c r="R681" s="17"/>
      <c r="S681" s="19"/>
      <c r="T681" s="17"/>
      <c r="U681" s="22"/>
    </row>
    <row r="682" spans="1:21" x14ac:dyDescent="0.25">
      <c r="A682" s="24"/>
      <c r="B682" s="24"/>
      <c r="C682" s="17"/>
      <c r="D682" s="24"/>
      <c r="E682" s="24"/>
      <c r="F682" s="25"/>
      <c r="G682" s="1">
        <v>8025</v>
      </c>
      <c r="H682" s="2">
        <v>101.9</v>
      </c>
      <c r="I682" s="2">
        <v>-25.4</v>
      </c>
      <c r="J682" s="2">
        <v>-29.3</v>
      </c>
      <c r="K682" s="2">
        <f t="shared" si="88"/>
        <v>-25.4</v>
      </c>
      <c r="L682" s="8">
        <f t="shared" si="92"/>
        <v>1.8620871366628623E-13</v>
      </c>
      <c r="M682" s="26"/>
      <c r="N682" s="17"/>
      <c r="O682" s="9">
        <f t="shared" si="90"/>
        <v>-29.3</v>
      </c>
      <c r="P682" s="8">
        <f>D680/B680*10^(O682/10)</f>
        <v>0.36930946476932491</v>
      </c>
      <c r="Q682" s="26"/>
      <c r="R682" s="17"/>
      <c r="S682" s="19"/>
      <c r="T682" s="17"/>
      <c r="U682" s="22"/>
    </row>
    <row r="683" spans="1:21" x14ac:dyDescent="0.25">
      <c r="A683" s="24"/>
      <c r="B683" s="24"/>
      <c r="C683" s="17"/>
      <c r="D683" s="24"/>
      <c r="E683" s="24"/>
      <c r="F683" s="25"/>
      <c r="G683" s="1">
        <v>9025</v>
      </c>
      <c r="H683" s="2">
        <v>93.2</v>
      </c>
      <c r="I683" s="2">
        <v>-20.8</v>
      </c>
      <c r="J683" s="2">
        <v>-26.3</v>
      </c>
      <c r="K683" s="2">
        <f t="shared" si="88"/>
        <v>-20.8</v>
      </c>
      <c r="L683" s="8">
        <f t="shared" si="92"/>
        <v>3.9810717055349533E-12</v>
      </c>
      <c r="M683" s="26"/>
      <c r="N683" s="17"/>
      <c r="O683" s="9">
        <f t="shared" si="90"/>
        <v>-26.3</v>
      </c>
      <c r="P683" s="8">
        <f>D680/B680*10^(O683/10)</f>
        <v>0.73686925761556155</v>
      </c>
      <c r="Q683" s="26"/>
      <c r="R683" s="17"/>
      <c r="S683" s="19"/>
      <c r="T683" s="17"/>
      <c r="U683" s="22"/>
    </row>
    <row r="684" spans="1:21" x14ac:dyDescent="0.25">
      <c r="A684" s="24"/>
      <c r="B684" s="24"/>
      <c r="C684" s="17"/>
      <c r="D684" s="24"/>
      <c r="E684" s="24"/>
      <c r="F684" s="25"/>
      <c r="G684" s="1">
        <v>10025</v>
      </c>
      <c r="H684" s="2">
        <v>88.3</v>
      </c>
      <c r="I684" s="2">
        <v>-23.8</v>
      </c>
      <c r="J684" s="2">
        <v>-27.8</v>
      </c>
      <c r="K684" s="2">
        <f t="shared" si="88"/>
        <v>-23.8</v>
      </c>
      <c r="L684" s="8">
        <f t="shared" si="92"/>
        <v>6.1659500186148244E-12</v>
      </c>
      <c r="M684" s="26"/>
      <c r="N684" s="17"/>
      <c r="O684" s="9">
        <f t="shared" si="90"/>
        <v>-27.8</v>
      </c>
      <c r="P684" s="8">
        <f>D680/B680*10^(O684/10)</f>
        <v>0.52166348457120604</v>
      </c>
      <c r="Q684" s="26"/>
      <c r="R684" s="17"/>
      <c r="S684" s="19"/>
      <c r="T684" s="17"/>
      <c r="U684" s="22"/>
    </row>
    <row r="685" spans="1:21" x14ac:dyDescent="0.25">
      <c r="A685" s="24"/>
      <c r="B685" s="24"/>
      <c r="C685" s="17"/>
      <c r="D685" s="24"/>
      <c r="E685" s="24"/>
      <c r="F685" s="25"/>
      <c r="G685" s="1">
        <v>11025</v>
      </c>
      <c r="H685" s="2">
        <v>86</v>
      </c>
      <c r="I685" s="2">
        <v>-19.2</v>
      </c>
      <c r="J685" s="2">
        <v>-27.4</v>
      </c>
      <c r="K685" s="2">
        <f t="shared" si="88"/>
        <v>-19.2</v>
      </c>
      <c r="L685" s="8">
        <f t="shared" si="92"/>
        <v>3.0199517204020087E-11</v>
      </c>
      <c r="M685" s="26"/>
      <c r="N685" s="17"/>
      <c r="O685" s="9">
        <f t="shared" si="90"/>
        <v>-27.4</v>
      </c>
      <c r="P685" s="8">
        <f>D680/B680*10^(O685/10)</f>
        <v>0.57199263655640453</v>
      </c>
      <c r="Q685" s="26"/>
      <c r="R685" s="17"/>
      <c r="S685" s="20"/>
      <c r="T685" s="17"/>
      <c r="U685" s="23"/>
    </row>
    <row r="686" spans="1:21" x14ac:dyDescent="0.25">
      <c r="A686" s="24" t="s">
        <v>20</v>
      </c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12">
        <f>U686</f>
        <v>5.7580415596988746E-2</v>
      </c>
      <c r="T686" s="2"/>
      <c r="U686" s="8">
        <f>0.8*SQRT(SUM(U652:U685))</f>
        <v>5.7580415596988746E-2</v>
      </c>
    </row>
    <row r="687" spans="1:21" x14ac:dyDescent="0.25">
      <c r="A687" s="27" t="s">
        <v>91</v>
      </c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9"/>
    </row>
    <row r="688" spans="1:21" x14ac:dyDescent="0.25">
      <c r="A688" s="24">
        <v>250</v>
      </c>
      <c r="B688" s="24">
        <v>3</v>
      </c>
      <c r="C688" s="17">
        <v>0.5</v>
      </c>
      <c r="D688" s="24">
        <v>38</v>
      </c>
      <c r="E688" s="24">
        <v>4</v>
      </c>
      <c r="F688" s="25">
        <v>84</v>
      </c>
      <c r="G688" s="1">
        <v>175</v>
      </c>
      <c r="H688" s="2">
        <v>84.8</v>
      </c>
      <c r="I688" s="2">
        <v>-16.5</v>
      </c>
      <c r="J688" s="2">
        <v>-18.399999999999999</v>
      </c>
      <c r="K688" s="2">
        <f>I688</f>
        <v>-16.5</v>
      </c>
      <c r="L688" s="8">
        <f>10^((K688-H688)/10)</f>
        <v>7.413102413009181E-11</v>
      </c>
      <c r="M688" s="26">
        <f>SUM(L688:L691)</f>
        <v>1.3135491001788736E-10</v>
      </c>
      <c r="N688" s="17">
        <f>10*LOG10(M688/E688)</f>
        <v>-104.83613680069445</v>
      </c>
      <c r="O688" s="9">
        <f>J688</f>
        <v>-18.399999999999999</v>
      </c>
      <c r="P688" s="8">
        <f>D688/B688*10^(O688/10)</f>
        <v>0.18308903762781745</v>
      </c>
      <c r="Q688" s="26">
        <f>SUM(P688:P691)</f>
        <v>0.60082378271818593</v>
      </c>
      <c r="R688" s="17">
        <f>10*LOG10(Q688)</f>
        <v>-2.2125288476080063</v>
      </c>
      <c r="S688" s="18">
        <f>F688+N688-Kzt-H</f>
        <v>-20.836136800694447</v>
      </c>
      <c r="T688" s="17">
        <v>0.2</v>
      </c>
      <c r="U688" s="21">
        <f>T688*10^((S688-R688)/10)</f>
        <v>2.7458018946368381E-3</v>
      </c>
    </row>
    <row r="689" spans="1:21" x14ac:dyDescent="0.25">
      <c r="A689" s="24"/>
      <c r="B689" s="24"/>
      <c r="C689" s="17"/>
      <c r="D689" s="24"/>
      <c r="E689" s="24"/>
      <c r="F689" s="25"/>
      <c r="G689" s="1">
        <v>225</v>
      </c>
      <c r="H689" s="2">
        <v>90</v>
      </c>
      <c r="I689" s="2">
        <v>-14.5</v>
      </c>
      <c r="J689" s="2">
        <v>-18.7</v>
      </c>
      <c r="K689" s="2">
        <f t="shared" ref="K689:K721" si="93">I689</f>
        <v>-14.5</v>
      </c>
      <c r="L689" s="8">
        <f t="shared" ref="L689:L690" si="94">10^((K689-H689)/10)</f>
        <v>3.5481338923357562E-11</v>
      </c>
      <c r="M689" s="26"/>
      <c r="N689" s="17"/>
      <c r="O689" s="9">
        <f t="shared" ref="O689:O721" si="95">J689</f>
        <v>-18.7</v>
      </c>
      <c r="P689" s="8">
        <f>D688/B688*10^(O689/10)</f>
        <v>0.1708686317949428</v>
      </c>
      <c r="Q689" s="26"/>
      <c r="R689" s="17"/>
      <c r="S689" s="19"/>
      <c r="T689" s="17"/>
      <c r="U689" s="22"/>
    </row>
    <row r="690" spans="1:21" x14ac:dyDescent="0.25">
      <c r="A690" s="24"/>
      <c r="B690" s="24"/>
      <c r="C690" s="17"/>
      <c r="D690" s="24"/>
      <c r="E690" s="24"/>
      <c r="F690" s="25"/>
      <c r="G690" s="1">
        <v>275</v>
      </c>
      <c r="H690" s="2">
        <v>92.2</v>
      </c>
      <c r="I690" s="2">
        <v>-16</v>
      </c>
      <c r="J690" s="2">
        <v>-21.8</v>
      </c>
      <c r="K690" s="2">
        <f t="shared" si="93"/>
        <v>-16</v>
      </c>
      <c r="L690" s="8">
        <f t="shared" si="94"/>
        <v>1.5135612484362034E-11</v>
      </c>
      <c r="M690" s="26"/>
      <c r="N690" s="17"/>
      <c r="O690" s="9">
        <f t="shared" si="95"/>
        <v>-21.8</v>
      </c>
      <c r="P690" s="8">
        <f>D688/B688*10^(O690/10)</f>
        <v>8.368783674762878E-2</v>
      </c>
      <c r="Q690" s="26"/>
      <c r="R690" s="17"/>
      <c r="S690" s="19"/>
      <c r="T690" s="17"/>
      <c r="U690" s="22"/>
    </row>
    <row r="691" spans="1:21" x14ac:dyDescent="0.25">
      <c r="A691" s="24"/>
      <c r="B691" s="24"/>
      <c r="C691" s="17"/>
      <c r="D691" s="24"/>
      <c r="E691" s="24"/>
      <c r="F691" s="25"/>
      <c r="G691" s="1">
        <v>325</v>
      </c>
      <c r="H691" s="2">
        <v>93.3</v>
      </c>
      <c r="I691" s="2">
        <v>-18.5</v>
      </c>
      <c r="J691" s="2">
        <v>-18.899999999999999</v>
      </c>
      <c r="K691" s="2">
        <f t="shared" si="93"/>
        <v>-18.5</v>
      </c>
      <c r="L691" s="8">
        <f>10^((K691-H691)/10)</f>
        <v>6.6069344800759387E-12</v>
      </c>
      <c r="M691" s="26"/>
      <c r="N691" s="17"/>
      <c r="O691" s="9">
        <f t="shared" si="95"/>
        <v>-18.899999999999999</v>
      </c>
      <c r="P691" s="8">
        <f>D688/B688*10^(O691/10)</f>
        <v>0.16317827654779687</v>
      </c>
      <c r="Q691" s="26"/>
      <c r="R691" s="17"/>
      <c r="S691" s="20"/>
      <c r="T691" s="17"/>
      <c r="U691" s="23"/>
    </row>
    <row r="692" spans="1:21" x14ac:dyDescent="0.25">
      <c r="A692" s="24">
        <v>500</v>
      </c>
      <c r="B692" s="24">
        <v>3</v>
      </c>
      <c r="C692" s="17">
        <v>0.5</v>
      </c>
      <c r="D692" s="24">
        <v>59</v>
      </c>
      <c r="E692" s="24">
        <v>6</v>
      </c>
      <c r="F692" s="25">
        <v>84</v>
      </c>
      <c r="G692" s="1">
        <v>375</v>
      </c>
      <c r="H692" s="2">
        <v>91.9</v>
      </c>
      <c r="I692" s="2">
        <v>-17.399999999999999</v>
      </c>
      <c r="J692" s="2">
        <v>-18.7</v>
      </c>
      <c r="K692" s="2">
        <f t="shared" si="93"/>
        <v>-17.399999999999999</v>
      </c>
      <c r="L692" s="8">
        <f t="shared" ref="L692:L693" si="96">10^((K692-H692)/10)</f>
        <v>1.1748975549395229E-11</v>
      </c>
      <c r="M692" s="26">
        <f>SUM(L692:L697)</f>
        <v>1.340714990540493E-10</v>
      </c>
      <c r="N692" s="17">
        <f>10*LOG10(M692/E692)</f>
        <v>-106.50814785127871</v>
      </c>
      <c r="O692" s="9">
        <f t="shared" si="95"/>
        <v>-18.7</v>
      </c>
      <c r="P692" s="8">
        <f>D692/B692*10^(O692/10)</f>
        <v>0.26529603357635856</v>
      </c>
      <c r="Q692" s="26">
        <f>SUM(P692:P697)</f>
        <v>1.6261169644277194</v>
      </c>
      <c r="R692" s="17">
        <f>10*LOG10(Q692)</f>
        <v>2.1115178060528996</v>
      </c>
      <c r="S692" s="18">
        <f>F692+N692-Kzt-H</f>
        <v>-22.508147851278707</v>
      </c>
      <c r="T692" s="17">
        <v>0.5</v>
      </c>
      <c r="U692" s="21">
        <f>T692*10^((S692-R692)/10)</f>
        <v>1.7258515566690078E-3</v>
      </c>
    </row>
    <row r="693" spans="1:21" x14ac:dyDescent="0.25">
      <c r="A693" s="24"/>
      <c r="B693" s="24"/>
      <c r="C693" s="17"/>
      <c r="D693" s="24"/>
      <c r="E693" s="24"/>
      <c r="F693" s="25"/>
      <c r="G693" s="1">
        <v>425</v>
      </c>
      <c r="H693" s="2">
        <v>88.1</v>
      </c>
      <c r="I693" s="2">
        <v>-16</v>
      </c>
      <c r="J693" s="2">
        <v>-18.7</v>
      </c>
      <c r="K693" s="2">
        <f t="shared" si="93"/>
        <v>-16</v>
      </c>
      <c r="L693" s="8">
        <f t="shared" si="96"/>
        <v>3.8904514499427922E-11</v>
      </c>
      <c r="M693" s="26"/>
      <c r="N693" s="17"/>
      <c r="O693" s="9">
        <f t="shared" si="95"/>
        <v>-18.7</v>
      </c>
      <c r="P693" s="8">
        <f>D692/B692*10^(O693/10)</f>
        <v>0.26529603357635856</v>
      </c>
      <c r="Q693" s="26"/>
      <c r="R693" s="17"/>
      <c r="S693" s="19"/>
      <c r="T693" s="17"/>
      <c r="U693" s="22"/>
    </row>
    <row r="694" spans="1:21" x14ac:dyDescent="0.25">
      <c r="A694" s="24"/>
      <c r="B694" s="24"/>
      <c r="C694" s="17"/>
      <c r="D694" s="24"/>
      <c r="E694" s="24"/>
      <c r="F694" s="25"/>
      <c r="G694" s="1">
        <v>475</v>
      </c>
      <c r="H694" s="2">
        <v>90</v>
      </c>
      <c r="I694" s="2">
        <v>-15</v>
      </c>
      <c r="J694" s="2">
        <v>-16.5</v>
      </c>
      <c r="K694" s="2">
        <f t="shared" si="93"/>
        <v>-15</v>
      </c>
      <c r="L694" s="8">
        <f>10^((K694-H694)/10)</f>
        <v>3.162277660168371E-11</v>
      </c>
      <c r="M694" s="26"/>
      <c r="N694" s="17"/>
      <c r="O694" s="9">
        <f t="shared" si="95"/>
        <v>-16.5</v>
      </c>
      <c r="P694" s="8">
        <f>D692/B692*10^(O694/10)</f>
        <v>0.44028182391844001</v>
      </c>
      <c r="Q694" s="26"/>
      <c r="R694" s="17"/>
      <c r="S694" s="19"/>
      <c r="T694" s="17"/>
      <c r="U694" s="22"/>
    </row>
    <row r="695" spans="1:21" x14ac:dyDescent="0.25">
      <c r="A695" s="24"/>
      <c r="B695" s="24"/>
      <c r="C695" s="17"/>
      <c r="D695" s="24"/>
      <c r="E695" s="24"/>
      <c r="F695" s="25"/>
      <c r="G695" s="1">
        <v>575</v>
      </c>
      <c r="H695" s="2">
        <v>97</v>
      </c>
      <c r="I695" s="2">
        <v>-14.1</v>
      </c>
      <c r="J695" s="2">
        <v>-18.899999999999999</v>
      </c>
      <c r="K695" s="2">
        <f t="shared" si="93"/>
        <v>-14.1</v>
      </c>
      <c r="L695" s="8">
        <f t="shared" ref="L695:L721" si="97">10^((K695-H695)/10)</f>
        <v>7.762471166286914E-12</v>
      </c>
      <c r="M695" s="26"/>
      <c r="N695" s="17"/>
      <c r="O695" s="9">
        <f t="shared" si="95"/>
        <v>-18.899999999999999</v>
      </c>
      <c r="P695" s="8">
        <f>D692/B692*10^(O695/10)</f>
        <v>0.2533557451663162</v>
      </c>
      <c r="Q695" s="26"/>
      <c r="R695" s="17"/>
      <c r="S695" s="19"/>
      <c r="T695" s="17"/>
      <c r="U695" s="22"/>
    </row>
    <row r="696" spans="1:21" x14ac:dyDescent="0.25">
      <c r="A696" s="24"/>
      <c r="B696" s="24"/>
      <c r="C696" s="17"/>
      <c r="D696" s="24"/>
      <c r="E696" s="24"/>
      <c r="F696" s="25"/>
      <c r="G696" s="1">
        <v>625</v>
      </c>
      <c r="H696" s="2">
        <v>92</v>
      </c>
      <c r="I696" s="2">
        <v>-13.5</v>
      </c>
      <c r="J696" s="2">
        <v>-22</v>
      </c>
      <c r="K696" s="2">
        <f t="shared" si="93"/>
        <v>-13.5</v>
      </c>
      <c r="L696" s="8">
        <f t="shared" si="97"/>
        <v>2.8183829312644474E-11</v>
      </c>
      <c r="M696" s="26"/>
      <c r="N696" s="17"/>
      <c r="O696" s="9">
        <f t="shared" si="95"/>
        <v>-22</v>
      </c>
      <c r="P696" s="8">
        <f>D692/B692*10^(O696/10)</f>
        <v>0.1240882777477712</v>
      </c>
      <c r="Q696" s="26"/>
      <c r="R696" s="17"/>
      <c r="S696" s="19"/>
      <c r="T696" s="17"/>
      <c r="U696" s="22"/>
    </row>
    <row r="697" spans="1:21" x14ac:dyDescent="0.25">
      <c r="A697" s="24"/>
      <c r="B697" s="24"/>
      <c r="C697" s="17"/>
      <c r="D697" s="24"/>
      <c r="E697" s="24"/>
      <c r="F697" s="25"/>
      <c r="G697" s="1">
        <v>675</v>
      </c>
      <c r="H697" s="2">
        <v>94.5</v>
      </c>
      <c r="I697" s="2">
        <v>-13.5</v>
      </c>
      <c r="J697" s="2">
        <v>-18.5</v>
      </c>
      <c r="K697" s="2">
        <f t="shared" si="93"/>
        <v>-13.5</v>
      </c>
      <c r="L697" s="8">
        <f t="shared" si="97"/>
        <v>1.5848931924611082E-11</v>
      </c>
      <c r="M697" s="26"/>
      <c r="N697" s="17"/>
      <c r="O697" s="9">
        <f t="shared" si="95"/>
        <v>-18.5</v>
      </c>
      <c r="P697" s="8">
        <f>D692/B692*10^(O697/10)</f>
        <v>0.27779905044247472</v>
      </c>
      <c r="Q697" s="26"/>
      <c r="R697" s="17"/>
      <c r="S697" s="20"/>
      <c r="T697" s="17"/>
      <c r="U697" s="23"/>
    </row>
    <row r="698" spans="1:21" x14ac:dyDescent="0.25">
      <c r="A698" s="24">
        <v>1000</v>
      </c>
      <c r="B698" s="24">
        <v>3</v>
      </c>
      <c r="C698" s="17">
        <v>0.5</v>
      </c>
      <c r="D698" s="24">
        <v>117</v>
      </c>
      <c r="E698" s="24">
        <v>6</v>
      </c>
      <c r="F698" s="25">
        <v>76</v>
      </c>
      <c r="G698" s="1">
        <v>875</v>
      </c>
      <c r="H698" s="2">
        <v>91.1</v>
      </c>
      <c r="I698" s="2">
        <v>-18.2</v>
      </c>
      <c r="J698" s="2">
        <v>-21</v>
      </c>
      <c r="K698" s="2">
        <f t="shared" si="93"/>
        <v>-18.2</v>
      </c>
      <c r="L698" s="8">
        <f t="shared" si="97"/>
        <v>1.1748975549395269E-11</v>
      </c>
      <c r="M698" s="26">
        <f>SUM(L698:L703)</f>
        <v>3.7663213501396571E-11</v>
      </c>
      <c r="N698" s="17">
        <f>10*LOG10(M698/E698)</f>
        <v>-112.0223387824032</v>
      </c>
      <c r="O698" s="9">
        <f t="shared" si="95"/>
        <v>-21</v>
      </c>
      <c r="P698" s="8">
        <f>D698/B698*10^(O698/10)</f>
        <v>0.30978801154246965</v>
      </c>
      <c r="Q698" s="26">
        <f>SUM(P698:P703)</f>
        <v>2.2097458085523756</v>
      </c>
      <c r="R698" s="17">
        <f>10*LOG10(Q698)</f>
        <v>3.4434231880175137</v>
      </c>
      <c r="S698" s="18">
        <f>F698+N698-Kzt-H</f>
        <v>-36.022338782403196</v>
      </c>
      <c r="T698" s="17">
        <v>0.8</v>
      </c>
      <c r="U698" s="21">
        <f>T698*10^((S698-R698)/10)</f>
        <v>9.0471916440717701E-5</v>
      </c>
    </row>
    <row r="699" spans="1:21" x14ac:dyDescent="0.25">
      <c r="A699" s="24"/>
      <c r="B699" s="24"/>
      <c r="C699" s="17"/>
      <c r="D699" s="24"/>
      <c r="E699" s="24"/>
      <c r="F699" s="25"/>
      <c r="G699" s="1">
        <v>975</v>
      </c>
      <c r="H699" s="2">
        <v>96.5</v>
      </c>
      <c r="I699" s="2">
        <v>-11.7</v>
      </c>
      <c r="J699" s="2">
        <v>-19.899999999999999</v>
      </c>
      <c r="K699" s="2">
        <f t="shared" si="93"/>
        <v>-11.7</v>
      </c>
      <c r="L699" s="8">
        <f t="shared" si="97"/>
        <v>1.5135612484362034E-11</v>
      </c>
      <c r="M699" s="26"/>
      <c r="N699" s="17"/>
      <c r="O699" s="9">
        <f t="shared" si="95"/>
        <v>-19.899999999999999</v>
      </c>
      <c r="P699" s="8">
        <f>D698/B698*10^(O699/10)</f>
        <v>0.39908426698949423</v>
      </c>
      <c r="Q699" s="26"/>
      <c r="R699" s="17"/>
      <c r="S699" s="19"/>
      <c r="T699" s="17"/>
      <c r="U699" s="22"/>
    </row>
    <row r="700" spans="1:21" x14ac:dyDescent="0.25">
      <c r="A700" s="24"/>
      <c r="B700" s="24"/>
      <c r="C700" s="17"/>
      <c r="D700" s="24"/>
      <c r="E700" s="24"/>
      <c r="F700" s="25"/>
      <c r="G700" s="1">
        <v>1075</v>
      </c>
      <c r="H700" s="2">
        <v>94.6</v>
      </c>
      <c r="I700" s="2">
        <v>-19.5</v>
      </c>
      <c r="J700" s="2">
        <v>-20.9</v>
      </c>
      <c r="K700" s="2">
        <f t="shared" si="93"/>
        <v>-19.5</v>
      </c>
      <c r="L700" s="8">
        <f t="shared" si="97"/>
        <v>3.890451449942802E-12</v>
      </c>
      <c r="M700" s="26"/>
      <c r="N700" s="17"/>
      <c r="O700" s="9">
        <f t="shared" si="95"/>
        <v>-20.9</v>
      </c>
      <c r="P700" s="8">
        <f>D698/B698*10^(O700/10)</f>
        <v>0.31700390130399858</v>
      </c>
      <c r="Q700" s="26"/>
      <c r="R700" s="17"/>
      <c r="S700" s="19"/>
      <c r="T700" s="17"/>
      <c r="U700" s="22"/>
    </row>
    <row r="701" spans="1:21" x14ac:dyDescent="0.25">
      <c r="A701" s="24"/>
      <c r="B701" s="24"/>
      <c r="C701" s="17"/>
      <c r="D701" s="24"/>
      <c r="E701" s="24"/>
      <c r="F701" s="25"/>
      <c r="G701" s="1">
        <v>1175</v>
      </c>
      <c r="H701" s="2">
        <v>97.8</v>
      </c>
      <c r="I701" s="2">
        <v>-17.5</v>
      </c>
      <c r="J701" s="2">
        <v>-20.100000000000001</v>
      </c>
      <c r="K701" s="2">
        <f t="shared" si="93"/>
        <v>-17.5</v>
      </c>
      <c r="L701" s="8">
        <f t="shared" si="97"/>
        <v>2.9512092266663859E-12</v>
      </c>
      <c r="M701" s="26"/>
      <c r="N701" s="17"/>
      <c r="O701" s="9">
        <f t="shared" si="95"/>
        <v>-20.100000000000001</v>
      </c>
      <c r="P701" s="8">
        <f>D698/B698*10^(O701/10)</f>
        <v>0.38112251617276571</v>
      </c>
      <c r="Q701" s="26"/>
      <c r="R701" s="17"/>
      <c r="S701" s="19"/>
      <c r="T701" s="17"/>
      <c r="U701" s="22"/>
    </row>
    <row r="702" spans="1:21" x14ac:dyDescent="0.25">
      <c r="A702" s="24"/>
      <c r="B702" s="24"/>
      <c r="C702" s="17"/>
      <c r="D702" s="24"/>
      <c r="E702" s="24"/>
      <c r="F702" s="25"/>
      <c r="G702" s="1">
        <v>1275</v>
      </c>
      <c r="H702" s="2">
        <v>100.1</v>
      </c>
      <c r="I702" s="2">
        <v>-16.399999999999999</v>
      </c>
      <c r="J702" s="2">
        <v>-23.6</v>
      </c>
      <c r="K702" s="2">
        <f t="shared" si="93"/>
        <v>-16.399999999999999</v>
      </c>
      <c r="L702" s="8">
        <f t="shared" si="97"/>
        <v>2.2387211385683343E-12</v>
      </c>
      <c r="M702" s="26"/>
      <c r="N702" s="17"/>
      <c r="O702" s="9">
        <f t="shared" si="95"/>
        <v>-23.6</v>
      </c>
      <c r="P702" s="8">
        <f>D698/B698*10^(O702/10)</f>
        <v>0.17024117457366447</v>
      </c>
      <c r="Q702" s="26"/>
      <c r="R702" s="17"/>
      <c r="S702" s="19"/>
      <c r="T702" s="17"/>
      <c r="U702" s="22"/>
    </row>
    <row r="703" spans="1:21" x14ac:dyDescent="0.25">
      <c r="A703" s="24"/>
      <c r="B703" s="24"/>
      <c r="C703" s="17"/>
      <c r="D703" s="24"/>
      <c r="E703" s="24"/>
      <c r="F703" s="25"/>
      <c r="G703" s="1">
        <v>1375</v>
      </c>
      <c r="H703" s="2">
        <v>103</v>
      </c>
      <c r="I703" s="2">
        <v>-14.7</v>
      </c>
      <c r="J703" s="2">
        <v>-17.899999999999999</v>
      </c>
      <c r="K703" s="2">
        <f t="shared" si="93"/>
        <v>-14.7</v>
      </c>
      <c r="L703" s="8">
        <f t="shared" si="97"/>
        <v>1.6982436524617421E-12</v>
      </c>
      <c r="M703" s="26"/>
      <c r="N703" s="17"/>
      <c r="O703" s="9">
        <f t="shared" si="95"/>
        <v>-17.899999999999999</v>
      </c>
      <c r="P703" s="8">
        <f>D698/B698*10^(O703/10)</f>
        <v>0.63250593796998289</v>
      </c>
      <c r="Q703" s="26"/>
      <c r="R703" s="17"/>
      <c r="S703" s="20"/>
      <c r="T703" s="17"/>
      <c r="U703" s="23"/>
    </row>
    <row r="704" spans="1:21" x14ac:dyDescent="0.25">
      <c r="A704" s="24">
        <v>2000</v>
      </c>
      <c r="B704" s="24">
        <v>3</v>
      </c>
      <c r="C704" s="17">
        <v>0.5</v>
      </c>
      <c r="D704" s="24">
        <v>234</v>
      </c>
      <c r="E704" s="24">
        <v>6</v>
      </c>
      <c r="F704" s="25">
        <v>68</v>
      </c>
      <c r="G704" s="1">
        <v>1425</v>
      </c>
      <c r="H704" s="2">
        <v>102.8</v>
      </c>
      <c r="I704" s="2">
        <v>-17.399999999999999</v>
      </c>
      <c r="J704" s="2">
        <v>-18.8</v>
      </c>
      <c r="K704" s="2">
        <f t="shared" si="93"/>
        <v>-17.399999999999999</v>
      </c>
      <c r="L704" s="8">
        <f t="shared" si="97"/>
        <v>9.5499258602143367E-13</v>
      </c>
      <c r="M704" s="26">
        <f>SUM(L704:L709)</f>
        <v>1.0357924432729819E-11</v>
      </c>
      <c r="N704" s="17">
        <f>10*LOG10(M704/E704)</f>
        <v>-117.62878512128894</v>
      </c>
      <c r="O704" s="9">
        <f t="shared" si="95"/>
        <v>-18.8</v>
      </c>
      <c r="P704" s="8">
        <f>D704/B704*10^(O704/10)</f>
        <v>1.0282402560739967</v>
      </c>
      <c r="Q704" s="26">
        <f>SUM(P704:P709)</f>
        <v>5.9841312476997741</v>
      </c>
      <c r="R704" s="17">
        <f>10*LOG10(Q704)</f>
        <v>7.7700111017837825</v>
      </c>
      <c r="S704" s="18">
        <f>F704+N704-Kzt-H</f>
        <v>-49.628785121288942</v>
      </c>
      <c r="T704" s="17">
        <v>1</v>
      </c>
      <c r="U704" s="21">
        <f>T704*10^((S704-R704)/10)</f>
        <v>1.8202053129861407E-6</v>
      </c>
    </row>
    <row r="705" spans="1:21" x14ac:dyDescent="0.25">
      <c r="A705" s="24"/>
      <c r="B705" s="24"/>
      <c r="C705" s="17"/>
      <c r="D705" s="24"/>
      <c r="E705" s="24"/>
      <c r="F705" s="25"/>
      <c r="G705" s="1">
        <v>1625</v>
      </c>
      <c r="H705" s="2">
        <v>104.1</v>
      </c>
      <c r="I705" s="2">
        <v>-13.9</v>
      </c>
      <c r="J705" s="2">
        <v>-19.100000000000001</v>
      </c>
      <c r="K705" s="2">
        <f t="shared" si="93"/>
        <v>-13.9</v>
      </c>
      <c r="L705" s="8">
        <f t="shared" si="97"/>
        <v>1.5848931924611065E-12</v>
      </c>
      <c r="M705" s="26"/>
      <c r="N705" s="17"/>
      <c r="O705" s="9">
        <f t="shared" si="95"/>
        <v>-19.100000000000001</v>
      </c>
      <c r="P705" s="8">
        <f>D704/B704*10^(O705/10)</f>
        <v>0.95960964123365711</v>
      </c>
      <c r="Q705" s="26"/>
      <c r="R705" s="17"/>
      <c r="S705" s="19"/>
      <c r="T705" s="17"/>
      <c r="U705" s="22"/>
    </row>
    <row r="706" spans="1:21" x14ac:dyDescent="0.25">
      <c r="A706" s="24"/>
      <c r="B706" s="24"/>
      <c r="C706" s="17"/>
      <c r="D706" s="24"/>
      <c r="E706" s="24"/>
      <c r="F706" s="25"/>
      <c r="G706" s="1">
        <v>1825</v>
      </c>
      <c r="H706" s="2">
        <v>107.6</v>
      </c>
      <c r="I706" s="2">
        <v>-15.4</v>
      </c>
      <c r="J706" s="2">
        <v>-17.5</v>
      </c>
      <c r="K706" s="2">
        <f t="shared" si="93"/>
        <v>-15.4</v>
      </c>
      <c r="L706" s="8">
        <f t="shared" si="97"/>
        <v>5.0118723362727066E-13</v>
      </c>
      <c r="M706" s="26"/>
      <c r="N706" s="17"/>
      <c r="O706" s="9">
        <f t="shared" si="95"/>
        <v>-17.5</v>
      </c>
      <c r="P706" s="8">
        <f>D704/B704*10^(O706/10)</f>
        <v>1.3870579398303595</v>
      </c>
      <c r="Q706" s="26"/>
      <c r="R706" s="17"/>
      <c r="S706" s="19"/>
      <c r="T706" s="17"/>
      <c r="U706" s="22"/>
    </row>
    <row r="707" spans="1:21" x14ac:dyDescent="0.25">
      <c r="A707" s="24"/>
      <c r="B707" s="24"/>
      <c r="C707" s="17"/>
      <c r="D707" s="24"/>
      <c r="E707" s="24"/>
      <c r="F707" s="25"/>
      <c r="G707" s="1">
        <v>2125</v>
      </c>
      <c r="H707" s="2">
        <v>104.2</v>
      </c>
      <c r="I707" s="2">
        <v>-16.399999999999999</v>
      </c>
      <c r="J707" s="2">
        <v>-18.899999999999999</v>
      </c>
      <c r="K707" s="2">
        <f t="shared" si="93"/>
        <v>-16.399999999999999</v>
      </c>
      <c r="L707" s="8">
        <f t="shared" si="97"/>
        <v>8.7096358995608191E-13</v>
      </c>
      <c r="M707" s="26"/>
      <c r="N707" s="17"/>
      <c r="O707" s="9">
        <f t="shared" si="95"/>
        <v>-18.899999999999999</v>
      </c>
      <c r="P707" s="8">
        <f>D704/B704*10^(O707/10)</f>
        <v>1.0048346503206438</v>
      </c>
      <c r="Q707" s="26"/>
      <c r="R707" s="17"/>
      <c r="S707" s="19"/>
      <c r="T707" s="17"/>
      <c r="U707" s="22"/>
    </row>
    <row r="708" spans="1:21" x14ac:dyDescent="0.25">
      <c r="A708" s="24"/>
      <c r="B708" s="24"/>
      <c r="C708" s="17"/>
      <c r="D708" s="24"/>
      <c r="E708" s="24"/>
      <c r="F708" s="25"/>
      <c r="G708" s="1">
        <v>2425</v>
      </c>
      <c r="H708" s="2">
        <v>93.7</v>
      </c>
      <c r="I708" s="2">
        <v>-19.5</v>
      </c>
      <c r="J708" s="2">
        <v>-21.5</v>
      </c>
      <c r="K708" s="2">
        <f t="shared" si="93"/>
        <v>-19.5</v>
      </c>
      <c r="L708" s="8">
        <f t="shared" si="97"/>
        <v>4.7863009232263738E-12</v>
      </c>
      <c r="M708" s="26"/>
      <c r="N708" s="17"/>
      <c r="O708" s="9">
        <f t="shared" si="95"/>
        <v>-21.5</v>
      </c>
      <c r="P708" s="8">
        <f>D704/B704*10^(O708/10)</f>
        <v>0.55219771181962762</v>
      </c>
      <c r="Q708" s="26"/>
      <c r="R708" s="17"/>
      <c r="S708" s="19"/>
      <c r="T708" s="17"/>
      <c r="U708" s="22"/>
    </row>
    <row r="709" spans="1:21" x14ac:dyDescent="0.25">
      <c r="A709" s="24"/>
      <c r="B709" s="24"/>
      <c r="C709" s="17"/>
      <c r="D709" s="24"/>
      <c r="E709" s="24"/>
      <c r="F709" s="25"/>
      <c r="G709" s="1">
        <v>2775</v>
      </c>
      <c r="H709" s="2">
        <v>100.2</v>
      </c>
      <c r="I709" s="2">
        <v>-17.600000000000001</v>
      </c>
      <c r="J709" s="2">
        <v>-18.7</v>
      </c>
      <c r="K709" s="2">
        <f t="shared" si="93"/>
        <v>-17.600000000000001</v>
      </c>
      <c r="L709" s="8">
        <f t="shared" si="97"/>
        <v>1.6595869074375527E-12</v>
      </c>
      <c r="M709" s="26"/>
      <c r="N709" s="17"/>
      <c r="O709" s="9">
        <f t="shared" si="95"/>
        <v>-18.7</v>
      </c>
      <c r="P709" s="8">
        <f>D704/B704*10^(O709/10)</f>
        <v>1.0521910484214898</v>
      </c>
      <c r="Q709" s="26"/>
      <c r="R709" s="17"/>
      <c r="S709" s="20"/>
      <c r="T709" s="17"/>
      <c r="U709" s="23"/>
    </row>
    <row r="710" spans="1:21" x14ac:dyDescent="0.25">
      <c r="A710" s="24">
        <v>4000</v>
      </c>
      <c r="B710" s="24">
        <v>3</v>
      </c>
      <c r="C710" s="17">
        <v>0.5</v>
      </c>
      <c r="D710" s="24">
        <v>470</v>
      </c>
      <c r="E710" s="24">
        <v>6</v>
      </c>
      <c r="F710" s="25">
        <v>62</v>
      </c>
      <c r="G710" s="1">
        <v>2825</v>
      </c>
      <c r="H710" s="2">
        <v>99.4</v>
      </c>
      <c r="I710" s="2">
        <v>-16.600000000000001</v>
      </c>
      <c r="J710" s="2">
        <v>-20.3</v>
      </c>
      <c r="K710" s="2">
        <f t="shared" si="93"/>
        <v>-16.600000000000001</v>
      </c>
      <c r="L710" s="8">
        <f t="shared" si="97"/>
        <v>2.5118864315095726E-12</v>
      </c>
      <c r="M710" s="26">
        <f>SUM(L710:L715)</f>
        <v>7.8632315725960107E-12</v>
      </c>
      <c r="N710" s="17">
        <f>10*LOG10(M710/E710)</f>
        <v>-118.82550184533014</v>
      </c>
      <c r="O710" s="9">
        <f t="shared" si="95"/>
        <v>-20.3</v>
      </c>
      <c r="P710" s="8">
        <f>D710/B710*10^(O710/10)</f>
        <v>1.4620984045819512</v>
      </c>
      <c r="Q710" s="26">
        <f>SUM(P710:P715)</f>
        <v>9.3197433030504921</v>
      </c>
      <c r="R710" s="17">
        <f>10*LOG10(Q710)</f>
        <v>9.6940395059389832</v>
      </c>
      <c r="S710" s="18">
        <f>F710+N710-Kzt-H</f>
        <v>-56.825501845330137</v>
      </c>
      <c r="T710" s="17">
        <v>0.9</v>
      </c>
      <c r="U710" s="21">
        <f>T710*10^((S710-R710)/10)</f>
        <v>2.0058034515940244E-7</v>
      </c>
    </row>
    <row r="711" spans="1:21" x14ac:dyDescent="0.25">
      <c r="A711" s="24"/>
      <c r="B711" s="24"/>
      <c r="C711" s="17"/>
      <c r="D711" s="24"/>
      <c r="E711" s="24"/>
      <c r="F711" s="25"/>
      <c r="G711" s="1">
        <v>3425</v>
      </c>
      <c r="H711" s="2">
        <v>103.5</v>
      </c>
      <c r="I711" s="2">
        <v>-17.100000000000001</v>
      </c>
      <c r="J711" s="2">
        <v>-18.8</v>
      </c>
      <c r="K711" s="2">
        <f t="shared" si="93"/>
        <v>-17.100000000000001</v>
      </c>
      <c r="L711" s="8">
        <f t="shared" si="97"/>
        <v>8.7096358995608191E-13</v>
      </c>
      <c r="M711" s="26"/>
      <c r="N711" s="17"/>
      <c r="O711" s="9">
        <f t="shared" si="95"/>
        <v>-18.8</v>
      </c>
      <c r="P711" s="8">
        <f>D710/B710*10^(O711/10)</f>
        <v>2.065268890405036</v>
      </c>
      <c r="Q711" s="26"/>
      <c r="R711" s="17"/>
      <c r="S711" s="19"/>
      <c r="T711" s="17"/>
      <c r="U711" s="22"/>
    </row>
    <row r="712" spans="1:21" x14ac:dyDescent="0.25">
      <c r="A712" s="24"/>
      <c r="B712" s="24"/>
      <c r="C712" s="17"/>
      <c r="D712" s="24"/>
      <c r="E712" s="24"/>
      <c r="F712" s="25"/>
      <c r="G712" s="1">
        <v>4025</v>
      </c>
      <c r="H712" s="2">
        <v>103.6</v>
      </c>
      <c r="I712" s="2">
        <v>-18.7</v>
      </c>
      <c r="J712" s="2">
        <v>-22.4</v>
      </c>
      <c r="K712" s="2">
        <f t="shared" si="93"/>
        <v>-18.7</v>
      </c>
      <c r="L712" s="8">
        <f t="shared" si="97"/>
        <v>5.8884365535558666E-13</v>
      </c>
      <c r="M712" s="26"/>
      <c r="N712" s="17"/>
      <c r="O712" s="9">
        <f t="shared" si="95"/>
        <v>-22.4</v>
      </c>
      <c r="P712" s="8">
        <f>D710/B710*10^(O712/10)</f>
        <v>0.90152256849487922</v>
      </c>
      <c r="Q712" s="26"/>
      <c r="R712" s="17"/>
      <c r="S712" s="19"/>
      <c r="T712" s="17"/>
      <c r="U712" s="22"/>
    </row>
    <row r="713" spans="1:21" x14ac:dyDescent="0.25">
      <c r="A713" s="24"/>
      <c r="B713" s="24"/>
      <c r="C713" s="17"/>
      <c r="D713" s="24"/>
      <c r="E713" s="24"/>
      <c r="F713" s="25"/>
      <c r="G713" s="1">
        <v>4625</v>
      </c>
      <c r="H713" s="2">
        <v>105.6</v>
      </c>
      <c r="I713" s="2">
        <v>-18.899999999999999</v>
      </c>
      <c r="J713" s="2">
        <v>-24</v>
      </c>
      <c r="K713" s="2">
        <f t="shared" si="93"/>
        <v>-18.899999999999999</v>
      </c>
      <c r="L713" s="8">
        <f t="shared" si="97"/>
        <v>3.5481338923357479E-13</v>
      </c>
      <c r="M713" s="26"/>
      <c r="N713" s="17"/>
      <c r="O713" s="9">
        <f t="shared" si="95"/>
        <v>-24</v>
      </c>
      <c r="P713" s="8">
        <f>D710/B710*10^(O713/10)</f>
        <v>0.62370123386714549</v>
      </c>
      <c r="Q713" s="26"/>
      <c r="R713" s="17"/>
      <c r="S713" s="19"/>
      <c r="T713" s="17"/>
      <c r="U713" s="22"/>
    </row>
    <row r="714" spans="1:21" x14ac:dyDescent="0.25">
      <c r="A714" s="24"/>
      <c r="B714" s="24"/>
      <c r="C714" s="17"/>
      <c r="D714" s="24"/>
      <c r="E714" s="24"/>
      <c r="F714" s="25"/>
      <c r="G714" s="1">
        <v>5225</v>
      </c>
      <c r="H714" s="2">
        <v>103.5</v>
      </c>
      <c r="I714" s="2">
        <v>-15.2</v>
      </c>
      <c r="J714" s="2">
        <v>-19.3</v>
      </c>
      <c r="K714" s="2">
        <f t="shared" si="93"/>
        <v>-15.2</v>
      </c>
      <c r="L714" s="8">
        <f t="shared" si="97"/>
        <v>1.3489628825916484E-12</v>
      </c>
      <c r="M714" s="26"/>
      <c r="N714" s="17"/>
      <c r="O714" s="9">
        <f t="shared" si="95"/>
        <v>-19.3</v>
      </c>
      <c r="P714" s="8">
        <f>D710/B710*10^(O714/10)</f>
        <v>1.8406728360719276</v>
      </c>
      <c r="Q714" s="26"/>
      <c r="R714" s="17"/>
      <c r="S714" s="19"/>
      <c r="T714" s="17"/>
      <c r="U714" s="22"/>
    </row>
    <row r="715" spans="1:21" x14ac:dyDescent="0.25">
      <c r="A715" s="24"/>
      <c r="B715" s="24"/>
      <c r="C715" s="17"/>
      <c r="D715" s="24"/>
      <c r="E715" s="24"/>
      <c r="F715" s="25"/>
      <c r="G715" s="1">
        <v>5625</v>
      </c>
      <c r="H715" s="2">
        <v>99.5</v>
      </c>
      <c r="I715" s="2">
        <v>-17.100000000000001</v>
      </c>
      <c r="J715" s="2">
        <v>-18.100000000000001</v>
      </c>
      <c r="K715" s="2">
        <f t="shared" si="93"/>
        <v>-17.100000000000001</v>
      </c>
      <c r="L715" s="8">
        <f t="shared" si="97"/>
        <v>2.1877616239495474E-12</v>
      </c>
      <c r="M715" s="26"/>
      <c r="N715" s="17"/>
      <c r="O715" s="9">
        <f t="shared" si="95"/>
        <v>-18.100000000000001</v>
      </c>
      <c r="P715" s="8">
        <f>D710/B710*10^(O715/10)</f>
        <v>2.4264793696295524</v>
      </c>
      <c r="Q715" s="26"/>
      <c r="R715" s="17"/>
      <c r="S715" s="20"/>
      <c r="T715" s="17"/>
      <c r="U715" s="23"/>
    </row>
    <row r="716" spans="1:21" x14ac:dyDescent="0.25">
      <c r="A716" s="24">
        <v>8000</v>
      </c>
      <c r="B716" s="24">
        <v>3</v>
      </c>
      <c r="C716" s="17">
        <v>0.5</v>
      </c>
      <c r="D716" s="24">
        <v>943</v>
      </c>
      <c r="E716" s="24">
        <v>6</v>
      </c>
      <c r="F716" s="25">
        <v>54</v>
      </c>
      <c r="G716" s="1">
        <v>6025</v>
      </c>
      <c r="H716" s="2">
        <v>95</v>
      </c>
      <c r="I716" s="2">
        <v>-18.399999999999999</v>
      </c>
      <c r="J716" s="2">
        <v>-19.600000000000001</v>
      </c>
      <c r="K716" s="2">
        <f t="shared" si="93"/>
        <v>-18.399999999999999</v>
      </c>
      <c r="L716" s="8">
        <f t="shared" si="97"/>
        <v>4.5708818961487419E-12</v>
      </c>
      <c r="M716" s="26">
        <f>SUM(L716:L721)</f>
        <v>1.0090189691536928E-10</v>
      </c>
      <c r="N716" s="17">
        <f>10*LOG10(M716/E716)</f>
        <v>-107.74251919507152</v>
      </c>
      <c r="O716" s="9">
        <f t="shared" si="95"/>
        <v>-19.600000000000001</v>
      </c>
      <c r="P716" s="8">
        <f>D716/B716*10^(O716/10)</f>
        <v>3.4465964632100756</v>
      </c>
      <c r="Q716" s="26">
        <f>SUM(P716:P721)</f>
        <v>14.98331146790162</v>
      </c>
      <c r="R716" s="17">
        <f>10*LOG10(Q716)</f>
        <v>11.75607807575841</v>
      </c>
      <c r="S716" s="18">
        <f>F716+N716-Kzt-H</f>
        <v>-53.742519195071523</v>
      </c>
      <c r="T716" s="17">
        <v>0.7</v>
      </c>
      <c r="U716" s="21">
        <f>T716*10^((S716-R716)/10)</f>
        <v>1.9735053721021951E-7</v>
      </c>
    </row>
    <row r="717" spans="1:21" x14ac:dyDescent="0.25">
      <c r="A717" s="24"/>
      <c r="B717" s="24"/>
      <c r="C717" s="17"/>
      <c r="D717" s="24"/>
      <c r="E717" s="24"/>
      <c r="F717" s="25"/>
      <c r="G717" s="1">
        <v>7025</v>
      </c>
      <c r="H717" s="2">
        <v>94.8</v>
      </c>
      <c r="I717" s="2">
        <v>-17.2</v>
      </c>
      <c r="J717" s="2">
        <v>-24.4</v>
      </c>
      <c r="K717" s="2">
        <f t="shared" si="93"/>
        <v>-17.2</v>
      </c>
      <c r="L717" s="8">
        <f t="shared" si="97"/>
        <v>6.3095734448019345E-12</v>
      </c>
      <c r="M717" s="26"/>
      <c r="N717" s="17"/>
      <c r="O717" s="9">
        <f t="shared" si="95"/>
        <v>-24.4</v>
      </c>
      <c r="P717" s="8">
        <f>D716/B716*10^(O717/10)</f>
        <v>1.1412753521606844</v>
      </c>
      <c r="Q717" s="26"/>
      <c r="R717" s="17"/>
      <c r="S717" s="19"/>
      <c r="T717" s="17"/>
      <c r="U717" s="22"/>
    </row>
    <row r="718" spans="1:21" x14ac:dyDescent="0.25">
      <c r="A718" s="24"/>
      <c r="B718" s="24"/>
      <c r="C718" s="17"/>
      <c r="D718" s="24"/>
      <c r="E718" s="24"/>
      <c r="F718" s="25"/>
      <c r="G718" s="1">
        <v>8025</v>
      </c>
      <c r="H718" s="2">
        <v>101.9</v>
      </c>
      <c r="I718" s="2">
        <v>-15.1</v>
      </c>
      <c r="J718" s="2">
        <v>-27.6</v>
      </c>
      <c r="K718" s="2">
        <f t="shared" si="93"/>
        <v>-15.1</v>
      </c>
      <c r="L718" s="8">
        <f t="shared" si="97"/>
        <v>1.9952623149688759E-12</v>
      </c>
      <c r="M718" s="26"/>
      <c r="N718" s="17"/>
      <c r="O718" s="9">
        <f t="shared" si="95"/>
        <v>-27.6</v>
      </c>
      <c r="P718" s="8">
        <f>D716/B716*10^(O718/10)</f>
        <v>0.54624872717021966</v>
      </c>
      <c r="Q718" s="26"/>
      <c r="R718" s="17"/>
      <c r="S718" s="19"/>
      <c r="T718" s="17"/>
      <c r="U718" s="22"/>
    </row>
    <row r="719" spans="1:21" x14ac:dyDescent="0.25">
      <c r="A719" s="24"/>
      <c r="B719" s="24"/>
      <c r="C719" s="17"/>
      <c r="D719" s="24"/>
      <c r="E719" s="24"/>
      <c r="F719" s="25"/>
      <c r="G719" s="1">
        <v>9025</v>
      </c>
      <c r="H719" s="2">
        <v>93.2</v>
      </c>
      <c r="I719" s="2">
        <v>-18.8</v>
      </c>
      <c r="J719" s="2">
        <v>-19.899999999999999</v>
      </c>
      <c r="K719" s="2">
        <f t="shared" si="93"/>
        <v>-18.8</v>
      </c>
      <c r="L719" s="8">
        <f t="shared" si="97"/>
        <v>6.3095734448019345E-12</v>
      </c>
      <c r="M719" s="26"/>
      <c r="N719" s="17"/>
      <c r="O719" s="9">
        <f t="shared" si="95"/>
        <v>-19.899999999999999</v>
      </c>
      <c r="P719" s="8">
        <f>D716/B716*10^(O719/10)</f>
        <v>3.2165509724025045</v>
      </c>
      <c r="Q719" s="26"/>
      <c r="R719" s="17"/>
      <c r="S719" s="19"/>
      <c r="T719" s="17"/>
      <c r="U719" s="22"/>
    </row>
    <row r="720" spans="1:21" x14ac:dyDescent="0.25">
      <c r="A720" s="24"/>
      <c r="B720" s="24"/>
      <c r="C720" s="17"/>
      <c r="D720" s="24"/>
      <c r="E720" s="24"/>
      <c r="F720" s="25"/>
      <c r="G720" s="1">
        <v>10025</v>
      </c>
      <c r="H720" s="2">
        <v>88.3</v>
      </c>
      <c r="I720" s="2">
        <v>-19</v>
      </c>
      <c r="J720" s="2">
        <v>-22</v>
      </c>
      <c r="K720" s="2">
        <f t="shared" si="93"/>
        <v>-19</v>
      </c>
      <c r="L720" s="8">
        <f t="shared" si="97"/>
        <v>1.8620871366628599E-11</v>
      </c>
      <c r="M720" s="26"/>
      <c r="N720" s="17"/>
      <c r="O720" s="9">
        <f t="shared" si="95"/>
        <v>-22</v>
      </c>
      <c r="P720" s="8">
        <f>D716/B716*10^(O720/10)</f>
        <v>1.9833092528160716</v>
      </c>
      <c r="Q720" s="26"/>
      <c r="R720" s="17"/>
      <c r="S720" s="19"/>
      <c r="T720" s="17"/>
      <c r="U720" s="22"/>
    </row>
    <row r="721" spans="1:21" x14ac:dyDescent="0.25">
      <c r="A721" s="24"/>
      <c r="B721" s="24"/>
      <c r="C721" s="17"/>
      <c r="D721" s="24"/>
      <c r="E721" s="24"/>
      <c r="F721" s="25"/>
      <c r="G721" s="1">
        <v>11025</v>
      </c>
      <c r="H721" s="2">
        <v>86</v>
      </c>
      <c r="I721" s="2">
        <v>-16</v>
      </c>
      <c r="J721" s="2">
        <v>-18.3</v>
      </c>
      <c r="K721" s="2">
        <f t="shared" si="93"/>
        <v>-16</v>
      </c>
      <c r="L721" s="8">
        <f t="shared" si="97"/>
        <v>6.3095734448019192E-11</v>
      </c>
      <c r="M721" s="26"/>
      <c r="N721" s="17"/>
      <c r="O721" s="9">
        <f t="shared" si="95"/>
        <v>-18.3</v>
      </c>
      <c r="P721" s="8">
        <f>D716/B716*10^(O721/10)</f>
        <v>4.6493307001420643</v>
      </c>
      <c r="Q721" s="26"/>
      <c r="R721" s="17"/>
      <c r="S721" s="20"/>
      <c r="T721" s="17"/>
      <c r="U721" s="23"/>
    </row>
    <row r="722" spans="1:21" x14ac:dyDescent="0.25">
      <c r="A722" s="24" t="s">
        <v>20</v>
      </c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12">
        <f>U722</f>
        <v>5.4047940224608265E-2</v>
      </c>
      <c r="T722" s="2"/>
      <c r="U722" s="8">
        <f>0.8*SQRT(SUM(U688:U721))</f>
        <v>5.4047940224608265E-2</v>
      </c>
    </row>
  </sheetData>
  <mergeCells count="1600">
    <mergeCell ref="R4:R7"/>
    <mergeCell ref="S4:S7"/>
    <mergeCell ref="T4:T7"/>
    <mergeCell ref="U4:U7"/>
    <mergeCell ref="A8:A13"/>
    <mergeCell ref="B8:B13"/>
    <mergeCell ref="C8:C13"/>
    <mergeCell ref="D8:D13"/>
    <mergeCell ref="E8:E13"/>
    <mergeCell ref="F8:F13"/>
    <mergeCell ref="A3:U3"/>
    <mergeCell ref="A4:A7"/>
    <mergeCell ref="B4:B7"/>
    <mergeCell ref="C4:C7"/>
    <mergeCell ref="D4:D7"/>
    <mergeCell ref="E4:E7"/>
    <mergeCell ref="F4:F7"/>
    <mergeCell ref="M4:M7"/>
    <mergeCell ref="N4:N7"/>
    <mergeCell ref="Q4:Q7"/>
    <mergeCell ref="R14:R19"/>
    <mergeCell ref="S14:S19"/>
    <mergeCell ref="T14:T19"/>
    <mergeCell ref="U14:U19"/>
    <mergeCell ref="A20:A25"/>
    <mergeCell ref="B20:B25"/>
    <mergeCell ref="C20:C25"/>
    <mergeCell ref="D20:D25"/>
    <mergeCell ref="E20:E25"/>
    <mergeCell ref="F20:F25"/>
    <mergeCell ref="U8:U13"/>
    <mergeCell ref="A14:A19"/>
    <mergeCell ref="B14:B19"/>
    <mergeCell ref="C14:C19"/>
    <mergeCell ref="D14:D19"/>
    <mergeCell ref="E14:E19"/>
    <mergeCell ref="F14:F19"/>
    <mergeCell ref="M14:M19"/>
    <mergeCell ref="N14:N19"/>
    <mergeCell ref="Q14:Q19"/>
    <mergeCell ref="M8:M13"/>
    <mergeCell ref="N8:N13"/>
    <mergeCell ref="Q8:Q13"/>
    <mergeCell ref="R8:R13"/>
    <mergeCell ref="S8:S13"/>
    <mergeCell ref="T8:T13"/>
    <mergeCell ref="R26:R31"/>
    <mergeCell ref="S26:S31"/>
    <mergeCell ref="T26:T31"/>
    <mergeCell ref="U26:U31"/>
    <mergeCell ref="A32:A37"/>
    <mergeCell ref="B32:B37"/>
    <mergeCell ref="C32:C37"/>
    <mergeCell ref="D32:D37"/>
    <mergeCell ref="E32:E37"/>
    <mergeCell ref="F32:F37"/>
    <mergeCell ref="U20:U25"/>
    <mergeCell ref="A26:A31"/>
    <mergeCell ref="B26:B31"/>
    <mergeCell ref="C26:C31"/>
    <mergeCell ref="D26:D31"/>
    <mergeCell ref="E26:E31"/>
    <mergeCell ref="F26:F31"/>
    <mergeCell ref="M26:M31"/>
    <mergeCell ref="N26:N31"/>
    <mergeCell ref="Q26:Q31"/>
    <mergeCell ref="M20:M25"/>
    <mergeCell ref="N20:N25"/>
    <mergeCell ref="Q20:Q25"/>
    <mergeCell ref="R20:R25"/>
    <mergeCell ref="S20:S25"/>
    <mergeCell ref="T20:T25"/>
    <mergeCell ref="N40:N43"/>
    <mergeCell ref="Q40:Q43"/>
    <mergeCell ref="R40:R43"/>
    <mergeCell ref="S40:S43"/>
    <mergeCell ref="T40:T43"/>
    <mergeCell ref="U40:U43"/>
    <mergeCell ref="U32:U37"/>
    <mergeCell ref="A38:R38"/>
    <mergeCell ref="A39:U39"/>
    <mergeCell ref="A40:A43"/>
    <mergeCell ref="B40:B43"/>
    <mergeCell ref="C40:C43"/>
    <mergeCell ref="D40:D43"/>
    <mergeCell ref="E40:E43"/>
    <mergeCell ref="F40:F43"/>
    <mergeCell ref="M40:M43"/>
    <mergeCell ref="M32:M37"/>
    <mergeCell ref="N32:N37"/>
    <mergeCell ref="Q32:Q37"/>
    <mergeCell ref="R32:R37"/>
    <mergeCell ref="S32:S37"/>
    <mergeCell ref="T32:T37"/>
    <mergeCell ref="R50:R55"/>
    <mergeCell ref="S50:S55"/>
    <mergeCell ref="T50:T55"/>
    <mergeCell ref="U50:U55"/>
    <mergeCell ref="A56:A61"/>
    <mergeCell ref="B56:B61"/>
    <mergeCell ref="C56:C61"/>
    <mergeCell ref="D56:D61"/>
    <mergeCell ref="E56:E61"/>
    <mergeCell ref="F56:F61"/>
    <mergeCell ref="U44:U49"/>
    <mergeCell ref="A50:A55"/>
    <mergeCell ref="B50:B55"/>
    <mergeCell ref="C50:C55"/>
    <mergeCell ref="D50:D55"/>
    <mergeCell ref="E50:E55"/>
    <mergeCell ref="F50:F55"/>
    <mergeCell ref="M50:M55"/>
    <mergeCell ref="N50:N55"/>
    <mergeCell ref="Q50:Q55"/>
    <mergeCell ref="M44:M49"/>
    <mergeCell ref="N44:N49"/>
    <mergeCell ref="Q44:Q49"/>
    <mergeCell ref="R44:R49"/>
    <mergeCell ref="S44:S49"/>
    <mergeCell ref="T44:T49"/>
    <mergeCell ref="A44:A49"/>
    <mergeCell ref="B44:B49"/>
    <mergeCell ref="C44:C49"/>
    <mergeCell ref="D44:D49"/>
    <mergeCell ref="E44:E49"/>
    <mergeCell ref="F44:F49"/>
    <mergeCell ref="R62:R67"/>
    <mergeCell ref="S62:S67"/>
    <mergeCell ref="T62:T67"/>
    <mergeCell ref="U62:U67"/>
    <mergeCell ref="A68:A73"/>
    <mergeCell ref="B68:B73"/>
    <mergeCell ref="C68:C73"/>
    <mergeCell ref="D68:D73"/>
    <mergeCell ref="E68:E73"/>
    <mergeCell ref="F68:F73"/>
    <mergeCell ref="U56:U61"/>
    <mergeCell ref="A62:A67"/>
    <mergeCell ref="B62:B67"/>
    <mergeCell ref="C62:C67"/>
    <mergeCell ref="D62:D67"/>
    <mergeCell ref="E62:E67"/>
    <mergeCell ref="F62:F67"/>
    <mergeCell ref="M62:M67"/>
    <mergeCell ref="N62:N67"/>
    <mergeCell ref="Q62:Q67"/>
    <mergeCell ref="M56:M61"/>
    <mergeCell ref="N56:N61"/>
    <mergeCell ref="Q56:Q61"/>
    <mergeCell ref="R56:R61"/>
    <mergeCell ref="S56:S61"/>
    <mergeCell ref="T56:T61"/>
    <mergeCell ref="N76:N79"/>
    <mergeCell ref="Q76:Q79"/>
    <mergeCell ref="R76:R79"/>
    <mergeCell ref="S76:S79"/>
    <mergeCell ref="T76:T79"/>
    <mergeCell ref="U76:U79"/>
    <mergeCell ref="U68:U73"/>
    <mergeCell ref="A74:R74"/>
    <mergeCell ref="A75:U75"/>
    <mergeCell ref="A76:A79"/>
    <mergeCell ref="B76:B79"/>
    <mergeCell ref="C76:C79"/>
    <mergeCell ref="D76:D79"/>
    <mergeCell ref="E76:E79"/>
    <mergeCell ref="F76:F79"/>
    <mergeCell ref="M76:M79"/>
    <mergeCell ref="M68:M73"/>
    <mergeCell ref="N68:N73"/>
    <mergeCell ref="Q68:Q73"/>
    <mergeCell ref="R68:R73"/>
    <mergeCell ref="S68:S73"/>
    <mergeCell ref="T68:T73"/>
    <mergeCell ref="R86:R91"/>
    <mergeCell ref="S86:S91"/>
    <mergeCell ref="T86:T91"/>
    <mergeCell ref="U86:U91"/>
    <mergeCell ref="A92:A97"/>
    <mergeCell ref="B92:B97"/>
    <mergeCell ref="C92:C97"/>
    <mergeCell ref="D92:D97"/>
    <mergeCell ref="E92:E97"/>
    <mergeCell ref="F92:F97"/>
    <mergeCell ref="U80:U85"/>
    <mergeCell ref="A86:A91"/>
    <mergeCell ref="B86:B91"/>
    <mergeCell ref="C86:C91"/>
    <mergeCell ref="D86:D91"/>
    <mergeCell ref="E86:E91"/>
    <mergeCell ref="F86:F91"/>
    <mergeCell ref="M86:M91"/>
    <mergeCell ref="N86:N91"/>
    <mergeCell ref="Q86:Q91"/>
    <mergeCell ref="M80:M85"/>
    <mergeCell ref="N80:N85"/>
    <mergeCell ref="Q80:Q85"/>
    <mergeCell ref="R80:R85"/>
    <mergeCell ref="S80:S85"/>
    <mergeCell ref="T80:T85"/>
    <mergeCell ref="A80:A85"/>
    <mergeCell ref="B80:B85"/>
    <mergeCell ref="C80:C85"/>
    <mergeCell ref="D80:D85"/>
    <mergeCell ref="E80:E85"/>
    <mergeCell ref="F80:F85"/>
    <mergeCell ref="R98:R103"/>
    <mergeCell ref="S98:S103"/>
    <mergeCell ref="T98:T103"/>
    <mergeCell ref="U98:U103"/>
    <mergeCell ref="A104:A109"/>
    <mergeCell ref="B104:B109"/>
    <mergeCell ref="C104:C109"/>
    <mergeCell ref="D104:D109"/>
    <mergeCell ref="E104:E109"/>
    <mergeCell ref="F104:F109"/>
    <mergeCell ref="U92:U97"/>
    <mergeCell ref="A98:A103"/>
    <mergeCell ref="B98:B103"/>
    <mergeCell ref="C98:C103"/>
    <mergeCell ref="D98:D103"/>
    <mergeCell ref="E98:E103"/>
    <mergeCell ref="F98:F103"/>
    <mergeCell ref="M98:M103"/>
    <mergeCell ref="N98:N103"/>
    <mergeCell ref="Q98:Q103"/>
    <mergeCell ref="M92:M97"/>
    <mergeCell ref="N92:N97"/>
    <mergeCell ref="Q92:Q97"/>
    <mergeCell ref="R92:R97"/>
    <mergeCell ref="S92:S97"/>
    <mergeCell ref="T92:T97"/>
    <mergeCell ref="N112:N115"/>
    <mergeCell ref="Q112:Q115"/>
    <mergeCell ref="R112:R115"/>
    <mergeCell ref="S112:S115"/>
    <mergeCell ref="T112:T115"/>
    <mergeCell ref="U112:U115"/>
    <mergeCell ref="U104:U109"/>
    <mergeCell ref="A110:R110"/>
    <mergeCell ref="A111:U111"/>
    <mergeCell ref="A112:A115"/>
    <mergeCell ref="B112:B115"/>
    <mergeCell ref="C112:C115"/>
    <mergeCell ref="D112:D115"/>
    <mergeCell ref="E112:E115"/>
    <mergeCell ref="F112:F115"/>
    <mergeCell ref="M112:M115"/>
    <mergeCell ref="M104:M109"/>
    <mergeCell ref="N104:N109"/>
    <mergeCell ref="Q104:Q109"/>
    <mergeCell ref="R104:R109"/>
    <mergeCell ref="S104:S109"/>
    <mergeCell ref="T104:T109"/>
    <mergeCell ref="R122:R127"/>
    <mergeCell ref="S122:S127"/>
    <mergeCell ref="T122:T127"/>
    <mergeCell ref="U122:U127"/>
    <mergeCell ref="A128:A133"/>
    <mergeCell ref="B128:B133"/>
    <mergeCell ref="C128:C133"/>
    <mergeCell ref="D128:D133"/>
    <mergeCell ref="E128:E133"/>
    <mergeCell ref="F128:F133"/>
    <mergeCell ref="U116:U121"/>
    <mergeCell ref="A122:A127"/>
    <mergeCell ref="B122:B127"/>
    <mergeCell ref="C122:C127"/>
    <mergeCell ref="D122:D127"/>
    <mergeCell ref="E122:E127"/>
    <mergeCell ref="F122:F127"/>
    <mergeCell ref="M122:M127"/>
    <mergeCell ref="N122:N127"/>
    <mergeCell ref="Q122:Q127"/>
    <mergeCell ref="M116:M121"/>
    <mergeCell ref="N116:N121"/>
    <mergeCell ref="Q116:Q121"/>
    <mergeCell ref="R116:R121"/>
    <mergeCell ref="S116:S121"/>
    <mergeCell ref="T116:T121"/>
    <mergeCell ref="A116:A121"/>
    <mergeCell ref="B116:B121"/>
    <mergeCell ref="C116:C121"/>
    <mergeCell ref="D116:D121"/>
    <mergeCell ref="E116:E121"/>
    <mergeCell ref="F116:F121"/>
    <mergeCell ref="R134:R139"/>
    <mergeCell ref="S134:S139"/>
    <mergeCell ref="T134:T139"/>
    <mergeCell ref="U134:U139"/>
    <mergeCell ref="A140:A145"/>
    <mergeCell ref="B140:B145"/>
    <mergeCell ref="C140:C145"/>
    <mergeCell ref="D140:D145"/>
    <mergeCell ref="E140:E145"/>
    <mergeCell ref="F140:F145"/>
    <mergeCell ref="U128:U133"/>
    <mergeCell ref="A134:A139"/>
    <mergeCell ref="B134:B139"/>
    <mergeCell ref="C134:C139"/>
    <mergeCell ref="D134:D139"/>
    <mergeCell ref="E134:E139"/>
    <mergeCell ref="F134:F139"/>
    <mergeCell ref="M134:M139"/>
    <mergeCell ref="N134:N139"/>
    <mergeCell ref="Q134:Q139"/>
    <mergeCell ref="M128:M133"/>
    <mergeCell ref="N128:N133"/>
    <mergeCell ref="Q128:Q133"/>
    <mergeCell ref="R128:R133"/>
    <mergeCell ref="S128:S133"/>
    <mergeCell ref="T128:T133"/>
    <mergeCell ref="N148:N151"/>
    <mergeCell ref="Q148:Q151"/>
    <mergeCell ref="R148:R151"/>
    <mergeCell ref="S148:S151"/>
    <mergeCell ref="T148:T151"/>
    <mergeCell ref="U148:U151"/>
    <mergeCell ref="U140:U145"/>
    <mergeCell ref="A146:R146"/>
    <mergeCell ref="A147:U147"/>
    <mergeCell ref="A148:A151"/>
    <mergeCell ref="B148:B151"/>
    <mergeCell ref="C148:C151"/>
    <mergeCell ref="D148:D151"/>
    <mergeCell ref="E148:E151"/>
    <mergeCell ref="F148:F151"/>
    <mergeCell ref="M148:M151"/>
    <mergeCell ref="M140:M145"/>
    <mergeCell ref="N140:N145"/>
    <mergeCell ref="Q140:Q145"/>
    <mergeCell ref="R140:R145"/>
    <mergeCell ref="S140:S145"/>
    <mergeCell ref="T140:T145"/>
    <mergeCell ref="R158:R163"/>
    <mergeCell ref="S158:S163"/>
    <mergeCell ref="T158:T163"/>
    <mergeCell ref="U158:U163"/>
    <mergeCell ref="A164:A169"/>
    <mergeCell ref="B164:B169"/>
    <mergeCell ref="C164:C169"/>
    <mergeCell ref="D164:D169"/>
    <mergeCell ref="E164:E169"/>
    <mergeCell ref="F164:F169"/>
    <mergeCell ref="U152:U157"/>
    <mergeCell ref="A158:A163"/>
    <mergeCell ref="B158:B163"/>
    <mergeCell ref="C158:C163"/>
    <mergeCell ref="D158:D163"/>
    <mergeCell ref="E158:E163"/>
    <mergeCell ref="F158:F163"/>
    <mergeCell ref="M158:M163"/>
    <mergeCell ref="N158:N163"/>
    <mergeCell ref="Q158:Q163"/>
    <mergeCell ref="M152:M157"/>
    <mergeCell ref="N152:N157"/>
    <mergeCell ref="Q152:Q157"/>
    <mergeCell ref="R152:R157"/>
    <mergeCell ref="S152:S157"/>
    <mergeCell ref="T152:T157"/>
    <mergeCell ref="A152:A157"/>
    <mergeCell ref="B152:B157"/>
    <mergeCell ref="C152:C157"/>
    <mergeCell ref="D152:D157"/>
    <mergeCell ref="E152:E157"/>
    <mergeCell ref="F152:F157"/>
    <mergeCell ref="R170:R175"/>
    <mergeCell ref="S170:S175"/>
    <mergeCell ref="T170:T175"/>
    <mergeCell ref="U170:U175"/>
    <mergeCell ref="A176:A181"/>
    <mergeCell ref="B176:B181"/>
    <mergeCell ref="C176:C181"/>
    <mergeCell ref="D176:D181"/>
    <mergeCell ref="E176:E181"/>
    <mergeCell ref="F176:F181"/>
    <mergeCell ref="U164:U169"/>
    <mergeCell ref="A170:A175"/>
    <mergeCell ref="B170:B175"/>
    <mergeCell ref="C170:C175"/>
    <mergeCell ref="D170:D175"/>
    <mergeCell ref="E170:E175"/>
    <mergeCell ref="F170:F175"/>
    <mergeCell ref="M170:M175"/>
    <mergeCell ref="N170:N175"/>
    <mergeCell ref="Q170:Q175"/>
    <mergeCell ref="M164:M169"/>
    <mergeCell ref="N164:N169"/>
    <mergeCell ref="Q164:Q169"/>
    <mergeCell ref="R164:R169"/>
    <mergeCell ref="S164:S169"/>
    <mergeCell ref="T164:T169"/>
    <mergeCell ref="N184:N187"/>
    <mergeCell ref="Q184:Q187"/>
    <mergeCell ref="R184:R187"/>
    <mergeCell ref="S184:S187"/>
    <mergeCell ref="T184:T187"/>
    <mergeCell ref="U184:U187"/>
    <mergeCell ref="U176:U181"/>
    <mergeCell ref="A182:R182"/>
    <mergeCell ref="A183:U183"/>
    <mergeCell ref="A184:A187"/>
    <mergeCell ref="B184:B187"/>
    <mergeCell ref="C184:C187"/>
    <mergeCell ref="D184:D187"/>
    <mergeCell ref="E184:E187"/>
    <mergeCell ref="F184:F187"/>
    <mergeCell ref="M184:M187"/>
    <mergeCell ref="M176:M181"/>
    <mergeCell ref="N176:N181"/>
    <mergeCell ref="Q176:Q181"/>
    <mergeCell ref="R176:R181"/>
    <mergeCell ref="S176:S181"/>
    <mergeCell ref="T176:T181"/>
    <mergeCell ref="R194:R199"/>
    <mergeCell ref="S194:S199"/>
    <mergeCell ref="T194:T199"/>
    <mergeCell ref="U194:U199"/>
    <mergeCell ref="A200:A205"/>
    <mergeCell ref="B200:B205"/>
    <mergeCell ref="C200:C205"/>
    <mergeCell ref="D200:D205"/>
    <mergeCell ref="E200:E205"/>
    <mergeCell ref="F200:F205"/>
    <mergeCell ref="U188:U193"/>
    <mergeCell ref="A194:A199"/>
    <mergeCell ref="B194:B199"/>
    <mergeCell ref="C194:C199"/>
    <mergeCell ref="D194:D199"/>
    <mergeCell ref="E194:E199"/>
    <mergeCell ref="F194:F199"/>
    <mergeCell ref="M194:M199"/>
    <mergeCell ref="N194:N199"/>
    <mergeCell ref="Q194:Q199"/>
    <mergeCell ref="M188:M193"/>
    <mergeCell ref="N188:N193"/>
    <mergeCell ref="Q188:Q193"/>
    <mergeCell ref="R188:R193"/>
    <mergeCell ref="S188:S193"/>
    <mergeCell ref="T188:T193"/>
    <mergeCell ref="A188:A193"/>
    <mergeCell ref="B188:B193"/>
    <mergeCell ref="C188:C193"/>
    <mergeCell ref="D188:D193"/>
    <mergeCell ref="E188:E193"/>
    <mergeCell ref="F188:F193"/>
    <mergeCell ref="R206:R211"/>
    <mergeCell ref="S206:S211"/>
    <mergeCell ref="T206:T211"/>
    <mergeCell ref="U206:U211"/>
    <mergeCell ref="A212:A217"/>
    <mergeCell ref="B212:B217"/>
    <mergeCell ref="C212:C217"/>
    <mergeCell ref="D212:D217"/>
    <mergeCell ref="E212:E217"/>
    <mergeCell ref="F212:F217"/>
    <mergeCell ref="U200:U205"/>
    <mergeCell ref="A206:A211"/>
    <mergeCell ref="B206:B211"/>
    <mergeCell ref="C206:C211"/>
    <mergeCell ref="D206:D211"/>
    <mergeCell ref="E206:E211"/>
    <mergeCell ref="F206:F211"/>
    <mergeCell ref="M206:M211"/>
    <mergeCell ref="N206:N211"/>
    <mergeCell ref="Q206:Q211"/>
    <mergeCell ref="M200:M205"/>
    <mergeCell ref="N200:N205"/>
    <mergeCell ref="Q200:Q205"/>
    <mergeCell ref="R200:R205"/>
    <mergeCell ref="S200:S205"/>
    <mergeCell ref="T200:T205"/>
    <mergeCell ref="N220:N223"/>
    <mergeCell ref="Q220:Q223"/>
    <mergeCell ref="R220:R223"/>
    <mergeCell ref="S220:S223"/>
    <mergeCell ref="T220:T223"/>
    <mergeCell ref="U220:U223"/>
    <mergeCell ref="U212:U217"/>
    <mergeCell ref="A218:R218"/>
    <mergeCell ref="A219:U219"/>
    <mergeCell ref="A220:A223"/>
    <mergeCell ref="B220:B223"/>
    <mergeCell ref="C220:C223"/>
    <mergeCell ref="D220:D223"/>
    <mergeCell ref="E220:E223"/>
    <mergeCell ref="F220:F223"/>
    <mergeCell ref="M220:M223"/>
    <mergeCell ref="M212:M217"/>
    <mergeCell ref="N212:N217"/>
    <mergeCell ref="Q212:Q217"/>
    <mergeCell ref="R212:R217"/>
    <mergeCell ref="S212:S217"/>
    <mergeCell ref="T212:T217"/>
    <mergeCell ref="R230:R235"/>
    <mergeCell ref="S230:S235"/>
    <mergeCell ref="T230:T235"/>
    <mergeCell ref="U230:U235"/>
    <mergeCell ref="A236:A241"/>
    <mergeCell ref="B236:B241"/>
    <mergeCell ref="C236:C241"/>
    <mergeCell ref="D236:D241"/>
    <mergeCell ref="E236:E241"/>
    <mergeCell ref="F236:F241"/>
    <mergeCell ref="U224:U229"/>
    <mergeCell ref="A230:A235"/>
    <mergeCell ref="B230:B235"/>
    <mergeCell ref="C230:C235"/>
    <mergeCell ref="D230:D235"/>
    <mergeCell ref="E230:E235"/>
    <mergeCell ref="F230:F235"/>
    <mergeCell ref="M230:M235"/>
    <mergeCell ref="N230:N235"/>
    <mergeCell ref="Q230:Q235"/>
    <mergeCell ref="M224:M229"/>
    <mergeCell ref="N224:N229"/>
    <mergeCell ref="Q224:Q229"/>
    <mergeCell ref="R224:R229"/>
    <mergeCell ref="S224:S229"/>
    <mergeCell ref="T224:T229"/>
    <mergeCell ref="A224:A229"/>
    <mergeCell ref="B224:B229"/>
    <mergeCell ref="C224:C229"/>
    <mergeCell ref="D224:D229"/>
    <mergeCell ref="E224:E229"/>
    <mergeCell ref="F224:F229"/>
    <mergeCell ref="R242:R247"/>
    <mergeCell ref="S242:S247"/>
    <mergeCell ref="T242:T247"/>
    <mergeCell ref="U242:U247"/>
    <mergeCell ref="A248:A253"/>
    <mergeCell ref="B248:B253"/>
    <mergeCell ref="C248:C253"/>
    <mergeCell ref="D248:D253"/>
    <mergeCell ref="E248:E253"/>
    <mergeCell ref="F248:F253"/>
    <mergeCell ref="U236:U241"/>
    <mergeCell ref="A242:A247"/>
    <mergeCell ref="B242:B247"/>
    <mergeCell ref="C242:C247"/>
    <mergeCell ref="D242:D247"/>
    <mergeCell ref="E242:E247"/>
    <mergeCell ref="F242:F247"/>
    <mergeCell ref="M242:M247"/>
    <mergeCell ref="N242:N247"/>
    <mergeCell ref="Q242:Q247"/>
    <mergeCell ref="M236:M241"/>
    <mergeCell ref="N236:N241"/>
    <mergeCell ref="Q236:Q241"/>
    <mergeCell ref="R236:R241"/>
    <mergeCell ref="S236:S241"/>
    <mergeCell ref="T236:T241"/>
    <mergeCell ref="N256:N259"/>
    <mergeCell ref="Q256:Q259"/>
    <mergeCell ref="R256:R259"/>
    <mergeCell ref="S256:S259"/>
    <mergeCell ref="T256:T259"/>
    <mergeCell ref="U256:U259"/>
    <mergeCell ref="U248:U253"/>
    <mergeCell ref="A254:R254"/>
    <mergeCell ref="A255:U255"/>
    <mergeCell ref="A256:A259"/>
    <mergeCell ref="B256:B259"/>
    <mergeCell ref="C256:C259"/>
    <mergeCell ref="D256:D259"/>
    <mergeCell ref="E256:E259"/>
    <mergeCell ref="F256:F259"/>
    <mergeCell ref="M256:M259"/>
    <mergeCell ref="M248:M253"/>
    <mergeCell ref="N248:N253"/>
    <mergeCell ref="Q248:Q253"/>
    <mergeCell ref="R248:R253"/>
    <mergeCell ref="S248:S253"/>
    <mergeCell ref="T248:T253"/>
    <mergeCell ref="R266:R271"/>
    <mergeCell ref="S266:S271"/>
    <mergeCell ref="T266:T271"/>
    <mergeCell ref="U266:U271"/>
    <mergeCell ref="A272:A277"/>
    <mergeCell ref="B272:B277"/>
    <mergeCell ref="C272:C277"/>
    <mergeCell ref="D272:D277"/>
    <mergeCell ref="E272:E277"/>
    <mergeCell ref="F272:F277"/>
    <mergeCell ref="U260:U265"/>
    <mergeCell ref="A266:A271"/>
    <mergeCell ref="B266:B271"/>
    <mergeCell ref="C266:C271"/>
    <mergeCell ref="D266:D271"/>
    <mergeCell ref="E266:E271"/>
    <mergeCell ref="F266:F271"/>
    <mergeCell ref="M266:M271"/>
    <mergeCell ref="N266:N271"/>
    <mergeCell ref="Q266:Q271"/>
    <mergeCell ref="M260:M265"/>
    <mergeCell ref="N260:N265"/>
    <mergeCell ref="Q260:Q265"/>
    <mergeCell ref="R260:R265"/>
    <mergeCell ref="S260:S265"/>
    <mergeCell ref="T260:T265"/>
    <mergeCell ref="A260:A265"/>
    <mergeCell ref="B260:B265"/>
    <mergeCell ref="C260:C265"/>
    <mergeCell ref="D260:D265"/>
    <mergeCell ref="E260:E265"/>
    <mergeCell ref="F260:F265"/>
    <mergeCell ref="R278:R283"/>
    <mergeCell ref="S278:S283"/>
    <mergeCell ref="T278:T283"/>
    <mergeCell ref="U278:U283"/>
    <mergeCell ref="A284:A289"/>
    <mergeCell ref="B284:B289"/>
    <mergeCell ref="C284:C289"/>
    <mergeCell ref="D284:D289"/>
    <mergeCell ref="E284:E289"/>
    <mergeCell ref="F284:F289"/>
    <mergeCell ref="U272:U277"/>
    <mergeCell ref="A278:A283"/>
    <mergeCell ref="B278:B283"/>
    <mergeCell ref="C278:C283"/>
    <mergeCell ref="D278:D283"/>
    <mergeCell ref="E278:E283"/>
    <mergeCell ref="F278:F283"/>
    <mergeCell ref="M278:M283"/>
    <mergeCell ref="N278:N283"/>
    <mergeCell ref="Q278:Q283"/>
    <mergeCell ref="M272:M277"/>
    <mergeCell ref="N272:N277"/>
    <mergeCell ref="Q272:Q277"/>
    <mergeCell ref="R272:R277"/>
    <mergeCell ref="S272:S277"/>
    <mergeCell ref="T272:T277"/>
    <mergeCell ref="N292:N295"/>
    <mergeCell ref="Q292:Q295"/>
    <mergeCell ref="R292:R295"/>
    <mergeCell ref="S292:S295"/>
    <mergeCell ref="T292:T295"/>
    <mergeCell ref="U292:U295"/>
    <mergeCell ref="U284:U289"/>
    <mergeCell ref="A290:R290"/>
    <mergeCell ref="A291:U291"/>
    <mergeCell ref="A292:A295"/>
    <mergeCell ref="B292:B295"/>
    <mergeCell ref="C292:C295"/>
    <mergeCell ref="D292:D295"/>
    <mergeCell ref="E292:E295"/>
    <mergeCell ref="F292:F295"/>
    <mergeCell ref="M292:M295"/>
    <mergeCell ref="M284:M289"/>
    <mergeCell ref="N284:N289"/>
    <mergeCell ref="Q284:Q289"/>
    <mergeCell ref="R284:R289"/>
    <mergeCell ref="S284:S289"/>
    <mergeCell ref="T284:T289"/>
    <mergeCell ref="R302:R307"/>
    <mergeCell ref="S302:S307"/>
    <mergeCell ref="T302:T307"/>
    <mergeCell ref="U302:U307"/>
    <mergeCell ref="A308:A313"/>
    <mergeCell ref="B308:B313"/>
    <mergeCell ref="C308:C313"/>
    <mergeCell ref="D308:D313"/>
    <mergeCell ref="E308:E313"/>
    <mergeCell ref="F308:F313"/>
    <mergeCell ref="U296:U301"/>
    <mergeCell ref="A302:A307"/>
    <mergeCell ref="B302:B307"/>
    <mergeCell ref="C302:C307"/>
    <mergeCell ref="D302:D307"/>
    <mergeCell ref="E302:E307"/>
    <mergeCell ref="F302:F307"/>
    <mergeCell ref="M302:M307"/>
    <mergeCell ref="N302:N307"/>
    <mergeCell ref="Q302:Q307"/>
    <mergeCell ref="M296:M301"/>
    <mergeCell ref="N296:N301"/>
    <mergeCell ref="Q296:Q301"/>
    <mergeCell ref="R296:R301"/>
    <mergeCell ref="S296:S301"/>
    <mergeCell ref="T296:T301"/>
    <mergeCell ref="A296:A301"/>
    <mergeCell ref="B296:B301"/>
    <mergeCell ref="C296:C301"/>
    <mergeCell ref="D296:D301"/>
    <mergeCell ref="E296:E301"/>
    <mergeCell ref="F296:F301"/>
    <mergeCell ref="R314:R319"/>
    <mergeCell ref="S314:S319"/>
    <mergeCell ref="T314:T319"/>
    <mergeCell ref="U314:U319"/>
    <mergeCell ref="A320:A325"/>
    <mergeCell ref="B320:B325"/>
    <mergeCell ref="C320:C325"/>
    <mergeCell ref="D320:D325"/>
    <mergeCell ref="E320:E325"/>
    <mergeCell ref="F320:F325"/>
    <mergeCell ref="U308:U313"/>
    <mergeCell ref="A314:A319"/>
    <mergeCell ref="B314:B319"/>
    <mergeCell ref="C314:C319"/>
    <mergeCell ref="D314:D319"/>
    <mergeCell ref="E314:E319"/>
    <mergeCell ref="F314:F319"/>
    <mergeCell ref="M314:M319"/>
    <mergeCell ref="N314:N319"/>
    <mergeCell ref="Q314:Q319"/>
    <mergeCell ref="M308:M313"/>
    <mergeCell ref="N308:N313"/>
    <mergeCell ref="Q308:Q313"/>
    <mergeCell ref="R308:R313"/>
    <mergeCell ref="S308:S313"/>
    <mergeCell ref="T308:T313"/>
    <mergeCell ref="N328:N331"/>
    <mergeCell ref="Q328:Q331"/>
    <mergeCell ref="R328:R331"/>
    <mergeCell ref="S328:S331"/>
    <mergeCell ref="T328:T331"/>
    <mergeCell ref="U328:U331"/>
    <mergeCell ref="U320:U325"/>
    <mergeCell ref="A326:R326"/>
    <mergeCell ref="A327:U327"/>
    <mergeCell ref="A328:A331"/>
    <mergeCell ref="B328:B331"/>
    <mergeCell ref="C328:C331"/>
    <mergeCell ref="D328:D331"/>
    <mergeCell ref="E328:E331"/>
    <mergeCell ref="F328:F331"/>
    <mergeCell ref="M328:M331"/>
    <mergeCell ref="M320:M325"/>
    <mergeCell ref="N320:N325"/>
    <mergeCell ref="Q320:Q325"/>
    <mergeCell ref="R320:R325"/>
    <mergeCell ref="S320:S325"/>
    <mergeCell ref="T320:T325"/>
    <mergeCell ref="R338:R343"/>
    <mergeCell ref="S338:S343"/>
    <mergeCell ref="T338:T343"/>
    <mergeCell ref="U338:U343"/>
    <mergeCell ref="A344:A349"/>
    <mergeCell ref="B344:B349"/>
    <mergeCell ref="C344:C349"/>
    <mergeCell ref="D344:D349"/>
    <mergeCell ref="E344:E349"/>
    <mergeCell ref="F344:F349"/>
    <mergeCell ref="U332:U337"/>
    <mergeCell ref="A338:A343"/>
    <mergeCell ref="B338:B343"/>
    <mergeCell ref="C338:C343"/>
    <mergeCell ref="D338:D343"/>
    <mergeCell ref="E338:E343"/>
    <mergeCell ref="F338:F343"/>
    <mergeCell ref="M338:M343"/>
    <mergeCell ref="N338:N343"/>
    <mergeCell ref="Q338:Q343"/>
    <mergeCell ref="M332:M337"/>
    <mergeCell ref="N332:N337"/>
    <mergeCell ref="Q332:Q337"/>
    <mergeCell ref="R332:R337"/>
    <mergeCell ref="S332:S337"/>
    <mergeCell ref="T332:T337"/>
    <mergeCell ref="A332:A337"/>
    <mergeCell ref="B332:B337"/>
    <mergeCell ref="C332:C337"/>
    <mergeCell ref="D332:D337"/>
    <mergeCell ref="E332:E337"/>
    <mergeCell ref="F332:F337"/>
    <mergeCell ref="R350:R355"/>
    <mergeCell ref="S350:S355"/>
    <mergeCell ref="T350:T355"/>
    <mergeCell ref="U350:U355"/>
    <mergeCell ref="A356:A361"/>
    <mergeCell ref="B356:B361"/>
    <mergeCell ref="C356:C361"/>
    <mergeCell ref="D356:D361"/>
    <mergeCell ref="E356:E361"/>
    <mergeCell ref="F356:F361"/>
    <mergeCell ref="U344:U349"/>
    <mergeCell ref="A350:A355"/>
    <mergeCell ref="B350:B355"/>
    <mergeCell ref="C350:C355"/>
    <mergeCell ref="D350:D355"/>
    <mergeCell ref="E350:E355"/>
    <mergeCell ref="F350:F355"/>
    <mergeCell ref="M350:M355"/>
    <mergeCell ref="N350:N355"/>
    <mergeCell ref="Q350:Q355"/>
    <mergeCell ref="M344:M349"/>
    <mergeCell ref="N344:N349"/>
    <mergeCell ref="Q344:Q349"/>
    <mergeCell ref="R344:R349"/>
    <mergeCell ref="S344:S349"/>
    <mergeCell ref="T344:T349"/>
    <mergeCell ref="N364:N367"/>
    <mergeCell ref="Q364:Q367"/>
    <mergeCell ref="R364:R367"/>
    <mergeCell ref="S364:S367"/>
    <mergeCell ref="T364:T367"/>
    <mergeCell ref="U364:U367"/>
    <mergeCell ref="U356:U361"/>
    <mergeCell ref="A362:R362"/>
    <mergeCell ref="A363:U363"/>
    <mergeCell ref="A364:A367"/>
    <mergeCell ref="B364:B367"/>
    <mergeCell ref="C364:C367"/>
    <mergeCell ref="D364:D367"/>
    <mergeCell ref="E364:E367"/>
    <mergeCell ref="F364:F367"/>
    <mergeCell ref="M364:M367"/>
    <mergeCell ref="M356:M361"/>
    <mergeCell ref="N356:N361"/>
    <mergeCell ref="Q356:Q361"/>
    <mergeCell ref="R356:R361"/>
    <mergeCell ref="S356:S361"/>
    <mergeCell ref="T356:T361"/>
    <mergeCell ref="R374:R379"/>
    <mergeCell ref="S374:S379"/>
    <mergeCell ref="T374:T379"/>
    <mergeCell ref="U374:U379"/>
    <mergeCell ref="A380:A385"/>
    <mergeCell ref="B380:B385"/>
    <mergeCell ref="C380:C385"/>
    <mergeCell ref="D380:D385"/>
    <mergeCell ref="E380:E385"/>
    <mergeCell ref="F380:F385"/>
    <mergeCell ref="U368:U373"/>
    <mergeCell ref="A374:A379"/>
    <mergeCell ref="B374:B379"/>
    <mergeCell ref="C374:C379"/>
    <mergeCell ref="D374:D379"/>
    <mergeCell ref="E374:E379"/>
    <mergeCell ref="F374:F379"/>
    <mergeCell ref="M374:M379"/>
    <mergeCell ref="N374:N379"/>
    <mergeCell ref="Q374:Q379"/>
    <mergeCell ref="M368:M373"/>
    <mergeCell ref="N368:N373"/>
    <mergeCell ref="Q368:Q373"/>
    <mergeCell ref="R368:R373"/>
    <mergeCell ref="S368:S373"/>
    <mergeCell ref="T368:T373"/>
    <mergeCell ref="A368:A373"/>
    <mergeCell ref="B368:B373"/>
    <mergeCell ref="C368:C373"/>
    <mergeCell ref="D368:D373"/>
    <mergeCell ref="E368:E373"/>
    <mergeCell ref="F368:F373"/>
    <mergeCell ref="R386:R391"/>
    <mergeCell ref="S386:S391"/>
    <mergeCell ref="T386:T391"/>
    <mergeCell ref="U386:U391"/>
    <mergeCell ref="A392:A397"/>
    <mergeCell ref="B392:B397"/>
    <mergeCell ref="C392:C397"/>
    <mergeCell ref="D392:D397"/>
    <mergeCell ref="E392:E397"/>
    <mergeCell ref="F392:F397"/>
    <mergeCell ref="U380:U385"/>
    <mergeCell ref="A386:A391"/>
    <mergeCell ref="B386:B391"/>
    <mergeCell ref="C386:C391"/>
    <mergeCell ref="D386:D391"/>
    <mergeCell ref="E386:E391"/>
    <mergeCell ref="F386:F391"/>
    <mergeCell ref="M386:M391"/>
    <mergeCell ref="N386:N391"/>
    <mergeCell ref="Q386:Q391"/>
    <mergeCell ref="M380:M385"/>
    <mergeCell ref="N380:N385"/>
    <mergeCell ref="Q380:Q385"/>
    <mergeCell ref="R380:R385"/>
    <mergeCell ref="S380:S385"/>
    <mergeCell ref="T380:T385"/>
    <mergeCell ref="N400:N403"/>
    <mergeCell ref="Q400:Q403"/>
    <mergeCell ref="R400:R403"/>
    <mergeCell ref="S400:S403"/>
    <mergeCell ref="T400:T403"/>
    <mergeCell ref="U400:U403"/>
    <mergeCell ref="U392:U397"/>
    <mergeCell ref="A398:R398"/>
    <mergeCell ref="A399:U399"/>
    <mergeCell ref="A400:A403"/>
    <mergeCell ref="B400:B403"/>
    <mergeCell ref="C400:C403"/>
    <mergeCell ref="D400:D403"/>
    <mergeCell ref="E400:E403"/>
    <mergeCell ref="F400:F403"/>
    <mergeCell ref="M400:M403"/>
    <mergeCell ref="M392:M397"/>
    <mergeCell ref="N392:N397"/>
    <mergeCell ref="Q392:Q397"/>
    <mergeCell ref="R392:R397"/>
    <mergeCell ref="S392:S397"/>
    <mergeCell ref="T392:T397"/>
    <mergeCell ref="R410:R415"/>
    <mergeCell ref="S410:S415"/>
    <mergeCell ref="T410:T415"/>
    <mergeCell ref="U410:U415"/>
    <mergeCell ref="A416:A421"/>
    <mergeCell ref="B416:B421"/>
    <mergeCell ref="C416:C421"/>
    <mergeCell ref="D416:D421"/>
    <mergeCell ref="E416:E421"/>
    <mergeCell ref="F416:F421"/>
    <mergeCell ref="U404:U409"/>
    <mergeCell ref="A410:A415"/>
    <mergeCell ref="B410:B415"/>
    <mergeCell ref="C410:C415"/>
    <mergeCell ref="D410:D415"/>
    <mergeCell ref="E410:E415"/>
    <mergeCell ref="F410:F415"/>
    <mergeCell ref="M410:M415"/>
    <mergeCell ref="N410:N415"/>
    <mergeCell ref="Q410:Q415"/>
    <mergeCell ref="M404:M409"/>
    <mergeCell ref="N404:N409"/>
    <mergeCell ref="Q404:Q409"/>
    <mergeCell ref="R404:R409"/>
    <mergeCell ref="S404:S409"/>
    <mergeCell ref="T404:T409"/>
    <mergeCell ref="A404:A409"/>
    <mergeCell ref="B404:B409"/>
    <mergeCell ref="C404:C409"/>
    <mergeCell ref="D404:D409"/>
    <mergeCell ref="E404:E409"/>
    <mergeCell ref="F404:F409"/>
    <mergeCell ref="R422:R427"/>
    <mergeCell ref="S422:S427"/>
    <mergeCell ref="T422:T427"/>
    <mergeCell ref="U422:U427"/>
    <mergeCell ref="A428:A433"/>
    <mergeCell ref="B428:B433"/>
    <mergeCell ref="C428:C433"/>
    <mergeCell ref="D428:D433"/>
    <mergeCell ref="E428:E433"/>
    <mergeCell ref="F428:F433"/>
    <mergeCell ref="U416:U421"/>
    <mergeCell ref="A422:A427"/>
    <mergeCell ref="B422:B427"/>
    <mergeCell ref="C422:C427"/>
    <mergeCell ref="D422:D427"/>
    <mergeCell ref="E422:E427"/>
    <mergeCell ref="F422:F427"/>
    <mergeCell ref="M422:M427"/>
    <mergeCell ref="N422:N427"/>
    <mergeCell ref="Q422:Q427"/>
    <mergeCell ref="M416:M421"/>
    <mergeCell ref="N416:N421"/>
    <mergeCell ref="Q416:Q421"/>
    <mergeCell ref="R416:R421"/>
    <mergeCell ref="S416:S421"/>
    <mergeCell ref="T416:T421"/>
    <mergeCell ref="N436:N439"/>
    <mergeCell ref="Q436:Q439"/>
    <mergeCell ref="R436:R439"/>
    <mergeCell ref="S436:S439"/>
    <mergeCell ref="T436:T439"/>
    <mergeCell ref="U436:U439"/>
    <mergeCell ref="U428:U433"/>
    <mergeCell ref="A434:R434"/>
    <mergeCell ref="A435:U435"/>
    <mergeCell ref="A436:A439"/>
    <mergeCell ref="B436:B439"/>
    <mergeCell ref="C436:C439"/>
    <mergeCell ref="D436:D439"/>
    <mergeCell ref="E436:E439"/>
    <mergeCell ref="F436:F439"/>
    <mergeCell ref="M436:M439"/>
    <mergeCell ref="M428:M433"/>
    <mergeCell ref="N428:N433"/>
    <mergeCell ref="Q428:Q433"/>
    <mergeCell ref="R428:R433"/>
    <mergeCell ref="S428:S433"/>
    <mergeCell ref="T428:T433"/>
    <mergeCell ref="R446:R451"/>
    <mergeCell ref="S446:S451"/>
    <mergeCell ref="T446:T451"/>
    <mergeCell ref="U446:U451"/>
    <mergeCell ref="A452:A457"/>
    <mergeCell ref="B452:B457"/>
    <mergeCell ref="C452:C457"/>
    <mergeCell ref="D452:D457"/>
    <mergeCell ref="E452:E457"/>
    <mergeCell ref="F452:F457"/>
    <mergeCell ref="U440:U445"/>
    <mergeCell ref="A446:A451"/>
    <mergeCell ref="B446:B451"/>
    <mergeCell ref="C446:C451"/>
    <mergeCell ref="D446:D451"/>
    <mergeCell ref="E446:E451"/>
    <mergeCell ref="F446:F451"/>
    <mergeCell ref="M446:M451"/>
    <mergeCell ref="N446:N451"/>
    <mergeCell ref="Q446:Q451"/>
    <mergeCell ref="M440:M445"/>
    <mergeCell ref="N440:N445"/>
    <mergeCell ref="Q440:Q445"/>
    <mergeCell ref="R440:R445"/>
    <mergeCell ref="S440:S445"/>
    <mergeCell ref="T440:T445"/>
    <mergeCell ref="A440:A445"/>
    <mergeCell ref="B440:B445"/>
    <mergeCell ref="C440:C445"/>
    <mergeCell ref="D440:D445"/>
    <mergeCell ref="E440:E445"/>
    <mergeCell ref="F440:F445"/>
    <mergeCell ref="R458:R463"/>
    <mergeCell ref="S458:S463"/>
    <mergeCell ref="T458:T463"/>
    <mergeCell ref="U458:U463"/>
    <mergeCell ref="A464:A469"/>
    <mergeCell ref="B464:B469"/>
    <mergeCell ref="C464:C469"/>
    <mergeCell ref="D464:D469"/>
    <mergeCell ref="E464:E469"/>
    <mergeCell ref="F464:F469"/>
    <mergeCell ref="U452:U457"/>
    <mergeCell ref="A458:A463"/>
    <mergeCell ref="B458:B463"/>
    <mergeCell ref="C458:C463"/>
    <mergeCell ref="D458:D463"/>
    <mergeCell ref="E458:E463"/>
    <mergeCell ref="F458:F463"/>
    <mergeCell ref="M458:M463"/>
    <mergeCell ref="N458:N463"/>
    <mergeCell ref="Q458:Q463"/>
    <mergeCell ref="M452:M457"/>
    <mergeCell ref="N452:N457"/>
    <mergeCell ref="Q452:Q457"/>
    <mergeCell ref="R452:R457"/>
    <mergeCell ref="S452:S457"/>
    <mergeCell ref="T452:T457"/>
    <mergeCell ref="N472:N475"/>
    <mergeCell ref="Q472:Q475"/>
    <mergeCell ref="R472:R475"/>
    <mergeCell ref="S472:S475"/>
    <mergeCell ref="T472:T475"/>
    <mergeCell ref="U472:U475"/>
    <mergeCell ref="U464:U469"/>
    <mergeCell ref="A470:R470"/>
    <mergeCell ref="A471:U471"/>
    <mergeCell ref="A472:A475"/>
    <mergeCell ref="B472:B475"/>
    <mergeCell ref="C472:C475"/>
    <mergeCell ref="D472:D475"/>
    <mergeCell ref="E472:E475"/>
    <mergeCell ref="F472:F475"/>
    <mergeCell ref="M472:M475"/>
    <mergeCell ref="M464:M469"/>
    <mergeCell ref="N464:N469"/>
    <mergeCell ref="Q464:Q469"/>
    <mergeCell ref="R464:R469"/>
    <mergeCell ref="S464:S469"/>
    <mergeCell ref="T464:T469"/>
    <mergeCell ref="R482:R487"/>
    <mergeCell ref="S482:S487"/>
    <mergeCell ref="T482:T487"/>
    <mergeCell ref="U482:U487"/>
    <mergeCell ref="A488:A493"/>
    <mergeCell ref="B488:B493"/>
    <mergeCell ref="C488:C493"/>
    <mergeCell ref="D488:D493"/>
    <mergeCell ref="E488:E493"/>
    <mergeCell ref="F488:F493"/>
    <mergeCell ref="U476:U481"/>
    <mergeCell ref="A482:A487"/>
    <mergeCell ref="B482:B487"/>
    <mergeCell ref="C482:C487"/>
    <mergeCell ref="D482:D487"/>
    <mergeCell ref="E482:E487"/>
    <mergeCell ref="F482:F487"/>
    <mergeCell ref="M482:M487"/>
    <mergeCell ref="N482:N487"/>
    <mergeCell ref="Q482:Q487"/>
    <mergeCell ref="M476:M481"/>
    <mergeCell ref="N476:N481"/>
    <mergeCell ref="Q476:Q481"/>
    <mergeCell ref="R476:R481"/>
    <mergeCell ref="S476:S481"/>
    <mergeCell ref="T476:T481"/>
    <mergeCell ref="A476:A481"/>
    <mergeCell ref="B476:B481"/>
    <mergeCell ref="C476:C481"/>
    <mergeCell ref="D476:D481"/>
    <mergeCell ref="E476:E481"/>
    <mergeCell ref="F476:F481"/>
    <mergeCell ref="R494:R499"/>
    <mergeCell ref="S494:S499"/>
    <mergeCell ref="T494:T499"/>
    <mergeCell ref="U494:U499"/>
    <mergeCell ref="A500:A505"/>
    <mergeCell ref="B500:B505"/>
    <mergeCell ref="C500:C505"/>
    <mergeCell ref="D500:D505"/>
    <mergeCell ref="E500:E505"/>
    <mergeCell ref="F500:F505"/>
    <mergeCell ref="U488:U493"/>
    <mergeCell ref="A494:A499"/>
    <mergeCell ref="B494:B499"/>
    <mergeCell ref="C494:C499"/>
    <mergeCell ref="D494:D499"/>
    <mergeCell ref="E494:E499"/>
    <mergeCell ref="F494:F499"/>
    <mergeCell ref="M494:M499"/>
    <mergeCell ref="N494:N499"/>
    <mergeCell ref="Q494:Q499"/>
    <mergeCell ref="M488:M493"/>
    <mergeCell ref="N488:N493"/>
    <mergeCell ref="Q488:Q493"/>
    <mergeCell ref="R488:R493"/>
    <mergeCell ref="S488:S493"/>
    <mergeCell ref="T488:T493"/>
    <mergeCell ref="N508:N511"/>
    <mergeCell ref="Q508:Q511"/>
    <mergeCell ref="R508:R511"/>
    <mergeCell ref="S508:S511"/>
    <mergeCell ref="T508:T511"/>
    <mergeCell ref="U508:U511"/>
    <mergeCell ref="U500:U505"/>
    <mergeCell ref="A506:R506"/>
    <mergeCell ref="A507:U507"/>
    <mergeCell ref="A508:A511"/>
    <mergeCell ref="B508:B511"/>
    <mergeCell ref="C508:C511"/>
    <mergeCell ref="D508:D511"/>
    <mergeCell ref="E508:E511"/>
    <mergeCell ref="F508:F511"/>
    <mergeCell ref="M508:M511"/>
    <mergeCell ref="M500:M505"/>
    <mergeCell ref="N500:N505"/>
    <mergeCell ref="Q500:Q505"/>
    <mergeCell ref="R500:R505"/>
    <mergeCell ref="S500:S505"/>
    <mergeCell ref="T500:T505"/>
    <mergeCell ref="R518:R523"/>
    <mergeCell ref="S518:S523"/>
    <mergeCell ref="T518:T523"/>
    <mergeCell ref="U518:U523"/>
    <mergeCell ref="A524:A529"/>
    <mergeCell ref="B524:B529"/>
    <mergeCell ref="C524:C529"/>
    <mergeCell ref="D524:D529"/>
    <mergeCell ref="E524:E529"/>
    <mergeCell ref="F524:F529"/>
    <mergeCell ref="U512:U517"/>
    <mergeCell ref="A518:A523"/>
    <mergeCell ref="B518:B523"/>
    <mergeCell ref="C518:C523"/>
    <mergeCell ref="D518:D523"/>
    <mergeCell ref="E518:E523"/>
    <mergeCell ref="F518:F523"/>
    <mergeCell ref="M518:M523"/>
    <mergeCell ref="N518:N523"/>
    <mergeCell ref="Q518:Q523"/>
    <mergeCell ref="M512:M517"/>
    <mergeCell ref="N512:N517"/>
    <mergeCell ref="Q512:Q517"/>
    <mergeCell ref="R512:R517"/>
    <mergeCell ref="S512:S517"/>
    <mergeCell ref="T512:T517"/>
    <mergeCell ref="A512:A517"/>
    <mergeCell ref="B512:B517"/>
    <mergeCell ref="C512:C517"/>
    <mergeCell ref="D512:D517"/>
    <mergeCell ref="E512:E517"/>
    <mergeCell ref="F512:F517"/>
    <mergeCell ref="R530:R535"/>
    <mergeCell ref="S530:S535"/>
    <mergeCell ref="T530:T535"/>
    <mergeCell ref="U530:U535"/>
    <mergeCell ref="A536:A541"/>
    <mergeCell ref="B536:B541"/>
    <mergeCell ref="C536:C541"/>
    <mergeCell ref="D536:D541"/>
    <mergeCell ref="E536:E541"/>
    <mergeCell ref="F536:F541"/>
    <mergeCell ref="U524:U529"/>
    <mergeCell ref="A530:A535"/>
    <mergeCell ref="B530:B535"/>
    <mergeCell ref="C530:C535"/>
    <mergeCell ref="D530:D535"/>
    <mergeCell ref="E530:E535"/>
    <mergeCell ref="F530:F535"/>
    <mergeCell ref="M530:M535"/>
    <mergeCell ref="N530:N535"/>
    <mergeCell ref="Q530:Q535"/>
    <mergeCell ref="M524:M529"/>
    <mergeCell ref="N524:N529"/>
    <mergeCell ref="Q524:Q529"/>
    <mergeCell ref="R524:R529"/>
    <mergeCell ref="S524:S529"/>
    <mergeCell ref="T524:T529"/>
    <mergeCell ref="N544:N547"/>
    <mergeCell ref="Q544:Q547"/>
    <mergeCell ref="R544:R547"/>
    <mergeCell ref="S544:S547"/>
    <mergeCell ref="T544:T547"/>
    <mergeCell ref="U544:U547"/>
    <mergeCell ref="U536:U541"/>
    <mergeCell ref="A542:R542"/>
    <mergeCell ref="A543:U543"/>
    <mergeCell ref="A544:A547"/>
    <mergeCell ref="B544:B547"/>
    <mergeCell ref="C544:C547"/>
    <mergeCell ref="D544:D547"/>
    <mergeCell ref="E544:E547"/>
    <mergeCell ref="F544:F547"/>
    <mergeCell ref="M544:M547"/>
    <mergeCell ref="M536:M541"/>
    <mergeCell ref="N536:N541"/>
    <mergeCell ref="Q536:Q541"/>
    <mergeCell ref="R536:R541"/>
    <mergeCell ref="S536:S541"/>
    <mergeCell ref="T536:T541"/>
    <mergeCell ref="R554:R559"/>
    <mergeCell ref="S554:S559"/>
    <mergeCell ref="T554:T559"/>
    <mergeCell ref="U554:U559"/>
    <mergeCell ref="A560:A565"/>
    <mergeCell ref="B560:B565"/>
    <mergeCell ref="C560:C565"/>
    <mergeCell ref="D560:D565"/>
    <mergeCell ref="E560:E565"/>
    <mergeCell ref="F560:F565"/>
    <mergeCell ref="U548:U553"/>
    <mergeCell ref="A554:A559"/>
    <mergeCell ref="B554:B559"/>
    <mergeCell ref="C554:C559"/>
    <mergeCell ref="D554:D559"/>
    <mergeCell ref="E554:E559"/>
    <mergeCell ref="F554:F559"/>
    <mergeCell ref="M554:M559"/>
    <mergeCell ref="N554:N559"/>
    <mergeCell ref="Q554:Q559"/>
    <mergeCell ref="M548:M553"/>
    <mergeCell ref="N548:N553"/>
    <mergeCell ref="Q548:Q553"/>
    <mergeCell ref="R548:R553"/>
    <mergeCell ref="S548:S553"/>
    <mergeCell ref="T548:T553"/>
    <mergeCell ref="A548:A553"/>
    <mergeCell ref="B548:B553"/>
    <mergeCell ref="C548:C553"/>
    <mergeCell ref="D548:D553"/>
    <mergeCell ref="E548:E553"/>
    <mergeCell ref="F548:F553"/>
    <mergeCell ref="R566:R571"/>
    <mergeCell ref="S566:S571"/>
    <mergeCell ref="T566:T571"/>
    <mergeCell ref="U566:U571"/>
    <mergeCell ref="A572:A577"/>
    <mergeCell ref="B572:B577"/>
    <mergeCell ref="C572:C577"/>
    <mergeCell ref="D572:D577"/>
    <mergeCell ref="E572:E577"/>
    <mergeCell ref="F572:F577"/>
    <mergeCell ref="U560:U565"/>
    <mergeCell ref="A566:A571"/>
    <mergeCell ref="B566:B571"/>
    <mergeCell ref="C566:C571"/>
    <mergeCell ref="D566:D571"/>
    <mergeCell ref="E566:E571"/>
    <mergeCell ref="F566:F571"/>
    <mergeCell ref="M566:M571"/>
    <mergeCell ref="N566:N571"/>
    <mergeCell ref="Q566:Q571"/>
    <mergeCell ref="M560:M565"/>
    <mergeCell ref="N560:N565"/>
    <mergeCell ref="Q560:Q565"/>
    <mergeCell ref="R560:R565"/>
    <mergeCell ref="S560:S565"/>
    <mergeCell ref="T560:T565"/>
    <mergeCell ref="N580:N583"/>
    <mergeCell ref="Q580:Q583"/>
    <mergeCell ref="R580:R583"/>
    <mergeCell ref="S580:S583"/>
    <mergeCell ref="T580:T583"/>
    <mergeCell ref="U580:U583"/>
    <mergeCell ref="U572:U577"/>
    <mergeCell ref="A578:R578"/>
    <mergeCell ref="A579:U579"/>
    <mergeCell ref="A580:A583"/>
    <mergeCell ref="B580:B583"/>
    <mergeCell ref="C580:C583"/>
    <mergeCell ref="D580:D583"/>
    <mergeCell ref="E580:E583"/>
    <mergeCell ref="F580:F583"/>
    <mergeCell ref="M580:M583"/>
    <mergeCell ref="M572:M577"/>
    <mergeCell ref="N572:N577"/>
    <mergeCell ref="Q572:Q577"/>
    <mergeCell ref="R572:R577"/>
    <mergeCell ref="S572:S577"/>
    <mergeCell ref="T572:T577"/>
    <mergeCell ref="R590:R595"/>
    <mergeCell ref="S590:S595"/>
    <mergeCell ref="T590:T595"/>
    <mergeCell ref="U590:U595"/>
    <mergeCell ref="A596:A601"/>
    <mergeCell ref="B596:B601"/>
    <mergeCell ref="C596:C601"/>
    <mergeCell ref="D596:D601"/>
    <mergeCell ref="E596:E601"/>
    <mergeCell ref="F596:F601"/>
    <mergeCell ref="U584:U589"/>
    <mergeCell ref="A590:A595"/>
    <mergeCell ref="B590:B595"/>
    <mergeCell ref="C590:C595"/>
    <mergeCell ref="D590:D595"/>
    <mergeCell ref="E590:E595"/>
    <mergeCell ref="F590:F595"/>
    <mergeCell ref="M590:M595"/>
    <mergeCell ref="N590:N595"/>
    <mergeCell ref="Q590:Q595"/>
    <mergeCell ref="M584:M589"/>
    <mergeCell ref="N584:N589"/>
    <mergeCell ref="Q584:Q589"/>
    <mergeCell ref="R584:R589"/>
    <mergeCell ref="S584:S589"/>
    <mergeCell ref="T584:T589"/>
    <mergeCell ref="A584:A589"/>
    <mergeCell ref="B584:B589"/>
    <mergeCell ref="C584:C589"/>
    <mergeCell ref="D584:D589"/>
    <mergeCell ref="E584:E589"/>
    <mergeCell ref="F584:F589"/>
    <mergeCell ref="R602:R607"/>
    <mergeCell ref="S602:S607"/>
    <mergeCell ref="T602:T607"/>
    <mergeCell ref="U602:U607"/>
    <mergeCell ref="A608:A613"/>
    <mergeCell ref="B608:B613"/>
    <mergeCell ref="C608:C613"/>
    <mergeCell ref="D608:D613"/>
    <mergeCell ref="E608:E613"/>
    <mergeCell ref="F608:F613"/>
    <mergeCell ref="U596:U601"/>
    <mergeCell ref="A602:A607"/>
    <mergeCell ref="B602:B607"/>
    <mergeCell ref="C602:C607"/>
    <mergeCell ref="D602:D607"/>
    <mergeCell ref="E602:E607"/>
    <mergeCell ref="F602:F607"/>
    <mergeCell ref="M602:M607"/>
    <mergeCell ref="N602:N607"/>
    <mergeCell ref="Q602:Q607"/>
    <mergeCell ref="M596:M601"/>
    <mergeCell ref="N596:N601"/>
    <mergeCell ref="Q596:Q601"/>
    <mergeCell ref="R596:R601"/>
    <mergeCell ref="S596:S601"/>
    <mergeCell ref="T596:T601"/>
    <mergeCell ref="N616:N619"/>
    <mergeCell ref="Q616:Q619"/>
    <mergeCell ref="R616:R619"/>
    <mergeCell ref="S616:S619"/>
    <mergeCell ref="T616:T619"/>
    <mergeCell ref="U616:U619"/>
    <mergeCell ref="U608:U613"/>
    <mergeCell ref="A614:R614"/>
    <mergeCell ref="A615:U615"/>
    <mergeCell ref="A616:A619"/>
    <mergeCell ref="B616:B619"/>
    <mergeCell ref="C616:C619"/>
    <mergeCell ref="D616:D619"/>
    <mergeCell ref="E616:E619"/>
    <mergeCell ref="F616:F619"/>
    <mergeCell ref="M616:M619"/>
    <mergeCell ref="M608:M613"/>
    <mergeCell ref="N608:N613"/>
    <mergeCell ref="Q608:Q613"/>
    <mergeCell ref="R608:R613"/>
    <mergeCell ref="S608:S613"/>
    <mergeCell ref="T608:T613"/>
    <mergeCell ref="R626:R631"/>
    <mergeCell ref="S626:S631"/>
    <mergeCell ref="T626:T631"/>
    <mergeCell ref="U626:U631"/>
    <mergeCell ref="A632:A637"/>
    <mergeCell ref="B632:B637"/>
    <mergeCell ref="C632:C637"/>
    <mergeCell ref="D632:D637"/>
    <mergeCell ref="E632:E637"/>
    <mergeCell ref="F632:F637"/>
    <mergeCell ref="U620:U625"/>
    <mergeCell ref="A626:A631"/>
    <mergeCell ref="B626:B631"/>
    <mergeCell ref="C626:C631"/>
    <mergeCell ref="D626:D631"/>
    <mergeCell ref="E626:E631"/>
    <mergeCell ref="F626:F631"/>
    <mergeCell ref="M626:M631"/>
    <mergeCell ref="N626:N631"/>
    <mergeCell ref="Q626:Q631"/>
    <mergeCell ref="M620:M625"/>
    <mergeCell ref="N620:N625"/>
    <mergeCell ref="Q620:Q625"/>
    <mergeCell ref="R620:R625"/>
    <mergeCell ref="S620:S625"/>
    <mergeCell ref="T620:T625"/>
    <mergeCell ref="A620:A625"/>
    <mergeCell ref="B620:B625"/>
    <mergeCell ref="C620:C625"/>
    <mergeCell ref="D620:D625"/>
    <mergeCell ref="E620:E625"/>
    <mergeCell ref="F620:F625"/>
    <mergeCell ref="R638:R643"/>
    <mergeCell ref="S638:S643"/>
    <mergeCell ref="T638:T643"/>
    <mergeCell ref="U638:U643"/>
    <mergeCell ref="A644:A649"/>
    <mergeCell ref="B644:B649"/>
    <mergeCell ref="C644:C649"/>
    <mergeCell ref="D644:D649"/>
    <mergeCell ref="E644:E649"/>
    <mergeCell ref="F644:F649"/>
    <mergeCell ref="U632:U637"/>
    <mergeCell ref="A638:A643"/>
    <mergeCell ref="B638:B643"/>
    <mergeCell ref="C638:C643"/>
    <mergeCell ref="D638:D643"/>
    <mergeCell ref="E638:E643"/>
    <mergeCell ref="F638:F643"/>
    <mergeCell ref="M638:M643"/>
    <mergeCell ref="N638:N643"/>
    <mergeCell ref="Q638:Q643"/>
    <mergeCell ref="M632:M637"/>
    <mergeCell ref="N632:N637"/>
    <mergeCell ref="Q632:Q637"/>
    <mergeCell ref="R632:R637"/>
    <mergeCell ref="S632:S637"/>
    <mergeCell ref="T632:T637"/>
    <mergeCell ref="N652:N655"/>
    <mergeCell ref="Q652:Q655"/>
    <mergeCell ref="R652:R655"/>
    <mergeCell ref="S652:S655"/>
    <mergeCell ref="T652:T655"/>
    <mergeCell ref="U652:U655"/>
    <mergeCell ref="U644:U649"/>
    <mergeCell ref="A650:R650"/>
    <mergeCell ref="A651:U651"/>
    <mergeCell ref="A652:A655"/>
    <mergeCell ref="B652:B655"/>
    <mergeCell ref="C652:C655"/>
    <mergeCell ref="D652:D655"/>
    <mergeCell ref="E652:E655"/>
    <mergeCell ref="F652:F655"/>
    <mergeCell ref="M652:M655"/>
    <mergeCell ref="M644:M649"/>
    <mergeCell ref="N644:N649"/>
    <mergeCell ref="Q644:Q649"/>
    <mergeCell ref="R644:R649"/>
    <mergeCell ref="S644:S649"/>
    <mergeCell ref="T644:T649"/>
    <mergeCell ref="R662:R667"/>
    <mergeCell ref="S662:S667"/>
    <mergeCell ref="T662:T667"/>
    <mergeCell ref="U662:U667"/>
    <mergeCell ref="A668:A673"/>
    <mergeCell ref="B668:B673"/>
    <mergeCell ref="C668:C673"/>
    <mergeCell ref="D668:D673"/>
    <mergeCell ref="E668:E673"/>
    <mergeCell ref="F668:F673"/>
    <mergeCell ref="U656:U661"/>
    <mergeCell ref="A662:A667"/>
    <mergeCell ref="B662:B667"/>
    <mergeCell ref="C662:C667"/>
    <mergeCell ref="D662:D667"/>
    <mergeCell ref="E662:E667"/>
    <mergeCell ref="F662:F667"/>
    <mergeCell ref="M662:M667"/>
    <mergeCell ref="N662:N667"/>
    <mergeCell ref="Q662:Q667"/>
    <mergeCell ref="M656:M661"/>
    <mergeCell ref="N656:N661"/>
    <mergeCell ref="Q656:Q661"/>
    <mergeCell ref="R656:R661"/>
    <mergeCell ref="S656:S661"/>
    <mergeCell ref="T656:T661"/>
    <mergeCell ref="A656:A661"/>
    <mergeCell ref="B656:B661"/>
    <mergeCell ref="C656:C661"/>
    <mergeCell ref="D656:D661"/>
    <mergeCell ref="E656:E661"/>
    <mergeCell ref="F656:F661"/>
    <mergeCell ref="R674:R679"/>
    <mergeCell ref="S674:S679"/>
    <mergeCell ref="T674:T679"/>
    <mergeCell ref="U674:U679"/>
    <mergeCell ref="A680:A685"/>
    <mergeCell ref="B680:B685"/>
    <mergeCell ref="C680:C685"/>
    <mergeCell ref="D680:D685"/>
    <mergeCell ref="E680:E685"/>
    <mergeCell ref="F680:F685"/>
    <mergeCell ref="U668:U673"/>
    <mergeCell ref="A674:A679"/>
    <mergeCell ref="B674:B679"/>
    <mergeCell ref="C674:C679"/>
    <mergeCell ref="D674:D679"/>
    <mergeCell ref="E674:E679"/>
    <mergeCell ref="F674:F679"/>
    <mergeCell ref="M674:M679"/>
    <mergeCell ref="N674:N679"/>
    <mergeCell ref="Q674:Q679"/>
    <mergeCell ref="M668:M673"/>
    <mergeCell ref="N668:N673"/>
    <mergeCell ref="Q668:Q673"/>
    <mergeCell ref="R668:R673"/>
    <mergeCell ref="S668:S673"/>
    <mergeCell ref="T668:T673"/>
    <mergeCell ref="N688:N691"/>
    <mergeCell ref="Q688:Q691"/>
    <mergeCell ref="R688:R691"/>
    <mergeCell ref="S688:S691"/>
    <mergeCell ref="T688:T691"/>
    <mergeCell ref="U688:U691"/>
    <mergeCell ref="U680:U685"/>
    <mergeCell ref="A686:R686"/>
    <mergeCell ref="A687:U687"/>
    <mergeCell ref="A688:A691"/>
    <mergeCell ref="B688:B691"/>
    <mergeCell ref="C688:C691"/>
    <mergeCell ref="D688:D691"/>
    <mergeCell ref="E688:E691"/>
    <mergeCell ref="F688:F691"/>
    <mergeCell ref="M688:M691"/>
    <mergeCell ref="M680:M685"/>
    <mergeCell ref="N680:N685"/>
    <mergeCell ref="Q680:Q685"/>
    <mergeCell ref="R680:R685"/>
    <mergeCell ref="S680:S685"/>
    <mergeCell ref="T680:T685"/>
    <mergeCell ref="U692:U697"/>
    <mergeCell ref="A698:A703"/>
    <mergeCell ref="B698:B703"/>
    <mergeCell ref="C698:C703"/>
    <mergeCell ref="D698:D703"/>
    <mergeCell ref="E698:E703"/>
    <mergeCell ref="F698:F703"/>
    <mergeCell ref="M698:M703"/>
    <mergeCell ref="N698:N703"/>
    <mergeCell ref="Q698:Q703"/>
    <mergeCell ref="M692:M697"/>
    <mergeCell ref="N692:N697"/>
    <mergeCell ref="Q692:Q697"/>
    <mergeCell ref="R692:R697"/>
    <mergeCell ref="S692:S697"/>
    <mergeCell ref="T692:T697"/>
    <mergeCell ref="A692:A697"/>
    <mergeCell ref="B692:B697"/>
    <mergeCell ref="C692:C697"/>
    <mergeCell ref="D692:D697"/>
    <mergeCell ref="E692:E697"/>
    <mergeCell ref="F692:F697"/>
    <mergeCell ref="U704:U709"/>
    <mergeCell ref="A710:A715"/>
    <mergeCell ref="B710:B715"/>
    <mergeCell ref="C710:C715"/>
    <mergeCell ref="D710:D715"/>
    <mergeCell ref="E710:E715"/>
    <mergeCell ref="F710:F715"/>
    <mergeCell ref="M710:M715"/>
    <mergeCell ref="N710:N715"/>
    <mergeCell ref="Q710:Q715"/>
    <mergeCell ref="M704:M709"/>
    <mergeCell ref="N704:N709"/>
    <mergeCell ref="Q704:Q709"/>
    <mergeCell ref="R704:R709"/>
    <mergeCell ref="S704:S709"/>
    <mergeCell ref="T704:T709"/>
    <mergeCell ref="R698:R703"/>
    <mergeCell ref="S698:S703"/>
    <mergeCell ref="T698:T703"/>
    <mergeCell ref="U698:U703"/>
    <mergeCell ref="A704:A709"/>
    <mergeCell ref="B704:B709"/>
    <mergeCell ref="C704:C709"/>
    <mergeCell ref="D704:D709"/>
    <mergeCell ref="E704:E709"/>
    <mergeCell ref="F704:F709"/>
    <mergeCell ref="U716:U721"/>
    <mergeCell ref="A722:R722"/>
    <mergeCell ref="M716:M721"/>
    <mergeCell ref="N716:N721"/>
    <mergeCell ref="Q716:Q721"/>
    <mergeCell ref="R716:R721"/>
    <mergeCell ref="S716:S721"/>
    <mergeCell ref="T716:T721"/>
    <mergeCell ref="R710:R715"/>
    <mergeCell ref="S710:S715"/>
    <mergeCell ref="T710:T715"/>
    <mergeCell ref="U710:U715"/>
    <mergeCell ref="A716:A721"/>
    <mergeCell ref="B716:B721"/>
    <mergeCell ref="C716:C721"/>
    <mergeCell ref="D716:D721"/>
    <mergeCell ref="E716:E721"/>
    <mergeCell ref="F716:F7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93452-1AD1-48AC-B9B3-51DD9B52F9B4}">
  <dimension ref="A1:U722"/>
  <sheetViews>
    <sheetView tabSelected="1" topLeftCell="A680" workbookViewId="0">
      <selection activeCell="T1" sqref="T1:U1048576"/>
    </sheetView>
  </sheetViews>
  <sheetFormatPr defaultRowHeight="15" x14ac:dyDescent="0.25"/>
  <cols>
    <col min="1" max="1" width="9.140625" style="16"/>
    <col min="2" max="5" width="0" style="16" hidden="1" customWidth="1"/>
    <col min="6" max="8" width="9.140625" style="16"/>
    <col min="9" max="10" width="0" style="16" hidden="1" customWidth="1"/>
    <col min="11" max="11" width="9.140625" style="16"/>
    <col min="12" max="13" width="0" style="16" hidden="1" customWidth="1"/>
    <col min="14" max="15" width="9.140625" style="16"/>
    <col min="16" max="17" width="0" style="16" hidden="1" customWidth="1"/>
    <col min="18" max="19" width="9.140625" style="16"/>
    <col min="20" max="21" width="0" style="16" hidden="1" customWidth="1"/>
  </cols>
  <sheetData>
    <row r="1" spans="1:21" ht="45" x14ac:dyDescent="0.25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3" t="s">
        <v>5</v>
      </c>
      <c r="G1" s="13" t="s">
        <v>6</v>
      </c>
      <c r="H1" s="13" t="s">
        <v>7</v>
      </c>
      <c r="I1" s="15" t="s">
        <v>8</v>
      </c>
      <c r="J1" s="15" t="s">
        <v>9</v>
      </c>
      <c r="K1" s="13" t="s">
        <v>31</v>
      </c>
      <c r="L1" s="14" t="s">
        <v>10</v>
      </c>
      <c r="M1" s="14" t="s">
        <v>11</v>
      </c>
      <c r="N1" s="13" t="s">
        <v>12</v>
      </c>
      <c r="O1" s="13" t="s">
        <v>13</v>
      </c>
      <c r="P1" s="14" t="s">
        <v>14</v>
      </c>
      <c r="Q1" s="14" t="s">
        <v>15</v>
      </c>
      <c r="R1" s="13" t="s">
        <v>16</v>
      </c>
      <c r="S1" s="13" t="s">
        <v>17</v>
      </c>
      <c r="T1" s="14" t="s">
        <v>18</v>
      </c>
      <c r="U1" s="14" t="s">
        <v>19</v>
      </c>
    </row>
    <row r="2" spans="1:21" x14ac:dyDescent="0.25">
      <c r="A2" s="3">
        <v>1</v>
      </c>
      <c r="B2" s="4"/>
      <c r="C2" s="4"/>
      <c r="D2" s="4"/>
      <c r="E2" s="4"/>
      <c r="F2" s="3">
        <v>2</v>
      </c>
      <c r="G2" s="3">
        <v>3</v>
      </c>
      <c r="H2" s="3">
        <v>4</v>
      </c>
      <c r="I2" s="5"/>
      <c r="J2" s="6"/>
      <c r="K2" s="3">
        <v>5</v>
      </c>
      <c r="L2" s="4"/>
      <c r="M2" s="5"/>
      <c r="N2" s="3">
        <v>6</v>
      </c>
      <c r="O2" s="3">
        <v>7</v>
      </c>
      <c r="P2" s="4"/>
      <c r="Q2" s="5"/>
      <c r="R2" s="7">
        <v>8</v>
      </c>
      <c r="S2" s="7">
        <v>9</v>
      </c>
      <c r="T2" s="4"/>
      <c r="U2" s="4"/>
    </row>
    <row r="3" spans="1:21" x14ac:dyDescent="0.25">
      <c r="A3" s="27" t="s">
        <v>92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9"/>
    </row>
    <row r="4" spans="1:21" x14ac:dyDescent="0.25">
      <c r="A4" s="24">
        <v>250</v>
      </c>
      <c r="B4" s="24">
        <v>3</v>
      </c>
      <c r="C4" s="17">
        <v>0.5</v>
      </c>
      <c r="D4" s="24">
        <v>38</v>
      </c>
      <c r="E4" s="24">
        <v>4</v>
      </c>
      <c r="F4" s="25">
        <v>84</v>
      </c>
      <c r="G4" s="1">
        <v>175</v>
      </c>
      <c r="H4" s="2">
        <v>84.8</v>
      </c>
      <c r="I4" s="2">
        <v>-19</v>
      </c>
      <c r="J4" s="2">
        <v>-26.7</v>
      </c>
      <c r="K4" s="2">
        <f>I4</f>
        <v>-19</v>
      </c>
      <c r="L4" s="8">
        <f>10^((K4-H4)/10)</f>
        <v>4.1686938347033529E-11</v>
      </c>
      <c r="M4" s="26">
        <f>SUM(L4:L7)</f>
        <v>6.760493188830139E-11</v>
      </c>
      <c r="N4" s="17">
        <f>10*LOG10(M4/E4)</f>
        <v>-107.72081611751037</v>
      </c>
      <c r="O4" s="9">
        <f>J4</f>
        <v>-26.7</v>
      </c>
      <c r="P4" s="8">
        <f>D4/B4*10^(O4/10)</f>
        <v>2.7080853133694936E-2</v>
      </c>
      <c r="Q4" s="26">
        <f>SUM(P4:P7)</f>
        <v>0.18664628497402808</v>
      </c>
      <c r="R4" s="17">
        <f>10*LOG10(Q4)</f>
        <v>-7.2898064989163549</v>
      </c>
      <c r="S4" s="18">
        <f>F4+N4-Kzt-H</f>
        <v>-23.720816117510367</v>
      </c>
      <c r="T4" s="17">
        <v>0.2</v>
      </c>
      <c r="U4" s="21">
        <f>T4*10^((S4-R4)/10)</f>
        <v>4.5491371857999735E-3</v>
      </c>
    </row>
    <row r="5" spans="1:21" x14ac:dyDescent="0.25">
      <c r="A5" s="24"/>
      <c r="B5" s="24"/>
      <c r="C5" s="17"/>
      <c r="D5" s="24"/>
      <c r="E5" s="24"/>
      <c r="F5" s="25"/>
      <c r="G5" s="1">
        <v>225</v>
      </c>
      <c r="H5" s="2">
        <v>90</v>
      </c>
      <c r="I5" s="2">
        <v>-22</v>
      </c>
      <c r="J5" s="2">
        <v>-24.1</v>
      </c>
      <c r="K5" s="2">
        <f t="shared" ref="K5:K37" si="0">I5</f>
        <v>-22</v>
      </c>
      <c r="L5" s="8">
        <f t="shared" ref="L5:L37" si="1">10^((K5-H5)/10)</f>
        <v>6.3095734448019345E-12</v>
      </c>
      <c r="M5" s="26"/>
      <c r="N5" s="17"/>
      <c r="O5" s="9">
        <f t="shared" ref="O5:O37" si="2">J5</f>
        <v>-24.1</v>
      </c>
      <c r="P5" s="8">
        <f>D4/B4*10^(O5/10)</f>
        <v>4.9279051699275496E-2</v>
      </c>
      <c r="Q5" s="26"/>
      <c r="R5" s="17"/>
      <c r="S5" s="19"/>
      <c r="T5" s="17"/>
      <c r="U5" s="22"/>
    </row>
    <row r="6" spans="1:21" x14ac:dyDescent="0.25">
      <c r="A6" s="24"/>
      <c r="B6" s="24"/>
      <c r="C6" s="17"/>
      <c r="D6" s="24"/>
      <c r="E6" s="24"/>
      <c r="F6" s="25"/>
      <c r="G6" s="1">
        <v>275</v>
      </c>
      <c r="H6" s="2">
        <v>92.2</v>
      </c>
      <c r="I6" s="2">
        <v>-17</v>
      </c>
      <c r="J6" s="2">
        <v>-22.3</v>
      </c>
      <c r="K6" s="2">
        <f t="shared" si="0"/>
        <v>-17</v>
      </c>
      <c r="L6" s="8">
        <f t="shared" si="1"/>
        <v>1.2022644346174101E-11</v>
      </c>
      <c r="M6" s="26"/>
      <c r="N6" s="17"/>
      <c r="O6" s="9">
        <f t="shared" si="2"/>
        <v>-22.3</v>
      </c>
      <c r="P6" s="8">
        <f>D4/B4*10^(O6/10)</f>
        <v>7.458686301170793E-2</v>
      </c>
      <c r="Q6" s="26"/>
      <c r="R6" s="17"/>
      <c r="S6" s="19"/>
      <c r="T6" s="17"/>
      <c r="U6" s="22"/>
    </row>
    <row r="7" spans="1:21" x14ac:dyDescent="0.25">
      <c r="A7" s="24"/>
      <c r="B7" s="24"/>
      <c r="C7" s="17"/>
      <c r="D7" s="24"/>
      <c r="E7" s="24"/>
      <c r="F7" s="25"/>
      <c r="G7" s="1">
        <v>325</v>
      </c>
      <c r="H7" s="2">
        <v>93.3</v>
      </c>
      <c r="I7" s="2">
        <v>-17.899999999999999</v>
      </c>
      <c r="J7" s="2">
        <v>-25.5</v>
      </c>
      <c r="K7" s="2">
        <f t="shared" si="0"/>
        <v>-17.899999999999999</v>
      </c>
      <c r="L7" s="8">
        <f>10^((K7-H7)/10)</f>
        <v>7.585775750291834E-12</v>
      </c>
      <c r="M7" s="26"/>
      <c r="N7" s="17"/>
      <c r="O7" s="9">
        <f t="shared" si="2"/>
        <v>-25.5</v>
      </c>
      <c r="P7" s="8">
        <f>D4/B4*10^(O7/10)</f>
        <v>3.5699517129349725E-2</v>
      </c>
      <c r="Q7" s="26"/>
      <c r="R7" s="17"/>
      <c r="S7" s="20"/>
      <c r="T7" s="17"/>
      <c r="U7" s="23"/>
    </row>
    <row r="8" spans="1:21" x14ac:dyDescent="0.25">
      <c r="A8" s="24">
        <v>500</v>
      </c>
      <c r="B8" s="24">
        <v>3</v>
      </c>
      <c r="C8" s="17">
        <v>0.5</v>
      </c>
      <c r="D8" s="24">
        <v>59</v>
      </c>
      <c r="E8" s="24">
        <v>6</v>
      </c>
      <c r="F8" s="25">
        <v>84</v>
      </c>
      <c r="G8" s="1">
        <v>375</v>
      </c>
      <c r="H8" s="2">
        <v>91.9</v>
      </c>
      <c r="I8" s="2">
        <v>-23.3</v>
      </c>
      <c r="J8" s="2">
        <v>-24.8</v>
      </c>
      <c r="K8" s="2">
        <f t="shared" si="0"/>
        <v>-23.3</v>
      </c>
      <c r="L8" s="8">
        <f t="shared" si="1"/>
        <v>3.0199517204020161E-12</v>
      </c>
      <c r="M8" s="26">
        <f>SUM(L8:L13)</f>
        <v>3.7425902864016135E-11</v>
      </c>
      <c r="N8" s="17">
        <f>10*LOG10(M8/E8)</f>
        <v>-112.0497896430428</v>
      </c>
      <c r="O8" s="9">
        <f t="shared" si="2"/>
        <v>-24.8</v>
      </c>
      <c r="P8" s="8">
        <f>D8/B8*10^(O8/10)</f>
        <v>6.512245389157624E-2</v>
      </c>
      <c r="Q8" s="26">
        <f>SUM(P8:P13)</f>
        <v>0.38592812950458083</v>
      </c>
      <c r="R8" s="17">
        <f>10*LOG10(Q8)</f>
        <v>-4.1349356544676867</v>
      </c>
      <c r="S8" s="18">
        <f>F8+N8-Kzt-H</f>
        <v>-28.0497896430428</v>
      </c>
      <c r="T8" s="17">
        <v>0.5</v>
      </c>
      <c r="U8" s="21">
        <f>T8*10^((S8-R8)/10)</f>
        <v>2.0299465626712775E-3</v>
      </c>
    </row>
    <row r="9" spans="1:21" x14ac:dyDescent="0.25">
      <c r="A9" s="24"/>
      <c r="B9" s="24"/>
      <c r="C9" s="17"/>
      <c r="D9" s="24"/>
      <c r="E9" s="24"/>
      <c r="F9" s="25"/>
      <c r="G9" s="1">
        <v>425</v>
      </c>
      <c r="H9" s="2">
        <v>88.1</v>
      </c>
      <c r="I9" s="2">
        <v>-20.2</v>
      </c>
      <c r="J9" s="2">
        <v>-25.2</v>
      </c>
      <c r="K9" s="2">
        <f t="shared" si="0"/>
        <v>-20.2</v>
      </c>
      <c r="L9" s="8">
        <f t="shared" si="1"/>
        <v>1.4791083881682027E-11</v>
      </c>
      <c r="M9" s="26"/>
      <c r="N9" s="17"/>
      <c r="O9" s="9">
        <f t="shared" si="2"/>
        <v>-25.2</v>
      </c>
      <c r="P9" s="8">
        <f>D8/B8*10^(O9/10)</f>
        <v>5.9392383834572939E-2</v>
      </c>
      <c r="Q9" s="26"/>
      <c r="R9" s="17"/>
      <c r="S9" s="19"/>
      <c r="T9" s="17"/>
      <c r="U9" s="22"/>
    </row>
    <row r="10" spans="1:21" x14ac:dyDescent="0.25">
      <c r="A10" s="24"/>
      <c r="B10" s="24"/>
      <c r="C10" s="17"/>
      <c r="D10" s="24"/>
      <c r="E10" s="24"/>
      <c r="F10" s="25"/>
      <c r="G10" s="1">
        <v>475</v>
      </c>
      <c r="H10" s="2">
        <v>90</v>
      </c>
      <c r="I10" s="2">
        <v>-19</v>
      </c>
      <c r="J10" s="2">
        <v>-22.4</v>
      </c>
      <c r="K10" s="2">
        <f t="shared" si="0"/>
        <v>-19</v>
      </c>
      <c r="L10" s="8">
        <f>10^((K10-H10)/10)</f>
        <v>1.2589254117941641E-11</v>
      </c>
      <c r="M10" s="26"/>
      <c r="N10" s="17"/>
      <c r="O10" s="9">
        <f t="shared" si="2"/>
        <v>-22.4</v>
      </c>
      <c r="P10" s="8">
        <f>D8/B8*10^(O10/10)</f>
        <v>0.11316985434297422</v>
      </c>
      <c r="Q10" s="26"/>
      <c r="R10" s="17"/>
      <c r="S10" s="19"/>
      <c r="T10" s="17"/>
      <c r="U10" s="22"/>
    </row>
    <row r="11" spans="1:21" x14ac:dyDescent="0.25">
      <c r="A11" s="24"/>
      <c r="B11" s="24"/>
      <c r="C11" s="17"/>
      <c r="D11" s="24"/>
      <c r="E11" s="24"/>
      <c r="F11" s="25"/>
      <c r="G11" s="1">
        <v>575</v>
      </c>
      <c r="H11" s="2">
        <v>97</v>
      </c>
      <c r="I11" s="2">
        <v>-21.4</v>
      </c>
      <c r="J11" s="2">
        <v>-26.9</v>
      </c>
      <c r="K11" s="2">
        <f t="shared" si="0"/>
        <v>-21.4</v>
      </c>
      <c r="L11" s="8">
        <f t="shared" si="1"/>
        <v>1.4454397707459267E-12</v>
      </c>
      <c r="M11" s="26"/>
      <c r="N11" s="17"/>
      <c r="O11" s="9">
        <f t="shared" si="2"/>
        <v>-26.9</v>
      </c>
      <c r="P11" s="8">
        <f>D8/B8*10^(O11/10)</f>
        <v>4.0154179578500745E-2</v>
      </c>
      <c r="Q11" s="26"/>
      <c r="R11" s="17"/>
      <c r="S11" s="19"/>
      <c r="T11" s="17"/>
      <c r="U11" s="22"/>
    </row>
    <row r="12" spans="1:21" x14ac:dyDescent="0.25">
      <c r="A12" s="24"/>
      <c r="B12" s="24"/>
      <c r="C12" s="17"/>
      <c r="D12" s="24"/>
      <c r="E12" s="24"/>
      <c r="F12" s="25"/>
      <c r="G12" s="1">
        <v>625</v>
      </c>
      <c r="H12" s="2">
        <v>92</v>
      </c>
      <c r="I12" s="2">
        <v>-25.5</v>
      </c>
      <c r="J12" s="2">
        <v>-29.1</v>
      </c>
      <c r="K12" s="2">
        <f t="shared" si="0"/>
        <v>-25.5</v>
      </c>
      <c r="L12" s="8">
        <f t="shared" si="1"/>
        <v>1.7782794100389204E-12</v>
      </c>
      <c r="M12" s="26"/>
      <c r="N12" s="17"/>
      <c r="O12" s="9">
        <f t="shared" si="2"/>
        <v>-29.1</v>
      </c>
      <c r="P12" s="8">
        <f>D8/B8*10^(O12/10)</f>
        <v>2.4195285825976822E-2</v>
      </c>
      <c r="Q12" s="26"/>
      <c r="R12" s="17"/>
      <c r="S12" s="19"/>
      <c r="T12" s="17"/>
      <c r="U12" s="22"/>
    </row>
    <row r="13" spans="1:21" x14ac:dyDescent="0.25">
      <c r="A13" s="24"/>
      <c r="B13" s="24"/>
      <c r="C13" s="17"/>
      <c r="D13" s="24"/>
      <c r="E13" s="24"/>
      <c r="F13" s="25"/>
      <c r="G13" s="1">
        <v>675</v>
      </c>
      <c r="H13" s="2">
        <v>94.5</v>
      </c>
      <c r="I13" s="2">
        <v>-19.7</v>
      </c>
      <c r="J13" s="2">
        <v>-23.7</v>
      </c>
      <c r="K13" s="2">
        <f t="shared" si="0"/>
        <v>-19.7</v>
      </c>
      <c r="L13" s="8">
        <f t="shared" si="1"/>
        <v>3.8018939632056084E-12</v>
      </c>
      <c r="M13" s="26"/>
      <c r="N13" s="17"/>
      <c r="O13" s="9">
        <f t="shared" si="2"/>
        <v>-23.7</v>
      </c>
      <c r="P13" s="8">
        <f>D8/B8*10^(O13/10)</f>
        <v>8.3893972030979869E-2</v>
      </c>
      <c r="Q13" s="26"/>
      <c r="R13" s="17"/>
      <c r="S13" s="20"/>
      <c r="T13" s="17"/>
      <c r="U13" s="23"/>
    </row>
    <row r="14" spans="1:21" x14ac:dyDescent="0.25">
      <c r="A14" s="24">
        <v>1000</v>
      </c>
      <c r="B14" s="24">
        <v>3</v>
      </c>
      <c r="C14" s="17">
        <v>0.5</v>
      </c>
      <c r="D14" s="24">
        <v>117</v>
      </c>
      <c r="E14" s="24">
        <v>6</v>
      </c>
      <c r="F14" s="25">
        <v>76</v>
      </c>
      <c r="G14" s="1">
        <v>875</v>
      </c>
      <c r="H14" s="2">
        <v>91.1</v>
      </c>
      <c r="I14" s="2">
        <v>-19.7</v>
      </c>
      <c r="J14" s="2">
        <v>-25.1</v>
      </c>
      <c r="K14" s="2">
        <f t="shared" si="0"/>
        <v>-19.7</v>
      </c>
      <c r="L14" s="8">
        <f t="shared" si="1"/>
        <v>8.3176377110266746E-12</v>
      </c>
      <c r="M14" s="26">
        <f>SUM(L14:L19)</f>
        <v>1.4445286910926252E-11</v>
      </c>
      <c r="N14" s="17">
        <f>10*LOG10(M14/E14)</f>
        <v>-116.18425078201723</v>
      </c>
      <c r="O14" s="9">
        <f t="shared" si="2"/>
        <v>-25.1</v>
      </c>
      <c r="P14" s="8">
        <f>D14/B14*10^(O14/10)</f>
        <v>0.12052152186802992</v>
      </c>
      <c r="Q14" s="26">
        <f>SUM(P14:P19)</f>
        <v>0.72370967616096715</v>
      </c>
      <c r="R14" s="17">
        <f>10*LOG10(Q14)</f>
        <v>-1.4043562072033164</v>
      </c>
      <c r="S14" s="18">
        <f>F14+N14-Kzt-H</f>
        <v>-40.18425078201723</v>
      </c>
      <c r="T14" s="17">
        <v>0.8</v>
      </c>
      <c r="U14" s="21">
        <f>T14*10^((S14-R14)/10)</f>
        <v>1.0594989472294463E-4</v>
      </c>
    </row>
    <row r="15" spans="1:21" x14ac:dyDescent="0.25">
      <c r="A15" s="24"/>
      <c r="B15" s="24"/>
      <c r="C15" s="17"/>
      <c r="D15" s="24"/>
      <c r="E15" s="24"/>
      <c r="F15" s="25"/>
      <c r="G15" s="1">
        <v>975</v>
      </c>
      <c r="H15" s="2">
        <v>96.5</v>
      </c>
      <c r="I15" s="2">
        <v>-19.600000000000001</v>
      </c>
      <c r="J15" s="2">
        <v>-23.7</v>
      </c>
      <c r="K15" s="2">
        <f t="shared" si="0"/>
        <v>-19.600000000000001</v>
      </c>
      <c r="L15" s="8">
        <f t="shared" si="1"/>
        <v>2.4547089156850233E-12</v>
      </c>
      <c r="M15" s="26"/>
      <c r="N15" s="17"/>
      <c r="O15" s="9">
        <f t="shared" si="2"/>
        <v>-23.7</v>
      </c>
      <c r="P15" s="8">
        <f>D14/B14*10^(O15/10)</f>
        <v>0.16636601233262108</v>
      </c>
      <c r="Q15" s="26"/>
      <c r="R15" s="17"/>
      <c r="S15" s="19"/>
      <c r="T15" s="17"/>
      <c r="U15" s="22"/>
    </row>
    <row r="16" spans="1:21" x14ac:dyDescent="0.25">
      <c r="A16" s="24"/>
      <c r="B16" s="24"/>
      <c r="C16" s="17"/>
      <c r="D16" s="24"/>
      <c r="E16" s="24"/>
      <c r="F16" s="25"/>
      <c r="G16" s="1">
        <v>1075</v>
      </c>
      <c r="H16" s="2">
        <v>94.6</v>
      </c>
      <c r="I16" s="2">
        <v>-23.4</v>
      </c>
      <c r="J16" s="2">
        <v>-24.7</v>
      </c>
      <c r="K16" s="2">
        <f t="shared" si="0"/>
        <v>-23.4</v>
      </c>
      <c r="L16" s="8">
        <f t="shared" si="1"/>
        <v>1.5848931924611065E-12</v>
      </c>
      <c r="M16" s="26"/>
      <c r="N16" s="17"/>
      <c r="O16" s="9">
        <f t="shared" si="2"/>
        <v>-24.7</v>
      </c>
      <c r="P16" s="8">
        <f>D14/B14*10^(O16/10)</f>
        <v>0.13214922089428893</v>
      </c>
      <c r="Q16" s="26"/>
      <c r="R16" s="17"/>
      <c r="S16" s="19"/>
      <c r="T16" s="17"/>
      <c r="U16" s="22"/>
    </row>
    <row r="17" spans="1:21" x14ac:dyDescent="0.25">
      <c r="A17" s="24"/>
      <c r="B17" s="24"/>
      <c r="C17" s="17"/>
      <c r="D17" s="24"/>
      <c r="E17" s="24"/>
      <c r="F17" s="25"/>
      <c r="G17" s="1">
        <v>1175</v>
      </c>
      <c r="H17" s="2">
        <v>97.8</v>
      </c>
      <c r="I17" s="2">
        <v>-23.5</v>
      </c>
      <c r="J17" s="2">
        <v>-25</v>
      </c>
      <c r="K17" s="2">
        <f t="shared" si="0"/>
        <v>-23.5</v>
      </c>
      <c r="L17" s="8">
        <f t="shared" si="1"/>
        <v>7.4131024130091646E-13</v>
      </c>
      <c r="M17" s="26"/>
      <c r="N17" s="17"/>
      <c r="O17" s="9">
        <f t="shared" si="2"/>
        <v>-25</v>
      </c>
      <c r="P17" s="8">
        <f>D14/B14*10^(O17/10)</f>
        <v>0.12332882874656667</v>
      </c>
      <c r="Q17" s="26"/>
      <c r="R17" s="17"/>
      <c r="S17" s="19"/>
      <c r="T17" s="17"/>
      <c r="U17" s="22"/>
    </row>
    <row r="18" spans="1:21" x14ac:dyDescent="0.25">
      <c r="A18" s="24"/>
      <c r="B18" s="24"/>
      <c r="C18" s="17"/>
      <c r="D18" s="24"/>
      <c r="E18" s="24"/>
      <c r="F18" s="25"/>
      <c r="G18" s="1">
        <v>1275</v>
      </c>
      <c r="H18" s="2">
        <v>100.1</v>
      </c>
      <c r="I18" s="2">
        <v>-19.899999999999999</v>
      </c>
      <c r="J18" s="2">
        <v>-26</v>
      </c>
      <c r="K18" s="2">
        <f t="shared" si="0"/>
        <v>-19.899999999999999</v>
      </c>
      <c r="L18" s="8">
        <f t="shared" si="1"/>
        <v>9.9999999999999998E-13</v>
      </c>
      <c r="M18" s="26"/>
      <c r="N18" s="17"/>
      <c r="O18" s="9">
        <f t="shared" si="2"/>
        <v>-26</v>
      </c>
      <c r="P18" s="8">
        <f>D14/B14*10^(O18/10)</f>
        <v>9.7963570828873525E-2</v>
      </c>
      <c r="Q18" s="26"/>
      <c r="R18" s="17"/>
      <c r="S18" s="19"/>
      <c r="T18" s="17"/>
      <c r="U18" s="22"/>
    </row>
    <row r="19" spans="1:21" x14ac:dyDescent="0.25">
      <c r="A19" s="24"/>
      <c r="B19" s="24"/>
      <c r="C19" s="17"/>
      <c r="D19" s="24"/>
      <c r="E19" s="24"/>
      <c r="F19" s="25"/>
      <c r="G19" s="1">
        <v>1375</v>
      </c>
      <c r="H19" s="2">
        <v>103</v>
      </c>
      <c r="I19" s="2">
        <v>-21.6</v>
      </c>
      <c r="J19" s="2">
        <v>-26.7</v>
      </c>
      <c r="K19" s="2">
        <f t="shared" si="0"/>
        <v>-21.6</v>
      </c>
      <c r="L19" s="8">
        <f t="shared" si="1"/>
        <v>3.4673685045253105E-13</v>
      </c>
      <c r="M19" s="26"/>
      <c r="N19" s="17"/>
      <c r="O19" s="9">
        <f t="shared" si="2"/>
        <v>-26.7</v>
      </c>
      <c r="P19" s="8">
        <f>D14/B14*10^(O19/10)</f>
        <v>8.3380521490587042E-2</v>
      </c>
      <c r="Q19" s="26"/>
      <c r="R19" s="17"/>
      <c r="S19" s="20"/>
      <c r="T19" s="17"/>
      <c r="U19" s="23"/>
    </row>
    <row r="20" spans="1:21" x14ac:dyDescent="0.25">
      <c r="A20" s="24">
        <v>2000</v>
      </c>
      <c r="B20" s="24">
        <v>3</v>
      </c>
      <c r="C20" s="17">
        <v>0.5</v>
      </c>
      <c r="D20" s="24">
        <v>234</v>
      </c>
      <c r="E20" s="24">
        <v>6</v>
      </c>
      <c r="F20" s="25">
        <v>68</v>
      </c>
      <c r="G20" s="1">
        <v>1425</v>
      </c>
      <c r="H20" s="2">
        <v>102.8</v>
      </c>
      <c r="I20" s="2">
        <v>-19.8</v>
      </c>
      <c r="J20" s="2">
        <v>-26.5</v>
      </c>
      <c r="K20" s="2">
        <f t="shared" si="0"/>
        <v>-19.8</v>
      </c>
      <c r="L20" s="8">
        <f t="shared" si="1"/>
        <v>5.4954087385762248E-13</v>
      </c>
      <c r="M20" s="26">
        <f>SUM(L20:L25)</f>
        <v>4.050961820551809E-12</v>
      </c>
      <c r="N20" s="17">
        <f>10*LOG10(M20/E20)</f>
        <v>-121.70593100313313</v>
      </c>
      <c r="O20" s="9">
        <f t="shared" si="2"/>
        <v>-26.5</v>
      </c>
      <c r="P20" s="8">
        <f>D20/B20*10^(O20/10)</f>
        <v>0.17462024880833041</v>
      </c>
      <c r="Q20" s="26">
        <f>SUM(P20:P25)</f>
        <v>0.94511187047701017</v>
      </c>
      <c r="R20" s="17">
        <f>10*LOG10(Q20)</f>
        <v>-0.24516782120033639</v>
      </c>
      <c r="S20" s="18">
        <f>F20+N20-Kzt-H</f>
        <v>-53.705931003133131</v>
      </c>
      <c r="T20" s="17">
        <v>1</v>
      </c>
      <c r="U20" s="21">
        <f>T20*10^((S20-R20)/10)</f>
        <v>4.5073748987266743E-6</v>
      </c>
    </row>
    <row r="21" spans="1:21" x14ac:dyDescent="0.25">
      <c r="A21" s="24"/>
      <c r="B21" s="24"/>
      <c r="C21" s="17"/>
      <c r="D21" s="24"/>
      <c r="E21" s="24"/>
      <c r="F21" s="25"/>
      <c r="G21" s="1">
        <v>1625</v>
      </c>
      <c r="H21" s="2">
        <v>104.1</v>
      </c>
      <c r="I21" s="2">
        <v>-19.100000000000001</v>
      </c>
      <c r="J21" s="2">
        <v>-24.7</v>
      </c>
      <c r="K21" s="2">
        <f t="shared" si="0"/>
        <v>-19.100000000000001</v>
      </c>
      <c r="L21" s="8">
        <f t="shared" si="1"/>
        <v>4.7863009232263857E-13</v>
      </c>
      <c r="M21" s="26"/>
      <c r="N21" s="17"/>
      <c r="O21" s="9">
        <f t="shared" si="2"/>
        <v>-24.7</v>
      </c>
      <c r="P21" s="8">
        <f>D20/B20*10^(O21/10)</f>
        <v>0.26429844178857786</v>
      </c>
      <c r="Q21" s="26"/>
      <c r="R21" s="17"/>
      <c r="S21" s="19"/>
      <c r="T21" s="17"/>
      <c r="U21" s="22"/>
    </row>
    <row r="22" spans="1:21" x14ac:dyDescent="0.25">
      <c r="A22" s="24"/>
      <c r="B22" s="24"/>
      <c r="C22" s="17"/>
      <c r="D22" s="24"/>
      <c r="E22" s="24"/>
      <c r="F22" s="25"/>
      <c r="G22" s="1">
        <v>1825</v>
      </c>
      <c r="H22" s="2">
        <v>107.6</v>
      </c>
      <c r="I22" s="2">
        <v>-18.7</v>
      </c>
      <c r="J22" s="2">
        <v>-31.5</v>
      </c>
      <c r="K22" s="2">
        <f t="shared" si="0"/>
        <v>-18.7</v>
      </c>
      <c r="L22" s="8">
        <f t="shared" si="1"/>
        <v>2.3442288153199217E-13</v>
      </c>
      <c r="M22" s="26"/>
      <c r="N22" s="17"/>
      <c r="O22" s="9">
        <f t="shared" si="2"/>
        <v>-31.5</v>
      </c>
      <c r="P22" s="8">
        <f>D20/B20*10^(O22/10)</f>
        <v>5.5219771181962751E-2</v>
      </c>
      <c r="Q22" s="26"/>
      <c r="R22" s="17"/>
      <c r="S22" s="19"/>
      <c r="T22" s="17"/>
      <c r="U22" s="22"/>
    </row>
    <row r="23" spans="1:21" x14ac:dyDescent="0.25">
      <c r="A23" s="24"/>
      <c r="B23" s="24"/>
      <c r="C23" s="17"/>
      <c r="D23" s="24"/>
      <c r="E23" s="24"/>
      <c r="F23" s="25"/>
      <c r="G23" s="1">
        <v>2125</v>
      </c>
      <c r="H23" s="2">
        <v>104.2</v>
      </c>
      <c r="I23" s="2">
        <v>-23</v>
      </c>
      <c r="J23" s="2">
        <v>-26.8</v>
      </c>
      <c r="K23" s="2">
        <f t="shared" si="0"/>
        <v>-23</v>
      </c>
      <c r="L23" s="8">
        <f t="shared" si="1"/>
        <v>1.9054607179632417E-13</v>
      </c>
      <c r="M23" s="26"/>
      <c r="N23" s="17"/>
      <c r="O23" s="9">
        <f t="shared" si="2"/>
        <v>-26.8</v>
      </c>
      <c r="P23" s="8">
        <f>D20/B20*10^(O23/10)</f>
        <v>0.16296509820661489</v>
      </c>
      <c r="Q23" s="26"/>
      <c r="R23" s="17"/>
      <c r="S23" s="19"/>
      <c r="T23" s="17"/>
      <c r="U23" s="22"/>
    </row>
    <row r="24" spans="1:21" x14ac:dyDescent="0.25">
      <c r="A24" s="24"/>
      <c r="B24" s="24"/>
      <c r="C24" s="17"/>
      <c r="D24" s="24"/>
      <c r="E24" s="24"/>
      <c r="F24" s="25"/>
      <c r="G24" s="1">
        <v>2425</v>
      </c>
      <c r="H24" s="2">
        <v>93.7</v>
      </c>
      <c r="I24" s="2">
        <v>-23.3</v>
      </c>
      <c r="J24" s="2">
        <v>-25.9</v>
      </c>
      <c r="K24" s="2">
        <f t="shared" si="0"/>
        <v>-23.3</v>
      </c>
      <c r="L24" s="8">
        <f t="shared" si="1"/>
        <v>1.9952623149688759E-12</v>
      </c>
      <c r="M24" s="26"/>
      <c r="N24" s="17"/>
      <c r="O24" s="9">
        <f t="shared" si="2"/>
        <v>-25.9</v>
      </c>
      <c r="P24" s="8">
        <f>D20/B20*10^(O24/10)</f>
        <v>0.20049087105597135</v>
      </c>
      <c r="Q24" s="26"/>
      <c r="R24" s="17"/>
      <c r="S24" s="19"/>
      <c r="T24" s="17"/>
      <c r="U24" s="22"/>
    </row>
    <row r="25" spans="1:21" x14ac:dyDescent="0.25">
      <c r="A25" s="24"/>
      <c r="B25" s="24"/>
      <c r="C25" s="17"/>
      <c r="D25" s="24"/>
      <c r="E25" s="24"/>
      <c r="F25" s="25"/>
      <c r="G25" s="1">
        <v>2775</v>
      </c>
      <c r="H25" s="2">
        <v>100.2</v>
      </c>
      <c r="I25" s="2">
        <v>-22</v>
      </c>
      <c r="J25" s="2">
        <v>-29.5</v>
      </c>
      <c r="K25" s="2">
        <f t="shared" si="0"/>
        <v>-22</v>
      </c>
      <c r="L25" s="8">
        <f t="shared" si="1"/>
        <v>6.025595860743553E-13</v>
      </c>
      <c r="M25" s="26"/>
      <c r="N25" s="17"/>
      <c r="O25" s="9">
        <f t="shared" si="2"/>
        <v>-29.5</v>
      </c>
      <c r="P25" s="8">
        <f>D20/B20*10^(O25/10)</f>
        <v>8.7517439435553054E-2</v>
      </c>
      <c r="Q25" s="26"/>
      <c r="R25" s="17"/>
      <c r="S25" s="20"/>
      <c r="T25" s="17"/>
      <c r="U25" s="23"/>
    </row>
    <row r="26" spans="1:21" x14ac:dyDescent="0.25">
      <c r="A26" s="24">
        <v>4000</v>
      </c>
      <c r="B26" s="24">
        <v>3</v>
      </c>
      <c r="C26" s="17">
        <v>0.5</v>
      </c>
      <c r="D26" s="24">
        <v>470</v>
      </c>
      <c r="E26" s="24">
        <v>6</v>
      </c>
      <c r="F26" s="25">
        <v>62</v>
      </c>
      <c r="G26" s="1">
        <v>2825</v>
      </c>
      <c r="H26" s="2">
        <v>99.4</v>
      </c>
      <c r="I26" s="2">
        <v>-21.9</v>
      </c>
      <c r="J26" s="2">
        <v>-27</v>
      </c>
      <c r="K26" s="2">
        <f t="shared" si="0"/>
        <v>-21.9</v>
      </c>
      <c r="L26" s="8">
        <f t="shared" si="1"/>
        <v>7.4131024130091393E-13</v>
      </c>
      <c r="M26" s="26">
        <f>SUM(L26:L31)</f>
        <v>2.5112910764112413E-12</v>
      </c>
      <c r="N26" s="17">
        <f>10*LOG10(M26/E26)</f>
        <v>-123.78254196948754</v>
      </c>
      <c r="O26" s="9">
        <f t="shared" si="2"/>
        <v>-27</v>
      </c>
      <c r="P26" s="8">
        <f>D26/B26*10^(O26/10)</f>
        <v>0.31259109601179086</v>
      </c>
      <c r="Q26" s="26">
        <f>SUM(P26:P31)</f>
        <v>2.1565614087627991</v>
      </c>
      <c r="R26" s="17">
        <f>10*LOG10(Q26)</f>
        <v>3.3376182932969112</v>
      </c>
      <c r="S26" s="18">
        <f>F26+N26-Kzt-H</f>
        <v>-61.782541969487539</v>
      </c>
      <c r="T26" s="17">
        <v>0.9</v>
      </c>
      <c r="U26" s="21">
        <f>T26*10^((S26-R26)/10)</f>
        <v>2.7683849727997439E-7</v>
      </c>
    </row>
    <row r="27" spans="1:21" x14ac:dyDescent="0.25">
      <c r="A27" s="24"/>
      <c r="B27" s="24"/>
      <c r="C27" s="17"/>
      <c r="D27" s="24"/>
      <c r="E27" s="24"/>
      <c r="F27" s="25"/>
      <c r="G27" s="1">
        <v>3425</v>
      </c>
      <c r="H27" s="2">
        <v>103.5</v>
      </c>
      <c r="I27" s="2">
        <v>-23.8</v>
      </c>
      <c r="J27" s="2">
        <v>-25.3</v>
      </c>
      <c r="K27" s="2">
        <f t="shared" si="0"/>
        <v>-23.8</v>
      </c>
      <c r="L27" s="8">
        <f t="shared" si="1"/>
        <v>1.8620871366628623E-13</v>
      </c>
      <c r="M27" s="26"/>
      <c r="N27" s="17"/>
      <c r="O27" s="9">
        <f t="shared" si="2"/>
        <v>-25.3</v>
      </c>
      <c r="P27" s="8">
        <f>D26/B26*10^(O27/10)</f>
        <v>0.46235611217773342</v>
      </c>
      <c r="Q27" s="26"/>
      <c r="R27" s="17"/>
      <c r="S27" s="19"/>
      <c r="T27" s="17"/>
      <c r="U27" s="22"/>
    </row>
    <row r="28" spans="1:21" x14ac:dyDescent="0.25">
      <c r="A28" s="24"/>
      <c r="B28" s="24"/>
      <c r="C28" s="17"/>
      <c r="D28" s="24"/>
      <c r="E28" s="24"/>
      <c r="F28" s="25"/>
      <c r="G28" s="1">
        <v>4025</v>
      </c>
      <c r="H28" s="2">
        <v>103.6</v>
      </c>
      <c r="I28" s="2">
        <v>-25.7</v>
      </c>
      <c r="J28" s="2">
        <v>-30.3</v>
      </c>
      <c r="K28" s="2">
        <f t="shared" si="0"/>
        <v>-25.7</v>
      </c>
      <c r="L28" s="8">
        <f t="shared" si="1"/>
        <v>1.1748975549395328E-13</v>
      </c>
      <c r="M28" s="26"/>
      <c r="N28" s="17"/>
      <c r="O28" s="9">
        <f t="shared" si="2"/>
        <v>-30.3</v>
      </c>
      <c r="P28" s="8">
        <f>D26/B26*10^(O28/10)</f>
        <v>0.14620984045819507</v>
      </c>
      <c r="Q28" s="26"/>
      <c r="R28" s="17"/>
      <c r="S28" s="19"/>
      <c r="T28" s="17"/>
      <c r="U28" s="22"/>
    </row>
    <row r="29" spans="1:21" x14ac:dyDescent="0.25">
      <c r="A29" s="24"/>
      <c r="B29" s="24"/>
      <c r="C29" s="17"/>
      <c r="D29" s="24"/>
      <c r="E29" s="24"/>
      <c r="F29" s="25"/>
      <c r="G29" s="1">
        <v>4625</v>
      </c>
      <c r="H29" s="2">
        <v>105.6</v>
      </c>
      <c r="I29" s="2">
        <v>-24.4</v>
      </c>
      <c r="J29" s="2">
        <v>-27.8</v>
      </c>
      <c r="K29" s="2">
        <f t="shared" si="0"/>
        <v>-24.4</v>
      </c>
      <c r="L29" s="8">
        <f t="shared" si="1"/>
        <v>1E-13</v>
      </c>
      <c r="M29" s="26"/>
      <c r="N29" s="17"/>
      <c r="O29" s="9">
        <f t="shared" si="2"/>
        <v>-27.8</v>
      </c>
      <c r="P29" s="8">
        <f>D26/B26*10^(O29/10)</f>
        <v>0.26000194883188427</v>
      </c>
      <c r="Q29" s="26"/>
      <c r="R29" s="17"/>
      <c r="S29" s="19"/>
      <c r="T29" s="17"/>
      <c r="U29" s="22"/>
    </row>
    <row r="30" spans="1:21" x14ac:dyDescent="0.25">
      <c r="A30" s="24"/>
      <c r="B30" s="24"/>
      <c r="C30" s="17"/>
      <c r="D30" s="24"/>
      <c r="E30" s="24"/>
      <c r="F30" s="25"/>
      <c r="G30" s="1">
        <v>5225</v>
      </c>
      <c r="H30" s="2">
        <v>103.5</v>
      </c>
      <c r="I30" s="2">
        <v>-20.6</v>
      </c>
      <c r="J30" s="2">
        <v>-22.5</v>
      </c>
      <c r="K30" s="2">
        <f t="shared" si="0"/>
        <v>-20.6</v>
      </c>
      <c r="L30" s="8">
        <f t="shared" si="1"/>
        <v>3.8904514499427974E-13</v>
      </c>
      <c r="M30" s="26"/>
      <c r="N30" s="17"/>
      <c r="O30" s="9">
        <f t="shared" si="2"/>
        <v>-22.5</v>
      </c>
      <c r="P30" s="8">
        <f>D26/B26*10^(O30/10)</f>
        <v>0.88100140946487948</v>
      </c>
      <c r="Q30" s="26"/>
      <c r="R30" s="17"/>
      <c r="S30" s="19"/>
      <c r="T30" s="17"/>
      <c r="U30" s="22"/>
    </row>
    <row r="31" spans="1:21" x14ac:dyDescent="0.25">
      <c r="A31" s="24"/>
      <c r="B31" s="24"/>
      <c r="C31" s="17"/>
      <c r="D31" s="24"/>
      <c r="E31" s="24"/>
      <c r="F31" s="25"/>
      <c r="G31" s="1">
        <v>5625</v>
      </c>
      <c r="H31" s="2">
        <v>99.5</v>
      </c>
      <c r="I31" s="2">
        <v>-20.6</v>
      </c>
      <c r="J31" s="2">
        <v>-32.200000000000003</v>
      </c>
      <c r="K31" s="2">
        <f t="shared" si="0"/>
        <v>-20.6</v>
      </c>
      <c r="L31" s="8">
        <f t="shared" si="1"/>
        <v>9.7723722095580816E-13</v>
      </c>
      <c r="M31" s="26"/>
      <c r="N31" s="17"/>
      <c r="O31" s="9">
        <f t="shared" si="2"/>
        <v>-32.200000000000003</v>
      </c>
      <c r="P31" s="8">
        <f>D26/B26*10^(O31/10)</f>
        <v>9.4401001818315927E-2</v>
      </c>
      <c r="Q31" s="26"/>
      <c r="R31" s="17"/>
      <c r="S31" s="20"/>
      <c r="T31" s="17"/>
      <c r="U31" s="23"/>
    </row>
    <row r="32" spans="1:21" x14ac:dyDescent="0.25">
      <c r="A32" s="24">
        <v>8000</v>
      </c>
      <c r="B32" s="24">
        <v>3</v>
      </c>
      <c r="C32" s="17">
        <v>0.5</v>
      </c>
      <c r="D32" s="24">
        <v>943</v>
      </c>
      <c r="E32" s="24">
        <v>6</v>
      </c>
      <c r="F32" s="25">
        <v>54</v>
      </c>
      <c r="G32" s="1">
        <v>6025</v>
      </c>
      <c r="H32" s="2">
        <v>95</v>
      </c>
      <c r="I32" s="2">
        <v>-25.9</v>
      </c>
      <c r="J32" s="2">
        <v>-26</v>
      </c>
      <c r="K32" s="2">
        <f t="shared" si="0"/>
        <v>-25.9</v>
      </c>
      <c r="L32" s="8">
        <f t="shared" si="1"/>
        <v>8.1283051616409777E-13</v>
      </c>
      <c r="M32" s="26">
        <f>SUM(L32:L37)</f>
        <v>1.88905291882109E-11</v>
      </c>
      <c r="N32" s="17">
        <f>10*LOG10(M32/E32)</f>
        <v>-115.01907126220371</v>
      </c>
      <c r="O32" s="9">
        <f t="shared" si="2"/>
        <v>-26</v>
      </c>
      <c r="P32" s="8">
        <f>D32/B32*10^(O32/10)</f>
        <v>0.78956963497117716</v>
      </c>
      <c r="Q32" s="26">
        <f>SUM(P32:P37)</f>
        <v>4.2977416015817775</v>
      </c>
      <c r="R32" s="17">
        <f>10*LOG10(Q32)</f>
        <v>6.3324030031766281</v>
      </c>
      <c r="S32" s="18">
        <f>F32+N32-Kzt-H</f>
        <v>-61.01907126220371</v>
      </c>
      <c r="T32" s="17">
        <v>0.7</v>
      </c>
      <c r="U32" s="21">
        <f>T32*10^((S32-R32)/10)</f>
        <v>1.2881030645687218E-7</v>
      </c>
    </row>
    <row r="33" spans="1:21" x14ac:dyDescent="0.25">
      <c r="A33" s="24"/>
      <c r="B33" s="24"/>
      <c r="C33" s="17"/>
      <c r="D33" s="24"/>
      <c r="E33" s="24"/>
      <c r="F33" s="25"/>
      <c r="G33" s="1">
        <v>7025</v>
      </c>
      <c r="H33" s="2">
        <v>94.8</v>
      </c>
      <c r="I33" s="2">
        <v>-21.4</v>
      </c>
      <c r="J33" s="2">
        <v>-27.8</v>
      </c>
      <c r="K33" s="2">
        <f t="shared" si="0"/>
        <v>-21.4</v>
      </c>
      <c r="L33" s="8">
        <f t="shared" si="1"/>
        <v>2.3988329190194925E-12</v>
      </c>
      <c r="M33" s="26"/>
      <c r="N33" s="17"/>
      <c r="O33" s="9">
        <f t="shared" si="2"/>
        <v>-27.8</v>
      </c>
      <c r="P33" s="8">
        <f>D32/B32*10^(O33/10)</f>
        <v>0.52166348457120604</v>
      </c>
      <c r="Q33" s="26"/>
      <c r="R33" s="17"/>
      <c r="S33" s="19"/>
      <c r="T33" s="17"/>
      <c r="U33" s="22"/>
    </row>
    <row r="34" spans="1:21" x14ac:dyDescent="0.25">
      <c r="A34" s="24"/>
      <c r="B34" s="24"/>
      <c r="C34" s="17"/>
      <c r="D34" s="24"/>
      <c r="E34" s="24"/>
      <c r="F34" s="25"/>
      <c r="G34" s="1">
        <v>8025</v>
      </c>
      <c r="H34" s="2">
        <v>101.9</v>
      </c>
      <c r="I34" s="2">
        <v>-20.399999999999999</v>
      </c>
      <c r="J34" s="2">
        <v>-25.4</v>
      </c>
      <c r="K34" s="2">
        <f t="shared" si="0"/>
        <v>-20.399999999999999</v>
      </c>
      <c r="L34" s="8">
        <f t="shared" si="1"/>
        <v>5.8884365535558666E-13</v>
      </c>
      <c r="M34" s="26"/>
      <c r="N34" s="17"/>
      <c r="O34" s="9">
        <f t="shared" si="2"/>
        <v>-25.4</v>
      </c>
      <c r="P34" s="8">
        <f>D32/B32*10^(O34/10)</f>
        <v>0.90654723581612917</v>
      </c>
      <c r="Q34" s="26"/>
      <c r="R34" s="17"/>
      <c r="S34" s="19"/>
      <c r="T34" s="17"/>
      <c r="U34" s="22"/>
    </row>
    <row r="35" spans="1:21" x14ac:dyDescent="0.25">
      <c r="A35" s="24"/>
      <c r="B35" s="24"/>
      <c r="C35" s="17"/>
      <c r="D35" s="24"/>
      <c r="E35" s="24"/>
      <c r="F35" s="25"/>
      <c r="G35" s="1">
        <v>9025</v>
      </c>
      <c r="H35" s="2">
        <v>93.2</v>
      </c>
      <c r="I35" s="2">
        <v>-23.9</v>
      </c>
      <c r="J35" s="2">
        <v>-24.2</v>
      </c>
      <c r="K35" s="2">
        <f t="shared" si="0"/>
        <v>-23.9</v>
      </c>
      <c r="L35" s="8">
        <f t="shared" si="1"/>
        <v>1.9498445997580419E-12</v>
      </c>
      <c r="M35" s="26"/>
      <c r="N35" s="17"/>
      <c r="O35" s="9">
        <f t="shared" si="2"/>
        <v>-24.2</v>
      </c>
      <c r="P35" s="8">
        <f>D32/B32*10^(O35/10)</f>
        <v>1.1950620024342973</v>
      </c>
      <c r="Q35" s="26"/>
      <c r="R35" s="17"/>
      <c r="S35" s="19"/>
      <c r="T35" s="17"/>
      <c r="U35" s="22"/>
    </row>
    <row r="36" spans="1:21" x14ac:dyDescent="0.25">
      <c r="A36" s="24"/>
      <c r="B36" s="24"/>
      <c r="C36" s="17"/>
      <c r="D36" s="24"/>
      <c r="E36" s="24"/>
      <c r="F36" s="25"/>
      <c r="G36" s="1">
        <v>10025</v>
      </c>
      <c r="H36" s="2">
        <v>88.3</v>
      </c>
      <c r="I36" s="2">
        <v>-24.7</v>
      </c>
      <c r="J36" s="2">
        <v>-28</v>
      </c>
      <c r="K36" s="2">
        <f t="shared" si="0"/>
        <v>-24.7</v>
      </c>
      <c r="L36" s="8">
        <f t="shared" si="1"/>
        <v>5.0118723362726945E-12</v>
      </c>
      <c r="M36" s="26"/>
      <c r="N36" s="17"/>
      <c r="O36" s="9">
        <f t="shared" si="2"/>
        <v>-28</v>
      </c>
      <c r="P36" s="8">
        <f>D32/B32*10^(O36/10)</f>
        <v>0.49818476016360996</v>
      </c>
      <c r="Q36" s="26"/>
      <c r="R36" s="17"/>
      <c r="S36" s="19"/>
      <c r="T36" s="17"/>
      <c r="U36" s="22"/>
    </row>
    <row r="37" spans="1:21" x14ac:dyDescent="0.25">
      <c r="A37" s="24"/>
      <c r="B37" s="24"/>
      <c r="C37" s="17"/>
      <c r="D37" s="24"/>
      <c r="E37" s="24"/>
      <c r="F37" s="25"/>
      <c r="G37" s="1">
        <v>11025</v>
      </c>
      <c r="H37" s="2">
        <v>86</v>
      </c>
      <c r="I37" s="2">
        <v>-24.9</v>
      </c>
      <c r="J37" s="2">
        <v>-29.1</v>
      </c>
      <c r="K37" s="2">
        <f t="shared" si="0"/>
        <v>-24.9</v>
      </c>
      <c r="L37" s="8">
        <f t="shared" si="1"/>
        <v>8.1283051616409864E-12</v>
      </c>
      <c r="M37" s="26"/>
      <c r="N37" s="17"/>
      <c r="O37" s="9">
        <f t="shared" si="2"/>
        <v>-29.1</v>
      </c>
      <c r="P37" s="8">
        <f>D32/B32*10^(O37/10)</f>
        <v>0.38671448362535832</v>
      </c>
      <c r="Q37" s="26"/>
      <c r="R37" s="17"/>
      <c r="S37" s="20"/>
      <c r="T37" s="17"/>
      <c r="U37" s="23"/>
    </row>
    <row r="38" spans="1:21" x14ac:dyDescent="0.25">
      <c r="A38" s="24" t="s">
        <v>20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12">
        <f>U38</f>
        <v>6.5433675327111668E-2</v>
      </c>
      <c r="T38" s="2"/>
      <c r="U38" s="8">
        <f>0.8*SQRT(SUM(U4:U37))</f>
        <v>6.5433675327111668E-2</v>
      </c>
    </row>
    <row r="39" spans="1:21" x14ac:dyDescent="0.25">
      <c r="A39" s="27" t="s">
        <v>93</v>
      </c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9"/>
    </row>
    <row r="40" spans="1:21" x14ac:dyDescent="0.25">
      <c r="A40" s="24">
        <v>250</v>
      </c>
      <c r="B40" s="24">
        <v>3</v>
      </c>
      <c r="C40" s="17">
        <v>0.5</v>
      </c>
      <c r="D40" s="24">
        <v>38</v>
      </c>
      <c r="E40" s="24">
        <v>4</v>
      </c>
      <c r="F40" s="25">
        <v>84</v>
      </c>
      <c r="G40" s="1">
        <v>175</v>
      </c>
      <c r="H40" s="2">
        <v>84.8</v>
      </c>
      <c r="I40" s="2">
        <v>-18.899999999999999</v>
      </c>
      <c r="J40" s="2">
        <v>-23.8</v>
      </c>
      <c r="K40" s="2">
        <f>I40</f>
        <v>-18.899999999999999</v>
      </c>
      <c r="L40" s="8">
        <f>10^((K40-H40)/10)</f>
        <v>4.2657951880159247E-11</v>
      </c>
      <c r="M40" s="26">
        <f>SUM(L40:L43)</f>
        <v>7.606248995300015E-11</v>
      </c>
      <c r="N40" s="17">
        <f>10*LOG10(M40/E40)</f>
        <v>-107.20889453119239</v>
      </c>
      <c r="O40" s="9">
        <f>J40</f>
        <v>-23.8</v>
      </c>
      <c r="P40" s="8">
        <f>D40/B40*10^(O40/10)</f>
        <v>5.2803455239575796E-2</v>
      </c>
      <c r="Q40" s="26">
        <f>SUM(P40:P43)</f>
        <v>0.1172804444062696</v>
      </c>
      <c r="R40" s="17">
        <f>10*LOG10(Q40)</f>
        <v>-9.3077439704448075</v>
      </c>
      <c r="S40" s="18">
        <f>F40+N40-Kzt-H</f>
        <v>-23.208894531192385</v>
      </c>
      <c r="T40" s="17">
        <v>0.2</v>
      </c>
      <c r="U40" s="21">
        <f>T40*10^((S40-R40)/10)</f>
        <v>8.1454473261511826E-3</v>
      </c>
    </row>
    <row r="41" spans="1:21" x14ac:dyDescent="0.25">
      <c r="A41" s="24"/>
      <c r="B41" s="24"/>
      <c r="C41" s="17"/>
      <c r="D41" s="24"/>
      <c r="E41" s="24"/>
      <c r="F41" s="25"/>
      <c r="G41" s="1">
        <v>225</v>
      </c>
      <c r="H41" s="2">
        <v>90</v>
      </c>
      <c r="I41" s="2">
        <v>-16.899999999999999</v>
      </c>
      <c r="J41" s="2">
        <v>-28.2</v>
      </c>
      <c r="K41" s="2">
        <f t="shared" ref="K41:K73" si="3">I41</f>
        <v>-16.899999999999999</v>
      </c>
      <c r="L41" s="8">
        <f t="shared" ref="L41:L42" si="4">10^((K41-H41)/10)</f>
        <v>2.04173794466952E-11</v>
      </c>
      <c r="M41" s="26"/>
      <c r="N41" s="17"/>
      <c r="O41" s="9">
        <f t="shared" ref="O41:O73" si="5">J41</f>
        <v>-28.2</v>
      </c>
      <c r="P41" s="8">
        <f>D40/B40*10^(O41/10)</f>
        <v>1.9171775813525291E-2</v>
      </c>
      <c r="Q41" s="26"/>
      <c r="R41" s="17"/>
      <c r="S41" s="19"/>
      <c r="T41" s="17"/>
      <c r="U41" s="22"/>
    </row>
    <row r="42" spans="1:21" x14ac:dyDescent="0.25">
      <c r="A42" s="24"/>
      <c r="B42" s="24"/>
      <c r="C42" s="17"/>
      <c r="D42" s="24"/>
      <c r="E42" s="24"/>
      <c r="F42" s="25"/>
      <c r="G42" s="1">
        <v>275</v>
      </c>
      <c r="H42" s="2">
        <v>92.2</v>
      </c>
      <c r="I42" s="2">
        <v>-17.7</v>
      </c>
      <c r="J42" s="2">
        <v>-26.1</v>
      </c>
      <c r="K42" s="2">
        <f t="shared" si="3"/>
        <v>-17.7</v>
      </c>
      <c r="L42" s="8">
        <f t="shared" si="4"/>
        <v>1.0232929922807526E-11</v>
      </c>
      <c r="M42" s="26"/>
      <c r="N42" s="17"/>
      <c r="O42" s="9">
        <f t="shared" si="5"/>
        <v>-26.1</v>
      </c>
      <c r="P42" s="8">
        <f>D40/B40*10^(O42/10)</f>
        <v>3.1092979598677E-2</v>
      </c>
      <c r="Q42" s="26"/>
      <c r="R42" s="17"/>
      <c r="S42" s="19"/>
      <c r="T42" s="17"/>
      <c r="U42" s="22"/>
    </row>
    <row r="43" spans="1:21" x14ac:dyDescent="0.25">
      <c r="A43" s="24"/>
      <c r="B43" s="24"/>
      <c r="C43" s="17"/>
      <c r="D43" s="24"/>
      <c r="E43" s="24"/>
      <c r="F43" s="25"/>
      <c r="G43" s="1">
        <v>325</v>
      </c>
      <c r="H43" s="2">
        <v>93.3</v>
      </c>
      <c r="I43" s="2">
        <v>-22.3</v>
      </c>
      <c r="J43" s="2">
        <v>-29.5</v>
      </c>
      <c r="K43" s="2">
        <f t="shared" si="3"/>
        <v>-22.3</v>
      </c>
      <c r="L43" s="8">
        <f>10^((K43-H43)/10)</f>
        <v>2.7542287033381671E-12</v>
      </c>
      <c r="M43" s="26"/>
      <c r="N43" s="17"/>
      <c r="O43" s="9">
        <f t="shared" si="5"/>
        <v>-29.5</v>
      </c>
      <c r="P43" s="8">
        <f>D40/B40*10^(O43/10)</f>
        <v>1.4212233754491521E-2</v>
      </c>
      <c r="Q43" s="26"/>
      <c r="R43" s="17"/>
      <c r="S43" s="20"/>
      <c r="T43" s="17"/>
      <c r="U43" s="23"/>
    </row>
    <row r="44" spans="1:21" x14ac:dyDescent="0.25">
      <c r="A44" s="24">
        <v>500</v>
      </c>
      <c r="B44" s="24">
        <v>3</v>
      </c>
      <c r="C44" s="17">
        <v>0.5</v>
      </c>
      <c r="D44" s="24">
        <v>59</v>
      </c>
      <c r="E44" s="24">
        <v>6</v>
      </c>
      <c r="F44" s="25">
        <v>84</v>
      </c>
      <c r="G44" s="1">
        <v>375</v>
      </c>
      <c r="H44" s="2">
        <v>91.9</v>
      </c>
      <c r="I44" s="2">
        <v>-23.3</v>
      </c>
      <c r="J44" s="2">
        <v>-31.8</v>
      </c>
      <c r="K44" s="2">
        <f t="shared" si="3"/>
        <v>-23.3</v>
      </c>
      <c r="L44" s="8">
        <f t="shared" ref="L44:L45" si="6">10^((K44-H44)/10)</f>
        <v>3.0199517204020161E-12</v>
      </c>
      <c r="M44" s="26">
        <f>SUM(L44:L49)</f>
        <v>2.6804954267104986E-11</v>
      </c>
      <c r="N44" s="17">
        <f>10*LOG10(M44/E44)</f>
        <v>-113.49936179787096</v>
      </c>
      <c r="O44" s="9">
        <f t="shared" si="5"/>
        <v>-31.8</v>
      </c>
      <c r="P44" s="8">
        <f>D44/B44*10^(O44/10)</f>
        <v>1.2993637810816045E-2</v>
      </c>
      <c r="Q44" s="26">
        <f>SUM(P44:P49)</f>
        <v>0.25707304642845769</v>
      </c>
      <c r="R44" s="17">
        <f>10*LOG10(Q44)</f>
        <v>-5.8994345583878331</v>
      </c>
      <c r="S44" s="18">
        <f>F44+N44-Kzt-H</f>
        <v>-29.499361797870961</v>
      </c>
      <c r="T44" s="17">
        <v>0.5</v>
      </c>
      <c r="U44" s="21">
        <f>T44*10^((S44-R44)/10)</f>
        <v>2.1826157278450756E-3</v>
      </c>
    </row>
    <row r="45" spans="1:21" x14ac:dyDescent="0.25">
      <c r="A45" s="24"/>
      <c r="B45" s="24"/>
      <c r="C45" s="17"/>
      <c r="D45" s="24"/>
      <c r="E45" s="24"/>
      <c r="F45" s="25"/>
      <c r="G45" s="1">
        <v>425</v>
      </c>
      <c r="H45" s="2">
        <v>88.1</v>
      </c>
      <c r="I45" s="2">
        <v>-21</v>
      </c>
      <c r="J45" s="2">
        <v>-25</v>
      </c>
      <c r="K45" s="2">
        <f t="shared" si="3"/>
        <v>-21</v>
      </c>
      <c r="L45" s="8">
        <f t="shared" si="6"/>
        <v>1.2302687708123787E-11</v>
      </c>
      <c r="M45" s="26"/>
      <c r="N45" s="17"/>
      <c r="O45" s="9">
        <f t="shared" si="5"/>
        <v>-25</v>
      </c>
      <c r="P45" s="8">
        <f>D44/B44*10^(O45/10)</f>
        <v>6.2191460649978075E-2</v>
      </c>
      <c r="Q45" s="26"/>
      <c r="R45" s="17"/>
      <c r="S45" s="19"/>
      <c r="T45" s="17"/>
      <c r="U45" s="22"/>
    </row>
    <row r="46" spans="1:21" x14ac:dyDescent="0.25">
      <c r="A46" s="24"/>
      <c r="B46" s="24"/>
      <c r="C46" s="17"/>
      <c r="D46" s="24"/>
      <c r="E46" s="24"/>
      <c r="F46" s="25"/>
      <c r="G46" s="1">
        <v>475</v>
      </c>
      <c r="H46" s="2">
        <v>90</v>
      </c>
      <c r="I46" s="2">
        <v>-23.7</v>
      </c>
      <c r="J46" s="2">
        <v>-25.6</v>
      </c>
      <c r="K46" s="2">
        <f t="shared" si="3"/>
        <v>-23.7</v>
      </c>
      <c r="L46" s="8">
        <f>10^((K46-H46)/10)</f>
        <v>4.2657951880159045E-12</v>
      </c>
      <c r="M46" s="26"/>
      <c r="N46" s="17"/>
      <c r="O46" s="9">
        <f t="shared" si="5"/>
        <v>-25.6</v>
      </c>
      <c r="P46" s="8">
        <f>D44/B44*10^(O46/10)</f>
        <v>5.4166497832317251E-2</v>
      </c>
      <c r="Q46" s="26"/>
      <c r="R46" s="17"/>
      <c r="S46" s="19"/>
      <c r="T46" s="17"/>
      <c r="U46" s="22"/>
    </row>
    <row r="47" spans="1:21" x14ac:dyDescent="0.25">
      <c r="A47" s="24"/>
      <c r="B47" s="24"/>
      <c r="C47" s="17"/>
      <c r="D47" s="24"/>
      <c r="E47" s="24"/>
      <c r="F47" s="25"/>
      <c r="G47" s="1">
        <v>575</v>
      </c>
      <c r="H47" s="2">
        <v>97</v>
      </c>
      <c r="I47" s="2">
        <v>-24.5</v>
      </c>
      <c r="J47" s="2">
        <v>-28</v>
      </c>
      <c r="K47" s="2">
        <f t="shared" si="3"/>
        <v>-24.5</v>
      </c>
      <c r="L47" s="8">
        <f t="shared" ref="L47:L73" si="7">10^((K47-H47)/10)</f>
        <v>7.0794578438413455E-13</v>
      </c>
      <c r="M47" s="26"/>
      <c r="N47" s="17"/>
      <c r="O47" s="9">
        <f t="shared" si="5"/>
        <v>-28</v>
      </c>
      <c r="P47" s="8">
        <f>D44/B44*10^(O47/10)</f>
        <v>3.1169566118401899E-2</v>
      </c>
      <c r="Q47" s="26"/>
      <c r="R47" s="17"/>
      <c r="S47" s="19"/>
      <c r="T47" s="17"/>
      <c r="U47" s="22"/>
    </row>
    <row r="48" spans="1:21" x14ac:dyDescent="0.25">
      <c r="A48" s="24"/>
      <c r="B48" s="24"/>
      <c r="C48" s="17"/>
      <c r="D48" s="24"/>
      <c r="E48" s="24"/>
      <c r="F48" s="25"/>
      <c r="G48" s="1">
        <v>625</v>
      </c>
      <c r="H48" s="2">
        <v>92</v>
      </c>
      <c r="I48" s="2">
        <v>-21.5</v>
      </c>
      <c r="J48" s="2">
        <v>-26.1</v>
      </c>
      <c r="K48" s="2">
        <f t="shared" si="3"/>
        <v>-21.5</v>
      </c>
      <c r="L48" s="8">
        <f t="shared" si="7"/>
        <v>4.4668359215096234E-12</v>
      </c>
      <c r="M48" s="26"/>
      <c r="N48" s="17"/>
      <c r="O48" s="9">
        <f t="shared" si="5"/>
        <v>-26.1</v>
      </c>
      <c r="P48" s="8">
        <f>D44/B44*10^(O48/10)</f>
        <v>4.827594200847219E-2</v>
      </c>
      <c r="Q48" s="26"/>
      <c r="R48" s="17"/>
      <c r="S48" s="19"/>
      <c r="T48" s="17"/>
      <c r="U48" s="22"/>
    </row>
    <row r="49" spans="1:21" x14ac:dyDescent="0.25">
      <c r="A49" s="24"/>
      <c r="B49" s="24"/>
      <c r="C49" s="17"/>
      <c r="D49" s="24"/>
      <c r="E49" s="24"/>
      <c r="F49" s="25"/>
      <c r="G49" s="1">
        <v>675</v>
      </c>
      <c r="H49" s="2">
        <v>94.5</v>
      </c>
      <c r="I49" s="2">
        <v>-22.4</v>
      </c>
      <c r="J49" s="2">
        <v>-26.1</v>
      </c>
      <c r="K49" s="2">
        <f t="shared" si="3"/>
        <v>-22.4</v>
      </c>
      <c r="L49" s="8">
        <f t="shared" si="7"/>
        <v>2.0417379446695178E-12</v>
      </c>
      <c r="M49" s="26"/>
      <c r="N49" s="17"/>
      <c r="O49" s="9">
        <f t="shared" si="5"/>
        <v>-26.1</v>
      </c>
      <c r="P49" s="8">
        <f>D44/B44*10^(O49/10)</f>
        <v>4.827594200847219E-2</v>
      </c>
      <c r="Q49" s="26"/>
      <c r="R49" s="17"/>
      <c r="S49" s="20"/>
      <c r="T49" s="17"/>
      <c r="U49" s="23"/>
    </row>
    <row r="50" spans="1:21" x14ac:dyDescent="0.25">
      <c r="A50" s="24">
        <v>1000</v>
      </c>
      <c r="B50" s="24">
        <v>3</v>
      </c>
      <c r="C50" s="17">
        <v>0.5</v>
      </c>
      <c r="D50" s="24">
        <v>117</v>
      </c>
      <c r="E50" s="24">
        <v>6</v>
      </c>
      <c r="F50" s="25">
        <v>76</v>
      </c>
      <c r="G50" s="1">
        <v>875</v>
      </c>
      <c r="H50" s="2">
        <v>91.1</v>
      </c>
      <c r="I50" s="2">
        <v>-22.5</v>
      </c>
      <c r="J50" s="2">
        <v>-26.8</v>
      </c>
      <c r="K50" s="2">
        <f t="shared" si="3"/>
        <v>-22.5</v>
      </c>
      <c r="L50" s="8">
        <f t="shared" si="7"/>
        <v>4.3651583224016522E-12</v>
      </c>
      <c r="M50" s="26">
        <f>SUM(L50:L55)</f>
        <v>9.2903513418204264E-12</v>
      </c>
      <c r="N50" s="17">
        <f>10*LOG10(M50/E50)</f>
        <v>-118.10119111962811</v>
      </c>
      <c r="O50" s="9">
        <f t="shared" si="5"/>
        <v>-26.8</v>
      </c>
      <c r="P50" s="8">
        <f>D50/B50*10^(O50/10)</f>
        <v>8.1482549103307447E-2</v>
      </c>
      <c r="Q50" s="26">
        <f>SUM(P50:P55)</f>
        <v>0.50299674648591974</v>
      </c>
      <c r="R50" s="17">
        <f>10*LOG10(Q50)</f>
        <v>-2.984348240649108</v>
      </c>
      <c r="S50" s="18">
        <f>F50+N50-Kzt-H</f>
        <v>-42.101191119628112</v>
      </c>
      <c r="T50" s="17">
        <v>0.8</v>
      </c>
      <c r="U50" s="21">
        <f>T50*10^((S50-R50)/10)</f>
        <v>9.8040541003606649E-5</v>
      </c>
    </row>
    <row r="51" spans="1:21" x14ac:dyDescent="0.25">
      <c r="A51" s="24"/>
      <c r="B51" s="24"/>
      <c r="C51" s="17"/>
      <c r="D51" s="24"/>
      <c r="E51" s="24"/>
      <c r="F51" s="25"/>
      <c r="G51" s="1">
        <v>975</v>
      </c>
      <c r="H51" s="2">
        <v>96.5</v>
      </c>
      <c r="I51" s="2">
        <v>-21.4</v>
      </c>
      <c r="J51" s="2">
        <v>-25.5</v>
      </c>
      <c r="K51" s="2">
        <f t="shared" si="3"/>
        <v>-21.4</v>
      </c>
      <c r="L51" s="8">
        <f t="shared" si="7"/>
        <v>1.6218100973589226E-12</v>
      </c>
      <c r="M51" s="26"/>
      <c r="N51" s="17"/>
      <c r="O51" s="9">
        <f t="shared" si="5"/>
        <v>-25.5</v>
      </c>
      <c r="P51" s="8">
        <f>D50/B50*10^(O51/10)</f>
        <v>0.10991693431931364</v>
      </c>
      <c r="Q51" s="26"/>
      <c r="R51" s="17"/>
      <c r="S51" s="19"/>
      <c r="T51" s="17"/>
      <c r="U51" s="22"/>
    </row>
    <row r="52" spans="1:21" x14ac:dyDescent="0.25">
      <c r="A52" s="24"/>
      <c r="B52" s="24"/>
      <c r="C52" s="17"/>
      <c r="D52" s="24"/>
      <c r="E52" s="24"/>
      <c r="F52" s="25"/>
      <c r="G52" s="1">
        <v>1075</v>
      </c>
      <c r="H52" s="2">
        <v>94.6</v>
      </c>
      <c r="I52" s="2">
        <v>-24.8</v>
      </c>
      <c r="J52" s="2">
        <v>-25.3</v>
      </c>
      <c r="K52" s="2">
        <f t="shared" si="3"/>
        <v>-24.8</v>
      </c>
      <c r="L52" s="8">
        <f t="shared" si="7"/>
        <v>1.1481536214968792E-12</v>
      </c>
      <c r="M52" s="26"/>
      <c r="N52" s="17"/>
      <c r="O52" s="9">
        <f t="shared" si="5"/>
        <v>-25.3</v>
      </c>
      <c r="P52" s="8">
        <f>D50/B50*10^(O52/10)</f>
        <v>0.11509715983998897</v>
      </c>
      <c r="Q52" s="26"/>
      <c r="R52" s="17"/>
      <c r="S52" s="19"/>
      <c r="T52" s="17"/>
      <c r="U52" s="22"/>
    </row>
    <row r="53" spans="1:21" x14ac:dyDescent="0.25">
      <c r="A53" s="24"/>
      <c r="B53" s="24"/>
      <c r="C53" s="17"/>
      <c r="D53" s="24"/>
      <c r="E53" s="24"/>
      <c r="F53" s="25"/>
      <c r="G53" s="1">
        <v>1175</v>
      </c>
      <c r="H53" s="2">
        <v>97.8</v>
      </c>
      <c r="I53" s="2">
        <v>-20.399999999999999</v>
      </c>
      <c r="J53" s="2">
        <v>-27.6</v>
      </c>
      <c r="K53" s="2">
        <f t="shared" si="3"/>
        <v>-20.399999999999999</v>
      </c>
      <c r="L53" s="8">
        <f t="shared" si="7"/>
        <v>1.513561248436207E-12</v>
      </c>
      <c r="M53" s="26"/>
      <c r="N53" s="17"/>
      <c r="O53" s="9">
        <f t="shared" si="5"/>
        <v>-27.6</v>
      </c>
      <c r="P53" s="8">
        <f>D50/B50*10^(O53/10)</f>
        <v>6.7774232321225564E-2</v>
      </c>
      <c r="Q53" s="26"/>
      <c r="R53" s="17"/>
      <c r="S53" s="19"/>
      <c r="T53" s="17"/>
      <c r="U53" s="22"/>
    </row>
    <row r="54" spans="1:21" x14ac:dyDescent="0.25">
      <c r="A54" s="24"/>
      <c r="B54" s="24"/>
      <c r="C54" s="17"/>
      <c r="D54" s="24"/>
      <c r="E54" s="24"/>
      <c r="F54" s="25"/>
      <c r="G54" s="1">
        <v>1275</v>
      </c>
      <c r="H54" s="2">
        <v>100.1</v>
      </c>
      <c r="I54" s="2">
        <v>-23.4</v>
      </c>
      <c r="J54" s="2">
        <v>-26.9</v>
      </c>
      <c r="K54" s="2">
        <f t="shared" si="3"/>
        <v>-23.4</v>
      </c>
      <c r="L54" s="8">
        <f t="shared" si="7"/>
        <v>4.4668359215096191E-13</v>
      </c>
      <c r="M54" s="26"/>
      <c r="N54" s="17"/>
      <c r="O54" s="9">
        <f t="shared" si="5"/>
        <v>-26.9</v>
      </c>
      <c r="P54" s="8">
        <f>D50/B50*10^(O54/10)</f>
        <v>7.962777984211164E-2</v>
      </c>
      <c r="Q54" s="26"/>
      <c r="R54" s="17"/>
      <c r="S54" s="19"/>
      <c r="T54" s="17"/>
      <c r="U54" s="22"/>
    </row>
    <row r="55" spans="1:21" x14ac:dyDescent="0.25">
      <c r="A55" s="24"/>
      <c r="B55" s="24"/>
      <c r="C55" s="17"/>
      <c r="D55" s="24"/>
      <c r="E55" s="24"/>
      <c r="F55" s="25"/>
      <c r="G55" s="1">
        <v>1375</v>
      </c>
      <c r="H55" s="2">
        <v>103</v>
      </c>
      <c r="I55" s="2">
        <v>-24.1</v>
      </c>
      <c r="J55" s="2">
        <v>-29</v>
      </c>
      <c r="K55" s="2">
        <f t="shared" si="3"/>
        <v>-24.1</v>
      </c>
      <c r="L55" s="8">
        <f t="shared" si="7"/>
        <v>1.9498445997580464E-13</v>
      </c>
      <c r="M55" s="26"/>
      <c r="N55" s="17"/>
      <c r="O55" s="9">
        <f t="shared" si="5"/>
        <v>-29</v>
      </c>
      <c r="P55" s="8">
        <f>D50/B50*10^(O55/10)</f>
        <v>4.9098091059972482E-2</v>
      </c>
      <c r="Q55" s="26"/>
      <c r="R55" s="17"/>
      <c r="S55" s="20"/>
      <c r="T55" s="17"/>
      <c r="U55" s="23"/>
    </row>
    <row r="56" spans="1:21" x14ac:dyDescent="0.25">
      <c r="A56" s="24">
        <v>2000</v>
      </c>
      <c r="B56" s="24">
        <v>3</v>
      </c>
      <c r="C56" s="17">
        <v>0.5</v>
      </c>
      <c r="D56" s="24">
        <v>234</v>
      </c>
      <c r="E56" s="24">
        <v>6</v>
      </c>
      <c r="F56" s="25">
        <v>68</v>
      </c>
      <c r="G56" s="1">
        <v>1425</v>
      </c>
      <c r="H56" s="2">
        <v>102.8</v>
      </c>
      <c r="I56" s="2">
        <v>-23.5</v>
      </c>
      <c r="J56" s="2">
        <v>-24.7</v>
      </c>
      <c r="K56" s="2">
        <f t="shared" si="3"/>
        <v>-23.5</v>
      </c>
      <c r="L56" s="8">
        <f t="shared" si="7"/>
        <v>2.3442288153199217E-13</v>
      </c>
      <c r="M56" s="26">
        <f>SUM(L56:L61)</f>
        <v>3.1139449501051876E-12</v>
      </c>
      <c r="N56" s="17">
        <f>10*LOG10(M56/E56)</f>
        <v>-122.84840319761328</v>
      </c>
      <c r="O56" s="9">
        <f t="shared" si="5"/>
        <v>-24.7</v>
      </c>
      <c r="P56" s="8">
        <f>D56/B56*10^(O56/10)</f>
        <v>0.26429844178857786</v>
      </c>
      <c r="Q56" s="26">
        <f>SUM(P56:P61)</f>
        <v>1.1159932631746761</v>
      </c>
      <c r="R56" s="17">
        <f>10*LOG10(Q56)</f>
        <v>0.47661572939468033</v>
      </c>
      <c r="S56" s="18">
        <f>F56+N56-Kzt-H</f>
        <v>-54.84840319761328</v>
      </c>
      <c r="T56" s="17">
        <v>1</v>
      </c>
      <c r="U56" s="21">
        <f>T56*10^((S56-R56)/10)</f>
        <v>2.9342567161302984E-6</v>
      </c>
    </row>
    <row r="57" spans="1:21" x14ac:dyDescent="0.25">
      <c r="A57" s="24"/>
      <c r="B57" s="24"/>
      <c r="C57" s="17"/>
      <c r="D57" s="24"/>
      <c r="E57" s="24"/>
      <c r="F57" s="25"/>
      <c r="G57" s="1">
        <v>1625</v>
      </c>
      <c r="H57" s="2">
        <v>104.1</v>
      </c>
      <c r="I57" s="2">
        <v>-23</v>
      </c>
      <c r="J57" s="2">
        <v>-24.8</v>
      </c>
      <c r="K57" s="2">
        <f t="shared" si="3"/>
        <v>-23</v>
      </c>
      <c r="L57" s="8">
        <f t="shared" si="7"/>
        <v>1.9498445997580464E-13</v>
      </c>
      <c r="M57" s="26"/>
      <c r="N57" s="17"/>
      <c r="O57" s="9">
        <f t="shared" si="5"/>
        <v>-24.8</v>
      </c>
      <c r="P57" s="8">
        <f>D56/B56*10^(O57/10)</f>
        <v>0.25828227475642102</v>
      </c>
      <c r="Q57" s="26"/>
      <c r="R57" s="17"/>
      <c r="S57" s="19"/>
      <c r="T57" s="17"/>
      <c r="U57" s="22"/>
    </row>
    <row r="58" spans="1:21" x14ac:dyDescent="0.25">
      <c r="A58" s="24"/>
      <c r="B58" s="24"/>
      <c r="C58" s="17"/>
      <c r="D58" s="24"/>
      <c r="E58" s="24"/>
      <c r="F58" s="25"/>
      <c r="G58" s="1">
        <v>1825</v>
      </c>
      <c r="H58" s="2">
        <v>107.6</v>
      </c>
      <c r="I58" s="2">
        <v>-20.7</v>
      </c>
      <c r="J58" s="2">
        <v>-27.8</v>
      </c>
      <c r="K58" s="2">
        <f t="shared" si="3"/>
        <v>-20.7</v>
      </c>
      <c r="L58" s="8">
        <f t="shared" si="7"/>
        <v>1.47910838816821E-13</v>
      </c>
      <c r="M58" s="26"/>
      <c r="N58" s="17"/>
      <c r="O58" s="9">
        <f t="shared" si="5"/>
        <v>-27.8</v>
      </c>
      <c r="P58" s="8">
        <f>D56/B56*10^(O58/10)</f>
        <v>0.12944777878012961</v>
      </c>
      <c r="Q58" s="26"/>
      <c r="R58" s="17"/>
      <c r="S58" s="19"/>
      <c r="T58" s="17"/>
      <c r="U58" s="22"/>
    </row>
    <row r="59" spans="1:21" x14ac:dyDescent="0.25">
      <c r="A59" s="24"/>
      <c r="B59" s="24"/>
      <c r="C59" s="17"/>
      <c r="D59" s="24"/>
      <c r="E59" s="24"/>
      <c r="F59" s="25"/>
      <c r="G59" s="1">
        <v>2125</v>
      </c>
      <c r="H59" s="2">
        <v>104.2</v>
      </c>
      <c r="I59" s="2">
        <v>-23.1</v>
      </c>
      <c r="J59" s="2">
        <v>-28.5</v>
      </c>
      <c r="K59" s="2">
        <f t="shared" si="3"/>
        <v>-23.1</v>
      </c>
      <c r="L59" s="8">
        <f t="shared" si="7"/>
        <v>1.8620871366628623E-13</v>
      </c>
      <c r="M59" s="26"/>
      <c r="N59" s="17"/>
      <c r="O59" s="9">
        <f t="shared" si="5"/>
        <v>-28.5</v>
      </c>
      <c r="P59" s="8">
        <f>D56/B56*10^(O59/10)</f>
        <v>0.11017792848057471</v>
      </c>
      <c r="Q59" s="26"/>
      <c r="R59" s="17"/>
      <c r="S59" s="19"/>
      <c r="T59" s="17"/>
      <c r="U59" s="22"/>
    </row>
    <row r="60" spans="1:21" x14ac:dyDescent="0.25">
      <c r="A60" s="24"/>
      <c r="B60" s="24"/>
      <c r="C60" s="17"/>
      <c r="D60" s="24"/>
      <c r="E60" s="24"/>
      <c r="F60" s="25"/>
      <c r="G60" s="1">
        <v>2425</v>
      </c>
      <c r="H60" s="2">
        <v>93.7</v>
      </c>
      <c r="I60" s="2">
        <v>-25.5</v>
      </c>
      <c r="J60" s="2">
        <v>-25.8</v>
      </c>
      <c r="K60" s="2">
        <f t="shared" si="3"/>
        <v>-25.5</v>
      </c>
      <c r="L60" s="8">
        <f t="shared" si="7"/>
        <v>1.2022644346174088E-12</v>
      </c>
      <c r="M60" s="26"/>
      <c r="N60" s="17"/>
      <c r="O60" s="9">
        <f t="shared" si="5"/>
        <v>-25.8</v>
      </c>
      <c r="P60" s="8">
        <f>D56/B56*10^(O60/10)</f>
        <v>0.20516090336783957</v>
      </c>
      <c r="Q60" s="26"/>
      <c r="R60" s="17"/>
      <c r="S60" s="19"/>
      <c r="T60" s="17"/>
      <c r="U60" s="22"/>
    </row>
    <row r="61" spans="1:21" x14ac:dyDescent="0.25">
      <c r="A61" s="24"/>
      <c r="B61" s="24"/>
      <c r="C61" s="17"/>
      <c r="D61" s="24"/>
      <c r="E61" s="24"/>
      <c r="F61" s="25"/>
      <c r="G61" s="1">
        <v>2775</v>
      </c>
      <c r="H61" s="2">
        <v>100.2</v>
      </c>
      <c r="I61" s="2">
        <v>-19.2</v>
      </c>
      <c r="J61" s="2">
        <v>-27.2</v>
      </c>
      <c r="K61" s="2">
        <f t="shared" si="3"/>
        <v>-19.2</v>
      </c>
      <c r="L61" s="8">
        <f t="shared" si="7"/>
        <v>1.1481536214968749E-12</v>
      </c>
      <c r="M61" s="26"/>
      <c r="N61" s="17"/>
      <c r="O61" s="9">
        <f t="shared" si="5"/>
        <v>-27.2</v>
      </c>
      <c r="P61" s="8">
        <f>D56/B56*10^(O61/10)</f>
        <v>0.1486259360011333</v>
      </c>
      <c r="Q61" s="26"/>
      <c r="R61" s="17"/>
      <c r="S61" s="20"/>
      <c r="T61" s="17"/>
      <c r="U61" s="23"/>
    </row>
    <row r="62" spans="1:21" x14ac:dyDescent="0.25">
      <c r="A62" s="24">
        <v>4000</v>
      </c>
      <c r="B62" s="24">
        <v>3</v>
      </c>
      <c r="C62" s="17">
        <v>0.5</v>
      </c>
      <c r="D62" s="24">
        <v>470</v>
      </c>
      <c r="E62" s="24">
        <v>6</v>
      </c>
      <c r="F62" s="25">
        <v>62</v>
      </c>
      <c r="G62" s="1">
        <v>2825</v>
      </c>
      <c r="H62" s="2">
        <v>99.4</v>
      </c>
      <c r="I62" s="2">
        <v>-23.5</v>
      </c>
      <c r="J62" s="2">
        <v>-29.3</v>
      </c>
      <c r="K62" s="2">
        <f t="shared" si="3"/>
        <v>-23.5</v>
      </c>
      <c r="L62" s="8">
        <f t="shared" si="7"/>
        <v>5.1286138399136307E-13</v>
      </c>
      <c r="M62" s="26">
        <f>SUM(L62:L67)</f>
        <v>2.5136658216841061E-12</v>
      </c>
      <c r="N62" s="17">
        <f>10*LOG10(M62/E62)</f>
        <v>-123.77843710305535</v>
      </c>
      <c r="O62" s="9">
        <f t="shared" si="5"/>
        <v>-29.3</v>
      </c>
      <c r="P62" s="8">
        <f>D62/B62*10^(O62/10)</f>
        <v>0.18406728360719271</v>
      </c>
      <c r="Q62" s="26">
        <f>SUM(P62:P67)</f>
        <v>2.1088466895372031</v>
      </c>
      <c r="R62" s="17">
        <f>10*LOG10(Q62)</f>
        <v>3.2404500823253466</v>
      </c>
      <c r="S62" s="18">
        <f>F62+N62-Kzt-H</f>
        <v>-61.778437103055353</v>
      </c>
      <c r="T62" s="17">
        <v>0.9</v>
      </c>
      <c r="U62" s="21">
        <f>T62*10^((S62-R62)/10)</f>
        <v>2.8336994827610569E-7</v>
      </c>
    </row>
    <row r="63" spans="1:21" x14ac:dyDescent="0.25">
      <c r="A63" s="24"/>
      <c r="B63" s="24"/>
      <c r="C63" s="17"/>
      <c r="D63" s="24"/>
      <c r="E63" s="24"/>
      <c r="F63" s="25"/>
      <c r="G63" s="1">
        <v>3425</v>
      </c>
      <c r="H63" s="2">
        <v>103.5</v>
      </c>
      <c r="I63" s="2">
        <v>-22.8</v>
      </c>
      <c r="J63" s="2">
        <v>-25.7</v>
      </c>
      <c r="K63" s="2">
        <f t="shared" si="3"/>
        <v>-22.8</v>
      </c>
      <c r="L63" s="8">
        <f t="shared" si="7"/>
        <v>2.3442288153199217E-13</v>
      </c>
      <c r="M63" s="26"/>
      <c r="N63" s="17"/>
      <c r="O63" s="9">
        <f t="shared" si="5"/>
        <v>-25.7</v>
      </c>
      <c r="P63" s="8">
        <f>D62/B62*10^(O63/10)</f>
        <v>0.42167378594854998</v>
      </c>
      <c r="Q63" s="26"/>
      <c r="R63" s="17"/>
      <c r="S63" s="19"/>
      <c r="T63" s="17"/>
      <c r="U63" s="22"/>
    </row>
    <row r="64" spans="1:21" x14ac:dyDescent="0.25">
      <c r="A64" s="24"/>
      <c r="B64" s="24"/>
      <c r="C64" s="17"/>
      <c r="D64" s="24"/>
      <c r="E64" s="24"/>
      <c r="F64" s="25"/>
      <c r="G64" s="1">
        <v>4025</v>
      </c>
      <c r="H64" s="2">
        <v>103.6</v>
      </c>
      <c r="I64" s="2">
        <v>-23.8</v>
      </c>
      <c r="J64" s="2">
        <v>-24.1</v>
      </c>
      <c r="K64" s="2">
        <f t="shared" si="3"/>
        <v>-23.8</v>
      </c>
      <c r="L64" s="8">
        <f t="shared" si="7"/>
        <v>1.8197008586099852E-13</v>
      </c>
      <c r="M64" s="26"/>
      <c r="N64" s="17"/>
      <c r="O64" s="9">
        <f t="shared" si="5"/>
        <v>-24.1</v>
      </c>
      <c r="P64" s="8">
        <f>D62/B62*10^(O64/10)</f>
        <v>0.609504060491039</v>
      </c>
      <c r="Q64" s="26"/>
      <c r="R64" s="17"/>
      <c r="S64" s="19"/>
      <c r="T64" s="17"/>
      <c r="U64" s="22"/>
    </row>
    <row r="65" spans="1:21" x14ac:dyDescent="0.25">
      <c r="A65" s="24"/>
      <c r="B65" s="24"/>
      <c r="C65" s="17"/>
      <c r="D65" s="24"/>
      <c r="E65" s="24"/>
      <c r="F65" s="25"/>
      <c r="G65" s="1">
        <v>4625</v>
      </c>
      <c r="H65" s="2">
        <v>105.6</v>
      </c>
      <c r="I65" s="2">
        <v>-21.6</v>
      </c>
      <c r="J65" s="2">
        <v>-27.6</v>
      </c>
      <c r="K65" s="2">
        <f t="shared" si="3"/>
        <v>-21.6</v>
      </c>
      <c r="L65" s="8">
        <f t="shared" si="7"/>
        <v>1.9054607179632483E-13</v>
      </c>
      <c r="M65" s="26"/>
      <c r="N65" s="17"/>
      <c r="O65" s="9">
        <f t="shared" si="5"/>
        <v>-27.6</v>
      </c>
      <c r="P65" s="8">
        <f>D62/B62*10^(O65/10)</f>
        <v>0.27225546317073518</v>
      </c>
      <c r="Q65" s="26"/>
      <c r="R65" s="17"/>
      <c r="S65" s="19"/>
      <c r="T65" s="17"/>
      <c r="U65" s="22"/>
    </row>
    <row r="66" spans="1:21" x14ac:dyDescent="0.25">
      <c r="A66" s="24"/>
      <c r="B66" s="24"/>
      <c r="C66" s="17"/>
      <c r="D66" s="24"/>
      <c r="E66" s="24"/>
      <c r="F66" s="25"/>
      <c r="G66" s="1">
        <v>5225</v>
      </c>
      <c r="H66" s="2">
        <v>103.5</v>
      </c>
      <c r="I66" s="2">
        <v>-21.1</v>
      </c>
      <c r="J66" s="2">
        <v>-27.9</v>
      </c>
      <c r="K66" s="2">
        <f t="shared" si="3"/>
        <v>-21.1</v>
      </c>
      <c r="L66" s="8">
        <f t="shared" si="7"/>
        <v>3.4673685045253105E-13</v>
      </c>
      <c r="M66" s="26"/>
      <c r="N66" s="17"/>
      <c r="O66" s="9">
        <f t="shared" si="5"/>
        <v>-27.9</v>
      </c>
      <c r="P66" s="8">
        <f>D62/B62*10^(O66/10)</f>
        <v>0.25408358191956543</v>
      </c>
      <c r="Q66" s="26"/>
      <c r="R66" s="17"/>
      <c r="S66" s="19"/>
      <c r="T66" s="17"/>
      <c r="U66" s="22"/>
    </row>
    <row r="67" spans="1:21" x14ac:dyDescent="0.25">
      <c r="A67" s="24"/>
      <c r="B67" s="24"/>
      <c r="C67" s="17"/>
      <c r="D67" s="24"/>
      <c r="E67" s="24"/>
      <c r="F67" s="25"/>
      <c r="G67" s="1">
        <v>5625</v>
      </c>
      <c r="H67" s="2">
        <v>99.5</v>
      </c>
      <c r="I67" s="2">
        <v>-20.3</v>
      </c>
      <c r="J67" s="2">
        <v>-26.3</v>
      </c>
      <c r="K67" s="2">
        <f t="shared" si="3"/>
        <v>-20.3</v>
      </c>
      <c r="L67" s="8">
        <f t="shared" si="7"/>
        <v>1.0471285480508967E-12</v>
      </c>
      <c r="M67" s="26"/>
      <c r="N67" s="17"/>
      <c r="O67" s="9">
        <f t="shared" si="5"/>
        <v>-26.3</v>
      </c>
      <c r="P67" s="8">
        <f>D62/B62*10^(O67/10)</f>
        <v>0.36726251440012081</v>
      </c>
      <c r="Q67" s="26"/>
      <c r="R67" s="17"/>
      <c r="S67" s="20"/>
      <c r="T67" s="17"/>
      <c r="U67" s="23"/>
    </row>
    <row r="68" spans="1:21" x14ac:dyDescent="0.25">
      <c r="A68" s="24">
        <v>8000</v>
      </c>
      <c r="B68" s="24">
        <v>3</v>
      </c>
      <c r="C68" s="17">
        <v>0.5</v>
      </c>
      <c r="D68" s="24">
        <v>943</v>
      </c>
      <c r="E68" s="24">
        <v>6</v>
      </c>
      <c r="F68" s="25">
        <v>54</v>
      </c>
      <c r="G68" s="1">
        <v>6025</v>
      </c>
      <c r="H68" s="2">
        <v>95</v>
      </c>
      <c r="I68" s="2">
        <v>-22.9</v>
      </c>
      <c r="J68" s="2">
        <v>-26.7</v>
      </c>
      <c r="K68" s="2">
        <f t="shared" si="3"/>
        <v>-22.9</v>
      </c>
      <c r="L68" s="8">
        <f t="shared" si="7"/>
        <v>1.6218100973589226E-12</v>
      </c>
      <c r="M68" s="26">
        <f>SUM(L68:L73)</f>
        <v>2.0939905731086483E-11</v>
      </c>
      <c r="N68" s="17">
        <f>10*LOG10(M68/E68)</f>
        <v>-114.57176528177455</v>
      </c>
      <c r="O68" s="9">
        <f t="shared" si="5"/>
        <v>-26.7</v>
      </c>
      <c r="P68" s="8">
        <f>D68/B68*10^(O68/10)</f>
        <v>0.67203275013353481</v>
      </c>
      <c r="Q68" s="26">
        <f>SUM(P68:P73)</f>
        <v>3.526500544306522</v>
      </c>
      <c r="R68" s="17">
        <f>10*LOG10(Q68)</f>
        <v>5.4734395521289079</v>
      </c>
      <c r="S68" s="18">
        <f>F68+N68-Kzt-H</f>
        <v>-60.571765281774546</v>
      </c>
      <c r="T68" s="17">
        <v>0.7</v>
      </c>
      <c r="U68" s="21">
        <f>T68*10^((S68-R68)/10)</f>
        <v>1.7401134210110787E-7</v>
      </c>
    </row>
    <row r="69" spans="1:21" x14ac:dyDescent="0.25">
      <c r="A69" s="24"/>
      <c r="B69" s="24"/>
      <c r="C69" s="17"/>
      <c r="D69" s="24"/>
      <c r="E69" s="24"/>
      <c r="F69" s="25"/>
      <c r="G69" s="1">
        <v>7025</v>
      </c>
      <c r="H69" s="2">
        <v>94.8</v>
      </c>
      <c r="I69" s="2">
        <v>-22.5</v>
      </c>
      <c r="J69" s="2">
        <v>-24.2</v>
      </c>
      <c r="K69" s="2">
        <f t="shared" si="3"/>
        <v>-22.5</v>
      </c>
      <c r="L69" s="8">
        <f t="shared" si="7"/>
        <v>1.8620871366628578E-12</v>
      </c>
      <c r="M69" s="26"/>
      <c r="N69" s="17"/>
      <c r="O69" s="9">
        <f t="shared" si="5"/>
        <v>-24.2</v>
      </c>
      <c r="P69" s="8">
        <f>D68/B68*10^(O69/10)</f>
        <v>1.1950620024342973</v>
      </c>
      <c r="Q69" s="26"/>
      <c r="R69" s="17"/>
      <c r="S69" s="19"/>
      <c r="T69" s="17"/>
      <c r="U69" s="22"/>
    </row>
    <row r="70" spans="1:21" x14ac:dyDescent="0.25">
      <c r="A70" s="24"/>
      <c r="B70" s="24"/>
      <c r="C70" s="17"/>
      <c r="D70" s="24"/>
      <c r="E70" s="24"/>
      <c r="F70" s="25"/>
      <c r="G70" s="1">
        <v>8025</v>
      </c>
      <c r="H70" s="2">
        <v>101.9</v>
      </c>
      <c r="I70" s="2">
        <v>-25.5</v>
      </c>
      <c r="J70" s="2">
        <v>-33.1</v>
      </c>
      <c r="K70" s="2">
        <f t="shared" si="3"/>
        <v>-25.5</v>
      </c>
      <c r="L70" s="8">
        <f t="shared" si="7"/>
        <v>1.8197008586099787E-13</v>
      </c>
      <c r="M70" s="26"/>
      <c r="N70" s="17"/>
      <c r="O70" s="9">
        <f t="shared" si="5"/>
        <v>-33.1</v>
      </c>
      <c r="P70" s="8">
        <f>D68/B68*10^(O70/10)</f>
        <v>0.15395380888814808</v>
      </c>
      <c r="Q70" s="26"/>
      <c r="R70" s="17"/>
      <c r="S70" s="19"/>
      <c r="T70" s="17"/>
      <c r="U70" s="22"/>
    </row>
    <row r="71" spans="1:21" x14ac:dyDescent="0.25">
      <c r="A71" s="24"/>
      <c r="B71" s="24"/>
      <c r="C71" s="17"/>
      <c r="D71" s="24"/>
      <c r="E71" s="24"/>
      <c r="F71" s="25"/>
      <c r="G71" s="1">
        <v>9025</v>
      </c>
      <c r="H71" s="2">
        <v>93.2</v>
      </c>
      <c r="I71" s="2">
        <v>-26.5</v>
      </c>
      <c r="J71" s="2">
        <v>-26.5</v>
      </c>
      <c r="K71" s="2">
        <f t="shared" si="3"/>
        <v>-26.5</v>
      </c>
      <c r="L71" s="8">
        <f t="shared" si="7"/>
        <v>1.0715193052376033E-12</v>
      </c>
      <c r="M71" s="26"/>
      <c r="N71" s="17"/>
      <c r="O71" s="9">
        <f t="shared" si="5"/>
        <v>-26.5</v>
      </c>
      <c r="P71" s="8">
        <f>D68/B68*10^(O71/10)</f>
        <v>0.70370467788998103</v>
      </c>
      <c r="Q71" s="26"/>
      <c r="R71" s="17"/>
      <c r="S71" s="19"/>
      <c r="T71" s="17"/>
      <c r="U71" s="22"/>
    </row>
    <row r="72" spans="1:21" x14ac:dyDescent="0.25">
      <c r="A72" s="24"/>
      <c r="B72" s="24"/>
      <c r="C72" s="17"/>
      <c r="D72" s="24"/>
      <c r="E72" s="24"/>
      <c r="F72" s="25"/>
      <c r="G72" s="1">
        <v>10025</v>
      </c>
      <c r="H72" s="2">
        <v>88.3</v>
      </c>
      <c r="I72" s="2">
        <v>-26.9</v>
      </c>
      <c r="J72" s="2">
        <v>-28.3</v>
      </c>
      <c r="K72" s="2">
        <f t="shared" si="3"/>
        <v>-26.9</v>
      </c>
      <c r="L72" s="8">
        <f t="shared" si="7"/>
        <v>3.0199517204020161E-12</v>
      </c>
      <c r="M72" s="26"/>
      <c r="N72" s="17"/>
      <c r="O72" s="9">
        <f t="shared" si="5"/>
        <v>-28.3</v>
      </c>
      <c r="P72" s="8">
        <f>D68/B68*10^(O72/10)</f>
        <v>0.46493307001420625</v>
      </c>
      <c r="Q72" s="26"/>
      <c r="R72" s="17"/>
      <c r="S72" s="19"/>
      <c r="T72" s="17"/>
      <c r="U72" s="22"/>
    </row>
    <row r="73" spans="1:21" x14ac:dyDescent="0.25">
      <c r="A73" s="24"/>
      <c r="B73" s="24"/>
      <c r="C73" s="17"/>
      <c r="D73" s="24"/>
      <c r="E73" s="24"/>
      <c r="F73" s="25"/>
      <c r="G73" s="1">
        <v>11025</v>
      </c>
      <c r="H73" s="2">
        <v>86</v>
      </c>
      <c r="I73" s="2">
        <v>-22.8</v>
      </c>
      <c r="J73" s="2">
        <v>-29.7</v>
      </c>
      <c r="K73" s="2">
        <f t="shared" si="3"/>
        <v>-22.8</v>
      </c>
      <c r="L73" s="8">
        <f t="shared" si="7"/>
        <v>1.3182567385564083E-11</v>
      </c>
      <c r="M73" s="26"/>
      <c r="N73" s="17"/>
      <c r="O73" s="9">
        <f t="shared" si="5"/>
        <v>-29.7</v>
      </c>
      <c r="P73" s="8">
        <f>D68/B68*10^(O73/10)</f>
        <v>0.33681423494635426</v>
      </c>
      <c r="Q73" s="26"/>
      <c r="R73" s="17"/>
      <c r="S73" s="20"/>
      <c r="T73" s="17"/>
      <c r="U73" s="23"/>
    </row>
    <row r="74" spans="1:21" x14ac:dyDescent="0.25">
      <c r="A74" s="24" t="s">
        <v>20</v>
      </c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12">
        <f>U74</f>
        <v>8.1699920129239281E-2</v>
      </c>
      <c r="T74" s="2"/>
      <c r="U74" s="8">
        <f>0.8*SQRT(SUM(U40:U73))</f>
        <v>8.1699920129239281E-2</v>
      </c>
    </row>
    <row r="75" spans="1:21" x14ac:dyDescent="0.25">
      <c r="A75" s="27" t="s">
        <v>94</v>
      </c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9"/>
    </row>
    <row r="76" spans="1:21" x14ac:dyDescent="0.25">
      <c r="A76" s="24">
        <v>250</v>
      </c>
      <c r="B76" s="24">
        <v>3</v>
      </c>
      <c r="C76" s="17">
        <v>0.5</v>
      </c>
      <c r="D76" s="24">
        <v>38</v>
      </c>
      <c r="E76" s="24">
        <v>4</v>
      </c>
      <c r="F76" s="25">
        <v>84</v>
      </c>
      <c r="G76" s="1">
        <v>175</v>
      </c>
      <c r="H76" s="2">
        <v>84.8</v>
      </c>
      <c r="I76" s="2">
        <v>-24.8</v>
      </c>
      <c r="J76" s="2">
        <v>-27.1</v>
      </c>
      <c r="K76" s="2">
        <f>I76</f>
        <v>-24.8</v>
      </c>
      <c r="L76" s="8">
        <f>10^((K76-H76)/10)</f>
        <v>1.096478196143183E-11</v>
      </c>
      <c r="M76" s="26">
        <f>SUM(L76:L79)</f>
        <v>3.2718718047197673E-11</v>
      </c>
      <c r="N76" s="17">
        <f>10*LOG10(M76/E76)</f>
        <v>-110.87263712096858</v>
      </c>
      <c r="O76" s="9">
        <f>J76</f>
        <v>-27.1</v>
      </c>
      <c r="P76" s="8">
        <f>D76/B76*10^(O76/10)</f>
        <v>2.4698031596935222E-2</v>
      </c>
      <c r="Q76" s="26">
        <f>SUM(P76:P79)</f>
        <v>0.1038969853518234</v>
      </c>
      <c r="R76" s="17">
        <f>10*LOG10(Q76)</f>
        <v>-9.83397053636876</v>
      </c>
      <c r="S76" s="18">
        <f>F76+N76-Kzt-H</f>
        <v>-26.872637120968577</v>
      </c>
      <c r="T76" s="17">
        <v>0.2</v>
      </c>
      <c r="U76" s="21">
        <f>T76*10^((S76-R76)/10)</f>
        <v>3.9551534455422544E-3</v>
      </c>
    </row>
    <row r="77" spans="1:21" x14ac:dyDescent="0.25">
      <c r="A77" s="24"/>
      <c r="B77" s="24"/>
      <c r="C77" s="17"/>
      <c r="D77" s="24"/>
      <c r="E77" s="24"/>
      <c r="F77" s="25"/>
      <c r="G77" s="1">
        <v>225</v>
      </c>
      <c r="H77" s="2">
        <v>90</v>
      </c>
      <c r="I77" s="2">
        <v>-18.5</v>
      </c>
      <c r="J77" s="2">
        <v>-27.4</v>
      </c>
      <c r="K77" s="2">
        <f t="shared" ref="K77:K109" si="8">I77</f>
        <v>-18.5</v>
      </c>
      <c r="L77" s="8">
        <f t="shared" ref="L77:L78" si="9">10^((K77-H77)/10)</f>
        <v>1.4125375446227501E-11</v>
      </c>
      <c r="M77" s="26"/>
      <c r="N77" s="17"/>
      <c r="O77" s="9">
        <f t="shared" ref="O77:O109" si="10">J77</f>
        <v>-27.4</v>
      </c>
      <c r="P77" s="8">
        <f>D76/B76*10^(O77/10)</f>
        <v>2.3049544209059778E-2</v>
      </c>
      <c r="Q77" s="26"/>
      <c r="R77" s="17"/>
      <c r="S77" s="19"/>
      <c r="T77" s="17"/>
      <c r="U77" s="22"/>
    </row>
    <row r="78" spans="1:21" x14ac:dyDescent="0.25">
      <c r="A78" s="24"/>
      <c r="B78" s="24"/>
      <c r="C78" s="17"/>
      <c r="D78" s="24"/>
      <c r="E78" s="24"/>
      <c r="F78" s="25"/>
      <c r="G78" s="1">
        <v>275</v>
      </c>
      <c r="H78" s="2">
        <v>92.2</v>
      </c>
      <c r="I78" s="2">
        <v>-21.1</v>
      </c>
      <c r="J78" s="2">
        <v>-28.1</v>
      </c>
      <c r="K78" s="2">
        <f t="shared" si="8"/>
        <v>-21.1</v>
      </c>
      <c r="L78" s="8">
        <f t="shared" si="9"/>
        <v>4.6773514128719567E-12</v>
      </c>
      <c r="M78" s="26"/>
      <c r="N78" s="17"/>
      <c r="O78" s="9">
        <f t="shared" si="10"/>
        <v>-28.1</v>
      </c>
      <c r="P78" s="8">
        <f>D76/B76*10^(O78/10)</f>
        <v>1.9618343839558083E-2</v>
      </c>
      <c r="Q78" s="26"/>
      <c r="R78" s="17"/>
      <c r="S78" s="19"/>
      <c r="T78" s="17"/>
      <c r="U78" s="22"/>
    </row>
    <row r="79" spans="1:21" x14ac:dyDescent="0.25">
      <c r="A79" s="24"/>
      <c r="B79" s="24"/>
      <c r="C79" s="17"/>
      <c r="D79" s="24"/>
      <c r="E79" s="24"/>
      <c r="F79" s="25"/>
      <c r="G79" s="1">
        <v>325</v>
      </c>
      <c r="H79" s="2">
        <v>93.3</v>
      </c>
      <c r="I79" s="2">
        <v>-22</v>
      </c>
      <c r="J79" s="2">
        <v>-25.4</v>
      </c>
      <c r="K79" s="2">
        <f t="shared" si="8"/>
        <v>-22</v>
      </c>
      <c r="L79" s="8">
        <f>10^((K79-H79)/10)</f>
        <v>2.9512092266663859E-12</v>
      </c>
      <c r="M79" s="26"/>
      <c r="N79" s="17"/>
      <c r="O79" s="9">
        <f t="shared" si="10"/>
        <v>-25.4</v>
      </c>
      <c r="P79" s="8">
        <f>D76/B76*10^(O79/10)</f>
        <v>3.6531065706270321E-2</v>
      </c>
      <c r="Q79" s="26"/>
      <c r="R79" s="17"/>
      <c r="S79" s="20"/>
      <c r="T79" s="17"/>
      <c r="U79" s="23"/>
    </row>
    <row r="80" spans="1:21" x14ac:dyDescent="0.25">
      <c r="A80" s="24">
        <v>500</v>
      </c>
      <c r="B80" s="24">
        <v>3</v>
      </c>
      <c r="C80" s="17">
        <v>0.5</v>
      </c>
      <c r="D80" s="24">
        <v>59</v>
      </c>
      <c r="E80" s="24">
        <v>6</v>
      </c>
      <c r="F80" s="25">
        <v>84</v>
      </c>
      <c r="G80" s="1">
        <v>375</v>
      </c>
      <c r="H80" s="2">
        <v>91.9</v>
      </c>
      <c r="I80" s="2">
        <v>-23</v>
      </c>
      <c r="J80" s="2">
        <v>-25.6</v>
      </c>
      <c r="K80" s="2">
        <f t="shared" si="8"/>
        <v>-23</v>
      </c>
      <c r="L80" s="8">
        <f t="shared" ref="L80:L81" si="11">10^((K80-H80)/10)</f>
        <v>3.2359365692962695E-12</v>
      </c>
      <c r="M80" s="26">
        <f>SUM(L80:L85)</f>
        <v>1.8821476270655912E-11</v>
      </c>
      <c r="N80" s="17">
        <f>10*LOG10(M80/E80)</f>
        <v>-115.03497565880338</v>
      </c>
      <c r="O80" s="9">
        <f t="shared" si="10"/>
        <v>-25.6</v>
      </c>
      <c r="P80" s="8">
        <f>D80/B80*10^(O80/10)</f>
        <v>5.4166497832317251E-2</v>
      </c>
      <c r="Q80" s="26">
        <f>SUM(P80:P85)</f>
        <v>0.22779178968295422</v>
      </c>
      <c r="R80" s="17">
        <f>10*LOG10(Q80)</f>
        <v>-6.4246193328433812</v>
      </c>
      <c r="S80" s="18">
        <f>F80+N80-Kzt-H</f>
        <v>-31.034975658803376</v>
      </c>
      <c r="T80" s="17">
        <v>0.5</v>
      </c>
      <c r="U80" s="21">
        <f>T80*10^((S80-R80)/10)</f>
        <v>1.7295549783657676E-3</v>
      </c>
    </row>
    <row r="81" spans="1:21" x14ac:dyDescent="0.25">
      <c r="A81" s="24"/>
      <c r="B81" s="24"/>
      <c r="C81" s="17"/>
      <c r="D81" s="24"/>
      <c r="E81" s="24"/>
      <c r="F81" s="25"/>
      <c r="G81" s="1">
        <v>425</v>
      </c>
      <c r="H81" s="2">
        <v>88.1</v>
      </c>
      <c r="I81" s="2">
        <v>-23.7</v>
      </c>
      <c r="J81" s="2">
        <v>-25.7</v>
      </c>
      <c r="K81" s="2">
        <f t="shared" si="8"/>
        <v>-23.7</v>
      </c>
      <c r="L81" s="8">
        <f t="shared" si="11"/>
        <v>6.6069344800759387E-12</v>
      </c>
      <c r="M81" s="26"/>
      <c r="N81" s="17"/>
      <c r="O81" s="9">
        <f t="shared" si="10"/>
        <v>-25.7</v>
      </c>
      <c r="P81" s="8">
        <f>D80/B80*10^(O81/10)</f>
        <v>5.2933517810562658E-2</v>
      </c>
      <c r="Q81" s="26"/>
      <c r="R81" s="17"/>
      <c r="S81" s="19"/>
      <c r="T81" s="17"/>
      <c r="U81" s="22"/>
    </row>
    <row r="82" spans="1:21" x14ac:dyDescent="0.25">
      <c r="A82" s="24"/>
      <c r="B82" s="24"/>
      <c r="C82" s="17"/>
      <c r="D82" s="24"/>
      <c r="E82" s="24"/>
      <c r="F82" s="25"/>
      <c r="G82" s="1">
        <v>475</v>
      </c>
      <c r="H82" s="2">
        <v>90</v>
      </c>
      <c r="I82" s="2">
        <v>-24.3</v>
      </c>
      <c r="J82" s="2">
        <v>-28.8</v>
      </c>
      <c r="K82" s="2">
        <f t="shared" si="8"/>
        <v>-24.3</v>
      </c>
      <c r="L82" s="8">
        <f>10^((K82-H82)/10)</f>
        <v>3.7153522909717219E-12</v>
      </c>
      <c r="M82" s="26"/>
      <c r="N82" s="17"/>
      <c r="O82" s="9">
        <f t="shared" si="10"/>
        <v>-28.8</v>
      </c>
      <c r="P82" s="8">
        <f>D80/B80*10^(O82/10)</f>
        <v>2.5925715858276008E-2</v>
      </c>
      <c r="Q82" s="26"/>
      <c r="R82" s="17"/>
      <c r="S82" s="19"/>
      <c r="T82" s="17"/>
      <c r="U82" s="22"/>
    </row>
    <row r="83" spans="1:21" x14ac:dyDescent="0.25">
      <c r="A83" s="24"/>
      <c r="B83" s="24"/>
      <c r="C83" s="17"/>
      <c r="D83" s="24"/>
      <c r="E83" s="24"/>
      <c r="F83" s="25"/>
      <c r="G83" s="1">
        <v>575</v>
      </c>
      <c r="H83" s="2">
        <v>97</v>
      </c>
      <c r="I83" s="2">
        <v>-24</v>
      </c>
      <c r="J83" s="2">
        <v>-26.2</v>
      </c>
      <c r="K83" s="2">
        <f t="shared" si="8"/>
        <v>-24</v>
      </c>
      <c r="L83" s="8">
        <f t="shared" ref="L83:L109" si="12">10^((K83-H83)/10)</f>
        <v>7.9432823472428024E-13</v>
      </c>
      <c r="M83" s="26"/>
      <c r="N83" s="17"/>
      <c r="O83" s="9">
        <f t="shared" si="10"/>
        <v>-26.2</v>
      </c>
      <c r="P83" s="8">
        <f>D80/B80*10^(O83/10)</f>
        <v>4.717704740738328E-2</v>
      </c>
      <c r="Q83" s="26"/>
      <c r="R83" s="17"/>
      <c r="S83" s="19"/>
      <c r="T83" s="17"/>
      <c r="U83" s="22"/>
    </row>
    <row r="84" spans="1:21" x14ac:dyDescent="0.25">
      <c r="A84" s="24"/>
      <c r="B84" s="24"/>
      <c r="C84" s="17"/>
      <c r="D84" s="24"/>
      <c r="E84" s="24"/>
      <c r="F84" s="25"/>
      <c r="G84" s="1">
        <v>625</v>
      </c>
      <c r="H84" s="2">
        <v>92</v>
      </c>
      <c r="I84" s="2">
        <v>-23.4</v>
      </c>
      <c r="J84" s="2">
        <v>-28.1</v>
      </c>
      <c r="K84" s="2">
        <f t="shared" si="8"/>
        <v>-23.4</v>
      </c>
      <c r="L84" s="8">
        <f t="shared" si="12"/>
        <v>2.8840315031265959E-12</v>
      </c>
      <c r="M84" s="26"/>
      <c r="N84" s="17"/>
      <c r="O84" s="9">
        <f t="shared" si="10"/>
        <v>-28.1</v>
      </c>
      <c r="P84" s="8">
        <f>D80/B80*10^(O84/10)</f>
        <v>3.0460060171945448E-2</v>
      </c>
      <c r="Q84" s="26"/>
      <c r="R84" s="17"/>
      <c r="S84" s="19"/>
      <c r="T84" s="17"/>
      <c r="U84" s="22"/>
    </row>
    <row r="85" spans="1:21" x14ac:dyDescent="0.25">
      <c r="A85" s="24"/>
      <c r="B85" s="24"/>
      <c r="C85" s="17"/>
      <c r="D85" s="24"/>
      <c r="E85" s="24"/>
      <c r="F85" s="25"/>
      <c r="G85" s="1">
        <v>675</v>
      </c>
      <c r="H85" s="2">
        <v>94.5</v>
      </c>
      <c r="I85" s="2">
        <v>-23.5</v>
      </c>
      <c r="J85" s="2">
        <v>-30.6</v>
      </c>
      <c r="K85" s="2">
        <f t="shared" si="8"/>
        <v>-23.5</v>
      </c>
      <c r="L85" s="8">
        <f t="shared" si="12"/>
        <v>1.5848931924611065E-12</v>
      </c>
      <c r="M85" s="26"/>
      <c r="N85" s="17"/>
      <c r="O85" s="9">
        <f t="shared" si="10"/>
        <v>-30.6</v>
      </c>
      <c r="P85" s="8">
        <f>D80/B80*10^(O85/10)</f>
        <v>1.7128950602469568E-2</v>
      </c>
      <c r="Q85" s="26"/>
      <c r="R85" s="17"/>
      <c r="S85" s="20"/>
      <c r="T85" s="17"/>
      <c r="U85" s="23"/>
    </row>
    <row r="86" spans="1:21" x14ac:dyDescent="0.25">
      <c r="A86" s="24">
        <v>1000</v>
      </c>
      <c r="B86" s="24">
        <v>3</v>
      </c>
      <c r="C86" s="17">
        <v>0.5</v>
      </c>
      <c r="D86" s="24">
        <v>117</v>
      </c>
      <c r="E86" s="24">
        <v>6</v>
      </c>
      <c r="F86" s="25">
        <v>76</v>
      </c>
      <c r="G86" s="1">
        <v>875</v>
      </c>
      <c r="H86" s="2">
        <v>91.1</v>
      </c>
      <c r="I86" s="2">
        <v>-20.100000000000001</v>
      </c>
      <c r="J86" s="2">
        <v>-29.5</v>
      </c>
      <c r="K86" s="2">
        <f t="shared" si="8"/>
        <v>-20.100000000000001</v>
      </c>
      <c r="L86" s="8">
        <f t="shared" si="12"/>
        <v>7.585775750291834E-12</v>
      </c>
      <c r="M86" s="26">
        <f>SUM(L86:L91)</f>
        <v>1.286274178948939E-11</v>
      </c>
      <c r="N86" s="17">
        <f>10*LOG10(M86/E86)</f>
        <v>-116.68817698814976</v>
      </c>
      <c r="O86" s="9">
        <f t="shared" si="10"/>
        <v>-29.5</v>
      </c>
      <c r="P86" s="8">
        <f>D86/B86*10^(O86/10)</f>
        <v>4.3758719717776527E-2</v>
      </c>
      <c r="Q86" s="26">
        <f>SUM(P86:P91)</f>
        <v>0.43885278049569038</v>
      </c>
      <c r="R86" s="17">
        <f>10*LOG10(Q86)</f>
        <v>-3.5768114568357863</v>
      </c>
      <c r="S86" s="18">
        <f>F86+N86-Kzt-H</f>
        <v>-40.688176988149763</v>
      </c>
      <c r="T86" s="17">
        <v>0.8</v>
      </c>
      <c r="U86" s="21">
        <f>T86*10^((S86-R86)/10)</f>
        <v>1.5557988060262894E-4</v>
      </c>
    </row>
    <row r="87" spans="1:21" x14ac:dyDescent="0.25">
      <c r="A87" s="24"/>
      <c r="B87" s="24"/>
      <c r="C87" s="17"/>
      <c r="D87" s="24"/>
      <c r="E87" s="24"/>
      <c r="F87" s="25"/>
      <c r="G87" s="1">
        <v>975</v>
      </c>
      <c r="H87" s="2">
        <v>96.5</v>
      </c>
      <c r="I87" s="2">
        <v>-23.5</v>
      </c>
      <c r="J87" s="2">
        <v>-24</v>
      </c>
      <c r="K87" s="2">
        <f t="shared" si="8"/>
        <v>-23.5</v>
      </c>
      <c r="L87" s="8">
        <f t="shared" si="12"/>
        <v>9.9999999999999998E-13</v>
      </c>
      <c r="M87" s="26"/>
      <c r="N87" s="17"/>
      <c r="O87" s="9">
        <f t="shared" si="10"/>
        <v>-24</v>
      </c>
      <c r="P87" s="8">
        <f>D86/B86*10^(O87/10)</f>
        <v>0.15526179651586389</v>
      </c>
      <c r="Q87" s="26"/>
      <c r="R87" s="17"/>
      <c r="S87" s="19"/>
      <c r="T87" s="17"/>
      <c r="U87" s="22"/>
    </row>
    <row r="88" spans="1:21" x14ac:dyDescent="0.25">
      <c r="A88" s="24"/>
      <c r="B88" s="24"/>
      <c r="C88" s="17"/>
      <c r="D88" s="24"/>
      <c r="E88" s="24"/>
      <c r="F88" s="25"/>
      <c r="G88" s="1">
        <v>1075</v>
      </c>
      <c r="H88" s="2">
        <v>94.6</v>
      </c>
      <c r="I88" s="2">
        <v>-21.3</v>
      </c>
      <c r="J88" s="2">
        <v>-27.7</v>
      </c>
      <c r="K88" s="2">
        <f t="shared" si="8"/>
        <v>-21.3</v>
      </c>
      <c r="L88" s="8">
        <f t="shared" si="12"/>
        <v>2.5703957827688561E-12</v>
      </c>
      <c r="M88" s="26"/>
      <c r="N88" s="17"/>
      <c r="O88" s="9">
        <f t="shared" si="10"/>
        <v>-27.7</v>
      </c>
      <c r="P88" s="8">
        <f>D86/B86*10^(O88/10)</f>
        <v>6.6231502446007964E-2</v>
      </c>
      <c r="Q88" s="26"/>
      <c r="R88" s="17"/>
      <c r="S88" s="19"/>
      <c r="T88" s="17"/>
      <c r="U88" s="22"/>
    </row>
    <row r="89" spans="1:21" x14ac:dyDescent="0.25">
      <c r="A89" s="24"/>
      <c r="B89" s="24"/>
      <c r="C89" s="17"/>
      <c r="D89" s="24"/>
      <c r="E89" s="24"/>
      <c r="F89" s="25"/>
      <c r="G89" s="1">
        <v>1175</v>
      </c>
      <c r="H89" s="2">
        <v>97.8</v>
      </c>
      <c r="I89" s="2">
        <v>-22.5</v>
      </c>
      <c r="J89" s="2">
        <v>-29.2</v>
      </c>
      <c r="K89" s="2">
        <f t="shared" si="8"/>
        <v>-22.5</v>
      </c>
      <c r="L89" s="8">
        <f t="shared" si="12"/>
        <v>9.3325430079698887E-13</v>
      </c>
      <c r="M89" s="26"/>
      <c r="N89" s="17"/>
      <c r="O89" s="9">
        <f t="shared" si="10"/>
        <v>-29.2</v>
      </c>
      <c r="P89" s="8">
        <f>D86/B86*10^(O89/10)</f>
        <v>4.6888312950079079E-2</v>
      </c>
      <c r="Q89" s="26"/>
      <c r="R89" s="17"/>
      <c r="S89" s="19"/>
      <c r="T89" s="17"/>
      <c r="U89" s="22"/>
    </row>
    <row r="90" spans="1:21" x14ac:dyDescent="0.25">
      <c r="A90" s="24"/>
      <c r="B90" s="24"/>
      <c r="C90" s="17"/>
      <c r="D90" s="24"/>
      <c r="E90" s="24"/>
      <c r="F90" s="25"/>
      <c r="G90" s="1">
        <v>1275</v>
      </c>
      <c r="H90" s="2">
        <v>100.1</v>
      </c>
      <c r="I90" s="2">
        <v>-24.9</v>
      </c>
      <c r="J90" s="2">
        <v>-26.1</v>
      </c>
      <c r="K90" s="2">
        <f t="shared" si="8"/>
        <v>-24.9</v>
      </c>
      <c r="L90" s="8">
        <f t="shared" si="12"/>
        <v>3.1622776601683746E-13</v>
      </c>
      <c r="M90" s="26"/>
      <c r="N90" s="17"/>
      <c r="O90" s="9">
        <f t="shared" si="10"/>
        <v>-26.1</v>
      </c>
      <c r="P90" s="8">
        <f>D86/B86*10^(O90/10)</f>
        <v>9.5733647711716024E-2</v>
      </c>
      <c r="Q90" s="26"/>
      <c r="R90" s="17"/>
      <c r="S90" s="19"/>
      <c r="T90" s="17"/>
      <c r="U90" s="22"/>
    </row>
    <row r="91" spans="1:21" x14ac:dyDescent="0.25">
      <c r="A91" s="24"/>
      <c r="B91" s="24"/>
      <c r="C91" s="17"/>
      <c r="D91" s="24"/>
      <c r="E91" s="24"/>
      <c r="F91" s="25"/>
      <c r="G91" s="1">
        <v>1375</v>
      </c>
      <c r="H91" s="2">
        <v>103</v>
      </c>
      <c r="I91" s="2">
        <v>-20.399999999999999</v>
      </c>
      <c r="J91" s="2">
        <v>-31</v>
      </c>
      <c r="K91" s="2">
        <f t="shared" si="8"/>
        <v>-20.399999999999999</v>
      </c>
      <c r="L91" s="8">
        <f t="shared" si="12"/>
        <v>4.5708818961487372E-13</v>
      </c>
      <c r="M91" s="26"/>
      <c r="N91" s="17"/>
      <c r="O91" s="9">
        <f t="shared" si="10"/>
        <v>-31</v>
      </c>
      <c r="P91" s="8">
        <f>D86/B86*10^(O91/10)</f>
        <v>3.0978801154246959E-2</v>
      </c>
      <c r="Q91" s="26"/>
      <c r="R91" s="17"/>
      <c r="S91" s="20"/>
      <c r="T91" s="17"/>
      <c r="U91" s="23"/>
    </row>
    <row r="92" spans="1:21" x14ac:dyDescent="0.25">
      <c r="A92" s="24">
        <v>2000</v>
      </c>
      <c r="B92" s="24">
        <v>3</v>
      </c>
      <c r="C92" s="17">
        <v>0.5</v>
      </c>
      <c r="D92" s="24">
        <v>234</v>
      </c>
      <c r="E92" s="24">
        <v>6</v>
      </c>
      <c r="F92" s="25">
        <v>68</v>
      </c>
      <c r="G92" s="1">
        <v>1425</v>
      </c>
      <c r="H92" s="2">
        <v>102.8</v>
      </c>
      <c r="I92" s="2">
        <v>-22.8</v>
      </c>
      <c r="J92" s="2">
        <v>-33.6</v>
      </c>
      <c r="K92" s="2">
        <f t="shared" si="8"/>
        <v>-22.8</v>
      </c>
      <c r="L92" s="8">
        <f t="shared" si="12"/>
        <v>2.754228703338164E-13</v>
      </c>
      <c r="M92" s="26">
        <f>SUM(L92:L97)</f>
        <v>3.5063387239513788E-12</v>
      </c>
      <c r="N92" s="17">
        <f>10*LOG10(M92/E92)</f>
        <v>-122.33297382311754</v>
      </c>
      <c r="O92" s="9">
        <f t="shared" si="10"/>
        <v>-33.6</v>
      </c>
      <c r="P92" s="8">
        <f>D92/B92*10^(O92/10)</f>
        <v>3.404823491473289E-2</v>
      </c>
      <c r="Q92" s="26">
        <f>SUM(P92:P97)</f>
        <v>0.95284427383665626</v>
      </c>
      <c r="R92" s="17">
        <f>10*LOG10(Q92)</f>
        <v>-0.20978071596401365</v>
      </c>
      <c r="S92" s="18">
        <f>F92+N92-Kzt-H</f>
        <v>-54.332973823117541</v>
      </c>
      <c r="T92" s="17">
        <v>1</v>
      </c>
      <c r="U92" s="21">
        <f>T92*10^((S92-R92)/10)</f>
        <v>3.8697302222050346E-6</v>
      </c>
    </row>
    <row r="93" spans="1:21" x14ac:dyDescent="0.25">
      <c r="A93" s="24"/>
      <c r="B93" s="24"/>
      <c r="C93" s="17"/>
      <c r="D93" s="24"/>
      <c r="E93" s="24"/>
      <c r="F93" s="25"/>
      <c r="G93" s="1">
        <v>1625</v>
      </c>
      <c r="H93" s="2">
        <v>104.1</v>
      </c>
      <c r="I93" s="2">
        <v>-22.6</v>
      </c>
      <c r="J93" s="2">
        <v>-25.8</v>
      </c>
      <c r="K93" s="2">
        <f t="shared" si="8"/>
        <v>-22.6</v>
      </c>
      <c r="L93" s="8">
        <f t="shared" si="12"/>
        <v>2.1379620895022328E-13</v>
      </c>
      <c r="M93" s="26"/>
      <c r="N93" s="17"/>
      <c r="O93" s="9">
        <f t="shared" si="10"/>
        <v>-25.8</v>
      </c>
      <c r="P93" s="8">
        <f>D92/B92*10^(O93/10)</f>
        <v>0.20516090336783957</v>
      </c>
      <c r="Q93" s="26"/>
      <c r="R93" s="17"/>
      <c r="S93" s="19"/>
      <c r="T93" s="17"/>
      <c r="U93" s="22"/>
    </row>
    <row r="94" spans="1:21" x14ac:dyDescent="0.25">
      <c r="A94" s="24"/>
      <c r="B94" s="24"/>
      <c r="C94" s="17"/>
      <c r="D94" s="24"/>
      <c r="E94" s="24"/>
      <c r="F94" s="25"/>
      <c r="G94" s="1">
        <v>1825</v>
      </c>
      <c r="H94" s="2">
        <v>107.6</v>
      </c>
      <c r="I94" s="2">
        <v>-24.2</v>
      </c>
      <c r="J94" s="2">
        <v>-26.2</v>
      </c>
      <c r="K94" s="2">
        <f t="shared" si="8"/>
        <v>-24.2</v>
      </c>
      <c r="L94" s="8">
        <f t="shared" si="12"/>
        <v>6.6069344800759699E-14</v>
      </c>
      <c r="M94" s="26"/>
      <c r="N94" s="17"/>
      <c r="O94" s="9">
        <f t="shared" si="10"/>
        <v>-26.2</v>
      </c>
      <c r="P94" s="8">
        <f>D92/B92*10^(O94/10)</f>
        <v>0.18710896768352012</v>
      </c>
      <c r="Q94" s="26"/>
      <c r="R94" s="17"/>
      <c r="S94" s="19"/>
      <c r="T94" s="17"/>
      <c r="U94" s="22"/>
    </row>
    <row r="95" spans="1:21" x14ac:dyDescent="0.25">
      <c r="A95" s="24"/>
      <c r="B95" s="24"/>
      <c r="C95" s="17"/>
      <c r="D95" s="24"/>
      <c r="E95" s="24"/>
      <c r="F95" s="25"/>
      <c r="G95" s="1">
        <v>2125</v>
      </c>
      <c r="H95" s="2">
        <v>104.2</v>
      </c>
      <c r="I95" s="2">
        <v>-28.8</v>
      </c>
      <c r="J95" s="2">
        <v>-29.4</v>
      </c>
      <c r="K95" s="2">
        <f t="shared" si="8"/>
        <v>-28.8</v>
      </c>
      <c r="L95" s="8">
        <f t="shared" si="12"/>
        <v>5.0118723362727011E-14</v>
      </c>
      <c r="M95" s="26"/>
      <c r="N95" s="17"/>
      <c r="O95" s="9">
        <f t="shared" si="10"/>
        <v>-29.4</v>
      </c>
      <c r="P95" s="8">
        <f>D92/B92*10^(O95/10)</f>
        <v>8.9555982476756835E-2</v>
      </c>
      <c r="Q95" s="26"/>
      <c r="R95" s="17"/>
      <c r="S95" s="19"/>
      <c r="T95" s="17"/>
      <c r="U95" s="22"/>
    </row>
    <row r="96" spans="1:21" x14ac:dyDescent="0.25">
      <c r="A96" s="24"/>
      <c r="B96" s="24"/>
      <c r="C96" s="17"/>
      <c r="D96" s="24"/>
      <c r="E96" s="24"/>
      <c r="F96" s="25"/>
      <c r="G96" s="1">
        <v>2425</v>
      </c>
      <c r="H96" s="2">
        <v>93.7</v>
      </c>
      <c r="I96" s="2">
        <v>-22.3</v>
      </c>
      <c r="J96" s="2">
        <v>-25.1</v>
      </c>
      <c r="K96" s="2">
        <f t="shared" si="8"/>
        <v>-22.3</v>
      </c>
      <c r="L96" s="8">
        <f t="shared" si="12"/>
        <v>2.5118864315095726E-12</v>
      </c>
      <c r="M96" s="26"/>
      <c r="N96" s="17"/>
      <c r="O96" s="9">
        <f t="shared" si="10"/>
        <v>-25.1</v>
      </c>
      <c r="P96" s="8">
        <f>D92/B92*10^(O96/10)</f>
        <v>0.24104304373605984</v>
      </c>
      <c r="Q96" s="26"/>
      <c r="R96" s="17"/>
      <c r="S96" s="19"/>
      <c r="T96" s="17"/>
      <c r="U96" s="22"/>
    </row>
    <row r="97" spans="1:21" x14ac:dyDescent="0.25">
      <c r="A97" s="24"/>
      <c r="B97" s="24"/>
      <c r="C97" s="17"/>
      <c r="D97" s="24"/>
      <c r="E97" s="24"/>
      <c r="F97" s="25"/>
      <c r="G97" s="1">
        <v>2775</v>
      </c>
      <c r="H97" s="2">
        <v>100.2</v>
      </c>
      <c r="I97" s="2">
        <v>-23.9</v>
      </c>
      <c r="J97" s="2">
        <v>-26</v>
      </c>
      <c r="K97" s="2">
        <f t="shared" si="8"/>
        <v>-23.9</v>
      </c>
      <c r="L97" s="8">
        <f t="shared" si="12"/>
        <v>3.8904514499427974E-13</v>
      </c>
      <c r="M97" s="26"/>
      <c r="N97" s="17"/>
      <c r="O97" s="9">
        <f t="shared" si="10"/>
        <v>-26</v>
      </c>
      <c r="P97" s="8">
        <f>D92/B92*10^(O97/10)</f>
        <v>0.19592714165774705</v>
      </c>
      <c r="Q97" s="26"/>
      <c r="R97" s="17"/>
      <c r="S97" s="20"/>
      <c r="T97" s="17"/>
      <c r="U97" s="23"/>
    </row>
    <row r="98" spans="1:21" x14ac:dyDescent="0.25">
      <c r="A98" s="24">
        <v>4000</v>
      </c>
      <c r="B98" s="24">
        <v>3</v>
      </c>
      <c r="C98" s="17">
        <v>0.5</v>
      </c>
      <c r="D98" s="24">
        <v>470</v>
      </c>
      <c r="E98" s="24">
        <v>6</v>
      </c>
      <c r="F98" s="25">
        <v>62</v>
      </c>
      <c r="G98" s="1">
        <v>2825</v>
      </c>
      <c r="H98" s="2">
        <v>99.4</v>
      </c>
      <c r="I98" s="2">
        <v>-22</v>
      </c>
      <c r="J98" s="2">
        <v>-29.8</v>
      </c>
      <c r="K98" s="2">
        <f t="shared" si="8"/>
        <v>-22</v>
      </c>
      <c r="L98" s="8">
        <f t="shared" si="12"/>
        <v>7.2443596007498653E-13</v>
      </c>
      <c r="M98" s="26">
        <f>SUM(L98:L103)</f>
        <v>2.3200630612352391E-12</v>
      </c>
      <c r="N98" s="17">
        <f>10*LOG10(M98/E98)</f>
        <v>-124.12651460848657</v>
      </c>
      <c r="O98" s="9">
        <f t="shared" si="10"/>
        <v>-29.8</v>
      </c>
      <c r="P98" s="8">
        <f>D98/B98*10^(O98/10)</f>
        <v>0.16405013919464079</v>
      </c>
      <c r="Q98" s="26">
        <f>SUM(P98:P103)</f>
        <v>1.5917813693443628</v>
      </c>
      <c r="R98" s="17">
        <f>10*LOG10(Q98)</f>
        <v>2.0188341729128498</v>
      </c>
      <c r="S98" s="18">
        <f>F98+N98-Kzt-H</f>
        <v>-62.126514608486573</v>
      </c>
      <c r="T98" s="17">
        <v>0.9</v>
      </c>
      <c r="U98" s="21">
        <f>T98*10^((S98-R98)/10)</f>
        <v>3.4650350443667634E-7</v>
      </c>
    </row>
    <row r="99" spans="1:21" x14ac:dyDescent="0.25">
      <c r="A99" s="24"/>
      <c r="B99" s="24"/>
      <c r="C99" s="17"/>
      <c r="D99" s="24"/>
      <c r="E99" s="24"/>
      <c r="F99" s="25"/>
      <c r="G99" s="1">
        <v>3425</v>
      </c>
      <c r="H99" s="2">
        <v>103.5</v>
      </c>
      <c r="I99" s="2">
        <v>-18.7</v>
      </c>
      <c r="J99" s="2">
        <v>-28.1</v>
      </c>
      <c r="K99" s="2">
        <f t="shared" si="8"/>
        <v>-18.7</v>
      </c>
      <c r="L99" s="8">
        <f t="shared" si="12"/>
        <v>6.025595860743553E-13</v>
      </c>
      <c r="M99" s="26"/>
      <c r="N99" s="17"/>
      <c r="O99" s="9">
        <f t="shared" si="10"/>
        <v>-28.1</v>
      </c>
      <c r="P99" s="8">
        <f>D98/B98*10^(O99/10)</f>
        <v>0.24264793696295522</v>
      </c>
      <c r="Q99" s="26"/>
      <c r="R99" s="17"/>
      <c r="S99" s="19"/>
      <c r="T99" s="17"/>
      <c r="U99" s="22"/>
    </row>
    <row r="100" spans="1:21" x14ac:dyDescent="0.25">
      <c r="A100" s="24"/>
      <c r="B100" s="24"/>
      <c r="C100" s="17"/>
      <c r="D100" s="24"/>
      <c r="E100" s="24"/>
      <c r="F100" s="25"/>
      <c r="G100" s="1">
        <v>4025</v>
      </c>
      <c r="H100" s="2">
        <v>103.6</v>
      </c>
      <c r="I100" s="2">
        <v>-24.6</v>
      </c>
      <c r="J100" s="2">
        <v>-29.8</v>
      </c>
      <c r="K100" s="2">
        <f t="shared" si="8"/>
        <v>-24.6</v>
      </c>
      <c r="L100" s="8">
        <f t="shared" si="12"/>
        <v>1.5135612484362107E-13</v>
      </c>
      <c r="M100" s="26"/>
      <c r="N100" s="17"/>
      <c r="O100" s="9">
        <f t="shared" si="10"/>
        <v>-29.8</v>
      </c>
      <c r="P100" s="8">
        <f>D98/B98*10^(O100/10)</f>
        <v>0.16405013919464079</v>
      </c>
      <c r="Q100" s="26"/>
      <c r="R100" s="17"/>
      <c r="S100" s="19"/>
      <c r="T100" s="17"/>
      <c r="U100" s="22"/>
    </row>
    <row r="101" spans="1:21" x14ac:dyDescent="0.25">
      <c r="A101" s="24"/>
      <c r="B101" s="24"/>
      <c r="C101" s="17"/>
      <c r="D101" s="24"/>
      <c r="E101" s="24"/>
      <c r="F101" s="25"/>
      <c r="G101" s="1">
        <v>4625</v>
      </c>
      <c r="H101" s="2">
        <v>105.6</v>
      </c>
      <c r="I101" s="2">
        <v>-25.6</v>
      </c>
      <c r="J101" s="2">
        <v>-26.6</v>
      </c>
      <c r="K101" s="2">
        <f t="shared" si="8"/>
        <v>-25.6</v>
      </c>
      <c r="L101" s="8">
        <f t="shared" si="12"/>
        <v>7.5857757502918174E-14</v>
      </c>
      <c r="M101" s="26"/>
      <c r="N101" s="17"/>
      <c r="O101" s="9">
        <f t="shared" si="10"/>
        <v>-26.6</v>
      </c>
      <c r="P101" s="8">
        <f>D98/B98*10^(O101/10)</f>
        <v>0.34274932108542944</v>
      </c>
      <c r="Q101" s="26"/>
      <c r="R101" s="17"/>
      <c r="S101" s="19"/>
      <c r="T101" s="17"/>
      <c r="U101" s="22"/>
    </row>
    <row r="102" spans="1:21" x14ac:dyDescent="0.25">
      <c r="A102" s="24"/>
      <c r="B102" s="24"/>
      <c r="C102" s="17"/>
      <c r="D102" s="24"/>
      <c r="E102" s="24"/>
      <c r="F102" s="25"/>
      <c r="G102" s="1">
        <v>5225</v>
      </c>
      <c r="H102" s="2">
        <v>103.5</v>
      </c>
      <c r="I102" s="2">
        <v>-25.2</v>
      </c>
      <c r="J102" s="2">
        <v>-25.4</v>
      </c>
      <c r="K102" s="2">
        <f t="shared" si="8"/>
        <v>-25.2</v>
      </c>
      <c r="L102" s="8">
        <f t="shared" si="12"/>
        <v>1.3489628825916516E-13</v>
      </c>
      <c r="M102" s="26"/>
      <c r="N102" s="17"/>
      <c r="O102" s="9">
        <f t="shared" si="10"/>
        <v>-25.4</v>
      </c>
      <c r="P102" s="8">
        <f>D98/B98*10^(O102/10)</f>
        <v>0.45183160215650131</v>
      </c>
      <c r="Q102" s="26"/>
      <c r="R102" s="17"/>
      <c r="S102" s="19"/>
      <c r="T102" s="17"/>
      <c r="U102" s="22"/>
    </row>
    <row r="103" spans="1:21" x14ac:dyDescent="0.25">
      <c r="A103" s="24"/>
      <c r="B103" s="24"/>
      <c r="C103" s="17"/>
      <c r="D103" s="24"/>
      <c r="E103" s="24"/>
      <c r="F103" s="25"/>
      <c r="G103" s="1">
        <v>5625</v>
      </c>
      <c r="H103" s="2">
        <v>99.5</v>
      </c>
      <c r="I103" s="2">
        <v>-22.5</v>
      </c>
      <c r="J103" s="2">
        <v>-28.4</v>
      </c>
      <c r="K103" s="2">
        <f t="shared" si="8"/>
        <v>-22.5</v>
      </c>
      <c r="L103" s="8">
        <f t="shared" si="12"/>
        <v>6.3095734448019283E-13</v>
      </c>
      <c r="M103" s="26"/>
      <c r="N103" s="17"/>
      <c r="O103" s="9">
        <f t="shared" si="10"/>
        <v>-28.4</v>
      </c>
      <c r="P103" s="8">
        <f>D98/B98*10^(O103/10)</f>
        <v>0.22645223075019524</v>
      </c>
      <c r="Q103" s="26"/>
      <c r="R103" s="17"/>
      <c r="S103" s="20"/>
      <c r="T103" s="17"/>
      <c r="U103" s="23"/>
    </row>
    <row r="104" spans="1:21" x14ac:dyDescent="0.25">
      <c r="A104" s="24">
        <v>8000</v>
      </c>
      <c r="B104" s="24">
        <v>3</v>
      </c>
      <c r="C104" s="17">
        <v>0.5</v>
      </c>
      <c r="D104" s="24">
        <v>943</v>
      </c>
      <c r="E104" s="24">
        <v>6</v>
      </c>
      <c r="F104" s="25">
        <v>54</v>
      </c>
      <c r="G104" s="1">
        <v>6025</v>
      </c>
      <c r="H104" s="2">
        <v>95</v>
      </c>
      <c r="I104" s="2">
        <v>-23.1</v>
      </c>
      <c r="J104" s="2">
        <v>-25.1</v>
      </c>
      <c r="K104" s="2">
        <f t="shared" si="8"/>
        <v>-23.1</v>
      </c>
      <c r="L104" s="8">
        <f t="shared" si="12"/>
        <v>1.5488166189124799E-12</v>
      </c>
      <c r="M104" s="26">
        <f>SUM(L104:L109)</f>
        <v>3.067039191566766E-11</v>
      </c>
      <c r="N104" s="17">
        <f>10*LOG10(M104/E104)</f>
        <v>-112.91431924817709</v>
      </c>
      <c r="O104" s="9">
        <f t="shared" si="10"/>
        <v>-25.1</v>
      </c>
      <c r="P104" s="8">
        <f>D104/B104*10^(O104/10)</f>
        <v>0.97138286428677101</v>
      </c>
      <c r="Q104" s="26">
        <f>SUM(P104:P109)</f>
        <v>3.8115999750872964</v>
      </c>
      <c r="R104" s="17">
        <f>10*LOG10(Q104)</f>
        <v>5.8110731543736858</v>
      </c>
      <c r="S104" s="18">
        <f>F104+N104-Kzt-H</f>
        <v>-58.914319248177094</v>
      </c>
      <c r="T104" s="17">
        <v>0.7</v>
      </c>
      <c r="U104" s="21">
        <f>T104*10^((S104-R104)/10)</f>
        <v>2.3580814384121151E-7</v>
      </c>
    </row>
    <row r="105" spans="1:21" x14ac:dyDescent="0.25">
      <c r="A105" s="24"/>
      <c r="B105" s="24"/>
      <c r="C105" s="17"/>
      <c r="D105" s="24"/>
      <c r="E105" s="24"/>
      <c r="F105" s="25"/>
      <c r="G105" s="1">
        <v>7025</v>
      </c>
      <c r="H105" s="2">
        <v>94.8</v>
      </c>
      <c r="I105" s="2">
        <v>-25.3</v>
      </c>
      <c r="J105" s="2">
        <v>-26.8</v>
      </c>
      <c r="K105" s="2">
        <f t="shared" si="8"/>
        <v>-25.3</v>
      </c>
      <c r="L105" s="8">
        <f t="shared" si="12"/>
        <v>9.7723722095580816E-13</v>
      </c>
      <c r="M105" s="26"/>
      <c r="N105" s="17"/>
      <c r="O105" s="9">
        <f t="shared" si="10"/>
        <v>-26.8</v>
      </c>
      <c r="P105" s="8">
        <f>D104/B104*10^(O105/10)</f>
        <v>0.65673541713178563</v>
      </c>
      <c r="Q105" s="26"/>
      <c r="R105" s="17"/>
      <c r="S105" s="19"/>
      <c r="T105" s="17"/>
      <c r="U105" s="22"/>
    </row>
    <row r="106" spans="1:21" x14ac:dyDescent="0.25">
      <c r="A106" s="24"/>
      <c r="B106" s="24"/>
      <c r="C106" s="17"/>
      <c r="D106" s="24"/>
      <c r="E106" s="24"/>
      <c r="F106" s="25"/>
      <c r="G106" s="1">
        <v>8025</v>
      </c>
      <c r="H106" s="2">
        <v>101.9</v>
      </c>
      <c r="I106" s="2">
        <v>-20.7</v>
      </c>
      <c r="J106" s="2">
        <v>-29.2</v>
      </c>
      <c r="K106" s="2">
        <f t="shared" si="8"/>
        <v>-20.7</v>
      </c>
      <c r="L106" s="8">
        <f t="shared" si="12"/>
        <v>5.4954087385762056E-13</v>
      </c>
      <c r="M106" s="26"/>
      <c r="N106" s="17"/>
      <c r="O106" s="9">
        <f t="shared" si="10"/>
        <v>-29.2</v>
      </c>
      <c r="P106" s="8">
        <f>D104/B104*10^(O106/10)</f>
        <v>0.37791178728140662</v>
      </c>
      <c r="Q106" s="26"/>
      <c r="R106" s="17"/>
      <c r="S106" s="19"/>
      <c r="T106" s="17"/>
      <c r="U106" s="22"/>
    </row>
    <row r="107" spans="1:21" x14ac:dyDescent="0.25">
      <c r="A107" s="24"/>
      <c r="B107" s="24"/>
      <c r="C107" s="17"/>
      <c r="D107" s="24"/>
      <c r="E107" s="24"/>
      <c r="F107" s="25"/>
      <c r="G107" s="1">
        <v>9025</v>
      </c>
      <c r="H107" s="2">
        <v>93.2</v>
      </c>
      <c r="I107" s="2">
        <v>-22.4</v>
      </c>
      <c r="J107" s="2">
        <v>-28.5</v>
      </c>
      <c r="K107" s="2">
        <f t="shared" si="8"/>
        <v>-22.4</v>
      </c>
      <c r="L107" s="8">
        <f t="shared" si="12"/>
        <v>2.7542287033381671E-12</v>
      </c>
      <c r="M107" s="26"/>
      <c r="N107" s="17"/>
      <c r="O107" s="9">
        <f t="shared" si="10"/>
        <v>-28.5</v>
      </c>
      <c r="P107" s="8">
        <f>D104/B104*10^(O107/10)</f>
        <v>0.44400763485975192</v>
      </c>
      <c r="Q107" s="26"/>
      <c r="R107" s="17"/>
      <c r="S107" s="19"/>
      <c r="T107" s="17"/>
      <c r="U107" s="22"/>
    </row>
    <row r="108" spans="1:21" x14ac:dyDescent="0.25">
      <c r="A108" s="24"/>
      <c r="B108" s="24"/>
      <c r="C108" s="17"/>
      <c r="D108" s="24"/>
      <c r="E108" s="24"/>
      <c r="F108" s="25"/>
      <c r="G108" s="1">
        <v>10025</v>
      </c>
      <c r="H108" s="2">
        <v>88.3</v>
      </c>
      <c r="I108" s="2">
        <v>-21.4</v>
      </c>
      <c r="J108" s="2">
        <v>-27.4</v>
      </c>
      <c r="K108" s="2">
        <f t="shared" si="8"/>
        <v>-21.4</v>
      </c>
      <c r="L108" s="8">
        <f t="shared" si="12"/>
        <v>1.0715193052376083E-11</v>
      </c>
      <c r="M108" s="26"/>
      <c r="N108" s="17"/>
      <c r="O108" s="9">
        <f t="shared" si="10"/>
        <v>-27.4</v>
      </c>
      <c r="P108" s="8">
        <f>D104/B104*10^(O108/10)</f>
        <v>0.57199263655640453</v>
      </c>
      <c r="Q108" s="26"/>
      <c r="R108" s="17"/>
      <c r="S108" s="19"/>
      <c r="T108" s="17"/>
      <c r="U108" s="22"/>
    </row>
    <row r="109" spans="1:21" x14ac:dyDescent="0.25">
      <c r="A109" s="24"/>
      <c r="B109" s="24"/>
      <c r="C109" s="17"/>
      <c r="D109" s="24"/>
      <c r="E109" s="24"/>
      <c r="F109" s="25"/>
      <c r="G109" s="1">
        <v>11025</v>
      </c>
      <c r="H109" s="2">
        <v>86</v>
      </c>
      <c r="I109" s="2">
        <v>-22.5</v>
      </c>
      <c r="J109" s="2">
        <v>-26</v>
      </c>
      <c r="K109" s="2">
        <f t="shared" si="8"/>
        <v>-22.5</v>
      </c>
      <c r="L109" s="8">
        <f t="shared" si="12"/>
        <v>1.4125375446227501E-11</v>
      </c>
      <c r="M109" s="26"/>
      <c r="N109" s="17"/>
      <c r="O109" s="9">
        <f t="shared" si="10"/>
        <v>-26</v>
      </c>
      <c r="P109" s="8">
        <f>D104/B104*10^(O109/10)</f>
        <v>0.78956963497117716</v>
      </c>
      <c r="Q109" s="26"/>
      <c r="R109" s="17"/>
      <c r="S109" s="20"/>
      <c r="T109" s="17"/>
      <c r="U109" s="23"/>
    </row>
    <row r="110" spans="1:21" x14ac:dyDescent="0.25">
      <c r="A110" s="24" t="s">
        <v>20</v>
      </c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12">
        <f>U110</f>
        <v>6.1160721232535555E-2</v>
      </c>
      <c r="T110" s="2"/>
      <c r="U110" s="8">
        <f>0.8*SQRT(SUM(U76:U109))</f>
        <v>6.1160721232535555E-2</v>
      </c>
    </row>
    <row r="111" spans="1:21" x14ac:dyDescent="0.25">
      <c r="A111" s="27" t="s">
        <v>95</v>
      </c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9"/>
    </row>
    <row r="112" spans="1:21" x14ac:dyDescent="0.25">
      <c r="A112" s="24">
        <v>250</v>
      </c>
      <c r="B112" s="24">
        <v>3</v>
      </c>
      <c r="C112" s="17">
        <v>0.5</v>
      </c>
      <c r="D112" s="24">
        <v>38</v>
      </c>
      <c r="E112" s="24">
        <v>4</v>
      </c>
      <c r="F112" s="25">
        <v>84</v>
      </c>
      <c r="G112" s="1">
        <v>175</v>
      </c>
      <c r="H112" s="2">
        <v>84.8</v>
      </c>
      <c r="I112" s="2">
        <v>-19.2</v>
      </c>
      <c r="J112" s="2">
        <v>-24.5</v>
      </c>
      <c r="K112" s="2">
        <f>I112</f>
        <v>-19.2</v>
      </c>
      <c r="L112" s="8">
        <f>10^((K112-H112)/10)</f>
        <v>3.9810717055349579E-11</v>
      </c>
      <c r="M112" s="26">
        <f>SUM(L112:L115)</f>
        <v>6.1322583373788675E-11</v>
      </c>
      <c r="N112" s="17">
        <f>10*LOG10(M112/E112)</f>
        <v>-108.144395489723</v>
      </c>
      <c r="O112" s="9">
        <f>J112</f>
        <v>-24.5</v>
      </c>
      <c r="P112" s="8">
        <f>D112/B112*10^(O112/10)</f>
        <v>4.4943029302919532E-2</v>
      </c>
      <c r="Q112" s="26">
        <f>SUM(P112:P115)</f>
        <v>0.16174323439253158</v>
      </c>
      <c r="R112" s="17">
        <f>10*LOG10(Q112)</f>
        <v>-7.9117387651671001</v>
      </c>
      <c r="S112" s="18">
        <f>F112+N112-Kzt-H</f>
        <v>-24.144395489722996</v>
      </c>
      <c r="T112" s="17">
        <v>0.2</v>
      </c>
      <c r="U112" s="21">
        <f>T112*10^((S112-R112)/10)</f>
        <v>4.7617251410933502E-3</v>
      </c>
    </row>
    <row r="113" spans="1:21" x14ac:dyDescent="0.25">
      <c r="A113" s="24"/>
      <c r="B113" s="24"/>
      <c r="C113" s="17"/>
      <c r="D113" s="24"/>
      <c r="E113" s="24"/>
      <c r="F113" s="25"/>
      <c r="G113" s="1">
        <v>225</v>
      </c>
      <c r="H113" s="2">
        <v>90</v>
      </c>
      <c r="I113" s="2">
        <v>-18.7</v>
      </c>
      <c r="J113" s="2">
        <v>-29</v>
      </c>
      <c r="K113" s="2">
        <f t="shared" ref="K113:K145" si="13">I113</f>
        <v>-18.7</v>
      </c>
      <c r="L113" s="8">
        <f t="shared" ref="L113:L114" si="14">10^((K113-H113)/10)</f>
        <v>1.348962882591645E-11</v>
      </c>
      <c r="M113" s="26"/>
      <c r="N113" s="17"/>
      <c r="O113" s="9">
        <f t="shared" ref="O113:O145" si="15">J113</f>
        <v>-29</v>
      </c>
      <c r="P113" s="8">
        <f>D112/B112*10^(O113/10)</f>
        <v>1.594638854939277E-2</v>
      </c>
      <c r="Q113" s="26"/>
      <c r="R113" s="17"/>
      <c r="S113" s="19"/>
      <c r="T113" s="17"/>
      <c r="U113" s="22"/>
    </row>
    <row r="114" spans="1:21" x14ac:dyDescent="0.25">
      <c r="A114" s="24"/>
      <c r="B114" s="24"/>
      <c r="C114" s="17"/>
      <c r="D114" s="24"/>
      <c r="E114" s="24"/>
      <c r="F114" s="25"/>
      <c r="G114" s="1">
        <v>275</v>
      </c>
      <c r="H114" s="2">
        <v>92.2</v>
      </c>
      <c r="I114" s="2">
        <v>-21</v>
      </c>
      <c r="J114" s="2">
        <v>-24</v>
      </c>
      <c r="K114" s="2">
        <f t="shared" si="13"/>
        <v>-21</v>
      </c>
      <c r="L114" s="8">
        <f t="shared" si="14"/>
        <v>4.7863009232263738E-12</v>
      </c>
      <c r="M114" s="26"/>
      <c r="N114" s="17"/>
      <c r="O114" s="9">
        <f t="shared" si="15"/>
        <v>-24</v>
      </c>
      <c r="P114" s="8">
        <f>D112/B112*10^(O114/10)</f>
        <v>5.0426908270109636E-2</v>
      </c>
      <c r="Q114" s="26"/>
      <c r="R114" s="17"/>
      <c r="S114" s="19"/>
      <c r="T114" s="17"/>
      <c r="U114" s="22"/>
    </row>
    <row r="115" spans="1:21" x14ac:dyDescent="0.25">
      <c r="A115" s="24"/>
      <c r="B115" s="24"/>
      <c r="C115" s="17"/>
      <c r="D115" s="24"/>
      <c r="E115" s="24"/>
      <c r="F115" s="25"/>
      <c r="G115" s="1">
        <v>325</v>
      </c>
      <c r="H115" s="2">
        <v>93.3</v>
      </c>
      <c r="I115" s="2">
        <v>-21.6</v>
      </c>
      <c r="J115" s="2">
        <v>-24</v>
      </c>
      <c r="K115" s="2">
        <f t="shared" si="13"/>
        <v>-21.6</v>
      </c>
      <c r="L115" s="8">
        <f>10^((K115-H115)/10)</f>
        <v>3.2359365692962695E-12</v>
      </c>
      <c r="M115" s="26"/>
      <c r="N115" s="17"/>
      <c r="O115" s="9">
        <f t="shared" si="15"/>
        <v>-24</v>
      </c>
      <c r="P115" s="8">
        <f>D112/B112*10^(O115/10)</f>
        <v>5.0426908270109636E-2</v>
      </c>
      <c r="Q115" s="26"/>
      <c r="R115" s="17"/>
      <c r="S115" s="20"/>
      <c r="T115" s="17"/>
      <c r="U115" s="23"/>
    </row>
    <row r="116" spans="1:21" x14ac:dyDescent="0.25">
      <c r="A116" s="24">
        <v>500</v>
      </c>
      <c r="B116" s="24">
        <v>3</v>
      </c>
      <c r="C116" s="17">
        <v>0.5</v>
      </c>
      <c r="D116" s="24">
        <v>59</v>
      </c>
      <c r="E116" s="24">
        <v>6</v>
      </c>
      <c r="F116" s="25">
        <v>84</v>
      </c>
      <c r="G116" s="1">
        <v>375</v>
      </c>
      <c r="H116" s="2">
        <v>91.9</v>
      </c>
      <c r="I116" s="2">
        <v>-27</v>
      </c>
      <c r="J116" s="2">
        <v>-28.6</v>
      </c>
      <c r="K116" s="2">
        <f t="shared" si="13"/>
        <v>-27</v>
      </c>
      <c r="L116" s="8">
        <f t="shared" ref="L116:L117" si="16">10^((K116-H116)/10)</f>
        <v>1.2882495516931293E-12</v>
      </c>
      <c r="M116" s="26">
        <f>SUM(L116:L121)</f>
        <v>2.7245050739160619E-11</v>
      </c>
      <c r="N116" s="17">
        <f>10*LOG10(M116/E116)</f>
        <v>-113.42863629344949</v>
      </c>
      <c r="O116" s="9">
        <f t="shared" si="15"/>
        <v>-28.6</v>
      </c>
      <c r="P116" s="8">
        <f>D116/B116*10^(O116/10)</f>
        <v>2.7147557203856709E-2</v>
      </c>
      <c r="Q116" s="26">
        <f>SUM(P116:P121)</f>
        <v>0.3035486833932679</v>
      </c>
      <c r="R116" s="17">
        <f>10*LOG10(Q116)</f>
        <v>-5.1777164648821108</v>
      </c>
      <c r="S116" s="18">
        <f>F116+N116-Kzt-H</f>
        <v>-29.428636293449486</v>
      </c>
      <c r="T116" s="17">
        <v>0.5</v>
      </c>
      <c r="U116" s="21">
        <f>T116*10^((S116-R116)/10)</f>
        <v>1.8787890548686596E-3</v>
      </c>
    </row>
    <row r="117" spans="1:21" x14ac:dyDescent="0.25">
      <c r="A117" s="24"/>
      <c r="B117" s="24"/>
      <c r="C117" s="17"/>
      <c r="D117" s="24"/>
      <c r="E117" s="24"/>
      <c r="F117" s="25"/>
      <c r="G117" s="1">
        <v>425</v>
      </c>
      <c r="H117" s="2">
        <v>88.1</v>
      </c>
      <c r="I117" s="2">
        <v>-20.399999999999999</v>
      </c>
      <c r="J117" s="2">
        <v>-28.7</v>
      </c>
      <c r="K117" s="2">
        <f t="shared" si="13"/>
        <v>-20.399999999999999</v>
      </c>
      <c r="L117" s="8">
        <f t="shared" si="16"/>
        <v>1.4125375446227501E-11</v>
      </c>
      <c r="M117" s="26"/>
      <c r="N117" s="17"/>
      <c r="O117" s="9">
        <f t="shared" si="15"/>
        <v>-28.7</v>
      </c>
      <c r="P117" s="8">
        <f>D116/B116*10^(O117/10)</f>
        <v>2.6529603357635829E-2</v>
      </c>
      <c r="Q117" s="26"/>
      <c r="R117" s="17"/>
      <c r="S117" s="19"/>
      <c r="T117" s="17"/>
      <c r="U117" s="22"/>
    </row>
    <row r="118" spans="1:21" x14ac:dyDescent="0.25">
      <c r="A118" s="24"/>
      <c r="B118" s="24"/>
      <c r="C118" s="17"/>
      <c r="D118" s="24"/>
      <c r="E118" s="24"/>
      <c r="F118" s="25"/>
      <c r="G118" s="1">
        <v>475</v>
      </c>
      <c r="H118" s="2">
        <v>90</v>
      </c>
      <c r="I118" s="2">
        <v>-22.6</v>
      </c>
      <c r="J118" s="2">
        <v>-23.4</v>
      </c>
      <c r="K118" s="2">
        <f t="shared" si="13"/>
        <v>-22.6</v>
      </c>
      <c r="L118" s="8">
        <f>10^((K118-H118)/10)</f>
        <v>5.4954087385762314E-12</v>
      </c>
      <c r="M118" s="26"/>
      <c r="N118" s="17"/>
      <c r="O118" s="9">
        <f t="shared" si="15"/>
        <v>-23.4</v>
      </c>
      <c r="P118" s="8">
        <f>D116/B116*10^(O118/10)</f>
        <v>8.9894010624258766E-2</v>
      </c>
      <c r="Q118" s="26"/>
      <c r="R118" s="17"/>
      <c r="S118" s="19"/>
      <c r="T118" s="17"/>
      <c r="U118" s="22"/>
    </row>
    <row r="119" spans="1:21" x14ac:dyDescent="0.25">
      <c r="A119" s="24"/>
      <c r="B119" s="24"/>
      <c r="C119" s="17"/>
      <c r="D119" s="24"/>
      <c r="E119" s="24"/>
      <c r="F119" s="25"/>
      <c r="G119" s="1">
        <v>575</v>
      </c>
      <c r="H119" s="2">
        <v>97</v>
      </c>
      <c r="I119" s="2">
        <v>-24.2</v>
      </c>
      <c r="J119" s="2">
        <v>-30.6</v>
      </c>
      <c r="K119" s="2">
        <f t="shared" si="13"/>
        <v>-24.2</v>
      </c>
      <c r="L119" s="8">
        <f t="shared" ref="L119:L145" si="17">10^((K119-H119)/10)</f>
        <v>7.5857757502917993E-13</v>
      </c>
      <c r="M119" s="26"/>
      <c r="N119" s="17"/>
      <c r="O119" s="9">
        <f t="shared" si="15"/>
        <v>-30.6</v>
      </c>
      <c r="P119" s="8">
        <f>D116/B116*10^(O119/10)</f>
        <v>1.7128950602469568E-2</v>
      </c>
      <c r="Q119" s="26"/>
      <c r="R119" s="17"/>
      <c r="S119" s="19"/>
      <c r="T119" s="17"/>
      <c r="U119" s="22"/>
    </row>
    <row r="120" spans="1:21" x14ac:dyDescent="0.25">
      <c r="A120" s="24"/>
      <c r="B120" s="24"/>
      <c r="C120" s="17"/>
      <c r="D120" s="24"/>
      <c r="E120" s="24"/>
      <c r="F120" s="25"/>
      <c r="G120" s="1">
        <v>625</v>
      </c>
      <c r="H120" s="2">
        <v>92</v>
      </c>
      <c r="I120" s="2">
        <v>-22.3</v>
      </c>
      <c r="J120" s="2">
        <v>-24.3</v>
      </c>
      <c r="K120" s="2">
        <f t="shared" si="13"/>
        <v>-22.3</v>
      </c>
      <c r="L120" s="8">
        <f t="shared" si="17"/>
        <v>3.7153522909717219E-12</v>
      </c>
      <c r="M120" s="26"/>
      <c r="N120" s="17"/>
      <c r="O120" s="9">
        <f t="shared" si="15"/>
        <v>-24.3</v>
      </c>
      <c r="P120" s="8">
        <f>D116/B116*10^(O120/10)</f>
        <v>7.3068595055777216E-2</v>
      </c>
      <c r="Q120" s="26"/>
      <c r="R120" s="17"/>
      <c r="S120" s="19"/>
      <c r="T120" s="17"/>
      <c r="U120" s="22"/>
    </row>
    <row r="121" spans="1:21" x14ac:dyDescent="0.25">
      <c r="A121" s="24"/>
      <c r="B121" s="24"/>
      <c r="C121" s="17"/>
      <c r="D121" s="24"/>
      <c r="E121" s="24"/>
      <c r="F121" s="25"/>
      <c r="G121" s="1">
        <v>675</v>
      </c>
      <c r="H121" s="2">
        <v>94.5</v>
      </c>
      <c r="I121" s="2">
        <v>-22.8</v>
      </c>
      <c r="J121" s="2">
        <v>-24.5</v>
      </c>
      <c r="K121" s="2">
        <f t="shared" si="13"/>
        <v>-22.8</v>
      </c>
      <c r="L121" s="8">
        <f t="shared" si="17"/>
        <v>1.8620871366628578E-12</v>
      </c>
      <c r="M121" s="26"/>
      <c r="N121" s="17"/>
      <c r="O121" s="9">
        <f t="shared" si="15"/>
        <v>-24.5</v>
      </c>
      <c r="P121" s="8">
        <f>D116/B116*10^(O121/10)</f>
        <v>6.9779966549269809E-2</v>
      </c>
      <c r="Q121" s="26"/>
      <c r="R121" s="17"/>
      <c r="S121" s="20"/>
      <c r="T121" s="17"/>
      <c r="U121" s="23"/>
    </row>
    <row r="122" spans="1:21" x14ac:dyDescent="0.25">
      <c r="A122" s="24">
        <v>1000</v>
      </c>
      <c r="B122" s="24">
        <v>3</v>
      </c>
      <c r="C122" s="17">
        <v>0.5</v>
      </c>
      <c r="D122" s="24">
        <v>117</v>
      </c>
      <c r="E122" s="24">
        <v>6</v>
      </c>
      <c r="F122" s="25">
        <v>76</v>
      </c>
      <c r="G122" s="1">
        <v>875</v>
      </c>
      <c r="H122" s="2">
        <v>91.1</v>
      </c>
      <c r="I122" s="2">
        <v>-23</v>
      </c>
      <c r="J122" s="2">
        <v>-23.4</v>
      </c>
      <c r="K122" s="2">
        <f t="shared" si="13"/>
        <v>-23</v>
      </c>
      <c r="L122" s="8">
        <f t="shared" si="17"/>
        <v>3.890451449942802E-12</v>
      </c>
      <c r="M122" s="26">
        <f>SUM(L122:L127)</f>
        <v>1.0476566067118261E-11</v>
      </c>
      <c r="N122" s="17">
        <f>10*LOG10(M122/E122)</f>
        <v>-117.57932294308938</v>
      </c>
      <c r="O122" s="9">
        <f t="shared" si="15"/>
        <v>-23.4</v>
      </c>
      <c r="P122" s="8">
        <f>D122/B122*10^(O122/10)</f>
        <v>0.17826439394980126</v>
      </c>
      <c r="Q122" s="26">
        <f>SUM(P122:P127)</f>
        <v>0.76751934087788176</v>
      </c>
      <c r="R122" s="17">
        <f>10*LOG10(Q122)</f>
        <v>-1.1491067183682642</v>
      </c>
      <c r="S122" s="18">
        <f>F122+N122-Kzt-H</f>
        <v>-41.57932294308938</v>
      </c>
      <c r="T122" s="17">
        <v>0.8</v>
      </c>
      <c r="U122" s="21">
        <f>T122*10^((S122-R122)/10)</f>
        <v>7.2455000622771864E-5</v>
      </c>
    </row>
    <row r="123" spans="1:21" x14ac:dyDescent="0.25">
      <c r="A123" s="24"/>
      <c r="B123" s="24"/>
      <c r="C123" s="17"/>
      <c r="D123" s="24"/>
      <c r="E123" s="24"/>
      <c r="F123" s="25"/>
      <c r="G123" s="1">
        <v>975</v>
      </c>
      <c r="H123" s="2">
        <v>96.5</v>
      </c>
      <c r="I123" s="2">
        <v>-21</v>
      </c>
      <c r="J123" s="2">
        <v>-27.4</v>
      </c>
      <c r="K123" s="2">
        <f t="shared" si="13"/>
        <v>-21</v>
      </c>
      <c r="L123" s="8">
        <f t="shared" si="17"/>
        <v>1.7782794100389204E-12</v>
      </c>
      <c r="M123" s="26"/>
      <c r="N123" s="17"/>
      <c r="O123" s="9">
        <f t="shared" si="15"/>
        <v>-27.4</v>
      </c>
      <c r="P123" s="8">
        <f>D122/B122*10^(O123/10)</f>
        <v>7.096833348578932E-2</v>
      </c>
      <c r="Q123" s="26"/>
      <c r="R123" s="17"/>
      <c r="S123" s="19"/>
      <c r="T123" s="17"/>
      <c r="U123" s="22"/>
    </row>
    <row r="124" spans="1:21" x14ac:dyDescent="0.25">
      <c r="A124" s="24"/>
      <c r="B124" s="24"/>
      <c r="C124" s="17"/>
      <c r="D124" s="24"/>
      <c r="E124" s="24"/>
      <c r="F124" s="25"/>
      <c r="G124" s="1">
        <v>1075</v>
      </c>
      <c r="H124" s="2">
        <v>94.6</v>
      </c>
      <c r="I124" s="2">
        <v>-21.3</v>
      </c>
      <c r="J124" s="2">
        <v>-25.6</v>
      </c>
      <c r="K124" s="2">
        <f t="shared" si="13"/>
        <v>-21.3</v>
      </c>
      <c r="L124" s="8">
        <f t="shared" si="17"/>
        <v>2.5703957827688561E-12</v>
      </c>
      <c r="M124" s="26"/>
      <c r="N124" s="17"/>
      <c r="O124" s="9">
        <f t="shared" si="15"/>
        <v>-25.6</v>
      </c>
      <c r="P124" s="8">
        <f>D122/B122*10^(O124/10)</f>
        <v>0.10741491943018844</v>
      </c>
      <c r="Q124" s="26"/>
      <c r="R124" s="17"/>
      <c r="S124" s="19"/>
      <c r="T124" s="17"/>
      <c r="U124" s="22"/>
    </row>
    <row r="125" spans="1:21" x14ac:dyDescent="0.25">
      <c r="A125" s="24"/>
      <c r="B125" s="24"/>
      <c r="C125" s="17"/>
      <c r="D125" s="24"/>
      <c r="E125" s="24"/>
      <c r="F125" s="25"/>
      <c r="G125" s="1">
        <v>1175</v>
      </c>
      <c r="H125" s="2">
        <v>97.8</v>
      </c>
      <c r="I125" s="2">
        <v>-21.7</v>
      </c>
      <c r="J125" s="2">
        <v>-23.3</v>
      </c>
      <c r="K125" s="2">
        <f t="shared" si="13"/>
        <v>-21.7</v>
      </c>
      <c r="L125" s="8">
        <f t="shared" si="17"/>
        <v>1.122018454301964E-12</v>
      </c>
      <c r="M125" s="26"/>
      <c r="N125" s="17"/>
      <c r="O125" s="9">
        <f t="shared" si="15"/>
        <v>-23.3</v>
      </c>
      <c r="P125" s="8">
        <f>D122/B122*10^(O125/10)</f>
        <v>0.18241670510200714</v>
      </c>
      <c r="Q125" s="26"/>
      <c r="R125" s="17"/>
      <c r="S125" s="19"/>
      <c r="T125" s="17"/>
      <c r="U125" s="22"/>
    </row>
    <row r="126" spans="1:21" x14ac:dyDescent="0.25">
      <c r="A126" s="24"/>
      <c r="B126" s="24"/>
      <c r="C126" s="17"/>
      <c r="D126" s="24"/>
      <c r="E126" s="24"/>
      <c r="F126" s="25"/>
      <c r="G126" s="1">
        <v>1275</v>
      </c>
      <c r="H126" s="2">
        <v>100.1</v>
      </c>
      <c r="I126" s="2">
        <v>-22.1</v>
      </c>
      <c r="J126" s="2">
        <v>-29.7</v>
      </c>
      <c r="K126" s="2">
        <f t="shared" si="13"/>
        <v>-22.1</v>
      </c>
      <c r="L126" s="8">
        <f t="shared" si="17"/>
        <v>6.0255958607435742E-13</v>
      </c>
      <c r="M126" s="26"/>
      <c r="N126" s="17"/>
      <c r="O126" s="9">
        <f t="shared" si="15"/>
        <v>-29.7</v>
      </c>
      <c r="P126" s="8">
        <f>D122/B122*10^(O126/10)</f>
        <v>4.1789252904266647E-2</v>
      </c>
      <c r="Q126" s="26"/>
      <c r="R126" s="17"/>
      <c r="S126" s="19"/>
      <c r="T126" s="17"/>
      <c r="U126" s="22"/>
    </row>
    <row r="127" spans="1:21" x14ac:dyDescent="0.25">
      <c r="A127" s="24"/>
      <c r="B127" s="24"/>
      <c r="C127" s="17"/>
      <c r="D127" s="24"/>
      <c r="E127" s="24"/>
      <c r="F127" s="25"/>
      <c r="G127" s="1">
        <v>1375</v>
      </c>
      <c r="H127" s="2">
        <v>103</v>
      </c>
      <c r="I127" s="2">
        <v>-19.899999999999999</v>
      </c>
      <c r="J127" s="2">
        <v>-23.2</v>
      </c>
      <c r="K127" s="2">
        <f t="shared" si="13"/>
        <v>-19.899999999999999</v>
      </c>
      <c r="L127" s="8">
        <f t="shared" si="17"/>
        <v>5.1286138399136307E-13</v>
      </c>
      <c r="M127" s="26"/>
      <c r="N127" s="17"/>
      <c r="O127" s="9">
        <f t="shared" si="15"/>
        <v>-23.2</v>
      </c>
      <c r="P127" s="8">
        <f>D122/B122*10^(O127/10)</f>
        <v>0.18666573600582897</v>
      </c>
      <c r="Q127" s="26"/>
      <c r="R127" s="17"/>
      <c r="S127" s="20"/>
      <c r="T127" s="17"/>
      <c r="U127" s="23"/>
    </row>
    <row r="128" spans="1:21" x14ac:dyDescent="0.25">
      <c r="A128" s="24">
        <v>2000</v>
      </c>
      <c r="B128" s="24">
        <v>3</v>
      </c>
      <c r="C128" s="17">
        <v>0.5</v>
      </c>
      <c r="D128" s="24">
        <v>234</v>
      </c>
      <c r="E128" s="24">
        <v>6</v>
      </c>
      <c r="F128" s="25">
        <v>68</v>
      </c>
      <c r="G128" s="1">
        <v>1425</v>
      </c>
      <c r="H128" s="2">
        <v>102.8</v>
      </c>
      <c r="I128" s="2">
        <v>-21.1</v>
      </c>
      <c r="J128" s="2">
        <v>-30.1</v>
      </c>
      <c r="K128" s="2">
        <f t="shared" si="13"/>
        <v>-21.1</v>
      </c>
      <c r="L128" s="8">
        <f t="shared" si="17"/>
        <v>4.0738027780411177E-13</v>
      </c>
      <c r="M128" s="26">
        <f>SUM(L128:L133)</f>
        <v>9.2807563233783274E-12</v>
      </c>
      <c r="N128" s="17">
        <f>10*LOG10(M128/E128)</f>
        <v>-118.10567880448686</v>
      </c>
      <c r="O128" s="9">
        <f t="shared" si="15"/>
        <v>-30.1</v>
      </c>
      <c r="P128" s="8">
        <f>D128/B128*10^(O128/10)</f>
        <v>7.6224503234553126E-2</v>
      </c>
      <c r="Q128" s="26">
        <f>SUM(P128:P133)</f>
        <v>0.5794071397132583</v>
      </c>
      <c r="R128" s="17">
        <f>10*LOG10(Q128)</f>
        <v>-2.3701615752893281</v>
      </c>
      <c r="S128" s="18">
        <f>F128+N128-Kzt-H</f>
        <v>-50.105678804486857</v>
      </c>
      <c r="T128" s="17">
        <v>1</v>
      </c>
      <c r="U128" s="21">
        <f>T128*10^((S128-R128)/10)</f>
        <v>1.6844118074049747E-5</v>
      </c>
    </row>
    <row r="129" spans="1:21" x14ac:dyDescent="0.25">
      <c r="A129" s="24"/>
      <c r="B129" s="24"/>
      <c r="C129" s="17"/>
      <c r="D129" s="24"/>
      <c r="E129" s="24"/>
      <c r="F129" s="25"/>
      <c r="G129" s="1">
        <v>1625</v>
      </c>
      <c r="H129" s="2">
        <v>104.1</v>
      </c>
      <c r="I129" s="2">
        <v>-20.7</v>
      </c>
      <c r="J129" s="2">
        <v>-27.9</v>
      </c>
      <c r="K129" s="2">
        <f t="shared" si="13"/>
        <v>-20.7</v>
      </c>
      <c r="L129" s="8">
        <f t="shared" si="17"/>
        <v>3.311311214825894E-13</v>
      </c>
      <c r="M129" s="26"/>
      <c r="N129" s="17"/>
      <c r="O129" s="9">
        <f t="shared" si="15"/>
        <v>-27.9</v>
      </c>
      <c r="P129" s="8">
        <f>D128/B128*10^(O129/10)</f>
        <v>0.12650118759399642</v>
      </c>
      <c r="Q129" s="26"/>
      <c r="R129" s="17"/>
      <c r="S129" s="19"/>
      <c r="T129" s="17"/>
      <c r="U129" s="22"/>
    </row>
    <row r="130" spans="1:21" x14ac:dyDescent="0.25">
      <c r="A130" s="24"/>
      <c r="B130" s="24"/>
      <c r="C130" s="17"/>
      <c r="D130" s="24"/>
      <c r="E130" s="24"/>
      <c r="F130" s="25"/>
      <c r="G130" s="1">
        <v>1825</v>
      </c>
      <c r="H130" s="2">
        <v>107.6</v>
      </c>
      <c r="I130" s="2">
        <v>-18.8</v>
      </c>
      <c r="J130" s="2">
        <v>-28.6</v>
      </c>
      <c r="K130" s="2">
        <f t="shared" si="13"/>
        <v>-18.8</v>
      </c>
      <c r="L130" s="8">
        <f t="shared" si="17"/>
        <v>2.290867652767773E-13</v>
      </c>
      <c r="M130" s="26"/>
      <c r="N130" s="17"/>
      <c r="O130" s="9">
        <f t="shared" si="15"/>
        <v>-28.6</v>
      </c>
      <c r="P130" s="8">
        <f>D128/B128*10^(O130/10)</f>
        <v>0.10766997263902491</v>
      </c>
      <c r="Q130" s="26"/>
      <c r="R130" s="17"/>
      <c r="S130" s="19"/>
      <c r="T130" s="17"/>
      <c r="U130" s="22"/>
    </row>
    <row r="131" spans="1:21" x14ac:dyDescent="0.25">
      <c r="A131" s="24"/>
      <c r="B131" s="24"/>
      <c r="C131" s="17"/>
      <c r="D131" s="24"/>
      <c r="E131" s="24"/>
      <c r="F131" s="25"/>
      <c r="G131" s="1">
        <v>2125</v>
      </c>
      <c r="H131" s="2">
        <v>104.2</v>
      </c>
      <c r="I131" s="2">
        <v>-23.7</v>
      </c>
      <c r="J131" s="2">
        <v>-28.2</v>
      </c>
      <c r="K131" s="2">
        <f t="shared" si="13"/>
        <v>-23.7</v>
      </c>
      <c r="L131" s="8">
        <f t="shared" si="17"/>
        <v>1.6218100973589207E-13</v>
      </c>
      <c r="M131" s="26"/>
      <c r="N131" s="17"/>
      <c r="O131" s="9">
        <f t="shared" si="15"/>
        <v>-28.2</v>
      </c>
      <c r="P131" s="8">
        <f>D128/B128*10^(O131/10)</f>
        <v>0.11805777737802417</v>
      </c>
      <c r="Q131" s="26"/>
      <c r="R131" s="17"/>
      <c r="S131" s="19"/>
      <c r="T131" s="17"/>
      <c r="U131" s="22"/>
    </row>
    <row r="132" spans="1:21" x14ac:dyDescent="0.25">
      <c r="A132" s="24"/>
      <c r="B132" s="24"/>
      <c r="C132" s="17"/>
      <c r="D132" s="24"/>
      <c r="E132" s="24"/>
      <c r="F132" s="25"/>
      <c r="G132" s="1">
        <v>2425</v>
      </c>
      <c r="H132" s="2">
        <v>93.7</v>
      </c>
      <c r="I132" s="2">
        <v>-17.8</v>
      </c>
      <c r="J132" s="2">
        <v>-30.4</v>
      </c>
      <c r="K132" s="2">
        <f t="shared" si="13"/>
        <v>-17.8</v>
      </c>
      <c r="L132" s="8">
        <f t="shared" si="17"/>
        <v>7.0794578438413538E-12</v>
      </c>
      <c r="M132" s="26"/>
      <c r="N132" s="17"/>
      <c r="O132" s="9">
        <f t="shared" si="15"/>
        <v>-30.4</v>
      </c>
      <c r="P132" s="8">
        <f>D128/B128*10^(O132/10)</f>
        <v>7.1136845469760873E-2</v>
      </c>
      <c r="Q132" s="26"/>
      <c r="R132" s="17"/>
      <c r="S132" s="19"/>
      <c r="T132" s="17"/>
      <c r="U132" s="22"/>
    </row>
    <row r="133" spans="1:21" x14ac:dyDescent="0.25">
      <c r="A133" s="24"/>
      <c r="B133" s="24"/>
      <c r="C133" s="17"/>
      <c r="D133" s="24"/>
      <c r="E133" s="24"/>
      <c r="F133" s="25"/>
      <c r="G133" s="1">
        <v>2775</v>
      </c>
      <c r="H133" s="2">
        <v>100.2</v>
      </c>
      <c r="I133" s="2">
        <v>-19.5</v>
      </c>
      <c r="J133" s="2">
        <v>-29.9</v>
      </c>
      <c r="K133" s="2">
        <f t="shared" si="13"/>
        <v>-19.5</v>
      </c>
      <c r="L133" s="8">
        <f t="shared" si="17"/>
        <v>1.0715193052376033E-12</v>
      </c>
      <c r="M133" s="26"/>
      <c r="N133" s="17"/>
      <c r="O133" s="9">
        <f t="shared" si="15"/>
        <v>-29.9</v>
      </c>
      <c r="P133" s="8">
        <f>D128/B128*10^(O133/10)</f>
        <v>7.9816853397898832E-2</v>
      </c>
      <c r="Q133" s="26"/>
      <c r="R133" s="17"/>
      <c r="S133" s="20"/>
      <c r="T133" s="17"/>
      <c r="U133" s="23"/>
    </row>
    <row r="134" spans="1:21" x14ac:dyDescent="0.25">
      <c r="A134" s="24">
        <v>4000</v>
      </c>
      <c r="B134" s="24">
        <v>3</v>
      </c>
      <c r="C134" s="17">
        <v>0.5</v>
      </c>
      <c r="D134" s="24">
        <v>470</v>
      </c>
      <c r="E134" s="24">
        <v>6</v>
      </c>
      <c r="F134" s="25">
        <v>62</v>
      </c>
      <c r="G134" s="1">
        <v>2825</v>
      </c>
      <c r="H134" s="2">
        <v>99.4</v>
      </c>
      <c r="I134" s="2">
        <v>-22.8</v>
      </c>
      <c r="J134" s="2">
        <v>-25.9</v>
      </c>
      <c r="K134" s="2">
        <f t="shared" si="13"/>
        <v>-22.8</v>
      </c>
      <c r="L134" s="8">
        <f t="shared" si="17"/>
        <v>6.025595860743553E-13</v>
      </c>
      <c r="M134" s="26">
        <f>SUM(L134:L139)</f>
        <v>2.6322757191403738E-12</v>
      </c>
      <c r="N134" s="17">
        <f>10*LOG10(M134/E134)</f>
        <v>-123.57819872649281</v>
      </c>
      <c r="O134" s="9">
        <f t="shared" si="15"/>
        <v>-25.9</v>
      </c>
      <c r="P134" s="8">
        <f>D134/B134*10^(O134/10)</f>
        <v>0.40269533930045526</v>
      </c>
      <c r="Q134" s="26">
        <f>SUM(P134:P139)</f>
        <v>2.0157583876063487</v>
      </c>
      <c r="R134" s="17">
        <f>10*LOG10(Q134)</f>
        <v>3.044384755821806</v>
      </c>
      <c r="S134" s="18">
        <f>F134+N134-Kzt-H</f>
        <v>-61.578198726492815</v>
      </c>
      <c r="T134" s="17">
        <v>0.9</v>
      </c>
      <c r="U134" s="21">
        <f>T134*10^((S134-R134)/10)</f>
        <v>3.1044463663873611E-7</v>
      </c>
    </row>
    <row r="135" spans="1:21" x14ac:dyDescent="0.25">
      <c r="A135" s="24"/>
      <c r="B135" s="24"/>
      <c r="C135" s="17"/>
      <c r="D135" s="24"/>
      <c r="E135" s="24"/>
      <c r="F135" s="25"/>
      <c r="G135" s="1">
        <v>3425</v>
      </c>
      <c r="H135" s="2">
        <v>103.5</v>
      </c>
      <c r="I135" s="2">
        <v>-22.7</v>
      </c>
      <c r="J135" s="2">
        <v>-29.1</v>
      </c>
      <c r="K135" s="2">
        <f t="shared" si="13"/>
        <v>-22.7</v>
      </c>
      <c r="L135" s="8">
        <f t="shared" si="17"/>
        <v>2.3988329190194817E-13</v>
      </c>
      <c r="M135" s="26"/>
      <c r="N135" s="17"/>
      <c r="O135" s="9">
        <f t="shared" si="15"/>
        <v>-29.1</v>
      </c>
      <c r="P135" s="8">
        <f>D134/B134*10^(O135/10)</f>
        <v>0.19274210742727299</v>
      </c>
      <c r="Q135" s="26"/>
      <c r="R135" s="17"/>
      <c r="S135" s="19"/>
      <c r="T135" s="17"/>
      <c r="U135" s="22"/>
    </row>
    <row r="136" spans="1:21" x14ac:dyDescent="0.25">
      <c r="A136" s="24"/>
      <c r="B136" s="24"/>
      <c r="C136" s="17"/>
      <c r="D136" s="24"/>
      <c r="E136" s="24"/>
      <c r="F136" s="25"/>
      <c r="G136" s="1">
        <v>4025</v>
      </c>
      <c r="H136" s="2">
        <v>103.6</v>
      </c>
      <c r="I136" s="2">
        <v>-24.7</v>
      </c>
      <c r="J136" s="2">
        <v>-26.4</v>
      </c>
      <c r="K136" s="2">
        <f t="shared" si="13"/>
        <v>-24.7</v>
      </c>
      <c r="L136" s="8">
        <f t="shared" si="17"/>
        <v>1.47910838816821E-13</v>
      </c>
      <c r="M136" s="26"/>
      <c r="N136" s="17"/>
      <c r="O136" s="9">
        <f t="shared" si="15"/>
        <v>-26.4</v>
      </c>
      <c r="P136" s="8">
        <f>D134/B134*10^(O136/10)</f>
        <v>0.35890259893361787</v>
      </c>
      <c r="Q136" s="26"/>
      <c r="R136" s="17"/>
      <c r="S136" s="19"/>
      <c r="T136" s="17"/>
      <c r="U136" s="22"/>
    </row>
    <row r="137" spans="1:21" x14ac:dyDescent="0.25">
      <c r="A137" s="24"/>
      <c r="B137" s="24"/>
      <c r="C137" s="17"/>
      <c r="D137" s="24"/>
      <c r="E137" s="24"/>
      <c r="F137" s="25"/>
      <c r="G137" s="1">
        <v>4625</v>
      </c>
      <c r="H137" s="2">
        <v>105.6</v>
      </c>
      <c r="I137" s="2">
        <v>-23.1</v>
      </c>
      <c r="J137" s="2">
        <v>-26.9</v>
      </c>
      <c r="K137" s="2">
        <f t="shared" si="13"/>
        <v>-23.1</v>
      </c>
      <c r="L137" s="8">
        <f t="shared" si="17"/>
        <v>1.3489628825916516E-13</v>
      </c>
      <c r="M137" s="26"/>
      <c r="N137" s="17"/>
      <c r="O137" s="9">
        <f t="shared" si="15"/>
        <v>-26.9</v>
      </c>
      <c r="P137" s="8">
        <f>D134/B134*10^(O137/10)</f>
        <v>0.31987227799822626</v>
      </c>
      <c r="Q137" s="26"/>
      <c r="R137" s="17"/>
      <c r="S137" s="19"/>
      <c r="T137" s="17"/>
      <c r="U137" s="22"/>
    </row>
    <row r="138" spans="1:21" x14ac:dyDescent="0.25">
      <c r="A138" s="24"/>
      <c r="B138" s="24"/>
      <c r="C138" s="17"/>
      <c r="D138" s="24"/>
      <c r="E138" s="24"/>
      <c r="F138" s="25"/>
      <c r="G138" s="1">
        <v>5225</v>
      </c>
      <c r="H138" s="2">
        <v>103.5</v>
      </c>
      <c r="I138" s="2">
        <v>-23.1</v>
      </c>
      <c r="J138" s="2">
        <v>-25.7</v>
      </c>
      <c r="K138" s="2">
        <f t="shared" si="13"/>
        <v>-23.1</v>
      </c>
      <c r="L138" s="8">
        <f t="shared" si="17"/>
        <v>2.1877616239495453E-13</v>
      </c>
      <c r="M138" s="26"/>
      <c r="N138" s="17"/>
      <c r="O138" s="9">
        <f t="shared" si="15"/>
        <v>-25.7</v>
      </c>
      <c r="P138" s="8">
        <f>D134/B134*10^(O138/10)</f>
        <v>0.42167378594854998</v>
      </c>
      <c r="Q138" s="26"/>
      <c r="R138" s="17"/>
      <c r="S138" s="19"/>
      <c r="T138" s="17"/>
      <c r="U138" s="22"/>
    </row>
    <row r="139" spans="1:21" x14ac:dyDescent="0.25">
      <c r="A139" s="24"/>
      <c r="B139" s="24"/>
      <c r="C139" s="17"/>
      <c r="D139" s="24"/>
      <c r="E139" s="24"/>
      <c r="F139" s="25"/>
      <c r="G139" s="1">
        <v>5625</v>
      </c>
      <c r="H139" s="2">
        <v>99.5</v>
      </c>
      <c r="I139" s="2">
        <v>-19.399999999999999</v>
      </c>
      <c r="J139" s="2">
        <v>-26.9</v>
      </c>
      <c r="K139" s="2">
        <f t="shared" si="13"/>
        <v>-19.399999999999999</v>
      </c>
      <c r="L139" s="8">
        <f t="shared" si="17"/>
        <v>1.2882495516931293E-12</v>
      </c>
      <c r="M139" s="26"/>
      <c r="N139" s="17"/>
      <c r="O139" s="9">
        <f t="shared" si="15"/>
        <v>-26.9</v>
      </c>
      <c r="P139" s="8">
        <f>D134/B134*10^(O139/10)</f>
        <v>0.31987227799822626</v>
      </c>
      <c r="Q139" s="26"/>
      <c r="R139" s="17"/>
      <c r="S139" s="20"/>
      <c r="T139" s="17"/>
      <c r="U139" s="23"/>
    </row>
    <row r="140" spans="1:21" x14ac:dyDescent="0.25">
      <c r="A140" s="24">
        <v>8000</v>
      </c>
      <c r="B140" s="24">
        <v>3</v>
      </c>
      <c r="C140" s="17">
        <v>0.5</v>
      </c>
      <c r="D140" s="24">
        <v>943</v>
      </c>
      <c r="E140" s="24">
        <v>6</v>
      </c>
      <c r="F140" s="25">
        <v>54</v>
      </c>
      <c r="G140" s="1">
        <v>6025</v>
      </c>
      <c r="H140" s="2">
        <v>95</v>
      </c>
      <c r="I140" s="2">
        <v>-27.2</v>
      </c>
      <c r="J140" s="2">
        <v>-27.6</v>
      </c>
      <c r="K140" s="2">
        <f t="shared" si="13"/>
        <v>-27.2</v>
      </c>
      <c r="L140" s="8">
        <f t="shared" si="17"/>
        <v>6.025595860743553E-13</v>
      </c>
      <c r="M140" s="26">
        <f>SUM(L140:L145)</f>
        <v>2.1807747049019051E-11</v>
      </c>
      <c r="N140" s="17">
        <f>10*LOG10(M140/E140)</f>
        <v>-114.39540449303735</v>
      </c>
      <c r="O140" s="9">
        <f t="shared" si="15"/>
        <v>-27.6</v>
      </c>
      <c r="P140" s="8">
        <f>D140/B140*10^(O140/10)</f>
        <v>0.54624872717021966</v>
      </c>
      <c r="Q140" s="26">
        <f>SUM(P140:P145)</f>
        <v>3.2575714519832455</v>
      </c>
      <c r="R140" s="17">
        <f>10*LOG10(Q140)</f>
        <v>5.1289395035905692</v>
      </c>
      <c r="S140" s="18">
        <f>F140+N140-Kzt-H</f>
        <v>-60.395404493037347</v>
      </c>
      <c r="T140" s="17">
        <v>0.7</v>
      </c>
      <c r="U140" s="21">
        <f>T140*10^((S140-R140)/10)</f>
        <v>1.9618402494600688E-7</v>
      </c>
    </row>
    <row r="141" spans="1:21" x14ac:dyDescent="0.25">
      <c r="A141" s="24"/>
      <c r="B141" s="24"/>
      <c r="C141" s="17"/>
      <c r="D141" s="24"/>
      <c r="E141" s="24"/>
      <c r="F141" s="25"/>
      <c r="G141" s="1">
        <v>7025</v>
      </c>
      <c r="H141" s="2">
        <v>94.8</v>
      </c>
      <c r="I141" s="2">
        <v>-25</v>
      </c>
      <c r="J141" s="2">
        <v>-25.5</v>
      </c>
      <c r="K141" s="2">
        <f t="shared" si="13"/>
        <v>-25</v>
      </c>
      <c r="L141" s="8">
        <f t="shared" si="17"/>
        <v>1.0471285480508967E-12</v>
      </c>
      <c r="M141" s="26"/>
      <c r="N141" s="17"/>
      <c r="O141" s="9">
        <f t="shared" si="15"/>
        <v>-25.5</v>
      </c>
      <c r="P141" s="8">
        <f>D140/B140*10^(O141/10)</f>
        <v>0.88591170139412612</v>
      </c>
      <c r="Q141" s="26"/>
      <c r="R141" s="17"/>
      <c r="S141" s="19"/>
      <c r="T141" s="17"/>
      <c r="U141" s="22"/>
    </row>
    <row r="142" spans="1:21" x14ac:dyDescent="0.25">
      <c r="A142" s="24"/>
      <c r="B142" s="24"/>
      <c r="C142" s="17"/>
      <c r="D142" s="24"/>
      <c r="E142" s="24"/>
      <c r="F142" s="25"/>
      <c r="G142" s="1">
        <v>8025</v>
      </c>
      <c r="H142" s="2">
        <v>101.9</v>
      </c>
      <c r="I142" s="2">
        <v>-21.7</v>
      </c>
      <c r="J142" s="2">
        <v>-27.2</v>
      </c>
      <c r="K142" s="2">
        <f t="shared" si="13"/>
        <v>-21.7</v>
      </c>
      <c r="L142" s="8">
        <f t="shared" si="17"/>
        <v>4.3651583224016317E-13</v>
      </c>
      <c r="M142" s="26"/>
      <c r="N142" s="17"/>
      <c r="O142" s="9">
        <f t="shared" si="15"/>
        <v>-27.2</v>
      </c>
      <c r="P142" s="8">
        <f>D140/B140*10^(O142/10)</f>
        <v>0.59894981901311406</v>
      </c>
      <c r="Q142" s="26"/>
      <c r="R142" s="17"/>
      <c r="S142" s="19"/>
      <c r="T142" s="17"/>
      <c r="U142" s="22"/>
    </row>
    <row r="143" spans="1:21" x14ac:dyDescent="0.25">
      <c r="A143" s="24"/>
      <c r="B143" s="24"/>
      <c r="C143" s="17"/>
      <c r="D143" s="24"/>
      <c r="E143" s="24"/>
      <c r="F143" s="25"/>
      <c r="G143" s="1">
        <v>9025</v>
      </c>
      <c r="H143" s="2">
        <v>93.2</v>
      </c>
      <c r="I143" s="2">
        <v>-20.399999999999999</v>
      </c>
      <c r="J143" s="2">
        <v>-28.3</v>
      </c>
      <c r="K143" s="2">
        <f t="shared" si="13"/>
        <v>-20.399999999999999</v>
      </c>
      <c r="L143" s="8">
        <f t="shared" si="17"/>
        <v>4.3651583224016522E-12</v>
      </c>
      <c r="M143" s="26"/>
      <c r="N143" s="17"/>
      <c r="O143" s="9">
        <f t="shared" si="15"/>
        <v>-28.3</v>
      </c>
      <c r="P143" s="8">
        <f>D140/B140*10^(O143/10)</f>
        <v>0.46493307001420625</v>
      </c>
      <c r="Q143" s="26"/>
      <c r="R143" s="17"/>
      <c r="S143" s="19"/>
      <c r="T143" s="17"/>
      <c r="U143" s="22"/>
    </row>
    <row r="144" spans="1:21" x14ac:dyDescent="0.25">
      <c r="A144" s="24"/>
      <c r="B144" s="24"/>
      <c r="C144" s="17"/>
      <c r="D144" s="24"/>
      <c r="E144" s="24"/>
      <c r="F144" s="25"/>
      <c r="G144" s="1">
        <v>10025</v>
      </c>
      <c r="H144" s="2">
        <v>88.3</v>
      </c>
      <c r="I144" s="2">
        <v>-22.7</v>
      </c>
      <c r="J144" s="2">
        <v>-28.4</v>
      </c>
      <c r="K144" s="2">
        <f t="shared" si="13"/>
        <v>-22.7</v>
      </c>
      <c r="L144" s="8">
        <f t="shared" si="17"/>
        <v>7.9432823472428101E-12</v>
      </c>
      <c r="M144" s="26"/>
      <c r="N144" s="17"/>
      <c r="O144" s="9">
        <f t="shared" si="15"/>
        <v>-28.4</v>
      </c>
      <c r="P144" s="8">
        <f>D140/B140*10^(O144/10)</f>
        <v>0.45434990127113639</v>
      </c>
      <c r="Q144" s="26"/>
      <c r="R144" s="17"/>
      <c r="S144" s="19"/>
      <c r="T144" s="17"/>
      <c r="U144" s="22"/>
    </row>
    <row r="145" spans="1:21" x14ac:dyDescent="0.25">
      <c r="A145" s="24"/>
      <c r="B145" s="24"/>
      <c r="C145" s="17"/>
      <c r="D145" s="24"/>
      <c r="E145" s="24"/>
      <c r="F145" s="25"/>
      <c r="G145" s="1">
        <v>11025</v>
      </c>
      <c r="H145" s="2">
        <v>86</v>
      </c>
      <c r="I145" s="2">
        <v>-25.3</v>
      </c>
      <c r="J145" s="2">
        <v>-30.1</v>
      </c>
      <c r="K145" s="2">
        <f t="shared" si="13"/>
        <v>-25.3</v>
      </c>
      <c r="L145" s="8">
        <f t="shared" si="17"/>
        <v>7.4131024130091739E-12</v>
      </c>
      <c r="M145" s="26"/>
      <c r="N145" s="17"/>
      <c r="O145" s="9">
        <f t="shared" si="15"/>
        <v>-30.1</v>
      </c>
      <c r="P145" s="8">
        <f>D140/B140*10^(O145/10)</f>
        <v>0.30717823312044273</v>
      </c>
      <c r="Q145" s="26"/>
      <c r="R145" s="17"/>
      <c r="S145" s="20"/>
      <c r="T145" s="17"/>
      <c r="U145" s="23"/>
    </row>
    <row r="146" spans="1:21" x14ac:dyDescent="0.25">
      <c r="A146" s="24" t="s">
        <v>20</v>
      </c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12">
        <f>U146</f>
        <v>6.5630821751103102E-2</v>
      </c>
      <c r="T146" s="2"/>
      <c r="U146" s="8">
        <f>0.8*SQRT(SUM(U112:U145))</f>
        <v>6.5630821751103102E-2</v>
      </c>
    </row>
    <row r="147" spans="1:21" x14ac:dyDescent="0.25">
      <c r="A147" s="27" t="s">
        <v>96</v>
      </c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9"/>
    </row>
    <row r="148" spans="1:21" x14ac:dyDescent="0.25">
      <c r="A148" s="24">
        <v>250</v>
      </c>
      <c r="B148" s="24">
        <v>3</v>
      </c>
      <c r="C148" s="17">
        <v>0.5</v>
      </c>
      <c r="D148" s="24">
        <v>38</v>
      </c>
      <c r="E148" s="24">
        <v>4</v>
      </c>
      <c r="F148" s="25">
        <v>84</v>
      </c>
      <c r="G148" s="1">
        <v>175</v>
      </c>
      <c r="H148" s="2">
        <v>84.8</v>
      </c>
      <c r="I148" s="2">
        <v>-17.2</v>
      </c>
      <c r="J148" s="2">
        <v>-28</v>
      </c>
      <c r="K148" s="2">
        <f>I148</f>
        <v>-17.2</v>
      </c>
      <c r="L148" s="8">
        <f>10^((K148-H148)/10)</f>
        <v>6.3095734448019192E-11</v>
      </c>
      <c r="M148" s="26">
        <f>SUM(L148:L151)</f>
        <v>7.8570172448332902E-11</v>
      </c>
      <c r="N148" s="17">
        <f>10*LOG10(M148/E148)</f>
        <v>-107.06802284978572</v>
      </c>
      <c r="O148" s="9">
        <f>J148</f>
        <v>-28</v>
      </c>
      <c r="P148" s="8">
        <f>D148/B148*10^(O148/10)</f>
        <v>2.0075313771174101E-2</v>
      </c>
      <c r="Q148" s="26">
        <f>SUM(P148:P151)</f>
        <v>8.700011943655514E-2</v>
      </c>
      <c r="R148" s="17">
        <f>10*LOG10(Q148)</f>
        <v>-10.604801511675744</v>
      </c>
      <c r="S148" s="18">
        <f>F148+N148-Kzt-H</f>
        <v>-23.06802284978572</v>
      </c>
      <c r="T148" s="17">
        <v>0.2</v>
      </c>
      <c r="U148" s="21">
        <f>T148*10^((S148-R148)/10)</f>
        <v>1.1342475813395859E-2</v>
      </c>
    </row>
    <row r="149" spans="1:21" x14ac:dyDescent="0.25">
      <c r="A149" s="24"/>
      <c r="B149" s="24"/>
      <c r="C149" s="17"/>
      <c r="D149" s="24"/>
      <c r="E149" s="24"/>
      <c r="F149" s="25"/>
      <c r="G149" s="1">
        <v>225</v>
      </c>
      <c r="H149" s="2">
        <v>90</v>
      </c>
      <c r="I149" s="2">
        <v>-24.3</v>
      </c>
      <c r="J149" s="2">
        <v>-28.2</v>
      </c>
      <c r="K149" s="2">
        <f t="shared" ref="K149:K181" si="18">I149</f>
        <v>-24.3</v>
      </c>
      <c r="L149" s="8">
        <f t="shared" ref="L149:L150" si="19">10^((K149-H149)/10)</f>
        <v>3.7153522909717219E-12</v>
      </c>
      <c r="M149" s="26"/>
      <c r="N149" s="17"/>
      <c r="O149" s="9">
        <f t="shared" ref="O149:O181" si="20">J149</f>
        <v>-28.2</v>
      </c>
      <c r="P149" s="8">
        <f>D148/B148*10^(O149/10)</f>
        <v>1.9171775813525291E-2</v>
      </c>
      <c r="Q149" s="26"/>
      <c r="R149" s="17"/>
      <c r="S149" s="19"/>
      <c r="T149" s="17"/>
      <c r="U149" s="22"/>
    </row>
    <row r="150" spans="1:21" x14ac:dyDescent="0.25">
      <c r="A150" s="24"/>
      <c r="B150" s="24"/>
      <c r="C150" s="17"/>
      <c r="D150" s="24"/>
      <c r="E150" s="24"/>
      <c r="F150" s="25"/>
      <c r="G150" s="1">
        <v>275</v>
      </c>
      <c r="H150" s="2">
        <v>92.2</v>
      </c>
      <c r="I150" s="2">
        <v>-18.7</v>
      </c>
      <c r="J150" s="2">
        <v>-26.4</v>
      </c>
      <c r="K150" s="2">
        <f t="shared" si="18"/>
        <v>-18.7</v>
      </c>
      <c r="L150" s="8">
        <f t="shared" si="19"/>
        <v>8.1283051616409864E-12</v>
      </c>
      <c r="M150" s="26"/>
      <c r="N150" s="17"/>
      <c r="O150" s="9">
        <f t="shared" si="20"/>
        <v>-26.4</v>
      </c>
      <c r="P150" s="8">
        <f>D148/B148*10^(O150/10)</f>
        <v>2.9017656935058464E-2</v>
      </c>
      <c r="Q150" s="26"/>
      <c r="R150" s="17"/>
      <c r="S150" s="19"/>
      <c r="T150" s="17"/>
      <c r="U150" s="22"/>
    </row>
    <row r="151" spans="1:21" x14ac:dyDescent="0.25">
      <c r="A151" s="24"/>
      <c r="B151" s="24"/>
      <c r="C151" s="17"/>
      <c r="D151" s="24"/>
      <c r="E151" s="24"/>
      <c r="F151" s="25"/>
      <c r="G151" s="1">
        <v>325</v>
      </c>
      <c r="H151" s="2">
        <v>93.3</v>
      </c>
      <c r="I151" s="2">
        <v>-21.1</v>
      </c>
      <c r="J151" s="2">
        <v>-28.3</v>
      </c>
      <c r="K151" s="2">
        <f t="shared" si="18"/>
        <v>-21.1</v>
      </c>
      <c r="L151" s="8">
        <f>10^((K151-H151)/10)</f>
        <v>3.6307805477009972E-12</v>
      </c>
      <c r="M151" s="26"/>
      <c r="N151" s="17"/>
      <c r="O151" s="9">
        <f t="shared" si="20"/>
        <v>-28.3</v>
      </c>
      <c r="P151" s="8">
        <f>D148/B148*10^(O151/10)</f>
        <v>1.8735372916797284E-2</v>
      </c>
      <c r="Q151" s="26"/>
      <c r="R151" s="17"/>
      <c r="S151" s="20"/>
      <c r="T151" s="17"/>
      <c r="U151" s="23"/>
    </row>
    <row r="152" spans="1:21" x14ac:dyDescent="0.25">
      <c r="A152" s="24">
        <v>500</v>
      </c>
      <c r="B152" s="24">
        <v>3</v>
      </c>
      <c r="C152" s="17">
        <v>0.5</v>
      </c>
      <c r="D152" s="24">
        <v>59</v>
      </c>
      <c r="E152" s="24">
        <v>6</v>
      </c>
      <c r="F152" s="25">
        <v>84</v>
      </c>
      <c r="G152" s="1">
        <v>375</v>
      </c>
      <c r="H152" s="2">
        <v>91.9</v>
      </c>
      <c r="I152" s="2">
        <v>-24.1</v>
      </c>
      <c r="J152" s="2">
        <v>-25.5</v>
      </c>
      <c r="K152" s="2">
        <f t="shared" si="18"/>
        <v>-24.1</v>
      </c>
      <c r="L152" s="8">
        <f t="shared" ref="L152:L153" si="21">10^((K152-H152)/10)</f>
        <v>2.5118864315095726E-12</v>
      </c>
      <c r="M152" s="26">
        <f>SUM(L152:L157)</f>
        <v>2.3153991902386742E-11</v>
      </c>
      <c r="N152" s="17">
        <f>10*LOG10(M152/E152)</f>
        <v>-114.1352537331378</v>
      </c>
      <c r="O152" s="9">
        <f t="shared" si="20"/>
        <v>-25.5</v>
      </c>
      <c r="P152" s="8">
        <f>D152/B152*10^(O152/10)</f>
        <v>5.5428197648200894E-2</v>
      </c>
      <c r="Q152" s="26">
        <f>SUM(P152:P157)</f>
        <v>0.24663536224286928</v>
      </c>
      <c r="R152" s="17">
        <f>10*LOG10(Q152)</f>
        <v>-6.0794465472359862</v>
      </c>
      <c r="S152" s="18">
        <f>F152+N152-Kzt-H</f>
        <v>-30.135253733137802</v>
      </c>
      <c r="T152" s="17">
        <v>0.5</v>
      </c>
      <c r="U152" s="21">
        <f>T152*10^((S152-R152)/10)</f>
        <v>1.9651209504180137E-3</v>
      </c>
    </row>
    <row r="153" spans="1:21" x14ac:dyDescent="0.25">
      <c r="A153" s="24"/>
      <c r="B153" s="24"/>
      <c r="C153" s="17"/>
      <c r="D153" s="24"/>
      <c r="E153" s="24"/>
      <c r="F153" s="25"/>
      <c r="G153" s="1">
        <v>425</v>
      </c>
      <c r="H153" s="2">
        <v>88.1</v>
      </c>
      <c r="I153" s="2">
        <v>-22.3</v>
      </c>
      <c r="J153" s="2">
        <v>-28.7</v>
      </c>
      <c r="K153" s="2">
        <f t="shared" si="18"/>
        <v>-22.3</v>
      </c>
      <c r="L153" s="8">
        <f t="shared" si="21"/>
        <v>9.1201083935590882E-12</v>
      </c>
      <c r="M153" s="26"/>
      <c r="N153" s="17"/>
      <c r="O153" s="9">
        <f t="shared" si="20"/>
        <v>-28.7</v>
      </c>
      <c r="P153" s="8">
        <f>D152/B152*10^(O153/10)</f>
        <v>2.6529603357635829E-2</v>
      </c>
      <c r="Q153" s="26"/>
      <c r="R153" s="17"/>
      <c r="S153" s="19"/>
      <c r="T153" s="17"/>
      <c r="U153" s="22"/>
    </row>
    <row r="154" spans="1:21" x14ac:dyDescent="0.25">
      <c r="A154" s="24"/>
      <c r="B154" s="24"/>
      <c r="C154" s="17"/>
      <c r="D154" s="24"/>
      <c r="E154" s="24"/>
      <c r="F154" s="25"/>
      <c r="G154" s="1">
        <v>475</v>
      </c>
      <c r="H154" s="2">
        <v>90</v>
      </c>
      <c r="I154" s="2">
        <v>-21.6</v>
      </c>
      <c r="J154" s="2">
        <v>-26.3</v>
      </c>
      <c r="K154" s="2">
        <f t="shared" si="18"/>
        <v>-21.6</v>
      </c>
      <c r="L154" s="8">
        <f>10^((K154-H154)/10)</f>
        <v>6.9183097091893405E-12</v>
      </c>
      <c r="M154" s="26"/>
      <c r="N154" s="17"/>
      <c r="O154" s="9">
        <f t="shared" si="20"/>
        <v>-26.3</v>
      </c>
      <c r="P154" s="8">
        <f>D152/B152*10^(O154/10)</f>
        <v>4.6103166701291769E-2</v>
      </c>
      <c r="Q154" s="26"/>
      <c r="R154" s="17"/>
      <c r="S154" s="19"/>
      <c r="T154" s="17"/>
      <c r="U154" s="22"/>
    </row>
    <row r="155" spans="1:21" x14ac:dyDescent="0.25">
      <c r="A155" s="24"/>
      <c r="B155" s="24"/>
      <c r="C155" s="17"/>
      <c r="D155" s="24"/>
      <c r="E155" s="24"/>
      <c r="F155" s="25"/>
      <c r="G155" s="1">
        <v>575</v>
      </c>
      <c r="H155" s="2">
        <v>97</v>
      </c>
      <c r="I155" s="2">
        <v>-22.8</v>
      </c>
      <c r="J155" s="2">
        <v>-26.3</v>
      </c>
      <c r="K155" s="2">
        <f t="shared" si="18"/>
        <v>-22.8</v>
      </c>
      <c r="L155" s="8">
        <f t="shared" ref="L155:L181" si="22">10^((K155-H155)/10)</f>
        <v>1.0471285480508967E-12</v>
      </c>
      <c r="M155" s="26"/>
      <c r="N155" s="17"/>
      <c r="O155" s="9">
        <f t="shared" si="20"/>
        <v>-26.3</v>
      </c>
      <c r="P155" s="8">
        <f>D152/B152*10^(O155/10)</f>
        <v>4.6103166701291769E-2</v>
      </c>
      <c r="Q155" s="26"/>
      <c r="R155" s="17"/>
      <c r="S155" s="19"/>
      <c r="T155" s="17"/>
      <c r="U155" s="22"/>
    </row>
    <row r="156" spans="1:21" x14ac:dyDescent="0.25">
      <c r="A156" s="24"/>
      <c r="B156" s="24"/>
      <c r="C156" s="17"/>
      <c r="D156" s="24"/>
      <c r="E156" s="24"/>
      <c r="F156" s="25"/>
      <c r="G156" s="1">
        <v>625</v>
      </c>
      <c r="H156" s="2">
        <v>92</v>
      </c>
      <c r="I156" s="2">
        <v>-25.5</v>
      </c>
      <c r="J156" s="2">
        <v>-29.1</v>
      </c>
      <c r="K156" s="2">
        <f t="shared" si="18"/>
        <v>-25.5</v>
      </c>
      <c r="L156" s="8">
        <f t="shared" si="22"/>
        <v>1.7782794100389204E-12</v>
      </c>
      <c r="M156" s="26"/>
      <c r="N156" s="17"/>
      <c r="O156" s="9">
        <f t="shared" si="20"/>
        <v>-29.1</v>
      </c>
      <c r="P156" s="8">
        <f>D152/B152*10^(O156/10)</f>
        <v>2.4195285825976822E-2</v>
      </c>
      <c r="Q156" s="26"/>
      <c r="R156" s="17"/>
      <c r="S156" s="19"/>
      <c r="T156" s="17"/>
      <c r="U156" s="22"/>
    </row>
    <row r="157" spans="1:21" x14ac:dyDescent="0.25">
      <c r="A157" s="24"/>
      <c r="B157" s="24"/>
      <c r="C157" s="17"/>
      <c r="D157" s="24"/>
      <c r="E157" s="24"/>
      <c r="F157" s="25"/>
      <c r="G157" s="1">
        <v>675</v>
      </c>
      <c r="H157" s="2">
        <v>94.5</v>
      </c>
      <c r="I157" s="2">
        <v>-23</v>
      </c>
      <c r="J157" s="2">
        <v>-26.1</v>
      </c>
      <c r="K157" s="2">
        <f t="shared" si="18"/>
        <v>-23</v>
      </c>
      <c r="L157" s="8">
        <f t="shared" si="22"/>
        <v>1.7782794100389204E-12</v>
      </c>
      <c r="M157" s="26"/>
      <c r="N157" s="17"/>
      <c r="O157" s="9">
        <f t="shared" si="20"/>
        <v>-26.1</v>
      </c>
      <c r="P157" s="8">
        <f>D152/B152*10^(O157/10)</f>
        <v>4.827594200847219E-2</v>
      </c>
      <c r="Q157" s="26"/>
      <c r="R157" s="17"/>
      <c r="S157" s="20"/>
      <c r="T157" s="17"/>
      <c r="U157" s="23"/>
    </row>
    <row r="158" spans="1:21" x14ac:dyDescent="0.25">
      <c r="A158" s="24">
        <v>1000</v>
      </c>
      <c r="B158" s="24">
        <v>3</v>
      </c>
      <c r="C158" s="17">
        <v>0.5</v>
      </c>
      <c r="D158" s="24">
        <v>117</v>
      </c>
      <c r="E158" s="24">
        <v>6</v>
      </c>
      <c r="F158" s="25">
        <v>76</v>
      </c>
      <c r="G158" s="1">
        <v>875</v>
      </c>
      <c r="H158" s="2">
        <v>91.1</v>
      </c>
      <c r="I158" s="2">
        <v>-21.6</v>
      </c>
      <c r="J158" s="2">
        <v>-24.1</v>
      </c>
      <c r="K158" s="2">
        <f t="shared" si="18"/>
        <v>-21.6</v>
      </c>
      <c r="L158" s="8">
        <f t="shared" si="22"/>
        <v>5.3703179637025143E-12</v>
      </c>
      <c r="M158" s="26">
        <f>SUM(L158:L163)</f>
        <v>1.2327222033302547E-11</v>
      </c>
      <c r="N158" s="17">
        <f>10*LOG10(M158/E158)</f>
        <v>-116.87286031982245</v>
      </c>
      <c r="O158" s="9">
        <f t="shared" si="20"/>
        <v>-24.1</v>
      </c>
      <c r="P158" s="8">
        <f>D158/B158*10^(O158/10)</f>
        <v>0.15172760654776929</v>
      </c>
      <c r="Q158" s="26">
        <f>SUM(P158:P163)</f>
        <v>0.51826773182436991</v>
      </c>
      <c r="R158" s="17">
        <f>10*LOG10(Q158)</f>
        <v>-2.8544583018588221</v>
      </c>
      <c r="S158" s="18">
        <f>F158+N158-Kzt-H</f>
        <v>-40.87286031982245</v>
      </c>
      <c r="T158" s="17">
        <v>0.8</v>
      </c>
      <c r="U158" s="21">
        <f>T158*10^((S158-R158)/10)</f>
        <v>1.2625534855475987E-4</v>
      </c>
    </row>
    <row r="159" spans="1:21" x14ac:dyDescent="0.25">
      <c r="A159" s="24"/>
      <c r="B159" s="24"/>
      <c r="C159" s="17"/>
      <c r="D159" s="24"/>
      <c r="E159" s="24"/>
      <c r="F159" s="25"/>
      <c r="G159" s="1">
        <v>975</v>
      </c>
      <c r="H159" s="2">
        <v>96.5</v>
      </c>
      <c r="I159" s="2">
        <v>-21.4</v>
      </c>
      <c r="J159" s="2">
        <v>-27.6</v>
      </c>
      <c r="K159" s="2">
        <f t="shared" si="18"/>
        <v>-21.4</v>
      </c>
      <c r="L159" s="8">
        <f t="shared" si="22"/>
        <v>1.6218100973589226E-12</v>
      </c>
      <c r="M159" s="26"/>
      <c r="N159" s="17"/>
      <c r="O159" s="9">
        <f t="shared" si="20"/>
        <v>-27.6</v>
      </c>
      <c r="P159" s="8">
        <f>D158/B158*10^(O159/10)</f>
        <v>6.7774232321225564E-2</v>
      </c>
      <c r="Q159" s="26"/>
      <c r="R159" s="17"/>
      <c r="S159" s="19"/>
      <c r="T159" s="17"/>
      <c r="U159" s="22"/>
    </row>
    <row r="160" spans="1:21" x14ac:dyDescent="0.25">
      <c r="A160" s="24"/>
      <c r="B160" s="24"/>
      <c r="C160" s="17"/>
      <c r="D160" s="24"/>
      <c r="E160" s="24"/>
      <c r="F160" s="25"/>
      <c r="G160" s="1">
        <v>1075</v>
      </c>
      <c r="H160" s="2">
        <v>94.6</v>
      </c>
      <c r="I160" s="2">
        <v>-19.3</v>
      </c>
      <c r="J160" s="2">
        <v>-28</v>
      </c>
      <c r="K160" s="2">
        <f t="shared" si="18"/>
        <v>-19.3</v>
      </c>
      <c r="L160" s="8">
        <f t="shared" si="22"/>
        <v>4.0738027780411221E-12</v>
      </c>
      <c r="M160" s="26"/>
      <c r="N160" s="17"/>
      <c r="O160" s="9">
        <f t="shared" si="20"/>
        <v>-28</v>
      </c>
      <c r="P160" s="8">
        <f>D158/B158*10^(O160/10)</f>
        <v>6.1810834505983424E-2</v>
      </c>
      <c r="Q160" s="26"/>
      <c r="R160" s="17"/>
      <c r="S160" s="19"/>
      <c r="T160" s="17"/>
      <c r="U160" s="22"/>
    </row>
    <row r="161" spans="1:21" x14ac:dyDescent="0.25">
      <c r="A161" s="24"/>
      <c r="B161" s="24"/>
      <c r="C161" s="17"/>
      <c r="D161" s="24"/>
      <c r="E161" s="24"/>
      <c r="F161" s="25"/>
      <c r="G161" s="1">
        <v>1175</v>
      </c>
      <c r="H161" s="2">
        <v>97.8</v>
      </c>
      <c r="I161" s="2">
        <v>-23.9</v>
      </c>
      <c r="J161" s="2">
        <v>-28.3</v>
      </c>
      <c r="K161" s="2">
        <f t="shared" si="18"/>
        <v>-23.9</v>
      </c>
      <c r="L161" s="8">
        <f t="shared" si="22"/>
        <v>6.7608297539198353E-13</v>
      </c>
      <c r="M161" s="26"/>
      <c r="N161" s="17"/>
      <c r="O161" s="9">
        <f t="shared" si="20"/>
        <v>-28.3</v>
      </c>
      <c r="P161" s="8">
        <f>D158/B158*10^(O161/10)</f>
        <v>5.7685227138560058E-2</v>
      </c>
      <c r="Q161" s="26"/>
      <c r="R161" s="17"/>
      <c r="S161" s="19"/>
      <c r="T161" s="17"/>
      <c r="U161" s="22"/>
    </row>
    <row r="162" spans="1:21" x14ac:dyDescent="0.25">
      <c r="A162" s="24"/>
      <c r="B162" s="24"/>
      <c r="C162" s="17"/>
      <c r="D162" s="24"/>
      <c r="E162" s="24"/>
      <c r="F162" s="25"/>
      <c r="G162" s="1">
        <v>1275</v>
      </c>
      <c r="H162" s="2">
        <v>100.1</v>
      </c>
      <c r="I162" s="2">
        <v>-23.8</v>
      </c>
      <c r="J162" s="2">
        <v>-27.5</v>
      </c>
      <c r="K162" s="2">
        <f t="shared" si="18"/>
        <v>-23.8</v>
      </c>
      <c r="L162" s="8">
        <f t="shared" si="22"/>
        <v>4.0738027780411313E-13</v>
      </c>
      <c r="M162" s="26"/>
      <c r="N162" s="17"/>
      <c r="O162" s="9">
        <f t="shared" si="20"/>
        <v>-27.5</v>
      </c>
      <c r="P162" s="8">
        <f>D158/B158*10^(O162/10)</f>
        <v>6.9352896991517976E-2</v>
      </c>
      <c r="Q162" s="26"/>
      <c r="R162" s="17"/>
      <c r="S162" s="19"/>
      <c r="T162" s="17"/>
      <c r="U162" s="22"/>
    </row>
    <row r="163" spans="1:21" x14ac:dyDescent="0.25">
      <c r="A163" s="24"/>
      <c r="B163" s="24"/>
      <c r="C163" s="17"/>
      <c r="D163" s="24"/>
      <c r="E163" s="24"/>
      <c r="F163" s="25"/>
      <c r="G163" s="1">
        <v>1375</v>
      </c>
      <c r="H163" s="2">
        <v>103</v>
      </c>
      <c r="I163" s="2">
        <v>-24.5</v>
      </c>
      <c r="J163" s="2">
        <v>-25.5</v>
      </c>
      <c r="K163" s="2">
        <f t="shared" si="18"/>
        <v>-24.5</v>
      </c>
      <c r="L163" s="8">
        <f t="shared" si="22"/>
        <v>1.7782794100389184E-13</v>
      </c>
      <c r="M163" s="26"/>
      <c r="N163" s="17"/>
      <c r="O163" s="9">
        <f t="shared" si="20"/>
        <v>-25.5</v>
      </c>
      <c r="P163" s="8">
        <f>D158/B158*10^(O163/10)</f>
        <v>0.10991693431931364</v>
      </c>
      <c r="Q163" s="26"/>
      <c r="R163" s="17"/>
      <c r="S163" s="20"/>
      <c r="T163" s="17"/>
      <c r="U163" s="23"/>
    </row>
    <row r="164" spans="1:21" x14ac:dyDescent="0.25">
      <c r="A164" s="24">
        <v>2000</v>
      </c>
      <c r="B164" s="24">
        <v>3</v>
      </c>
      <c r="C164" s="17">
        <v>0.5</v>
      </c>
      <c r="D164" s="24">
        <v>234</v>
      </c>
      <c r="E164" s="24">
        <v>6</v>
      </c>
      <c r="F164" s="25">
        <v>68</v>
      </c>
      <c r="G164" s="1">
        <v>1425</v>
      </c>
      <c r="H164" s="2">
        <v>102.8</v>
      </c>
      <c r="I164" s="2">
        <v>-20.8</v>
      </c>
      <c r="J164" s="2">
        <v>-25.7</v>
      </c>
      <c r="K164" s="2">
        <f t="shared" si="18"/>
        <v>-20.8</v>
      </c>
      <c r="L164" s="8">
        <f t="shared" si="22"/>
        <v>4.3651583224016479E-13</v>
      </c>
      <c r="M164" s="26">
        <f>SUM(L164:L169)</f>
        <v>4.0607785075694001E-12</v>
      </c>
      <c r="N164" s="17">
        <f>10*LOG10(M164/E164)</f>
        <v>-121.69541948547814</v>
      </c>
      <c r="O164" s="9">
        <f t="shared" si="20"/>
        <v>-25.7</v>
      </c>
      <c r="P164" s="8">
        <f>D164/B164*10^(O164/10)</f>
        <v>0.20993971470629935</v>
      </c>
      <c r="Q164" s="26">
        <f>SUM(P164:P169)</f>
        <v>1.1501556948741793</v>
      </c>
      <c r="R164" s="17">
        <f>10*LOG10(Q164)</f>
        <v>0.607566341343724</v>
      </c>
      <c r="S164" s="18">
        <f>F164+N164-Kzt-H</f>
        <v>-53.695419485478141</v>
      </c>
      <c r="T164" s="17">
        <v>1</v>
      </c>
      <c r="U164" s="21">
        <f>T164*10^((S164-R164)/10)</f>
        <v>3.7127988194365196E-6</v>
      </c>
    </row>
    <row r="165" spans="1:21" x14ac:dyDescent="0.25">
      <c r="A165" s="24"/>
      <c r="B165" s="24"/>
      <c r="C165" s="17"/>
      <c r="D165" s="24"/>
      <c r="E165" s="24"/>
      <c r="F165" s="25"/>
      <c r="G165" s="1">
        <v>1625</v>
      </c>
      <c r="H165" s="2">
        <v>104.1</v>
      </c>
      <c r="I165" s="2">
        <v>-20.7</v>
      </c>
      <c r="J165" s="2">
        <v>-26.5</v>
      </c>
      <c r="K165" s="2">
        <f t="shared" si="18"/>
        <v>-20.7</v>
      </c>
      <c r="L165" s="8">
        <f t="shared" si="22"/>
        <v>3.311311214825894E-13</v>
      </c>
      <c r="M165" s="26"/>
      <c r="N165" s="17"/>
      <c r="O165" s="9">
        <f t="shared" si="20"/>
        <v>-26.5</v>
      </c>
      <c r="P165" s="8">
        <f>D164/B164*10^(O165/10)</f>
        <v>0.17462024880833041</v>
      </c>
      <c r="Q165" s="26"/>
      <c r="R165" s="17"/>
      <c r="S165" s="19"/>
      <c r="T165" s="17"/>
      <c r="U165" s="22"/>
    </row>
    <row r="166" spans="1:21" x14ac:dyDescent="0.25">
      <c r="A166" s="24"/>
      <c r="B166" s="24"/>
      <c r="C166" s="17"/>
      <c r="D166" s="24"/>
      <c r="E166" s="24"/>
      <c r="F166" s="25"/>
      <c r="G166" s="1">
        <v>1825</v>
      </c>
      <c r="H166" s="2">
        <v>107.6</v>
      </c>
      <c r="I166" s="2">
        <v>-19.899999999999999</v>
      </c>
      <c r="J166" s="2">
        <v>-26</v>
      </c>
      <c r="K166" s="2">
        <f t="shared" si="18"/>
        <v>-19.899999999999999</v>
      </c>
      <c r="L166" s="8">
        <f t="shared" si="22"/>
        <v>1.7782794100389184E-13</v>
      </c>
      <c r="M166" s="26"/>
      <c r="N166" s="17"/>
      <c r="O166" s="9">
        <f t="shared" si="20"/>
        <v>-26</v>
      </c>
      <c r="P166" s="8">
        <f>D164/B164*10^(O166/10)</f>
        <v>0.19592714165774705</v>
      </c>
      <c r="Q166" s="26"/>
      <c r="R166" s="17"/>
      <c r="S166" s="19"/>
      <c r="T166" s="17"/>
      <c r="U166" s="22"/>
    </row>
    <row r="167" spans="1:21" x14ac:dyDescent="0.25">
      <c r="A167" s="24"/>
      <c r="B167" s="24"/>
      <c r="C167" s="17"/>
      <c r="D167" s="24"/>
      <c r="E167" s="24"/>
      <c r="F167" s="25"/>
      <c r="G167" s="1">
        <v>2125</v>
      </c>
      <c r="H167" s="2">
        <v>104.2</v>
      </c>
      <c r="I167" s="2">
        <v>-25.8</v>
      </c>
      <c r="J167" s="2">
        <v>-33.9</v>
      </c>
      <c r="K167" s="2">
        <f t="shared" si="18"/>
        <v>-25.8</v>
      </c>
      <c r="L167" s="8">
        <f t="shared" si="22"/>
        <v>1E-13</v>
      </c>
      <c r="M167" s="26"/>
      <c r="N167" s="17"/>
      <c r="O167" s="9">
        <f t="shared" si="20"/>
        <v>-33.9</v>
      </c>
      <c r="P167" s="8">
        <f>D164/B164*10^(O167/10)</f>
        <v>3.1775661668720812E-2</v>
      </c>
      <c r="Q167" s="26"/>
      <c r="R167" s="17"/>
      <c r="S167" s="19"/>
      <c r="T167" s="17"/>
      <c r="U167" s="22"/>
    </row>
    <row r="168" spans="1:21" x14ac:dyDescent="0.25">
      <c r="A168" s="24"/>
      <c r="B168" s="24"/>
      <c r="C168" s="17"/>
      <c r="D168" s="24"/>
      <c r="E168" s="24"/>
      <c r="F168" s="25"/>
      <c r="G168" s="1">
        <v>2425</v>
      </c>
      <c r="H168" s="2">
        <v>93.7</v>
      </c>
      <c r="I168" s="2">
        <v>-22.7</v>
      </c>
      <c r="J168" s="2">
        <v>-23.7</v>
      </c>
      <c r="K168" s="2">
        <f t="shared" si="18"/>
        <v>-22.7</v>
      </c>
      <c r="L168" s="8">
        <f t="shared" si="22"/>
        <v>2.2908676527677675E-12</v>
      </c>
      <c r="M168" s="26"/>
      <c r="N168" s="17"/>
      <c r="O168" s="9">
        <f t="shared" si="20"/>
        <v>-23.7</v>
      </c>
      <c r="P168" s="8">
        <f>D164/B164*10^(O168/10)</f>
        <v>0.33273202466524215</v>
      </c>
      <c r="Q168" s="26"/>
      <c r="R168" s="17"/>
      <c r="S168" s="19"/>
      <c r="T168" s="17"/>
      <c r="U168" s="22"/>
    </row>
    <row r="169" spans="1:21" x14ac:dyDescent="0.25">
      <c r="A169" s="24"/>
      <c r="B169" s="24"/>
      <c r="C169" s="17"/>
      <c r="D169" s="24"/>
      <c r="E169" s="24"/>
      <c r="F169" s="25"/>
      <c r="G169" s="1">
        <v>2775</v>
      </c>
      <c r="H169" s="2">
        <v>100.2</v>
      </c>
      <c r="I169" s="2">
        <v>-21.2</v>
      </c>
      <c r="J169" s="2">
        <v>-25.8</v>
      </c>
      <c r="K169" s="2">
        <f t="shared" si="18"/>
        <v>-21.2</v>
      </c>
      <c r="L169" s="8">
        <f t="shared" si="22"/>
        <v>7.2443596007498653E-13</v>
      </c>
      <c r="M169" s="26"/>
      <c r="N169" s="17"/>
      <c r="O169" s="9">
        <f t="shared" si="20"/>
        <v>-25.8</v>
      </c>
      <c r="P169" s="8">
        <f>D164/B164*10^(O169/10)</f>
        <v>0.20516090336783957</v>
      </c>
      <c r="Q169" s="26"/>
      <c r="R169" s="17"/>
      <c r="S169" s="20"/>
      <c r="T169" s="17"/>
      <c r="U169" s="23"/>
    </row>
    <row r="170" spans="1:21" x14ac:dyDescent="0.25">
      <c r="A170" s="24">
        <v>4000</v>
      </c>
      <c r="B170" s="24">
        <v>3</v>
      </c>
      <c r="C170" s="17">
        <v>0.5</v>
      </c>
      <c r="D170" s="24">
        <v>470</v>
      </c>
      <c r="E170" s="24">
        <v>6</v>
      </c>
      <c r="F170" s="25">
        <v>62</v>
      </c>
      <c r="G170" s="1">
        <v>2825</v>
      </c>
      <c r="H170" s="2">
        <v>99.4</v>
      </c>
      <c r="I170" s="2">
        <v>-22.1</v>
      </c>
      <c r="J170" s="2">
        <v>-27.9</v>
      </c>
      <c r="K170" s="2">
        <f t="shared" si="18"/>
        <v>-22.1</v>
      </c>
      <c r="L170" s="8">
        <f t="shared" si="22"/>
        <v>7.0794578438413455E-13</v>
      </c>
      <c r="M170" s="26">
        <f>SUM(L170:L175)</f>
        <v>2.6841802535195797E-12</v>
      </c>
      <c r="N170" s="17">
        <f>10*LOG10(M170/E170)</f>
        <v>-123.49339573282991</v>
      </c>
      <c r="O170" s="9">
        <f t="shared" si="20"/>
        <v>-27.9</v>
      </c>
      <c r="P170" s="8">
        <f>D170/B170*10^(O170/10)</f>
        <v>0.25408358191956543</v>
      </c>
      <c r="Q170" s="26">
        <f>SUM(P170:P175)</f>
        <v>2.3383387257382875</v>
      </c>
      <c r="R170" s="17">
        <f>10*LOG10(Q170)</f>
        <v>3.6890742216532164</v>
      </c>
      <c r="S170" s="18">
        <f>F170+N170-Kzt-H</f>
        <v>-61.49339573282991</v>
      </c>
      <c r="T170" s="17">
        <v>0.9</v>
      </c>
      <c r="U170" s="21">
        <f>T170*10^((S170-R170)/10)</f>
        <v>2.7289495942029663E-7</v>
      </c>
    </row>
    <row r="171" spans="1:21" x14ac:dyDescent="0.25">
      <c r="A171" s="24"/>
      <c r="B171" s="24"/>
      <c r="C171" s="17"/>
      <c r="D171" s="24"/>
      <c r="E171" s="24"/>
      <c r="F171" s="25"/>
      <c r="G171" s="1">
        <v>3425</v>
      </c>
      <c r="H171" s="2">
        <v>103.5</v>
      </c>
      <c r="I171" s="2">
        <v>-23.1</v>
      </c>
      <c r="J171" s="2">
        <v>-26.6</v>
      </c>
      <c r="K171" s="2">
        <f t="shared" si="18"/>
        <v>-23.1</v>
      </c>
      <c r="L171" s="8">
        <f t="shared" si="22"/>
        <v>2.1877616239495453E-13</v>
      </c>
      <c r="M171" s="26"/>
      <c r="N171" s="17"/>
      <c r="O171" s="9">
        <f t="shared" si="20"/>
        <v>-26.6</v>
      </c>
      <c r="P171" s="8">
        <f>D170/B170*10^(O171/10)</f>
        <v>0.34274932108542944</v>
      </c>
      <c r="Q171" s="26"/>
      <c r="R171" s="17"/>
      <c r="S171" s="19"/>
      <c r="T171" s="17"/>
      <c r="U171" s="22"/>
    </row>
    <row r="172" spans="1:21" x14ac:dyDescent="0.25">
      <c r="A172" s="24"/>
      <c r="B172" s="24"/>
      <c r="C172" s="17"/>
      <c r="D172" s="24"/>
      <c r="E172" s="24"/>
      <c r="F172" s="25"/>
      <c r="G172" s="1">
        <v>4025</v>
      </c>
      <c r="H172" s="2">
        <v>103.6</v>
      </c>
      <c r="I172" s="2">
        <v>-23.5</v>
      </c>
      <c r="J172" s="2">
        <v>-26.8</v>
      </c>
      <c r="K172" s="2">
        <f t="shared" si="18"/>
        <v>-23.5</v>
      </c>
      <c r="L172" s="8">
        <f t="shared" si="22"/>
        <v>1.9498445997580464E-13</v>
      </c>
      <c r="M172" s="26"/>
      <c r="N172" s="17"/>
      <c r="O172" s="9">
        <f t="shared" si="20"/>
        <v>-26.8</v>
      </c>
      <c r="P172" s="8">
        <f>D170/B170*10^(O172/10)</f>
        <v>0.32732306050046583</v>
      </c>
      <c r="Q172" s="26"/>
      <c r="R172" s="17"/>
      <c r="S172" s="19"/>
      <c r="T172" s="17"/>
      <c r="U172" s="22"/>
    </row>
    <row r="173" spans="1:21" x14ac:dyDescent="0.25">
      <c r="A173" s="24"/>
      <c r="B173" s="24"/>
      <c r="C173" s="17"/>
      <c r="D173" s="24"/>
      <c r="E173" s="24"/>
      <c r="F173" s="25"/>
      <c r="G173" s="1">
        <v>4625</v>
      </c>
      <c r="H173" s="2">
        <v>105.6</v>
      </c>
      <c r="I173" s="2">
        <v>-21.1</v>
      </c>
      <c r="J173" s="2">
        <v>-25.4</v>
      </c>
      <c r="K173" s="2">
        <f t="shared" si="18"/>
        <v>-21.1</v>
      </c>
      <c r="L173" s="8">
        <f t="shared" si="22"/>
        <v>2.1379620895022328E-13</v>
      </c>
      <c r="M173" s="26"/>
      <c r="N173" s="17"/>
      <c r="O173" s="9">
        <f t="shared" si="20"/>
        <v>-25.4</v>
      </c>
      <c r="P173" s="8">
        <f>D170/B170*10^(O173/10)</f>
        <v>0.45183160215650131</v>
      </c>
      <c r="Q173" s="26"/>
      <c r="R173" s="17"/>
      <c r="S173" s="19"/>
      <c r="T173" s="17"/>
      <c r="U173" s="22"/>
    </row>
    <row r="174" spans="1:21" x14ac:dyDescent="0.25">
      <c r="A174" s="24"/>
      <c r="B174" s="24"/>
      <c r="C174" s="17"/>
      <c r="D174" s="24"/>
      <c r="E174" s="24"/>
      <c r="F174" s="25"/>
      <c r="G174" s="1">
        <v>5225</v>
      </c>
      <c r="H174" s="2">
        <v>103.5</v>
      </c>
      <c r="I174" s="2">
        <v>-24.1</v>
      </c>
      <c r="J174" s="2">
        <v>-24.4</v>
      </c>
      <c r="K174" s="2">
        <f t="shared" si="18"/>
        <v>-24.1</v>
      </c>
      <c r="L174" s="8">
        <f t="shared" si="22"/>
        <v>1.7378008287493713E-13</v>
      </c>
      <c r="M174" s="26"/>
      <c r="N174" s="17"/>
      <c r="O174" s="9">
        <f t="shared" si="20"/>
        <v>-24.4</v>
      </c>
      <c r="P174" s="8">
        <f>D170/B170*10^(O174/10)</f>
        <v>0.56882228580649163</v>
      </c>
      <c r="Q174" s="26"/>
      <c r="R174" s="17"/>
      <c r="S174" s="19"/>
      <c r="T174" s="17"/>
      <c r="U174" s="22"/>
    </row>
    <row r="175" spans="1:21" x14ac:dyDescent="0.25">
      <c r="A175" s="24"/>
      <c r="B175" s="24"/>
      <c r="C175" s="17"/>
      <c r="D175" s="24"/>
      <c r="E175" s="24"/>
      <c r="F175" s="25"/>
      <c r="G175" s="1">
        <v>5625</v>
      </c>
      <c r="H175" s="2">
        <v>99.5</v>
      </c>
      <c r="I175" s="2">
        <v>-19.8</v>
      </c>
      <c r="J175" s="2">
        <v>-26</v>
      </c>
      <c r="K175" s="2">
        <f t="shared" si="18"/>
        <v>-19.8</v>
      </c>
      <c r="L175" s="8">
        <f t="shared" si="22"/>
        <v>1.1748975549395258E-12</v>
      </c>
      <c r="M175" s="26"/>
      <c r="N175" s="17"/>
      <c r="O175" s="9">
        <f t="shared" si="20"/>
        <v>-26</v>
      </c>
      <c r="P175" s="8">
        <f>D170/B170*10^(O175/10)</f>
        <v>0.39352887426983379</v>
      </c>
      <c r="Q175" s="26"/>
      <c r="R175" s="17"/>
      <c r="S175" s="20"/>
      <c r="T175" s="17"/>
      <c r="U175" s="23"/>
    </row>
    <row r="176" spans="1:21" x14ac:dyDescent="0.25">
      <c r="A176" s="24">
        <v>8000</v>
      </c>
      <c r="B176" s="24">
        <v>3</v>
      </c>
      <c r="C176" s="17">
        <v>0.5</v>
      </c>
      <c r="D176" s="24">
        <v>943</v>
      </c>
      <c r="E176" s="24">
        <v>6</v>
      </c>
      <c r="F176" s="25">
        <v>54</v>
      </c>
      <c r="G176" s="1">
        <v>6025</v>
      </c>
      <c r="H176" s="2">
        <v>95</v>
      </c>
      <c r="I176" s="2">
        <v>-22.3</v>
      </c>
      <c r="J176" s="2">
        <v>-29.1</v>
      </c>
      <c r="K176" s="2">
        <f t="shared" si="18"/>
        <v>-22.3</v>
      </c>
      <c r="L176" s="8">
        <f t="shared" si="22"/>
        <v>1.8620871366628578E-12</v>
      </c>
      <c r="M176" s="26">
        <f>SUM(L176:L181)</f>
        <v>2.3363235712236148E-11</v>
      </c>
      <c r="N176" s="17">
        <f>10*LOG10(M176/E176)</f>
        <v>-114.09618259774879</v>
      </c>
      <c r="O176" s="9">
        <f t="shared" si="20"/>
        <v>-29.1</v>
      </c>
      <c r="P176" s="8">
        <f>D176/B176*10^(O176/10)</f>
        <v>0.38671448362535832</v>
      </c>
      <c r="Q176" s="26">
        <f>SUM(P176:P181)</f>
        <v>3.069087282278347</v>
      </c>
      <c r="R176" s="17">
        <f>10*LOG10(Q176)</f>
        <v>4.870092395797009</v>
      </c>
      <c r="S176" s="18">
        <f>F176+N176-Kzt-H</f>
        <v>-60.096182597748793</v>
      </c>
      <c r="T176" s="17">
        <v>0.7</v>
      </c>
      <c r="U176" s="21">
        <f>T176*10^((S176-R176)/10)</f>
        <v>2.2308508778497149E-7</v>
      </c>
    </row>
    <row r="177" spans="1:21" x14ac:dyDescent="0.25">
      <c r="A177" s="24"/>
      <c r="B177" s="24"/>
      <c r="C177" s="17"/>
      <c r="D177" s="24"/>
      <c r="E177" s="24"/>
      <c r="F177" s="25"/>
      <c r="G177" s="1">
        <v>7025</v>
      </c>
      <c r="H177" s="2">
        <v>94.8</v>
      </c>
      <c r="I177" s="2">
        <v>-21.8</v>
      </c>
      <c r="J177" s="2">
        <v>-26</v>
      </c>
      <c r="K177" s="2">
        <f t="shared" si="18"/>
        <v>-21.8</v>
      </c>
      <c r="L177" s="8">
        <f t="shared" si="22"/>
        <v>2.1877616239495474E-12</v>
      </c>
      <c r="M177" s="26"/>
      <c r="N177" s="17"/>
      <c r="O177" s="9">
        <f t="shared" si="20"/>
        <v>-26</v>
      </c>
      <c r="P177" s="8">
        <f>D176/B176*10^(O177/10)</f>
        <v>0.78956963497117716</v>
      </c>
      <c r="Q177" s="26"/>
      <c r="R177" s="17"/>
      <c r="S177" s="19"/>
      <c r="T177" s="17"/>
      <c r="U177" s="22"/>
    </row>
    <row r="178" spans="1:21" x14ac:dyDescent="0.25">
      <c r="A178" s="24"/>
      <c r="B178" s="24"/>
      <c r="C178" s="17"/>
      <c r="D178" s="24"/>
      <c r="E178" s="24"/>
      <c r="F178" s="25"/>
      <c r="G178" s="1">
        <v>8025</v>
      </c>
      <c r="H178" s="2">
        <v>101.9</v>
      </c>
      <c r="I178" s="2">
        <v>-24.6</v>
      </c>
      <c r="J178" s="2">
        <v>-30.4</v>
      </c>
      <c r="K178" s="2">
        <f t="shared" si="18"/>
        <v>-24.6</v>
      </c>
      <c r="L178" s="8">
        <f t="shared" si="22"/>
        <v>2.238721138568332E-13</v>
      </c>
      <c r="M178" s="26"/>
      <c r="N178" s="17"/>
      <c r="O178" s="9">
        <f t="shared" si="20"/>
        <v>-30.4</v>
      </c>
      <c r="P178" s="8">
        <f>D176/B176*10^(O178/10)</f>
        <v>0.28667540717087392</v>
      </c>
      <c r="Q178" s="26"/>
      <c r="R178" s="17"/>
      <c r="S178" s="19"/>
      <c r="T178" s="17"/>
      <c r="U178" s="22"/>
    </row>
    <row r="179" spans="1:21" x14ac:dyDescent="0.25">
      <c r="A179" s="24"/>
      <c r="B179" s="24"/>
      <c r="C179" s="17"/>
      <c r="D179" s="24"/>
      <c r="E179" s="24"/>
      <c r="F179" s="25"/>
      <c r="G179" s="1">
        <v>9025</v>
      </c>
      <c r="H179" s="2">
        <v>93.2</v>
      </c>
      <c r="I179" s="2">
        <v>-23</v>
      </c>
      <c r="J179" s="2">
        <v>-25.6</v>
      </c>
      <c r="K179" s="2">
        <f t="shared" si="18"/>
        <v>-23</v>
      </c>
      <c r="L179" s="8">
        <f t="shared" si="22"/>
        <v>2.3988329190194755E-12</v>
      </c>
      <c r="M179" s="26"/>
      <c r="N179" s="17"/>
      <c r="O179" s="9">
        <f t="shared" si="20"/>
        <v>-25.6</v>
      </c>
      <c r="P179" s="8">
        <f>D176/B176*10^(O179/10)</f>
        <v>0.86574588908262984</v>
      </c>
      <c r="Q179" s="26"/>
      <c r="R179" s="17"/>
      <c r="S179" s="19"/>
      <c r="T179" s="17"/>
      <c r="U179" s="22"/>
    </row>
    <row r="180" spans="1:21" x14ac:dyDescent="0.25">
      <c r="A180" s="24"/>
      <c r="B180" s="24"/>
      <c r="C180" s="17"/>
      <c r="D180" s="24"/>
      <c r="E180" s="24"/>
      <c r="F180" s="25"/>
      <c r="G180" s="1">
        <v>10025</v>
      </c>
      <c r="H180" s="2">
        <v>88.3</v>
      </c>
      <c r="I180" s="2">
        <v>-23.3</v>
      </c>
      <c r="J180" s="2">
        <v>-29.6</v>
      </c>
      <c r="K180" s="2">
        <f t="shared" si="18"/>
        <v>-23.3</v>
      </c>
      <c r="L180" s="8">
        <f t="shared" si="22"/>
        <v>6.9183097091893405E-12</v>
      </c>
      <c r="M180" s="26"/>
      <c r="N180" s="17"/>
      <c r="O180" s="9">
        <f t="shared" si="20"/>
        <v>-29.6</v>
      </c>
      <c r="P180" s="8">
        <f>D176/B176*10^(O180/10)</f>
        <v>0.34465964632100776</v>
      </c>
      <c r="Q180" s="26"/>
      <c r="R180" s="17"/>
      <c r="S180" s="19"/>
      <c r="T180" s="17"/>
      <c r="U180" s="22"/>
    </row>
    <row r="181" spans="1:21" x14ac:dyDescent="0.25">
      <c r="A181" s="24"/>
      <c r="B181" s="24"/>
      <c r="C181" s="17"/>
      <c r="D181" s="24"/>
      <c r="E181" s="24"/>
      <c r="F181" s="25"/>
      <c r="G181" s="1">
        <v>11025</v>
      </c>
      <c r="H181" s="2">
        <v>86</v>
      </c>
      <c r="I181" s="2">
        <v>-24.1</v>
      </c>
      <c r="J181" s="2">
        <v>-29</v>
      </c>
      <c r="K181" s="2">
        <f t="shared" si="18"/>
        <v>-24.1</v>
      </c>
      <c r="L181" s="8">
        <f t="shared" si="22"/>
        <v>9.7723722095580929E-12</v>
      </c>
      <c r="M181" s="26"/>
      <c r="N181" s="17"/>
      <c r="O181" s="9">
        <f t="shared" si="20"/>
        <v>-29</v>
      </c>
      <c r="P181" s="8">
        <f>D176/B176*10^(O181/10)</f>
        <v>0.39572222110729954</v>
      </c>
      <c r="Q181" s="26"/>
      <c r="R181" s="17"/>
      <c r="S181" s="20"/>
      <c r="T181" s="17"/>
      <c r="U181" s="23"/>
    </row>
    <row r="182" spans="1:21" x14ac:dyDescent="0.25">
      <c r="A182" s="24" t="s">
        <v>20</v>
      </c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12">
        <f>U182</f>
        <v>9.2738120373396488E-2</v>
      </c>
      <c r="T182" s="2"/>
      <c r="U182" s="8">
        <f>0.8*SQRT(SUM(U148:U181))</f>
        <v>9.2738120373396488E-2</v>
      </c>
    </row>
    <row r="183" spans="1:21" x14ac:dyDescent="0.25">
      <c r="A183" s="27" t="s">
        <v>97</v>
      </c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9"/>
    </row>
    <row r="184" spans="1:21" x14ac:dyDescent="0.25">
      <c r="A184" s="24">
        <v>250</v>
      </c>
      <c r="B184" s="24">
        <v>3</v>
      </c>
      <c r="C184" s="17">
        <v>0.5</v>
      </c>
      <c r="D184" s="24">
        <v>38</v>
      </c>
      <c r="E184" s="24">
        <v>4</v>
      </c>
      <c r="F184" s="25">
        <v>84</v>
      </c>
      <c r="G184" s="1">
        <v>175</v>
      </c>
      <c r="H184" s="2">
        <v>84.8</v>
      </c>
      <c r="I184" s="2">
        <v>-16.399999999999999</v>
      </c>
      <c r="J184" s="2">
        <v>-19.3</v>
      </c>
      <c r="K184" s="2">
        <f>I184</f>
        <v>-16.399999999999999</v>
      </c>
      <c r="L184" s="8">
        <f>10^((K184-H184)/10)</f>
        <v>7.5857757502918434E-11</v>
      </c>
      <c r="M184" s="26">
        <f>SUM(L184:L187)</f>
        <v>1.4987912027712671E-10</v>
      </c>
      <c r="N184" s="17">
        <f>10*LOG10(M184/E184)</f>
        <v>-104.26318856011559</v>
      </c>
      <c r="O184" s="9">
        <f>J184</f>
        <v>-19.3</v>
      </c>
      <c r="P184" s="8">
        <f>D184/B184*10^(O184/10)</f>
        <v>0.14882035695900692</v>
      </c>
      <c r="Q184" s="26">
        <f>SUM(P184:P187)</f>
        <v>0.53148882912313722</v>
      </c>
      <c r="R184" s="17">
        <f>10*LOG10(Q184)</f>
        <v>-2.7450585908266611</v>
      </c>
      <c r="S184" s="18">
        <f>F184+N184-Kzt-H</f>
        <v>-20.263188560115594</v>
      </c>
      <c r="T184" s="17">
        <v>0.2</v>
      </c>
      <c r="U184" s="21">
        <f>T184*10^((S184-R184)/10)</f>
        <v>3.5417426290203502E-3</v>
      </c>
    </row>
    <row r="185" spans="1:21" x14ac:dyDescent="0.25">
      <c r="A185" s="24"/>
      <c r="B185" s="24"/>
      <c r="C185" s="17"/>
      <c r="D185" s="24"/>
      <c r="E185" s="24"/>
      <c r="F185" s="25"/>
      <c r="G185" s="1">
        <v>225</v>
      </c>
      <c r="H185" s="2">
        <v>90</v>
      </c>
      <c r="I185" s="2">
        <v>-14.3</v>
      </c>
      <c r="J185" s="2">
        <v>-24.1</v>
      </c>
      <c r="K185" s="2">
        <f t="shared" ref="K185:K217" si="23">I185</f>
        <v>-14.3</v>
      </c>
      <c r="L185" s="8">
        <f t="shared" ref="L185:L186" si="24">10^((K185-H185)/10)</f>
        <v>3.7153522909717256E-11</v>
      </c>
      <c r="M185" s="26"/>
      <c r="N185" s="17"/>
      <c r="O185" s="9">
        <f t="shared" ref="O185:O217" si="25">J185</f>
        <v>-24.1</v>
      </c>
      <c r="P185" s="8">
        <f>D184/B184*10^(O185/10)</f>
        <v>4.9279051699275496E-2</v>
      </c>
      <c r="Q185" s="26"/>
      <c r="R185" s="17"/>
      <c r="S185" s="19"/>
      <c r="T185" s="17"/>
      <c r="U185" s="22"/>
    </row>
    <row r="186" spans="1:21" x14ac:dyDescent="0.25">
      <c r="A186" s="24"/>
      <c r="B186" s="24"/>
      <c r="C186" s="17"/>
      <c r="D186" s="24"/>
      <c r="E186" s="24"/>
      <c r="F186" s="25"/>
      <c r="G186" s="1">
        <v>275</v>
      </c>
      <c r="H186" s="2">
        <v>92.2</v>
      </c>
      <c r="I186" s="2">
        <v>-13.8</v>
      </c>
      <c r="J186" s="2">
        <v>-18</v>
      </c>
      <c r="K186" s="2">
        <f t="shared" si="23"/>
        <v>-13.8</v>
      </c>
      <c r="L186" s="8">
        <f t="shared" si="24"/>
        <v>2.5118864315095759E-11</v>
      </c>
      <c r="M186" s="26"/>
      <c r="N186" s="17"/>
      <c r="O186" s="9">
        <f t="shared" si="25"/>
        <v>-18</v>
      </c>
      <c r="P186" s="8">
        <f>D184/B184*10^(O186/10)</f>
        <v>0.20075313771174089</v>
      </c>
      <c r="Q186" s="26"/>
      <c r="R186" s="17"/>
      <c r="S186" s="19"/>
      <c r="T186" s="17"/>
      <c r="U186" s="22"/>
    </row>
    <row r="187" spans="1:21" x14ac:dyDescent="0.25">
      <c r="A187" s="24"/>
      <c r="B187" s="24"/>
      <c r="C187" s="17"/>
      <c r="D187" s="24"/>
      <c r="E187" s="24"/>
      <c r="F187" s="25"/>
      <c r="G187" s="1">
        <v>325</v>
      </c>
      <c r="H187" s="2">
        <v>93.3</v>
      </c>
      <c r="I187" s="2">
        <v>-16</v>
      </c>
      <c r="J187" s="2">
        <v>-19.8</v>
      </c>
      <c r="K187" s="2">
        <f t="shared" si="23"/>
        <v>-16</v>
      </c>
      <c r="L187" s="8">
        <f>10^((K187-H187)/10)</f>
        <v>1.1748975549395269E-11</v>
      </c>
      <c r="M187" s="26"/>
      <c r="N187" s="17"/>
      <c r="O187" s="9">
        <f t="shared" si="25"/>
        <v>-19.8</v>
      </c>
      <c r="P187" s="8">
        <f>D184/B184*10^(O187/10)</f>
        <v>0.13263628275311384</v>
      </c>
      <c r="Q187" s="26"/>
      <c r="R187" s="17"/>
      <c r="S187" s="20"/>
      <c r="T187" s="17"/>
      <c r="U187" s="23"/>
    </row>
    <row r="188" spans="1:21" x14ac:dyDescent="0.25">
      <c r="A188" s="24">
        <v>500</v>
      </c>
      <c r="B188" s="24">
        <v>3</v>
      </c>
      <c r="C188" s="17">
        <v>0.5</v>
      </c>
      <c r="D188" s="24">
        <v>59</v>
      </c>
      <c r="E188" s="24">
        <v>6</v>
      </c>
      <c r="F188" s="25">
        <v>84</v>
      </c>
      <c r="G188" s="1">
        <v>375</v>
      </c>
      <c r="H188" s="2">
        <v>91.9</v>
      </c>
      <c r="I188" s="2">
        <v>-13.1</v>
      </c>
      <c r="J188" s="2">
        <v>-21.4</v>
      </c>
      <c r="K188" s="2">
        <f t="shared" si="23"/>
        <v>-13.1</v>
      </c>
      <c r="L188" s="8">
        <f t="shared" ref="L188:L189" si="26">10^((K188-H188)/10)</f>
        <v>3.162277660168371E-11</v>
      </c>
      <c r="M188" s="26">
        <f>SUM(L188:L193)</f>
        <v>1.2853103594702689E-10</v>
      </c>
      <c r="N188" s="17">
        <f>10*LOG10(M188/E188)</f>
        <v>-106.69143242458971</v>
      </c>
      <c r="O188" s="9">
        <f t="shared" si="25"/>
        <v>-21.4</v>
      </c>
      <c r="P188" s="8">
        <f>D188/B188*10^(O188/10)</f>
        <v>0.14247240548141471</v>
      </c>
      <c r="Q188" s="26">
        <f>SUM(P188:P193)</f>
        <v>1.4688490973565942</v>
      </c>
      <c r="R188" s="17">
        <f>10*LOG10(Q188)</f>
        <v>1.6697718071084187</v>
      </c>
      <c r="S188" s="18">
        <f>F188+N188-Kzt-H</f>
        <v>-22.691432424589706</v>
      </c>
      <c r="T188" s="17">
        <v>0.5</v>
      </c>
      <c r="U188" s="21">
        <f>T188*10^((S188-R188)/10)</f>
        <v>1.8316799061945316E-3</v>
      </c>
    </row>
    <row r="189" spans="1:21" x14ac:dyDescent="0.25">
      <c r="A189" s="24"/>
      <c r="B189" s="24"/>
      <c r="C189" s="17"/>
      <c r="D189" s="24"/>
      <c r="E189" s="24"/>
      <c r="F189" s="25"/>
      <c r="G189" s="1">
        <v>425</v>
      </c>
      <c r="H189" s="2">
        <v>88.1</v>
      </c>
      <c r="I189" s="2">
        <v>-18.600000000000001</v>
      </c>
      <c r="J189" s="2">
        <v>-19.5</v>
      </c>
      <c r="K189" s="2">
        <f t="shared" si="23"/>
        <v>-18.600000000000001</v>
      </c>
      <c r="L189" s="8">
        <f t="shared" si="26"/>
        <v>2.1379620895022375E-11</v>
      </c>
      <c r="M189" s="26"/>
      <c r="N189" s="17"/>
      <c r="O189" s="9">
        <f t="shared" si="25"/>
        <v>-19.5</v>
      </c>
      <c r="P189" s="8">
        <f>D188/B188*10^(O189/10)</f>
        <v>0.22066362934605283</v>
      </c>
      <c r="Q189" s="26"/>
      <c r="R189" s="17"/>
      <c r="S189" s="19"/>
      <c r="T189" s="17"/>
      <c r="U189" s="22"/>
    </row>
    <row r="190" spans="1:21" x14ac:dyDescent="0.25">
      <c r="A190" s="24"/>
      <c r="B190" s="24"/>
      <c r="C190" s="17"/>
      <c r="D190" s="24"/>
      <c r="E190" s="24"/>
      <c r="F190" s="25"/>
      <c r="G190" s="1">
        <v>475</v>
      </c>
      <c r="H190" s="2">
        <v>90</v>
      </c>
      <c r="I190" s="2">
        <v>-13.8</v>
      </c>
      <c r="J190" s="2">
        <v>-20.5</v>
      </c>
      <c r="K190" s="2">
        <f t="shared" si="23"/>
        <v>-13.8</v>
      </c>
      <c r="L190" s="8">
        <f>10^((K190-H190)/10)</f>
        <v>4.1686938347033529E-11</v>
      </c>
      <c r="M190" s="26"/>
      <c r="N190" s="17"/>
      <c r="O190" s="9">
        <f t="shared" si="25"/>
        <v>-20.5</v>
      </c>
      <c r="P190" s="8">
        <f>D188/B188*10^(O190/10)</f>
        <v>0.1752793511663033</v>
      </c>
      <c r="Q190" s="26"/>
      <c r="R190" s="17"/>
      <c r="S190" s="19"/>
      <c r="T190" s="17"/>
      <c r="U190" s="22"/>
    </row>
    <row r="191" spans="1:21" x14ac:dyDescent="0.25">
      <c r="A191" s="24"/>
      <c r="B191" s="24"/>
      <c r="C191" s="17"/>
      <c r="D191" s="24"/>
      <c r="E191" s="24"/>
      <c r="F191" s="25"/>
      <c r="G191" s="1">
        <v>575</v>
      </c>
      <c r="H191" s="2">
        <v>97</v>
      </c>
      <c r="I191" s="2">
        <v>-16.399999999999999</v>
      </c>
      <c r="J191" s="2">
        <v>-19.100000000000001</v>
      </c>
      <c r="K191" s="2">
        <f t="shared" si="23"/>
        <v>-16.399999999999999</v>
      </c>
      <c r="L191" s="8">
        <f t="shared" ref="L191:L217" si="27">10^((K191-H191)/10)</f>
        <v>4.5708818961487419E-12</v>
      </c>
      <c r="M191" s="26"/>
      <c r="N191" s="17"/>
      <c r="O191" s="9">
        <f t="shared" si="25"/>
        <v>-19.100000000000001</v>
      </c>
      <c r="P191" s="8">
        <f>D188/B188*10^(O191/10)</f>
        <v>0.24195285825976826</v>
      </c>
      <c r="Q191" s="26"/>
      <c r="R191" s="17"/>
      <c r="S191" s="19"/>
      <c r="T191" s="17"/>
      <c r="U191" s="22"/>
    </row>
    <row r="192" spans="1:21" x14ac:dyDescent="0.25">
      <c r="A192" s="24"/>
      <c r="B192" s="24"/>
      <c r="C192" s="17"/>
      <c r="D192" s="24"/>
      <c r="E192" s="24"/>
      <c r="F192" s="25"/>
      <c r="G192" s="1">
        <v>625</v>
      </c>
      <c r="H192" s="2">
        <v>92</v>
      </c>
      <c r="I192" s="2">
        <v>-15.1</v>
      </c>
      <c r="J192" s="2">
        <v>-15.3</v>
      </c>
      <c r="K192" s="2">
        <f t="shared" si="23"/>
        <v>-15.1</v>
      </c>
      <c r="L192" s="8">
        <f t="shared" si="27"/>
        <v>1.949844599758044E-11</v>
      </c>
      <c r="M192" s="26"/>
      <c r="N192" s="17"/>
      <c r="O192" s="9">
        <f t="shared" si="25"/>
        <v>-15.3</v>
      </c>
      <c r="P192" s="8">
        <f>D188/B188*10^(O192/10)</f>
        <v>0.58040448124438893</v>
      </c>
      <c r="Q192" s="26"/>
      <c r="R192" s="17"/>
      <c r="S192" s="19"/>
      <c r="T192" s="17"/>
      <c r="U192" s="22"/>
    </row>
    <row r="193" spans="1:21" x14ac:dyDescent="0.25">
      <c r="A193" s="24"/>
      <c r="B193" s="24"/>
      <c r="C193" s="17"/>
      <c r="D193" s="24"/>
      <c r="E193" s="24"/>
      <c r="F193" s="25"/>
      <c r="G193" s="1">
        <v>675</v>
      </c>
      <c r="H193" s="2">
        <v>94.5</v>
      </c>
      <c r="I193" s="2">
        <v>-15.6</v>
      </c>
      <c r="J193" s="2">
        <v>-22.6</v>
      </c>
      <c r="K193" s="2">
        <f t="shared" si="23"/>
        <v>-15.6</v>
      </c>
      <c r="L193" s="8">
        <f t="shared" si="27"/>
        <v>9.7723722095580929E-12</v>
      </c>
      <c r="M193" s="26"/>
      <c r="N193" s="17"/>
      <c r="O193" s="9">
        <f t="shared" si="25"/>
        <v>-22.6</v>
      </c>
      <c r="P193" s="8">
        <f>D188/B188*10^(O193/10)</f>
        <v>0.1080763718586661</v>
      </c>
      <c r="Q193" s="26"/>
      <c r="R193" s="17"/>
      <c r="S193" s="20"/>
      <c r="T193" s="17"/>
      <c r="U193" s="23"/>
    </row>
    <row r="194" spans="1:21" x14ac:dyDescent="0.25">
      <c r="A194" s="24">
        <v>1000</v>
      </c>
      <c r="B194" s="24">
        <v>3</v>
      </c>
      <c r="C194" s="17">
        <v>0.5</v>
      </c>
      <c r="D194" s="24">
        <v>117</v>
      </c>
      <c r="E194" s="24">
        <v>6</v>
      </c>
      <c r="F194" s="25">
        <v>76</v>
      </c>
      <c r="G194" s="1">
        <v>875</v>
      </c>
      <c r="H194" s="2">
        <v>91.1</v>
      </c>
      <c r="I194" s="2">
        <v>-14.6</v>
      </c>
      <c r="J194" s="2">
        <v>-17.8</v>
      </c>
      <c r="K194" s="2">
        <f t="shared" si="23"/>
        <v>-14.6</v>
      </c>
      <c r="L194" s="8">
        <f t="shared" si="27"/>
        <v>2.6915348039269196E-11</v>
      </c>
      <c r="M194" s="26">
        <f>SUM(L194:L199)</f>
        <v>6.2362096509301216E-11</v>
      </c>
      <c r="N194" s="17">
        <f>10*LOG10(M194/E194)</f>
        <v>-109.83230543367868</v>
      </c>
      <c r="O194" s="9">
        <f t="shared" si="25"/>
        <v>-17.8</v>
      </c>
      <c r="P194" s="8">
        <f>D194/B194*10^(O194/10)</f>
        <v>0.64723889390064804</v>
      </c>
      <c r="Q194" s="26">
        <f>SUM(P194:P199)</f>
        <v>3.0483357692755852</v>
      </c>
      <c r="R194" s="17">
        <f>10*LOG10(Q194)</f>
        <v>4.8406280214007413</v>
      </c>
      <c r="S194" s="18">
        <f>F194+N194-Kzt-H</f>
        <v>-33.832305433678684</v>
      </c>
      <c r="T194" s="17">
        <v>0.8</v>
      </c>
      <c r="U194" s="21">
        <f>T194*10^((S194-R194)/10)</f>
        <v>1.0859170235918351E-4</v>
      </c>
    </row>
    <row r="195" spans="1:21" x14ac:dyDescent="0.25">
      <c r="A195" s="24"/>
      <c r="B195" s="24"/>
      <c r="C195" s="17"/>
      <c r="D195" s="24"/>
      <c r="E195" s="24"/>
      <c r="F195" s="25"/>
      <c r="G195" s="1">
        <v>975</v>
      </c>
      <c r="H195" s="2">
        <v>96.5</v>
      </c>
      <c r="I195" s="2">
        <v>-17.399999999999999</v>
      </c>
      <c r="J195" s="2">
        <v>-19.100000000000001</v>
      </c>
      <c r="K195" s="2">
        <f t="shared" si="23"/>
        <v>-17.399999999999999</v>
      </c>
      <c r="L195" s="8">
        <f t="shared" si="27"/>
        <v>4.0738027780411076E-12</v>
      </c>
      <c r="M195" s="26"/>
      <c r="N195" s="17"/>
      <c r="O195" s="9">
        <f t="shared" si="25"/>
        <v>-19.100000000000001</v>
      </c>
      <c r="P195" s="8">
        <f>D194/B194*10^(O195/10)</f>
        <v>0.47980482061682855</v>
      </c>
      <c r="Q195" s="26"/>
      <c r="R195" s="17"/>
      <c r="S195" s="19"/>
      <c r="T195" s="17"/>
      <c r="U195" s="22"/>
    </row>
    <row r="196" spans="1:21" x14ac:dyDescent="0.25">
      <c r="A196" s="24"/>
      <c r="B196" s="24"/>
      <c r="C196" s="17"/>
      <c r="D196" s="24"/>
      <c r="E196" s="24"/>
      <c r="F196" s="25"/>
      <c r="G196" s="1">
        <v>1075</v>
      </c>
      <c r="H196" s="2">
        <v>94.6</v>
      </c>
      <c r="I196" s="2">
        <v>-14.5</v>
      </c>
      <c r="J196" s="2">
        <v>-19.7</v>
      </c>
      <c r="K196" s="2">
        <f t="shared" si="23"/>
        <v>-14.5</v>
      </c>
      <c r="L196" s="8">
        <f t="shared" si="27"/>
        <v>1.2302687708123787E-11</v>
      </c>
      <c r="M196" s="26"/>
      <c r="N196" s="17"/>
      <c r="O196" s="9">
        <f t="shared" si="25"/>
        <v>-19.7</v>
      </c>
      <c r="P196" s="8">
        <f>D194/B194*10^(O196/10)</f>
        <v>0.41789252904266622</v>
      </c>
      <c r="Q196" s="26"/>
      <c r="R196" s="17"/>
      <c r="S196" s="19"/>
      <c r="T196" s="17"/>
      <c r="U196" s="22"/>
    </row>
    <row r="197" spans="1:21" x14ac:dyDescent="0.25">
      <c r="A197" s="24"/>
      <c r="B197" s="24"/>
      <c r="C197" s="17"/>
      <c r="D197" s="24"/>
      <c r="E197" s="24"/>
      <c r="F197" s="25"/>
      <c r="G197" s="1">
        <v>1175</v>
      </c>
      <c r="H197" s="2">
        <v>97.8</v>
      </c>
      <c r="I197" s="2">
        <v>-10.9</v>
      </c>
      <c r="J197" s="2">
        <v>-19</v>
      </c>
      <c r="K197" s="2">
        <f t="shared" si="23"/>
        <v>-10.9</v>
      </c>
      <c r="L197" s="8">
        <f t="shared" si="27"/>
        <v>1.348962882591645E-11</v>
      </c>
      <c r="M197" s="26"/>
      <c r="N197" s="17"/>
      <c r="O197" s="9">
        <f t="shared" si="25"/>
        <v>-19</v>
      </c>
      <c r="P197" s="8">
        <f>D194/B194*10^(O197/10)</f>
        <v>0.49098091059972493</v>
      </c>
      <c r="Q197" s="26"/>
      <c r="R197" s="17"/>
      <c r="S197" s="19"/>
      <c r="T197" s="17"/>
      <c r="U197" s="22"/>
    </row>
    <row r="198" spans="1:21" x14ac:dyDescent="0.25">
      <c r="A198" s="24"/>
      <c r="B198" s="24"/>
      <c r="C198" s="17"/>
      <c r="D198" s="24"/>
      <c r="E198" s="24"/>
      <c r="F198" s="25"/>
      <c r="G198" s="1">
        <v>1275</v>
      </c>
      <c r="H198" s="2">
        <v>100.1</v>
      </c>
      <c r="I198" s="2">
        <v>-13.1</v>
      </c>
      <c r="J198" s="2">
        <v>-18.100000000000001</v>
      </c>
      <c r="K198" s="2">
        <f t="shared" si="23"/>
        <v>-13.1</v>
      </c>
      <c r="L198" s="8">
        <f t="shared" si="27"/>
        <v>4.7863009232263907E-12</v>
      </c>
      <c r="M198" s="26"/>
      <c r="N198" s="17"/>
      <c r="O198" s="9">
        <f t="shared" si="25"/>
        <v>-18.100000000000001</v>
      </c>
      <c r="P198" s="8">
        <f>D194/B194*10^(O198/10)</f>
        <v>0.60403848137586735</v>
      </c>
      <c r="Q198" s="26"/>
      <c r="R198" s="17"/>
      <c r="S198" s="19"/>
      <c r="T198" s="17"/>
      <c r="U198" s="22"/>
    </row>
    <row r="199" spans="1:21" x14ac:dyDescent="0.25">
      <c r="A199" s="24"/>
      <c r="B199" s="24"/>
      <c r="C199" s="17"/>
      <c r="D199" s="24"/>
      <c r="E199" s="24"/>
      <c r="F199" s="25"/>
      <c r="G199" s="1">
        <v>1375</v>
      </c>
      <c r="H199" s="2">
        <v>103</v>
      </c>
      <c r="I199" s="2">
        <v>-18</v>
      </c>
      <c r="J199" s="2">
        <v>-19.8</v>
      </c>
      <c r="K199" s="2">
        <f t="shared" si="23"/>
        <v>-18</v>
      </c>
      <c r="L199" s="8">
        <f t="shared" si="27"/>
        <v>7.9432823472428024E-13</v>
      </c>
      <c r="M199" s="26"/>
      <c r="N199" s="17"/>
      <c r="O199" s="9">
        <f t="shared" si="25"/>
        <v>-19.8</v>
      </c>
      <c r="P199" s="8">
        <f>D194/B194*10^(O199/10)</f>
        <v>0.40838013373985055</v>
      </c>
      <c r="Q199" s="26"/>
      <c r="R199" s="17"/>
      <c r="S199" s="20"/>
      <c r="T199" s="17"/>
      <c r="U199" s="23"/>
    </row>
    <row r="200" spans="1:21" x14ac:dyDescent="0.25">
      <c r="A200" s="24">
        <v>2000</v>
      </c>
      <c r="B200" s="24">
        <v>3</v>
      </c>
      <c r="C200" s="17">
        <v>0.5</v>
      </c>
      <c r="D200" s="24">
        <v>234</v>
      </c>
      <c r="E200" s="24">
        <v>6</v>
      </c>
      <c r="F200" s="25">
        <v>68</v>
      </c>
      <c r="G200" s="1">
        <v>1425</v>
      </c>
      <c r="H200" s="2">
        <v>102.8</v>
      </c>
      <c r="I200" s="2">
        <v>-15.4</v>
      </c>
      <c r="J200" s="2">
        <v>-16.8</v>
      </c>
      <c r="K200" s="2">
        <f t="shared" si="23"/>
        <v>-15.4</v>
      </c>
      <c r="L200" s="8">
        <f t="shared" si="27"/>
        <v>1.5135612484362015E-12</v>
      </c>
      <c r="M200" s="26">
        <f>SUM(L200:L205)</f>
        <v>2.1464540697384843E-11</v>
      </c>
      <c r="N200" s="17">
        <f>10*LOG10(M200/E200)</f>
        <v>-114.46429650590568</v>
      </c>
      <c r="O200" s="9">
        <f t="shared" si="25"/>
        <v>-16.8</v>
      </c>
      <c r="P200" s="8">
        <f>D200/B200*10^(O200/10)</f>
        <v>1.6296509820661493</v>
      </c>
      <c r="Q200" s="26">
        <f>SUM(P200:P205)</f>
        <v>4.4925563708866267</v>
      </c>
      <c r="R200" s="17">
        <f>10*LOG10(Q200)</f>
        <v>6.5249353517698436</v>
      </c>
      <c r="S200" s="18">
        <f>F200+N200-Kzt-H</f>
        <v>-46.464296505905679</v>
      </c>
      <c r="T200" s="17">
        <v>1</v>
      </c>
      <c r="U200" s="21">
        <f>T200*10^((S200-R200)/10)</f>
        <v>5.0243144737050895E-6</v>
      </c>
    </row>
    <row r="201" spans="1:21" x14ac:dyDescent="0.25">
      <c r="A201" s="24"/>
      <c r="B201" s="24"/>
      <c r="C201" s="17"/>
      <c r="D201" s="24"/>
      <c r="E201" s="24"/>
      <c r="F201" s="25"/>
      <c r="G201" s="1">
        <v>1625</v>
      </c>
      <c r="H201" s="2">
        <v>104.1</v>
      </c>
      <c r="I201" s="2">
        <v>-17.899999999999999</v>
      </c>
      <c r="J201" s="2">
        <v>-19.899999999999999</v>
      </c>
      <c r="K201" s="2">
        <f t="shared" si="23"/>
        <v>-17.899999999999999</v>
      </c>
      <c r="L201" s="8">
        <f t="shared" si="27"/>
        <v>6.3095734448019283E-13</v>
      </c>
      <c r="M201" s="26"/>
      <c r="N201" s="17"/>
      <c r="O201" s="9">
        <f t="shared" si="25"/>
        <v>-19.899999999999999</v>
      </c>
      <c r="P201" s="8">
        <f>D200/B200*10^(O201/10)</f>
        <v>0.79816853397898846</v>
      </c>
      <c r="Q201" s="26"/>
      <c r="R201" s="17"/>
      <c r="S201" s="19"/>
      <c r="T201" s="17"/>
      <c r="U201" s="22"/>
    </row>
    <row r="202" spans="1:21" x14ac:dyDescent="0.25">
      <c r="A202" s="24"/>
      <c r="B202" s="24"/>
      <c r="C202" s="17"/>
      <c r="D202" s="24"/>
      <c r="E202" s="24"/>
      <c r="F202" s="25"/>
      <c r="G202" s="1">
        <v>1825</v>
      </c>
      <c r="H202" s="2">
        <v>107.6</v>
      </c>
      <c r="I202" s="2">
        <v>-18.5</v>
      </c>
      <c r="J202" s="2">
        <v>-30.9</v>
      </c>
      <c r="K202" s="2">
        <f t="shared" si="23"/>
        <v>-18.5</v>
      </c>
      <c r="L202" s="8">
        <f t="shared" si="27"/>
        <v>2.4547089156850296E-13</v>
      </c>
      <c r="M202" s="26"/>
      <c r="N202" s="17"/>
      <c r="O202" s="9">
        <f t="shared" si="25"/>
        <v>-30.9</v>
      </c>
      <c r="P202" s="8">
        <f>D200/B200*10^(O202/10)</f>
        <v>6.3400780260799705E-2</v>
      </c>
      <c r="Q202" s="26"/>
      <c r="R202" s="17"/>
      <c r="S202" s="19"/>
      <c r="T202" s="17"/>
      <c r="U202" s="22"/>
    </row>
    <row r="203" spans="1:21" x14ac:dyDescent="0.25">
      <c r="A203" s="24"/>
      <c r="B203" s="24"/>
      <c r="C203" s="17"/>
      <c r="D203" s="24"/>
      <c r="E203" s="24"/>
      <c r="F203" s="25"/>
      <c r="G203" s="1">
        <v>2125</v>
      </c>
      <c r="H203" s="2">
        <v>104.2</v>
      </c>
      <c r="I203" s="2">
        <v>-17.899999999999999</v>
      </c>
      <c r="J203" s="2">
        <v>-20.5</v>
      </c>
      <c r="K203" s="2">
        <f t="shared" si="23"/>
        <v>-17.899999999999999</v>
      </c>
      <c r="L203" s="8">
        <f t="shared" si="27"/>
        <v>6.1659500186148178E-13</v>
      </c>
      <c r="M203" s="26"/>
      <c r="N203" s="17"/>
      <c r="O203" s="9">
        <f t="shared" si="25"/>
        <v>-20.5</v>
      </c>
      <c r="P203" s="8">
        <f>D200/B200*10^(O203/10)</f>
        <v>0.69517573174432157</v>
      </c>
      <c r="Q203" s="26"/>
      <c r="R203" s="17"/>
      <c r="S203" s="19"/>
      <c r="T203" s="17"/>
      <c r="U203" s="22"/>
    </row>
    <row r="204" spans="1:21" x14ac:dyDescent="0.25">
      <c r="A204" s="24"/>
      <c r="B204" s="24"/>
      <c r="C204" s="17"/>
      <c r="D204" s="24"/>
      <c r="E204" s="24"/>
      <c r="F204" s="25"/>
      <c r="G204" s="1">
        <v>2425</v>
      </c>
      <c r="H204" s="2">
        <v>93.7</v>
      </c>
      <c r="I204" s="2">
        <v>-14.1</v>
      </c>
      <c r="J204" s="2">
        <v>-21.3</v>
      </c>
      <c r="K204" s="2">
        <f t="shared" si="23"/>
        <v>-14.1</v>
      </c>
      <c r="L204" s="8">
        <f t="shared" si="27"/>
        <v>1.6595869074375605E-11</v>
      </c>
      <c r="M204" s="26"/>
      <c r="N204" s="17"/>
      <c r="O204" s="9">
        <f t="shared" si="25"/>
        <v>-21.3</v>
      </c>
      <c r="P204" s="8">
        <f>D200/B200*10^(O204/10)</f>
        <v>0.5782219882147156</v>
      </c>
      <c r="Q204" s="26"/>
      <c r="R204" s="17"/>
      <c r="S204" s="19"/>
      <c r="T204" s="17"/>
      <c r="U204" s="22"/>
    </row>
    <row r="205" spans="1:21" x14ac:dyDescent="0.25">
      <c r="A205" s="24"/>
      <c r="B205" s="24"/>
      <c r="C205" s="17"/>
      <c r="D205" s="24"/>
      <c r="E205" s="24"/>
      <c r="F205" s="25"/>
      <c r="G205" s="1">
        <v>2775</v>
      </c>
      <c r="H205" s="2">
        <v>100.2</v>
      </c>
      <c r="I205" s="2">
        <v>-17.100000000000001</v>
      </c>
      <c r="J205" s="2">
        <v>-20.3</v>
      </c>
      <c r="K205" s="2">
        <f t="shared" si="23"/>
        <v>-17.100000000000001</v>
      </c>
      <c r="L205" s="8">
        <f t="shared" si="27"/>
        <v>1.8620871366628578E-12</v>
      </c>
      <c r="M205" s="26"/>
      <c r="N205" s="17"/>
      <c r="O205" s="9">
        <f t="shared" si="25"/>
        <v>-20.3</v>
      </c>
      <c r="P205" s="8">
        <f>D200/B200*10^(O205/10)</f>
        <v>0.72793835462165224</v>
      </c>
      <c r="Q205" s="26"/>
      <c r="R205" s="17"/>
      <c r="S205" s="20"/>
      <c r="T205" s="17"/>
      <c r="U205" s="23"/>
    </row>
    <row r="206" spans="1:21" x14ac:dyDescent="0.25">
      <c r="A206" s="24">
        <v>4000</v>
      </c>
      <c r="B206" s="24">
        <v>3</v>
      </c>
      <c r="C206" s="17">
        <v>0.5</v>
      </c>
      <c r="D206" s="24">
        <v>470</v>
      </c>
      <c r="E206" s="24">
        <v>6</v>
      </c>
      <c r="F206" s="25">
        <v>62</v>
      </c>
      <c r="G206" s="1">
        <v>2825</v>
      </c>
      <c r="H206" s="2">
        <v>99.4</v>
      </c>
      <c r="I206" s="2">
        <v>-16.3</v>
      </c>
      <c r="J206" s="2">
        <v>-19.600000000000001</v>
      </c>
      <c r="K206" s="2">
        <f t="shared" si="23"/>
        <v>-16.3</v>
      </c>
      <c r="L206" s="8">
        <f t="shared" si="27"/>
        <v>2.6915348039269074E-12</v>
      </c>
      <c r="M206" s="26">
        <f>SUM(L206:L211)</f>
        <v>1.2610624598341856E-11</v>
      </c>
      <c r="N206" s="17">
        <f>10*LOG10(M206/E206)</f>
        <v>-116.77414652875156</v>
      </c>
      <c r="O206" s="9">
        <f t="shared" si="25"/>
        <v>-19.600000000000001</v>
      </c>
      <c r="P206" s="8">
        <f>D206/B206*10^(O206/10)</f>
        <v>1.7178158406243218</v>
      </c>
      <c r="Q206" s="26">
        <f>SUM(P206:P211)</f>
        <v>10.240913829981725</v>
      </c>
      <c r="R206" s="17">
        <f>10*LOG10(Q206)</f>
        <v>10.103387118752492</v>
      </c>
      <c r="S206" s="18">
        <f>F206+N206-Kzt-H</f>
        <v>-54.774146528751558</v>
      </c>
      <c r="T206" s="17">
        <v>0.9</v>
      </c>
      <c r="U206" s="21">
        <f>T206*10^((S206-R206)/10)</f>
        <v>2.927447698087442E-7</v>
      </c>
    </row>
    <row r="207" spans="1:21" x14ac:dyDescent="0.25">
      <c r="A207" s="24"/>
      <c r="B207" s="24"/>
      <c r="C207" s="17"/>
      <c r="D207" s="24"/>
      <c r="E207" s="24"/>
      <c r="F207" s="25"/>
      <c r="G207" s="1">
        <v>3425</v>
      </c>
      <c r="H207" s="2">
        <v>103.5</v>
      </c>
      <c r="I207" s="2">
        <v>-18</v>
      </c>
      <c r="J207" s="2">
        <v>-18.8</v>
      </c>
      <c r="K207" s="2">
        <f t="shared" si="23"/>
        <v>-18</v>
      </c>
      <c r="L207" s="8">
        <f t="shared" si="27"/>
        <v>7.0794578438413455E-13</v>
      </c>
      <c r="M207" s="26"/>
      <c r="N207" s="17"/>
      <c r="O207" s="9">
        <f t="shared" si="25"/>
        <v>-18.8</v>
      </c>
      <c r="P207" s="8">
        <f>D206/B206*10^(O207/10)</f>
        <v>2.065268890405036</v>
      </c>
      <c r="Q207" s="26"/>
      <c r="R207" s="17"/>
      <c r="S207" s="19"/>
      <c r="T207" s="17"/>
      <c r="U207" s="22"/>
    </row>
    <row r="208" spans="1:21" x14ac:dyDescent="0.25">
      <c r="A208" s="24"/>
      <c r="B208" s="24"/>
      <c r="C208" s="17"/>
      <c r="D208" s="24"/>
      <c r="E208" s="24"/>
      <c r="F208" s="25"/>
      <c r="G208" s="1">
        <v>4025</v>
      </c>
      <c r="H208" s="2">
        <v>103.6</v>
      </c>
      <c r="I208" s="2">
        <v>-12.9</v>
      </c>
      <c r="J208" s="2">
        <v>-24</v>
      </c>
      <c r="K208" s="2">
        <f t="shared" si="23"/>
        <v>-12.9</v>
      </c>
      <c r="L208" s="8">
        <f t="shared" si="27"/>
        <v>2.2387211385683343E-12</v>
      </c>
      <c r="M208" s="26"/>
      <c r="N208" s="17"/>
      <c r="O208" s="9">
        <f t="shared" si="25"/>
        <v>-24</v>
      </c>
      <c r="P208" s="8">
        <f>D206/B206*10^(O208/10)</f>
        <v>0.62370123386714549</v>
      </c>
      <c r="Q208" s="26"/>
      <c r="R208" s="17"/>
      <c r="S208" s="19"/>
      <c r="T208" s="17"/>
      <c r="U208" s="22"/>
    </row>
    <row r="209" spans="1:21" x14ac:dyDescent="0.25">
      <c r="A209" s="24"/>
      <c r="B209" s="24"/>
      <c r="C209" s="17"/>
      <c r="D209" s="24"/>
      <c r="E209" s="24"/>
      <c r="F209" s="25"/>
      <c r="G209" s="1">
        <v>4625</v>
      </c>
      <c r="H209" s="2">
        <v>105.6</v>
      </c>
      <c r="I209" s="2">
        <v>-17.3</v>
      </c>
      <c r="J209" s="2">
        <v>-17.3</v>
      </c>
      <c r="K209" s="2">
        <f t="shared" si="23"/>
        <v>-17.3</v>
      </c>
      <c r="L209" s="8">
        <f t="shared" si="27"/>
        <v>5.1286138399136499E-13</v>
      </c>
      <c r="M209" s="26"/>
      <c r="N209" s="17"/>
      <c r="O209" s="9">
        <f t="shared" si="25"/>
        <v>-17.3</v>
      </c>
      <c r="P209" s="8">
        <f>D206/B206*10^(O209/10)</f>
        <v>2.9172698474384915</v>
      </c>
      <c r="Q209" s="26"/>
      <c r="R209" s="17"/>
      <c r="S209" s="19"/>
      <c r="T209" s="17"/>
      <c r="U209" s="22"/>
    </row>
    <row r="210" spans="1:21" x14ac:dyDescent="0.25">
      <c r="A210" s="24"/>
      <c r="B210" s="24"/>
      <c r="C210" s="17"/>
      <c r="D210" s="24"/>
      <c r="E210" s="24"/>
      <c r="F210" s="25"/>
      <c r="G210" s="1">
        <v>5225</v>
      </c>
      <c r="H210" s="2">
        <v>103.5</v>
      </c>
      <c r="I210" s="2">
        <v>-10.3</v>
      </c>
      <c r="J210" s="2">
        <v>-18.7</v>
      </c>
      <c r="K210" s="2">
        <f t="shared" si="23"/>
        <v>-10.3</v>
      </c>
      <c r="L210" s="8">
        <f t="shared" si="27"/>
        <v>4.1686938347033479E-12</v>
      </c>
      <c r="M210" s="26"/>
      <c r="N210" s="17"/>
      <c r="O210" s="9">
        <f t="shared" si="25"/>
        <v>-18.7</v>
      </c>
      <c r="P210" s="8">
        <f>D206/B206*10^(O210/10)</f>
        <v>2.1133751827269238</v>
      </c>
      <c r="Q210" s="26"/>
      <c r="R210" s="17"/>
      <c r="S210" s="19"/>
      <c r="T210" s="17"/>
      <c r="U210" s="22"/>
    </row>
    <row r="211" spans="1:21" x14ac:dyDescent="0.25">
      <c r="A211" s="24"/>
      <c r="B211" s="24"/>
      <c r="C211" s="17"/>
      <c r="D211" s="24"/>
      <c r="E211" s="24"/>
      <c r="F211" s="25"/>
      <c r="G211" s="1">
        <v>5625</v>
      </c>
      <c r="H211" s="2">
        <v>99.5</v>
      </c>
      <c r="I211" s="2">
        <v>-16.899999999999999</v>
      </c>
      <c r="J211" s="2">
        <v>-22.9</v>
      </c>
      <c r="K211" s="2">
        <f t="shared" si="23"/>
        <v>-16.899999999999999</v>
      </c>
      <c r="L211" s="8">
        <f t="shared" si="27"/>
        <v>2.2908676527677675E-12</v>
      </c>
      <c r="M211" s="26"/>
      <c r="N211" s="17"/>
      <c r="O211" s="9">
        <f t="shared" si="25"/>
        <v>-22.9</v>
      </c>
      <c r="P211" s="8">
        <f>D206/B206*10^(O211/10)</f>
        <v>0.80348283491980466</v>
      </c>
      <c r="Q211" s="26"/>
      <c r="R211" s="17"/>
      <c r="S211" s="20"/>
      <c r="T211" s="17"/>
      <c r="U211" s="23"/>
    </row>
    <row r="212" spans="1:21" x14ac:dyDescent="0.25">
      <c r="A212" s="24">
        <v>8000</v>
      </c>
      <c r="B212" s="24">
        <v>3</v>
      </c>
      <c r="C212" s="17">
        <v>0.5</v>
      </c>
      <c r="D212" s="24">
        <v>943</v>
      </c>
      <c r="E212" s="24">
        <v>6</v>
      </c>
      <c r="F212" s="25">
        <v>54</v>
      </c>
      <c r="G212" s="1">
        <v>6025</v>
      </c>
      <c r="H212" s="2">
        <v>95</v>
      </c>
      <c r="I212" s="2">
        <v>-15.9</v>
      </c>
      <c r="J212" s="2">
        <v>-19.100000000000001</v>
      </c>
      <c r="K212" s="2">
        <f t="shared" si="23"/>
        <v>-15.9</v>
      </c>
      <c r="L212" s="8">
        <f t="shared" si="27"/>
        <v>8.1283051616409864E-12</v>
      </c>
      <c r="M212" s="26">
        <f>SUM(L212:L217)</f>
        <v>1.4592763945326835E-10</v>
      </c>
      <c r="N212" s="17">
        <f>10*LOG10(M212/E212)</f>
        <v>-106.14013693067385</v>
      </c>
      <c r="O212" s="9">
        <f t="shared" si="25"/>
        <v>-19.100000000000001</v>
      </c>
      <c r="P212" s="8">
        <f>D212/B212*10^(O212/10)</f>
        <v>3.8671448362535839</v>
      </c>
      <c r="Q212" s="26">
        <f>SUM(P212:P217)</f>
        <v>19.1385686612449</v>
      </c>
      <c r="R212" s="17">
        <f>10*LOG10(Q212)</f>
        <v>12.819094545605997</v>
      </c>
      <c r="S212" s="18">
        <f>F212+N212-Kzt-H</f>
        <v>-52.140136930673847</v>
      </c>
      <c r="T212" s="17">
        <v>0.7</v>
      </c>
      <c r="U212" s="21">
        <f>T212*10^((S212-R212)/10)</f>
        <v>2.2344718737770974E-7</v>
      </c>
    </row>
    <row r="213" spans="1:21" x14ac:dyDescent="0.25">
      <c r="A213" s="24"/>
      <c r="B213" s="24"/>
      <c r="C213" s="17"/>
      <c r="D213" s="24"/>
      <c r="E213" s="24"/>
      <c r="F213" s="25"/>
      <c r="G213" s="1">
        <v>7025</v>
      </c>
      <c r="H213" s="2">
        <v>94.8</v>
      </c>
      <c r="I213" s="2">
        <v>-19.100000000000001</v>
      </c>
      <c r="J213" s="2">
        <v>-25.3</v>
      </c>
      <c r="K213" s="2">
        <f t="shared" si="23"/>
        <v>-19.100000000000001</v>
      </c>
      <c r="L213" s="8">
        <f t="shared" si="27"/>
        <v>4.0738027780411076E-12</v>
      </c>
      <c r="M213" s="26"/>
      <c r="N213" s="17"/>
      <c r="O213" s="9">
        <f t="shared" si="25"/>
        <v>-25.3</v>
      </c>
      <c r="P213" s="8">
        <f>D212/B212*10^(O213/10)</f>
        <v>0.92766343358213321</v>
      </c>
      <c r="Q213" s="26"/>
      <c r="R213" s="17"/>
      <c r="S213" s="19"/>
      <c r="T213" s="17"/>
      <c r="U213" s="22"/>
    </row>
    <row r="214" spans="1:21" x14ac:dyDescent="0.25">
      <c r="A214" s="24"/>
      <c r="B214" s="24"/>
      <c r="C214" s="17"/>
      <c r="D214" s="24"/>
      <c r="E214" s="24"/>
      <c r="F214" s="25"/>
      <c r="G214" s="1">
        <v>8025</v>
      </c>
      <c r="H214" s="2">
        <v>101.9</v>
      </c>
      <c r="I214" s="2">
        <v>-14.3</v>
      </c>
      <c r="J214" s="2">
        <v>-18.2</v>
      </c>
      <c r="K214" s="2">
        <f t="shared" si="23"/>
        <v>-14.3</v>
      </c>
      <c r="L214" s="8">
        <f t="shared" si="27"/>
        <v>2.3988329190194755E-12</v>
      </c>
      <c r="M214" s="26"/>
      <c r="N214" s="17"/>
      <c r="O214" s="9">
        <f t="shared" si="25"/>
        <v>-18.2</v>
      </c>
      <c r="P214" s="8">
        <f>D212/B212*10^(O214/10)</f>
        <v>4.7576275242511459</v>
      </c>
      <c r="Q214" s="26"/>
      <c r="R214" s="17"/>
      <c r="S214" s="19"/>
      <c r="T214" s="17"/>
      <c r="U214" s="22"/>
    </row>
    <row r="215" spans="1:21" x14ac:dyDescent="0.25">
      <c r="A215" s="24"/>
      <c r="B215" s="24"/>
      <c r="C215" s="17"/>
      <c r="D215" s="24"/>
      <c r="E215" s="24"/>
      <c r="F215" s="25"/>
      <c r="G215" s="1">
        <v>9025</v>
      </c>
      <c r="H215" s="2">
        <v>93.2</v>
      </c>
      <c r="I215" s="2">
        <v>-16.7</v>
      </c>
      <c r="J215" s="2">
        <v>-22.3</v>
      </c>
      <c r="K215" s="2">
        <f t="shared" si="23"/>
        <v>-16.7</v>
      </c>
      <c r="L215" s="8">
        <f t="shared" si="27"/>
        <v>1.0232929922807526E-11</v>
      </c>
      <c r="M215" s="26"/>
      <c r="N215" s="17"/>
      <c r="O215" s="9">
        <f t="shared" si="25"/>
        <v>-22.3</v>
      </c>
      <c r="P215" s="8">
        <f>D212/B212*10^(O215/10)</f>
        <v>1.8509318900010678</v>
      </c>
      <c r="Q215" s="26"/>
      <c r="R215" s="17"/>
      <c r="S215" s="19"/>
      <c r="T215" s="17"/>
      <c r="U215" s="22"/>
    </row>
    <row r="216" spans="1:21" x14ac:dyDescent="0.25">
      <c r="A216" s="24"/>
      <c r="B216" s="24"/>
      <c r="C216" s="17"/>
      <c r="D216" s="24"/>
      <c r="E216" s="24"/>
      <c r="F216" s="25"/>
      <c r="G216" s="1">
        <v>10025</v>
      </c>
      <c r="H216" s="2">
        <v>88.3</v>
      </c>
      <c r="I216" s="2">
        <v>-15.7</v>
      </c>
      <c r="J216" s="2">
        <v>-18.100000000000001</v>
      </c>
      <c r="K216" s="2">
        <f t="shared" si="23"/>
        <v>-15.7</v>
      </c>
      <c r="L216" s="8">
        <f t="shared" si="27"/>
        <v>3.9810717055349579E-11</v>
      </c>
      <c r="M216" s="26"/>
      <c r="N216" s="17"/>
      <c r="O216" s="9">
        <f t="shared" si="25"/>
        <v>-18.100000000000001</v>
      </c>
      <c r="P216" s="8">
        <f>D212/B212*10^(O216/10)</f>
        <v>4.8684469054482298</v>
      </c>
      <c r="Q216" s="26"/>
      <c r="R216" s="17"/>
      <c r="S216" s="19"/>
      <c r="T216" s="17"/>
      <c r="U216" s="22"/>
    </row>
    <row r="217" spans="1:21" x14ac:dyDescent="0.25">
      <c r="A217" s="24"/>
      <c r="B217" s="24"/>
      <c r="C217" s="17"/>
      <c r="D217" s="24"/>
      <c r="E217" s="24"/>
      <c r="F217" s="25"/>
      <c r="G217" s="1">
        <v>11025</v>
      </c>
      <c r="H217" s="2">
        <v>86</v>
      </c>
      <c r="I217" s="2">
        <v>-14.9</v>
      </c>
      <c r="J217" s="2">
        <v>-20.399999999999999</v>
      </c>
      <c r="K217" s="2">
        <f t="shared" si="23"/>
        <v>-14.9</v>
      </c>
      <c r="L217" s="8">
        <f t="shared" si="27"/>
        <v>8.1283051616409667E-11</v>
      </c>
      <c r="M217" s="26"/>
      <c r="N217" s="17"/>
      <c r="O217" s="9">
        <f t="shared" si="25"/>
        <v>-20.399999999999999</v>
      </c>
      <c r="P217" s="8">
        <f>D212/B212*10^(O217/10)</f>
        <v>2.8667540717087401</v>
      </c>
      <c r="Q217" s="26"/>
      <c r="R217" s="17"/>
      <c r="S217" s="20"/>
      <c r="T217" s="17"/>
      <c r="U217" s="23"/>
    </row>
    <row r="218" spans="1:21" x14ac:dyDescent="0.25">
      <c r="A218" s="24" t="s">
        <v>20</v>
      </c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12">
        <f>U218</f>
        <v>5.9262425162687808E-2</v>
      </c>
      <c r="T218" s="2"/>
      <c r="U218" s="8">
        <f>0.8*SQRT(SUM(U184:U217))</f>
        <v>5.9262425162687808E-2</v>
      </c>
    </row>
    <row r="219" spans="1:21" x14ac:dyDescent="0.25">
      <c r="A219" s="27" t="s">
        <v>98</v>
      </c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9"/>
    </row>
    <row r="220" spans="1:21" x14ac:dyDescent="0.25">
      <c r="A220" s="24">
        <v>250</v>
      </c>
      <c r="B220" s="24">
        <v>3</v>
      </c>
      <c r="C220" s="17">
        <v>0.5</v>
      </c>
      <c r="D220" s="24">
        <v>38</v>
      </c>
      <c r="E220" s="24">
        <v>4</v>
      </c>
      <c r="F220" s="25">
        <v>84</v>
      </c>
      <c r="G220" s="1">
        <v>175</v>
      </c>
      <c r="H220" s="2">
        <v>84.8</v>
      </c>
      <c r="I220" s="2">
        <v>-18.2</v>
      </c>
      <c r="J220" s="2">
        <v>-26.2</v>
      </c>
      <c r="K220" s="2">
        <f>I220</f>
        <v>-18.2</v>
      </c>
      <c r="L220" s="8">
        <f>10^((K220-H220)/10)</f>
        <v>5.0118723362726993E-11</v>
      </c>
      <c r="M220" s="26">
        <f>SUM(L220:L223)</f>
        <v>7.1842383537917161E-11</v>
      </c>
      <c r="N220" s="17">
        <f>10*LOG10(M220/E220)</f>
        <v>-107.45679258701665</v>
      </c>
      <c r="O220" s="9">
        <f>J220</f>
        <v>-26.2</v>
      </c>
      <c r="P220" s="8">
        <f>D220/B220*10^(O220/10)</f>
        <v>3.0385216974246853E-2</v>
      </c>
      <c r="Q220" s="26">
        <f>SUM(P220:P223)</f>
        <v>0.15412212645324708</v>
      </c>
      <c r="R220" s="17">
        <f>10*LOG10(Q220)</f>
        <v>-8.1213500757144068</v>
      </c>
      <c r="S220" s="18">
        <f>F220+N220-Kzt-H</f>
        <v>-23.45679258701665</v>
      </c>
      <c r="T220" s="17">
        <v>0.2</v>
      </c>
      <c r="U220" s="21">
        <f>T220*10^((S220-R220)/10)</f>
        <v>5.854445191260195E-3</v>
      </c>
    </row>
    <row r="221" spans="1:21" x14ac:dyDescent="0.25">
      <c r="A221" s="24"/>
      <c r="B221" s="24"/>
      <c r="C221" s="17"/>
      <c r="D221" s="24"/>
      <c r="E221" s="24"/>
      <c r="F221" s="25"/>
      <c r="G221" s="1">
        <v>225</v>
      </c>
      <c r="H221" s="2">
        <v>90</v>
      </c>
      <c r="I221" s="2">
        <v>-18.399999999999999</v>
      </c>
      <c r="J221" s="2">
        <v>-26.4</v>
      </c>
      <c r="K221" s="2">
        <f t="shared" ref="K221:K253" si="28">I221</f>
        <v>-18.399999999999999</v>
      </c>
      <c r="L221" s="8">
        <f t="shared" ref="L221:L222" si="29">10^((K221-H221)/10)</f>
        <v>1.4454397707459232E-11</v>
      </c>
      <c r="M221" s="26"/>
      <c r="N221" s="17"/>
      <c r="O221" s="9">
        <f t="shared" ref="O221:O253" si="30">J221</f>
        <v>-26.4</v>
      </c>
      <c r="P221" s="8">
        <f>D220/B220*10^(O221/10)</f>
        <v>2.9017656935058464E-2</v>
      </c>
      <c r="Q221" s="26"/>
      <c r="R221" s="17"/>
      <c r="S221" s="19"/>
      <c r="T221" s="17"/>
      <c r="U221" s="22"/>
    </row>
    <row r="222" spans="1:21" x14ac:dyDescent="0.25">
      <c r="A222" s="24"/>
      <c r="B222" s="24"/>
      <c r="C222" s="17"/>
      <c r="D222" s="24"/>
      <c r="E222" s="24"/>
      <c r="F222" s="25"/>
      <c r="G222" s="1">
        <v>275</v>
      </c>
      <c r="H222" s="2">
        <v>92.2</v>
      </c>
      <c r="I222" s="2">
        <v>-22.4</v>
      </c>
      <c r="J222" s="2">
        <v>-23.2</v>
      </c>
      <c r="K222" s="2">
        <f t="shared" si="28"/>
        <v>-22.4</v>
      </c>
      <c r="L222" s="8">
        <f t="shared" si="29"/>
        <v>3.4673685045253144E-12</v>
      </c>
      <c r="M222" s="26"/>
      <c r="N222" s="17"/>
      <c r="O222" s="9">
        <f t="shared" si="30"/>
        <v>-23.2</v>
      </c>
      <c r="P222" s="8">
        <f>D220/B220*10^(O222/10)</f>
        <v>6.0626478360867521E-2</v>
      </c>
      <c r="Q222" s="26"/>
      <c r="R222" s="17"/>
      <c r="S222" s="19"/>
      <c r="T222" s="17"/>
      <c r="U222" s="22"/>
    </row>
    <row r="223" spans="1:21" x14ac:dyDescent="0.25">
      <c r="A223" s="24"/>
      <c r="B223" s="24"/>
      <c r="C223" s="17"/>
      <c r="D223" s="24"/>
      <c r="E223" s="24"/>
      <c r="F223" s="25"/>
      <c r="G223" s="1">
        <v>325</v>
      </c>
      <c r="H223" s="2">
        <v>93.3</v>
      </c>
      <c r="I223" s="2">
        <v>-20.9</v>
      </c>
      <c r="J223" s="2">
        <v>-25.7</v>
      </c>
      <c r="K223" s="2">
        <f t="shared" si="28"/>
        <v>-20.9</v>
      </c>
      <c r="L223" s="8">
        <f>10^((K223-H223)/10)</f>
        <v>3.8018939632056213E-12</v>
      </c>
      <c r="M223" s="26"/>
      <c r="N223" s="17"/>
      <c r="O223" s="9">
        <f t="shared" si="30"/>
        <v>-25.7</v>
      </c>
      <c r="P223" s="8">
        <f>D220/B220*10^(O223/10)</f>
        <v>3.409277418307425E-2</v>
      </c>
      <c r="Q223" s="26"/>
      <c r="R223" s="17"/>
      <c r="S223" s="20"/>
      <c r="T223" s="17"/>
      <c r="U223" s="23"/>
    </row>
    <row r="224" spans="1:21" x14ac:dyDescent="0.25">
      <c r="A224" s="24">
        <v>500</v>
      </c>
      <c r="B224" s="24">
        <v>3</v>
      </c>
      <c r="C224" s="17">
        <v>0.5</v>
      </c>
      <c r="D224" s="24">
        <v>59</v>
      </c>
      <c r="E224" s="24">
        <v>6</v>
      </c>
      <c r="F224" s="25">
        <v>84</v>
      </c>
      <c r="G224" s="1">
        <v>375</v>
      </c>
      <c r="H224" s="2">
        <v>91.9</v>
      </c>
      <c r="I224" s="2">
        <v>-26.5</v>
      </c>
      <c r="J224" s="2">
        <v>-28</v>
      </c>
      <c r="K224" s="2">
        <f t="shared" si="28"/>
        <v>-26.5</v>
      </c>
      <c r="L224" s="8">
        <f t="shared" ref="L224:L225" si="31">10^((K224-H224)/10)</f>
        <v>1.4454397707459267E-12</v>
      </c>
      <c r="M224" s="26">
        <f>SUM(L224:L229)</f>
        <v>2.9937629444252551E-11</v>
      </c>
      <c r="N224" s="17">
        <f>10*LOG10(M224/E224)</f>
        <v>-113.01933841819475</v>
      </c>
      <c r="O224" s="9">
        <f t="shared" si="30"/>
        <v>-28</v>
      </c>
      <c r="P224" s="8">
        <f>D224/B224*10^(O224/10)</f>
        <v>3.1169566118401899E-2</v>
      </c>
      <c r="Q224" s="26">
        <f>SUM(P224:P229)</f>
        <v>0.2753401921923353</v>
      </c>
      <c r="R224" s="17">
        <f>10*LOG10(Q224)</f>
        <v>-5.6013038877634376</v>
      </c>
      <c r="S224" s="18">
        <f>F224+N224-Kzt-H</f>
        <v>-29.019338418194749</v>
      </c>
      <c r="T224" s="17">
        <v>0.5</v>
      </c>
      <c r="U224" s="21">
        <f>T224*10^((S224-R224)/10)</f>
        <v>2.2759700946011793E-3</v>
      </c>
    </row>
    <row r="225" spans="1:21" x14ac:dyDescent="0.25">
      <c r="A225" s="24"/>
      <c r="B225" s="24"/>
      <c r="C225" s="17"/>
      <c r="D225" s="24"/>
      <c r="E225" s="24"/>
      <c r="F225" s="25"/>
      <c r="G225" s="1">
        <v>425</v>
      </c>
      <c r="H225" s="2">
        <v>88.1</v>
      </c>
      <c r="I225" s="2">
        <v>-20.100000000000001</v>
      </c>
      <c r="J225" s="2">
        <v>-24</v>
      </c>
      <c r="K225" s="2">
        <f t="shared" si="28"/>
        <v>-20.100000000000001</v>
      </c>
      <c r="L225" s="8">
        <f t="shared" si="31"/>
        <v>1.5135612484362085E-11</v>
      </c>
      <c r="M225" s="26"/>
      <c r="N225" s="17"/>
      <c r="O225" s="9">
        <f t="shared" si="30"/>
        <v>-24</v>
      </c>
      <c r="P225" s="8">
        <f>D224/B224*10^(O225/10)</f>
        <v>7.8294410208854442E-2</v>
      </c>
      <c r="Q225" s="26"/>
      <c r="R225" s="17"/>
      <c r="S225" s="19"/>
      <c r="T225" s="17"/>
      <c r="U225" s="22"/>
    </row>
    <row r="226" spans="1:21" x14ac:dyDescent="0.25">
      <c r="A226" s="24"/>
      <c r="B226" s="24"/>
      <c r="C226" s="17"/>
      <c r="D226" s="24"/>
      <c r="E226" s="24"/>
      <c r="F226" s="25"/>
      <c r="G226" s="1">
        <v>475</v>
      </c>
      <c r="H226" s="2">
        <v>90</v>
      </c>
      <c r="I226" s="2">
        <v>-23.099999999999998</v>
      </c>
      <c r="J226" s="2">
        <v>-24.9</v>
      </c>
      <c r="K226" s="2">
        <f t="shared" si="28"/>
        <v>-23.099999999999998</v>
      </c>
      <c r="L226" s="8">
        <f>10^((K226-H226)/10)</f>
        <v>4.8977881936844688E-12</v>
      </c>
      <c r="M226" s="26"/>
      <c r="N226" s="17"/>
      <c r="O226" s="9">
        <f t="shared" si="30"/>
        <v>-24.9</v>
      </c>
      <c r="P226" s="8">
        <f>D224/B224*10^(O226/10)</f>
        <v>6.3640085862826892E-2</v>
      </c>
      <c r="Q226" s="26"/>
      <c r="R226" s="17"/>
      <c r="S226" s="19"/>
      <c r="T226" s="17"/>
      <c r="U226" s="22"/>
    </row>
    <row r="227" spans="1:21" x14ac:dyDescent="0.25">
      <c r="A227" s="24"/>
      <c r="B227" s="24"/>
      <c r="C227" s="17"/>
      <c r="D227" s="24"/>
      <c r="E227" s="24"/>
      <c r="F227" s="25"/>
      <c r="G227" s="1">
        <v>575</v>
      </c>
      <c r="H227" s="2">
        <v>97</v>
      </c>
      <c r="I227" s="2">
        <v>-24.5</v>
      </c>
      <c r="J227" s="2">
        <v>-30.3</v>
      </c>
      <c r="K227" s="2">
        <f t="shared" si="28"/>
        <v>-24.5</v>
      </c>
      <c r="L227" s="8">
        <f t="shared" ref="L227:L253" si="32">10^((K227-H227)/10)</f>
        <v>7.0794578438413455E-13</v>
      </c>
      <c r="M227" s="26"/>
      <c r="N227" s="17"/>
      <c r="O227" s="9">
        <f t="shared" si="30"/>
        <v>-30.3</v>
      </c>
      <c r="P227" s="8">
        <f>D224/B224*10^(O227/10)</f>
        <v>1.8354001249007469E-2</v>
      </c>
      <c r="Q227" s="26"/>
      <c r="R227" s="17"/>
      <c r="S227" s="19"/>
      <c r="T227" s="17"/>
      <c r="U227" s="22"/>
    </row>
    <row r="228" spans="1:21" x14ac:dyDescent="0.25">
      <c r="A228" s="24"/>
      <c r="B228" s="24"/>
      <c r="C228" s="17"/>
      <c r="D228" s="24"/>
      <c r="E228" s="24"/>
      <c r="F228" s="25"/>
      <c r="G228" s="1">
        <v>625</v>
      </c>
      <c r="H228" s="2">
        <v>92</v>
      </c>
      <c r="I228" s="2">
        <v>-20.100000000000001</v>
      </c>
      <c r="J228" s="2">
        <v>-29.3</v>
      </c>
      <c r="K228" s="2">
        <f t="shared" si="28"/>
        <v>-20.100000000000001</v>
      </c>
      <c r="L228" s="8">
        <f t="shared" si="32"/>
        <v>6.1659500186148244E-12</v>
      </c>
      <c r="M228" s="26"/>
      <c r="N228" s="17"/>
      <c r="O228" s="9">
        <f t="shared" si="30"/>
        <v>-29.3</v>
      </c>
      <c r="P228" s="8">
        <f>D224/B224*10^(O228/10)</f>
        <v>2.3106318580477386E-2</v>
      </c>
      <c r="Q228" s="26"/>
      <c r="R228" s="17"/>
      <c r="S228" s="19"/>
      <c r="T228" s="17"/>
      <c r="U228" s="22"/>
    </row>
    <row r="229" spans="1:21" x14ac:dyDescent="0.25">
      <c r="A229" s="24"/>
      <c r="B229" s="24"/>
      <c r="C229" s="17"/>
      <c r="D229" s="24"/>
      <c r="E229" s="24"/>
      <c r="F229" s="25"/>
      <c r="G229" s="1">
        <v>675</v>
      </c>
      <c r="H229" s="2">
        <v>94.5</v>
      </c>
      <c r="I229" s="2">
        <v>-23.5</v>
      </c>
      <c r="J229" s="2">
        <v>-25.1</v>
      </c>
      <c r="K229" s="2">
        <f t="shared" si="28"/>
        <v>-23.5</v>
      </c>
      <c r="L229" s="8">
        <f t="shared" si="32"/>
        <v>1.5848931924611065E-12</v>
      </c>
      <c r="M229" s="26"/>
      <c r="N229" s="17"/>
      <c r="O229" s="9">
        <f t="shared" si="30"/>
        <v>-25.1</v>
      </c>
      <c r="P229" s="8">
        <f>D224/B224*10^(O229/10)</f>
        <v>6.0775810172767231E-2</v>
      </c>
      <c r="Q229" s="26"/>
      <c r="R229" s="17"/>
      <c r="S229" s="20"/>
      <c r="T229" s="17"/>
      <c r="U229" s="23"/>
    </row>
    <row r="230" spans="1:21" x14ac:dyDescent="0.25">
      <c r="A230" s="24">
        <v>1000</v>
      </c>
      <c r="B230" s="24">
        <v>3</v>
      </c>
      <c r="C230" s="17">
        <v>0.5</v>
      </c>
      <c r="D230" s="24">
        <v>117</v>
      </c>
      <c r="E230" s="24">
        <v>6</v>
      </c>
      <c r="F230" s="25">
        <v>76</v>
      </c>
      <c r="G230" s="1">
        <v>875</v>
      </c>
      <c r="H230" s="2">
        <v>91.1</v>
      </c>
      <c r="I230" s="2">
        <v>-24.8</v>
      </c>
      <c r="J230" s="2">
        <v>-27.5</v>
      </c>
      <c r="K230" s="2">
        <f t="shared" si="28"/>
        <v>-24.8</v>
      </c>
      <c r="L230" s="8">
        <f t="shared" si="32"/>
        <v>2.5703957827688561E-12</v>
      </c>
      <c r="M230" s="26">
        <f>SUM(L230:L235)</f>
        <v>6.3376470667320492E-12</v>
      </c>
      <c r="N230" s="17">
        <f>10*LOG10(M230/E230)</f>
        <v>-119.76223200010041</v>
      </c>
      <c r="O230" s="9">
        <f t="shared" si="30"/>
        <v>-27.5</v>
      </c>
      <c r="P230" s="8">
        <f>D230/B230*10^(O230/10)</f>
        <v>6.9352896991517976E-2</v>
      </c>
      <c r="Q230" s="26">
        <f>SUM(P230:P235)</f>
        <v>0.58919191542194771</v>
      </c>
      <c r="R230" s="17">
        <f>10*LOG10(Q230)</f>
        <v>-2.2974322094638762</v>
      </c>
      <c r="S230" s="18">
        <f>F230+N230-Kzt-H</f>
        <v>-43.762232000100411</v>
      </c>
      <c r="T230" s="17">
        <v>0.8</v>
      </c>
      <c r="U230" s="21">
        <f>T230*10^((S230-R230)/10)</f>
        <v>5.7096568495772881E-5</v>
      </c>
    </row>
    <row r="231" spans="1:21" x14ac:dyDescent="0.25">
      <c r="A231" s="24"/>
      <c r="B231" s="24"/>
      <c r="C231" s="17"/>
      <c r="D231" s="24"/>
      <c r="E231" s="24"/>
      <c r="F231" s="25"/>
      <c r="G231" s="1">
        <v>975</v>
      </c>
      <c r="H231" s="2">
        <v>96.5</v>
      </c>
      <c r="I231" s="2">
        <v>-24.2</v>
      </c>
      <c r="J231" s="2">
        <v>-26.1</v>
      </c>
      <c r="K231" s="2">
        <f t="shared" si="28"/>
        <v>-24.2</v>
      </c>
      <c r="L231" s="8">
        <f t="shared" si="32"/>
        <v>8.5113803820237492E-13</v>
      </c>
      <c r="M231" s="26"/>
      <c r="N231" s="17"/>
      <c r="O231" s="9">
        <f t="shared" si="30"/>
        <v>-26.1</v>
      </c>
      <c r="P231" s="8">
        <f>D230/B230*10^(O231/10)</f>
        <v>9.5733647711716024E-2</v>
      </c>
      <c r="Q231" s="26"/>
      <c r="R231" s="17"/>
      <c r="S231" s="19"/>
      <c r="T231" s="17"/>
      <c r="U231" s="22"/>
    </row>
    <row r="232" spans="1:21" x14ac:dyDescent="0.25">
      <c r="A232" s="24"/>
      <c r="B232" s="24"/>
      <c r="C232" s="17"/>
      <c r="D232" s="24"/>
      <c r="E232" s="24"/>
      <c r="F232" s="25"/>
      <c r="G232" s="1">
        <v>1075</v>
      </c>
      <c r="H232" s="2">
        <v>94.6</v>
      </c>
      <c r="I232" s="2">
        <v>-24.9</v>
      </c>
      <c r="J232" s="2">
        <v>-27.8</v>
      </c>
      <c r="K232" s="2">
        <f t="shared" si="28"/>
        <v>-24.9</v>
      </c>
      <c r="L232" s="8">
        <f t="shared" si="32"/>
        <v>1.122018454301964E-12</v>
      </c>
      <c r="M232" s="26"/>
      <c r="N232" s="17"/>
      <c r="O232" s="9">
        <f t="shared" si="30"/>
        <v>-27.8</v>
      </c>
      <c r="P232" s="8">
        <f>D230/B230*10^(O232/10)</f>
        <v>6.4723889390064807E-2</v>
      </c>
      <c r="Q232" s="26"/>
      <c r="R232" s="17"/>
      <c r="S232" s="19"/>
      <c r="T232" s="17"/>
      <c r="U232" s="22"/>
    </row>
    <row r="233" spans="1:21" x14ac:dyDescent="0.25">
      <c r="A233" s="24"/>
      <c r="B233" s="24"/>
      <c r="C233" s="17"/>
      <c r="D233" s="24"/>
      <c r="E233" s="24"/>
      <c r="F233" s="25"/>
      <c r="G233" s="1">
        <v>1175</v>
      </c>
      <c r="H233" s="2">
        <v>97.8</v>
      </c>
      <c r="I233" s="2">
        <v>-21.3</v>
      </c>
      <c r="J233" s="2">
        <v>-22.9</v>
      </c>
      <c r="K233" s="2">
        <f t="shared" si="28"/>
        <v>-21.3</v>
      </c>
      <c r="L233" s="8">
        <f t="shared" si="32"/>
        <v>1.2302687708123772E-12</v>
      </c>
      <c r="M233" s="26"/>
      <c r="N233" s="17"/>
      <c r="O233" s="9">
        <f t="shared" si="30"/>
        <v>-22.9</v>
      </c>
      <c r="P233" s="8">
        <f>D230/B230*10^(O233/10)</f>
        <v>0.20001593975663223</v>
      </c>
      <c r="Q233" s="26"/>
      <c r="R233" s="17"/>
      <c r="S233" s="19"/>
      <c r="T233" s="17"/>
      <c r="U233" s="22"/>
    </row>
    <row r="234" spans="1:21" x14ac:dyDescent="0.25">
      <c r="A234" s="24"/>
      <c r="B234" s="24"/>
      <c r="C234" s="17"/>
      <c r="D234" s="24"/>
      <c r="E234" s="24"/>
      <c r="F234" s="25"/>
      <c r="G234" s="1">
        <v>1275</v>
      </c>
      <c r="H234" s="2">
        <v>100.1</v>
      </c>
      <c r="I234" s="2">
        <v>-25.3</v>
      </c>
      <c r="J234" s="2">
        <v>-25.4</v>
      </c>
      <c r="K234" s="2">
        <f t="shared" si="28"/>
        <v>-25.3</v>
      </c>
      <c r="L234" s="8">
        <f t="shared" si="32"/>
        <v>2.884031503126603E-13</v>
      </c>
      <c r="M234" s="26"/>
      <c r="N234" s="17"/>
      <c r="O234" s="9">
        <f t="shared" si="30"/>
        <v>-25.4</v>
      </c>
      <c r="P234" s="8">
        <f>D230/B230*10^(O234/10)</f>
        <v>0.11247722862193757</v>
      </c>
      <c r="Q234" s="26"/>
      <c r="R234" s="17"/>
      <c r="S234" s="19"/>
      <c r="T234" s="17"/>
      <c r="U234" s="22"/>
    </row>
    <row r="235" spans="1:21" x14ac:dyDescent="0.25">
      <c r="A235" s="24"/>
      <c r="B235" s="24"/>
      <c r="C235" s="17"/>
      <c r="D235" s="24"/>
      <c r="E235" s="24"/>
      <c r="F235" s="25"/>
      <c r="G235" s="1">
        <v>1375</v>
      </c>
      <c r="H235" s="2">
        <v>103</v>
      </c>
      <c r="I235" s="2">
        <v>-22.6</v>
      </c>
      <c r="J235" s="2">
        <v>-29.2</v>
      </c>
      <c r="K235" s="2">
        <f t="shared" si="28"/>
        <v>-22.6</v>
      </c>
      <c r="L235" s="8">
        <f t="shared" si="32"/>
        <v>2.754228703338164E-13</v>
      </c>
      <c r="M235" s="26"/>
      <c r="N235" s="17"/>
      <c r="O235" s="9">
        <f t="shared" si="30"/>
        <v>-29.2</v>
      </c>
      <c r="P235" s="8">
        <f>D230/B230*10^(O235/10)</f>
        <v>4.6888312950079079E-2</v>
      </c>
      <c r="Q235" s="26"/>
      <c r="R235" s="17"/>
      <c r="S235" s="20"/>
      <c r="T235" s="17"/>
      <c r="U235" s="23"/>
    </row>
    <row r="236" spans="1:21" x14ac:dyDescent="0.25">
      <c r="A236" s="24">
        <v>2000</v>
      </c>
      <c r="B236" s="24">
        <v>3</v>
      </c>
      <c r="C236" s="17">
        <v>0.5</v>
      </c>
      <c r="D236" s="24">
        <v>234</v>
      </c>
      <c r="E236" s="24">
        <v>6</v>
      </c>
      <c r="F236" s="25">
        <v>68</v>
      </c>
      <c r="G236" s="1">
        <v>1425</v>
      </c>
      <c r="H236" s="2">
        <v>102.8</v>
      </c>
      <c r="I236" s="2">
        <v>-27.5</v>
      </c>
      <c r="J236" s="2">
        <v>-31.5</v>
      </c>
      <c r="K236" s="2">
        <f t="shared" si="28"/>
        <v>-27.5</v>
      </c>
      <c r="L236" s="8">
        <f t="shared" si="32"/>
        <v>9.332543007969846E-14</v>
      </c>
      <c r="M236" s="26">
        <f>SUM(L236:L241)</f>
        <v>5.335305941045092E-12</v>
      </c>
      <c r="N236" s="17">
        <f>10*LOG10(M236/E236)</f>
        <v>-120.50991922274875</v>
      </c>
      <c r="O236" s="9">
        <f t="shared" si="30"/>
        <v>-31.5</v>
      </c>
      <c r="P236" s="8">
        <f>D236/B236*10^(O236/10)</f>
        <v>5.5219771181962751E-2</v>
      </c>
      <c r="Q236" s="26">
        <f>SUM(P236:P241)</f>
        <v>0.95721456785742809</v>
      </c>
      <c r="R236" s="17">
        <f>10*LOG10(Q236)</f>
        <v>-0.18990700476537398</v>
      </c>
      <c r="S236" s="18">
        <f>F236+N236-Kzt-H</f>
        <v>-52.509919222748749</v>
      </c>
      <c r="T236" s="17">
        <v>1</v>
      </c>
      <c r="U236" s="21">
        <f>T236*10^((S236-R236)/10)</f>
        <v>5.8613651553699165E-6</v>
      </c>
    </row>
    <row r="237" spans="1:21" x14ac:dyDescent="0.25">
      <c r="A237" s="24"/>
      <c r="B237" s="24"/>
      <c r="C237" s="17"/>
      <c r="D237" s="24"/>
      <c r="E237" s="24"/>
      <c r="F237" s="25"/>
      <c r="G237" s="1">
        <v>1625</v>
      </c>
      <c r="H237" s="2">
        <v>104.1</v>
      </c>
      <c r="I237" s="2">
        <v>-19.399999999999999</v>
      </c>
      <c r="J237" s="2">
        <v>-27.2</v>
      </c>
      <c r="K237" s="2">
        <f t="shared" si="28"/>
        <v>-19.399999999999999</v>
      </c>
      <c r="L237" s="8">
        <f t="shared" si="32"/>
        <v>4.4668359215096191E-13</v>
      </c>
      <c r="M237" s="26"/>
      <c r="N237" s="17"/>
      <c r="O237" s="9">
        <f t="shared" si="30"/>
        <v>-27.2</v>
      </c>
      <c r="P237" s="8">
        <f>D236/B236*10^(O237/10)</f>
        <v>0.1486259360011333</v>
      </c>
      <c r="Q237" s="26"/>
      <c r="R237" s="17"/>
      <c r="S237" s="19"/>
      <c r="T237" s="17"/>
      <c r="U237" s="22"/>
    </row>
    <row r="238" spans="1:21" x14ac:dyDescent="0.25">
      <c r="A238" s="24"/>
      <c r="B238" s="24"/>
      <c r="C238" s="17"/>
      <c r="D238" s="24"/>
      <c r="E238" s="24"/>
      <c r="F238" s="25"/>
      <c r="G238" s="1">
        <v>1825</v>
      </c>
      <c r="H238" s="2">
        <v>107.6</v>
      </c>
      <c r="I238" s="2">
        <v>-23.7</v>
      </c>
      <c r="J238" s="2">
        <v>-26.7</v>
      </c>
      <c r="K238" s="2">
        <f t="shared" si="28"/>
        <v>-23.7</v>
      </c>
      <c r="L238" s="8">
        <f t="shared" si="32"/>
        <v>7.4131024130091835E-14</v>
      </c>
      <c r="M238" s="26"/>
      <c r="N238" s="17"/>
      <c r="O238" s="9">
        <f t="shared" si="30"/>
        <v>-26.7</v>
      </c>
      <c r="P238" s="8">
        <f>D236/B236*10^(O238/10)</f>
        <v>0.16676104298117408</v>
      </c>
      <c r="Q238" s="26"/>
      <c r="R238" s="17"/>
      <c r="S238" s="19"/>
      <c r="T238" s="17"/>
      <c r="U238" s="22"/>
    </row>
    <row r="239" spans="1:21" x14ac:dyDescent="0.25">
      <c r="A239" s="24"/>
      <c r="B239" s="24"/>
      <c r="C239" s="17"/>
      <c r="D239" s="24"/>
      <c r="E239" s="24"/>
      <c r="F239" s="25"/>
      <c r="G239" s="1">
        <v>2125</v>
      </c>
      <c r="H239" s="2">
        <v>104.2</v>
      </c>
      <c r="I239" s="2">
        <v>-24.8</v>
      </c>
      <c r="J239" s="2">
        <v>-25.1</v>
      </c>
      <c r="K239" s="2">
        <f t="shared" si="28"/>
        <v>-24.8</v>
      </c>
      <c r="L239" s="8">
        <f t="shared" si="32"/>
        <v>1.2589254117941612E-13</v>
      </c>
      <c r="M239" s="26"/>
      <c r="N239" s="17"/>
      <c r="O239" s="9">
        <f t="shared" si="30"/>
        <v>-25.1</v>
      </c>
      <c r="P239" s="8">
        <f>D236/B236*10^(O239/10)</f>
        <v>0.24104304373605984</v>
      </c>
      <c r="Q239" s="26"/>
      <c r="R239" s="17"/>
      <c r="S239" s="19"/>
      <c r="T239" s="17"/>
      <c r="U239" s="22"/>
    </row>
    <row r="240" spans="1:21" x14ac:dyDescent="0.25">
      <c r="A240" s="24"/>
      <c r="B240" s="24"/>
      <c r="C240" s="17"/>
      <c r="D240" s="24"/>
      <c r="E240" s="24"/>
      <c r="F240" s="25"/>
      <c r="G240" s="1">
        <v>2425</v>
      </c>
      <c r="H240" s="2">
        <v>93.7</v>
      </c>
      <c r="I240" s="2">
        <v>-20.100000000000001</v>
      </c>
      <c r="J240" s="2">
        <v>-28.3</v>
      </c>
      <c r="K240" s="2">
        <f t="shared" si="28"/>
        <v>-20.100000000000001</v>
      </c>
      <c r="L240" s="8">
        <f t="shared" si="32"/>
        <v>4.1686938347033333E-12</v>
      </c>
      <c r="M240" s="26"/>
      <c r="N240" s="17"/>
      <c r="O240" s="9">
        <f t="shared" si="30"/>
        <v>-28.3</v>
      </c>
      <c r="P240" s="8">
        <f>D236/B236*10^(O240/10)</f>
        <v>0.11537045427712012</v>
      </c>
      <c r="Q240" s="26"/>
      <c r="R240" s="17"/>
      <c r="S240" s="19"/>
      <c r="T240" s="17"/>
      <c r="U240" s="22"/>
    </row>
    <row r="241" spans="1:21" x14ac:dyDescent="0.25">
      <c r="A241" s="24"/>
      <c r="B241" s="24"/>
      <c r="C241" s="17"/>
      <c r="D241" s="24"/>
      <c r="E241" s="24"/>
      <c r="F241" s="25"/>
      <c r="G241" s="1">
        <v>2775</v>
      </c>
      <c r="H241" s="2">
        <v>100.2</v>
      </c>
      <c r="I241" s="2">
        <v>-23.5</v>
      </c>
      <c r="J241" s="2">
        <v>-25.3</v>
      </c>
      <c r="K241" s="2">
        <f t="shared" si="28"/>
        <v>-23.5</v>
      </c>
      <c r="L241" s="8">
        <f t="shared" si="32"/>
        <v>4.2657951880159005E-13</v>
      </c>
      <c r="M241" s="26"/>
      <c r="N241" s="17"/>
      <c r="O241" s="9">
        <f t="shared" si="30"/>
        <v>-25.3</v>
      </c>
      <c r="P241" s="8">
        <f>D236/B236*10^(O241/10)</f>
        <v>0.23019431967997794</v>
      </c>
      <c r="Q241" s="26"/>
      <c r="R241" s="17"/>
      <c r="S241" s="20"/>
      <c r="T241" s="17"/>
      <c r="U241" s="23"/>
    </row>
    <row r="242" spans="1:21" x14ac:dyDescent="0.25">
      <c r="A242" s="24">
        <v>4000</v>
      </c>
      <c r="B242" s="24">
        <v>3</v>
      </c>
      <c r="C242" s="17">
        <v>0.5</v>
      </c>
      <c r="D242" s="24">
        <v>470</v>
      </c>
      <c r="E242" s="24">
        <v>6</v>
      </c>
      <c r="F242" s="25">
        <v>62</v>
      </c>
      <c r="G242" s="1">
        <v>2825</v>
      </c>
      <c r="H242" s="2">
        <v>99.4</v>
      </c>
      <c r="I242" s="2">
        <v>-22.7</v>
      </c>
      <c r="J242" s="2">
        <v>-27.3</v>
      </c>
      <c r="K242" s="2">
        <f t="shared" si="28"/>
        <v>-22.7</v>
      </c>
      <c r="L242" s="8">
        <f t="shared" si="32"/>
        <v>6.1659500186147956E-13</v>
      </c>
      <c r="M242" s="26">
        <f>SUM(L242:L247)</f>
        <v>1.8011704235423429E-12</v>
      </c>
      <c r="N242" s="17">
        <f>10*LOG10(M242/E242)</f>
        <v>-125.22596443448408</v>
      </c>
      <c r="O242" s="9">
        <f t="shared" si="30"/>
        <v>-27.3</v>
      </c>
      <c r="P242" s="8">
        <f>D242/B242*10^(O242/10)</f>
        <v>0.29172698474384906</v>
      </c>
      <c r="Q242" s="26">
        <f>SUM(P242:P247)</f>
        <v>1.4879881388709624</v>
      </c>
      <c r="R242" s="17">
        <f>10*LOG10(Q242)</f>
        <v>1.7259946935272215</v>
      </c>
      <c r="S242" s="18">
        <f>F242+N242-Kzt-H</f>
        <v>-63.225964434484084</v>
      </c>
      <c r="T242" s="17">
        <v>0.9</v>
      </c>
      <c r="U242" s="21">
        <f>T242*10^((S242-R242)/10)</f>
        <v>2.8777071552135263E-7</v>
      </c>
    </row>
    <row r="243" spans="1:21" x14ac:dyDescent="0.25">
      <c r="A243" s="24"/>
      <c r="B243" s="24"/>
      <c r="C243" s="17"/>
      <c r="D243" s="24"/>
      <c r="E243" s="24"/>
      <c r="F243" s="25"/>
      <c r="G243" s="1">
        <v>3425</v>
      </c>
      <c r="H243" s="2">
        <v>103.5</v>
      </c>
      <c r="I243" s="2">
        <v>-25</v>
      </c>
      <c r="J243" s="2">
        <v>-31</v>
      </c>
      <c r="K243" s="2">
        <f t="shared" si="28"/>
        <v>-25</v>
      </c>
      <c r="L243" s="8">
        <f t="shared" si="32"/>
        <v>1.4125375446227519E-13</v>
      </c>
      <c r="M243" s="26"/>
      <c r="N243" s="17"/>
      <c r="O243" s="9">
        <f t="shared" si="30"/>
        <v>-31</v>
      </c>
      <c r="P243" s="8">
        <f>D242/B242*10^(O243/10)</f>
        <v>0.12444475677347068</v>
      </c>
      <c r="Q243" s="26"/>
      <c r="R243" s="17"/>
      <c r="S243" s="19"/>
      <c r="T243" s="17"/>
      <c r="U243" s="22"/>
    </row>
    <row r="244" spans="1:21" x14ac:dyDescent="0.25">
      <c r="A244" s="24"/>
      <c r="B244" s="24"/>
      <c r="C244" s="17"/>
      <c r="D244" s="24"/>
      <c r="E244" s="24"/>
      <c r="F244" s="25"/>
      <c r="G244" s="1">
        <v>4025</v>
      </c>
      <c r="H244" s="2">
        <v>103.6</v>
      </c>
      <c r="I244" s="2">
        <v>-24.7</v>
      </c>
      <c r="J244" s="2">
        <v>-26.9</v>
      </c>
      <c r="K244" s="2">
        <f t="shared" si="28"/>
        <v>-24.7</v>
      </c>
      <c r="L244" s="8">
        <f t="shared" si="32"/>
        <v>1.47910838816821E-13</v>
      </c>
      <c r="M244" s="26"/>
      <c r="N244" s="17"/>
      <c r="O244" s="9">
        <f t="shared" si="30"/>
        <v>-26.9</v>
      </c>
      <c r="P244" s="8">
        <f>D242/B242*10^(O244/10)</f>
        <v>0.31987227799822626</v>
      </c>
      <c r="Q244" s="26"/>
      <c r="R244" s="17"/>
      <c r="S244" s="19"/>
      <c r="T244" s="17"/>
      <c r="U244" s="22"/>
    </row>
    <row r="245" spans="1:21" x14ac:dyDescent="0.25">
      <c r="A245" s="24"/>
      <c r="B245" s="24"/>
      <c r="C245" s="17"/>
      <c r="D245" s="24"/>
      <c r="E245" s="24"/>
      <c r="F245" s="25"/>
      <c r="G245" s="1">
        <v>4625</v>
      </c>
      <c r="H245" s="2">
        <v>105.6</v>
      </c>
      <c r="I245" s="2">
        <v>-22.1</v>
      </c>
      <c r="J245" s="2">
        <v>-29.7</v>
      </c>
      <c r="K245" s="2">
        <f t="shared" si="28"/>
        <v>-22.1</v>
      </c>
      <c r="L245" s="8">
        <f t="shared" si="32"/>
        <v>1.6982436524617405E-13</v>
      </c>
      <c r="M245" s="26"/>
      <c r="N245" s="17"/>
      <c r="O245" s="9">
        <f t="shared" si="30"/>
        <v>-29.7</v>
      </c>
      <c r="P245" s="8">
        <f>D242/B242*10^(O245/10)</f>
        <v>0.16787135782055831</v>
      </c>
      <c r="Q245" s="26"/>
      <c r="R245" s="17"/>
      <c r="S245" s="19"/>
      <c r="T245" s="17"/>
      <c r="U245" s="22"/>
    </row>
    <row r="246" spans="1:21" x14ac:dyDescent="0.25">
      <c r="A246" s="24"/>
      <c r="B246" s="24"/>
      <c r="C246" s="17"/>
      <c r="D246" s="24"/>
      <c r="E246" s="24"/>
      <c r="F246" s="25"/>
      <c r="G246" s="1">
        <v>5225</v>
      </c>
      <c r="H246" s="2">
        <v>103.5</v>
      </c>
      <c r="I246" s="2">
        <v>-25.6</v>
      </c>
      <c r="J246" s="2">
        <v>-27.1</v>
      </c>
      <c r="K246" s="2">
        <f t="shared" si="28"/>
        <v>-25.6</v>
      </c>
      <c r="L246" s="8">
        <f t="shared" si="32"/>
        <v>1.2302687708123759E-13</v>
      </c>
      <c r="M246" s="26"/>
      <c r="N246" s="17"/>
      <c r="O246" s="9">
        <f t="shared" si="30"/>
        <v>-27.1</v>
      </c>
      <c r="P246" s="8">
        <f>D242/B242*10^(O246/10)</f>
        <v>0.30547565396209353</v>
      </c>
      <c r="Q246" s="26"/>
      <c r="R246" s="17"/>
      <c r="S246" s="19"/>
      <c r="T246" s="17"/>
      <c r="U246" s="22"/>
    </row>
    <row r="247" spans="1:21" x14ac:dyDescent="0.25">
      <c r="A247" s="24"/>
      <c r="B247" s="24"/>
      <c r="C247" s="17"/>
      <c r="D247" s="24"/>
      <c r="E247" s="24"/>
      <c r="F247" s="25"/>
      <c r="G247" s="1">
        <v>5625</v>
      </c>
      <c r="H247" s="2">
        <v>99.5</v>
      </c>
      <c r="I247" s="2">
        <v>-22.7</v>
      </c>
      <c r="J247" s="2">
        <v>-27.5</v>
      </c>
      <c r="K247" s="2">
        <f t="shared" si="28"/>
        <v>-22.7</v>
      </c>
      <c r="L247" s="8">
        <f t="shared" si="32"/>
        <v>6.025595860743553E-13</v>
      </c>
      <c r="M247" s="26"/>
      <c r="N247" s="17"/>
      <c r="O247" s="9">
        <f t="shared" si="30"/>
        <v>-27.5</v>
      </c>
      <c r="P247" s="8">
        <f>D242/B242*10^(O247/10)</f>
        <v>0.27859710757276446</v>
      </c>
      <c r="Q247" s="26"/>
      <c r="R247" s="17"/>
      <c r="S247" s="20"/>
      <c r="T247" s="17"/>
      <c r="U247" s="23"/>
    </row>
    <row r="248" spans="1:21" x14ac:dyDescent="0.25">
      <c r="A248" s="24">
        <v>8000</v>
      </c>
      <c r="B248" s="24">
        <v>3</v>
      </c>
      <c r="C248" s="17">
        <v>0.5</v>
      </c>
      <c r="D248" s="24">
        <v>943</v>
      </c>
      <c r="E248" s="24">
        <v>6</v>
      </c>
      <c r="F248" s="25">
        <v>54</v>
      </c>
      <c r="G248" s="1">
        <v>6025</v>
      </c>
      <c r="H248" s="2">
        <v>95</v>
      </c>
      <c r="I248" s="2">
        <v>-27.2</v>
      </c>
      <c r="J248" s="2">
        <v>-30.6</v>
      </c>
      <c r="K248" s="2">
        <f t="shared" si="28"/>
        <v>-27.2</v>
      </c>
      <c r="L248" s="8">
        <f t="shared" si="32"/>
        <v>6.025595860743553E-13</v>
      </c>
      <c r="M248" s="26">
        <f>SUM(L248:L253)</f>
        <v>4.2823236140162919E-11</v>
      </c>
      <c r="N248" s="17">
        <f>10*LOG10(M248/E248)</f>
        <v>-111.46471766670675</v>
      </c>
      <c r="O248" s="9">
        <f t="shared" si="30"/>
        <v>-30.6</v>
      </c>
      <c r="P248" s="8">
        <f>D248/B248*10^(O248/10)</f>
        <v>0.27377288844286107</v>
      </c>
      <c r="Q248" s="26">
        <f>SUM(P248:P253)</f>
        <v>3.5336842420646466</v>
      </c>
      <c r="R248" s="17">
        <f>10*LOG10(Q248)</f>
        <v>5.4822773983526742</v>
      </c>
      <c r="S248" s="18">
        <f>F248+N248-Kzt-H</f>
        <v>-57.464717666706747</v>
      </c>
      <c r="T248" s="17">
        <v>0.7</v>
      </c>
      <c r="U248" s="21">
        <f>T248*10^((S248-R248)/10)</f>
        <v>3.5513913577476264E-7</v>
      </c>
    </row>
    <row r="249" spans="1:21" x14ac:dyDescent="0.25">
      <c r="A249" s="24"/>
      <c r="B249" s="24"/>
      <c r="C249" s="17"/>
      <c r="D249" s="24"/>
      <c r="E249" s="24"/>
      <c r="F249" s="25"/>
      <c r="G249" s="1">
        <v>7025</v>
      </c>
      <c r="H249" s="2">
        <v>94.8</v>
      </c>
      <c r="I249" s="2">
        <v>-23.2</v>
      </c>
      <c r="J249" s="2">
        <v>-28.2</v>
      </c>
      <c r="K249" s="2">
        <f t="shared" si="28"/>
        <v>-23.2</v>
      </c>
      <c r="L249" s="8">
        <f t="shared" si="32"/>
        <v>1.5848931924611065E-12</v>
      </c>
      <c r="M249" s="26"/>
      <c r="N249" s="17"/>
      <c r="O249" s="9">
        <f t="shared" si="30"/>
        <v>-28.2</v>
      </c>
      <c r="P249" s="8">
        <f>D248/B248*10^(O249/10)</f>
        <v>0.47576275242511445</v>
      </c>
      <c r="Q249" s="26"/>
      <c r="R249" s="17"/>
      <c r="S249" s="19"/>
      <c r="T249" s="17"/>
      <c r="U249" s="22"/>
    </row>
    <row r="250" spans="1:21" x14ac:dyDescent="0.25">
      <c r="A250" s="24"/>
      <c r="B250" s="24"/>
      <c r="C250" s="17"/>
      <c r="D250" s="24"/>
      <c r="E250" s="24"/>
      <c r="F250" s="25"/>
      <c r="G250" s="1">
        <v>8025</v>
      </c>
      <c r="H250" s="2">
        <v>101.9</v>
      </c>
      <c r="I250" s="2">
        <v>-22.9</v>
      </c>
      <c r="J250" s="2">
        <v>-25.2</v>
      </c>
      <c r="K250" s="2">
        <f t="shared" si="28"/>
        <v>-22.9</v>
      </c>
      <c r="L250" s="8">
        <f t="shared" si="32"/>
        <v>3.311311214825894E-13</v>
      </c>
      <c r="M250" s="26"/>
      <c r="N250" s="17"/>
      <c r="O250" s="9">
        <f t="shared" si="30"/>
        <v>-25.2</v>
      </c>
      <c r="P250" s="8">
        <f>D248/B248*10^(O250/10)</f>
        <v>0.94927149077969952</v>
      </c>
      <c r="Q250" s="26"/>
      <c r="R250" s="17"/>
      <c r="S250" s="19"/>
      <c r="T250" s="17"/>
      <c r="U250" s="22"/>
    </row>
    <row r="251" spans="1:21" x14ac:dyDescent="0.25">
      <c r="A251" s="24"/>
      <c r="B251" s="24"/>
      <c r="C251" s="17"/>
      <c r="D251" s="24"/>
      <c r="E251" s="24"/>
      <c r="F251" s="25"/>
      <c r="G251" s="1">
        <v>9025</v>
      </c>
      <c r="H251" s="2">
        <v>93.2</v>
      </c>
      <c r="I251" s="2">
        <v>-23.1</v>
      </c>
      <c r="J251" s="2">
        <v>-29.2</v>
      </c>
      <c r="K251" s="2">
        <f t="shared" si="28"/>
        <v>-23.1</v>
      </c>
      <c r="L251" s="8">
        <f t="shared" si="32"/>
        <v>2.3442288153199162E-12</v>
      </c>
      <c r="M251" s="26"/>
      <c r="N251" s="17"/>
      <c r="O251" s="9">
        <f t="shared" si="30"/>
        <v>-29.2</v>
      </c>
      <c r="P251" s="8">
        <f>D248/B248*10^(O251/10)</f>
        <v>0.37791178728140662</v>
      </c>
      <c r="Q251" s="26"/>
      <c r="R251" s="17"/>
      <c r="S251" s="19"/>
      <c r="T251" s="17"/>
      <c r="U251" s="22"/>
    </row>
    <row r="252" spans="1:21" x14ac:dyDescent="0.25">
      <c r="A252" s="24"/>
      <c r="B252" s="24"/>
      <c r="C252" s="17"/>
      <c r="D252" s="24"/>
      <c r="E252" s="24"/>
      <c r="F252" s="25"/>
      <c r="G252" s="1">
        <v>10025</v>
      </c>
      <c r="H252" s="2">
        <v>88.3</v>
      </c>
      <c r="I252" s="2">
        <v>-22.1</v>
      </c>
      <c r="J252" s="2">
        <v>-26.4</v>
      </c>
      <c r="K252" s="2">
        <f t="shared" si="28"/>
        <v>-22.1</v>
      </c>
      <c r="L252" s="8">
        <f t="shared" si="32"/>
        <v>9.1201083935590542E-12</v>
      </c>
      <c r="M252" s="26"/>
      <c r="N252" s="17"/>
      <c r="O252" s="9">
        <f t="shared" si="30"/>
        <v>-26.4</v>
      </c>
      <c r="P252" s="8">
        <f>D248/B248*10^(O252/10)</f>
        <v>0.72009606552000349</v>
      </c>
      <c r="Q252" s="26"/>
      <c r="R252" s="17"/>
      <c r="S252" s="19"/>
      <c r="T252" s="17"/>
      <c r="U252" s="22"/>
    </row>
    <row r="253" spans="1:21" x14ac:dyDescent="0.25">
      <c r="A253" s="24"/>
      <c r="B253" s="24"/>
      <c r="C253" s="17"/>
      <c r="D253" s="24"/>
      <c r="E253" s="24"/>
      <c r="F253" s="25"/>
      <c r="G253" s="1">
        <v>11025</v>
      </c>
      <c r="H253" s="2">
        <v>86</v>
      </c>
      <c r="I253" s="2">
        <v>-19.399999999999999</v>
      </c>
      <c r="J253" s="2">
        <v>-26.3</v>
      </c>
      <c r="K253" s="2">
        <f t="shared" si="28"/>
        <v>-19.399999999999999</v>
      </c>
      <c r="L253" s="8">
        <f t="shared" si="32"/>
        <v>2.8840315031265894E-11</v>
      </c>
      <c r="M253" s="26"/>
      <c r="N253" s="17"/>
      <c r="O253" s="9">
        <f t="shared" si="30"/>
        <v>-26.3</v>
      </c>
      <c r="P253" s="8">
        <f>D248/B248*10^(O253/10)</f>
        <v>0.73686925761556155</v>
      </c>
      <c r="Q253" s="26"/>
      <c r="R253" s="17"/>
      <c r="S253" s="20"/>
      <c r="T253" s="17"/>
      <c r="U253" s="23"/>
    </row>
    <row r="254" spans="1:21" x14ac:dyDescent="0.25">
      <c r="A254" s="24" t="s">
        <v>20</v>
      </c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12">
        <f>U254</f>
        <v>7.2416643962509339E-2</v>
      </c>
      <c r="T254" s="2"/>
      <c r="U254" s="8">
        <f>0.8*SQRT(SUM(U220:U253))</f>
        <v>7.2416643962509339E-2</v>
      </c>
    </row>
    <row r="255" spans="1:21" x14ac:dyDescent="0.25">
      <c r="A255" s="27" t="s">
        <v>99</v>
      </c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9"/>
    </row>
    <row r="256" spans="1:21" x14ac:dyDescent="0.25">
      <c r="A256" s="24">
        <v>250</v>
      </c>
      <c r="B256" s="24">
        <v>3</v>
      </c>
      <c r="C256" s="17">
        <v>0.5</v>
      </c>
      <c r="D256" s="24">
        <v>38</v>
      </c>
      <c r="E256" s="24">
        <v>4</v>
      </c>
      <c r="F256" s="25">
        <v>84</v>
      </c>
      <c r="G256" s="1">
        <v>175</v>
      </c>
      <c r="H256" s="2">
        <v>84.8</v>
      </c>
      <c r="I256" s="2">
        <v>-20.100000000000001</v>
      </c>
      <c r="J256" s="2">
        <v>-25.5</v>
      </c>
      <c r="K256" s="2">
        <f>I256</f>
        <v>-20.100000000000001</v>
      </c>
      <c r="L256" s="8">
        <f>10^((K256-H256)/10)</f>
        <v>3.2359365692962733E-11</v>
      </c>
      <c r="M256" s="26">
        <f>SUM(L256:L259)</f>
        <v>5.7423511914127284E-11</v>
      </c>
      <c r="N256" s="17">
        <f>10*LOG10(M256/E256)</f>
        <v>-108.42970241720487</v>
      </c>
      <c r="O256" s="9">
        <f>J256</f>
        <v>-25.5</v>
      </c>
      <c r="P256" s="8">
        <f>D256/B256*10^(O256/10)</f>
        <v>3.5699517129349725E-2</v>
      </c>
      <c r="Q256" s="26">
        <f>SUM(P256:P259)</f>
        <v>0.1430046583547524</v>
      </c>
      <c r="R256" s="17">
        <f>10*LOG10(Q256)</f>
        <v>-8.4464981522855851</v>
      </c>
      <c r="S256" s="18">
        <f>F256+N256-Kzt-H</f>
        <v>-24.429702417204865</v>
      </c>
      <c r="T256" s="17">
        <v>0.2</v>
      </c>
      <c r="U256" s="21">
        <f>T256*10^((S256-R256)/10)</f>
        <v>5.0432392233302177E-3</v>
      </c>
    </row>
    <row r="257" spans="1:21" x14ac:dyDescent="0.25">
      <c r="A257" s="24"/>
      <c r="B257" s="24"/>
      <c r="C257" s="17"/>
      <c r="D257" s="24"/>
      <c r="E257" s="24"/>
      <c r="F257" s="25"/>
      <c r="G257" s="1">
        <v>225</v>
      </c>
      <c r="H257" s="2">
        <v>90</v>
      </c>
      <c r="I257" s="2">
        <v>-17.899999999999999</v>
      </c>
      <c r="J257" s="2">
        <v>-26.4</v>
      </c>
      <c r="K257" s="2">
        <f t="shared" ref="K257:K289" si="33">I257</f>
        <v>-17.899999999999999</v>
      </c>
      <c r="L257" s="8">
        <f t="shared" ref="L257:L258" si="34">10^((K257-H257)/10)</f>
        <v>1.6218100973589243E-11</v>
      </c>
      <c r="M257" s="26"/>
      <c r="N257" s="17"/>
      <c r="O257" s="9">
        <f t="shared" ref="O257:O289" si="35">J257</f>
        <v>-26.4</v>
      </c>
      <c r="P257" s="8">
        <f>D256/B256*10^(O257/10)</f>
        <v>2.9017656935058464E-2</v>
      </c>
      <c r="Q257" s="26"/>
      <c r="R257" s="17"/>
      <c r="S257" s="19"/>
      <c r="T257" s="17"/>
      <c r="U257" s="22"/>
    </row>
    <row r="258" spans="1:21" x14ac:dyDescent="0.25">
      <c r="A258" s="24"/>
      <c r="B258" s="24"/>
      <c r="C258" s="17"/>
      <c r="D258" s="24"/>
      <c r="E258" s="24"/>
      <c r="F258" s="25"/>
      <c r="G258" s="1">
        <v>275</v>
      </c>
      <c r="H258" s="2">
        <v>92.2</v>
      </c>
      <c r="I258" s="2">
        <v>-21.6</v>
      </c>
      <c r="J258" s="2">
        <v>-25.1</v>
      </c>
      <c r="K258" s="2">
        <f t="shared" si="33"/>
        <v>-21.6</v>
      </c>
      <c r="L258" s="8">
        <f t="shared" si="34"/>
        <v>4.1686938347033333E-12</v>
      </c>
      <c r="M258" s="26"/>
      <c r="N258" s="17"/>
      <c r="O258" s="9">
        <f t="shared" si="35"/>
        <v>-25.1</v>
      </c>
      <c r="P258" s="8">
        <f>D256/B256*10^(O258/10)</f>
        <v>3.9143742145172113E-2</v>
      </c>
      <c r="Q258" s="26"/>
      <c r="R258" s="17"/>
      <c r="S258" s="19"/>
      <c r="T258" s="17"/>
      <c r="U258" s="22"/>
    </row>
    <row r="259" spans="1:21" x14ac:dyDescent="0.25">
      <c r="A259" s="24"/>
      <c r="B259" s="24"/>
      <c r="C259" s="17"/>
      <c r="D259" s="24"/>
      <c r="E259" s="24"/>
      <c r="F259" s="25"/>
      <c r="G259" s="1">
        <v>325</v>
      </c>
      <c r="H259" s="2">
        <v>93.3</v>
      </c>
      <c r="I259" s="2">
        <v>-20</v>
      </c>
      <c r="J259" s="2">
        <v>-25.1</v>
      </c>
      <c r="K259" s="2">
        <f t="shared" si="33"/>
        <v>-20</v>
      </c>
      <c r="L259" s="8">
        <f>10^((K259-H259)/10)</f>
        <v>4.6773514128719737E-12</v>
      </c>
      <c r="M259" s="26"/>
      <c r="N259" s="17"/>
      <c r="O259" s="9">
        <f t="shared" si="35"/>
        <v>-25.1</v>
      </c>
      <c r="P259" s="8">
        <f>D256/B256*10^(O259/10)</f>
        <v>3.9143742145172113E-2</v>
      </c>
      <c r="Q259" s="26"/>
      <c r="R259" s="17"/>
      <c r="S259" s="20"/>
      <c r="T259" s="17"/>
      <c r="U259" s="23"/>
    </row>
    <row r="260" spans="1:21" x14ac:dyDescent="0.25">
      <c r="A260" s="24">
        <v>500</v>
      </c>
      <c r="B260" s="24">
        <v>3</v>
      </c>
      <c r="C260" s="17">
        <v>0.5</v>
      </c>
      <c r="D260" s="24">
        <v>59</v>
      </c>
      <c r="E260" s="24">
        <v>6</v>
      </c>
      <c r="F260" s="25">
        <v>84</v>
      </c>
      <c r="G260" s="1">
        <v>375</v>
      </c>
      <c r="H260" s="2">
        <v>91.9</v>
      </c>
      <c r="I260" s="2">
        <v>-21.8</v>
      </c>
      <c r="J260" s="2">
        <v>-30.4</v>
      </c>
      <c r="K260" s="2">
        <f t="shared" si="33"/>
        <v>-21.8</v>
      </c>
      <c r="L260" s="8">
        <f t="shared" ref="L260:L261" si="36">10^((K260-H260)/10)</f>
        <v>4.2657951880159045E-12</v>
      </c>
      <c r="M260" s="26">
        <f>SUM(L260:L265)</f>
        <v>2.3221239519040534E-11</v>
      </c>
      <c r="N260" s="17">
        <f>10*LOG10(M260/E260)</f>
        <v>-114.12265852297543</v>
      </c>
      <c r="O260" s="9">
        <f t="shared" si="35"/>
        <v>-30.4</v>
      </c>
      <c r="P260" s="8">
        <f>D260/B260*10^(O260/10)</f>
        <v>1.7936213173999536E-2</v>
      </c>
      <c r="Q260" s="26">
        <f>SUM(P260:P265)</f>
        <v>0.21706779811327453</v>
      </c>
      <c r="R260" s="17">
        <f>10*LOG10(Q260)</f>
        <v>-6.634045991112246</v>
      </c>
      <c r="S260" s="18">
        <f>F260+N260-Kzt-H</f>
        <v>-30.122658522975428</v>
      </c>
      <c r="T260" s="17">
        <v>0.5</v>
      </c>
      <c r="U260" s="21">
        <f>T260*10^((S260-R260)/10)</f>
        <v>2.2392818041836447E-3</v>
      </c>
    </row>
    <row r="261" spans="1:21" x14ac:dyDescent="0.25">
      <c r="A261" s="24"/>
      <c r="B261" s="24"/>
      <c r="C261" s="17"/>
      <c r="D261" s="24"/>
      <c r="E261" s="24"/>
      <c r="F261" s="25"/>
      <c r="G261" s="1">
        <v>425</v>
      </c>
      <c r="H261" s="2">
        <v>88.1</v>
      </c>
      <c r="I261" s="2">
        <v>-24.5</v>
      </c>
      <c r="J261" s="2">
        <v>-25.7</v>
      </c>
      <c r="K261" s="2">
        <f t="shared" si="33"/>
        <v>-24.5</v>
      </c>
      <c r="L261" s="8">
        <f t="shared" si="36"/>
        <v>5.4954087385762314E-12</v>
      </c>
      <c r="M261" s="26"/>
      <c r="N261" s="17"/>
      <c r="O261" s="9">
        <f t="shared" si="35"/>
        <v>-25.7</v>
      </c>
      <c r="P261" s="8">
        <f>D260/B260*10^(O261/10)</f>
        <v>5.2933517810562658E-2</v>
      </c>
      <c r="Q261" s="26"/>
      <c r="R261" s="17"/>
      <c r="S261" s="19"/>
      <c r="T261" s="17"/>
      <c r="U261" s="22"/>
    </row>
    <row r="262" spans="1:21" x14ac:dyDescent="0.25">
      <c r="A262" s="24"/>
      <c r="B262" s="24"/>
      <c r="C262" s="17"/>
      <c r="D262" s="24"/>
      <c r="E262" s="24"/>
      <c r="F262" s="25"/>
      <c r="G262" s="1">
        <v>475</v>
      </c>
      <c r="H262" s="2">
        <v>90</v>
      </c>
      <c r="I262" s="2">
        <v>-23.3</v>
      </c>
      <c r="J262" s="2">
        <v>-25.2</v>
      </c>
      <c r="K262" s="2">
        <f t="shared" si="33"/>
        <v>-23.3</v>
      </c>
      <c r="L262" s="8">
        <f>10^((K262-H262)/10)</f>
        <v>4.6773514128719737E-12</v>
      </c>
      <c r="M262" s="26"/>
      <c r="N262" s="17"/>
      <c r="O262" s="9">
        <f t="shared" si="35"/>
        <v>-25.2</v>
      </c>
      <c r="P262" s="8">
        <f>D260/B260*10^(O262/10)</f>
        <v>5.9392383834572939E-2</v>
      </c>
      <c r="Q262" s="26"/>
      <c r="R262" s="17"/>
      <c r="S262" s="19"/>
      <c r="T262" s="17"/>
      <c r="U262" s="22"/>
    </row>
    <row r="263" spans="1:21" x14ac:dyDescent="0.25">
      <c r="A263" s="24"/>
      <c r="B263" s="24"/>
      <c r="C263" s="17"/>
      <c r="D263" s="24"/>
      <c r="E263" s="24"/>
      <c r="F263" s="25"/>
      <c r="G263" s="1">
        <v>575</v>
      </c>
      <c r="H263" s="2">
        <v>97</v>
      </c>
      <c r="I263" s="2">
        <v>-22</v>
      </c>
      <c r="J263" s="2">
        <v>-30.4</v>
      </c>
      <c r="K263" s="2">
        <f t="shared" si="33"/>
        <v>-22</v>
      </c>
      <c r="L263" s="8">
        <f t="shared" ref="L263:L289" si="37">10^((K263-H263)/10)</f>
        <v>1.2589254117941629E-12</v>
      </c>
      <c r="M263" s="26"/>
      <c r="N263" s="17"/>
      <c r="O263" s="9">
        <f t="shared" si="35"/>
        <v>-30.4</v>
      </c>
      <c r="P263" s="8">
        <f>D260/B260*10^(O263/10)</f>
        <v>1.7936213173999536E-2</v>
      </c>
      <c r="Q263" s="26"/>
      <c r="R263" s="17"/>
      <c r="S263" s="19"/>
      <c r="T263" s="17"/>
      <c r="U263" s="22"/>
    </row>
    <row r="264" spans="1:21" x14ac:dyDescent="0.25">
      <c r="A264" s="24"/>
      <c r="B264" s="24"/>
      <c r="C264" s="17"/>
      <c r="D264" s="24"/>
      <c r="E264" s="24"/>
      <c r="F264" s="25"/>
      <c r="G264" s="1">
        <v>625</v>
      </c>
      <c r="H264" s="2">
        <v>92</v>
      </c>
      <c r="I264" s="2">
        <v>-24</v>
      </c>
      <c r="J264" s="2">
        <v>-29.8</v>
      </c>
      <c r="K264" s="2">
        <f t="shared" si="33"/>
        <v>-24</v>
      </c>
      <c r="L264" s="8">
        <f t="shared" si="37"/>
        <v>2.5118864315095726E-12</v>
      </c>
      <c r="M264" s="26"/>
      <c r="N264" s="17"/>
      <c r="O264" s="9">
        <f t="shared" si="35"/>
        <v>-29.8</v>
      </c>
      <c r="P264" s="8">
        <f>D260/B260*10^(O264/10)</f>
        <v>2.0593528111667678E-2</v>
      </c>
      <c r="Q264" s="26"/>
      <c r="R264" s="17"/>
      <c r="S264" s="19"/>
      <c r="T264" s="17"/>
      <c r="U264" s="22"/>
    </row>
    <row r="265" spans="1:21" x14ac:dyDescent="0.25">
      <c r="A265" s="24"/>
      <c r="B265" s="24"/>
      <c r="C265" s="17"/>
      <c r="D265" s="24"/>
      <c r="E265" s="24"/>
      <c r="F265" s="25"/>
      <c r="G265" s="1">
        <v>675</v>
      </c>
      <c r="H265" s="2">
        <v>94.5</v>
      </c>
      <c r="I265" s="2">
        <v>-18.5</v>
      </c>
      <c r="J265" s="2">
        <v>-26.1</v>
      </c>
      <c r="K265" s="2">
        <f t="shared" si="33"/>
        <v>-18.5</v>
      </c>
      <c r="L265" s="8">
        <f t="shared" si="37"/>
        <v>5.0118723362726945E-12</v>
      </c>
      <c r="M265" s="26"/>
      <c r="N265" s="17"/>
      <c r="O265" s="9">
        <f t="shared" si="35"/>
        <v>-26.1</v>
      </c>
      <c r="P265" s="8">
        <f>D260/B260*10^(O265/10)</f>
        <v>4.827594200847219E-2</v>
      </c>
      <c r="Q265" s="26"/>
      <c r="R265" s="17"/>
      <c r="S265" s="20"/>
      <c r="T265" s="17"/>
      <c r="U265" s="23"/>
    </row>
    <row r="266" spans="1:21" x14ac:dyDescent="0.25">
      <c r="A266" s="24">
        <v>1000</v>
      </c>
      <c r="B266" s="24">
        <v>3</v>
      </c>
      <c r="C266" s="17">
        <v>0.5</v>
      </c>
      <c r="D266" s="24">
        <v>117</v>
      </c>
      <c r="E266" s="24">
        <v>6</v>
      </c>
      <c r="F266" s="25">
        <v>76</v>
      </c>
      <c r="G266" s="1">
        <v>875</v>
      </c>
      <c r="H266" s="2">
        <v>91.1</v>
      </c>
      <c r="I266" s="2">
        <v>-20.9</v>
      </c>
      <c r="J266" s="2">
        <v>-30.7</v>
      </c>
      <c r="K266" s="2">
        <f t="shared" si="33"/>
        <v>-20.9</v>
      </c>
      <c r="L266" s="8">
        <f t="shared" si="37"/>
        <v>6.3095734448019345E-12</v>
      </c>
      <c r="M266" s="26">
        <f>SUM(L266:L271)</f>
        <v>1.5151266308050317E-11</v>
      </c>
      <c r="N266" s="17">
        <f>10*LOG10(M266/E266)</f>
        <v>-115.97702318692767</v>
      </c>
      <c r="O266" s="9">
        <f t="shared" si="35"/>
        <v>-30.7</v>
      </c>
      <c r="P266" s="8">
        <f>D266/B266*10^(O266/10)</f>
        <v>3.3194383489892683E-2</v>
      </c>
      <c r="Q266" s="26">
        <f>SUM(P266:P271)</f>
        <v>0.52025045590370633</v>
      </c>
      <c r="R266" s="17">
        <f>10*LOG10(Q266)</f>
        <v>-2.8378753053704249</v>
      </c>
      <c r="S266" s="18">
        <f>F266+N266-Kzt-H</f>
        <v>-39.977023186927667</v>
      </c>
      <c r="T266" s="17">
        <v>0.8</v>
      </c>
      <c r="U266" s="21">
        <f>T266*10^((S266-R266)/10)</f>
        <v>1.545877936739214E-4</v>
      </c>
    </row>
    <row r="267" spans="1:21" x14ac:dyDescent="0.25">
      <c r="A267" s="24"/>
      <c r="B267" s="24"/>
      <c r="C267" s="17"/>
      <c r="D267" s="24"/>
      <c r="E267" s="24"/>
      <c r="F267" s="25"/>
      <c r="G267" s="1">
        <v>975</v>
      </c>
      <c r="H267" s="2">
        <v>96.5</v>
      </c>
      <c r="I267" s="2">
        <v>-25</v>
      </c>
      <c r="J267" s="2">
        <v>-25.8</v>
      </c>
      <c r="K267" s="2">
        <f t="shared" si="33"/>
        <v>-25</v>
      </c>
      <c r="L267" s="8">
        <f t="shared" si="37"/>
        <v>7.0794578438413455E-13</v>
      </c>
      <c r="M267" s="26"/>
      <c r="N267" s="17"/>
      <c r="O267" s="9">
        <f t="shared" si="35"/>
        <v>-25.8</v>
      </c>
      <c r="P267" s="8">
        <f>D266/B266*10^(O267/10)</f>
        <v>0.10258045168391978</v>
      </c>
      <c r="Q267" s="26"/>
      <c r="R267" s="17"/>
      <c r="S267" s="19"/>
      <c r="T267" s="17"/>
      <c r="U267" s="22"/>
    </row>
    <row r="268" spans="1:21" x14ac:dyDescent="0.25">
      <c r="A268" s="24"/>
      <c r="B268" s="24"/>
      <c r="C268" s="17"/>
      <c r="D268" s="24"/>
      <c r="E268" s="24"/>
      <c r="F268" s="25"/>
      <c r="G268" s="1">
        <v>1075</v>
      </c>
      <c r="H268" s="2">
        <v>94.6</v>
      </c>
      <c r="I268" s="2">
        <v>-18.899999999999999</v>
      </c>
      <c r="J268" s="2">
        <v>-26.1</v>
      </c>
      <c r="K268" s="2">
        <f t="shared" si="33"/>
        <v>-18.899999999999999</v>
      </c>
      <c r="L268" s="8">
        <f t="shared" si="37"/>
        <v>4.4668359215096234E-12</v>
      </c>
      <c r="M268" s="26"/>
      <c r="N268" s="17"/>
      <c r="O268" s="9">
        <f t="shared" si="35"/>
        <v>-26.1</v>
      </c>
      <c r="P268" s="8">
        <f>D266/B266*10^(O268/10)</f>
        <v>9.5733647711716024E-2</v>
      </c>
      <c r="Q268" s="26"/>
      <c r="R268" s="17"/>
      <c r="S268" s="19"/>
      <c r="T268" s="17"/>
      <c r="U268" s="22"/>
    </row>
    <row r="269" spans="1:21" x14ac:dyDescent="0.25">
      <c r="A269" s="24"/>
      <c r="B269" s="24"/>
      <c r="C269" s="17"/>
      <c r="D269" s="24"/>
      <c r="E269" s="24"/>
      <c r="F269" s="25"/>
      <c r="G269" s="1">
        <v>1175</v>
      </c>
      <c r="H269" s="2">
        <v>97.8</v>
      </c>
      <c r="I269" s="2">
        <v>-19.5</v>
      </c>
      <c r="J269" s="2">
        <v>-27.9</v>
      </c>
      <c r="K269" s="2">
        <f t="shared" si="33"/>
        <v>-19.5</v>
      </c>
      <c r="L269" s="8">
        <f t="shared" si="37"/>
        <v>1.8620871366628578E-12</v>
      </c>
      <c r="M269" s="26"/>
      <c r="N269" s="17"/>
      <c r="O269" s="9">
        <f t="shared" si="35"/>
        <v>-27.9</v>
      </c>
      <c r="P269" s="8">
        <f>D266/B266*10^(O269/10)</f>
        <v>6.3250593796998211E-2</v>
      </c>
      <c r="Q269" s="26"/>
      <c r="R269" s="17"/>
      <c r="S269" s="19"/>
      <c r="T269" s="17"/>
      <c r="U269" s="22"/>
    </row>
    <row r="270" spans="1:21" x14ac:dyDescent="0.25">
      <c r="A270" s="24"/>
      <c r="B270" s="24"/>
      <c r="C270" s="17"/>
      <c r="D270" s="24"/>
      <c r="E270" s="24"/>
      <c r="F270" s="25"/>
      <c r="G270" s="1">
        <v>1275</v>
      </c>
      <c r="H270" s="2">
        <v>100.1</v>
      </c>
      <c r="I270" s="2">
        <v>-19.100000000000001</v>
      </c>
      <c r="J270" s="2">
        <v>-25.7</v>
      </c>
      <c r="K270" s="2">
        <f t="shared" si="33"/>
        <v>-19.100000000000001</v>
      </c>
      <c r="L270" s="8">
        <f t="shared" si="37"/>
        <v>1.202264434617413E-12</v>
      </c>
      <c r="M270" s="26"/>
      <c r="N270" s="17"/>
      <c r="O270" s="9">
        <f t="shared" si="35"/>
        <v>-25.7</v>
      </c>
      <c r="P270" s="8">
        <f>D266/B266*10^(O270/10)</f>
        <v>0.10496985735314968</v>
      </c>
      <c r="Q270" s="26"/>
      <c r="R270" s="17"/>
      <c r="S270" s="19"/>
      <c r="T270" s="17"/>
      <c r="U270" s="22"/>
    </row>
    <row r="271" spans="1:21" x14ac:dyDescent="0.25">
      <c r="A271" s="24"/>
      <c r="B271" s="24"/>
      <c r="C271" s="17"/>
      <c r="D271" s="24"/>
      <c r="E271" s="24"/>
      <c r="F271" s="25"/>
      <c r="G271" s="1">
        <v>1375</v>
      </c>
      <c r="H271" s="2">
        <v>103</v>
      </c>
      <c r="I271" s="2">
        <v>-19.2</v>
      </c>
      <c r="J271" s="2">
        <v>-25.1</v>
      </c>
      <c r="K271" s="2">
        <f t="shared" si="33"/>
        <v>-19.2</v>
      </c>
      <c r="L271" s="8">
        <f t="shared" si="37"/>
        <v>6.025595860743553E-13</v>
      </c>
      <c r="M271" s="26"/>
      <c r="N271" s="17"/>
      <c r="O271" s="9">
        <f t="shared" si="35"/>
        <v>-25.1</v>
      </c>
      <c r="P271" s="8">
        <f>D266/B266*10^(O271/10)</f>
        <v>0.12052152186802992</v>
      </c>
      <c r="Q271" s="26"/>
      <c r="R271" s="17"/>
      <c r="S271" s="20"/>
      <c r="T271" s="17"/>
      <c r="U271" s="23"/>
    </row>
    <row r="272" spans="1:21" x14ac:dyDescent="0.25">
      <c r="A272" s="24">
        <v>2000</v>
      </c>
      <c r="B272" s="24">
        <v>3</v>
      </c>
      <c r="C272" s="17">
        <v>0.5</v>
      </c>
      <c r="D272" s="24">
        <v>234</v>
      </c>
      <c r="E272" s="24">
        <v>6</v>
      </c>
      <c r="F272" s="25">
        <v>68</v>
      </c>
      <c r="G272" s="1">
        <v>1425</v>
      </c>
      <c r="H272" s="2">
        <v>102.8</v>
      </c>
      <c r="I272" s="2">
        <v>-23.6</v>
      </c>
      <c r="J272" s="2">
        <v>-28.1</v>
      </c>
      <c r="K272" s="2">
        <f t="shared" si="33"/>
        <v>-23.6</v>
      </c>
      <c r="L272" s="8">
        <f t="shared" si="37"/>
        <v>2.2908676527677649E-13</v>
      </c>
      <c r="M272" s="26">
        <f>SUM(L272:L277)</f>
        <v>3.4604618700383278E-12</v>
      </c>
      <c r="N272" s="17">
        <f>10*LOG10(M272/E272)</f>
        <v>-122.39017182162506</v>
      </c>
      <c r="O272" s="9">
        <f t="shared" si="35"/>
        <v>-28.1</v>
      </c>
      <c r="P272" s="8">
        <f>D272/B272*10^(O272/10)</f>
        <v>0.12080769627517346</v>
      </c>
      <c r="Q272" s="26">
        <f>SUM(P272:P277)</f>
        <v>0.59438867690762165</v>
      </c>
      <c r="R272" s="17">
        <f>10*LOG10(Q272)</f>
        <v>-2.2592947246985222</v>
      </c>
      <c r="S272" s="18">
        <f>F272+N272-Kzt-H</f>
        <v>-54.39017182162506</v>
      </c>
      <c r="T272" s="17">
        <v>1</v>
      </c>
      <c r="U272" s="21">
        <f>T272*10^((S272-R272)/10)</f>
        <v>6.1222673452040547E-6</v>
      </c>
    </row>
    <row r="273" spans="1:21" x14ac:dyDescent="0.25">
      <c r="A273" s="24"/>
      <c r="B273" s="24"/>
      <c r="C273" s="17"/>
      <c r="D273" s="24"/>
      <c r="E273" s="24"/>
      <c r="F273" s="25"/>
      <c r="G273" s="1">
        <v>1625</v>
      </c>
      <c r="H273" s="2">
        <v>104.1</v>
      </c>
      <c r="I273" s="2">
        <v>-22.1</v>
      </c>
      <c r="J273" s="2">
        <v>-29.1</v>
      </c>
      <c r="K273" s="2">
        <f t="shared" si="33"/>
        <v>-22.1</v>
      </c>
      <c r="L273" s="8">
        <f t="shared" si="37"/>
        <v>2.3988329190194898E-13</v>
      </c>
      <c r="M273" s="26"/>
      <c r="N273" s="17"/>
      <c r="O273" s="9">
        <f t="shared" si="35"/>
        <v>-29.1</v>
      </c>
      <c r="P273" s="8">
        <f>D272/B272*10^(O273/10)</f>
        <v>9.5960964123365702E-2</v>
      </c>
      <c r="Q273" s="26"/>
      <c r="R273" s="17"/>
      <c r="S273" s="19"/>
      <c r="T273" s="17"/>
      <c r="U273" s="22"/>
    </row>
    <row r="274" spans="1:21" x14ac:dyDescent="0.25">
      <c r="A274" s="24"/>
      <c r="B274" s="24"/>
      <c r="C274" s="17"/>
      <c r="D274" s="24"/>
      <c r="E274" s="24"/>
      <c r="F274" s="25"/>
      <c r="G274" s="1">
        <v>1825</v>
      </c>
      <c r="H274" s="2">
        <v>107.6</v>
      </c>
      <c r="I274" s="2">
        <v>-27.9</v>
      </c>
      <c r="J274" s="2">
        <v>-29.7</v>
      </c>
      <c r="K274" s="2">
        <f t="shared" si="33"/>
        <v>-27.9</v>
      </c>
      <c r="L274" s="8">
        <f t="shared" si="37"/>
        <v>2.8183829312644381E-14</v>
      </c>
      <c r="M274" s="26"/>
      <c r="N274" s="17"/>
      <c r="O274" s="9">
        <f t="shared" si="35"/>
        <v>-29.7</v>
      </c>
      <c r="P274" s="8">
        <f>D272/B272*10^(O274/10)</f>
        <v>8.3578505808533293E-2</v>
      </c>
      <c r="Q274" s="26"/>
      <c r="R274" s="17"/>
      <c r="S274" s="19"/>
      <c r="T274" s="17"/>
      <c r="U274" s="22"/>
    </row>
    <row r="275" spans="1:21" x14ac:dyDescent="0.25">
      <c r="A275" s="24"/>
      <c r="B275" s="24"/>
      <c r="C275" s="17"/>
      <c r="D275" s="24"/>
      <c r="E275" s="24"/>
      <c r="F275" s="25"/>
      <c r="G275" s="1">
        <v>2125</v>
      </c>
      <c r="H275" s="2">
        <v>104.2</v>
      </c>
      <c r="I275" s="2">
        <v>-23.8</v>
      </c>
      <c r="J275" s="2">
        <v>-30</v>
      </c>
      <c r="K275" s="2">
        <f t="shared" si="33"/>
        <v>-23.8</v>
      </c>
      <c r="L275" s="8">
        <f t="shared" si="37"/>
        <v>1.5848931924611046E-13</v>
      </c>
      <c r="M275" s="26"/>
      <c r="N275" s="17"/>
      <c r="O275" s="9">
        <f t="shared" si="35"/>
        <v>-30</v>
      </c>
      <c r="P275" s="8">
        <f>D272/B272*10^(O275/10)</f>
        <v>7.8E-2</v>
      </c>
      <c r="Q275" s="26"/>
      <c r="R275" s="17"/>
      <c r="S275" s="19"/>
      <c r="T275" s="17"/>
      <c r="U275" s="22"/>
    </row>
    <row r="276" spans="1:21" x14ac:dyDescent="0.25">
      <c r="A276" s="24"/>
      <c r="B276" s="24"/>
      <c r="C276" s="17"/>
      <c r="D276" s="24"/>
      <c r="E276" s="24"/>
      <c r="F276" s="25"/>
      <c r="G276" s="1">
        <v>2425</v>
      </c>
      <c r="H276" s="2">
        <v>93.7</v>
      </c>
      <c r="I276" s="2">
        <v>-22.2</v>
      </c>
      <c r="J276" s="2">
        <v>-29.7</v>
      </c>
      <c r="K276" s="2">
        <f t="shared" si="33"/>
        <v>-22.2</v>
      </c>
      <c r="L276" s="8">
        <f t="shared" si="37"/>
        <v>2.5703957827688561E-12</v>
      </c>
      <c r="M276" s="26"/>
      <c r="N276" s="17"/>
      <c r="O276" s="9">
        <f t="shared" si="35"/>
        <v>-29.7</v>
      </c>
      <c r="P276" s="8">
        <f>D272/B272*10^(O276/10)</f>
        <v>8.3578505808533293E-2</v>
      </c>
      <c r="Q276" s="26"/>
      <c r="R276" s="17"/>
      <c r="S276" s="19"/>
      <c r="T276" s="17"/>
      <c r="U276" s="22"/>
    </row>
    <row r="277" spans="1:21" x14ac:dyDescent="0.25">
      <c r="A277" s="24"/>
      <c r="B277" s="24"/>
      <c r="C277" s="17"/>
      <c r="D277" s="24"/>
      <c r="E277" s="24"/>
      <c r="F277" s="25"/>
      <c r="G277" s="1">
        <v>2775</v>
      </c>
      <c r="H277" s="2">
        <v>100.2</v>
      </c>
      <c r="I277" s="2">
        <v>-26.1</v>
      </c>
      <c r="J277" s="2">
        <v>-27.7</v>
      </c>
      <c r="K277" s="2">
        <f t="shared" si="33"/>
        <v>-26.1</v>
      </c>
      <c r="L277" s="8">
        <f t="shared" si="37"/>
        <v>2.3442288153199137E-13</v>
      </c>
      <c r="M277" s="26"/>
      <c r="N277" s="17"/>
      <c r="O277" s="9">
        <f t="shared" si="35"/>
        <v>-27.7</v>
      </c>
      <c r="P277" s="8">
        <f>D272/B272*10^(O277/10)</f>
        <v>0.13246300489201593</v>
      </c>
      <c r="Q277" s="26"/>
      <c r="R277" s="17"/>
      <c r="S277" s="20"/>
      <c r="T277" s="17"/>
      <c r="U277" s="23"/>
    </row>
    <row r="278" spans="1:21" x14ac:dyDescent="0.25">
      <c r="A278" s="24">
        <v>4000</v>
      </c>
      <c r="B278" s="24">
        <v>3</v>
      </c>
      <c r="C278" s="17">
        <v>0.5</v>
      </c>
      <c r="D278" s="24">
        <v>470</v>
      </c>
      <c r="E278" s="24">
        <v>6</v>
      </c>
      <c r="F278" s="25">
        <v>62</v>
      </c>
      <c r="G278" s="1">
        <v>2825</v>
      </c>
      <c r="H278" s="2">
        <v>99.4</v>
      </c>
      <c r="I278" s="2">
        <v>-22.4</v>
      </c>
      <c r="J278" s="2">
        <v>-26.9</v>
      </c>
      <c r="K278" s="2">
        <f t="shared" si="33"/>
        <v>-22.4</v>
      </c>
      <c r="L278" s="8">
        <f t="shared" si="37"/>
        <v>6.6069344800759308E-13</v>
      </c>
      <c r="M278" s="26">
        <f>SUM(L278:L283)</f>
        <v>1.6380284976725048E-12</v>
      </c>
      <c r="N278" s="17">
        <f>10*LOG10(M278/E278)</f>
        <v>-125.63829797236255</v>
      </c>
      <c r="O278" s="9">
        <f t="shared" si="35"/>
        <v>-26.9</v>
      </c>
      <c r="P278" s="8">
        <f>D278/B278*10^(O278/10)</f>
        <v>0.31987227799822626</v>
      </c>
      <c r="Q278" s="26">
        <f>SUM(P278:P283)</f>
        <v>1.7234572628935978</v>
      </c>
      <c r="R278" s="17">
        <f>10*LOG10(Q278)</f>
        <v>2.3640051854199009</v>
      </c>
      <c r="S278" s="18">
        <f>F278+N278-Kzt-H</f>
        <v>-63.638297972362551</v>
      </c>
      <c r="T278" s="17">
        <v>0.9</v>
      </c>
      <c r="U278" s="21">
        <f>T278*10^((S278-R278)/10)</f>
        <v>2.2594992091591524E-7</v>
      </c>
    </row>
    <row r="279" spans="1:21" x14ac:dyDescent="0.25">
      <c r="A279" s="24"/>
      <c r="B279" s="24"/>
      <c r="C279" s="17"/>
      <c r="D279" s="24"/>
      <c r="E279" s="24"/>
      <c r="F279" s="25"/>
      <c r="G279" s="1">
        <v>3425</v>
      </c>
      <c r="H279" s="2">
        <v>103.5</v>
      </c>
      <c r="I279" s="2">
        <v>-26.1</v>
      </c>
      <c r="J279" s="2">
        <v>-26.7</v>
      </c>
      <c r="K279" s="2">
        <f t="shared" si="33"/>
        <v>-26.1</v>
      </c>
      <c r="L279" s="8">
        <f t="shared" si="37"/>
        <v>1.0964781961431845E-13</v>
      </c>
      <c r="M279" s="26"/>
      <c r="N279" s="17"/>
      <c r="O279" s="9">
        <f t="shared" si="35"/>
        <v>-26.7</v>
      </c>
      <c r="P279" s="8">
        <f>D278/B278*10^(O279/10)</f>
        <v>0.33494739402201629</v>
      </c>
      <c r="Q279" s="26"/>
      <c r="R279" s="17"/>
      <c r="S279" s="19"/>
      <c r="T279" s="17"/>
      <c r="U279" s="22"/>
    </row>
    <row r="280" spans="1:21" x14ac:dyDescent="0.25">
      <c r="A280" s="24"/>
      <c r="B280" s="24"/>
      <c r="C280" s="17"/>
      <c r="D280" s="24"/>
      <c r="E280" s="24"/>
      <c r="F280" s="25"/>
      <c r="G280" s="1">
        <v>4025</v>
      </c>
      <c r="H280" s="2">
        <v>103.6</v>
      </c>
      <c r="I280" s="2">
        <v>-24</v>
      </c>
      <c r="J280" s="2">
        <v>-26.6</v>
      </c>
      <c r="K280" s="2">
        <f t="shared" si="33"/>
        <v>-24</v>
      </c>
      <c r="L280" s="8">
        <f t="shared" si="37"/>
        <v>1.7378008287493713E-13</v>
      </c>
      <c r="M280" s="26"/>
      <c r="N280" s="17"/>
      <c r="O280" s="9">
        <f t="shared" si="35"/>
        <v>-26.6</v>
      </c>
      <c r="P280" s="8">
        <f>D278/B278*10^(O280/10)</f>
        <v>0.34274932108542944</v>
      </c>
      <c r="Q280" s="26"/>
      <c r="R280" s="17"/>
      <c r="S280" s="19"/>
      <c r="T280" s="17"/>
      <c r="U280" s="22"/>
    </row>
    <row r="281" spans="1:21" x14ac:dyDescent="0.25">
      <c r="A281" s="24"/>
      <c r="B281" s="24"/>
      <c r="C281" s="17"/>
      <c r="D281" s="24"/>
      <c r="E281" s="24"/>
      <c r="F281" s="25"/>
      <c r="G281" s="1">
        <v>4625</v>
      </c>
      <c r="H281" s="2">
        <v>105.6</v>
      </c>
      <c r="I281" s="2">
        <v>-22.8</v>
      </c>
      <c r="J281" s="2">
        <v>-25.2</v>
      </c>
      <c r="K281" s="2">
        <f t="shared" si="33"/>
        <v>-22.8</v>
      </c>
      <c r="L281" s="8">
        <f t="shared" si="37"/>
        <v>1.4454397707459251E-13</v>
      </c>
      <c r="M281" s="26"/>
      <c r="N281" s="17"/>
      <c r="O281" s="9">
        <f t="shared" si="35"/>
        <v>-25.2</v>
      </c>
      <c r="P281" s="8">
        <f>D278/B278*10^(O281/10)</f>
        <v>0.47312576952964874</v>
      </c>
      <c r="Q281" s="26"/>
      <c r="R281" s="17"/>
      <c r="S281" s="19"/>
      <c r="T281" s="17"/>
      <c r="U281" s="22"/>
    </row>
    <row r="282" spans="1:21" x14ac:dyDescent="0.25">
      <c r="A282" s="24"/>
      <c r="B282" s="24"/>
      <c r="C282" s="17"/>
      <c r="D282" s="24"/>
      <c r="E282" s="24"/>
      <c r="F282" s="25"/>
      <c r="G282" s="1">
        <v>5225</v>
      </c>
      <c r="H282" s="2">
        <v>103.5</v>
      </c>
      <c r="I282" s="2">
        <v>-24</v>
      </c>
      <c r="J282" s="2">
        <v>-35.299999999999997</v>
      </c>
      <c r="K282" s="2">
        <f t="shared" si="33"/>
        <v>-24</v>
      </c>
      <c r="L282" s="8">
        <f t="shared" si="37"/>
        <v>1.7782794100389184E-13</v>
      </c>
      <c r="M282" s="26"/>
      <c r="N282" s="17"/>
      <c r="O282" s="9">
        <f t="shared" si="35"/>
        <v>-35.299999999999997</v>
      </c>
      <c r="P282" s="8">
        <f>D278/B278*10^(O282/10)</f>
        <v>4.6235611217773372E-2</v>
      </c>
      <c r="Q282" s="26"/>
      <c r="R282" s="17"/>
      <c r="S282" s="19"/>
      <c r="T282" s="17"/>
      <c r="U282" s="22"/>
    </row>
    <row r="283" spans="1:21" x14ac:dyDescent="0.25">
      <c r="A283" s="24"/>
      <c r="B283" s="24"/>
      <c r="C283" s="17"/>
      <c r="D283" s="24"/>
      <c r="E283" s="24"/>
      <c r="F283" s="25"/>
      <c r="G283" s="1">
        <v>5625</v>
      </c>
      <c r="H283" s="2">
        <v>99.5</v>
      </c>
      <c r="I283" s="2">
        <v>-24.8</v>
      </c>
      <c r="J283" s="2">
        <v>-28.8</v>
      </c>
      <c r="K283" s="2">
        <f t="shared" si="33"/>
        <v>-24.8</v>
      </c>
      <c r="L283" s="8">
        <f t="shared" si="37"/>
        <v>3.7153522909717175E-13</v>
      </c>
      <c r="M283" s="26"/>
      <c r="N283" s="17"/>
      <c r="O283" s="9">
        <f t="shared" si="35"/>
        <v>-28.8</v>
      </c>
      <c r="P283" s="8">
        <f>D278/B278*10^(O283/10)</f>
        <v>0.20652688904050376</v>
      </c>
      <c r="Q283" s="26"/>
      <c r="R283" s="17"/>
      <c r="S283" s="20"/>
      <c r="T283" s="17"/>
      <c r="U283" s="23"/>
    </row>
    <row r="284" spans="1:21" x14ac:dyDescent="0.25">
      <c r="A284" s="24">
        <v>8000</v>
      </c>
      <c r="B284" s="24">
        <v>3</v>
      </c>
      <c r="C284" s="17">
        <v>0.5</v>
      </c>
      <c r="D284" s="24">
        <v>943</v>
      </c>
      <c r="E284" s="24">
        <v>6</v>
      </c>
      <c r="F284" s="25">
        <v>54</v>
      </c>
      <c r="G284" s="1">
        <v>6025</v>
      </c>
      <c r="H284" s="2">
        <v>95</v>
      </c>
      <c r="I284" s="2">
        <v>-24.1</v>
      </c>
      <c r="J284" s="2">
        <v>-29.7</v>
      </c>
      <c r="K284" s="2">
        <f t="shared" si="33"/>
        <v>-24.1</v>
      </c>
      <c r="L284" s="8">
        <f t="shared" si="37"/>
        <v>1.2302687708123772E-12</v>
      </c>
      <c r="M284" s="26">
        <f>SUM(L284:L289)</f>
        <v>3.835293890790074E-11</v>
      </c>
      <c r="N284" s="17">
        <f>10*LOG10(M284/E284)</f>
        <v>-111.94352601718442</v>
      </c>
      <c r="O284" s="9">
        <f t="shared" si="35"/>
        <v>-29.7</v>
      </c>
      <c r="P284" s="8">
        <f>D284/B284*10^(O284/10)</f>
        <v>0.33681423494635426</v>
      </c>
      <c r="Q284" s="26">
        <f>SUM(P284:P289)</f>
        <v>2.9438780532105309</v>
      </c>
      <c r="R284" s="17">
        <f>10*LOG10(Q284)</f>
        <v>4.6891981588466711</v>
      </c>
      <c r="S284" s="18">
        <f>F284+N284-Kzt-H</f>
        <v>-57.943526017184425</v>
      </c>
      <c r="T284" s="17">
        <v>0.7</v>
      </c>
      <c r="U284" s="21">
        <f>T284*10^((S284-R284)/10)</f>
        <v>3.8179094365194486E-7</v>
      </c>
    </row>
    <row r="285" spans="1:21" x14ac:dyDescent="0.25">
      <c r="A285" s="24"/>
      <c r="B285" s="24"/>
      <c r="C285" s="17"/>
      <c r="D285" s="24"/>
      <c r="E285" s="24"/>
      <c r="F285" s="25"/>
      <c r="G285" s="1">
        <v>7025</v>
      </c>
      <c r="H285" s="2">
        <v>94.8</v>
      </c>
      <c r="I285" s="2">
        <v>-23.1</v>
      </c>
      <c r="J285" s="2">
        <v>-29.9</v>
      </c>
      <c r="K285" s="2">
        <f t="shared" si="33"/>
        <v>-23.1</v>
      </c>
      <c r="L285" s="8">
        <f t="shared" si="37"/>
        <v>1.6218100973589226E-12</v>
      </c>
      <c r="M285" s="26"/>
      <c r="N285" s="17"/>
      <c r="O285" s="9">
        <f t="shared" si="35"/>
        <v>-29.9</v>
      </c>
      <c r="P285" s="8">
        <f>D284/B284*10^(O285/10)</f>
        <v>0.32165509724025038</v>
      </c>
      <c r="Q285" s="26"/>
      <c r="R285" s="17"/>
      <c r="S285" s="19"/>
      <c r="T285" s="17"/>
      <c r="U285" s="22"/>
    </row>
    <row r="286" spans="1:21" x14ac:dyDescent="0.25">
      <c r="A286" s="24"/>
      <c r="B286" s="24"/>
      <c r="C286" s="17"/>
      <c r="D286" s="24"/>
      <c r="E286" s="24"/>
      <c r="F286" s="25"/>
      <c r="G286" s="1">
        <v>8025</v>
      </c>
      <c r="H286" s="2">
        <v>101.9</v>
      </c>
      <c r="I286" s="2">
        <v>-20.9</v>
      </c>
      <c r="J286" s="2">
        <v>-27.6</v>
      </c>
      <c r="K286" s="2">
        <f t="shared" si="33"/>
        <v>-20.9</v>
      </c>
      <c r="L286" s="8">
        <f t="shared" si="37"/>
        <v>5.2480746024976895E-13</v>
      </c>
      <c r="M286" s="26"/>
      <c r="N286" s="17"/>
      <c r="O286" s="9">
        <f t="shared" si="35"/>
        <v>-27.6</v>
      </c>
      <c r="P286" s="8">
        <f>D284/B284*10^(O286/10)</f>
        <v>0.54624872717021966</v>
      </c>
      <c r="Q286" s="26"/>
      <c r="R286" s="17"/>
      <c r="S286" s="19"/>
      <c r="T286" s="17"/>
      <c r="U286" s="22"/>
    </row>
    <row r="287" spans="1:21" x14ac:dyDescent="0.25">
      <c r="A287" s="24"/>
      <c r="B287" s="24"/>
      <c r="C287" s="17"/>
      <c r="D287" s="24"/>
      <c r="E287" s="24"/>
      <c r="F287" s="25"/>
      <c r="G287" s="1">
        <v>9025</v>
      </c>
      <c r="H287" s="2">
        <v>93.2</v>
      </c>
      <c r="I287" s="2">
        <v>-20</v>
      </c>
      <c r="J287" s="2">
        <v>-29.3</v>
      </c>
      <c r="K287" s="2">
        <f t="shared" si="33"/>
        <v>-20</v>
      </c>
      <c r="L287" s="8">
        <f t="shared" si="37"/>
        <v>4.7863009232263738E-12</v>
      </c>
      <c r="M287" s="26"/>
      <c r="N287" s="17"/>
      <c r="O287" s="9">
        <f t="shared" si="35"/>
        <v>-29.3</v>
      </c>
      <c r="P287" s="8">
        <f>D284/B284*10^(O287/10)</f>
        <v>0.36930946476932491</v>
      </c>
      <c r="Q287" s="26"/>
      <c r="R287" s="17"/>
      <c r="S287" s="19"/>
      <c r="T287" s="17"/>
      <c r="U287" s="22"/>
    </row>
    <row r="288" spans="1:21" x14ac:dyDescent="0.25">
      <c r="A288" s="24"/>
      <c r="B288" s="24"/>
      <c r="C288" s="17"/>
      <c r="D288" s="24"/>
      <c r="E288" s="24"/>
      <c r="F288" s="25"/>
      <c r="G288" s="1">
        <v>10025</v>
      </c>
      <c r="H288" s="2">
        <v>88.3</v>
      </c>
      <c r="I288" s="2">
        <v>-21.8</v>
      </c>
      <c r="J288" s="2">
        <v>-24.9</v>
      </c>
      <c r="K288" s="2">
        <f t="shared" si="33"/>
        <v>-21.8</v>
      </c>
      <c r="L288" s="8">
        <f t="shared" si="37"/>
        <v>9.7723722095580929E-12</v>
      </c>
      <c r="M288" s="26"/>
      <c r="N288" s="17"/>
      <c r="O288" s="9">
        <f t="shared" si="35"/>
        <v>-24.9</v>
      </c>
      <c r="P288" s="8">
        <f>D284/B284*10^(O288/10)</f>
        <v>1.0171627282821314</v>
      </c>
      <c r="Q288" s="26"/>
      <c r="R288" s="17"/>
      <c r="S288" s="19"/>
      <c r="T288" s="17"/>
      <c r="U288" s="22"/>
    </row>
    <row r="289" spans="1:21" x14ac:dyDescent="0.25">
      <c r="A289" s="24"/>
      <c r="B289" s="24"/>
      <c r="C289" s="17"/>
      <c r="D289" s="24"/>
      <c r="E289" s="24"/>
      <c r="F289" s="25"/>
      <c r="G289" s="1">
        <v>11025</v>
      </c>
      <c r="H289" s="2">
        <v>86</v>
      </c>
      <c r="I289" s="2">
        <v>-20.9</v>
      </c>
      <c r="J289" s="2">
        <v>-29.5</v>
      </c>
      <c r="K289" s="2">
        <f t="shared" si="33"/>
        <v>-20.9</v>
      </c>
      <c r="L289" s="8">
        <f t="shared" si="37"/>
        <v>2.04173794466952E-11</v>
      </c>
      <c r="M289" s="26"/>
      <c r="N289" s="17"/>
      <c r="O289" s="9">
        <f t="shared" si="35"/>
        <v>-29.5</v>
      </c>
      <c r="P289" s="8">
        <f>D284/B284*10^(O289/10)</f>
        <v>0.3526878008022501</v>
      </c>
      <c r="Q289" s="26"/>
      <c r="R289" s="17"/>
      <c r="S289" s="20"/>
      <c r="T289" s="17"/>
      <c r="U289" s="23"/>
    </row>
    <row r="290" spans="1:21" x14ac:dyDescent="0.25">
      <c r="A290" s="24" t="s">
        <v>20</v>
      </c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12">
        <f>U290</f>
        <v>6.902214753841289E-2</v>
      </c>
      <c r="T290" s="2"/>
      <c r="U290" s="8">
        <f>0.8*SQRT(SUM(U256:U289))</f>
        <v>6.902214753841289E-2</v>
      </c>
    </row>
    <row r="291" spans="1:21" x14ac:dyDescent="0.25">
      <c r="A291" s="27" t="s">
        <v>100</v>
      </c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9"/>
    </row>
    <row r="292" spans="1:21" x14ac:dyDescent="0.25">
      <c r="A292" s="24">
        <v>250</v>
      </c>
      <c r="B292" s="24">
        <v>3</v>
      </c>
      <c r="C292" s="17">
        <v>0.5</v>
      </c>
      <c r="D292" s="24">
        <v>38</v>
      </c>
      <c r="E292" s="24">
        <v>4</v>
      </c>
      <c r="F292" s="25">
        <v>84</v>
      </c>
      <c r="G292" s="1">
        <v>175</v>
      </c>
      <c r="H292" s="2">
        <v>84.8</v>
      </c>
      <c r="I292" s="2">
        <v>-19.600000000000001</v>
      </c>
      <c r="J292" s="2">
        <v>-23.9</v>
      </c>
      <c r="K292" s="2">
        <f>I292</f>
        <v>-19.600000000000001</v>
      </c>
      <c r="L292" s="8">
        <f>10^((K292-H292)/10)</f>
        <v>3.6307805477009883E-11</v>
      </c>
      <c r="M292" s="26">
        <f>SUM(L292:L295)</f>
        <v>5.0799558128703176E-11</v>
      </c>
      <c r="N292" s="17">
        <f>10*LOG10(M292/E292)</f>
        <v>-108.96200056664134</v>
      </c>
      <c r="O292" s="9">
        <f>J292</f>
        <v>-23.9</v>
      </c>
      <c r="P292" s="8">
        <f>D292/B292*10^(O292/10)</f>
        <v>5.1601501855187651E-2</v>
      </c>
      <c r="Q292" s="26">
        <f>SUM(P292:P295)</f>
        <v>0.29837723420737067</v>
      </c>
      <c r="R292" s="17">
        <f>10*LOG10(Q292)</f>
        <v>-5.2523431603613249</v>
      </c>
      <c r="S292" s="18">
        <f>F292+N292-Kzt-H</f>
        <v>-24.962000566641336</v>
      </c>
      <c r="T292" s="17">
        <v>0.2</v>
      </c>
      <c r="U292" s="21">
        <f>T292*10^((S292-R292)/10)</f>
        <v>2.1382784301413565E-3</v>
      </c>
    </row>
    <row r="293" spans="1:21" x14ac:dyDescent="0.25">
      <c r="A293" s="24"/>
      <c r="B293" s="24"/>
      <c r="C293" s="17"/>
      <c r="D293" s="24"/>
      <c r="E293" s="24"/>
      <c r="F293" s="25"/>
      <c r="G293" s="1">
        <v>225</v>
      </c>
      <c r="H293" s="2">
        <v>90</v>
      </c>
      <c r="I293" s="2">
        <v>-26.5</v>
      </c>
      <c r="J293" s="2">
        <v>-29.3</v>
      </c>
      <c r="K293" s="2">
        <f t="shared" ref="K293:K325" si="38">I293</f>
        <v>-26.5</v>
      </c>
      <c r="L293" s="8">
        <f t="shared" ref="L293:L294" si="39">10^((K293-H293)/10)</f>
        <v>2.2387211385683343E-12</v>
      </c>
      <c r="M293" s="26"/>
      <c r="N293" s="17"/>
      <c r="O293" s="9">
        <f t="shared" ref="O293:O325" si="40">J293</f>
        <v>-29.3</v>
      </c>
      <c r="P293" s="8">
        <f>D292/B292*10^(O293/10)</f>
        <v>1.4882035695900688E-2</v>
      </c>
      <c r="Q293" s="26"/>
      <c r="R293" s="17"/>
      <c r="S293" s="19"/>
      <c r="T293" s="17"/>
      <c r="U293" s="22"/>
    </row>
    <row r="294" spans="1:21" x14ac:dyDescent="0.25">
      <c r="A294" s="24"/>
      <c r="B294" s="24"/>
      <c r="C294" s="17"/>
      <c r="D294" s="24"/>
      <c r="E294" s="24"/>
      <c r="F294" s="25"/>
      <c r="G294" s="1">
        <v>275</v>
      </c>
      <c r="H294" s="2">
        <v>92.2</v>
      </c>
      <c r="I294" s="2">
        <v>-17.399999999999999</v>
      </c>
      <c r="J294" s="2">
        <v>-17.899999999999999</v>
      </c>
      <c r="K294" s="2">
        <f t="shared" si="38"/>
        <v>-17.399999999999999</v>
      </c>
      <c r="L294" s="8">
        <f t="shared" si="39"/>
        <v>1.096478196143183E-11</v>
      </c>
      <c r="M294" s="26"/>
      <c r="N294" s="17"/>
      <c r="O294" s="9">
        <f t="shared" si="40"/>
        <v>-17.899999999999999</v>
      </c>
      <c r="P294" s="8">
        <f>D292/B292*10^(O294/10)</f>
        <v>0.20542927899879787</v>
      </c>
      <c r="Q294" s="26"/>
      <c r="R294" s="17"/>
      <c r="S294" s="19"/>
      <c r="T294" s="17"/>
      <c r="U294" s="22"/>
    </row>
    <row r="295" spans="1:21" x14ac:dyDescent="0.25">
      <c r="A295" s="24"/>
      <c r="B295" s="24"/>
      <c r="C295" s="17"/>
      <c r="D295" s="24"/>
      <c r="E295" s="24"/>
      <c r="F295" s="25"/>
      <c r="G295" s="1">
        <v>325</v>
      </c>
      <c r="H295" s="2">
        <v>93.3</v>
      </c>
      <c r="I295" s="2">
        <v>-25.6</v>
      </c>
      <c r="J295" s="2">
        <v>-26.8</v>
      </c>
      <c r="K295" s="2">
        <f t="shared" si="38"/>
        <v>-25.6</v>
      </c>
      <c r="L295" s="8">
        <f>10^((K295-H295)/10)</f>
        <v>1.2882495516931293E-12</v>
      </c>
      <c r="M295" s="26"/>
      <c r="N295" s="17"/>
      <c r="O295" s="9">
        <f t="shared" si="40"/>
        <v>-26.8</v>
      </c>
      <c r="P295" s="8">
        <f>D292/B292*10^(O295/10)</f>
        <v>2.646441765748447E-2</v>
      </c>
      <c r="Q295" s="26"/>
      <c r="R295" s="17"/>
      <c r="S295" s="20"/>
      <c r="T295" s="17"/>
      <c r="U295" s="23"/>
    </row>
    <row r="296" spans="1:21" x14ac:dyDescent="0.25">
      <c r="A296" s="24">
        <v>500</v>
      </c>
      <c r="B296" s="24">
        <v>3</v>
      </c>
      <c r="C296" s="17">
        <v>0.5</v>
      </c>
      <c r="D296" s="24">
        <v>59</v>
      </c>
      <c r="E296" s="24">
        <v>6</v>
      </c>
      <c r="F296" s="25">
        <v>84</v>
      </c>
      <c r="G296" s="1">
        <v>375</v>
      </c>
      <c r="H296" s="2">
        <v>91.9</v>
      </c>
      <c r="I296" s="2">
        <v>-22.5</v>
      </c>
      <c r="J296" s="2">
        <v>-25.2</v>
      </c>
      <c r="K296" s="2">
        <f t="shared" si="38"/>
        <v>-22.5</v>
      </c>
      <c r="L296" s="8">
        <f t="shared" ref="L296:L297" si="41">10^((K296-H296)/10)</f>
        <v>3.6307805477009972E-12</v>
      </c>
      <c r="M296" s="26">
        <f>SUM(L296:L301)</f>
        <v>9.0213324961976114E-11</v>
      </c>
      <c r="N296" s="17">
        <f>10*LOG10(M296/E296)</f>
        <v>-108.22880560623793</v>
      </c>
      <c r="O296" s="9">
        <f t="shared" si="40"/>
        <v>-25.2</v>
      </c>
      <c r="P296" s="8">
        <f>D296/B296*10^(O296/10)</f>
        <v>5.9392383834572939E-2</v>
      </c>
      <c r="Q296" s="26">
        <f>SUM(P296:P301)</f>
        <v>0.7271500738780684</v>
      </c>
      <c r="R296" s="17">
        <f>10*LOG10(Q296)</f>
        <v>-1.3837594742031016</v>
      </c>
      <c r="S296" s="18">
        <f>F296+N296-Kzt-H</f>
        <v>-24.228805606237927</v>
      </c>
      <c r="T296" s="17">
        <v>0.5</v>
      </c>
      <c r="U296" s="21">
        <f>T296*10^((S296-R296)/10)</f>
        <v>2.5969607817087122E-3</v>
      </c>
    </row>
    <row r="297" spans="1:21" x14ac:dyDescent="0.25">
      <c r="A297" s="24"/>
      <c r="B297" s="24"/>
      <c r="C297" s="17"/>
      <c r="D297" s="24"/>
      <c r="E297" s="24"/>
      <c r="F297" s="25"/>
      <c r="G297" s="1">
        <v>425</v>
      </c>
      <c r="H297" s="2">
        <v>88.1</v>
      </c>
      <c r="I297" s="2">
        <v>-16.399999999999999</v>
      </c>
      <c r="J297" s="2">
        <v>-31.1</v>
      </c>
      <c r="K297" s="2">
        <f t="shared" si="38"/>
        <v>-16.399999999999999</v>
      </c>
      <c r="L297" s="8">
        <f t="shared" si="41"/>
        <v>3.5481338923357562E-11</v>
      </c>
      <c r="M297" s="26"/>
      <c r="N297" s="17"/>
      <c r="O297" s="9">
        <f t="shared" si="40"/>
        <v>-31.1</v>
      </c>
      <c r="P297" s="8">
        <f>D296/B296*10^(O297/10)</f>
        <v>1.5266193293697583E-2</v>
      </c>
      <c r="Q297" s="26"/>
      <c r="R297" s="17"/>
      <c r="S297" s="19"/>
      <c r="T297" s="17"/>
      <c r="U297" s="22"/>
    </row>
    <row r="298" spans="1:21" x14ac:dyDescent="0.25">
      <c r="A298" s="24"/>
      <c r="B298" s="24"/>
      <c r="C298" s="17"/>
      <c r="D298" s="24"/>
      <c r="E298" s="24"/>
      <c r="F298" s="25"/>
      <c r="G298" s="1">
        <v>475</v>
      </c>
      <c r="H298" s="2">
        <v>90</v>
      </c>
      <c r="I298" s="2">
        <v>-14.2</v>
      </c>
      <c r="J298" s="2">
        <v>-18.2</v>
      </c>
      <c r="K298" s="2">
        <f t="shared" si="38"/>
        <v>-14.2</v>
      </c>
      <c r="L298" s="8">
        <f>10^((K298-H298)/10)</f>
        <v>3.8018939632055986E-11</v>
      </c>
      <c r="M298" s="26"/>
      <c r="N298" s="17"/>
      <c r="O298" s="9">
        <f t="shared" si="40"/>
        <v>-18.2</v>
      </c>
      <c r="P298" s="8">
        <f>D296/B296*10^(O298/10)</f>
        <v>0.29766704552578749</v>
      </c>
      <c r="Q298" s="26"/>
      <c r="R298" s="17"/>
      <c r="S298" s="19"/>
      <c r="T298" s="17"/>
      <c r="U298" s="22"/>
    </row>
    <row r="299" spans="1:21" x14ac:dyDescent="0.25">
      <c r="A299" s="24"/>
      <c r="B299" s="24"/>
      <c r="C299" s="17"/>
      <c r="D299" s="24"/>
      <c r="E299" s="24"/>
      <c r="F299" s="25"/>
      <c r="G299" s="1">
        <v>575</v>
      </c>
      <c r="H299" s="2">
        <v>97</v>
      </c>
      <c r="I299" s="2">
        <v>-20</v>
      </c>
      <c r="J299" s="2">
        <v>-28.5</v>
      </c>
      <c r="K299" s="2">
        <f t="shared" si="38"/>
        <v>-20</v>
      </c>
      <c r="L299" s="8">
        <f t="shared" ref="L299:L325" si="42">10^((K299-H299)/10)</f>
        <v>1.9952623149688759E-12</v>
      </c>
      <c r="M299" s="26"/>
      <c r="N299" s="17"/>
      <c r="O299" s="9">
        <f t="shared" si="40"/>
        <v>-28.5</v>
      </c>
      <c r="P299" s="8">
        <f>D296/B296*10^(O299/10)</f>
        <v>2.7779905044247471E-2</v>
      </c>
      <c r="Q299" s="26"/>
      <c r="R299" s="17"/>
      <c r="S299" s="19"/>
      <c r="T299" s="17"/>
      <c r="U299" s="22"/>
    </row>
    <row r="300" spans="1:21" x14ac:dyDescent="0.25">
      <c r="A300" s="24"/>
      <c r="B300" s="24"/>
      <c r="C300" s="17"/>
      <c r="D300" s="24"/>
      <c r="E300" s="24"/>
      <c r="F300" s="25"/>
      <c r="G300" s="1">
        <v>625</v>
      </c>
      <c r="H300" s="2">
        <v>92</v>
      </c>
      <c r="I300" s="2">
        <v>-19.600000000000001</v>
      </c>
      <c r="J300" s="2">
        <v>-21.5</v>
      </c>
      <c r="K300" s="2">
        <f t="shared" si="38"/>
        <v>-19.600000000000001</v>
      </c>
      <c r="L300" s="8">
        <f t="shared" si="42"/>
        <v>6.9183097091893405E-12</v>
      </c>
      <c r="M300" s="26"/>
      <c r="N300" s="17"/>
      <c r="O300" s="9">
        <f t="shared" si="40"/>
        <v>-21.5</v>
      </c>
      <c r="P300" s="8">
        <f>D296/B296*10^(O300/10)</f>
        <v>0.13922933759554715</v>
      </c>
      <c r="Q300" s="26"/>
      <c r="R300" s="17"/>
      <c r="S300" s="19"/>
      <c r="T300" s="17"/>
      <c r="U300" s="22"/>
    </row>
    <row r="301" spans="1:21" x14ac:dyDescent="0.25">
      <c r="A301" s="24"/>
      <c r="B301" s="24"/>
      <c r="C301" s="17"/>
      <c r="D301" s="24"/>
      <c r="E301" s="24"/>
      <c r="F301" s="25"/>
      <c r="G301" s="1">
        <v>675</v>
      </c>
      <c r="H301" s="2">
        <v>94.5</v>
      </c>
      <c r="I301" s="2">
        <v>-19.3</v>
      </c>
      <c r="J301" s="2">
        <v>-20.2</v>
      </c>
      <c r="K301" s="2">
        <f t="shared" si="38"/>
        <v>-19.3</v>
      </c>
      <c r="L301" s="8">
        <f t="shared" si="42"/>
        <v>4.1686938347033479E-12</v>
      </c>
      <c r="M301" s="26"/>
      <c r="N301" s="17"/>
      <c r="O301" s="9">
        <f t="shared" si="40"/>
        <v>-20.2</v>
      </c>
      <c r="P301" s="8">
        <f>D296/B296*10^(O301/10)</f>
        <v>0.18781520858421571</v>
      </c>
      <c r="Q301" s="26"/>
      <c r="R301" s="17"/>
      <c r="S301" s="20"/>
      <c r="T301" s="17"/>
      <c r="U301" s="23"/>
    </row>
    <row r="302" spans="1:21" x14ac:dyDescent="0.25">
      <c r="A302" s="24">
        <v>1000</v>
      </c>
      <c r="B302" s="24">
        <v>3</v>
      </c>
      <c r="C302" s="17">
        <v>0.5</v>
      </c>
      <c r="D302" s="24">
        <v>117</v>
      </c>
      <c r="E302" s="24">
        <v>6</v>
      </c>
      <c r="F302" s="25">
        <v>76</v>
      </c>
      <c r="G302" s="1">
        <v>875</v>
      </c>
      <c r="H302" s="2">
        <v>91.1</v>
      </c>
      <c r="I302" s="2">
        <v>-18.900000000000002</v>
      </c>
      <c r="J302" s="2">
        <v>-19.100000000000001</v>
      </c>
      <c r="K302" s="2">
        <f t="shared" si="38"/>
        <v>-18.900000000000002</v>
      </c>
      <c r="L302" s="8">
        <f t="shared" si="42"/>
        <v>9.9999999999999994E-12</v>
      </c>
      <c r="M302" s="26">
        <f>SUM(L302:L307)</f>
        <v>3.4727373878807276E-11</v>
      </c>
      <c r="N302" s="17">
        <f>10*LOG10(M302/E302)</f>
        <v>-112.37479307644867</v>
      </c>
      <c r="O302" s="9">
        <f t="shared" si="40"/>
        <v>-19.100000000000001</v>
      </c>
      <c r="P302" s="8">
        <f>D302/B302*10^(O302/10)</f>
        <v>0.47980482061682855</v>
      </c>
      <c r="Q302" s="26">
        <f>SUM(P302:P307)</f>
        <v>1.9130647938448417</v>
      </c>
      <c r="R302" s="17">
        <f>10*LOG10(Q302)</f>
        <v>2.8172967945371434</v>
      </c>
      <c r="S302" s="18">
        <f>F302+N302-Kzt-H</f>
        <v>-36.374793076448668</v>
      </c>
      <c r="T302" s="17">
        <v>0.8</v>
      </c>
      <c r="U302" s="21">
        <f>T302*10^((S302-R302)/10)</f>
        <v>9.6356496306360074E-5</v>
      </c>
    </row>
    <row r="303" spans="1:21" x14ac:dyDescent="0.25">
      <c r="A303" s="24"/>
      <c r="B303" s="24"/>
      <c r="C303" s="17"/>
      <c r="D303" s="24"/>
      <c r="E303" s="24"/>
      <c r="F303" s="25"/>
      <c r="G303" s="1">
        <v>975</v>
      </c>
      <c r="H303" s="2">
        <v>96.5</v>
      </c>
      <c r="I303" s="2">
        <v>-17.3</v>
      </c>
      <c r="J303" s="2">
        <v>-18.399999999999999</v>
      </c>
      <c r="K303" s="2">
        <f t="shared" si="38"/>
        <v>-17.3</v>
      </c>
      <c r="L303" s="8">
        <f t="shared" si="42"/>
        <v>4.1686938347033479E-12</v>
      </c>
      <c r="M303" s="26"/>
      <c r="N303" s="17"/>
      <c r="O303" s="9">
        <f t="shared" si="40"/>
        <v>-18.399999999999999</v>
      </c>
      <c r="P303" s="8">
        <f>D302/B302*10^(O303/10)</f>
        <v>0.56372151059091158</v>
      </c>
      <c r="Q303" s="26"/>
      <c r="R303" s="17"/>
      <c r="S303" s="19"/>
      <c r="T303" s="17"/>
      <c r="U303" s="22"/>
    </row>
    <row r="304" spans="1:21" x14ac:dyDescent="0.25">
      <c r="A304" s="24"/>
      <c r="B304" s="24"/>
      <c r="C304" s="17"/>
      <c r="D304" s="24"/>
      <c r="E304" s="24"/>
      <c r="F304" s="25"/>
      <c r="G304" s="1">
        <v>1075</v>
      </c>
      <c r="H304" s="2">
        <v>94.6</v>
      </c>
      <c r="I304" s="2">
        <v>-17.8</v>
      </c>
      <c r="J304" s="2">
        <v>-25.5</v>
      </c>
      <c r="K304" s="2">
        <f t="shared" si="38"/>
        <v>-17.8</v>
      </c>
      <c r="L304" s="8">
        <f t="shared" si="42"/>
        <v>5.754399373371574E-12</v>
      </c>
      <c r="M304" s="26"/>
      <c r="N304" s="17"/>
      <c r="O304" s="9">
        <f t="shared" si="40"/>
        <v>-25.5</v>
      </c>
      <c r="P304" s="8">
        <f>D302/B302*10^(O304/10)</f>
        <v>0.10991693431931364</v>
      </c>
      <c r="Q304" s="26"/>
      <c r="R304" s="17"/>
      <c r="S304" s="19"/>
      <c r="T304" s="17"/>
      <c r="U304" s="22"/>
    </row>
    <row r="305" spans="1:21" x14ac:dyDescent="0.25">
      <c r="A305" s="24"/>
      <c r="B305" s="24"/>
      <c r="C305" s="17"/>
      <c r="D305" s="24"/>
      <c r="E305" s="24"/>
      <c r="F305" s="25"/>
      <c r="G305" s="1">
        <v>1175</v>
      </c>
      <c r="H305" s="2">
        <v>97.8</v>
      </c>
      <c r="I305" s="2">
        <v>-11.6</v>
      </c>
      <c r="J305" s="2">
        <v>-19.399999999999999</v>
      </c>
      <c r="K305" s="2">
        <f t="shared" si="38"/>
        <v>-11.6</v>
      </c>
      <c r="L305" s="8">
        <f t="shared" si="42"/>
        <v>1.1481536214968803E-11</v>
      </c>
      <c r="M305" s="26"/>
      <c r="N305" s="17"/>
      <c r="O305" s="9">
        <f t="shared" si="40"/>
        <v>-19.399999999999999</v>
      </c>
      <c r="P305" s="8">
        <f>D302/B302*10^(O305/10)</f>
        <v>0.44777991238378423</v>
      </c>
      <c r="Q305" s="26"/>
      <c r="R305" s="17"/>
      <c r="S305" s="19"/>
      <c r="T305" s="17"/>
      <c r="U305" s="22"/>
    </row>
    <row r="306" spans="1:21" x14ac:dyDescent="0.25">
      <c r="A306" s="24"/>
      <c r="B306" s="24"/>
      <c r="C306" s="17"/>
      <c r="D306" s="24"/>
      <c r="E306" s="24"/>
      <c r="F306" s="25"/>
      <c r="G306" s="1">
        <v>1275</v>
      </c>
      <c r="H306" s="2">
        <v>100.1</v>
      </c>
      <c r="I306" s="2">
        <v>-15.2</v>
      </c>
      <c r="J306" s="2">
        <v>-23.6</v>
      </c>
      <c r="K306" s="2">
        <f t="shared" si="38"/>
        <v>-15.2</v>
      </c>
      <c r="L306" s="8">
        <f t="shared" si="42"/>
        <v>2.9512092266663859E-12</v>
      </c>
      <c r="M306" s="26"/>
      <c r="N306" s="17"/>
      <c r="O306" s="9">
        <f t="shared" si="40"/>
        <v>-23.6</v>
      </c>
      <c r="P306" s="8">
        <f>D302/B302*10^(O306/10)</f>
        <v>0.17024117457366447</v>
      </c>
      <c r="Q306" s="26"/>
      <c r="R306" s="17"/>
      <c r="S306" s="19"/>
      <c r="T306" s="17"/>
      <c r="U306" s="22"/>
    </row>
    <row r="307" spans="1:21" x14ac:dyDescent="0.25">
      <c r="A307" s="24"/>
      <c r="B307" s="24"/>
      <c r="C307" s="17"/>
      <c r="D307" s="24"/>
      <c r="E307" s="24"/>
      <c r="F307" s="25"/>
      <c r="G307" s="1">
        <v>1375</v>
      </c>
      <c r="H307" s="2">
        <v>103</v>
      </c>
      <c r="I307" s="2">
        <v>-21.3</v>
      </c>
      <c r="J307" s="2">
        <v>-24.4</v>
      </c>
      <c r="K307" s="2">
        <f t="shared" si="38"/>
        <v>-21.3</v>
      </c>
      <c r="L307" s="8">
        <f t="shared" si="42"/>
        <v>3.7153522909717175E-13</v>
      </c>
      <c r="M307" s="26"/>
      <c r="N307" s="17"/>
      <c r="O307" s="9">
        <f t="shared" si="40"/>
        <v>-24.4</v>
      </c>
      <c r="P307" s="8">
        <f>D302/B302*10^(O307/10)</f>
        <v>0.14160044136033942</v>
      </c>
      <c r="Q307" s="26"/>
      <c r="R307" s="17"/>
      <c r="S307" s="20"/>
      <c r="T307" s="17"/>
      <c r="U307" s="23"/>
    </row>
    <row r="308" spans="1:21" x14ac:dyDescent="0.25">
      <c r="A308" s="24">
        <v>2000</v>
      </c>
      <c r="B308" s="24">
        <v>3</v>
      </c>
      <c r="C308" s="17">
        <v>0.5</v>
      </c>
      <c r="D308" s="24">
        <v>234</v>
      </c>
      <c r="E308" s="24">
        <v>6</v>
      </c>
      <c r="F308" s="25">
        <v>68</v>
      </c>
      <c r="G308" s="1">
        <v>1425</v>
      </c>
      <c r="H308" s="2">
        <v>102.8</v>
      </c>
      <c r="I308" s="2">
        <v>-17.900000000000002</v>
      </c>
      <c r="J308" s="2">
        <v>-18.100000000000001</v>
      </c>
      <c r="K308" s="2">
        <f t="shared" si="38"/>
        <v>-17.900000000000002</v>
      </c>
      <c r="L308" s="8">
        <f t="shared" si="42"/>
        <v>8.5113803820237492E-13</v>
      </c>
      <c r="M308" s="26">
        <f>SUM(L308:L313)</f>
        <v>8.0936974004106853E-12</v>
      </c>
      <c r="N308" s="17">
        <f>10*LOG10(M308/E308)</f>
        <v>-118.70004287020521</v>
      </c>
      <c r="O308" s="9">
        <f t="shared" si="40"/>
        <v>-18.100000000000001</v>
      </c>
      <c r="P308" s="8">
        <f>D308/B308*10^(O308/10)</f>
        <v>1.2080769627517347</v>
      </c>
      <c r="Q308" s="26">
        <f>SUM(P308:P313)</f>
        <v>3.5560493254359056</v>
      </c>
      <c r="R308" s="17">
        <f>10*LOG10(Q308)</f>
        <v>5.5096777637468382</v>
      </c>
      <c r="S308" s="18">
        <f>F308+N308-Kzt-H</f>
        <v>-50.700042870205209</v>
      </c>
      <c r="T308" s="17">
        <v>1</v>
      </c>
      <c r="U308" s="21">
        <f>T308*10^((S308-R308)/10)</f>
        <v>2.3934697147671337E-6</v>
      </c>
    </row>
    <row r="309" spans="1:21" x14ac:dyDescent="0.25">
      <c r="A309" s="24"/>
      <c r="B309" s="24"/>
      <c r="C309" s="17"/>
      <c r="D309" s="24"/>
      <c r="E309" s="24"/>
      <c r="F309" s="25"/>
      <c r="G309" s="1">
        <v>1625</v>
      </c>
      <c r="H309" s="2">
        <v>104.1</v>
      </c>
      <c r="I309" s="2">
        <v>-16.3</v>
      </c>
      <c r="J309" s="2">
        <v>-30.8</v>
      </c>
      <c r="K309" s="2">
        <f t="shared" si="38"/>
        <v>-16.3</v>
      </c>
      <c r="L309" s="8">
        <f t="shared" si="42"/>
        <v>9.1201083935590769E-13</v>
      </c>
      <c r="M309" s="26"/>
      <c r="N309" s="17"/>
      <c r="O309" s="9">
        <f t="shared" si="40"/>
        <v>-30.8</v>
      </c>
      <c r="P309" s="8">
        <f>D308/B308*10^(O309/10)</f>
        <v>6.4877574146008282E-2</v>
      </c>
      <c r="Q309" s="26"/>
      <c r="R309" s="17"/>
      <c r="S309" s="19"/>
      <c r="T309" s="17"/>
      <c r="U309" s="22"/>
    </row>
    <row r="310" spans="1:21" x14ac:dyDescent="0.25">
      <c r="A310" s="24"/>
      <c r="B310" s="24"/>
      <c r="C310" s="17"/>
      <c r="D310" s="24"/>
      <c r="E310" s="24"/>
      <c r="F310" s="25"/>
      <c r="G310" s="1">
        <v>1825</v>
      </c>
      <c r="H310" s="2">
        <v>107.6</v>
      </c>
      <c r="I310" s="2">
        <v>-16.5</v>
      </c>
      <c r="J310" s="2">
        <v>-26.9</v>
      </c>
      <c r="K310" s="2">
        <f t="shared" si="38"/>
        <v>-16.5</v>
      </c>
      <c r="L310" s="8">
        <f t="shared" si="42"/>
        <v>3.8904514499427974E-13</v>
      </c>
      <c r="M310" s="26"/>
      <c r="N310" s="17"/>
      <c r="O310" s="9">
        <f t="shared" si="40"/>
        <v>-26.9</v>
      </c>
      <c r="P310" s="8">
        <f>D308/B308*10^(O310/10)</f>
        <v>0.15925555968422328</v>
      </c>
      <c r="Q310" s="26"/>
      <c r="R310" s="17"/>
      <c r="S310" s="19"/>
      <c r="T310" s="17"/>
      <c r="U310" s="22"/>
    </row>
    <row r="311" spans="1:21" x14ac:dyDescent="0.25">
      <c r="A311" s="24"/>
      <c r="B311" s="24"/>
      <c r="C311" s="17"/>
      <c r="D311" s="24"/>
      <c r="E311" s="24"/>
      <c r="F311" s="25"/>
      <c r="G311" s="1">
        <v>2125</v>
      </c>
      <c r="H311" s="2">
        <v>104.2</v>
      </c>
      <c r="I311" s="2">
        <v>-19.8</v>
      </c>
      <c r="J311" s="2">
        <v>-19.8</v>
      </c>
      <c r="K311" s="2">
        <f t="shared" si="38"/>
        <v>-19.8</v>
      </c>
      <c r="L311" s="8">
        <f t="shared" si="42"/>
        <v>3.9810717055349631E-13</v>
      </c>
      <c r="M311" s="26"/>
      <c r="N311" s="17"/>
      <c r="O311" s="9">
        <f t="shared" si="40"/>
        <v>-19.8</v>
      </c>
      <c r="P311" s="8">
        <f>D308/B308*10^(O311/10)</f>
        <v>0.8167602674797011</v>
      </c>
      <c r="Q311" s="26"/>
      <c r="R311" s="17"/>
      <c r="S311" s="19"/>
      <c r="T311" s="17"/>
      <c r="U311" s="22"/>
    </row>
    <row r="312" spans="1:21" x14ac:dyDescent="0.25">
      <c r="A312" s="24"/>
      <c r="B312" s="24"/>
      <c r="C312" s="17"/>
      <c r="D312" s="24"/>
      <c r="E312" s="24"/>
      <c r="F312" s="25"/>
      <c r="G312" s="1">
        <v>2425</v>
      </c>
      <c r="H312" s="2">
        <v>93.7</v>
      </c>
      <c r="I312" s="2">
        <v>-20.8</v>
      </c>
      <c r="J312" s="2">
        <v>-27.9</v>
      </c>
      <c r="K312" s="2">
        <f t="shared" si="38"/>
        <v>-20.8</v>
      </c>
      <c r="L312" s="8">
        <f t="shared" si="42"/>
        <v>3.5481338923357515E-12</v>
      </c>
      <c r="M312" s="26"/>
      <c r="N312" s="17"/>
      <c r="O312" s="9">
        <f t="shared" si="40"/>
        <v>-27.9</v>
      </c>
      <c r="P312" s="8">
        <f>D308/B308*10^(O312/10)</f>
        <v>0.12650118759399642</v>
      </c>
      <c r="Q312" s="26"/>
      <c r="R312" s="17"/>
      <c r="S312" s="19"/>
      <c r="T312" s="17"/>
      <c r="U312" s="22"/>
    </row>
    <row r="313" spans="1:21" x14ac:dyDescent="0.25">
      <c r="A313" s="24"/>
      <c r="B313" s="24"/>
      <c r="C313" s="17"/>
      <c r="D313" s="24"/>
      <c r="E313" s="24"/>
      <c r="F313" s="25"/>
      <c r="G313" s="1">
        <v>2775</v>
      </c>
      <c r="H313" s="2">
        <v>100.2</v>
      </c>
      <c r="I313" s="2">
        <v>-16.8</v>
      </c>
      <c r="J313" s="2">
        <v>-18.2</v>
      </c>
      <c r="K313" s="2">
        <f t="shared" si="38"/>
        <v>-16.8</v>
      </c>
      <c r="L313" s="8">
        <f t="shared" si="42"/>
        <v>1.9952623149688759E-12</v>
      </c>
      <c r="M313" s="26"/>
      <c r="N313" s="17"/>
      <c r="O313" s="9">
        <f t="shared" si="40"/>
        <v>-18.2</v>
      </c>
      <c r="P313" s="8">
        <f>D308/B308*10^(O313/10)</f>
        <v>1.1805777737802419</v>
      </c>
      <c r="Q313" s="26"/>
      <c r="R313" s="17"/>
      <c r="S313" s="20"/>
      <c r="T313" s="17"/>
      <c r="U313" s="23"/>
    </row>
    <row r="314" spans="1:21" x14ac:dyDescent="0.25">
      <c r="A314" s="24">
        <v>4000</v>
      </c>
      <c r="B314" s="24">
        <v>3</v>
      </c>
      <c r="C314" s="17">
        <v>0.5</v>
      </c>
      <c r="D314" s="24">
        <v>470</v>
      </c>
      <c r="E314" s="24">
        <v>6</v>
      </c>
      <c r="F314" s="25">
        <v>62</v>
      </c>
      <c r="G314" s="1">
        <v>2825</v>
      </c>
      <c r="H314" s="2">
        <v>99.4</v>
      </c>
      <c r="I314" s="2">
        <v>-19.2</v>
      </c>
      <c r="J314" s="2">
        <v>-28.3</v>
      </c>
      <c r="K314" s="2">
        <f t="shared" si="38"/>
        <v>-19.2</v>
      </c>
      <c r="L314" s="8">
        <f t="shared" si="42"/>
        <v>1.3803842646028794E-12</v>
      </c>
      <c r="M314" s="26">
        <f>SUM(L314:L319)</f>
        <v>2.9915584779101035E-12</v>
      </c>
      <c r="N314" s="17">
        <f>10*LOG10(M314/E314)</f>
        <v>-123.02253753690135</v>
      </c>
      <c r="O314" s="9">
        <f t="shared" si="40"/>
        <v>-28.3</v>
      </c>
      <c r="P314" s="8">
        <f>D314/B314*10^(O314/10)</f>
        <v>0.23172698081301901</v>
      </c>
      <c r="Q314" s="26">
        <f>SUM(P314:P319)</f>
        <v>2.2356821141898435</v>
      </c>
      <c r="R314" s="17">
        <f>10*LOG10(Q314)</f>
        <v>3.4941005240415479</v>
      </c>
      <c r="S314" s="18">
        <f>F314+N314-Kzt-H</f>
        <v>-61.022537536901353</v>
      </c>
      <c r="T314" s="17">
        <v>0.9</v>
      </c>
      <c r="U314" s="21">
        <f>T314*10^((S314-R314)/10)</f>
        <v>3.1811101205283739E-7</v>
      </c>
    </row>
    <row r="315" spans="1:21" x14ac:dyDescent="0.25">
      <c r="A315" s="24"/>
      <c r="B315" s="24"/>
      <c r="C315" s="17"/>
      <c r="D315" s="24"/>
      <c r="E315" s="24"/>
      <c r="F315" s="25"/>
      <c r="G315" s="1">
        <v>3425</v>
      </c>
      <c r="H315" s="2">
        <v>103.5</v>
      </c>
      <c r="I315" s="2">
        <v>-22.7</v>
      </c>
      <c r="J315" s="2">
        <v>-28.6</v>
      </c>
      <c r="K315" s="2">
        <f t="shared" si="38"/>
        <v>-22.7</v>
      </c>
      <c r="L315" s="8">
        <f t="shared" si="42"/>
        <v>2.3988329190194817E-13</v>
      </c>
      <c r="M315" s="26"/>
      <c r="N315" s="17"/>
      <c r="O315" s="9">
        <f t="shared" si="40"/>
        <v>-28.6</v>
      </c>
      <c r="P315" s="8">
        <f>D314/B314*10^(O315/10)</f>
        <v>0.21626020145445171</v>
      </c>
      <c r="Q315" s="26"/>
      <c r="R315" s="17"/>
      <c r="S315" s="19"/>
      <c r="T315" s="17"/>
      <c r="U315" s="22"/>
    </row>
    <row r="316" spans="1:21" x14ac:dyDescent="0.25">
      <c r="A316" s="24"/>
      <c r="B316" s="24"/>
      <c r="C316" s="17"/>
      <c r="D316" s="24"/>
      <c r="E316" s="24"/>
      <c r="F316" s="25"/>
      <c r="G316" s="1">
        <v>4025</v>
      </c>
      <c r="H316" s="2">
        <v>103.6</v>
      </c>
      <c r="I316" s="2">
        <v>-24.3</v>
      </c>
      <c r="J316" s="2">
        <v>-28.7</v>
      </c>
      <c r="K316" s="2">
        <f t="shared" si="38"/>
        <v>-24.3</v>
      </c>
      <c r="L316" s="8">
        <f t="shared" si="42"/>
        <v>1.6218100973589265E-13</v>
      </c>
      <c r="M316" s="26"/>
      <c r="N316" s="17"/>
      <c r="O316" s="9">
        <f t="shared" si="40"/>
        <v>-28.7</v>
      </c>
      <c r="P316" s="8">
        <f>D314/B314*10^(O316/10)</f>
        <v>0.21133751827269218</v>
      </c>
      <c r="Q316" s="26"/>
      <c r="R316" s="17"/>
      <c r="S316" s="19"/>
      <c r="T316" s="17"/>
      <c r="U316" s="22"/>
    </row>
    <row r="317" spans="1:21" x14ac:dyDescent="0.25">
      <c r="A317" s="24"/>
      <c r="B317" s="24"/>
      <c r="C317" s="17"/>
      <c r="D317" s="24"/>
      <c r="E317" s="24"/>
      <c r="F317" s="25"/>
      <c r="G317" s="1">
        <v>4625</v>
      </c>
      <c r="H317" s="2">
        <v>105.6</v>
      </c>
      <c r="I317" s="2">
        <v>-20.399999999999999</v>
      </c>
      <c r="J317" s="2">
        <v>-22</v>
      </c>
      <c r="K317" s="2">
        <f t="shared" si="38"/>
        <v>-20.399999999999999</v>
      </c>
      <c r="L317" s="8">
        <f t="shared" si="42"/>
        <v>2.511886431509579E-13</v>
      </c>
      <c r="M317" s="26"/>
      <c r="N317" s="17"/>
      <c r="O317" s="9">
        <f t="shared" si="40"/>
        <v>-22</v>
      </c>
      <c r="P317" s="8">
        <f>D314/B314*10^(O317/10)</f>
        <v>0.98849983968563482</v>
      </c>
      <c r="Q317" s="26"/>
      <c r="R317" s="17"/>
      <c r="S317" s="19"/>
      <c r="T317" s="17"/>
      <c r="U317" s="22"/>
    </row>
    <row r="318" spans="1:21" x14ac:dyDescent="0.25">
      <c r="A318" s="24"/>
      <c r="B318" s="24"/>
      <c r="C318" s="17"/>
      <c r="D318" s="24"/>
      <c r="E318" s="24"/>
      <c r="F318" s="25"/>
      <c r="G318" s="1">
        <v>5225</v>
      </c>
      <c r="H318" s="2">
        <v>103.5</v>
      </c>
      <c r="I318" s="2">
        <v>-22</v>
      </c>
      <c r="J318" s="2">
        <v>-28.2</v>
      </c>
      <c r="K318" s="2">
        <f t="shared" si="38"/>
        <v>-22</v>
      </c>
      <c r="L318" s="8">
        <f t="shared" si="42"/>
        <v>2.8183829312644412E-13</v>
      </c>
      <c r="M318" s="26"/>
      <c r="N318" s="17"/>
      <c r="O318" s="9">
        <f t="shared" si="40"/>
        <v>-28.2</v>
      </c>
      <c r="P318" s="8">
        <f>D314/B314*10^(O318/10)</f>
        <v>0.23712459558833912</v>
      </c>
      <c r="Q318" s="26"/>
      <c r="R318" s="17"/>
      <c r="S318" s="19"/>
      <c r="T318" s="17"/>
      <c r="U318" s="22"/>
    </row>
    <row r="319" spans="1:21" x14ac:dyDescent="0.25">
      <c r="A319" s="24"/>
      <c r="B319" s="24"/>
      <c r="C319" s="17"/>
      <c r="D319" s="24"/>
      <c r="E319" s="24"/>
      <c r="F319" s="25"/>
      <c r="G319" s="1">
        <v>5625</v>
      </c>
      <c r="H319" s="2">
        <v>99.5</v>
      </c>
      <c r="I319" s="2">
        <v>-22.2</v>
      </c>
      <c r="J319" s="2">
        <v>-26.5</v>
      </c>
      <c r="K319" s="2">
        <f t="shared" si="38"/>
        <v>-22.2</v>
      </c>
      <c r="L319" s="8">
        <f t="shared" si="42"/>
        <v>6.7608297539198111E-13</v>
      </c>
      <c r="M319" s="26"/>
      <c r="N319" s="17"/>
      <c r="O319" s="9">
        <f t="shared" si="40"/>
        <v>-26.5</v>
      </c>
      <c r="P319" s="8">
        <f>D314/B314*10^(O319/10)</f>
        <v>0.35073297837570638</v>
      </c>
      <c r="Q319" s="26"/>
      <c r="R319" s="17"/>
      <c r="S319" s="20"/>
      <c r="T319" s="17"/>
      <c r="U319" s="23"/>
    </row>
    <row r="320" spans="1:21" x14ac:dyDescent="0.25">
      <c r="A320" s="24">
        <v>8000</v>
      </c>
      <c r="B320" s="24">
        <v>3</v>
      </c>
      <c r="C320" s="17">
        <v>0.5</v>
      </c>
      <c r="D320" s="24">
        <v>943</v>
      </c>
      <c r="E320" s="24">
        <v>6</v>
      </c>
      <c r="F320" s="25">
        <v>54</v>
      </c>
      <c r="G320" s="1">
        <v>6025</v>
      </c>
      <c r="H320" s="2">
        <v>95</v>
      </c>
      <c r="I320" s="2">
        <v>-20.9</v>
      </c>
      <c r="J320" s="2">
        <v>-27</v>
      </c>
      <c r="K320" s="2">
        <f t="shared" si="38"/>
        <v>-20.9</v>
      </c>
      <c r="L320" s="8">
        <f t="shared" si="42"/>
        <v>2.5703957827688561E-12</v>
      </c>
      <c r="M320" s="26">
        <f>SUM(L320:L325)</f>
        <v>7.5856034629141019E-11</v>
      </c>
      <c r="N320" s="17">
        <f>10*LOG10(M320/E320)</f>
        <v>-108.98161114148354</v>
      </c>
      <c r="O320" s="9">
        <f t="shared" si="40"/>
        <v>-27</v>
      </c>
      <c r="P320" s="8">
        <f>D320/B320*10^(O320/10)</f>
        <v>0.62717745433855066</v>
      </c>
      <c r="Q320" s="26">
        <f>SUM(P320:P325)</f>
        <v>4.9309241653485039</v>
      </c>
      <c r="R320" s="17">
        <f>10*LOG10(Q320)</f>
        <v>6.9292832339426136</v>
      </c>
      <c r="S320" s="18">
        <f>F320+N320-Kzt-H</f>
        <v>-54.98161114148354</v>
      </c>
      <c r="T320" s="17">
        <v>0.7</v>
      </c>
      <c r="U320" s="21">
        <f>T320*10^((S320-R320)/10)</f>
        <v>4.5082563437245443E-7</v>
      </c>
    </row>
    <row r="321" spans="1:21" x14ac:dyDescent="0.25">
      <c r="A321" s="24"/>
      <c r="B321" s="24"/>
      <c r="C321" s="17"/>
      <c r="D321" s="24"/>
      <c r="E321" s="24"/>
      <c r="F321" s="25"/>
      <c r="G321" s="1">
        <v>7025</v>
      </c>
      <c r="H321" s="2">
        <v>94.8</v>
      </c>
      <c r="I321" s="2">
        <v>-21.9</v>
      </c>
      <c r="J321" s="2">
        <v>-22.2</v>
      </c>
      <c r="K321" s="2">
        <f t="shared" si="38"/>
        <v>-21.9</v>
      </c>
      <c r="L321" s="8">
        <f t="shared" si="42"/>
        <v>2.137962089502235E-12</v>
      </c>
      <c r="M321" s="26"/>
      <c r="N321" s="17"/>
      <c r="O321" s="9">
        <f t="shared" si="40"/>
        <v>-22.2</v>
      </c>
      <c r="P321" s="8">
        <f>D320/B320*10^(O321/10)</f>
        <v>1.8940456322270642</v>
      </c>
      <c r="Q321" s="26"/>
      <c r="R321" s="17"/>
      <c r="S321" s="19"/>
      <c r="T321" s="17"/>
      <c r="U321" s="22"/>
    </row>
    <row r="322" spans="1:21" x14ac:dyDescent="0.25">
      <c r="A322" s="24"/>
      <c r="B322" s="24"/>
      <c r="C322" s="17"/>
      <c r="D322" s="24"/>
      <c r="E322" s="24"/>
      <c r="F322" s="25"/>
      <c r="G322" s="1">
        <v>8025</v>
      </c>
      <c r="H322" s="2">
        <v>101.9</v>
      </c>
      <c r="I322" s="2">
        <v>-17.399999999999999</v>
      </c>
      <c r="J322" s="2">
        <v>-23.8</v>
      </c>
      <c r="K322" s="2">
        <f t="shared" si="38"/>
        <v>-17.399999999999999</v>
      </c>
      <c r="L322" s="8">
        <f t="shared" si="42"/>
        <v>1.1748975549395215E-12</v>
      </c>
      <c r="M322" s="26"/>
      <c r="N322" s="17"/>
      <c r="O322" s="9">
        <f t="shared" si="40"/>
        <v>-23.8</v>
      </c>
      <c r="P322" s="8">
        <f>D320/B320*10^(O322/10)</f>
        <v>1.3103594287084204</v>
      </c>
      <c r="Q322" s="26"/>
      <c r="R322" s="17"/>
      <c r="S322" s="19"/>
      <c r="T322" s="17"/>
      <c r="U322" s="22"/>
    </row>
    <row r="323" spans="1:21" x14ac:dyDescent="0.25">
      <c r="A323" s="24"/>
      <c r="B323" s="24"/>
      <c r="C323" s="17"/>
      <c r="D323" s="24"/>
      <c r="E323" s="24"/>
      <c r="F323" s="25"/>
      <c r="G323" s="1">
        <v>9025</v>
      </c>
      <c r="H323" s="2">
        <v>93.2</v>
      </c>
      <c r="I323" s="2">
        <v>-22.8</v>
      </c>
      <c r="J323" s="2">
        <v>-29.6</v>
      </c>
      <c r="K323" s="2">
        <f t="shared" si="38"/>
        <v>-22.8</v>
      </c>
      <c r="L323" s="8">
        <f t="shared" si="42"/>
        <v>2.5118864315095726E-12</v>
      </c>
      <c r="M323" s="26"/>
      <c r="N323" s="17"/>
      <c r="O323" s="9">
        <f t="shared" si="40"/>
        <v>-29.6</v>
      </c>
      <c r="P323" s="8">
        <f>D320/B320*10^(O323/10)</f>
        <v>0.34465964632100776</v>
      </c>
      <c r="Q323" s="26"/>
      <c r="R323" s="17"/>
      <c r="S323" s="19"/>
      <c r="T323" s="17"/>
      <c r="U323" s="22"/>
    </row>
    <row r="324" spans="1:21" x14ac:dyDescent="0.25">
      <c r="A324" s="24"/>
      <c r="B324" s="24"/>
      <c r="C324" s="17"/>
      <c r="D324" s="24"/>
      <c r="E324" s="24"/>
      <c r="F324" s="25"/>
      <c r="G324" s="1">
        <v>10025</v>
      </c>
      <c r="H324" s="2">
        <v>88.3</v>
      </c>
      <c r="I324" s="2">
        <v>-13.7</v>
      </c>
      <c r="J324" s="2">
        <v>-31.3</v>
      </c>
      <c r="K324" s="2">
        <f t="shared" si="38"/>
        <v>-13.7</v>
      </c>
      <c r="L324" s="8">
        <f t="shared" si="42"/>
        <v>6.3095734448019192E-11</v>
      </c>
      <c r="M324" s="26"/>
      <c r="N324" s="17"/>
      <c r="O324" s="9">
        <f t="shared" si="40"/>
        <v>-31.3</v>
      </c>
      <c r="P324" s="8">
        <f>D320/B320*10^(O324/10)</f>
        <v>0.233018519182255</v>
      </c>
      <c r="Q324" s="26"/>
      <c r="R324" s="17"/>
      <c r="S324" s="19"/>
      <c r="T324" s="17"/>
      <c r="U324" s="22"/>
    </row>
    <row r="325" spans="1:21" x14ac:dyDescent="0.25">
      <c r="A325" s="24"/>
      <c r="B325" s="24"/>
      <c r="C325" s="17"/>
      <c r="D325" s="24"/>
      <c r="E325" s="24"/>
      <c r="F325" s="25"/>
      <c r="G325" s="1">
        <v>11025</v>
      </c>
      <c r="H325" s="2">
        <v>86</v>
      </c>
      <c r="I325" s="2">
        <v>-27.6</v>
      </c>
      <c r="J325" s="2">
        <v>-27.8</v>
      </c>
      <c r="K325" s="2">
        <f t="shared" si="38"/>
        <v>-27.6</v>
      </c>
      <c r="L325" s="8">
        <f t="shared" si="42"/>
        <v>4.3651583224016522E-12</v>
      </c>
      <c r="M325" s="26"/>
      <c r="N325" s="17"/>
      <c r="O325" s="9">
        <f t="shared" si="40"/>
        <v>-27.8</v>
      </c>
      <c r="P325" s="8">
        <f>D320/B320*10^(O325/10)</f>
        <v>0.52166348457120604</v>
      </c>
      <c r="Q325" s="26"/>
      <c r="R325" s="17"/>
      <c r="S325" s="20"/>
      <c r="T325" s="17"/>
      <c r="U325" s="23"/>
    </row>
    <row r="326" spans="1:21" x14ac:dyDescent="0.25">
      <c r="A326" s="24" t="s">
        <v>20</v>
      </c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12">
        <f>U326</f>
        <v>5.5625939931755568E-2</v>
      </c>
      <c r="T326" s="2"/>
      <c r="U326" s="8">
        <f>0.8*SQRT(SUM(U292:U325))</f>
        <v>5.5625939931755568E-2</v>
      </c>
    </row>
    <row r="327" spans="1:21" x14ac:dyDescent="0.25">
      <c r="A327" s="27" t="s">
        <v>101</v>
      </c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9"/>
    </row>
    <row r="328" spans="1:21" x14ac:dyDescent="0.25">
      <c r="A328" s="24">
        <v>250</v>
      </c>
      <c r="B328" s="24">
        <v>3</v>
      </c>
      <c r="C328" s="17">
        <v>0.5</v>
      </c>
      <c r="D328" s="24">
        <v>38</v>
      </c>
      <c r="E328" s="24">
        <v>4</v>
      </c>
      <c r="F328" s="25">
        <v>84</v>
      </c>
      <c r="G328" s="1">
        <v>175</v>
      </c>
      <c r="H328" s="2">
        <v>84.8</v>
      </c>
      <c r="I328" s="2">
        <v>-21.4</v>
      </c>
      <c r="J328" s="2">
        <v>-27.2</v>
      </c>
      <c r="K328" s="2">
        <f>I328</f>
        <v>-21.4</v>
      </c>
      <c r="L328" s="8">
        <f>10^((K328-H328)/10)</f>
        <v>2.3988329190194867E-11</v>
      </c>
      <c r="M328" s="26">
        <f>SUM(L328:L331)</f>
        <v>3.8209064712953819E-11</v>
      </c>
      <c r="N328" s="17">
        <f>10*LOG10(M328/E328)</f>
        <v>-110.19893584232972</v>
      </c>
      <c r="O328" s="9">
        <f>J328</f>
        <v>-27.2</v>
      </c>
      <c r="P328" s="8">
        <f>D328/B328*10^(O328/10)</f>
        <v>2.4135835760867801E-2</v>
      </c>
      <c r="Q328" s="26">
        <f>SUM(P328:P331)</f>
        <v>9.7224471065861795E-2</v>
      </c>
      <c r="R328" s="17">
        <f>10*LOG10(Q328)</f>
        <v>-10.122244108835353</v>
      </c>
      <c r="S328" s="18">
        <f>F328+N328-Kzt-H</f>
        <v>-26.198935842329718</v>
      </c>
      <c r="T328" s="17">
        <v>0.2</v>
      </c>
      <c r="U328" s="21">
        <f>T328*10^((S328-R328)/10)</f>
        <v>4.9358371488657134E-3</v>
      </c>
    </row>
    <row r="329" spans="1:21" x14ac:dyDescent="0.25">
      <c r="A329" s="24"/>
      <c r="B329" s="24"/>
      <c r="C329" s="17"/>
      <c r="D329" s="24"/>
      <c r="E329" s="24"/>
      <c r="F329" s="25"/>
      <c r="G329" s="1">
        <v>225</v>
      </c>
      <c r="H329" s="2">
        <v>90</v>
      </c>
      <c r="I329" s="2">
        <v>-21.5</v>
      </c>
      <c r="J329" s="2">
        <v>-26.4</v>
      </c>
      <c r="K329" s="2">
        <f t="shared" ref="K329:K361" si="43">I329</f>
        <v>-21.5</v>
      </c>
      <c r="L329" s="8">
        <f t="shared" ref="L329:L330" si="44">10^((K329-H329)/10)</f>
        <v>7.0794578438413538E-12</v>
      </c>
      <c r="M329" s="26"/>
      <c r="N329" s="17"/>
      <c r="O329" s="9">
        <f t="shared" ref="O329:O361" si="45">J329</f>
        <v>-26.4</v>
      </c>
      <c r="P329" s="8">
        <f>D328/B328*10^(O329/10)</f>
        <v>2.9017656935058464E-2</v>
      </c>
      <c r="Q329" s="26"/>
      <c r="R329" s="17"/>
      <c r="S329" s="19"/>
      <c r="T329" s="17"/>
      <c r="U329" s="22"/>
    </row>
    <row r="330" spans="1:21" x14ac:dyDescent="0.25">
      <c r="A330" s="24"/>
      <c r="B330" s="24"/>
      <c r="C330" s="17"/>
      <c r="D330" s="24"/>
      <c r="E330" s="24"/>
      <c r="F330" s="25"/>
      <c r="G330" s="1">
        <v>275</v>
      </c>
      <c r="H330" s="2">
        <v>92.2</v>
      </c>
      <c r="I330" s="2">
        <v>-23.7</v>
      </c>
      <c r="J330" s="2">
        <v>-27.8</v>
      </c>
      <c r="K330" s="2">
        <f t="shared" si="43"/>
        <v>-23.7</v>
      </c>
      <c r="L330" s="8">
        <f t="shared" si="44"/>
        <v>2.5703957827688561E-12</v>
      </c>
      <c r="M330" s="26"/>
      <c r="N330" s="17"/>
      <c r="O330" s="9">
        <f t="shared" si="45"/>
        <v>-27.8</v>
      </c>
      <c r="P330" s="8">
        <f>D328/B328*10^(O330/10)</f>
        <v>2.1021434160875749E-2</v>
      </c>
      <c r="Q330" s="26"/>
      <c r="R330" s="17"/>
      <c r="S330" s="19"/>
      <c r="T330" s="17"/>
      <c r="U330" s="22"/>
    </row>
    <row r="331" spans="1:21" x14ac:dyDescent="0.25">
      <c r="A331" s="24"/>
      <c r="B331" s="24"/>
      <c r="C331" s="17"/>
      <c r="D331" s="24"/>
      <c r="E331" s="24"/>
      <c r="F331" s="25"/>
      <c r="G331" s="1">
        <v>325</v>
      </c>
      <c r="H331" s="2">
        <v>93.3</v>
      </c>
      <c r="I331" s="2">
        <v>-20.100000000000001</v>
      </c>
      <c r="J331" s="2">
        <v>-27.4</v>
      </c>
      <c r="K331" s="2">
        <f t="shared" si="43"/>
        <v>-20.100000000000001</v>
      </c>
      <c r="L331" s="8">
        <f>10^((K331-H331)/10)</f>
        <v>4.5708818961487419E-12</v>
      </c>
      <c r="M331" s="26"/>
      <c r="N331" s="17"/>
      <c r="O331" s="9">
        <f t="shared" si="45"/>
        <v>-27.4</v>
      </c>
      <c r="P331" s="8">
        <f>D328/B328*10^(O331/10)</f>
        <v>2.3049544209059778E-2</v>
      </c>
      <c r="Q331" s="26"/>
      <c r="R331" s="17"/>
      <c r="S331" s="20"/>
      <c r="T331" s="17"/>
      <c r="U331" s="23"/>
    </row>
    <row r="332" spans="1:21" x14ac:dyDescent="0.25">
      <c r="A332" s="24">
        <v>500</v>
      </c>
      <c r="B332" s="24">
        <v>3</v>
      </c>
      <c r="C332" s="17">
        <v>0.5</v>
      </c>
      <c r="D332" s="24">
        <v>59</v>
      </c>
      <c r="E332" s="24">
        <v>6</v>
      </c>
      <c r="F332" s="25">
        <v>84</v>
      </c>
      <c r="G332" s="1">
        <v>375</v>
      </c>
      <c r="H332" s="2">
        <v>91.9</v>
      </c>
      <c r="I332" s="2">
        <v>-20.9</v>
      </c>
      <c r="J332" s="2">
        <v>-26.1</v>
      </c>
      <c r="K332" s="2">
        <f t="shared" si="43"/>
        <v>-20.9</v>
      </c>
      <c r="L332" s="8">
        <f t="shared" ref="L332:L333" si="46">10^((K332-H332)/10)</f>
        <v>5.248074602497695E-12</v>
      </c>
      <c r="M332" s="26">
        <f>SUM(L332:L337)</f>
        <v>3.2216787252048563E-11</v>
      </c>
      <c r="N332" s="17">
        <f>10*LOG10(M332/E332)</f>
        <v>-112.70069021199119</v>
      </c>
      <c r="O332" s="9">
        <f t="shared" si="45"/>
        <v>-26.1</v>
      </c>
      <c r="P332" s="8">
        <f>D332/B332*10^(O332/10)</f>
        <v>4.827594200847219E-2</v>
      </c>
      <c r="Q332" s="26">
        <f>SUM(P332:P337)</f>
        <v>0.34647993880633093</v>
      </c>
      <c r="R332" s="17">
        <f>10*LOG10(Q332)</f>
        <v>-4.6032190598127096</v>
      </c>
      <c r="S332" s="18">
        <f>F332+N332-Kzt-H</f>
        <v>-28.700690211991187</v>
      </c>
      <c r="T332" s="17">
        <v>0.5</v>
      </c>
      <c r="U332" s="21">
        <f>T332*10^((S332-R332)/10)</f>
        <v>1.9463587378259295E-3</v>
      </c>
    </row>
    <row r="333" spans="1:21" x14ac:dyDescent="0.25">
      <c r="A333" s="24"/>
      <c r="B333" s="24"/>
      <c r="C333" s="17"/>
      <c r="D333" s="24"/>
      <c r="E333" s="24"/>
      <c r="F333" s="25"/>
      <c r="G333" s="1">
        <v>425</v>
      </c>
      <c r="H333" s="2">
        <v>88.1</v>
      </c>
      <c r="I333" s="2">
        <v>-21</v>
      </c>
      <c r="J333" s="2">
        <v>-23.3</v>
      </c>
      <c r="K333" s="2">
        <f t="shared" si="43"/>
        <v>-21</v>
      </c>
      <c r="L333" s="8">
        <f t="shared" si="46"/>
        <v>1.2302687708123787E-11</v>
      </c>
      <c r="M333" s="26"/>
      <c r="N333" s="17"/>
      <c r="O333" s="9">
        <f t="shared" si="45"/>
        <v>-23.3</v>
      </c>
      <c r="P333" s="8">
        <f>D332/B332*10^(O333/10)</f>
        <v>9.1987911119815566E-2</v>
      </c>
      <c r="Q333" s="26"/>
      <c r="R333" s="17"/>
      <c r="S333" s="19"/>
      <c r="T333" s="17"/>
      <c r="U333" s="22"/>
    </row>
    <row r="334" spans="1:21" x14ac:dyDescent="0.25">
      <c r="A334" s="24"/>
      <c r="B334" s="24"/>
      <c r="C334" s="17"/>
      <c r="D334" s="24"/>
      <c r="E334" s="24"/>
      <c r="F334" s="25"/>
      <c r="G334" s="1">
        <v>475</v>
      </c>
      <c r="H334" s="2">
        <v>90</v>
      </c>
      <c r="I334" s="2">
        <v>-23.3</v>
      </c>
      <c r="J334" s="2">
        <v>-28.2</v>
      </c>
      <c r="K334" s="2">
        <f t="shared" si="43"/>
        <v>-23.3</v>
      </c>
      <c r="L334" s="8">
        <f>10^((K334-H334)/10)</f>
        <v>4.6773514128719737E-12</v>
      </c>
      <c r="M334" s="26"/>
      <c r="N334" s="17"/>
      <c r="O334" s="9">
        <f t="shared" si="45"/>
        <v>-28.2</v>
      </c>
      <c r="P334" s="8">
        <f>D332/B332*10^(O334/10)</f>
        <v>2.9766704552578745E-2</v>
      </c>
      <c r="Q334" s="26"/>
      <c r="R334" s="17"/>
      <c r="S334" s="19"/>
      <c r="T334" s="17"/>
      <c r="U334" s="22"/>
    </row>
    <row r="335" spans="1:21" x14ac:dyDescent="0.25">
      <c r="A335" s="24"/>
      <c r="B335" s="24"/>
      <c r="C335" s="17"/>
      <c r="D335" s="24"/>
      <c r="E335" s="24"/>
      <c r="F335" s="25"/>
      <c r="G335" s="1">
        <v>575</v>
      </c>
      <c r="H335" s="2">
        <v>97</v>
      </c>
      <c r="I335" s="2">
        <v>-22.8</v>
      </c>
      <c r="J335" s="2">
        <v>-25.9</v>
      </c>
      <c r="K335" s="2">
        <f t="shared" si="43"/>
        <v>-22.8</v>
      </c>
      <c r="L335" s="8">
        <f t="shared" ref="L335:L361" si="47">10^((K335-H335)/10)</f>
        <v>1.0471285480508967E-12</v>
      </c>
      <c r="M335" s="26"/>
      <c r="N335" s="17"/>
      <c r="O335" s="9">
        <f t="shared" si="45"/>
        <v>-25.9</v>
      </c>
      <c r="P335" s="8">
        <f>D332/B332*10^(O335/10)</f>
        <v>5.055111706112099E-2</v>
      </c>
      <c r="Q335" s="26"/>
      <c r="R335" s="17"/>
      <c r="S335" s="19"/>
      <c r="T335" s="17"/>
      <c r="U335" s="22"/>
    </row>
    <row r="336" spans="1:21" x14ac:dyDescent="0.25">
      <c r="A336" s="24"/>
      <c r="B336" s="24"/>
      <c r="C336" s="17"/>
      <c r="D336" s="24"/>
      <c r="E336" s="24"/>
      <c r="F336" s="25"/>
      <c r="G336" s="1">
        <v>625</v>
      </c>
      <c r="H336" s="2">
        <v>92</v>
      </c>
      <c r="I336" s="2">
        <v>-19.5</v>
      </c>
      <c r="J336" s="2">
        <v>-25.1</v>
      </c>
      <c r="K336" s="2">
        <f t="shared" si="43"/>
        <v>-19.5</v>
      </c>
      <c r="L336" s="8">
        <f t="shared" si="47"/>
        <v>7.0794578438413538E-12</v>
      </c>
      <c r="M336" s="26"/>
      <c r="N336" s="17"/>
      <c r="O336" s="9">
        <f t="shared" si="45"/>
        <v>-25.1</v>
      </c>
      <c r="P336" s="8">
        <f>D332/B332*10^(O336/10)</f>
        <v>6.0775810172767231E-2</v>
      </c>
      <c r="Q336" s="26"/>
      <c r="R336" s="17"/>
      <c r="S336" s="19"/>
      <c r="T336" s="17"/>
      <c r="U336" s="22"/>
    </row>
    <row r="337" spans="1:21" x14ac:dyDescent="0.25">
      <c r="A337" s="24"/>
      <c r="B337" s="24"/>
      <c r="C337" s="17"/>
      <c r="D337" s="24"/>
      <c r="E337" s="24"/>
      <c r="F337" s="25"/>
      <c r="G337" s="1">
        <v>675</v>
      </c>
      <c r="H337" s="2">
        <v>94.5</v>
      </c>
      <c r="I337" s="2">
        <v>-22.8</v>
      </c>
      <c r="J337" s="2">
        <v>-24.8</v>
      </c>
      <c r="K337" s="2">
        <f t="shared" si="43"/>
        <v>-22.8</v>
      </c>
      <c r="L337" s="8">
        <f t="shared" si="47"/>
        <v>1.8620871366628578E-12</v>
      </c>
      <c r="M337" s="26"/>
      <c r="N337" s="17"/>
      <c r="O337" s="9">
        <f t="shared" si="45"/>
        <v>-24.8</v>
      </c>
      <c r="P337" s="8">
        <f>D332/B332*10^(O337/10)</f>
        <v>6.512245389157624E-2</v>
      </c>
      <c r="Q337" s="26"/>
      <c r="R337" s="17"/>
      <c r="S337" s="20"/>
      <c r="T337" s="17"/>
      <c r="U337" s="23"/>
    </row>
    <row r="338" spans="1:21" x14ac:dyDescent="0.25">
      <c r="A338" s="24">
        <v>1000</v>
      </c>
      <c r="B338" s="24">
        <v>3</v>
      </c>
      <c r="C338" s="17">
        <v>0.5</v>
      </c>
      <c r="D338" s="24">
        <v>117</v>
      </c>
      <c r="E338" s="24">
        <v>6</v>
      </c>
      <c r="F338" s="25">
        <v>76</v>
      </c>
      <c r="G338" s="1">
        <v>875</v>
      </c>
      <c r="H338" s="2">
        <v>91.1</v>
      </c>
      <c r="I338" s="2">
        <v>-23.4</v>
      </c>
      <c r="J338" s="2">
        <v>-28</v>
      </c>
      <c r="K338" s="2">
        <f t="shared" si="43"/>
        <v>-23.4</v>
      </c>
      <c r="L338" s="8">
        <f t="shared" si="47"/>
        <v>3.5481338923357515E-12</v>
      </c>
      <c r="M338" s="26">
        <f>SUM(L338:L343)</f>
        <v>7.9594839365670507E-12</v>
      </c>
      <c r="N338" s="17">
        <f>10*LOG10(M338/E338)</f>
        <v>-118.77266339777476</v>
      </c>
      <c r="O338" s="9">
        <f t="shared" si="45"/>
        <v>-28</v>
      </c>
      <c r="P338" s="8">
        <f>D338/B338*10^(O338/10)</f>
        <v>6.1810834505983424E-2</v>
      </c>
      <c r="Q338" s="26">
        <f>SUM(P338:P343)</f>
        <v>0.39147281593877958</v>
      </c>
      <c r="R338" s="17">
        <f>10*LOG10(Q338)</f>
        <v>-4.0729839017737248</v>
      </c>
      <c r="S338" s="18">
        <f>F338+N338-Kzt-H</f>
        <v>-42.772663397774764</v>
      </c>
      <c r="T338" s="17">
        <v>0.8</v>
      </c>
      <c r="U338" s="21">
        <f>T338*10^((S338-R338)/10)</f>
        <v>1.0792499504565887E-4</v>
      </c>
    </row>
    <row r="339" spans="1:21" x14ac:dyDescent="0.25">
      <c r="A339" s="24"/>
      <c r="B339" s="24"/>
      <c r="C339" s="17"/>
      <c r="D339" s="24"/>
      <c r="E339" s="24"/>
      <c r="F339" s="25"/>
      <c r="G339" s="1">
        <v>975</v>
      </c>
      <c r="H339" s="2">
        <v>96.5</v>
      </c>
      <c r="I339" s="2">
        <v>-20.3</v>
      </c>
      <c r="J339" s="2">
        <v>-27.2</v>
      </c>
      <c r="K339" s="2">
        <f t="shared" si="43"/>
        <v>-20.3</v>
      </c>
      <c r="L339" s="8">
        <f t="shared" si="47"/>
        <v>2.0892961308540349E-12</v>
      </c>
      <c r="M339" s="26"/>
      <c r="N339" s="17"/>
      <c r="O339" s="9">
        <f t="shared" si="45"/>
        <v>-27.2</v>
      </c>
      <c r="P339" s="8">
        <f>D338/B338*10^(O339/10)</f>
        <v>7.4312968000566651E-2</v>
      </c>
      <c r="Q339" s="26"/>
      <c r="R339" s="17"/>
      <c r="S339" s="19"/>
      <c r="T339" s="17"/>
      <c r="U339" s="22"/>
    </row>
    <row r="340" spans="1:21" x14ac:dyDescent="0.25">
      <c r="A340" s="24"/>
      <c r="B340" s="24"/>
      <c r="C340" s="17"/>
      <c r="D340" s="24"/>
      <c r="E340" s="24"/>
      <c r="F340" s="25"/>
      <c r="G340" s="1">
        <v>1075</v>
      </c>
      <c r="H340" s="2">
        <v>94.6</v>
      </c>
      <c r="I340" s="2">
        <v>-26</v>
      </c>
      <c r="J340" s="2">
        <v>-26.7</v>
      </c>
      <c r="K340" s="2">
        <f t="shared" si="43"/>
        <v>-26</v>
      </c>
      <c r="L340" s="8">
        <f t="shared" si="47"/>
        <v>8.7096358995608191E-13</v>
      </c>
      <c r="M340" s="26"/>
      <c r="N340" s="17"/>
      <c r="O340" s="9">
        <f t="shared" si="45"/>
        <v>-26.7</v>
      </c>
      <c r="P340" s="8">
        <f>D338/B338*10^(O340/10)</f>
        <v>8.3380521490587042E-2</v>
      </c>
      <c r="Q340" s="26"/>
      <c r="R340" s="17"/>
      <c r="S340" s="19"/>
      <c r="T340" s="17"/>
      <c r="U340" s="22"/>
    </row>
    <row r="341" spans="1:21" x14ac:dyDescent="0.25">
      <c r="A341" s="24"/>
      <c r="B341" s="24"/>
      <c r="C341" s="17"/>
      <c r="D341" s="24"/>
      <c r="E341" s="24"/>
      <c r="F341" s="25"/>
      <c r="G341" s="1">
        <v>1175</v>
      </c>
      <c r="H341" s="2">
        <v>97.8</v>
      </c>
      <c r="I341" s="2">
        <v>-23.8</v>
      </c>
      <c r="J341" s="2">
        <v>-26.6</v>
      </c>
      <c r="K341" s="2">
        <f t="shared" si="43"/>
        <v>-23.8</v>
      </c>
      <c r="L341" s="8">
        <f t="shared" si="47"/>
        <v>6.9183097091893335E-13</v>
      </c>
      <c r="M341" s="26"/>
      <c r="N341" s="17"/>
      <c r="O341" s="9">
        <f t="shared" si="45"/>
        <v>-26.6</v>
      </c>
      <c r="P341" s="8">
        <f>D338/B338*10^(O341/10)</f>
        <v>8.532270333403244E-2</v>
      </c>
      <c r="Q341" s="26"/>
      <c r="R341" s="17"/>
      <c r="S341" s="19"/>
      <c r="T341" s="17"/>
      <c r="U341" s="22"/>
    </row>
    <row r="342" spans="1:21" x14ac:dyDescent="0.25">
      <c r="A342" s="24"/>
      <c r="B342" s="24"/>
      <c r="C342" s="17"/>
      <c r="D342" s="24"/>
      <c r="E342" s="24"/>
      <c r="F342" s="25"/>
      <c r="G342" s="1">
        <v>1275</v>
      </c>
      <c r="H342" s="2">
        <v>100.1</v>
      </c>
      <c r="I342" s="2">
        <v>-21.6</v>
      </c>
      <c r="J342" s="2">
        <v>-31.1</v>
      </c>
      <c r="K342" s="2">
        <f t="shared" si="43"/>
        <v>-21.6</v>
      </c>
      <c r="L342" s="8">
        <f t="shared" si="47"/>
        <v>6.7608297539198353E-13</v>
      </c>
      <c r="M342" s="26"/>
      <c r="N342" s="17"/>
      <c r="O342" s="9">
        <f t="shared" si="45"/>
        <v>-31.1</v>
      </c>
      <c r="P342" s="8">
        <f>D338/B338*10^(O342/10)</f>
        <v>3.0273637548518934E-2</v>
      </c>
      <c r="Q342" s="26"/>
      <c r="R342" s="17"/>
      <c r="S342" s="19"/>
      <c r="T342" s="17"/>
      <c r="U342" s="22"/>
    </row>
    <row r="343" spans="1:21" x14ac:dyDescent="0.25">
      <c r="A343" s="24"/>
      <c r="B343" s="24"/>
      <c r="C343" s="17"/>
      <c r="D343" s="24"/>
      <c r="E343" s="24"/>
      <c r="F343" s="25"/>
      <c r="G343" s="1">
        <v>1375</v>
      </c>
      <c r="H343" s="2">
        <v>103</v>
      </c>
      <c r="I343" s="2">
        <v>-27.8</v>
      </c>
      <c r="J343" s="2">
        <v>-28.4</v>
      </c>
      <c r="K343" s="2">
        <f t="shared" si="43"/>
        <v>-27.8</v>
      </c>
      <c r="L343" s="8">
        <f t="shared" si="47"/>
        <v>8.3176377110266555E-14</v>
      </c>
      <c r="M343" s="26"/>
      <c r="N343" s="17"/>
      <c r="O343" s="9">
        <f t="shared" si="45"/>
        <v>-28.4</v>
      </c>
      <c r="P343" s="8">
        <f>D338/B338*10^(O343/10)</f>
        <v>5.6372151059091158E-2</v>
      </c>
      <c r="Q343" s="26"/>
      <c r="R343" s="17"/>
      <c r="S343" s="20"/>
      <c r="T343" s="17"/>
      <c r="U343" s="23"/>
    </row>
    <row r="344" spans="1:21" x14ac:dyDescent="0.25">
      <c r="A344" s="24">
        <v>2000</v>
      </c>
      <c r="B344" s="24">
        <v>3</v>
      </c>
      <c r="C344" s="17">
        <v>0.5</v>
      </c>
      <c r="D344" s="24">
        <v>234</v>
      </c>
      <c r="E344" s="24">
        <v>6</v>
      </c>
      <c r="F344" s="25">
        <v>68</v>
      </c>
      <c r="G344" s="1">
        <v>1425</v>
      </c>
      <c r="H344" s="2">
        <v>102.8</v>
      </c>
      <c r="I344" s="2">
        <v>-23.5</v>
      </c>
      <c r="J344" s="2">
        <v>-25.3</v>
      </c>
      <c r="K344" s="2">
        <f t="shared" si="43"/>
        <v>-23.5</v>
      </c>
      <c r="L344" s="8">
        <f t="shared" si="47"/>
        <v>2.3442288153199217E-13</v>
      </c>
      <c r="M344" s="26">
        <f>SUM(L344:L349)</f>
        <v>4.317598026390761E-12</v>
      </c>
      <c r="N344" s="17">
        <f>10*LOG10(M344/E344)</f>
        <v>-121.42909043845988</v>
      </c>
      <c r="O344" s="9">
        <f t="shared" si="45"/>
        <v>-25.3</v>
      </c>
      <c r="P344" s="8">
        <f>D344/B344*10^(O344/10)</f>
        <v>0.23019431967997794</v>
      </c>
      <c r="Q344" s="26">
        <f>SUM(P344:P349)</f>
        <v>0.98852657517642417</v>
      </c>
      <c r="R344" s="17">
        <f>10*LOG10(Q344)</f>
        <v>-5.0116507839586683E-2</v>
      </c>
      <c r="S344" s="18">
        <f>F344+N344-Kzt-H</f>
        <v>-53.42909043845988</v>
      </c>
      <c r="T344" s="17">
        <v>1</v>
      </c>
      <c r="U344" s="21">
        <f>T344*10^((S344-R344)/10)</f>
        <v>4.5930651633016497E-6</v>
      </c>
    </row>
    <row r="345" spans="1:21" x14ac:dyDescent="0.25">
      <c r="A345" s="24"/>
      <c r="B345" s="24"/>
      <c r="C345" s="17"/>
      <c r="D345" s="24"/>
      <c r="E345" s="24"/>
      <c r="F345" s="25"/>
      <c r="G345" s="1">
        <v>1625</v>
      </c>
      <c r="H345" s="2">
        <v>104.1</v>
      </c>
      <c r="I345" s="2">
        <v>-24.2</v>
      </c>
      <c r="J345" s="2">
        <v>-27.2</v>
      </c>
      <c r="K345" s="2">
        <f t="shared" si="43"/>
        <v>-24.2</v>
      </c>
      <c r="L345" s="8">
        <f t="shared" si="47"/>
        <v>1.47910838816821E-13</v>
      </c>
      <c r="M345" s="26"/>
      <c r="N345" s="17"/>
      <c r="O345" s="9">
        <f t="shared" si="45"/>
        <v>-27.2</v>
      </c>
      <c r="P345" s="8">
        <f>D344/B344*10^(O345/10)</f>
        <v>0.1486259360011333</v>
      </c>
      <c r="Q345" s="26"/>
      <c r="R345" s="17"/>
      <c r="S345" s="19"/>
      <c r="T345" s="17"/>
      <c r="U345" s="22"/>
    </row>
    <row r="346" spans="1:21" x14ac:dyDescent="0.25">
      <c r="A346" s="24"/>
      <c r="B346" s="24"/>
      <c r="C346" s="17"/>
      <c r="D346" s="24"/>
      <c r="E346" s="24"/>
      <c r="F346" s="25"/>
      <c r="G346" s="1">
        <v>1825</v>
      </c>
      <c r="H346" s="2">
        <v>107.6</v>
      </c>
      <c r="I346" s="2">
        <v>-23.8</v>
      </c>
      <c r="J346" s="2">
        <v>-28.4</v>
      </c>
      <c r="K346" s="2">
        <f t="shared" si="43"/>
        <v>-23.8</v>
      </c>
      <c r="L346" s="8">
        <f t="shared" si="47"/>
        <v>7.2443596007498585E-14</v>
      </c>
      <c r="M346" s="26"/>
      <c r="N346" s="17"/>
      <c r="O346" s="9">
        <f t="shared" si="45"/>
        <v>-28.4</v>
      </c>
      <c r="P346" s="8">
        <f>D344/B344*10^(O346/10)</f>
        <v>0.11274430211818232</v>
      </c>
      <c r="Q346" s="26"/>
      <c r="R346" s="17"/>
      <c r="S346" s="19"/>
      <c r="T346" s="17"/>
      <c r="U346" s="22"/>
    </row>
    <row r="347" spans="1:21" x14ac:dyDescent="0.25">
      <c r="A347" s="24"/>
      <c r="B347" s="24"/>
      <c r="C347" s="17"/>
      <c r="D347" s="24"/>
      <c r="E347" s="24"/>
      <c r="F347" s="25"/>
      <c r="G347" s="1">
        <v>2125</v>
      </c>
      <c r="H347" s="2">
        <v>104.2</v>
      </c>
      <c r="I347" s="2">
        <v>-23.6</v>
      </c>
      <c r="J347" s="2">
        <v>-28.2</v>
      </c>
      <c r="K347" s="2">
        <f t="shared" si="43"/>
        <v>-23.6</v>
      </c>
      <c r="L347" s="8">
        <f t="shared" si="47"/>
        <v>1.659586907437551E-13</v>
      </c>
      <c r="M347" s="26"/>
      <c r="N347" s="17"/>
      <c r="O347" s="9">
        <f t="shared" si="45"/>
        <v>-28.2</v>
      </c>
      <c r="P347" s="8">
        <f>D344/B344*10^(O347/10)</f>
        <v>0.11805777737802417</v>
      </c>
      <c r="Q347" s="26"/>
      <c r="R347" s="17"/>
      <c r="S347" s="19"/>
      <c r="T347" s="17"/>
      <c r="U347" s="22"/>
    </row>
    <row r="348" spans="1:21" x14ac:dyDescent="0.25">
      <c r="A348" s="24"/>
      <c r="B348" s="24"/>
      <c r="C348" s="17"/>
      <c r="D348" s="24"/>
      <c r="E348" s="24"/>
      <c r="F348" s="25"/>
      <c r="G348" s="1">
        <v>2425</v>
      </c>
      <c r="H348" s="2">
        <v>93.7</v>
      </c>
      <c r="I348" s="2">
        <v>-21.7</v>
      </c>
      <c r="J348" s="2">
        <v>-24.9</v>
      </c>
      <c r="K348" s="2">
        <f t="shared" si="43"/>
        <v>-21.7</v>
      </c>
      <c r="L348" s="8">
        <f t="shared" si="47"/>
        <v>2.8840315031265959E-12</v>
      </c>
      <c r="M348" s="26"/>
      <c r="N348" s="17"/>
      <c r="O348" s="9">
        <f t="shared" si="45"/>
        <v>-24.9</v>
      </c>
      <c r="P348" s="8">
        <f>D344/B344*10^(O348/10)</f>
        <v>0.25240305240511002</v>
      </c>
      <c r="Q348" s="26"/>
      <c r="R348" s="17"/>
      <c r="S348" s="19"/>
      <c r="T348" s="17"/>
      <c r="U348" s="22"/>
    </row>
    <row r="349" spans="1:21" x14ac:dyDescent="0.25">
      <c r="A349" s="24"/>
      <c r="B349" s="24"/>
      <c r="C349" s="17"/>
      <c r="D349" s="24"/>
      <c r="E349" s="24"/>
      <c r="F349" s="25"/>
      <c r="G349" s="1">
        <v>2775</v>
      </c>
      <c r="H349" s="2">
        <v>100.2</v>
      </c>
      <c r="I349" s="2">
        <v>-20.7</v>
      </c>
      <c r="J349" s="2">
        <v>-27.9</v>
      </c>
      <c r="K349" s="2">
        <f t="shared" si="43"/>
        <v>-20.7</v>
      </c>
      <c r="L349" s="8">
        <f t="shared" si="47"/>
        <v>8.1283051616409777E-13</v>
      </c>
      <c r="M349" s="26"/>
      <c r="N349" s="17"/>
      <c r="O349" s="9">
        <f t="shared" si="45"/>
        <v>-27.9</v>
      </c>
      <c r="P349" s="8">
        <f>D344/B344*10^(O349/10)</f>
        <v>0.12650118759399642</v>
      </c>
      <c r="Q349" s="26"/>
      <c r="R349" s="17"/>
      <c r="S349" s="20"/>
      <c r="T349" s="17"/>
      <c r="U349" s="23"/>
    </row>
    <row r="350" spans="1:21" x14ac:dyDescent="0.25">
      <c r="A350" s="24">
        <v>4000</v>
      </c>
      <c r="B350" s="24">
        <v>3</v>
      </c>
      <c r="C350" s="17">
        <v>0.5</v>
      </c>
      <c r="D350" s="24">
        <v>470</v>
      </c>
      <c r="E350" s="24">
        <v>6</v>
      </c>
      <c r="F350" s="25">
        <v>62</v>
      </c>
      <c r="G350" s="1">
        <v>2825</v>
      </c>
      <c r="H350" s="2">
        <v>99.4</v>
      </c>
      <c r="I350" s="2">
        <v>-21.2</v>
      </c>
      <c r="J350" s="2">
        <v>-25</v>
      </c>
      <c r="K350" s="2">
        <f t="shared" si="43"/>
        <v>-21.2</v>
      </c>
      <c r="L350" s="8">
        <f t="shared" si="47"/>
        <v>8.7096358995607888E-13</v>
      </c>
      <c r="M350" s="26">
        <f>SUM(L350:L355)</f>
        <v>2.3267141254473947E-12</v>
      </c>
      <c r="N350" s="17">
        <f>10*LOG10(M350/E350)</f>
        <v>-124.11408223937288</v>
      </c>
      <c r="O350" s="9">
        <f t="shared" si="45"/>
        <v>-25</v>
      </c>
      <c r="P350" s="8">
        <f>D350/B350*10^(O350/10)</f>
        <v>0.49542350009304559</v>
      </c>
      <c r="Q350" s="26">
        <f>SUM(P350:P355)</f>
        <v>2.3318921039598504</v>
      </c>
      <c r="R350" s="17">
        <f>10*LOG10(Q350)</f>
        <v>3.6770845185931424</v>
      </c>
      <c r="S350" s="18">
        <f>F350+N350-Kzt-H</f>
        <v>-62.114082239372877</v>
      </c>
      <c r="T350" s="17">
        <v>0.9</v>
      </c>
      <c r="U350" s="21">
        <f>T350*10^((S350-R350)/10)</f>
        <v>2.3720608933595213E-7</v>
      </c>
    </row>
    <row r="351" spans="1:21" x14ac:dyDescent="0.25">
      <c r="A351" s="24"/>
      <c r="B351" s="24"/>
      <c r="C351" s="17"/>
      <c r="D351" s="24"/>
      <c r="E351" s="24"/>
      <c r="F351" s="25"/>
      <c r="G351" s="1">
        <v>3425</v>
      </c>
      <c r="H351" s="2">
        <v>103.5</v>
      </c>
      <c r="I351" s="2">
        <v>-26.4</v>
      </c>
      <c r="J351" s="2">
        <v>-27.9</v>
      </c>
      <c r="K351" s="2">
        <f t="shared" si="43"/>
        <v>-26.4</v>
      </c>
      <c r="L351" s="8">
        <f t="shared" si="47"/>
        <v>1.0232929922807502E-13</v>
      </c>
      <c r="M351" s="26"/>
      <c r="N351" s="17"/>
      <c r="O351" s="9">
        <f t="shared" si="45"/>
        <v>-27.9</v>
      </c>
      <c r="P351" s="8">
        <f>D350/B350*10^(O351/10)</f>
        <v>0.25408358191956543</v>
      </c>
      <c r="Q351" s="26"/>
      <c r="R351" s="17"/>
      <c r="S351" s="19"/>
      <c r="T351" s="17"/>
      <c r="U351" s="22"/>
    </row>
    <row r="352" spans="1:21" x14ac:dyDescent="0.25">
      <c r="A352" s="24"/>
      <c r="B352" s="24"/>
      <c r="C352" s="17"/>
      <c r="D352" s="24"/>
      <c r="E352" s="24"/>
      <c r="F352" s="25"/>
      <c r="G352" s="1">
        <v>4025</v>
      </c>
      <c r="H352" s="2">
        <v>103.6</v>
      </c>
      <c r="I352" s="2">
        <v>-19.899999999999999</v>
      </c>
      <c r="J352" s="2">
        <v>-27.4</v>
      </c>
      <c r="K352" s="2">
        <f t="shared" si="43"/>
        <v>-19.899999999999999</v>
      </c>
      <c r="L352" s="8">
        <f t="shared" si="47"/>
        <v>4.4668359215096191E-13</v>
      </c>
      <c r="M352" s="26"/>
      <c r="N352" s="17"/>
      <c r="O352" s="9">
        <f t="shared" si="45"/>
        <v>-27.4</v>
      </c>
      <c r="P352" s="8">
        <f>D350/B350*10^(O352/10)</f>
        <v>0.28508646784889724</v>
      </c>
      <c r="Q352" s="26"/>
      <c r="R352" s="17"/>
      <c r="S352" s="19"/>
      <c r="T352" s="17"/>
      <c r="U352" s="22"/>
    </row>
    <row r="353" spans="1:21" x14ac:dyDescent="0.25">
      <c r="A353" s="24"/>
      <c r="B353" s="24"/>
      <c r="C353" s="17"/>
      <c r="D353" s="24"/>
      <c r="E353" s="24"/>
      <c r="F353" s="25"/>
      <c r="G353" s="1">
        <v>4625</v>
      </c>
      <c r="H353" s="2">
        <v>105.6</v>
      </c>
      <c r="I353" s="2">
        <v>-22.8</v>
      </c>
      <c r="J353" s="2">
        <v>-24.4</v>
      </c>
      <c r="K353" s="2">
        <f t="shared" si="43"/>
        <v>-22.8</v>
      </c>
      <c r="L353" s="8">
        <f t="shared" si="47"/>
        <v>1.4454397707459251E-13</v>
      </c>
      <c r="M353" s="26"/>
      <c r="N353" s="17"/>
      <c r="O353" s="9">
        <f t="shared" si="45"/>
        <v>-24.4</v>
      </c>
      <c r="P353" s="8">
        <f>D350/B350*10^(O353/10)</f>
        <v>0.56882228580649163</v>
      </c>
      <c r="Q353" s="26"/>
      <c r="R353" s="17"/>
      <c r="S353" s="19"/>
      <c r="T353" s="17"/>
      <c r="U353" s="22"/>
    </row>
    <row r="354" spans="1:21" x14ac:dyDescent="0.25">
      <c r="A354" s="24"/>
      <c r="B354" s="24"/>
      <c r="C354" s="17"/>
      <c r="D354" s="24"/>
      <c r="E354" s="24"/>
      <c r="F354" s="25"/>
      <c r="G354" s="1">
        <v>5225</v>
      </c>
      <c r="H354" s="2">
        <v>103.5</v>
      </c>
      <c r="I354" s="2">
        <v>-21</v>
      </c>
      <c r="J354" s="2">
        <v>-26.7</v>
      </c>
      <c r="K354" s="2">
        <f t="shared" si="43"/>
        <v>-21</v>
      </c>
      <c r="L354" s="8">
        <f t="shared" si="47"/>
        <v>3.5481338923357479E-13</v>
      </c>
      <c r="M354" s="26"/>
      <c r="N354" s="17"/>
      <c r="O354" s="9">
        <f t="shared" si="45"/>
        <v>-26.7</v>
      </c>
      <c r="P354" s="8">
        <f>D350/B350*10^(O354/10)</f>
        <v>0.33494739402201629</v>
      </c>
      <c r="Q354" s="26"/>
      <c r="R354" s="17"/>
      <c r="S354" s="19"/>
      <c r="T354" s="17"/>
      <c r="U354" s="22"/>
    </row>
    <row r="355" spans="1:21" x14ac:dyDescent="0.25">
      <c r="A355" s="24"/>
      <c r="B355" s="24"/>
      <c r="C355" s="17"/>
      <c r="D355" s="24"/>
      <c r="E355" s="24"/>
      <c r="F355" s="25"/>
      <c r="G355" s="1">
        <v>5625</v>
      </c>
      <c r="H355" s="2">
        <v>99.5</v>
      </c>
      <c r="I355" s="2">
        <v>-24.4</v>
      </c>
      <c r="J355" s="2">
        <v>-26</v>
      </c>
      <c r="K355" s="2">
        <f t="shared" si="43"/>
        <v>-24.4</v>
      </c>
      <c r="L355" s="8">
        <f t="shared" si="47"/>
        <v>4.0738027780411177E-13</v>
      </c>
      <c r="M355" s="26"/>
      <c r="N355" s="17"/>
      <c r="O355" s="9">
        <f t="shared" si="45"/>
        <v>-26</v>
      </c>
      <c r="P355" s="8">
        <f>D350/B350*10^(O355/10)</f>
        <v>0.39352887426983379</v>
      </c>
      <c r="Q355" s="26"/>
      <c r="R355" s="17"/>
      <c r="S355" s="20"/>
      <c r="T355" s="17"/>
      <c r="U355" s="23"/>
    </row>
    <row r="356" spans="1:21" x14ac:dyDescent="0.25">
      <c r="A356" s="24">
        <v>8000</v>
      </c>
      <c r="B356" s="24">
        <v>3</v>
      </c>
      <c r="C356" s="17">
        <v>0.5</v>
      </c>
      <c r="D356" s="24">
        <v>943</v>
      </c>
      <c r="E356" s="24">
        <v>6</v>
      </c>
      <c r="F356" s="25">
        <v>54</v>
      </c>
      <c r="G356" s="1">
        <v>6025</v>
      </c>
      <c r="H356" s="2">
        <v>95</v>
      </c>
      <c r="I356" s="2">
        <v>-20.399999999999999</v>
      </c>
      <c r="J356" s="2">
        <v>-27.8</v>
      </c>
      <c r="K356" s="2">
        <f t="shared" si="43"/>
        <v>-20.399999999999999</v>
      </c>
      <c r="L356" s="8">
        <f t="shared" si="47"/>
        <v>2.8840315031265959E-12</v>
      </c>
      <c r="M356" s="26">
        <f>SUM(L356:L361)</f>
        <v>1.921211307674548E-11</v>
      </c>
      <c r="N356" s="17">
        <f>10*LOG10(M356/E356)</f>
        <v>-114.94576116281904</v>
      </c>
      <c r="O356" s="9">
        <f t="shared" si="45"/>
        <v>-27.8</v>
      </c>
      <c r="P356" s="8">
        <f>D356/B356*10^(O356/10)</f>
        <v>0.52166348457120604</v>
      </c>
      <c r="Q356" s="26">
        <f>SUM(P356:P361)</f>
        <v>4.0476143028297207</v>
      </c>
      <c r="R356" s="17">
        <f>10*LOG10(Q356)</f>
        <v>6.0719912188181304</v>
      </c>
      <c r="S356" s="18">
        <f>F356+N356-Kzt-H</f>
        <v>-60.945761162819039</v>
      </c>
      <c r="T356" s="17">
        <v>0.7</v>
      </c>
      <c r="U356" s="21">
        <f>T356*10^((S356-R356)/10)</f>
        <v>1.3909861374825426E-7</v>
      </c>
    </row>
    <row r="357" spans="1:21" x14ac:dyDescent="0.25">
      <c r="A357" s="24"/>
      <c r="B357" s="24"/>
      <c r="C357" s="17"/>
      <c r="D357" s="24"/>
      <c r="E357" s="24"/>
      <c r="F357" s="25"/>
      <c r="G357" s="1">
        <v>7025</v>
      </c>
      <c r="H357" s="2">
        <v>94.8</v>
      </c>
      <c r="I357" s="2">
        <v>-25</v>
      </c>
      <c r="J357" s="2">
        <v>-25.3</v>
      </c>
      <c r="K357" s="2">
        <f t="shared" si="43"/>
        <v>-25</v>
      </c>
      <c r="L357" s="8">
        <f t="shared" si="47"/>
        <v>1.0471285480508967E-12</v>
      </c>
      <c r="M357" s="26"/>
      <c r="N357" s="17"/>
      <c r="O357" s="9">
        <f t="shared" si="45"/>
        <v>-25.3</v>
      </c>
      <c r="P357" s="8">
        <f>D356/B356*10^(O357/10)</f>
        <v>0.92766343358213321</v>
      </c>
      <c r="Q357" s="26"/>
      <c r="R357" s="17"/>
      <c r="S357" s="19"/>
      <c r="T357" s="17"/>
      <c r="U357" s="22"/>
    </row>
    <row r="358" spans="1:21" x14ac:dyDescent="0.25">
      <c r="A358" s="24"/>
      <c r="B358" s="24"/>
      <c r="C358" s="17"/>
      <c r="D358" s="24"/>
      <c r="E358" s="24"/>
      <c r="F358" s="25"/>
      <c r="G358" s="1">
        <v>8025</v>
      </c>
      <c r="H358" s="2">
        <v>101.9</v>
      </c>
      <c r="I358" s="2">
        <v>-24.2</v>
      </c>
      <c r="J358" s="2">
        <v>-29.5</v>
      </c>
      <c r="K358" s="2">
        <f t="shared" si="43"/>
        <v>-24.2</v>
      </c>
      <c r="L358" s="8">
        <f t="shared" si="47"/>
        <v>2.454708915685021E-13</v>
      </c>
      <c r="M358" s="26"/>
      <c r="N358" s="17"/>
      <c r="O358" s="9">
        <f t="shared" si="45"/>
        <v>-29.5</v>
      </c>
      <c r="P358" s="8">
        <f>D356/B356*10^(O358/10)</f>
        <v>0.3526878008022501</v>
      </c>
      <c r="Q358" s="26"/>
      <c r="R358" s="17"/>
      <c r="S358" s="19"/>
      <c r="T358" s="17"/>
      <c r="U358" s="22"/>
    </row>
    <row r="359" spans="1:21" x14ac:dyDescent="0.25">
      <c r="A359" s="24"/>
      <c r="B359" s="24"/>
      <c r="C359" s="17"/>
      <c r="D359" s="24"/>
      <c r="E359" s="24"/>
      <c r="F359" s="25"/>
      <c r="G359" s="1">
        <v>9025</v>
      </c>
      <c r="H359" s="2">
        <v>93.2</v>
      </c>
      <c r="I359" s="2">
        <v>-24.400000000000002</v>
      </c>
      <c r="J359" s="2">
        <v>-25.6</v>
      </c>
      <c r="K359" s="2">
        <f t="shared" si="43"/>
        <v>-24.400000000000002</v>
      </c>
      <c r="L359" s="8">
        <f t="shared" si="47"/>
        <v>1.7378008287493668E-12</v>
      </c>
      <c r="M359" s="26"/>
      <c r="N359" s="17"/>
      <c r="O359" s="9">
        <f t="shared" si="45"/>
        <v>-25.6</v>
      </c>
      <c r="P359" s="8">
        <f>D356/B356*10^(O359/10)</f>
        <v>0.86574588908262984</v>
      </c>
      <c r="Q359" s="26"/>
      <c r="R359" s="17"/>
      <c r="S359" s="19"/>
      <c r="T359" s="17"/>
      <c r="U359" s="22"/>
    </row>
    <row r="360" spans="1:21" x14ac:dyDescent="0.25">
      <c r="A360" s="24"/>
      <c r="B360" s="24"/>
      <c r="C360" s="17"/>
      <c r="D360" s="24"/>
      <c r="E360" s="24"/>
      <c r="F360" s="25"/>
      <c r="G360" s="1">
        <v>10025</v>
      </c>
      <c r="H360" s="2">
        <v>88.3</v>
      </c>
      <c r="I360" s="2">
        <v>-24.9</v>
      </c>
      <c r="J360" s="2">
        <v>-25.7</v>
      </c>
      <c r="K360" s="2">
        <f t="shared" si="43"/>
        <v>-24.9</v>
      </c>
      <c r="L360" s="8">
        <f t="shared" si="47"/>
        <v>4.7863009232263907E-12</v>
      </c>
      <c r="M360" s="26"/>
      <c r="N360" s="17"/>
      <c r="O360" s="9">
        <f t="shared" si="45"/>
        <v>-25.7</v>
      </c>
      <c r="P360" s="8">
        <f>D356/B356*10^(O360/10)</f>
        <v>0.84603910670102689</v>
      </c>
      <c r="Q360" s="26"/>
      <c r="R360" s="17"/>
      <c r="S360" s="19"/>
      <c r="T360" s="17"/>
      <c r="U360" s="22"/>
    </row>
    <row r="361" spans="1:21" x14ac:dyDescent="0.25">
      <c r="A361" s="24"/>
      <c r="B361" s="24"/>
      <c r="C361" s="17"/>
      <c r="D361" s="24"/>
      <c r="E361" s="24"/>
      <c r="F361" s="25"/>
      <c r="G361" s="1">
        <v>11025</v>
      </c>
      <c r="H361" s="2">
        <v>86</v>
      </c>
      <c r="I361" s="2">
        <v>-24.7</v>
      </c>
      <c r="J361" s="2">
        <v>-27.7</v>
      </c>
      <c r="K361" s="2">
        <f t="shared" si="43"/>
        <v>-24.7</v>
      </c>
      <c r="L361" s="8">
        <f t="shared" si="47"/>
        <v>8.5113803820237273E-12</v>
      </c>
      <c r="M361" s="26"/>
      <c r="N361" s="17"/>
      <c r="O361" s="9">
        <f t="shared" si="45"/>
        <v>-27.7</v>
      </c>
      <c r="P361" s="8">
        <f>D356/B356*10^(O361/10)</f>
        <v>0.53381458809047433</v>
      </c>
      <c r="Q361" s="26"/>
      <c r="R361" s="17"/>
      <c r="S361" s="20"/>
      <c r="T361" s="17"/>
      <c r="U361" s="23"/>
    </row>
    <row r="362" spans="1:21" x14ac:dyDescent="0.25">
      <c r="A362" s="24" t="s">
        <v>20</v>
      </c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12">
        <f>U362</f>
        <v>6.6909324918327781E-2</v>
      </c>
      <c r="T362" s="2"/>
      <c r="U362" s="8">
        <f>0.8*SQRT(SUM(U328:U361))</f>
        <v>6.6909324918327781E-2</v>
      </c>
    </row>
    <row r="363" spans="1:21" x14ac:dyDescent="0.25">
      <c r="A363" s="27" t="s">
        <v>102</v>
      </c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9"/>
    </row>
    <row r="364" spans="1:21" x14ac:dyDescent="0.25">
      <c r="A364" s="24">
        <v>250</v>
      </c>
      <c r="B364" s="24">
        <v>3</v>
      </c>
      <c r="C364" s="17">
        <v>0.5</v>
      </c>
      <c r="D364" s="24">
        <v>38</v>
      </c>
      <c r="E364" s="24">
        <v>4</v>
      </c>
      <c r="F364" s="25">
        <v>84</v>
      </c>
      <c r="G364" s="1">
        <v>175</v>
      </c>
      <c r="H364" s="2">
        <v>84.8</v>
      </c>
      <c r="I364" s="2">
        <v>-22.7</v>
      </c>
      <c r="J364" s="2">
        <v>-26.2</v>
      </c>
      <c r="K364" s="2">
        <f>I364</f>
        <v>-22.7</v>
      </c>
      <c r="L364" s="8">
        <f>10^((K364-H364)/10)</f>
        <v>1.7782794100389159E-11</v>
      </c>
      <c r="M364" s="26">
        <f>SUM(L364:L367)</f>
        <v>3.4333846029298462E-11</v>
      </c>
      <c r="N364" s="17">
        <f>10*LOG10(M364/E364)</f>
        <v>-110.66337536118198</v>
      </c>
      <c r="O364" s="9">
        <f>J364</f>
        <v>-26.2</v>
      </c>
      <c r="P364" s="8">
        <f>D364/B364*10^(O364/10)</f>
        <v>3.0385216974246853E-2</v>
      </c>
      <c r="Q364" s="26">
        <f>SUM(P364:P367)</f>
        <v>9.9856569991448291E-2</v>
      </c>
      <c r="R364" s="17">
        <f>10*LOG10(Q364)</f>
        <v>-10.006233557590843</v>
      </c>
      <c r="S364" s="18">
        <f>F364+N364-Kzt-H</f>
        <v>-26.663375361181977</v>
      </c>
      <c r="T364" s="17">
        <v>0.2</v>
      </c>
      <c r="U364" s="21">
        <f>T364*10^((S364-R364)/10)</f>
        <v>4.3183298800429318E-3</v>
      </c>
    </row>
    <row r="365" spans="1:21" x14ac:dyDescent="0.25">
      <c r="A365" s="24"/>
      <c r="B365" s="24"/>
      <c r="C365" s="17"/>
      <c r="D365" s="24"/>
      <c r="E365" s="24"/>
      <c r="F365" s="25"/>
      <c r="G365" s="1">
        <v>225</v>
      </c>
      <c r="H365" s="2">
        <v>90</v>
      </c>
      <c r="I365" s="2">
        <v>-20.100000000000001</v>
      </c>
      <c r="J365" s="2">
        <v>-26.8</v>
      </c>
      <c r="K365" s="2">
        <f t="shared" ref="K365:K397" si="48">I365</f>
        <v>-20.100000000000001</v>
      </c>
      <c r="L365" s="8">
        <f t="shared" ref="L365:L366" si="49">10^((K365-H365)/10)</f>
        <v>9.7723722095580929E-12</v>
      </c>
      <c r="M365" s="26"/>
      <c r="N365" s="17"/>
      <c r="O365" s="9">
        <f t="shared" ref="O365:O397" si="50">J365</f>
        <v>-26.8</v>
      </c>
      <c r="P365" s="8">
        <f>D364/B364*10^(O365/10)</f>
        <v>2.646441765748447E-2</v>
      </c>
      <c r="Q365" s="26"/>
      <c r="R365" s="17"/>
      <c r="S365" s="19"/>
      <c r="T365" s="17"/>
      <c r="U365" s="22"/>
    </row>
    <row r="366" spans="1:21" x14ac:dyDescent="0.25">
      <c r="A366" s="24"/>
      <c r="B366" s="24"/>
      <c r="C366" s="17"/>
      <c r="D366" s="24"/>
      <c r="E366" s="24"/>
      <c r="F366" s="25"/>
      <c r="G366" s="1">
        <v>275</v>
      </c>
      <c r="H366" s="2">
        <v>92.2</v>
      </c>
      <c r="I366" s="2">
        <v>-22.4</v>
      </c>
      <c r="J366" s="2">
        <v>-27.1</v>
      </c>
      <c r="K366" s="2">
        <f t="shared" si="48"/>
        <v>-22.4</v>
      </c>
      <c r="L366" s="8">
        <f t="shared" si="49"/>
        <v>3.4673685045253144E-12</v>
      </c>
      <c r="M366" s="26"/>
      <c r="N366" s="17"/>
      <c r="O366" s="9">
        <f t="shared" si="50"/>
        <v>-27.1</v>
      </c>
      <c r="P366" s="8">
        <f>D364/B364*10^(O366/10)</f>
        <v>2.4698031596935222E-2</v>
      </c>
      <c r="Q366" s="26"/>
      <c r="R366" s="17"/>
      <c r="S366" s="19"/>
      <c r="T366" s="17"/>
      <c r="U366" s="22"/>
    </row>
    <row r="367" spans="1:21" x14ac:dyDescent="0.25">
      <c r="A367" s="24"/>
      <c r="B367" s="24"/>
      <c r="C367" s="17"/>
      <c r="D367" s="24"/>
      <c r="E367" s="24"/>
      <c r="F367" s="25"/>
      <c r="G367" s="1">
        <v>325</v>
      </c>
      <c r="H367" s="2">
        <v>93.3</v>
      </c>
      <c r="I367" s="2">
        <v>-21.5</v>
      </c>
      <c r="J367" s="2">
        <v>-28.4</v>
      </c>
      <c r="K367" s="2">
        <f t="shared" si="48"/>
        <v>-21.5</v>
      </c>
      <c r="L367" s="8">
        <f>10^((K367-H367)/10)</f>
        <v>3.3113112148258976E-12</v>
      </c>
      <c r="M367" s="26"/>
      <c r="N367" s="17"/>
      <c r="O367" s="9">
        <f t="shared" si="50"/>
        <v>-28.4</v>
      </c>
      <c r="P367" s="8">
        <f>D364/B364*10^(O367/10)</f>
        <v>1.8308903762781742E-2</v>
      </c>
      <c r="Q367" s="26"/>
      <c r="R367" s="17"/>
      <c r="S367" s="20"/>
      <c r="T367" s="17"/>
      <c r="U367" s="23"/>
    </row>
    <row r="368" spans="1:21" x14ac:dyDescent="0.25">
      <c r="A368" s="24">
        <v>500</v>
      </c>
      <c r="B368" s="24">
        <v>3</v>
      </c>
      <c r="C368" s="17">
        <v>0.5</v>
      </c>
      <c r="D368" s="24">
        <v>59</v>
      </c>
      <c r="E368" s="24">
        <v>6</v>
      </c>
      <c r="F368" s="25">
        <v>84</v>
      </c>
      <c r="G368" s="1">
        <v>375</v>
      </c>
      <c r="H368" s="2">
        <v>91.9</v>
      </c>
      <c r="I368" s="2">
        <v>-23.1</v>
      </c>
      <c r="J368" s="2">
        <v>-27.3</v>
      </c>
      <c r="K368" s="2">
        <f t="shared" si="48"/>
        <v>-23.1</v>
      </c>
      <c r="L368" s="8">
        <f t="shared" ref="L368:L369" si="51">10^((K368-H368)/10)</f>
        <v>3.1622776601683669E-12</v>
      </c>
      <c r="M368" s="26">
        <f>SUM(L368:L373)</f>
        <v>1.8618496949821503E-11</v>
      </c>
      <c r="N368" s="17">
        <f>10*LOG10(M368/E368)</f>
        <v>-115.08206632425022</v>
      </c>
      <c r="O368" s="9">
        <f t="shared" si="50"/>
        <v>-27.3</v>
      </c>
      <c r="P368" s="8">
        <f>D368/B368*10^(O368/10)</f>
        <v>3.6621047021036378E-2</v>
      </c>
      <c r="Q368" s="26">
        <f>SUM(P368:P373)</f>
        <v>0.23617252226071531</v>
      </c>
      <c r="R368" s="17">
        <f>10*LOG10(Q368)</f>
        <v>-6.2677063222937672</v>
      </c>
      <c r="S368" s="18">
        <f>F368+N368-Kzt-H</f>
        <v>-31.082066324250221</v>
      </c>
      <c r="T368" s="17">
        <v>0.5</v>
      </c>
      <c r="U368" s="21">
        <f>T368*10^((S368-R368)/10)</f>
        <v>1.6501902019085389E-3</v>
      </c>
    </row>
    <row r="369" spans="1:21" x14ac:dyDescent="0.25">
      <c r="A369" s="24"/>
      <c r="B369" s="24"/>
      <c r="C369" s="17"/>
      <c r="D369" s="24"/>
      <c r="E369" s="24"/>
      <c r="F369" s="25"/>
      <c r="G369" s="1">
        <v>425</v>
      </c>
      <c r="H369" s="2">
        <v>88.1</v>
      </c>
      <c r="I369" s="2">
        <v>-24.4</v>
      </c>
      <c r="J369" s="2">
        <v>-27.1</v>
      </c>
      <c r="K369" s="2">
        <f t="shared" si="48"/>
        <v>-24.4</v>
      </c>
      <c r="L369" s="8">
        <f t="shared" si="51"/>
        <v>5.6234132519034759E-12</v>
      </c>
      <c r="M369" s="26"/>
      <c r="N369" s="17"/>
      <c r="O369" s="9">
        <f t="shared" si="50"/>
        <v>-27.1</v>
      </c>
      <c r="P369" s="8">
        <f>D368/B368*10^(O369/10)</f>
        <v>3.8346943795241534E-2</v>
      </c>
      <c r="Q369" s="26"/>
      <c r="R369" s="17"/>
      <c r="S369" s="19"/>
      <c r="T369" s="17"/>
      <c r="U369" s="22"/>
    </row>
    <row r="370" spans="1:21" x14ac:dyDescent="0.25">
      <c r="A370" s="24"/>
      <c r="B370" s="24"/>
      <c r="C370" s="17"/>
      <c r="D370" s="24"/>
      <c r="E370" s="24"/>
      <c r="F370" s="25"/>
      <c r="G370" s="1">
        <v>475</v>
      </c>
      <c r="H370" s="2">
        <v>90</v>
      </c>
      <c r="I370" s="2">
        <v>-25.400000000000002</v>
      </c>
      <c r="J370" s="2">
        <v>-26.3</v>
      </c>
      <c r="K370" s="2">
        <f t="shared" si="48"/>
        <v>-25.400000000000002</v>
      </c>
      <c r="L370" s="8">
        <f>10^((K370-H370)/10)</f>
        <v>2.8840315031265959E-12</v>
      </c>
      <c r="M370" s="26"/>
      <c r="N370" s="17"/>
      <c r="O370" s="9">
        <f t="shared" si="50"/>
        <v>-26.3</v>
      </c>
      <c r="P370" s="8">
        <f>D368/B368*10^(O370/10)</f>
        <v>4.6103166701291769E-2</v>
      </c>
      <c r="Q370" s="26"/>
      <c r="R370" s="17"/>
      <c r="S370" s="19"/>
      <c r="T370" s="17"/>
      <c r="U370" s="22"/>
    </row>
    <row r="371" spans="1:21" x14ac:dyDescent="0.25">
      <c r="A371" s="24"/>
      <c r="B371" s="24"/>
      <c r="C371" s="17"/>
      <c r="D371" s="24"/>
      <c r="E371" s="24"/>
      <c r="F371" s="25"/>
      <c r="G371" s="1">
        <v>575</v>
      </c>
      <c r="H371" s="2">
        <v>97</v>
      </c>
      <c r="I371" s="2">
        <v>-23.7</v>
      </c>
      <c r="J371" s="2">
        <v>-27</v>
      </c>
      <c r="K371" s="2">
        <f t="shared" si="48"/>
        <v>-23.7</v>
      </c>
      <c r="L371" s="8">
        <f t="shared" ref="L371:L397" si="52">10^((K371-H371)/10)</f>
        <v>8.5113803820237492E-13</v>
      </c>
      <c r="M371" s="26"/>
      <c r="N371" s="17"/>
      <c r="O371" s="9">
        <f t="shared" si="50"/>
        <v>-27</v>
      </c>
      <c r="P371" s="8">
        <f>D368/B368*10^(O371/10)</f>
        <v>3.9240158861054607E-2</v>
      </c>
      <c r="Q371" s="26"/>
      <c r="R371" s="17"/>
      <c r="S371" s="19"/>
      <c r="T371" s="17"/>
      <c r="U371" s="22"/>
    </row>
    <row r="372" spans="1:21" x14ac:dyDescent="0.25">
      <c r="A372" s="24"/>
      <c r="B372" s="24"/>
      <c r="C372" s="17"/>
      <c r="D372" s="24"/>
      <c r="E372" s="24"/>
      <c r="F372" s="25"/>
      <c r="G372" s="1">
        <v>625</v>
      </c>
      <c r="H372" s="2">
        <v>92</v>
      </c>
      <c r="I372" s="2">
        <v>-22.6</v>
      </c>
      <c r="J372" s="2">
        <v>-27</v>
      </c>
      <c r="K372" s="2">
        <f t="shared" si="48"/>
        <v>-22.6</v>
      </c>
      <c r="L372" s="8">
        <f t="shared" si="52"/>
        <v>3.4673685045253144E-12</v>
      </c>
      <c r="M372" s="26"/>
      <c r="N372" s="17"/>
      <c r="O372" s="9">
        <f t="shared" si="50"/>
        <v>-27</v>
      </c>
      <c r="P372" s="8">
        <f>D368/B368*10^(O372/10)</f>
        <v>3.9240158861054607E-2</v>
      </c>
      <c r="Q372" s="26"/>
      <c r="R372" s="17"/>
      <c r="S372" s="19"/>
      <c r="T372" s="17"/>
      <c r="U372" s="22"/>
    </row>
    <row r="373" spans="1:21" x14ac:dyDescent="0.25">
      <c r="A373" s="24"/>
      <c r="B373" s="24"/>
      <c r="C373" s="17"/>
      <c r="D373" s="24"/>
      <c r="E373" s="24"/>
      <c r="F373" s="25"/>
      <c r="G373" s="1">
        <v>675</v>
      </c>
      <c r="H373" s="2">
        <v>94.5</v>
      </c>
      <c r="I373" s="2">
        <v>-21.3</v>
      </c>
      <c r="J373" s="2">
        <v>-27.3</v>
      </c>
      <c r="K373" s="2">
        <f t="shared" si="48"/>
        <v>-21.3</v>
      </c>
      <c r="L373" s="8">
        <f t="shared" si="52"/>
        <v>2.6302679918953739E-12</v>
      </c>
      <c r="M373" s="26"/>
      <c r="N373" s="17"/>
      <c r="O373" s="9">
        <f t="shared" si="50"/>
        <v>-27.3</v>
      </c>
      <c r="P373" s="8">
        <f>D368/B368*10^(O373/10)</f>
        <v>3.6621047021036378E-2</v>
      </c>
      <c r="Q373" s="26"/>
      <c r="R373" s="17"/>
      <c r="S373" s="20"/>
      <c r="T373" s="17"/>
      <c r="U373" s="23"/>
    </row>
    <row r="374" spans="1:21" x14ac:dyDescent="0.25">
      <c r="A374" s="24">
        <v>1000</v>
      </c>
      <c r="B374" s="24">
        <v>3</v>
      </c>
      <c r="C374" s="17">
        <v>0.5</v>
      </c>
      <c r="D374" s="24">
        <v>117</v>
      </c>
      <c r="E374" s="24">
        <v>6</v>
      </c>
      <c r="F374" s="25">
        <v>76</v>
      </c>
      <c r="G374" s="1">
        <v>875</v>
      </c>
      <c r="H374" s="2">
        <v>91.1</v>
      </c>
      <c r="I374" s="2">
        <v>-21.3</v>
      </c>
      <c r="J374" s="2">
        <v>-28.1</v>
      </c>
      <c r="K374" s="2">
        <f t="shared" si="48"/>
        <v>-21.3</v>
      </c>
      <c r="L374" s="8">
        <f t="shared" si="52"/>
        <v>5.754399373371574E-12</v>
      </c>
      <c r="M374" s="26">
        <f>SUM(L374:L379)</f>
        <v>8.8559963756246027E-12</v>
      </c>
      <c r="N374" s="17">
        <f>10*LOG10(M374/E374)</f>
        <v>-118.30913820250845</v>
      </c>
      <c r="O374" s="9">
        <f t="shared" si="50"/>
        <v>-28.1</v>
      </c>
      <c r="P374" s="8">
        <f>D374/B374*10^(O374/10)</f>
        <v>6.040384813758673E-2</v>
      </c>
      <c r="Q374" s="26">
        <f>SUM(P374:P379)</f>
        <v>0.38324998603307381</v>
      </c>
      <c r="R374" s="17">
        <f>10*LOG10(Q374)</f>
        <v>-4.1651785230074729</v>
      </c>
      <c r="S374" s="18">
        <f>F374+N374-Kzt-H</f>
        <v>-42.30913820250845</v>
      </c>
      <c r="T374" s="17">
        <v>0.8</v>
      </c>
      <c r="U374" s="21">
        <f>T374*10^((S374-R374)/10)</f>
        <v>1.2265747468642846E-4</v>
      </c>
    </row>
    <row r="375" spans="1:21" x14ac:dyDescent="0.25">
      <c r="A375" s="24"/>
      <c r="B375" s="24"/>
      <c r="C375" s="17"/>
      <c r="D375" s="24"/>
      <c r="E375" s="24"/>
      <c r="F375" s="25"/>
      <c r="G375" s="1">
        <v>975</v>
      </c>
      <c r="H375" s="2">
        <v>96.5</v>
      </c>
      <c r="I375" s="2">
        <v>-22</v>
      </c>
      <c r="J375" s="2">
        <v>-24.7</v>
      </c>
      <c r="K375" s="2">
        <f t="shared" si="48"/>
        <v>-22</v>
      </c>
      <c r="L375" s="8">
        <f t="shared" si="52"/>
        <v>1.4125375446227535E-12</v>
      </c>
      <c r="M375" s="26"/>
      <c r="N375" s="17"/>
      <c r="O375" s="9">
        <f t="shared" si="50"/>
        <v>-24.7</v>
      </c>
      <c r="P375" s="8">
        <f>D374/B374*10^(O375/10)</f>
        <v>0.13214922089428893</v>
      </c>
      <c r="Q375" s="26"/>
      <c r="R375" s="17"/>
      <c r="S375" s="19"/>
      <c r="T375" s="17"/>
      <c r="U375" s="22"/>
    </row>
    <row r="376" spans="1:21" x14ac:dyDescent="0.25">
      <c r="A376" s="24"/>
      <c r="B376" s="24"/>
      <c r="C376" s="17"/>
      <c r="D376" s="24"/>
      <c r="E376" s="24"/>
      <c r="F376" s="25"/>
      <c r="G376" s="1">
        <v>1075</v>
      </c>
      <c r="H376" s="2">
        <v>94.6</v>
      </c>
      <c r="I376" s="2">
        <v>-27.4</v>
      </c>
      <c r="J376" s="2">
        <v>-33.200000000000003</v>
      </c>
      <c r="K376" s="2">
        <f t="shared" si="48"/>
        <v>-27.4</v>
      </c>
      <c r="L376" s="8">
        <f t="shared" si="52"/>
        <v>6.3095734448019283E-13</v>
      </c>
      <c r="M376" s="26"/>
      <c r="N376" s="17"/>
      <c r="O376" s="9">
        <f t="shared" si="50"/>
        <v>-33.200000000000003</v>
      </c>
      <c r="P376" s="8">
        <f>D374/B374*10^(O376/10)</f>
        <v>1.866657360058287E-2</v>
      </c>
      <c r="Q376" s="26"/>
      <c r="R376" s="17"/>
      <c r="S376" s="19"/>
      <c r="T376" s="17"/>
      <c r="U376" s="22"/>
    </row>
    <row r="377" spans="1:21" x14ac:dyDescent="0.25">
      <c r="A377" s="24"/>
      <c r="B377" s="24"/>
      <c r="C377" s="17"/>
      <c r="D377" s="24"/>
      <c r="E377" s="24"/>
      <c r="F377" s="25"/>
      <c r="G377" s="1">
        <v>1175</v>
      </c>
      <c r="H377" s="2">
        <v>97.8</v>
      </c>
      <c r="I377" s="2">
        <v>-25.7</v>
      </c>
      <c r="J377" s="2">
        <v>-27.1</v>
      </c>
      <c r="K377" s="2">
        <f t="shared" si="48"/>
        <v>-25.7</v>
      </c>
      <c r="L377" s="8">
        <f t="shared" si="52"/>
        <v>4.4668359215096191E-13</v>
      </c>
      <c r="M377" s="26"/>
      <c r="N377" s="17"/>
      <c r="O377" s="9">
        <f t="shared" si="50"/>
        <v>-27.1</v>
      </c>
      <c r="P377" s="8">
        <f>D374/B374*10^(O377/10)</f>
        <v>7.6043939390563725E-2</v>
      </c>
      <c r="Q377" s="26"/>
      <c r="R377" s="17"/>
      <c r="S377" s="19"/>
      <c r="T377" s="17"/>
      <c r="U377" s="22"/>
    </row>
    <row r="378" spans="1:21" x14ac:dyDescent="0.25">
      <c r="A378" s="24"/>
      <c r="B378" s="24"/>
      <c r="C378" s="17"/>
      <c r="D378" s="24"/>
      <c r="E378" s="24"/>
      <c r="F378" s="25"/>
      <c r="G378" s="1">
        <v>1275</v>
      </c>
      <c r="H378" s="2">
        <v>100.1</v>
      </c>
      <c r="I378" s="2">
        <v>-24.2</v>
      </c>
      <c r="J378" s="2">
        <v>-29</v>
      </c>
      <c r="K378" s="2">
        <f t="shared" si="48"/>
        <v>-24.2</v>
      </c>
      <c r="L378" s="8">
        <f t="shared" si="52"/>
        <v>3.7153522909717175E-13</v>
      </c>
      <c r="M378" s="26"/>
      <c r="N378" s="17"/>
      <c r="O378" s="9">
        <f t="shared" si="50"/>
        <v>-29</v>
      </c>
      <c r="P378" s="8">
        <f>D374/B374*10^(O378/10)</f>
        <v>4.9098091059972482E-2</v>
      </c>
      <c r="Q378" s="26"/>
      <c r="R378" s="17"/>
      <c r="S378" s="19"/>
      <c r="T378" s="17"/>
      <c r="U378" s="22"/>
    </row>
    <row r="379" spans="1:21" x14ac:dyDescent="0.25">
      <c r="A379" s="24"/>
      <c r="B379" s="24"/>
      <c r="C379" s="17"/>
      <c r="D379" s="24"/>
      <c r="E379" s="24"/>
      <c r="F379" s="25"/>
      <c r="G379" s="1">
        <v>1375</v>
      </c>
      <c r="H379" s="2">
        <v>103</v>
      </c>
      <c r="I379" s="2">
        <v>-23.2</v>
      </c>
      <c r="J379" s="2">
        <v>-29.2</v>
      </c>
      <c r="K379" s="2">
        <f t="shared" si="48"/>
        <v>-23.2</v>
      </c>
      <c r="L379" s="8">
        <f t="shared" si="52"/>
        <v>2.3988329190194817E-13</v>
      </c>
      <c r="M379" s="26"/>
      <c r="N379" s="17"/>
      <c r="O379" s="9">
        <f t="shared" si="50"/>
        <v>-29.2</v>
      </c>
      <c r="P379" s="8">
        <f>D374/B374*10^(O379/10)</f>
        <v>4.6888312950079079E-2</v>
      </c>
      <c r="Q379" s="26"/>
      <c r="R379" s="17"/>
      <c r="S379" s="20"/>
      <c r="T379" s="17"/>
      <c r="U379" s="23"/>
    </row>
    <row r="380" spans="1:21" x14ac:dyDescent="0.25">
      <c r="A380" s="24">
        <v>2000</v>
      </c>
      <c r="B380" s="24">
        <v>3</v>
      </c>
      <c r="C380" s="17">
        <v>0.5</v>
      </c>
      <c r="D380" s="24">
        <v>234</v>
      </c>
      <c r="E380" s="24">
        <v>6</v>
      </c>
      <c r="F380" s="25">
        <v>68</v>
      </c>
      <c r="G380" s="1">
        <v>1425</v>
      </c>
      <c r="H380" s="2">
        <v>102.8</v>
      </c>
      <c r="I380" s="2">
        <v>-23.5</v>
      </c>
      <c r="J380" s="2">
        <v>-24.1</v>
      </c>
      <c r="K380" s="2">
        <f t="shared" si="48"/>
        <v>-23.5</v>
      </c>
      <c r="L380" s="8">
        <f t="shared" si="52"/>
        <v>2.3442288153199217E-13</v>
      </c>
      <c r="M380" s="26">
        <f>SUM(L380:L385)</f>
        <v>3.2719486818299565E-12</v>
      </c>
      <c r="N380" s="17">
        <f>10*LOG10(M380/E380)</f>
        <v>-122.63344766928627</v>
      </c>
      <c r="O380" s="9">
        <f t="shared" si="50"/>
        <v>-24.1</v>
      </c>
      <c r="P380" s="8">
        <f>D380/B380*10^(O380/10)</f>
        <v>0.30345521309553858</v>
      </c>
      <c r="Q380" s="26">
        <f>SUM(P380:P385)</f>
        <v>1.0609059654768487</v>
      </c>
      <c r="R380" s="17">
        <f>10*LOG10(Q380)</f>
        <v>0.25676891456148276</v>
      </c>
      <c r="S380" s="18">
        <f>F380+N380-Kzt-H</f>
        <v>-54.633447669286269</v>
      </c>
      <c r="T380" s="17">
        <v>1</v>
      </c>
      <c r="U380" s="21">
        <f>T380*10^((S380-R380)/10)</f>
        <v>3.2432344284710474E-6</v>
      </c>
    </row>
    <row r="381" spans="1:21" x14ac:dyDescent="0.25">
      <c r="A381" s="24"/>
      <c r="B381" s="24"/>
      <c r="C381" s="17"/>
      <c r="D381" s="24"/>
      <c r="E381" s="24"/>
      <c r="F381" s="25"/>
      <c r="G381" s="1">
        <v>1625</v>
      </c>
      <c r="H381" s="2">
        <v>104.1</v>
      </c>
      <c r="I381" s="2">
        <v>-24.1</v>
      </c>
      <c r="J381" s="2">
        <v>-26</v>
      </c>
      <c r="K381" s="2">
        <f t="shared" si="48"/>
        <v>-24.1</v>
      </c>
      <c r="L381" s="8">
        <f t="shared" si="52"/>
        <v>1.5135612484362107E-13</v>
      </c>
      <c r="M381" s="26"/>
      <c r="N381" s="17"/>
      <c r="O381" s="9">
        <f t="shared" si="50"/>
        <v>-26</v>
      </c>
      <c r="P381" s="8">
        <f>D380/B380*10^(O381/10)</f>
        <v>0.19592714165774705</v>
      </c>
      <c r="Q381" s="26"/>
      <c r="R381" s="17"/>
      <c r="S381" s="19"/>
      <c r="T381" s="17"/>
      <c r="U381" s="22"/>
    </row>
    <row r="382" spans="1:21" x14ac:dyDescent="0.25">
      <c r="A382" s="24"/>
      <c r="B382" s="24"/>
      <c r="C382" s="17"/>
      <c r="D382" s="24"/>
      <c r="E382" s="24"/>
      <c r="F382" s="25"/>
      <c r="G382" s="1">
        <v>1825</v>
      </c>
      <c r="H382" s="2">
        <v>107.6</v>
      </c>
      <c r="I382" s="2">
        <v>-26.5</v>
      </c>
      <c r="J382" s="2">
        <v>-32.1</v>
      </c>
      <c r="K382" s="2">
        <f t="shared" si="48"/>
        <v>-26.5</v>
      </c>
      <c r="L382" s="8">
        <f t="shared" si="52"/>
        <v>3.8904514499427932E-14</v>
      </c>
      <c r="M382" s="26"/>
      <c r="N382" s="17"/>
      <c r="O382" s="9">
        <f t="shared" si="50"/>
        <v>-32.1</v>
      </c>
      <c r="P382" s="8">
        <f>D380/B380*10^(O382/10)</f>
        <v>4.8094410145195582E-2</v>
      </c>
      <c r="Q382" s="26"/>
      <c r="R382" s="17"/>
      <c r="S382" s="19"/>
      <c r="T382" s="17"/>
      <c r="U382" s="22"/>
    </row>
    <row r="383" spans="1:21" x14ac:dyDescent="0.25">
      <c r="A383" s="24"/>
      <c r="B383" s="24"/>
      <c r="C383" s="17"/>
      <c r="D383" s="24"/>
      <c r="E383" s="24"/>
      <c r="F383" s="25"/>
      <c r="G383" s="1">
        <v>2125</v>
      </c>
      <c r="H383" s="2">
        <v>104.2</v>
      </c>
      <c r="I383" s="2">
        <v>-22.4</v>
      </c>
      <c r="J383" s="2">
        <v>-28.8</v>
      </c>
      <c r="K383" s="2">
        <f t="shared" si="48"/>
        <v>-22.4</v>
      </c>
      <c r="L383" s="8">
        <f t="shared" si="52"/>
        <v>2.1877616239495453E-13</v>
      </c>
      <c r="M383" s="26"/>
      <c r="N383" s="17"/>
      <c r="O383" s="9">
        <f t="shared" si="50"/>
        <v>-28.8</v>
      </c>
      <c r="P383" s="8">
        <f>D380/B380*10^(O383/10)</f>
        <v>0.10282402560739975</v>
      </c>
      <c r="Q383" s="26"/>
      <c r="R383" s="17"/>
      <c r="S383" s="19"/>
      <c r="T383" s="17"/>
      <c r="U383" s="22"/>
    </row>
    <row r="384" spans="1:21" x14ac:dyDescent="0.25">
      <c r="A384" s="24"/>
      <c r="B384" s="24"/>
      <c r="C384" s="17"/>
      <c r="D384" s="24"/>
      <c r="E384" s="24"/>
      <c r="F384" s="25"/>
      <c r="G384" s="1">
        <v>2425</v>
      </c>
      <c r="H384" s="2">
        <v>93.7</v>
      </c>
      <c r="I384" s="2">
        <v>-22.4</v>
      </c>
      <c r="J384" s="2">
        <v>-24.3</v>
      </c>
      <c r="K384" s="2">
        <f t="shared" si="48"/>
        <v>-22.4</v>
      </c>
      <c r="L384" s="8">
        <f t="shared" si="52"/>
        <v>2.4547089156850233E-12</v>
      </c>
      <c r="M384" s="26"/>
      <c r="N384" s="17"/>
      <c r="O384" s="9">
        <f t="shared" si="50"/>
        <v>-24.3</v>
      </c>
      <c r="P384" s="8">
        <f>D380/B380*10^(O384/10)</f>
        <v>0.28979747869579436</v>
      </c>
      <c r="Q384" s="26"/>
      <c r="R384" s="17"/>
      <c r="S384" s="19"/>
      <c r="T384" s="17"/>
      <c r="U384" s="22"/>
    </row>
    <row r="385" spans="1:21" x14ac:dyDescent="0.25">
      <c r="A385" s="24"/>
      <c r="B385" s="24"/>
      <c r="C385" s="17"/>
      <c r="D385" s="24"/>
      <c r="E385" s="24"/>
      <c r="F385" s="25"/>
      <c r="G385" s="1">
        <v>2775</v>
      </c>
      <c r="H385" s="2">
        <v>100.2</v>
      </c>
      <c r="I385" s="2">
        <v>-27.4</v>
      </c>
      <c r="J385" s="2">
        <v>-28.1</v>
      </c>
      <c r="K385" s="2">
        <f t="shared" si="48"/>
        <v>-27.4</v>
      </c>
      <c r="L385" s="8">
        <f t="shared" si="52"/>
        <v>1.7378008287493713E-13</v>
      </c>
      <c r="M385" s="26"/>
      <c r="N385" s="17"/>
      <c r="O385" s="9">
        <f t="shared" si="50"/>
        <v>-28.1</v>
      </c>
      <c r="P385" s="8">
        <f>D380/B380*10^(O385/10)</f>
        <v>0.12080769627517346</v>
      </c>
      <c r="Q385" s="26"/>
      <c r="R385" s="17"/>
      <c r="S385" s="20"/>
      <c r="T385" s="17"/>
      <c r="U385" s="23"/>
    </row>
    <row r="386" spans="1:21" x14ac:dyDescent="0.25">
      <c r="A386" s="24">
        <v>4000</v>
      </c>
      <c r="B386" s="24">
        <v>3</v>
      </c>
      <c r="C386" s="17">
        <v>0.5</v>
      </c>
      <c r="D386" s="24">
        <v>470</v>
      </c>
      <c r="E386" s="24">
        <v>6</v>
      </c>
      <c r="F386" s="25">
        <v>62</v>
      </c>
      <c r="G386" s="1">
        <v>2825</v>
      </c>
      <c r="H386" s="2">
        <v>99.4</v>
      </c>
      <c r="I386" s="2">
        <v>-24.1</v>
      </c>
      <c r="J386" s="2">
        <v>-27.9</v>
      </c>
      <c r="K386" s="2">
        <f t="shared" si="48"/>
        <v>-24.1</v>
      </c>
      <c r="L386" s="8">
        <f t="shared" si="52"/>
        <v>4.4668359215096191E-13</v>
      </c>
      <c r="M386" s="26">
        <f>SUM(L386:L391)</f>
        <v>1.5216489148970447E-12</v>
      </c>
      <c r="N386" s="17">
        <f>10*LOG10(M386/E386)</f>
        <v>-125.95836789743763</v>
      </c>
      <c r="O386" s="9">
        <f t="shared" si="50"/>
        <v>-27.9</v>
      </c>
      <c r="P386" s="8">
        <f>D386/B386*10^(O386/10)</f>
        <v>0.25408358191956543</v>
      </c>
      <c r="Q386" s="26">
        <f>SUM(P386:P391)</f>
        <v>2.4856177862760935</v>
      </c>
      <c r="R386" s="17">
        <f>10*LOG10(Q386)</f>
        <v>3.9543434792873491</v>
      </c>
      <c r="S386" s="18">
        <f>F386+N386-Kzt-H</f>
        <v>-63.958367897437626</v>
      </c>
      <c r="T386" s="17">
        <v>0.9</v>
      </c>
      <c r="U386" s="21">
        <f>T386*10^((S386-R386)/10)</f>
        <v>1.4553631414200151E-7</v>
      </c>
    </row>
    <row r="387" spans="1:21" x14ac:dyDescent="0.25">
      <c r="A387" s="24"/>
      <c r="B387" s="24"/>
      <c r="C387" s="17"/>
      <c r="D387" s="24"/>
      <c r="E387" s="24"/>
      <c r="F387" s="25"/>
      <c r="G387" s="1">
        <v>3425</v>
      </c>
      <c r="H387" s="2">
        <v>103.5</v>
      </c>
      <c r="I387" s="2">
        <v>-24.7</v>
      </c>
      <c r="J387" s="2">
        <v>-24.9</v>
      </c>
      <c r="K387" s="2">
        <f t="shared" si="48"/>
        <v>-24.7</v>
      </c>
      <c r="L387" s="8">
        <f t="shared" si="52"/>
        <v>1.5135612484362107E-13</v>
      </c>
      <c r="M387" s="26"/>
      <c r="N387" s="17"/>
      <c r="O387" s="9">
        <f t="shared" si="50"/>
        <v>-24.9</v>
      </c>
      <c r="P387" s="8">
        <f>D386/B386*10^(O387/10)</f>
        <v>0.50696339585641759</v>
      </c>
      <c r="Q387" s="26"/>
      <c r="R387" s="17"/>
      <c r="S387" s="19"/>
      <c r="T387" s="17"/>
      <c r="U387" s="22"/>
    </row>
    <row r="388" spans="1:21" x14ac:dyDescent="0.25">
      <c r="A388" s="24"/>
      <c r="B388" s="24"/>
      <c r="C388" s="17"/>
      <c r="D388" s="24"/>
      <c r="E388" s="24"/>
      <c r="F388" s="25"/>
      <c r="G388" s="1">
        <v>4025</v>
      </c>
      <c r="H388" s="2">
        <v>103.6</v>
      </c>
      <c r="I388" s="2">
        <v>-22.5</v>
      </c>
      <c r="J388" s="2">
        <v>-24.5</v>
      </c>
      <c r="K388" s="2">
        <f t="shared" si="48"/>
        <v>-22.5</v>
      </c>
      <c r="L388" s="8">
        <f t="shared" si="52"/>
        <v>2.4547089156850296E-13</v>
      </c>
      <c r="M388" s="26"/>
      <c r="N388" s="17"/>
      <c r="O388" s="9">
        <f t="shared" si="50"/>
        <v>-24.5</v>
      </c>
      <c r="P388" s="8">
        <f>D386/B386*10^(O388/10)</f>
        <v>0.55587430979926788</v>
      </c>
      <c r="Q388" s="26"/>
      <c r="R388" s="17"/>
      <c r="S388" s="19"/>
      <c r="T388" s="17"/>
      <c r="U388" s="22"/>
    </row>
    <row r="389" spans="1:21" x14ac:dyDescent="0.25">
      <c r="A389" s="24"/>
      <c r="B389" s="24"/>
      <c r="C389" s="17"/>
      <c r="D389" s="24"/>
      <c r="E389" s="24"/>
      <c r="F389" s="25"/>
      <c r="G389" s="1">
        <v>4625</v>
      </c>
      <c r="H389" s="2">
        <v>105.6</v>
      </c>
      <c r="I389" s="2">
        <v>-20.9</v>
      </c>
      <c r="J389" s="2">
        <v>-25.7</v>
      </c>
      <c r="K389" s="2">
        <f t="shared" si="48"/>
        <v>-20.9</v>
      </c>
      <c r="L389" s="8">
        <f t="shared" si="52"/>
        <v>2.238721138568332E-13</v>
      </c>
      <c r="M389" s="26"/>
      <c r="N389" s="17"/>
      <c r="O389" s="9">
        <f t="shared" si="50"/>
        <v>-25.7</v>
      </c>
      <c r="P389" s="8">
        <f>D386/B386*10^(O389/10)</f>
        <v>0.42167378594854998</v>
      </c>
      <c r="Q389" s="26"/>
      <c r="R389" s="17"/>
      <c r="S389" s="19"/>
      <c r="T389" s="17"/>
      <c r="U389" s="22"/>
    </row>
    <row r="390" spans="1:21" x14ac:dyDescent="0.25">
      <c r="A390" s="24"/>
      <c r="B390" s="24"/>
      <c r="C390" s="17"/>
      <c r="D390" s="24"/>
      <c r="E390" s="24"/>
      <c r="F390" s="25"/>
      <c r="G390" s="1">
        <v>5225</v>
      </c>
      <c r="H390" s="2">
        <v>103.5</v>
      </c>
      <c r="I390" s="2">
        <v>-25.1</v>
      </c>
      <c r="J390" s="2">
        <v>-26.7</v>
      </c>
      <c r="K390" s="2">
        <f t="shared" si="48"/>
        <v>-25.1</v>
      </c>
      <c r="L390" s="8">
        <f t="shared" si="52"/>
        <v>1.3803842646028828E-13</v>
      </c>
      <c r="M390" s="26"/>
      <c r="N390" s="17"/>
      <c r="O390" s="9">
        <f t="shared" si="50"/>
        <v>-26.7</v>
      </c>
      <c r="P390" s="8">
        <f>D386/B386*10^(O390/10)</f>
        <v>0.33494739402201629</v>
      </c>
      <c r="Q390" s="26"/>
      <c r="R390" s="17"/>
      <c r="S390" s="19"/>
      <c r="T390" s="17"/>
      <c r="U390" s="22"/>
    </row>
    <row r="391" spans="1:21" x14ac:dyDescent="0.25">
      <c r="A391" s="24"/>
      <c r="B391" s="24"/>
      <c r="C391" s="17"/>
      <c r="D391" s="24"/>
      <c r="E391" s="24"/>
      <c r="F391" s="25"/>
      <c r="G391" s="1">
        <v>5625</v>
      </c>
      <c r="H391" s="2">
        <v>99.5</v>
      </c>
      <c r="I391" s="2">
        <v>-25.5</v>
      </c>
      <c r="J391" s="2">
        <v>-25.8</v>
      </c>
      <c r="K391" s="2">
        <f t="shared" si="48"/>
        <v>-25.5</v>
      </c>
      <c r="L391" s="8">
        <f t="shared" si="52"/>
        <v>3.1622776601683746E-13</v>
      </c>
      <c r="M391" s="26"/>
      <c r="N391" s="17"/>
      <c r="O391" s="9">
        <f t="shared" si="50"/>
        <v>-25.8</v>
      </c>
      <c r="P391" s="8">
        <f>D386/B386*10^(O391/10)</f>
        <v>0.41207531873027603</v>
      </c>
      <c r="Q391" s="26"/>
      <c r="R391" s="17"/>
      <c r="S391" s="20"/>
      <c r="T391" s="17"/>
      <c r="U391" s="23"/>
    </row>
    <row r="392" spans="1:21" x14ac:dyDescent="0.25">
      <c r="A392" s="24">
        <v>8000</v>
      </c>
      <c r="B392" s="24">
        <v>3</v>
      </c>
      <c r="C392" s="17">
        <v>0.5</v>
      </c>
      <c r="D392" s="24">
        <v>943</v>
      </c>
      <c r="E392" s="24">
        <v>6</v>
      </c>
      <c r="F392" s="25">
        <v>54</v>
      </c>
      <c r="G392" s="1">
        <v>6025</v>
      </c>
      <c r="H392" s="2">
        <v>95</v>
      </c>
      <c r="I392" s="2">
        <v>-23.6</v>
      </c>
      <c r="J392" s="2">
        <v>-26.8</v>
      </c>
      <c r="K392" s="2">
        <f t="shared" si="48"/>
        <v>-23.6</v>
      </c>
      <c r="L392" s="8">
        <f t="shared" si="52"/>
        <v>1.3803842646028842E-12</v>
      </c>
      <c r="M392" s="26">
        <f>SUM(L392:L397)</f>
        <v>3.1265471347316145E-11</v>
      </c>
      <c r="N392" s="17">
        <f>10*LOG10(M392/E392)</f>
        <v>-112.83086270045816</v>
      </c>
      <c r="O392" s="9">
        <f t="shared" si="50"/>
        <v>-26.8</v>
      </c>
      <c r="P392" s="8">
        <f>D392/B392*10^(O392/10)</f>
        <v>0.65673541713178563</v>
      </c>
      <c r="Q392" s="26">
        <f>SUM(P392:P397)</f>
        <v>3.9451587742388767</v>
      </c>
      <c r="R392" s="17">
        <f>10*LOG10(Q392)</f>
        <v>5.9606448622433383</v>
      </c>
      <c r="S392" s="18">
        <f>F392+N392-Kzt-H</f>
        <v>-58.830862700458155</v>
      </c>
      <c r="T392" s="17">
        <v>0.7</v>
      </c>
      <c r="U392" s="21">
        <f>T392*10^((S392-R392)/10)</f>
        <v>2.3224548711628891E-7</v>
      </c>
    </row>
    <row r="393" spans="1:21" x14ac:dyDescent="0.25">
      <c r="A393" s="24"/>
      <c r="B393" s="24"/>
      <c r="C393" s="17"/>
      <c r="D393" s="24"/>
      <c r="E393" s="24"/>
      <c r="F393" s="25"/>
      <c r="G393" s="1">
        <v>7025</v>
      </c>
      <c r="H393" s="2">
        <v>94.8</v>
      </c>
      <c r="I393" s="2">
        <v>-24.8</v>
      </c>
      <c r="J393" s="2">
        <v>-25.6</v>
      </c>
      <c r="K393" s="2">
        <f t="shared" si="48"/>
        <v>-24.8</v>
      </c>
      <c r="L393" s="8">
        <f t="shared" si="52"/>
        <v>1.0964781961431857E-12</v>
      </c>
      <c r="M393" s="26"/>
      <c r="N393" s="17"/>
      <c r="O393" s="9">
        <f t="shared" si="50"/>
        <v>-25.6</v>
      </c>
      <c r="P393" s="8">
        <f>D392/B392*10^(O393/10)</f>
        <v>0.86574588908262984</v>
      </c>
      <c r="Q393" s="26"/>
      <c r="R393" s="17"/>
      <c r="S393" s="19"/>
      <c r="T393" s="17"/>
      <c r="U393" s="22"/>
    </row>
    <row r="394" spans="1:21" x14ac:dyDescent="0.25">
      <c r="A394" s="24"/>
      <c r="B394" s="24"/>
      <c r="C394" s="17"/>
      <c r="D394" s="24"/>
      <c r="E394" s="24"/>
      <c r="F394" s="25"/>
      <c r="G394" s="1">
        <v>8025</v>
      </c>
      <c r="H394" s="2">
        <v>101.9</v>
      </c>
      <c r="I394" s="2">
        <v>-21.9</v>
      </c>
      <c r="J394" s="2">
        <v>-30.6</v>
      </c>
      <c r="K394" s="2">
        <f t="shared" si="48"/>
        <v>-21.9</v>
      </c>
      <c r="L394" s="8">
        <f t="shared" si="52"/>
        <v>4.1686938347033292E-13</v>
      </c>
      <c r="M394" s="26"/>
      <c r="N394" s="17"/>
      <c r="O394" s="9">
        <f t="shared" si="50"/>
        <v>-30.6</v>
      </c>
      <c r="P394" s="8">
        <f>D392/B392*10^(O394/10)</f>
        <v>0.27377288844286107</v>
      </c>
      <c r="Q394" s="26"/>
      <c r="R394" s="17"/>
      <c r="S394" s="19"/>
      <c r="T394" s="17"/>
      <c r="U394" s="22"/>
    </row>
    <row r="395" spans="1:21" x14ac:dyDescent="0.25">
      <c r="A395" s="24"/>
      <c r="B395" s="24"/>
      <c r="C395" s="17"/>
      <c r="D395" s="24"/>
      <c r="E395" s="24"/>
      <c r="F395" s="25"/>
      <c r="G395" s="1">
        <v>9025</v>
      </c>
      <c r="H395" s="2">
        <v>93.2</v>
      </c>
      <c r="I395" s="2">
        <v>-19.3</v>
      </c>
      <c r="J395" s="2">
        <v>-24</v>
      </c>
      <c r="K395" s="2">
        <f t="shared" si="48"/>
        <v>-19.3</v>
      </c>
      <c r="L395" s="8">
        <f t="shared" si="52"/>
        <v>5.6234132519034759E-12</v>
      </c>
      <c r="M395" s="26"/>
      <c r="N395" s="17"/>
      <c r="O395" s="9">
        <f t="shared" si="50"/>
        <v>-24</v>
      </c>
      <c r="P395" s="8">
        <f>D392/B392*10^(O395/10)</f>
        <v>1.2513835394398261</v>
      </c>
      <c r="Q395" s="26"/>
      <c r="R395" s="17"/>
      <c r="S395" s="19"/>
      <c r="T395" s="17"/>
      <c r="U395" s="22"/>
    </row>
    <row r="396" spans="1:21" x14ac:dyDescent="0.25">
      <c r="A396" s="24"/>
      <c r="B396" s="24"/>
      <c r="C396" s="17"/>
      <c r="D396" s="24"/>
      <c r="E396" s="24"/>
      <c r="F396" s="25"/>
      <c r="G396" s="1">
        <v>10025</v>
      </c>
      <c r="H396" s="2">
        <v>88.3</v>
      </c>
      <c r="I396" s="2">
        <v>-24.4</v>
      </c>
      <c r="J396" s="2">
        <v>-32.1</v>
      </c>
      <c r="K396" s="2">
        <f t="shared" si="48"/>
        <v>-24.4</v>
      </c>
      <c r="L396" s="8">
        <f t="shared" si="52"/>
        <v>5.3703179637025143E-12</v>
      </c>
      <c r="M396" s="26"/>
      <c r="N396" s="17"/>
      <c r="O396" s="9">
        <f t="shared" si="50"/>
        <v>-32.1</v>
      </c>
      <c r="P396" s="8">
        <f>D392/B392*10^(O396/10)</f>
        <v>0.19381636225179244</v>
      </c>
      <c r="Q396" s="26"/>
      <c r="R396" s="17"/>
      <c r="S396" s="19"/>
      <c r="T396" s="17"/>
      <c r="U396" s="22"/>
    </row>
    <row r="397" spans="1:21" x14ac:dyDescent="0.25">
      <c r="A397" s="24"/>
      <c r="B397" s="24"/>
      <c r="C397" s="17"/>
      <c r="D397" s="24"/>
      <c r="E397" s="24"/>
      <c r="F397" s="25"/>
      <c r="G397" s="1">
        <v>11025</v>
      </c>
      <c r="H397" s="2">
        <v>86</v>
      </c>
      <c r="I397" s="2">
        <v>-21.6</v>
      </c>
      <c r="J397" s="2">
        <v>-26.5</v>
      </c>
      <c r="K397" s="2">
        <f t="shared" si="48"/>
        <v>-21.6</v>
      </c>
      <c r="L397" s="8">
        <f t="shared" si="52"/>
        <v>1.7378008287493749E-11</v>
      </c>
      <c r="M397" s="26"/>
      <c r="N397" s="17"/>
      <c r="O397" s="9">
        <f t="shared" si="50"/>
        <v>-26.5</v>
      </c>
      <c r="P397" s="8">
        <f>D392/B392*10^(O397/10)</f>
        <v>0.70370467788998103</v>
      </c>
      <c r="Q397" s="26"/>
      <c r="R397" s="17"/>
      <c r="S397" s="20"/>
      <c r="T397" s="17"/>
      <c r="U397" s="23"/>
    </row>
    <row r="398" spans="1:21" x14ac:dyDescent="0.25">
      <c r="A398" s="24" t="s">
        <v>20</v>
      </c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12">
        <f>U398</f>
        <v>6.2455352746063987E-2</v>
      </c>
      <c r="T398" s="2"/>
      <c r="U398" s="8">
        <f>0.8*SQRT(SUM(U364:U397))</f>
        <v>6.2455352746063987E-2</v>
      </c>
    </row>
    <row r="399" spans="1:21" x14ac:dyDescent="0.25">
      <c r="A399" s="27" t="s">
        <v>103</v>
      </c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9"/>
    </row>
    <row r="400" spans="1:21" x14ac:dyDescent="0.25">
      <c r="A400" s="24">
        <v>250</v>
      </c>
      <c r="B400" s="24">
        <v>3</v>
      </c>
      <c r="C400" s="17">
        <v>0.5</v>
      </c>
      <c r="D400" s="24">
        <v>38</v>
      </c>
      <c r="E400" s="24">
        <v>4</v>
      </c>
      <c r="F400" s="25">
        <v>84</v>
      </c>
      <c r="G400" s="1">
        <v>175</v>
      </c>
      <c r="H400" s="2">
        <v>84.8</v>
      </c>
      <c r="I400" s="2">
        <v>-18.899999999999999</v>
      </c>
      <c r="J400" s="2">
        <v>-26.4</v>
      </c>
      <c r="K400" s="2">
        <f>I400</f>
        <v>-18.899999999999999</v>
      </c>
      <c r="L400" s="8">
        <f>10^((K400-H400)/10)</f>
        <v>4.2657951880159247E-11</v>
      </c>
      <c r="M400" s="26">
        <f>SUM(L400:L403)</f>
        <v>5.7109808093581194E-11</v>
      </c>
      <c r="N400" s="17">
        <f>10*LOG10(M400/E400)</f>
        <v>-108.45349290523002</v>
      </c>
      <c r="O400" s="9">
        <f>J400</f>
        <v>-26.4</v>
      </c>
      <c r="P400" s="8">
        <f>D400/B400*10^(O400/10)</f>
        <v>2.9017656935058464E-2</v>
      </c>
      <c r="Q400" s="26">
        <f>SUM(P400:P403)</f>
        <v>0.1178752444496789</v>
      </c>
      <c r="R400" s="17">
        <f>10*LOG10(Q400)</f>
        <v>-9.2857739361379608</v>
      </c>
      <c r="S400" s="18">
        <f>F400+N400-Kzt-H</f>
        <v>-24.453492905230021</v>
      </c>
      <c r="T400" s="17">
        <v>0.2</v>
      </c>
      <c r="U400" s="21">
        <f>T400*10^((S400-R400)/10)</f>
        <v>6.0849651988472697E-3</v>
      </c>
    </row>
    <row r="401" spans="1:21" x14ac:dyDescent="0.25">
      <c r="A401" s="24"/>
      <c r="B401" s="24"/>
      <c r="C401" s="17"/>
      <c r="D401" s="24"/>
      <c r="E401" s="24"/>
      <c r="F401" s="25"/>
      <c r="G401" s="1">
        <v>225</v>
      </c>
      <c r="H401" s="2">
        <v>90</v>
      </c>
      <c r="I401" s="2">
        <v>-21</v>
      </c>
      <c r="J401" s="2">
        <v>-26.9</v>
      </c>
      <c r="K401" s="2">
        <f t="shared" ref="K401:K433" si="53">I401</f>
        <v>-21</v>
      </c>
      <c r="L401" s="8">
        <f t="shared" ref="L401:L402" si="54">10^((K401-H401)/10)</f>
        <v>7.9432823472428101E-12</v>
      </c>
      <c r="M401" s="26"/>
      <c r="N401" s="17"/>
      <c r="O401" s="9">
        <f t="shared" ref="O401:O433" si="55">J401</f>
        <v>-26.9</v>
      </c>
      <c r="P401" s="8">
        <f>D400/B400*10^(O401/10)</f>
        <v>2.5862013965814036E-2</v>
      </c>
      <c r="Q401" s="26"/>
      <c r="R401" s="17"/>
      <c r="S401" s="19"/>
      <c r="T401" s="17"/>
      <c r="U401" s="22"/>
    </row>
    <row r="402" spans="1:21" x14ac:dyDescent="0.25">
      <c r="A402" s="24"/>
      <c r="B402" s="24"/>
      <c r="C402" s="17"/>
      <c r="D402" s="24"/>
      <c r="E402" s="24"/>
      <c r="F402" s="25"/>
      <c r="G402" s="1">
        <v>275</v>
      </c>
      <c r="H402" s="2">
        <v>92.2</v>
      </c>
      <c r="I402" s="2">
        <v>-21.3</v>
      </c>
      <c r="J402" s="2">
        <v>-28</v>
      </c>
      <c r="K402" s="2">
        <f t="shared" si="53"/>
        <v>-21.3</v>
      </c>
      <c r="L402" s="8">
        <f t="shared" si="54"/>
        <v>4.4668359215096234E-12</v>
      </c>
      <c r="M402" s="26"/>
      <c r="N402" s="17"/>
      <c r="O402" s="9">
        <f t="shared" si="55"/>
        <v>-28</v>
      </c>
      <c r="P402" s="8">
        <f>D400/B400*10^(O402/10)</f>
        <v>2.0075313771174101E-2</v>
      </c>
      <c r="Q402" s="26"/>
      <c r="R402" s="17"/>
      <c r="S402" s="19"/>
      <c r="T402" s="17"/>
      <c r="U402" s="22"/>
    </row>
    <row r="403" spans="1:21" x14ac:dyDescent="0.25">
      <c r="A403" s="24"/>
      <c r="B403" s="24"/>
      <c r="C403" s="17"/>
      <c r="D403" s="24"/>
      <c r="E403" s="24"/>
      <c r="F403" s="25"/>
      <c r="G403" s="1">
        <v>325</v>
      </c>
      <c r="H403" s="2">
        <v>93.3</v>
      </c>
      <c r="I403" s="2">
        <v>-23.6</v>
      </c>
      <c r="J403" s="2">
        <v>-24.7</v>
      </c>
      <c r="K403" s="2">
        <f t="shared" si="53"/>
        <v>-23.6</v>
      </c>
      <c r="L403" s="8">
        <f>10^((K403-H403)/10)</f>
        <v>2.0417379446695178E-12</v>
      </c>
      <c r="M403" s="26"/>
      <c r="N403" s="17"/>
      <c r="O403" s="9">
        <f t="shared" si="55"/>
        <v>-24.7</v>
      </c>
      <c r="P403" s="8">
        <f>D400/B400*10^(O403/10)</f>
        <v>4.2920259777632301E-2</v>
      </c>
      <c r="Q403" s="26"/>
      <c r="R403" s="17"/>
      <c r="S403" s="20"/>
      <c r="T403" s="17"/>
      <c r="U403" s="23"/>
    </row>
    <row r="404" spans="1:21" x14ac:dyDescent="0.25">
      <c r="A404" s="24">
        <v>500</v>
      </c>
      <c r="B404" s="24">
        <v>3</v>
      </c>
      <c r="C404" s="17">
        <v>0.5</v>
      </c>
      <c r="D404" s="24">
        <v>59</v>
      </c>
      <c r="E404" s="24">
        <v>6</v>
      </c>
      <c r="F404" s="25">
        <v>84</v>
      </c>
      <c r="G404" s="1">
        <v>375</v>
      </c>
      <c r="H404" s="2">
        <v>91.9</v>
      </c>
      <c r="I404" s="2">
        <v>-25.6</v>
      </c>
      <c r="J404" s="2">
        <v>-27.9</v>
      </c>
      <c r="K404" s="2">
        <f t="shared" si="53"/>
        <v>-25.6</v>
      </c>
      <c r="L404" s="8">
        <f t="shared" ref="L404:L405" si="56">10^((K404-H404)/10)</f>
        <v>1.7782794100389204E-12</v>
      </c>
      <c r="M404" s="26">
        <f>SUM(L404:L409)</f>
        <v>2.468226954144361E-11</v>
      </c>
      <c r="N404" s="17">
        <f>10*LOG10(M404/E404)</f>
        <v>-113.85766159689835</v>
      </c>
      <c r="O404" s="9">
        <f t="shared" si="55"/>
        <v>-27.9</v>
      </c>
      <c r="P404" s="8">
        <f>D404/B404*10^(O404/10)</f>
        <v>3.1895598581392258E-2</v>
      </c>
      <c r="Q404" s="26">
        <f>SUM(P404:P409)</f>
        <v>0.19886098255928794</v>
      </c>
      <c r="R404" s="17">
        <f>10*LOG10(Q404)</f>
        <v>-7.0145041909497046</v>
      </c>
      <c r="S404" s="18">
        <f>F404+N404-Kzt-H</f>
        <v>-29.857661596898353</v>
      </c>
      <c r="T404" s="17">
        <v>0.5</v>
      </c>
      <c r="U404" s="21">
        <f>T404*10^((S404-R404)/10)</f>
        <v>2.598090433247349E-3</v>
      </c>
    </row>
    <row r="405" spans="1:21" x14ac:dyDescent="0.25">
      <c r="A405" s="24"/>
      <c r="B405" s="24"/>
      <c r="C405" s="17"/>
      <c r="D405" s="24"/>
      <c r="E405" s="24"/>
      <c r="F405" s="25"/>
      <c r="G405" s="1">
        <v>425</v>
      </c>
      <c r="H405" s="2">
        <v>88.1</v>
      </c>
      <c r="I405" s="2">
        <v>-20.6</v>
      </c>
      <c r="J405" s="2">
        <v>-28.2</v>
      </c>
      <c r="K405" s="2">
        <f t="shared" si="53"/>
        <v>-20.6</v>
      </c>
      <c r="L405" s="8">
        <f t="shared" si="56"/>
        <v>1.3489628825916547E-11</v>
      </c>
      <c r="M405" s="26"/>
      <c r="N405" s="17"/>
      <c r="O405" s="9">
        <f t="shared" si="55"/>
        <v>-28.2</v>
      </c>
      <c r="P405" s="8">
        <f>D404/B404*10^(O405/10)</f>
        <v>2.9766704552578745E-2</v>
      </c>
      <c r="Q405" s="26"/>
      <c r="R405" s="17"/>
      <c r="S405" s="19"/>
      <c r="T405" s="17"/>
      <c r="U405" s="22"/>
    </row>
    <row r="406" spans="1:21" x14ac:dyDescent="0.25">
      <c r="A406" s="24"/>
      <c r="B406" s="24"/>
      <c r="C406" s="17"/>
      <c r="D406" s="24"/>
      <c r="E406" s="24"/>
      <c r="F406" s="25"/>
      <c r="G406" s="1">
        <v>475</v>
      </c>
      <c r="H406" s="2">
        <v>90</v>
      </c>
      <c r="I406" s="2">
        <v>-23.5</v>
      </c>
      <c r="J406" s="2">
        <v>-25.3</v>
      </c>
      <c r="K406" s="2">
        <f t="shared" si="53"/>
        <v>-23.5</v>
      </c>
      <c r="L406" s="8">
        <f>10^((K406-H406)/10)</f>
        <v>4.4668359215096234E-12</v>
      </c>
      <c r="M406" s="26"/>
      <c r="N406" s="17"/>
      <c r="O406" s="9">
        <f t="shared" si="55"/>
        <v>-25.3</v>
      </c>
      <c r="P406" s="8">
        <f>D404/B404*10^(O406/10)</f>
        <v>5.8040448124438884E-2</v>
      </c>
      <c r="Q406" s="26"/>
      <c r="R406" s="17"/>
      <c r="S406" s="19"/>
      <c r="T406" s="17"/>
      <c r="U406" s="22"/>
    </row>
    <row r="407" spans="1:21" x14ac:dyDescent="0.25">
      <c r="A407" s="24"/>
      <c r="B407" s="24"/>
      <c r="C407" s="17"/>
      <c r="D407" s="24"/>
      <c r="E407" s="24"/>
      <c r="F407" s="25"/>
      <c r="G407" s="1">
        <v>575</v>
      </c>
      <c r="H407" s="2">
        <v>97</v>
      </c>
      <c r="I407" s="2">
        <v>-23.7</v>
      </c>
      <c r="J407" s="2">
        <v>-30.3</v>
      </c>
      <c r="K407" s="2">
        <f t="shared" si="53"/>
        <v>-23.7</v>
      </c>
      <c r="L407" s="8">
        <f t="shared" ref="L407:L433" si="57">10^((K407-H407)/10)</f>
        <v>8.5113803820237492E-13</v>
      </c>
      <c r="M407" s="26"/>
      <c r="N407" s="17"/>
      <c r="O407" s="9">
        <f t="shared" si="55"/>
        <v>-30.3</v>
      </c>
      <c r="P407" s="8">
        <f>D404/B404*10^(O407/10)</f>
        <v>1.8354001249007469E-2</v>
      </c>
      <c r="Q407" s="26"/>
      <c r="R407" s="17"/>
      <c r="S407" s="19"/>
      <c r="T407" s="17"/>
      <c r="U407" s="22"/>
    </row>
    <row r="408" spans="1:21" x14ac:dyDescent="0.25">
      <c r="A408" s="24"/>
      <c r="B408" s="24"/>
      <c r="C408" s="17"/>
      <c r="D408" s="24"/>
      <c r="E408" s="24"/>
      <c r="F408" s="25"/>
      <c r="G408" s="1">
        <v>625</v>
      </c>
      <c r="H408" s="2">
        <v>92</v>
      </c>
      <c r="I408" s="2">
        <v>-29.5</v>
      </c>
      <c r="J408" s="2">
        <v>-29.6</v>
      </c>
      <c r="K408" s="2">
        <f t="shared" si="53"/>
        <v>-29.5</v>
      </c>
      <c r="L408" s="8">
        <f t="shared" si="57"/>
        <v>7.0794578438413455E-13</v>
      </c>
      <c r="M408" s="26"/>
      <c r="N408" s="17"/>
      <c r="O408" s="9">
        <f t="shared" si="55"/>
        <v>-29.6</v>
      </c>
      <c r="P408" s="8">
        <f>D404/B404*10^(O408/10)</f>
        <v>2.1564071190815971E-2</v>
      </c>
      <c r="Q408" s="26"/>
      <c r="R408" s="17"/>
      <c r="S408" s="19"/>
      <c r="T408" s="17"/>
      <c r="U408" s="22"/>
    </row>
    <row r="409" spans="1:21" x14ac:dyDescent="0.25">
      <c r="A409" s="24"/>
      <c r="B409" s="24"/>
      <c r="C409" s="17"/>
      <c r="D409" s="24"/>
      <c r="E409" s="24"/>
      <c r="F409" s="25"/>
      <c r="G409" s="1">
        <v>675</v>
      </c>
      <c r="H409" s="2">
        <v>94.5</v>
      </c>
      <c r="I409" s="2">
        <v>-20.2</v>
      </c>
      <c r="J409" s="2">
        <v>-27</v>
      </c>
      <c r="K409" s="2">
        <f t="shared" si="53"/>
        <v>-20.2</v>
      </c>
      <c r="L409" s="8">
        <f t="shared" si="57"/>
        <v>3.3884415613920115E-12</v>
      </c>
      <c r="M409" s="26"/>
      <c r="N409" s="17"/>
      <c r="O409" s="9">
        <f t="shared" si="55"/>
        <v>-27</v>
      </c>
      <c r="P409" s="8">
        <f>D404/B404*10^(O409/10)</f>
        <v>3.9240158861054607E-2</v>
      </c>
      <c r="Q409" s="26"/>
      <c r="R409" s="17"/>
      <c r="S409" s="20"/>
      <c r="T409" s="17"/>
      <c r="U409" s="23"/>
    </row>
    <row r="410" spans="1:21" x14ac:dyDescent="0.25">
      <c r="A410" s="24">
        <v>1000</v>
      </c>
      <c r="B410" s="24">
        <v>3</v>
      </c>
      <c r="C410" s="17">
        <v>0.5</v>
      </c>
      <c r="D410" s="24">
        <v>117</v>
      </c>
      <c r="E410" s="24">
        <v>6</v>
      </c>
      <c r="F410" s="25">
        <v>76</v>
      </c>
      <c r="G410" s="1">
        <v>875</v>
      </c>
      <c r="H410" s="2">
        <v>91.1</v>
      </c>
      <c r="I410" s="2">
        <v>-24.3</v>
      </c>
      <c r="J410" s="2">
        <v>-33.9</v>
      </c>
      <c r="K410" s="2">
        <f t="shared" si="53"/>
        <v>-24.3</v>
      </c>
      <c r="L410" s="8">
        <f t="shared" si="57"/>
        <v>2.884031503126606E-12</v>
      </c>
      <c r="M410" s="26">
        <f>SUM(L410:L415)</f>
        <v>9.2129042913061501E-12</v>
      </c>
      <c r="N410" s="17">
        <f>10*LOG10(M410/E410)</f>
        <v>-118.13754690886333</v>
      </c>
      <c r="O410" s="9">
        <f t="shared" si="55"/>
        <v>-33.9</v>
      </c>
      <c r="P410" s="8">
        <f>D410/B410*10^(O410/10)</f>
        <v>1.5887830834360406E-2</v>
      </c>
      <c r="Q410" s="26">
        <f>SUM(P410:P415)</f>
        <v>0.27976174385380304</v>
      </c>
      <c r="R410" s="17">
        <f>10*LOG10(Q410)</f>
        <v>-5.5321167357941112</v>
      </c>
      <c r="S410" s="18">
        <f>F410+N410-Kzt-H</f>
        <v>-42.137546908863328</v>
      </c>
      <c r="T410" s="17">
        <v>0.8</v>
      </c>
      <c r="U410" s="21">
        <f>T410*10^((S410-R410)/10)</f>
        <v>1.7480223037732274E-4</v>
      </c>
    </row>
    <row r="411" spans="1:21" x14ac:dyDescent="0.25">
      <c r="A411" s="24"/>
      <c r="B411" s="24"/>
      <c r="C411" s="17"/>
      <c r="D411" s="24"/>
      <c r="E411" s="24"/>
      <c r="F411" s="25"/>
      <c r="G411" s="1">
        <v>975</v>
      </c>
      <c r="H411" s="2">
        <v>96.5</v>
      </c>
      <c r="I411" s="2">
        <v>-21.1</v>
      </c>
      <c r="J411" s="2">
        <v>-28.9</v>
      </c>
      <c r="K411" s="2">
        <f t="shared" si="53"/>
        <v>-21.1</v>
      </c>
      <c r="L411" s="8">
        <f t="shared" si="57"/>
        <v>1.737800828749373E-12</v>
      </c>
      <c r="M411" s="26"/>
      <c r="N411" s="17"/>
      <c r="O411" s="9">
        <f t="shared" si="55"/>
        <v>-28.9</v>
      </c>
      <c r="P411" s="8">
        <f>D410/B410*10^(O411/10)</f>
        <v>5.0241732516032228E-2</v>
      </c>
      <c r="Q411" s="26"/>
      <c r="R411" s="17"/>
      <c r="S411" s="19"/>
      <c r="T411" s="17"/>
      <c r="U411" s="22"/>
    </row>
    <row r="412" spans="1:21" x14ac:dyDescent="0.25">
      <c r="A412" s="24"/>
      <c r="B412" s="24"/>
      <c r="C412" s="17"/>
      <c r="D412" s="24"/>
      <c r="E412" s="24"/>
      <c r="F412" s="25"/>
      <c r="G412" s="1">
        <v>1075</v>
      </c>
      <c r="H412" s="2">
        <v>94.6</v>
      </c>
      <c r="I412" s="2">
        <v>-21.3</v>
      </c>
      <c r="J412" s="2">
        <v>-33.4</v>
      </c>
      <c r="K412" s="2">
        <f t="shared" si="53"/>
        <v>-21.3</v>
      </c>
      <c r="L412" s="8">
        <f t="shared" si="57"/>
        <v>2.5703957827688561E-12</v>
      </c>
      <c r="M412" s="26"/>
      <c r="N412" s="17"/>
      <c r="O412" s="9">
        <f t="shared" si="55"/>
        <v>-33.4</v>
      </c>
      <c r="P412" s="8">
        <f>D410/B410*10^(O412/10)</f>
        <v>1.7826439394980124E-2</v>
      </c>
      <c r="Q412" s="26"/>
      <c r="R412" s="17"/>
      <c r="S412" s="19"/>
      <c r="T412" s="17"/>
      <c r="U412" s="22"/>
    </row>
    <row r="413" spans="1:21" x14ac:dyDescent="0.25">
      <c r="A413" s="24"/>
      <c r="B413" s="24"/>
      <c r="C413" s="17"/>
      <c r="D413" s="24"/>
      <c r="E413" s="24"/>
      <c r="F413" s="25"/>
      <c r="G413" s="1">
        <v>1175</v>
      </c>
      <c r="H413" s="2">
        <v>97.8</v>
      </c>
      <c r="I413" s="2">
        <v>-22</v>
      </c>
      <c r="J413" s="2">
        <v>-27.2</v>
      </c>
      <c r="K413" s="2">
        <f t="shared" si="53"/>
        <v>-22</v>
      </c>
      <c r="L413" s="8">
        <f t="shared" si="57"/>
        <v>1.0471285480508967E-12</v>
      </c>
      <c r="M413" s="26"/>
      <c r="N413" s="17"/>
      <c r="O413" s="9">
        <f t="shared" si="55"/>
        <v>-27.2</v>
      </c>
      <c r="P413" s="8">
        <f>D410/B410*10^(O413/10)</f>
        <v>7.4312968000566651E-2</v>
      </c>
      <c r="Q413" s="26"/>
      <c r="R413" s="17"/>
      <c r="S413" s="19"/>
      <c r="T413" s="17"/>
      <c r="U413" s="22"/>
    </row>
    <row r="414" spans="1:21" x14ac:dyDescent="0.25">
      <c r="A414" s="24"/>
      <c r="B414" s="24"/>
      <c r="C414" s="17"/>
      <c r="D414" s="24"/>
      <c r="E414" s="24"/>
      <c r="F414" s="25"/>
      <c r="G414" s="1">
        <v>1275</v>
      </c>
      <c r="H414" s="2">
        <v>100.1</v>
      </c>
      <c r="I414" s="2">
        <v>-22.6</v>
      </c>
      <c r="J414" s="2">
        <v>-30.1</v>
      </c>
      <c r="K414" s="2">
        <f t="shared" si="53"/>
        <v>-22.6</v>
      </c>
      <c r="L414" s="8">
        <f t="shared" si="57"/>
        <v>5.3703179637025273E-13</v>
      </c>
      <c r="M414" s="26"/>
      <c r="N414" s="17"/>
      <c r="O414" s="9">
        <f t="shared" si="55"/>
        <v>-30.1</v>
      </c>
      <c r="P414" s="8">
        <f>D410/B410*10^(O414/10)</f>
        <v>3.8112251617276563E-2</v>
      </c>
      <c r="Q414" s="26"/>
      <c r="R414" s="17"/>
      <c r="S414" s="19"/>
      <c r="T414" s="17"/>
      <c r="U414" s="22"/>
    </row>
    <row r="415" spans="1:21" x14ac:dyDescent="0.25">
      <c r="A415" s="24"/>
      <c r="B415" s="24"/>
      <c r="C415" s="17"/>
      <c r="D415" s="24"/>
      <c r="E415" s="24"/>
      <c r="F415" s="25"/>
      <c r="G415" s="1">
        <v>1375</v>
      </c>
      <c r="H415" s="2">
        <v>103</v>
      </c>
      <c r="I415" s="2">
        <v>-20.6</v>
      </c>
      <c r="J415" s="2">
        <v>-26.7</v>
      </c>
      <c r="K415" s="2">
        <f t="shared" si="53"/>
        <v>-20.6</v>
      </c>
      <c r="L415" s="8">
        <f t="shared" si="57"/>
        <v>4.3651583224016479E-13</v>
      </c>
      <c r="M415" s="26"/>
      <c r="N415" s="17"/>
      <c r="O415" s="9">
        <f t="shared" si="55"/>
        <v>-26.7</v>
      </c>
      <c r="P415" s="8">
        <f>D410/B410*10^(O415/10)</f>
        <v>8.3380521490587042E-2</v>
      </c>
      <c r="Q415" s="26"/>
      <c r="R415" s="17"/>
      <c r="S415" s="20"/>
      <c r="T415" s="17"/>
      <c r="U415" s="23"/>
    </row>
    <row r="416" spans="1:21" x14ac:dyDescent="0.25">
      <c r="A416" s="24">
        <v>2000</v>
      </c>
      <c r="B416" s="24">
        <v>3</v>
      </c>
      <c r="C416" s="17">
        <v>0.5</v>
      </c>
      <c r="D416" s="24">
        <v>234</v>
      </c>
      <c r="E416" s="24">
        <v>6</v>
      </c>
      <c r="F416" s="25">
        <v>68</v>
      </c>
      <c r="G416" s="1">
        <v>1425</v>
      </c>
      <c r="H416" s="2">
        <v>102.8</v>
      </c>
      <c r="I416" s="2">
        <v>-21.5</v>
      </c>
      <c r="J416" s="2">
        <v>-28.2</v>
      </c>
      <c r="K416" s="2">
        <f t="shared" si="53"/>
        <v>-21.5</v>
      </c>
      <c r="L416" s="8">
        <f t="shared" si="57"/>
        <v>3.7153522909717175E-13</v>
      </c>
      <c r="M416" s="26">
        <f>SUM(L416:L421)</f>
        <v>5.7890132872580477E-12</v>
      </c>
      <c r="N416" s="17">
        <f>10*LOG10(M416/E416)</f>
        <v>-120.15546703999389</v>
      </c>
      <c r="O416" s="9">
        <f t="shared" si="55"/>
        <v>-28.2</v>
      </c>
      <c r="P416" s="8">
        <f>D416/B416*10^(O416/10)</f>
        <v>0.11805777737802417</v>
      </c>
      <c r="Q416" s="26">
        <f>SUM(P416:P421)</f>
        <v>0.94606981108649157</v>
      </c>
      <c r="R416" s="17">
        <f>10*LOG10(Q416)</f>
        <v>-0.24076815552754507</v>
      </c>
      <c r="S416" s="18">
        <f>F416+N416-Kzt-H</f>
        <v>-52.155467039993894</v>
      </c>
      <c r="T416" s="17">
        <v>1</v>
      </c>
      <c r="U416" s="21">
        <f>T416*10^((S416-R416)/10)</f>
        <v>6.4347267824667028E-6</v>
      </c>
    </row>
    <row r="417" spans="1:21" x14ac:dyDescent="0.25">
      <c r="A417" s="24"/>
      <c r="B417" s="24"/>
      <c r="C417" s="17"/>
      <c r="D417" s="24"/>
      <c r="E417" s="24"/>
      <c r="F417" s="25"/>
      <c r="G417" s="1">
        <v>1625</v>
      </c>
      <c r="H417" s="2">
        <v>104.1</v>
      </c>
      <c r="I417" s="2">
        <v>-21.5</v>
      </c>
      <c r="J417" s="2">
        <v>-28.3</v>
      </c>
      <c r="K417" s="2">
        <f t="shared" si="53"/>
        <v>-21.5</v>
      </c>
      <c r="L417" s="8">
        <f t="shared" si="57"/>
        <v>2.754228703338164E-13</v>
      </c>
      <c r="M417" s="26"/>
      <c r="N417" s="17"/>
      <c r="O417" s="9">
        <f t="shared" si="55"/>
        <v>-28.3</v>
      </c>
      <c r="P417" s="8">
        <f>D416/B416*10^(O417/10)</f>
        <v>0.11537045427712012</v>
      </c>
      <c r="Q417" s="26"/>
      <c r="R417" s="17"/>
      <c r="S417" s="19"/>
      <c r="T417" s="17"/>
      <c r="U417" s="22"/>
    </row>
    <row r="418" spans="1:21" x14ac:dyDescent="0.25">
      <c r="A418" s="24"/>
      <c r="B418" s="24"/>
      <c r="C418" s="17"/>
      <c r="D418" s="24"/>
      <c r="E418" s="24"/>
      <c r="F418" s="25"/>
      <c r="G418" s="1">
        <v>1825</v>
      </c>
      <c r="H418" s="2">
        <v>107.6</v>
      </c>
      <c r="I418" s="2">
        <v>-20.6</v>
      </c>
      <c r="J418" s="2">
        <v>-29.1</v>
      </c>
      <c r="K418" s="2">
        <f t="shared" si="53"/>
        <v>-20.6</v>
      </c>
      <c r="L418" s="8">
        <f t="shared" si="57"/>
        <v>1.5135612484362107E-13</v>
      </c>
      <c r="M418" s="26"/>
      <c r="N418" s="17"/>
      <c r="O418" s="9">
        <f t="shared" si="55"/>
        <v>-29.1</v>
      </c>
      <c r="P418" s="8">
        <f>D416/B416*10^(O418/10)</f>
        <v>9.5960964123365702E-2</v>
      </c>
      <c r="Q418" s="26"/>
      <c r="R418" s="17"/>
      <c r="S418" s="19"/>
      <c r="T418" s="17"/>
      <c r="U418" s="22"/>
    </row>
    <row r="419" spans="1:21" x14ac:dyDescent="0.25">
      <c r="A419" s="24"/>
      <c r="B419" s="24"/>
      <c r="C419" s="17"/>
      <c r="D419" s="24"/>
      <c r="E419" s="24"/>
      <c r="F419" s="25"/>
      <c r="G419" s="1">
        <v>2125</v>
      </c>
      <c r="H419" s="2">
        <v>104.2</v>
      </c>
      <c r="I419" s="2">
        <v>-23.8</v>
      </c>
      <c r="J419" s="2">
        <v>-27.5</v>
      </c>
      <c r="K419" s="2">
        <f t="shared" si="53"/>
        <v>-23.8</v>
      </c>
      <c r="L419" s="8">
        <f t="shared" si="57"/>
        <v>1.5848931924611046E-13</v>
      </c>
      <c r="M419" s="26"/>
      <c r="N419" s="17"/>
      <c r="O419" s="9">
        <f t="shared" si="55"/>
        <v>-27.5</v>
      </c>
      <c r="P419" s="8">
        <f>D416/B416*10^(O419/10)</f>
        <v>0.13870579398303595</v>
      </c>
      <c r="Q419" s="26"/>
      <c r="R419" s="17"/>
      <c r="S419" s="19"/>
      <c r="T419" s="17"/>
      <c r="U419" s="22"/>
    </row>
    <row r="420" spans="1:21" x14ac:dyDescent="0.25">
      <c r="A420" s="24"/>
      <c r="B420" s="24"/>
      <c r="C420" s="17"/>
      <c r="D420" s="24"/>
      <c r="E420" s="24"/>
      <c r="F420" s="25"/>
      <c r="G420" s="1">
        <v>2425</v>
      </c>
      <c r="H420" s="2">
        <v>93.7</v>
      </c>
      <c r="I420" s="2">
        <v>-20.3</v>
      </c>
      <c r="J420" s="2">
        <v>-27.3</v>
      </c>
      <c r="K420" s="2">
        <f t="shared" si="53"/>
        <v>-20.3</v>
      </c>
      <c r="L420" s="8">
        <f t="shared" si="57"/>
        <v>3.9810717055349533E-12</v>
      </c>
      <c r="M420" s="26"/>
      <c r="N420" s="17"/>
      <c r="O420" s="9">
        <f t="shared" si="55"/>
        <v>-27.3</v>
      </c>
      <c r="P420" s="8">
        <f>D416/B416*10^(O420/10)</f>
        <v>0.14524279665970358</v>
      </c>
      <c r="Q420" s="26"/>
      <c r="R420" s="17"/>
      <c r="S420" s="19"/>
      <c r="T420" s="17"/>
      <c r="U420" s="22"/>
    </row>
    <row r="421" spans="1:21" x14ac:dyDescent="0.25">
      <c r="A421" s="24"/>
      <c r="B421" s="24"/>
      <c r="C421" s="17"/>
      <c r="D421" s="24"/>
      <c r="E421" s="24"/>
      <c r="F421" s="25"/>
      <c r="G421" s="1">
        <v>2775</v>
      </c>
      <c r="H421" s="2">
        <v>100.2</v>
      </c>
      <c r="I421" s="2">
        <v>-20.5</v>
      </c>
      <c r="J421" s="2">
        <v>-23.7</v>
      </c>
      <c r="K421" s="2">
        <f t="shared" si="53"/>
        <v>-20.5</v>
      </c>
      <c r="L421" s="8">
        <f t="shared" si="57"/>
        <v>8.5113803820237492E-13</v>
      </c>
      <c r="M421" s="26"/>
      <c r="N421" s="17"/>
      <c r="O421" s="9">
        <f t="shared" si="55"/>
        <v>-23.7</v>
      </c>
      <c r="P421" s="8">
        <f>D416/B416*10^(O421/10)</f>
        <v>0.33273202466524215</v>
      </c>
      <c r="Q421" s="26"/>
      <c r="R421" s="17"/>
      <c r="S421" s="20"/>
      <c r="T421" s="17"/>
      <c r="U421" s="23"/>
    </row>
    <row r="422" spans="1:21" x14ac:dyDescent="0.25">
      <c r="A422" s="24">
        <v>4000</v>
      </c>
      <c r="B422" s="24">
        <v>3</v>
      </c>
      <c r="C422" s="17">
        <v>0.5</v>
      </c>
      <c r="D422" s="24">
        <v>470</v>
      </c>
      <c r="E422" s="24">
        <v>6</v>
      </c>
      <c r="F422" s="25">
        <v>62</v>
      </c>
      <c r="G422" s="1">
        <v>2825</v>
      </c>
      <c r="H422" s="2">
        <v>99.4</v>
      </c>
      <c r="I422" s="2">
        <v>-27.3</v>
      </c>
      <c r="J422" s="2">
        <v>-27.7</v>
      </c>
      <c r="K422" s="2">
        <f t="shared" si="53"/>
        <v>-27.3</v>
      </c>
      <c r="L422" s="8">
        <f t="shared" si="57"/>
        <v>2.1379620895022253E-13</v>
      </c>
      <c r="M422" s="26">
        <f>SUM(L422:L427)</f>
        <v>1.980533693996962E-12</v>
      </c>
      <c r="N422" s="17">
        <f>10*LOG10(M422/E422)</f>
        <v>-124.81369015108882</v>
      </c>
      <c r="O422" s="9">
        <f t="shared" si="55"/>
        <v>-27.7</v>
      </c>
      <c r="P422" s="8">
        <f>D422/B422*10^(O422/10)</f>
        <v>0.26605817221900629</v>
      </c>
      <c r="Q422" s="26">
        <f>SUM(P422:P427)</f>
        <v>1.7841481602646858</v>
      </c>
      <c r="R422" s="17">
        <f>10*LOG10(Q422)</f>
        <v>2.5143091647150633</v>
      </c>
      <c r="S422" s="18">
        <f>F422+N422-Kzt-H</f>
        <v>-62.813690151088821</v>
      </c>
      <c r="T422" s="17">
        <v>0.9</v>
      </c>
      <c r="U422" s="21">
        <f>T422*10^((S422-R422)/10)</f>
        <v>2.6390193698291017E-7</v>
      </c>
    </row>
    <row r="423" spans="1:21" x14ac:dyDescent="0.25">
      <c r="A423" s="24"/>
      <c r="B423" s="24"/>
      <c r="C423" s="17"/>
      <c r="D423" s="24"/>
      <c r="E423" s="24"/>
      <c r="F423" s="25"/>
      <c r="G423" s="1">
        <v>3425</v>
      </c>
      <c r="H423" s="2">
        <v>103.5</v>
      </c>
      <c r="I423" s="2">
        <v>-23.5</v>
      </c>
      <c r="J423" s="2">
        <v>-26.1</v>
      </c>
      <c r="K423" s="2">
        <f t="shared" si="53"/>
        <v>-23.5</v>
      </c>
      <c r="L423" s="8">
        <f t="shared" si="57"/>
        <v>1.9952623149688807E-13</v>
      </c>
      <c r="M423" s="26"/>
      <c r="N423" s="17"/>
      <c r="O423" s="9">
        <f t="shared" si="55"/>
        <v>-26.1</v>
      </c>
      <c r="P423" s="8">
        <f>D422/B422*10^(O423/10)</f>
        <v>0.38457106345732078</v>
      </c>
      <c r="Q423" s="26"/>
      <c r="R423" s="17"/>
      <c r="S423" s="19"/>
      <c r="T423" s="17"/>
      <c r="U423" s="22"/>
    </row>
    <row r="424" spans="1:21" x14ac:dyDescent="0.25">
      <c r="A424" s="24"/>
      <c r="B424" s="24"/>
      <c r="C424" s="17"/>
      <c r="D424" s="24"/>
      <c r="E424" s="24"/>
      <c r="F424" s="25"/>
      <c r="G424" s="1">
        <v>4025</v>
      </c>
      <c r="H424" s="2">
        <v>103.6</v>
      </c>
      <c r="I424" s="2">
        <v>-19.600000000000001</v>
      </c>
      <c r="J424" s="2">
        <v>-24.5</v>
      </c>
      <c r="K424" s="2">
        <f t="shared" si="53"/>
        <v>-19.600000000000001</v>
      </c>
      <c r="L424" s="8">
        <f t="shared" si="57"/>
        <v>4.7863009232263857E-13</v>
      </c>
      <c r="M424" s="26"/>
      <c r="N424" s="17"/>
      <c r="O424" s="9">
        <f t="shared" si="55"/>
        <v>-24.5</v>
      </c>
      <c r="P424" s="8">
        <f>D422/B422*10^(O424/10)</f>
        <v>0.55587430979926788</v>
      </c>
      <c r="Q424" s="26"/>
      <c r="R424" s="17"/>
      <c r="S424" s="19"/>
      <c r="T424" s="17"/>
      <c r="U424" s="22"/>
    </row>
    <row r="425" spans="1:21" x14ac:dyDescent="0.25">
      <c r="A425" s="24"/>
      <c r="B425" s="24"/>
      <c r="C425" s="17"/>
      <c r="D425" s="24"/>
      <c r="E425" s="24"/>
      <c r="F425" s="25"/>
      <c r="G425" s="1">
        <v>4625</v>
      </c>
      <c r="H425" s="2">
        <v>105.6</v>
      </c>
      <c r="I425" s="2">
        <v>-23.4</v>
      </c>
      <c r="J425" s="2">
        <v>-27</v>
      </c>
      <c r="K425" s="2">
        <f t="shared" si="53"/>
        <v>-23.4</v>
      </c>
      <c r="L425" s="8">
        <f t="shared" si="57"/>
        <v>1.2589254117941612E-13</v>
      </c>
      <c r="M425" s="26"/>
      <c r="N425" s="17"/>
      <c r="O425" s="9">
        <f t="shared" si="55"/>
        <v>-27</v>
      </c>
      <c r="P425" s="8">
        <f>D422/B422*10^(O425/10)</f>
        <v>0.31259109601179086</v>
      </c>
      <c r="Q425" s="26"/>
      <c r="R425" s="17"/>
      <c r="S425" s="19"/>
      <c r="T425" s="17"/>
      <c r="U425" s="22"/>
    </row>
    <row r="426" spans="1:21" x14ac:dyDescent="0.25">
      <c r="A426" s="24"/>
      <c r="B426" s="24"/>
      <c r="C426" s="17"/>
      <c r="D426" s="24"/>
      <c r="E426" s="24"/>
      <c r="F426" s="25"/>
      <c r="G426" s="1">
        <v>5225</v>
      </c>
      <c r="H426" s="2">
        <v>103.5</v>
      </c>
      <c r="I426" s="2">
        <v>-21.7</v>
      </c>
      <c r="J426" s="2">
        <v>-31.6</v>
      </c>
      <c r="K426" s="2">
        <f t="shared" si="53"/>
        <v>-21.7</v>
      </c>
      <c r="L426" s="8">
        <f t="shared" si="57"/>
        <v>3.0199517204020122E-13</v>
      </c>
      <c r="M426" s="26"/>
      <c r="N426" s="17"/>
      <c r="O426" s="9">
        <f t="shared" si="55"/>
        <v>-31.6</v>
      </c>
      <c r="P426" s="8">
        <f>D422/B422*10^(O426/10)</f>
        <v>0.10838685211063327</v>
      </c>
      <c r="Q426" s="26"/>
      <c r="R426" s="17"/>
      <c r="S426" s="19"/>
      <c r="T426" s="17"/>
      <c r="U426" s="22"/>
    </row>
    <row r="427" spans="1:21" x14ac:dyDescent="0.25">
      <c r="A427" s="24"/>
      <c r="B427" s="24"/>
      <c r="C427" s="17"/>
      <c r="D427" s="24"/>
      <c r="E427" s="24"/>
      <c r="F427" s="25"/>
      <c r="G427" s="1">
        <v>5625</v>
      </c>
      <c r="H427" s="2">
        <v>99.5</v>
      </c>
      <c r="I427" s="2">
        <v>-22.3</v>
      </c>
      <c r="J427" s="2">
        <v>-30</v>
      </c>
      <c r="K427" s="2">
        <f t="shared" si="53"/>
        <v>-22.3</v>
      </c>
      <c r="L427" s="8">
        <f t="shared" si="57"/>
        <v>6.606934480075954E-13</v>
      </c>
      <c r="M427" s="26"/>
      <c r="N427" s="17"/>
      <c r="O427" s="9">
        <f t="shared" si="55"/>
        <v>-30</v>
      </c>
      <c r="P427" s="8">
        <f>D422/B422*10^(O427/10)</f>
        <v>0.15666666666666665</v>
      </c>
      <c r="Q427" s="26"/>
      <c r="R427" s="17"/>
      <c r="S427" s="20"/>
      <c r="T427" s="17"/>
      <c r="U427" s="23"/>
    </row>
    <row r="428" spans="1:21" x14ac:dyDescent="0.25">
      <c r="A428" s="24">
        <v>8000</v>
      </c>
      <c r="B428" s="24">
        <v>3</v>
      </c>
      <c r="C428" s="17">
        <v>0.5</v>
      </c>
      <c r="D428" s="24">
        <v>943</v>
      </c>
      <c r="E428" s="24">
        <v>6</v>
      </c>
      <c r="F428" s="25">
        <v>54</v>
      </c>
      <c r="G428" s="1">
        <v>6025</v>
      </c>
      <c r="H428" s="2">
        <v>95</v>
      </c>
      <c r="I428" s="2">
        <v>-23.6</v>
      </c>
      <c r="J428" s="2">
        <v>-30.3</v>
      </c>
      <c r="K428" s="2">
        <f t="shared" si="53"/>
        <v>-23.6</v>
      </c>
      <c r="L428" s="8">
        <f t="shared" si="57"/>
        <v>1.3803842646028842E-12</v>
      </c>
      <c r="M428" s="26">
        <f>SUM(L428:L433)</f>
        <v>2.3149042045826483E-11</v>
      </c>
      <c r="N428" s="17">
        <f>10*LOG10(M428/E428)</f>
        <v>-114.13618226641746</v>
      </c>
      <c r="O428" s="9">
        <f t="shared" si="55"/>
        <v>-30.3</v>
      </c>
      <c r="P428" s="8">
        <f>D428/B428*10^(O428/10)</f>
        <v>0.29335293521718714</v>
      </c>
      <c r="Q428" s="26">
        <f>SUM(P428:P433)</f>
        <v>3.6319424329874632</v>
      </c>
      <c r="R428" s="17">
        <f>10*LOG10(Q428)</f>
        <v>5.6013895624937273</v>
      </c>
      <c r="S428" s="18">
        <f>F428+N428-Kzt-H</f>
        <v>-60.136182266417464</v>
      </c>
      <c r="T428" s="17">
        <v>0.7</v>
      </c>
      <c r="U428" s="21">
        <f>T428*10^((S428-R428)/10)</f>
        <v>1.8678450986473311E-7</v>
      </c>
    </row>
    <row r="429" spans="1:21" x14ac:dyDescent="0.25">
      <c r="A429" s="24"/>
      <c r="B429" s="24"/>
      <c r="C429" s="17"/>
      <c r="D429" s="24"/>
      <c r="E429" s="24"/>
      <c r="F429" s="25"/>
      <c r="G429" s="1">
        <v>7025</v>
      </c>
      <c r="H429" s="2">
        <v>94.8</v>
      </c>
      <c r="I429" s="2">
        <v>-25.1</v>
      </c>
      <c r="J429" s="2">
        <v>-26.6</v>
      </c>
      <c r="K429" s="2">
        <f t="shared" si="53"/>
        <v>-25.1</v>
      </c>
      <c r="L429" s="8">
        <f t="shared" si="57"/>
        <v>1.0232929922807514E-12</v>
      </c>
      <c r="M429" s="26"/>
      <c r="N429" s="17"/>
      <c r="O429" s="9">
        <f t="shared" si="55"/>
        <v>-26.6</v>
      </c>
      <c r="P429" s="8">
        <f>D428/B428*10^(O429/10)</f>
        <v>0.6876864037948085</v>
      </c>
      <c r="Q429" s="26"/>
      <c r="R429" s="17"/>
      <c r="S429" s="19"/>
      <c r="T429" s="17"/>
      <c r="U429" s="22"/>
    </row>
    <row r="430" spans="1:21" x14ac:dyDescent="0.25">
      <c r="A430" s="24"/>
      <c r="B430" s="24"/>
      <c r="C430" s="17"/>
      <c r="D430" s="24"/>
      <c r="E430" s="24"/>
      <c r="F430" s="25"/>
      <c r="G430" s="1">
        <v>8025</v>
      </c>
      <c r="H430" s="2">
        <v>101.9</v>
      </c>
      <c r="I430" s="2">
        <v>-23.9</v>
      </c>
      <c r="J430" s="2">
        <v>-27.3</v>
      </c>
      <c r="K430" s="2">
        <f t="shared" si="53"/>
        <v>-23.9</v>
      </c>
      <c r="L430" s="8">
        <f t="shared" si="57"/>
        <v>2.6302679918953618E-13</v>
      </c>
      <c r="M430" s="26"/>
      <c r="N430" s="17"/>
      <c r="O430" s="9">
        <f t="shared" si="55"/>
        <v>-27.3</v>
      </c>
      <c r="P430" s="8">
        <f>D428/B428*10^(O430/10)</f>
        <v>0.58531605662436104</v>
      </c>
      <c r="Q430" s="26"/>
      <c r="R430" s="17"/>
      <c r="S430" s="19"/>
      <c r="T430" s="17"/>
      <c r="U430" s="22"/>
    </row>
    <row r="431" spans="1:21" x14ac:dyDescent="0.25">
      <c r="A431" s="24"/>
      <c r="B431" s="24"/>
      <c r="C431" s="17"/>
      <c r="D431" s="24"/>
      <c r="E431" s="24"/>
      <c r="F431" s="25"/>
      <c r="G431" s="1">
        <v>9025</v>
      </c>
      <c r="H431" s="2">
        <v>93.2</v>
      </c>
      <c r="I431" s="2">
        <v>-19.8</v>
      </c>
      <c r="J431" s="2">
        <v>-26.5</v>
      </c>
      <c r="K431" s="2">
        <f t="shared" si="53"/>
        <v>-19.8</v>
      </c>
      <c r="L431" s="8">
        <f t="shared" si="57"/>
        <v>5.0118723362726945E-12</v>
      </c>
      <c r="M431" s="26"/>
      <c r="N431" s="17"/>
      <c r="O431" s="9">
        <f t="shared" si="55"/>
        <v>-26.5</v>
      </c>
      <c r="P431" s="8">
        <f>D428/B428*10^(O431/10)</f>
        <v>0.70370467788998103</v>
      </c>
      <c r="Q431" s="26"/>
      <c r="R431" s="17"/>
      <c r="S431" s="19"/>
      <c r="T431" s="17"/>
      <c r="U431" s="22"/>
    </row>
    <row r="432" spans="1:21" x14ac:dyDescent="0.25">
      <c r="A432" s="24"/>
      <c r="B432" s="24"/>
      <c r="C432" s="17"/>
      <c r="D432" s="24"/>
      <c r="E432" s="24"/>
      <c r="F432" s="25"/>
      <c r="G432" s="1">
        <v>10025</v>
      </c>
      <c r="H432" s="2">
        <v>88.3</v>
      </c>
      <c r="I432" s="2">
        <v>-23.4</v>
      </c>
      <c r="J432" s="2">
        <v>-26.9</v>
      </c>
      <c r="K432" s="2">
        <f t="shared" si="53"/>
        <v>-23.4</v>
      </c>
      <c r="L432" s="8">
        <f t="shared" si="57"/>
        <v>6.7608297539198193E-12</v>
      </c>
      <c r="M432" s="26"/>
      <c r="N432" s="17"/>
      <c r="O432" s="9">
        <f t="shared" si="55"/>
        <v>-26.9</v>
      </c>
      <c r="P432" s="8">
        <f>D428/B428*10^(O432/10)</f>
        <v>0.64178629394112197</v>
      </c>
      <c r="Q432" s="26"/>
      <c r="R432" s="17"/>
      <c r="S432" s="19"/>
      <c r="T432" s="17"/>
      <c r="U432" s="22"/>
    </row>
    <row r="433" spans="1:21" x14ac:dyDescent="0.25">
      <c r="A433" s="24"/>
      <c r="B433" s="24"/>
      <c r="C433" s="17"/>
      <c r="D433" s="24"/>
      <c r="E433" s="24"/>
      <c r="F433" s="25"/>
      <c r="G433" s="1">
        <v>11025</v>
      </c>
      <c r="H433" s="2">
        <v>86</v>
      </c>
      <c r="I433" s="2">
        <v>-24.599999999999998</v>
      </c>
      <c r="J433" s="2">
        <v>-26.4</v>
      </c>
      <c r="K433" s="2">
        <f t="shared" si="53"/>
        <v>-24.599999999999998</v>
      </c>
      <c r="L433" s="8">
        <f t="shared" si="57"/>
        <v>8.7096358995607975E-12</v>
      </c>
      <c r="M433" s="26"/>
      <c r="N433" s="17"/>
      <c r="O433" s="9">
        <f t="shared" si="55"/>
        <v>-26.4</v>
      </c>
      <c r="P433" s="8">
        <f>D428/B428*10^(O433/10)</f>
        <v>0.72009606552000349</v>
      </c>
      <c r="Q433" s="26"/>
      <c r="R433" s="17"/>
      <c r="S433" s="20"/>
      <c r="T433" s="17"/>
      <c r="U433" s="23"/>
    </row>
    <row r="434" spans="1:21" x14ac:dyDescent="0.25">
      <c r="A434" s="24" t="s">
        <v>20</v>
      </c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12">
        <f>U434</f>
        <v>7.5322212503675198E-2</v>
      </c>
      <c r="T434" s="2"/>
      <c r="U434" s="8">
        <f>0.8*SQRT(SUM(U400:U433))</f>
        <v>7.5322212503675198E-2</v>
      </c>
    </row>
    <row r="435" spans="1:21" x14ac:dyDescent="0.25">
      <c r="A435" s="27" t="s">
        <v>104</v>
      </c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9"/>
    </row>
    <row r="436" spans="1:21" x14ac:dyDescent="0.25">
      <c r="A436" s="24">
        <v>250</v>
      </c>
      <c r="B436" s="24">
        <v>3</v>
      </c>
      <c r="C436" s="17">
        <v>0.5</v>
      </c>
      <c r="D436" s="24">
        <v>38</v>
      </c>
      <c r="E436" s="24">
        <v>4</v>
      </c>
      <c r="F436" s="25">
        <v>84</v>
      </c>
      <c r="G436" s="1">
        <v>175</v>
      </c>
      <c r="H436" s="2">
        <v>84.8</v>
      </c>
      <c r="I436" s="2">
        <v>-21.9</v>
      </c>
      <c r="J436" s="2">
        <v>-26.2</v>
      </c>
      <c r="K436" s="2">
        <f>I436</f>
        <v>-21.9</v>
      </c>
      <c r="L436" s="8">
        <f>10^((K436-H436)/10)</f>
        <v>2.1379620895022375E-11</v>
      </c>
      <c r="M436" s="26">
        <f>SUM(L436:L439)</f>
        <v>3.5272380171709941E-11</v>
      </c>
      <c r="N436" s="17">
        <f>10*LOG10(M436/E436)</f>
        <v>-110.54625224584713</v>
      </c>
      <c r="O436" s="9">
        <f>J436</f>
        <v>-26.2</v>
      </c>
      <c r="P436" s="8">
        <f>D436/B436*10^(O436/10)</f>
        <v>3.0385216974246853E-2</v>
      </c>
      <c r="Q436" s="26">
        <f>SUM(P436:P439)</f>
        <v>0.17403001393536896</v>
      </c>
      <c r="R436" s="17">
        <f>10*LOG10(Q436)</f>
        <v>-7.593758450368191</v>
      </c>
      <c r="S436" s="18">
        <f>F436+N436-Kzt-H</f>
        <v>-26.546252245847128</v>
      </c>
      <c r="T436" s="17">
        <v>0.2</v>
      </c>
      <c r="U436" s="21">
        <f>T436*10^((S436-R436)/10)</f>
        <v>2.5455440460192655E-3</v>
      </c>
    </row>
    <row r="437" spans="1:21" x14ac:dyDescent="0.25">
      <c r="A437" s="24"/>
      <c r="B437" s="24"/>
      <c r="C437" s="17"/>
      <c r="D437" s="24"/>
      <c r="E437" s="24"/>
      <c r="F437" s="25"/>
      <c r="G437" s="1">
        <v>225</v>
      </c>
      <c r="H437" s="2">
        <v>90</v>
      </c>
      <c r="I437" s="2">
        <v>-22.8</v>
      </c>
      <c r="J437" s="2">
        <v>-22.9</v>
      </c>
      <c r="K437" s="2">
        <f t="shared" ref="K437:K469" si="58">I437</f>
        <v>-22.8</v>
      </c>
      <c r="L437" s="8">
        <f t="shared" ref="L437:L438" si="59">10^((K437-H437)/10)</f>
        <v>5.2480746024977136E-12</v>
      </c>
      <c r="M437" s="26"/>
      <c r="N437" s="17"/>
      <c r="O437" s="9">
        <f t="shared" ref="O437:O469" si="60">J437</f>
        <v>-22.9</v>
      </c>
      <c r="P437" s="8">
        <f>D436/B436*10^(O437/10)</f>
        <v>6.4962441972239521E-2</v>
      </c>
      <c r="Q437" s="26"/>
      <c r="R437" s="17"/>
      <c r="S437" s="19"/>
      <c r="T437" s="17"/>
      <c r="U437" s="22"/>
    </row>
    <row r="438" spans="1:21" x14ac:dyDescent="0.25">
      <c r="A438" s="24"/>
      <c r="B438" s="24"/>
      <c r="C438" s="17"/>
      <c r="D438" s="24"/>
      <c r="E438" s="24"/>
      <c r="F438" s="25"/>
      <c r="G438" s="1">
        <v>275</v>
      </c>
      <c r="H438" s="2">
        <v>92.2</v>
      </c>
      <c r="I438" s="2">
        <v>-21.2</v>
      </c>
      <c r="J438" s="2">
        <v>-26.7</v>
      </c>
      <c r="K438" s="2">
        <f t="shared" si="58"/>
        <v>-21.2</v>
      </c>
      <c r="L438" s="8">
        <f t="shared" si="59"/>
        <v>4.5708818961487419E-12</v>
      </c>
      <c r="M438" s="26"/>
      <c r="N438" s="17"/>
      <c r="O438" s="9">
        <f t="shared" si="60"/>
        <v>-26.7</v>
      </c>
      <c r="P438" s="8">
        <f>D436/B436*10^(O438/10)</f>
        <v>2.7080853133694936E-2</v>
      </c>
      <c r="Q438" s="26"/>
      <c r="R438" s="17"/>
      <c r="S438" s="19"/>
      <c r="T438" s="17"/>
      <c r="U438" s="22"/>
    </row>
    <row r="439" spans="1:21" x14ac:dyDescent="0.25">
      <c r="A439" s="24"/>
      <c r="B439" s="24"/>
      <c r="C439" s="17"/>
      <c r="D439" s="24"/>
      <c r="E439" s="24"/>
      <c r="F439" s="25"/>
      <c r="G439" s="1">
        <v>325</v>
      </c>
      <c r="H439" s="2">
        <v>93.3</v>
      </c>
      <c r="I439" s="2">
        <v>-20.6</v>
      </c>
      <c r="J439" s="2">
        <v>-23.9</v>
      </c>
      <c r="K439" s="2">
        <f t="shared" si="58"/>
        <v>-20.6</v>
      </c>
      <c r="L439" s="8">
        <f>10^((K439-H439)/10)</f>
        <v>4.0738027780411076E-12</v>
      </c>
      <c r="M439" s="26"/>
      <c r="N439" s="17"/>
      <c r="O439" s="9">
        <f t="shared" si="60"/>
        <v>-23.9</v>
      </c>
      <c r="P439" s="8">
        <f>D436/B436*10^(O439/10)</f>
        <v>5.1601501855187651E-2</v>
      </c>
      <c r="Q439" s="26"/>
      <c r="R439" s="17"/>
      <c r="S439" s="20"/>
      <c r="T439" s="17"/>
      <c r="U439" s="23"/>
    </row>
    <row r="440" spans="1:21" x14ac:dyDescent="0.25">
      <c r="A440" s="24">
        <v>500</v>
      </c>
      <c r="B440" s="24">
        <v>3</v>
      </c>
      <c r="C440" s="17">
        <v>0.5</v>
      </c>
      <c r="D440" s="24">
        <v>59</v>
      </c>
      <c r="E440" s="24">
        <v>6</v>
      </c>
      <c r="F440" s="25">
        <v>84</v>
      </c>
      <c r="G440" s="1">
        <v>375</v>
      </c>
      <c r="H440" s="2">
        <v>91.9</v>
      </c>
      <c r="I440" s="2">
        <v>-18.899999999999999</v>
      </c>
      <c r="J440" s="2">
        <v>-24.5</v>
      </c>
      <c r="K440" s="2">
        <f t="shared" si="58"/>
        <v>-18.899999999999999</v>
      </c>
      <c r="L440" s="8">
        <f t="shared" ref="L440:L441" si="61">10^((K440-H440)/10)</f>
        <v>8.3176377110266455E-12</v>
      </c>
      <c r="M440" s="26">
        <f>SUM(L440:L445)</f>
        <v>3.4047726788088387E-11</v>
      </c>
      <c r="N440" s="17">
        <f>10*LOG10(M440/E440)</f>
        <v>-112.46063129034854</v>
      </c>
      <c r="O440" s="9">
        <f t="shared" si="60"/>
        <v>-24.5</v>
      </c>
      <c r="P440" s="8">
        <f>D440/B440*10^(O440/10)</f>
        <v>6.9779966549269809E-2</v>
      </c>
      <c r="Q440" s="26">
        <f>SUM(P440:P445)</f>
        <v>0.24025333043645208</v>
      </c>
      <c r="R440" s="17">
        <f>10*LOG10(Q440)</f>
        <v>-6.1933058334662476</v>
      </c>
      <c r="S440" s="18">
        <f>F440+N440-Kzt-H</f>
        <v>-28.460631290348545</v>
      </c>
      <c r="T440" s="17">
        <v>0.5</v>
      </c>
      <c r="U440" s="21">
        <f>T440*10^((S440-R440)/10)</f>
        <v>2.9664529099131514E-3</v>
      </c>
    </row>
    <row r="441" spans="1:21" x14ac:dyDescent="0.25">
      <c r="A441" s="24"/>
      <c r="B441" s="24"/>
      <c r="C441" s="17"/>
      <c r="D441" s="24"/>
      <c r="E441" s="24"/>
      <c r="F441" s="25"/>
      <c r="G441" s="1">
        <v>425</v>
      </c>
      <c r="H441" s="2">
        <v>88.1</v>
      </c>
      <c r="I441" s="2">
        <v>-22.1</v>
      </c>
      <c r="J441" s="2">
        <v>-30.3</v>
      </c>
      <c r="K441" s="2">
        <f t="shared" si="58"/>
        <v>-22.1</v>
      </c>
      <c r="L441" s="8">
        <f t="shared" si="61"/>
        <v>9.5499258602143472E-12</v>
      </c>
      <c r="M441" s="26"/>
      <c r="N441" s="17"/>
      <c r="O441" s="9">
        <f t="shared" si="60"/>
        <v>-30.3</v>
      </c>
      <c r="P441" s="8">
        <f>D440/B440*10^(O441/10)</f>
        <v>1.8354001249007469E-2</v>
      </c>
      <c r="Q441" s="26"/>
      <c r="R441" s="17"/>
      <c r="S441" s="19"/>
      <c r="T441" s="17"/>
      <c r="U441" s="22"/>
    </row>
    <row r="442" spans="1:21" x14ac:dyDescent="0.25">
      <c r="A442" s="24"/>
      <c r="B442" s="24"/>
      <c r="C442" s="17"/>
      <c r="D442" s="24"/>
      <c r="E442" s="24"/>
      <c r="F442" s="25"/>
      <c r="G442" s="1">
        <v>475</v>
      </c>
      <c r="H442" s="2">
        <v>90</v>
      </c>
      <c r="I442" s="2">
        <v>-24.5</v>
      </c>
      <c r="J442" s="2">
        <v>-26.9</v>
      </c>
      <c r="K442" s="2">
        <f t="shared" si="58"/>
        <v>-24.5</v>
      </c>
      <c r="L442" s="8">
        <f>10^((K442-H442)/10)</f>
        <v>3.5481338923357515E-12</v>
      </c>
      <c r="M442" s="26"/>
      <c r="N442" s="17"/>
      <c r="O442" s="9">
        <f t="shared" si="60"/>
        <v>-26.9</v>
      </c>
      <c r="P442" s="8">
        <f>D440/B440*10^(O442/10)</f>
        <v>4.0154179578500745E-2</v>
      </c>
      <c r="Q442" s="26"/>
      <c r="R442" s="17"/>
      <c r="S442" s="19"/>
      <c r="T442" s="17"/>
      <c r="U442" s="22"/>
    </row>
    <row r="443" spans="1:21" x14ac:dyDescent="0.25">
      <c r="A443" s="24"/>
      <c r="B443" s="24"/>
      <c r="C443" s="17"/>
      <c r="D443" s="24"/>
      <c r="E443" s="24"/>
      <c r="F443" s="25"/>
      <c r="G443" s="1">
        <v>575</v>
      </c>
      <c r="H443" s="2">
        <v>97</v>
      </c>
      <c r="I443" s="2">
        <v>-17.3</v>
      </c>
      <c r="J443" s="2">
        <v>-30</v>
      </c>
      <c r="K443" s="2">
        <f t="shared" si="58"/>
        <v>-17.3</v>
      </c>
      <c r="L443" s="8">
        <f t="shared" ref="L443:L469" si="62">10^((K443-H443)/10)</f>
        <v>3.7153522909717219E-12</v>
      </c>
      <c r="M443" s="26"/>
      <c r="N443" s="17"/>
      <c r="O443" s="9">
        <f t="shared" si="60"/>
        <v>-30</v>
      </c>
      <c r="P443" s="8">
        <f>D440/B440*10^(O443/10)</f>
        <v>1.9666666666666669E-2</v>
      </c>
      <c r="Q443" s="26"/>
      <c r="R443" s="17"/>
      <c r="S443" s="19"/>
      <c r="T443" s="17"/>
      <c r="U443" s="22"/>
    </row>
    <row r="444" spans="1:21" x14ac:dyDescent="0.25">
      <c r="A444" s="24"/>
      <c r="B444" s="24"/>
      <c r="C444" s="17"/>
      <c r="D444" s="24"/>
      <c r="E444" s="24"/>
      <c r="F444" s="25"/>
      <c r="G444" s="1">
        <v>625</v>
      </c>
      <c r="H444" s="2">
        <v>92</v>
      </c>
      <c r="I444" s="2">
        <v>-20.399999999999999</v>
      </c>
      <c r="J444" s="2">
        <v>-30.5</v>
      </c>
      <c r="K444" s="2">
        <f t="shared" si="58"/>
        <v>-20.399999999999999</v>
      </c>
      <c r="L444" s="8">
        <f t="shared" si="62"/>
        <v>5.7543993733715538E-12</v>
      </c>
      <c r="M444" s="26"/>
      <c r="N444" s="17"/>
      <c r="O444" s="9">
        <f t="shared" si="60"/>
        <v>-30.5</v>
      </c>
      <c r="P444" s="8">
        <f>D440/B440*10^(O444/10)</f>
        <v>1.7527935116630328E-2</v>
      </c>
      <c r="Q444" s="26"/>
      <c r="R444" s="17"/>
      <c r="S444" s="19"/>
      <c r="T444" s="17"/>
      <c r="U444" s="22"/>
    </row>
    <row r="445" spans="1:21" x14ac:dyDescent="0.25">
      <c r="A445" s="24"/>
      <c r="B445" s="24"/>
      <c r="C445" s="17"/>
      <c r="D445" s="24"/>
      <c r="E445" s="24"/>
      <c r="F445" s="25"/>
      <c r="G445" s="1">
        <v>675</v>
      </c>
      <c r="H445" s="2">
        <v>94.5</v>
      </c>
      <c r="I445" s="2">
        <v>-20.5</v>
      </c>
      <c r="J445" s="2">
        <v>-24.2</v>
      </c>
      <c r="K445" s="2">
        <f t="shared" si="58"/>
        <v>-20.5</v>
      </c>
      <c r="L445" s="8">
        <f t="shared" si="62"/>
        <v>3.1622776601683669E-12</v>
      </c>
      <c r="M445" s="26"/>
      <c r="N445" s="17"/>
      <c r="O445" s="9">
        <f t="shared" si="60"/>
        <v>-24.2</v>
      </c>
      <c r="P445" s="8">
        <f>D440/B440*10^(O445/10)</f>
        <v>7.4770581276377049E-2</v>
      </c>
      <c r="Q445" s="26"/>
      <c r="R445" s="17"/>
      <c r="S445" s="20"/>
      <c r="T445" s="17"/>
      <c r="U445" s="23"/>
    </row>
    <row r="446" spans="1:21" x14ac:dyDescent="0.25">
      <c r="A446" s="24">
        <v>1000</v>
      </c>
      <c r="B446" s="24">
        <v>3</v>
      </c>
      <c r="C446" s="17">
        <v>0.5</v>
      </c>
      <c r="D446" s="24">
        <v>117</v>
      </c>
      <c r="E446" s="24">
        <v>6</v>
      </c>
      <c r="F446" s="25">
        <v>76</v>
      </c>
      <c r="G446" s="1">
        <v>875</v>
      </c>
      <c r="H446" s="2">
        <v>91.1</v>
      </c>
      <c r="I446" s="2">
        <v>-26.9</v>
      </c>
      <c r="J446" s="2">
        <v>-27.4</v>
      </c>
      <c r="K446" s="2">
        <f t="shared" si="58"/>
        <v>-26.9</v>
      </c>
      <c r="L446" s="8">
        <f t="shared" si="62"/>
        <v>1.5848931924611065E-12</v>
      </c>
      <c r="M446" s="26">
        <f>SUM(L446:L451)</f>
        <v>6.5775003921598339E-12</v>
      </c>
      <c r="N446" s="17">
        <f>10*LOG10(M446/E446)</f>
        <v>-119.60090367732654</v>
      </c>
      <c r="O446" s="9">
        <f t="shared" si="60"/>
        <v>-27.4</v>
      </c>
      <c r="P446" s="8">
        <f>D446/B446*10^(O446/10)</f>
        <v>7.096833348578932E-2</v>
      </c>
      <c r="Q446" s="26">
        <f>SUM(P446:P451)</f>
        <v>0.57837152259482538</v>
      </c>
      <c r="R446" s="17">
        <f>10*LOG10(Q446)</f>
        <v>-2.3779309863951776</v>
      </c>
      <c r="S446" s="18">
        <f>F446+N446-Kzt-H</f>
        <v>-43.600903677326542</v>
      </c>
      <c r="T446" s="17">
        <v>0.8</v>
      </c>
      <c r="U446" s="21">
        <f>T446*10^((S446-R446)/10)</f>
        <v>6.0366044272934044E-5</v>
      </c>
    </row>
    <row r="447" spans="1:21" x14ac:dyDescent="0.25">
      <c r="A447" s="24"/>
      <c r="B447" s="24"/>
      <c r="C447" s="17"/>
      <c r="D447" s="24"/>
      <c r="E447" s="24"/>
      <c r="F447" s="25"/>
      <c r="G447" s="1">
        <v>975</v>
      </c>
      <c r="H447" s="2">
        <v>96.5</v>
      </c>
      <c r="I447" s="2">
        <v>-20.2</v>
      </c>
      <c r="J447" s="2">
        <v>-25.3</v>
      </c>
      <c r="K447" s="2">
        <f t="shared" si="58"/>
        <v>-20.2</v>
      </c>
      <c r="L447" s="8">
        <f t="shared" si="62"/>
        <v>2.1379620895022273E-12</v>
      </c>
      <c r="M447" s="26"/>
      <c r="N447" s="17"/>
      <c r="O447" s="9">
        <f t="shared" si="60"/>
        <v>-25.3</v>
      </c>
      <c r="P447" s="8">
        <f>D446/B446*10^(O447/10)</f>
        <v>0.11509715983998897</v>
      </c>
      <c r="Q447" s="26"/>
      <c r="R447" s="17"/>
      <c r="S447" s="19"/>
      <c r="T447" s="17"/>
      <c r="U447" s="22"/>
    </row>
    <row r="448" spans="1:21" x14ac:dyDescent="0.25">
      <c r="A448" s="24"/>
      <c r="B448" s="24"/>
      <c r="C448" s="17"/>
      <c r="D448" s="24"/>
      <c r="E448" s="24"/>
      <c r="F448" s="25"/>
      <c r="G448" s="1">
        <v>1075</v>
      </c>
      <c r="H448" s="2">
        <v>94.6</v>
      </c>
      <c r="I448" s="2">
        <v>-23.8</v>
      </c>
      <c r="J448" s="2">
        <v>-25.6</v>
      </c>
      <c r="K448" s="2">
        <f t="shared" si="58"/>
        <v>-23.8</v>
      </c>
      <c r="L448" s="8">
        <f t="shared" si="62"/>
        <v>1.4454397707459267E-12</v>
      </c>
      <c r="M448" s="26"/>
      <c r="N448" s="17"/>
      <c r="O448" s="9">
        <f t="shared" si="60"/>
        <v>-25.6</v>
      </c>
      <c r="P448" s="8">
        <f>D446/B446*10^(O448/10)</f>
        <v>0.10741491943018844</v>
      </c>
      <c r="Q448" s="26"/>
      <c r="R448" s="17"/>
      <c r="S448" s="19"/>
      <c r="T448" s="17"/>
      <c r="U448" s="22"/>
    </row>
    <row r="449" spans="1:21" x14ac:dyDescent="0.25">
      <c r="A449" s="24"/>
      <c r="B449" s="24"/>
      <c r="C449" s="17"/>
      <c r="D449" s="24"/>
      <c r="E449" s="24"/>
      <c r="F449" s="25"/>
      <c r="G449" s="1">
        <v>1175</v>
      </c>
      <c r="H449" s="2">
        <v>97.8</v>
      </c>
      <c r="I449" s="2">
        <v>-24.4</v>
      </c>
      <c r="J449" s="2">
        <v>-26.3</v>
      </c>
      <c r="K449" s="2">
        <f t="shared" si="58"/>
        <v>-24.4</v>
      </c>
      <c r="L449" s="8">
        <f t="shared" si="62"/>
        <v>6.0255958607435742E-13</v>
      </c>
      <c r="M449" s="26"/>
      <c r="N449" s="17"/>
      <c r="O449" s="9">
        <f t="shared" si="60"/>
        <v>-26.3</v>
      </c>
      <c r="P449" s="8">
        <f>D446/B446*10^(O449/10)</f>
        <v>9.1424923797476895E-2</v>
      </c>
      <c r="Q449" s="26"/>
      <c r="R449" s="17"/>
      <c r="S449" s="19"/>
      <c r="T449" s="17"/>
      <c r="U449" s="22"/>
    </row>
    <row r="450" spans="1:21" x14ac:dyDescent="0.25">
      <c r="A450" s="24"/>
      <c r="B450" s="24"/>
      <c r="C450" s="17"/>
      <c r="D450" s="24"/>
      <c r="E450" s="24"/>
      <c r="F450" s="25"/>
      <c r="G450" s="1">
        <v>1275</v>
      </c>
      <c r="H450" s="2">
        <v>100.1</v>
      </c>
      <c r="I450" s="2">
        <v>-22.7</v>
      </c>
      <c r="J450" s="2">
        <v>-28.5</v>
      </c>
      <c r="K450" s="2">
        <f t="shared" si="58"/>
        <v>-22.7</v>
      </c>
      <c r="L450" s="8">
        <f t="shared" si="62"/>
        <v>5.2480746024977259E-13</v>
      </c>
      <c r="M450" s="26"/>
      <c r="N450" s="17"/>
      <c r="O450" s="9">
        <f t="shared" si="60"/>
        <v>-28.5</v>
      </c>
      <c r="P450" s="8">
        <f>D446/B446*10^(O450/10)</f>
        <v>5.5088964240287357E-2</v>
      </c>
      <c r="Q450" s="26"/>
      <c r="R450" s="17"/>
      <c r="S450" s="19"/>
      <c r="T450" s="17"/>
      <c r="U450" s="22"/>
    </row>
    <row r="451" spans="1:21" x14ac:dyDescent="0.25">
      <c r="A451" s="24"/>
      <c r="B451" s="24"/>
      <c r="C451" s="17"/>
      <c r="D451" s="24"/>
      <c r="E451" s="24"/>
      <c r="F451" s="25"/>
      <c r="G451" s="1">
        <v>1375</v>
      </c>
      <c r="H451" s="2">
        <v>103</v>
      </c>
      <c r="I451" s="2">
        <v>-22.5</v>
      </c>
      <c r="J451" s="2">
        <v>-24.5</v>
      </c>
      <c r="K451" s="2">
        <f t="shared" si="58"/>
        <v>-22.5</v>
      </c>
      <c r="L451" s="8">
        <f t="shared" si="62"/>
        <v>2.8183829312644412E-13</v>
      </c>
      <c r="M451" s="26"/>
      <c r="N451" s="17"/>
      <c r="O451" s="9">
        <f t="shared" si="60"/>
        <v>-24.5</v>
      </c>
      <c r="P451" s="8">
        <f>D446/B446*10^(O451/10)</f>
        <v>0.13837722180109435</v>
      </c>
      <c r="Q451" s="26"/>
      <c r="R451" s="17"/>
      <c r="S451" s="20"/>
      <c r="T451" s="17"/>
      <c r="U451" s="23"/>
    </row>
    <row r="452" spans="1:21" x14ac:dyDescent="0.25">
      <c r="A452" s="24">
        <v>2000</v>
      </c>
      <c r="B452" s="24">
        <v>3</v>
      </c>
      <c r="C452" s="17">
        <v>0.5</v>
      </c>
      <c r="D452" s="24">
        <v>234</v>
      </c>
      <c r="E452" s="24">
        <v>6</v>
      </c>
      <c r="F452" s="25">
        <v>68</v>
      </c>
      <c r="G452" s="1">
        <v>1425</v>
      </c>
      <c r="H452" s="2">
        <v>102.8</v>
      </c>
      <c r="I452" s="2">
        <v>-22.5</v>
      </c>
      <c r="J452" s="2">
        <v>-30.5</v>
      </c>
      <c r="K452" s="2">
        <f t="shared" si="58"/>
        <v>-22.5</v>
      </c>
      <c r="L452" s="8">
        <f t="shared" si="62"/>
        <v>2.9512092266663824E-13</v>
      </c>
      <c r="M452" s="26">
        <f>SUM(L452:L457)</f>
        <v>2.3782464289336904E-12</v>
      </c>
      <c r="N452" s="17">
        <f>10*LOG10(M452/E452)</f>
        <v>-124.01894397081142</v>
      </c>
      <c r="O452" s="9">
        <f t="shared" si="60"/>
        <v>-30.5</v>
      </c>
      <c r="P452" s="8">
        <f>D452/B452*10^(O452/10)</f>
        <v>6.9517573174432135E-2</v>
      </c>
      <c r="Q452" s="26">
        <f>SUM(P452:P457)</f>
        <v>0.64632143409153087</v>
      </c>
      <c r="R452" s="17">
        <f>10*LOG10(Q452)</f>
        <v>-1.8955144124068566</v>
      </c>
      <c r="S452" s="18">
        <f>F452+N452-Kzt-H</f>
        <v>-56.018943970811421</v>
      </c>
      <c r="T452" s="17">
        <v>1</v>
      </c>
      <c r="U452" s="21">
        <f>T452*10^((S452-R452)/10)</f>
        <v>3.8695195408166669E-6</v>
      </c>
    </row>
    <row r="453" spans="1:21" x14ac:dyDescent="0.25">
      <c r="A453" s="24"/>
      <c r="B453" s="24"/>
      <c r="C453" s="17"/>
      <c r="D453" s="24"/>
      <c r="E453" s="24"/>
      <c r="F453" s="25"/>
      <c r="G453" s="1">
        <v>1625</v>
      </c>
      <c r="H453" s="2">
        <v>104.1</v>
      </c>
      <c r="I453" s="2">
        <v>-26.1</v>
      </c>
      <c r="J453" s="2">
        <v>-28.9</v>
      </c>
      <c r="K453" s="2">
        <f t="shared" si="58"/>
        <v>-26.1</v>
      </c>
      <c r="L453" s="8">
        <f t="shared" si="62"/>
        <v>9.5499258602143264E-14</v>
      </c>
      <c r="M453" s="26"/>
      <c r="N453" s="17"/>
      <c r="O453" s="9">
        <f t="shared" si="60"/>
        <v>-28.9</v>
      </c>
      <c r="P453" s="8">
        <f>D452/B452*10^(O453/10)</f>
        <v>0.10048346503206446</v>
      </c>
      <c r="Q453" s="26"/>
      <c r="R453" s="17"/>
      <c r="S453" s="19"/>
      <c r="T453" s="17"/>
      <c r="U453" s="22"/>
    </row>
    <row r="454" spans="1:21" x14ac:dyDescent="0.25">
      <c r="A454" s="24"/>
      <c r="B454" s="24"/>
      <c r="C454" s="17"/>
      <c r="D454" s="24"/>
      <c r="E454" s="24"/>
      <c r="F454" s="25"/>
      <c r="G454" s="1">
        <v>1825</v>
      </c>
      <c r="H454" s="2">
        <v>107.6</v>
      </c>
      <c r="I454" s="2">
        <v>-20.100000000000001</v>
      </c>
      <c r="J454" s="2">
        <v>-28.1</v>
      </c>
      <c r="K454" s="2">
        <f t="shared" si="58"/>
        <v>-20.100000000000001</v>
      </c>
      <c r="L454" s="8">
        <f t="shared" si="62"/>
        <v>1.6982436524617405E-13</v>
      </c>
      <c r="M454" s="26"/>
      <c r="N454" s="17"/>
      <c r="O454" s="9">
        <f t="shared" si="60"/>
        <v>-28.1</v>
      </c>
      <c r="P454" s="8">
        <f>D452/B452*10^(O454/10)</f>
        <v>0.12080769627517346</v>
      </c>
      <c r="Q454" s="26"/>
      <c r="R454" s="17"/>
      <c r="S454" s="19"/>
      <c r="T454" s="17"/>
      <c r="U454" s="22"/>
    </row>
    <row r="455" spans="1:21" x14ac:dyDescent="0.25">
      <c r="A455" s="24"/>
      <c r="B455" s="24"/>
      <c r="C455" s="17"/>
      <c r="D455" s="24"/>
      <c r="E455" s="24"/>
      <c r="F455" s="25"/>
      <c r="G455" s="1">
        <v>2125</v>
      </c>
      <c r="H455" s="2">
        <v>104.2</v>
      </c>
      <c r="I455" s="2">
        <v>-21.2</v>
      </c>
      <c r="J455" s="2">
        <v>-30.2</v>
      </c>
      <c r="K455" s="2">
        <f t="shared" si="58"/>
        <v>-21.2</v>
      </c>
      <c r="L455" s="8">
        <f t="shared" si="62"/>
        <v>2.8840315031265929E-13</v>
      </c>
      <c r="M455" s="26"/>
      <c r="N455" s="17"/>
      <c r="O455" s="9">
        <f t="shared" si="60"/>
        <v>-30.2</v>
      </c>
      <c r="P455" s="8">
        <f>D452/B452*10^(O455/10)</f>
        <v>7.448942170967196E-2</v>
      </c>
      <c r="Q455" s="26"/>
      <c r="R455" s="17"/>
      <c r="S455" s="19"/>
      <c r="T455" s="17"/>
      <c r="U455" s="22"/>
    </row>
    <row r="456" spans="1:21" x14ac:dyDescent="0.25">
      <c r="A456" s="24"/>
      <c r="B456" s="24"/>
      <c r="C456" s="17"/>
      <c r="D456" s="24"/>
      <c r="E456" s="24"/>
      <c r="F456" s="25"/>
      <c r="G456" s="1">
        <v>2425</v>
      </c>
      <c r="H456" s="2">
        <v>93.7</v>
      </c>
      <c r="I456" s="2">
        <v>-25.8</v>
      </c>
      <c r="J456" s="2">
        <v>-26.1</v>
      </c>
      <c r="K456" s="2">
        <f t="shared" si="58"/>
        <v>-25.8</v>
      </c>
      <c r="L456" s="8">
        <f t="shared" si="62"/>
        <v>1.122018454301964E-12</v>
      </c>
      <c r="M456" s="26"/>
      <c r="N456" s="17"/>
      <c r="O456" s="9">
        <f t="shared" si="60"/>
        <v>-26.1</v>
      </c>
      <c r="P456" s="8">
        <f>D452/B452*10^(O456/10)</f>
        <v>0.19146729542343205</v>
      </c>
      <c r="Q456" s="26"/>
      <c r="R456" s="17"/>
      <c r="S456" s="19"/>
      <c r="T456" s="17"/>
      <c r="U456" s="22"/>
    </row>
    <row r="457" spans="1:21" x14ac:dyDescent="0.25">
      <c r="A457" s="24"/>
      <c r="B457" s="24"/>
      <c r="C457" s="17"/>
      <c r="D457" s="24"/>
      <c r="E457" s="24"/>
      <c r="F457" s="25"/>
      <c r="G457" s="1">
        <v>2775</v>
      </c>
      <c r="H457" s="2">
        <v>100.2</v>
      </c>
      <c r="I457" s="2">
        <v>-23.7</v>
      </c>
      <c r="J457" s="2">
        <v>-29.4</v>
      </c>
      <c r="K457" s="2">
        <f t="shared" si="58"/>
        <v>-23.7</v>
      </c>
      <c r="L457" s="8">
        <f t="shared" si="62"/>
        <v>4.0738027780411177E-13</v>
      </c>
      <c r="M457" s="26"/>
      <c r="N457" s="17"/>
      <c r="O457" s="9">
        <f t="shared" si="60"/>
        <v>-29.4</v>
      </c>
      <c r="P457" s="8">
        <f>D452/B452*10^(O457/10)</f>
        <v>8.9555982476756835E-2</v>
      </c>
      <c r="Q457" s="26"/>
      <c r="R457" s="17"/>
      <c r="S457" s="20"/>
      <c r="T457" s="17"/>
      <c r="U457" s="23"/>
    </row>
    <row r="458" spans="1:21" x14ac:dyDescent="0.25">
      <c r="A458" s="24">
        <v>4000</v>
      </c>
      <c r="B458" s="24">
        <v>3</v>
      </c>
      <c r="C458" s="17">
        <v>0.5</v>
      </c>
      <c r="D458" s="24">
        <v>470</v>
      </c>
      <c r="E458" s="24">
        <v>6</v>
      </c>
      <c r="F458" s="25">
        <v>62</v>
      </c>
      <c r="G458" s="1">
        <v>2825</v>
      </c>
      <c r="H458" s="2">
        <v>99.4</v>
      </c>
      <c r="I458" s="2">
        <v>-23.4</v>
      </c>
      <c r="J458" s="2">
        <v>-25.4</v>
      </c>
      <c r="K458" s="2">
        <f t="shared" si="58"/>
        <v>-23.4</v>
      </c>
      <c r="L458" s="8">
        <f t="shared" si="62"/>
        <v>5.2480746024976895E-13</v>
      </c>
      <c r="M458" s="26">
        <f>SUM(L458:L463)</f>
        <v>2.3288260747492011E-12</v>
      </c>
      <c r="N458" s="17">
        <f>10*LOG10(M458/E458)</f>
        <v>-124.11014195338538</v>
      </c>
      <c r="O458" s="9">
        <f t="shared" si="60"/>
        <v>-25.4</v>
      </c>
      <c r="P458" s="8">
        <f>D458/B458*10^(O458/10)</f>
        <v>0.45183160215650131</v>
      </c>
      <c r="Q458" s="26">
        <f>SUM(P458:P463)</f>
        <v>1.9289342878059594</v>
      </c>
      <c r="R458" s="17">
        <f>10*LOG10(Q458)</f>
        <v>2.8531743296821648</v>
      </c>
      <c r="S458" s="18">
        <f>F458+N458-Kzt-H</f>
        <v>-62.11014195338538</v>
      </c>
      <c r="T458" s="17">
        <v>0.9</v>
      </c>
      <c r="U458" s="21">
        <f>T458*10^((S458-R458)/10)</f>
        <v>2.8701915474483317E-7</v>
      </c>
    </row>
    <row r="459" spans="1:21" x14ac:dyDescent="0.25">
      <c r="A459" s="24"/>
      <c r="B459" s="24"/>
      <c r="C459" s="17"/>
      <c r="D459" s="24"/>
      <c r="E459" s="24"/>
      <c r="F459" s="25"/>
      <c r="G459" s="1">
        <v>3425</v>
      </c>
      <c r="H459" s="2">
        <v>103.5</v>
      </c>
      <c r="I459" s="2">
        <v>-19.7</v>
      </c>
      <c r="J459" s="2">
        <v>-28.6</v>
      </c>
      <c r="K459" s="2">
        <f t="shared" si="58"/>
        <v>-19.7</v>
      </c>
      <c r="L459" s="8">
        <f t="shared" si="62"/>
        <v>4.7863009232263685E-13</v>
      </c>
      <c r="M459" s="26"/>
      <c r="N459" s="17"/>
      <c r="O459" s="9">
        <f t="shared" si="60"/>
        <v>-28.6</v>
      </c>
      <c r="P459" s="8">
        <f>D458/B458*10^(O459/10)</f>
        <v>0.21626020145445171</v>
      </c>
      <c r="Q459" s="26"/>
      <c r="R459" s="17"/>
      <c r="S459" s="19"/>
      <c r="T459" s="17"/>
      <c r="U459" s="22"/>
    </row>
    <row r="460" spans="1:21" x14ac:dyDescent="0.25">
      <c r="A460" s="24"/>
      <c r="B460" s="24"/>
      <c r="C460" s="17"/>
      <c r="D460" s="24"/>
      <c r="E460" s="24"/>
      <c r="F460" s="25"/>
      <c r="G460" s="1">
        <v>4025</v>
      </c>
      <c r="H460" s="2">
        <v>103.6</v>
      </c>
      <c r="I460" s="2">
        <v>-25.8</v>
      </c>
      <c r="J460" s="2">
        <v>-26.3</v>
      </c>
      <c r="K460" s="2">
        <f t="shared" si="58"/>
        <v>-25.8</v>
      </c>
      <c r="L460" s="8">
        <f t="shared" si="62"/>
        <v>1.1481536214968778E-13</v>
      </c>
      <c r="M460" s="26"/>
      <c r="N460" s="17"/>
      <c r="O460" s="9">
        <f t="shared" si="60"/>
        <v>-26.3</v>
      </c>
      <c r="P460" s="8">
        <f>D458/B458*10^(O460/10)</f>
        <v>0.36726251440012081</v>
      </c>
      <c r="Q460" s="26"/>
      <c r="R460" s="17"/>
      <c r="S460" s="19"/>
      <c r="T460" s="17"/>
      <c r="U460" s="22"/>
    </row>
    <row r="461" spans="1:21" x14ac:dyDescent="0.25">
      <c r="A461" s="24"/>
      <c r="B461" s="24"/>
      <c r="C461" s="17"/>
      <c r="D461" s="24"/>
      <c r="E461" s="24"/>
      <c r="F461" s="25"/>
      <c r="G461" s="1">
        <v>4625</v>
      </c>
      <c r="H461" s="2">
        <v>105.6</v>
      </c>
      <c r="I461" s="2">
        <v>-25.1</v>
      </c>
      <c r="J461" s="2">
        <v>-31.5</v>
      </c>
      <c r="K461" s="2">
        <f t="shared" si="58"/>
        <v>-25.1</v>
      </c>
      <c r="L461" s="8">
        <f t="shared" si="62"/>
        <v>8.5113803820237696E-14</v>
      </c>
      <c r="M461" s="26"/>
      <c r="N461" s="17"/>
      <c r="O461" s="9">
        <f t="shared" si="60"/>
        <v>-31.5</v>
      </c>
      <c r="P461" s="8">
        <f>D458/B458*10^(O461/10)</f>
        <v>0.11091150622018159</v>
      </c>
      <c r="Q461" s="26"/>
      <c r="R461" s="17"/>
      <c r="S461" s="19"/>
      <c r="T461" s="17"/>
      <c r="U461" s="22"/>
    </row>
    <row r="462" spans="1:21" x14ac:dyDescent="0.25">
      <c r="A462" s="24"/>
      <c r="B462" s="24"/>
      <c r="C462" s="17"/>
      <c r="D462" s="24"/>
      <c r="E462" s="24"/>
      <c r="F462" s="25"/>
      <c r="G462" s="1">
        <v>5225</v>
      </c>
      <c r="H462" s="2">
        <v>103.5</v>
      </c>
      <c r="I462" s="2">
        <v>-21.3</v>
      </c>
      <c r="J462" s="2">
        <v>-27.2</v>
      </c>
      <c r="K462" s="2">
        <f t="shared" si="58"/>
        <v>-21.3</v>
      </c>
      <c r="L462" s="8">
        <f t="shared" si="62"/>
        <v>3.311311214825894E-13</v>
      </c>
      <c r="M462" s="26"/>
      <c r="N462" s="17"/>
      <c r="O462" s="9">
        <f t="shared" si="60"/>
        <v>-27.2</v>
      </c>
      <c r="P462" s="8">
        <f>D458/B458*10^(O462/10)</f>
        <v>0.29852217914757545</v>
      </c>
      <c r="Q462" s="26"/>
      <c r="R462" s="17"/>
      <c r="S462" s="19"/>
      <c r="T462" s="17"/>
      <c r="U462" s="22"/>
    </row>
    <row r="463" spans="1:21" x14ac:dyDescent="0.25">
      <c r="A463" s="24"/>
      <c r="B463" s="24"/>
      <c r="C463" s="17"/>
      <c r="D463" s="24"/>
      <c r="E463" s="24"/>
      <c r="F463" s="25"/>
      <c r="G463" s="1">
        <v>5625</v>
      </c>
      <c r="H463" s="2">
        <v>99.5</v>
      </c>
      <c r="I463" s="2">
        <v>-21.5</v>
      </c>
      <c r="J463" s="2">
        <v>-25.1</v>
      </c>
      <c r="K463" s="2">
        <f t="shared" si="58"/>
        <v>-21.5</v>
      </c>
      <c r="L463" s="8">
        <f t="shared" si="62"/>
        <v>7.9432823472428024E-13</v>
      </c>
      <c r="M463" s="26"/>
      <c r="N463" s="17"/>
      <c r="O463" s="9">
        <f t="shared" si="60"/>
        <v>-25.1</v>
      </c>
      <c r="P463" s="8">
        <f>D458/B458*10^(O463/10)</f>
        <v>0.4841462844271287</v>
      </c>
      <c r="Q463" s="26"/>
      <c r="R463" s="17"/>
      <c r="S463" s="20"/>
      <c r="T463" s="17"/>
      <c r="U463" s="23"/>
    </row>
    <row r="464" spans="1:21" x14ac:dyDescent="0.25">
      <c r="A464" s="24">
        <v>8000</v>
      </c>
      <c r="B464" s="24">
        <v>3</v>
      </c>
      <c r="C464" s="17">
        <v>0.5</v>
      </c>
      <c r="D464" s="24">
        <v>943</v>
      </c>
      <c r="E464" s="24">
        <v>6</v>
      </c>
      <c r="F464" s="25">
        <v>54</v>
      </c>
      <c r="G464" s="1">
        <v>6025</v>
      </c>
      <c r="H464" s="2">
        <v>95</v>
      </c>
      <c r="I464" s="2">
        <v>-24.6</v>
      </c>
      <c r="J464" s="2">
        <v>-31.3</v>
      </c>
      <c r="K464" s="2">
        <f t="shared" si="58"/>
        <v>-24.6</v>
      </c>
      <c r="L464" s="8">
        <f t="shared" si="62"/>
        <v>1.0964781961431857E-12</v>
      </c>
      <c r="M464" s="26">
        <f>SUM(L464:L469)</f>
        <v>3.4646410198705527E-11</v>
      </c>
      <c r="N464" s="17">
        <f>10*LOG10(M464/E464)</f>
        <v>-112.38493007443266</v>
      </c>
      <c r="O464" s="9">
        <f t="shared" si="60"/>
        <v>-31.3</v>
      </c>
      <c r="P464" s="8">
        <f>D464/B464*10^(O464/10)</f>
        <v>0.233018519182255</v>
      </c>
      <c r="Q464" s="26">
        <f>SUM(P464:P469)</f>
        <v>3.3489734257040591</v>
      </c>
      <c r="R464" s="17">
        <f>10*LOG10(Q464)</f>
        <v>5.2491170140195198</v>
      </c>
      <c r="S464" s="18">
        <f>F464+N464-Kzt-H</f>
        <v>-58.38493007443266</v>
      </c>
      <c r="T464" s="17">
        <v>0.7</v>
      </c>
      <c r="U464" s="21">
        <f>T464*10^((S464-R464)/10)</f>
        <v>3.0317496155429172E-7</v>
      </c>
    </row>
    <row r="465" spans="1:21" x14ac:dyDescent="0.25">
      <c r="A465" s="24"/>
      <c r="B465" s="24"/>
      <c r="C465" s="17"/>
      <c r="D465" s="24"/>
      <c r="E465" s="24"/>
      <c r="F465" s="25"/>
      <c r="G465" s="1">
        <v>7025</v>
      </c>
      <c r="H465" s="2">
        <v>94.8</v>
      </c>
      <c r="I465" s="2">
        <v>-21.5</v>
      </c>
      <c r="J465" s="2">
        <v>-27.7</v>
      </c>
      <c r="K465" s="2">
        <f t="shared" si="58"/>
        <v>-21.5</v>
      </c>
      <c r="L465" s="8">
        <f t="shared" si="62"/>
        <v>2.3442288153199247E-12</v>
      </c>
      <c r="M465" s="26"/>
      <c r="N465" s="17"/>
      <c r="O465" s="9">
        <f t="shared" si="60"/>
        <v>-27.7</v>
      </c>
      <c r="P465" s="8">
        <f>D464/B464*10^(O465/10)</f>
        <v>0.53381458809047433</v>
      </c>
      <c r="Q465" s="26"/>
      <c r="R465" s="17"/>
      <c r="S465" s="19"/>
      <c r="T465" s="17"/>
      <c r="U465" s="22"/>
    </row>
    <row r="466" spans="1:21" x14ac:dyDescent="0.25">
      <c r="A466" s="24"/>
      <c r="B466" s="24"/>
      <c r="C466" s="17"/>
      <c r="D466" s="24"/>
      <c r="E466" s="24"/>
      <c r="F466" s="25"/>
      <c r="G466" s="1">
        <v>8025</v>
      </c>
      <c r="H466" s="2">
        <v>101.9</v>
      </c>
      <c r="I466" s="2">
        <v>-19.5</v>
      </c>
      <c r="J466" s="2">
        <v>-24</v>
      </c>
      <c r="K466" s="2">
        <f t="shared" si="58"/>
        <v>-19.5</v>
      </c>
      <c r="L466" s="8">
        <f t="shared" si="62"/>
        <v>7.2443596007498653E-13</v>
      </c>
      <c r="M466" s="26"/>
      <c r="N466" s="17"/>
      <c r="O466" s="9">
        <f t="shared" si="60"/>
        <v>-24</v>
      </c>
      <c r="P466" s="8">
        <f>D464/B464*10^(O466/10)</f>
        <v>1.2513835394398261</v>
      </c>
      <c r="Q466" s="26"/>
      <c r="R466" s="17"/>
      <c r="S466" s="19"/>
      <c r="T466" s="17"/>
      <c r="U466" s="22"/>
    </row>
    <row r="467" spans="1:21" x14ac:dyDescent="0.25">
      <c r="A467" s="24"/>
      <c r="B467" s="24"/>
      <c r="C467" s="17"/>
      <c r="D467" s="24"/>
      <c r="E467" s="24"/>
      <c r="F467" s="25"/>
      <c r="G467" s="1">
        <v>9025</v>
      </c>
      <c r="H467" s="2">
        <v>93.2</v>
      </c>
      <c r="I467" s="2">
        <v>-22.8</v>
      </c>
      <c r="J467" s="2">
        <v>-27.4</v>
      </c>
      <c r="K467" s="2">
        <f t="shared" si="58"/>
        <v>-22.8</v>
      </c>
      <c r="L467" s="8">
        <f t="shared" si="62"/>
        <v>2.5118864315095726E-12</v>
      </c>
      <c r="M467" s="26"/>
      <c r="N467" s="17"/>
      <c r="O467" s="9">
        <f t="shared" si="60"/>
        <v>-27.4</v>
      </c>
      <c r="P467" s="8">
        <f>D464/B464*10^(O467/10)</f>
        <v>0.57199263655640453</v>
      </c>
      <c r="Q467" s="26"/>
      <c r="R467" s="17"/>
      <c r="S467" s="19"/>
      <c r="T467" s="17"/>
      <c r="U467" s="22"/>
    </row>
    <row r="468" spans="1:21" x14ac:dyDescent="0.25">
      <c r="A468" s="24"/>
      <c r="B468" s="24"/>
      <c r="C468" s="17"/>
      <c r="D468" s="24"/>
      <c r="E468" s="24"/>
      <c r="F468" s="25"/>
      <c r="G468" s="1">
        <v>10025</v>
      </c>
      <c r="H468" s="2">
        <v>88.3</v>
      </c>
      <c r="I468" s="2">
        <v>-21.8</v>
      </c>
      <c r="J468" s="2">
        <v>-27.6</v>
      </c>
      <c r="K468" s="2">
        <f t="shared" si="58"/>
        <v>-21.8</v>
      </c>
      <c r="L468" s="8">
        <f t="shared" si="62"/>
        <v>9.7723722095580929E-12</v>
      </c>
      <c r="M468" s="26"/>
      <c r="N468" s="17"/>
      <c r="O468" s="9">
        <f t="shared" si="60"/>
        <v>-27.6</v>
      </c>
      <c r="P468" s="8">
        <f>D464/B464*10^(O468/10)</f>
        <v>0.54624872717021966</v>
      </c>
      <c r="Q468" s="26"/>
      <c r="R468" s="17"/>
      <c r="S468" s="19"/>
      <c r="T468" s="17"/>
      <c r="U468" s="22"/>
    </row>
    <row r="469" spans="1:21" x14ac:dyDescent="0.25">
      <c r="A469" s="24"/>
      <c r="B469" s="24"/>
      <c r="C469" s="17"/>
      <c r="D469" s="24"/>
      <c r="E469" s="24"/>
      <c r="F469" s="25"/>
      <c r="G469" s="1">
        <v>11025</v>
      </c>
      <c r="H469" s="2">
        <v>86</v>
      </c>
      <c r="I469" s="2">
        <v>-21.4</v>
      </c>
      <c r="J469" s="2">
        <v>-31.7</v>
      </c>
      <c r="K469" s="2">
        <f t="shared" si="58"/>
        <v>-21.4</v>
      </c>
      <c r="L469" s="8">
        <f t="shared" si="62"/>
        <v>1.8197008586099764E-11</v>
      </c>
      <c r="M469" s="26"/>
      <c r="N469" s="17"/>
      <c r="O469" s="9">
        <f t="shared" si="60"/>
        <v>-31.7</v>
      </c>
      <c r="P469" s="8">
        <f>D464/B464*10^(O469/10)</f>
        <v>0.21251541526487941</v>
      </c>
      <c r="Q469" s="26"/>
      <c r="R469" s="17"/>
      <c r="S469" s="20"/>
      <c r="T469" s="17"/>
      <c r="U469" s="23"/>
    </row>
    <row r="470" spans="1:21" x14ac:dyDescent="0.25">
      <c r="A470" s="24" t="s">
        <v>20</v>
      </c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12">
        <f>U470</f>
        <v>5.9742501930133279E-2</v>
      </c>
      <c r="T470" s="2"/>
      <c r="U470" s="8">
        <f>0.8*SQRT(SUM(U436:U469))</f>
        <v>5.9742501930133279E-2</v>
      </c>
    </row>
    <row r="471" spans="1:21" x14ac:dyDescent="0.25">
      <c r="A471" s="27" t="s">
        <v>105</v>
      </c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9"/>
    </row>
    <row r="472" spans="1:21" x14ac:dyDescent="0.25">
      <c r="A472" s="24">
        <v>250</v>
      </c>
      <c r="B472" s="24">
        <v>3</v>
      </c>
      <c r="C472" s="17">
        <v>0.5</v>
      </c>
      <c r="D472" s="24">
        <v>38</v>
      </c>
      <c r="E472" s="24">
        <v>4</v>
      </c>
      <c r="F472" s="25">
        <v>84</v>
      </c>
      <c r="G472" s="1">
        <v>175</v>
      </c>
      <c r="H472" s="2">
        <v>84.8</v>
      </c>
      <c r="I472" s="2">
        <v>-23</v>
      </c>
      <c r="J472" s="2">
        <v>-23.2</v>
      </c>
      <c r="K472" s="2">
        <f>I472</f>
        <v>-23</v>
      </c>
      <c r="L472" s="8">
        <f>10^((K472-H472)/10)</f>
        <v>1.6595869074375605E-11</v>
      </c>
      <c r="M472" s="26">
        <f>SUM(L472:L475)</f>
        <v>3.0973508438451439E-11</v>
      </c>
      <c r="N472" s="17">
        <f>10*LOG10(M472/E472)</f>
        <v>-111.11069589679276</v>
      </c>
      <c r="O472" s="9">
        <f>J472</f>
        <v>-23.2</v>
      </c>
      <c r="P472" s="8">
        <f>D472/B472*10^(O472/10)</f>
        <v>6.0626478360867521E-2</v>
      </c>
      <c r="Q472" s="26">
        <f>SUM(P472:P475)</f>
        <v>0.16169958440731227</v>
      </c>
      <c r="R472" s="17">
        <f>10*LOG10(Q472)</f>
        <v>-7.9129109629547232</v>
      </c>
      <c r="S472" s="18">
        <f>F472+N472-Kzt-H</f>
        <v>-27.110695896792762</v>
      </c>
      <c r="T472" s="17">
        <v>0.2</v>
      </c>
      <c r="U472" s="21">
        <f>T472*10^((S472-R472)/10)</f>
        <v>2.4057555827359123E-3</v>
      </c>
    </row>
    <row r="473" spans="1:21" x14ac:dyDescent="0.25">
      <c r="A473" s="24"/>
      <c r="B473" s="24"/>
      <c r="C473" s="17"/>
      <c r="D473" s="24"/>
      <c r="E473" s="24"/>
      <c r="F473" s="25"/>
      <c r="G473" s="1">
        <v>225</v>
      </c>
      <c r="H473" s="2">
        <v>90</v>
      </c>
      <c r="I473" s="2">
        <v>-20.3</v>
      </c>
      <c r="J473" s="2">
        <v>-24.4</v>
      </c>
      <c r="K473" s="2">
        <f t="shared" ref="K473:K505" si="63">I473</f>
        <v>-20.3</v>
      </c>
      <c r="L473" s="8">
        <f t="shared" ref="L473:L474" si="64">10^((K473-H473)/10)</f>
        <v>9.3325430079698992E-12</v>
      </c>
      <c r="M473" s="26"/>
      <c r="N473" s="17"/>
      <c r="O473" s="9">
        <f t="shared" ref="O473:O505" si="65">J473</f>
        <v>-24.4</v>
      </c>
      <c r="P473" s="8">
        <f>D472/B472*10^(O473/10)</f>
        <v>4.5989886937546139E-2</v>
      </c>
      <c r="Q473" s="26"/>
      <c r="R473" s="17"/>
      <c r="S473" s="19"/>
      <c r="T473" s="17"/>
      <c r="U473" s="22"/>
    </row>
    <row r="474" spans="1:21" x14ac:dyDescent="0.25">
      <c r="A474" s="24"/>
      <c r="B474" s="24"/>
      <c r="C474" s="17"/>
      <c r="D474" s="24"/>
      <c r="E474" s="24"/>
      <c r="F474" s="25"/>
      <c r="G474" s="1">
        <v>275</v>
      </c>
      <c r="H474" s="2">
        <v>92.2</v>
      </c>
      <c r="I474" s="2">
        <v>-23.4</v>
      </c>
      <c r="J474" s="2">
        <v>-25.9</v>
      </c>
      <c r="K474" s="2">
        <f t="shared" si="63"/>
        <v>-23.4</v>
      </c>
      <c r="L474" s="8">
        <f t="shared" si="64"/>
        <v>2.7542287033381671E-12</v>
      </c>
      <c r="M474" s="26"/>
      <c r="N474" s="17"/>
      <c r="O474" s="9">
        <f t="shared" si="65"/>
        <v>-25.9</v>
      </c>
      <c r="P474" s="8">
        <f>D472/B472*10^(O474/10)</f>
        <v>3.2558346581738937E-2</v>
      </c>
      <c r="Q474" s="26"/>
      <c r="R474" s="17"/>
      <c r="S474" s="19"/>
      <c r="T474" s="17"/>
      <c r="U474" s="22"/>
    </row>
    <row r="475" spans="1:21" x14ac:dyDescent="0.25">
      <c r="A475" s="24"/>
      <c r="B475" s="24"/>
      <c r="C475" s="17"/>
      <c r="D475" s="24"/>
      <c r="E475" s="24"/>
      <c r="F475" s="25"/>
      <c r="G475" s="1">
        <v>325</v>
      </c>
      <c r="H475" s="2">
        <v>93.3</v>
      </c>
      <c r="I475" s="2">
        <v>-23.1</v>
      </c>
      <c r="J475" s="2">
        <v>-27.5</v>
      </c>
      <c r="K475" s="2">
        <f t="shared" si="63"/>
        <v>-23.1</v>
      </c>
      <c r="L475" s="8">
        <f>10^((K475-H475)/10)</f>
        <v>2.2908676527677675E-12</v>
      </c>
      <c r="M475" s="26"/>
      <c r="N475" s="17"/>
      <c r="O475" s="9">
        <f t="shared" si="65"/>
        <v>-27.5</v>
      </c>
      <c r="P475" s="8">
        <f>D472/B472*10^(O475/10)</f>
        <v>2.2524872527159682E-2</v>
      </c>
      <c r="Q475" s="26"/>
      <c r="R475" s="17"/>
      <c r="S475" s="20"/>
      <c r="T475" s="17"/>
      <c r="U475" s="23"/>
    </row>
    <row r="476" spans="1:21" x14ac:dyDescent="0.25">
      <c r="A476" s="24">
        <v>500</v>
      </c>
      <c r="B476" s="24">
        <v>3</v>
      </c>
      <c r="C476" s="17">
        <v>0.5</v>
      </c>
      <c r="D476" s="24">
        <v>59</v>
      </c>
      <c r="E476" s="24">
        <v>6</v>
      </c>
      <c r="F476" s="25">
        <v>84</v>
      </c>
      <c r="G476" s="1">
        <v>375</v>
      </c>
      <c r="H476" s="2">
        <v>91.9</v>
      </c>
      <c r="I476" s="2">
        <v>-18.399999999999999</v>
      </c>
      <c r="J476" s="2">
        <v>-24.6</v>
      </c>
      <c r="K476" s="2">
        <f t="shared" si="63"/>
        <v>-18.399999999999999</v>
      </c>
      <c r="L476" s="8">
        <f t="shared" ref="L476:L477" si="66">10^((K476-H476)/10)</f>
        <v>9.3325430079698653E-12</v>
      </c>
      <c r="M476" s="26">
        <f>SUM(L476:L481)</f>
        <v>2.5264274154308644E-11</v>
      </c>
      <c r="N476" s="17">
        <f>10*LOG10(M476/E476)</f>
        <v>-113.75644424963826</v>
      </c>
      <c r="O476" s="9">
        <f t="shared" si="65"/>
        <v>-24.6</v>
      </c>
      <c r="P476" s="8">
        <f>D476/B476*10^(O476/10)</f>
        <v>6.8191580588997866E-2</v>
      </c>
      <c r="Q476" s="26">
        <f>SUM(P476:P481)</f>
        <v>0.27077613634479697</v>
      </c>
      <c r="R476" s="17">
        <f>10*LOG10(Q476)</f>
        <v>-5.6738961292059154</v>
      </c>
      <c r="S476" s="18">
        <f>F476+N476-Kzt-H</f>
        <v>-29.756444249638264</v>
      </c>
      <c r="T476" s="17">
        <v>0.5</v>
      </c>
      <c r="U476" s="21">
        <f>T476*10^((S476-R476)/10)</f>
        <v>1.9530582318788331E-3</v>
      </c>
    </row>
    <row r="477" spans="1:21" x14ac:dyDescent="0.25">
      <c r="A477" s="24"/>
      <c r="B477" s="24"/>
      <c r="C477" s="17"/>
      <c r="D477" s="24"/>
      <c r="E477" s="24"/>
      <c r="F477" s="25"/>
      <c r="G477" s="1">
        <v>425</v>
      </c>
      <c r="H477" s="2">
        <v>88.1</v>
      </c>
      <c r="I477" s="2">
        <v>-24</v>
      </c>
      <c r="J477" s="2">
        <v>-25.5</v>
      </c>
      <c r="K477" s="2">
        <f t="shared" si="63"/>
        <v>-24</v>
      </c>
      <c r="L477" s="8">
        <f t="shared" si="66"/>
        <v>6.1659500186148244E-12</v>
      </c>
      <c r="M477" s="26"/>
      <c r="N477" s="17"/>
      <c r="O477" s="9">
        <f t="shared" si="65"/>
        <v>-25.5</v>
      </c>
      <c r="P477" s="8">
        <f>D476/B476*10^(O477/10)</f>
        <v>5.5428197648200894E-2</v>
      </c>
      <c r="Q477" s="26"/>
      <c r="R477" s="17"/>
      <c r="S477" s="19"/>
      <c r="T477" s="17"/>
      <c r="U477" s="22"/>
    </row>
    <row r="478" spans="1:21" x14ac:dyDescent="0.25">
      <c r="A478" s="24"/>
      <c r="B478" s="24"/>
      <c r="C478" s="17"/>
      <c r="D478" s="24"/>
      <c r="E478" s="24"/>
      <c r="F478" s="25"/>
      <c r="G478" s="1">
        <v>475</v>
      </c>
      <c r="H478" s="2">
        <v>90</v>
      </c>
      <c r="I478" s="2">
        <v>-24.6</v>
      </c>
      <c r="J478" s="2">
        <v>-26.7</v>
      </c>
      <c r="K478" s="2">
        <f t="shared" si="63"/>
        <v>-24.6</v>
      </c>
      <c r="L478" s="8">
        <f>10^((K478-H478)/10)</f>
        <v>3.4673685045253144E-12</v>
      </c>
      <c r="M478" s="26"/>
      <c r="N478" s="17"/>
      <c r="O478" s="9">
        <f t="shared" si="65"/>
        <v>-26.7</v>
      </c>
      <c r="P478" s="8">
        <f>D476/B476*10^(O478/10)</f>
        <v>4.2046587760210558E-2</v>
      </c>
      <c r="Q478" s="26"/>
      <c r="R478" s="17"/>
      <c r="S478" s="19"/>
      <c r="T478" s="17"/>
      <c r="U478" s="22"/>
    </row>
    <row r="479" spans="1:21" x14ac:dyDescent="0.25">
      <c r="A479" s="24"/>
      <c r="B479" s="24"/>
      <c r="C479" s="17"/>
      <c r="D479" s="24"/>
      <c r="E479" s="24"/>
      <c r="F479" s="25"/>
      <c r="G479" s="1">
        <v>575</v>
      </c>
      <c r="H479" s="2">
        <v>97</v>
      </c>
      <c r="I479" s="2">
        <v>-23</v>
      </c>
      <c r="J479" s="2">
        <v>-27.8</v>
      </c>
      <c r="K479" s="2">
        <f t="shared" si="63"/>
        <v>-23</v>
      </c>
      <c r="L479" s="8">
        <f t="shared" ref="L479:L505" si="67">10^((K479-H479)/10)</f>
        <v>9.9999999999999998E-13</v>
      </c>
      <c r="M479" s="26"/>
      <c r="N479" s="17"/>
      <c r="O479" s="9">
        <f t="shared" si="65"/>
        <v>-27.8</v>
      </c>
      <c r="P479" s="8">
        <f>D476/B476*10^(O479/10)</f>
        <v>3.2638542512938663E-2</v>
      </c>
      <c r="Q479" s="26"/>
      <c r="R479" s="17"/>
      <c r="S479" s="19"/>
      <c r="T479" s="17"/>
      <c r="U479" s="22"/>
    </row>
    <row r="480" spans="1:21" x14ac:dyDescent="0.25">
      <c r="A480" s="24"/>
      <c r="B480" s="24"/>
      <c r="C480" s="17"/>
      <c r="D480" s="24"/>
      <c r="E480" s="24"/>
      <c r="F480" s="25"/>
      <c r="G480" s="1">
        <v>625</v>
      </c>
      <c r="H480" s="2">
        <v>92</v>
      </c>
      <c r="I480" s="2">
        <v>-21.6</v>
      </c>
      <c r="J480" s="2">
        <v>-29.1</v>
      </c>
      <c r="K480" s="2">
        <f t="shared" si="63"/>
        <v>-21.6</v>
      </c>
      <c r="L480" s="8">
        <f t="shared" si="67"/>
        <v>4.3651583224016522E-12</v>
      </c>
      <c r="M480" s="26"/>
      <c r="N480" s="17"/>
      <c r="O480" s="9">
        <f t="shared" si="65"/>
        <v>-29.1</v>
      </c>
      <c r="P480" s="8">
        <f>D476/B476*10^(O480/10)</f>
        <v>2.4195285825976822E-2</v>
      </c>
      <c r="Q480" s="26"/>
      <c r="R480" s="17"/>
      <c r="S480" s="19"/>
      <c r="T480" s="17"/>
      <c r="U480" s="22"/>
    </row>
    <row r="481" spans="1:21" x14ac:dyDescent="0.25">
      <c r="A481" s="24"/>
      <c r="B481" s="24"/>
      <c r="C481" s="17"/>
      <c r="D481" s="24"/>
      <c r="E481" s="24"/>
      <c r="F481" s="25"/>
      <c r="G481" s="1">
        <v>675</v>
      </c>
      <c r="H481" s="2">
        <v>94.5</v>
      </c>
      <c r="I481" s="2">
        <v>-25.8</v>
      </c>
      <c r="J481" s="2">
        <v>-26.1</v>
      </c>
      <c r="K481" s="2">
        <f t="shared" si="63"/>
        <v>-25.8</v>
      </c>
      <c r="L481" s="8">
        <f t="shared" si="67"/>
        <v>9.3325430079698887E-13</v>
      </c>
      <c r="M481" s="26"/>
      <c r="N481" s="17"/>
      <c r="O481" s="9">
        <f t="shared" si="65"/>
        <v>-26.1</v>
      </c>
      <c r="P481" s="8">
        <f>D476/B476*10^(O481/10)</f>
        <v>4.827594200847219E-2</v>
      </c>
      <c r="Q481" s="26"/>
      <c r="R481" s="17"/>
      <c r="S481" s="20"/>
      <c r="T481" s="17"/>
      <c r="U481" s="23"/>
    </row>
    <row r="482" spans="1:21" x14ac:dyDescent="0.25">
      <c r="A482" s="24">
        <v>1000</v>
      </c>
      <c r="B482" s="24">
        <v>3</v>
      </c>
      <c r="C482" s="17">
        <v>0.5</v>
      </c>
      <c r="D482" s="24">
        <v>117</v>
      </c>
      <c r="E482" s="24">
        <v>6</v>
      </c>
      <c r="F482" s="25">
        <v>76</v>
      </c>
      <c r="G482" s="1">
        <v>875</v>
      </c>
      <c r="H482" s="2">
        <v>91.1</v>
      </c>
      <c r="I482" s="2">
        <v>-20.8</v>
      </c>
      <c r="J482" s="2">
        <v>-27.7</v>
      </c>
      <c r="K482" s="2">
        <f t="shared" si="63"/>
        <v>-20.8</v>
      </c>
      <c r="L482" s="8">
        <f t="shared" si="67"/>
        <v>6.4565422903465579E-12</v>
      </c>
      <c r="M482" s="26">
        <f>SUM(L482:L487)</f>
        <v>1.2194272485106375E-11</v>
      </c>
      <c r="N482" s="17">
        <f>10*LOG10(M482/E482)</f>
        <v>-116.91995355133535</v>
      </c>
      <c r="O482" s="9">
        <f t="shared" si="65"/>
        <v>-27.7</v>
      </c>
      <c r="P482" s="8">
        <f>D482/B482*10^(O482/10)</f>
        <v>6.6231502446007964E-2</v>
      </c>
      <c r="Q482" s="26">
        <f>SUM(P482:P487)</f>
        <v>0.37784796878542082</v>
      </c>
      <c r="R482" s="17">
        <f>10*LOG10(Q482)</f>
        <v>-4.2268290809660769</v>
      </c>
      <c r="S482" s="18">
        <f>F482+N482-Kzt-H</f>
        <v>-40.919953551335354</v>
      </c>
      <c r="T482" s="17">
        <v>0.8</v>
      </c>
      <c r="U482" s="21">
        <f>T482*10^((S482-R482)/10)</f>
        <v>1.7130795865187437E-4</v>
      </c>
    </row>
    <row r="483" spans="1:21" x14ac:dyDescent="0.25">
      <c r="A483" s="24"/>
      <c r="B483" s="24"/>
      <c r="C483" s="17"/>
      <c r="D483" s="24"/>
      <c r="E483" s="24"/>
      <c r="F483" s="25"/>
      <c r="G483" s="1">
        <v>975</v>
      </c>
      <c r="H483" s="2">
        <v>96.5</v>
      </c>
      <c r="I483" s="2">
        <v>-25.3</v>
      </c>
      <c r="J483" s="2">
        <v>-30.7</v>
      </c>
      <c r="K483" s="2">
        <f t="shared" si="63"/>
        <v>-25.3</v>
      </c>
      <c r="L483" s="8">
        <f t="shared" si="67"/>
        <v>6.606934480075954E-13</v>
      </c>
      <c r="M483" s="26"/>
      <c r="N483" s="17"/>
      <c r="O483" s="9">
        <f t="shared" si="65"/>
        <v>-30.7</v>
      </c>
      <c r="P483" s="8">
        <f>D482/B482*10^(O483/10)</f>
        <v>3.3194383489892683E-2</v>
      </c>
      <c r="Q483" s="26"/>
      <c r="R483" s="17"/>
      <c r="S483" s="19"/>
      <c r="T483" s="17"/>
      <c r="U483" s="22"/>
    </row>
    <row r="484" spans="1:21" x14ac:dyDescent="0.25">
      <c r="A484" s="24"/>
      <c r="B484" s="24"/>
      <c r="C484" s="17"/>
      <c r="D484" s="24"/>
      <c r="E484" s="24"/>
      <c r="F484" s="25"/>
      <c r="G484" s="1">
        <v>1075</v>
      </c>
      <c r="H484" s="2">
        <v>94.6</v>
      </c>
      <c r="I484" s="2">
        <v>-23.2</v>
      </c>
      <c r="J484" s="2">
        <v>-27.3</v>
      </c>
      <c r="K484" s="2">
        <f t="shared" si="63"/>
        <v>-23.2</v>
      </c>
      <c r="L484" s="8">
        <f t="shared" si="67"/>
        <v>1.6595869074375588E-12</v>
      </c>
      <c r="M484" s="26"/>
      <c r="N484" s="17"/>
      <c r="O484" s="9">
        <f t="shared" si="65"/>
        <v>-27.3</v>
      </c>
      <c r="P484" s="8">
        <f>D482/B482*10^(O484/10)</f>
        <v>7.2621398329851788E-2</v>
      </c>
      <c r="Q484" s="26"/>
      <c r="R484" s="17"/>
      <c r="S484" s="19"/>
      <c r="T484" s="17"/>
      <c r="U484" s="22"/>
    </row>
    <row r="485" spans="1:21" x14ac:dyDescent="0.25">
      <c r="A485" s="24"/>
      <c r="B485" s="24"/>
      <c r="C485" s="17"/>
      <c r="D485" s="24"/>
      <c r="E485" s="24"/>
      <c r="F485" s="25"/>
      <c r="G485" s="1">
        <v>1175</v>
      </c>
      <c r="H485" s="2">
        <v>97.8</v>
      </c>
      <c r="I485" s="2">
        <v>-18.5</v>
      </c>
      <c r="J485" s="2">
        <v>-27.1</v>
      </c>
      <c r="K485" s="2">
        <f t="shared" si="63"/>
        <v>-18.5</v>
      </c>
      <c r="L485" s="8">
        <f t="shared" si="67"/>
        <v>2.3442288153199247E-12</v>
      </c>
      <c r="M485" s="26"/>
      <c r="N485" s="17"/>
      <c r="O485" s="9">
        <f t="shared" si="65"/>
        <v>-27.1</v>
      </c>
      <c r="P485" s="8">
        <f>D482/B482*10^(O485/10)</f>
        <v>7.6043939390563725E-2</v>
      </c>
      <c r="Q485" s="26"/>
      <c r="R485" s="17"/>
      <c r="S485" s="19"/>
      <c r="T485" s="17"/>
      <c r="U485" s="22"/>
    </row>
    <row r="486" spans="1:21" x14ac:dyDescent="0.25">
      <c r="A486" s="24"/>
      <c r="B486" s="24"/>
      <c r="C486" s="17"/>
      <c r="D486" s="24"/>
      <c r="E486" s="24"/>
      <c r="F486" s="25"/>
      <c r="G486" s="1">
        <v>1275</v>
      </c>
      <c r="H486" s="2">
        <v>100.1</v>
      </c>
      <c r="I486" s="2">
        <v>-20.399999999999999</v>
      </c>
      <c r="J486" s="2">
        <v>-27.5</v>
      </c>
      <c r="K486" s="2">
        <f t="shared" si="63"/>
        <v>-20.399999999999999</v>
      </c>
      <c r="L486" s="8">
        <f t="shared" si="67"/>
        <v>8.9125093813374051E-13</v>
      </c>
      <c r="M486" s="26"/>
      <c r="N486" s="17"/>
      <c r="O486" s="9">
        <f t="shared" si="65"/>
        <v>-27.5</v>
      </c>
      <c r="P486" s="8">
        <f>D482/B482*10^(O486/10)</f>
        <v>6.9352896991517976E-2</v>
      </c>
      <c r="Q486" s="26"/>
      <c r="R486" s="17"/>
      <c r="S486" s="19"/>
      <c r="T486" s="17"/>
      <c r="U486" s="22"/>
    </row>
    <row r="487" spans="1:21" x14ac:dyDescent="0.25">
      <c r="A487" s="24"/>
      <c r="B487" s="24"/>
      <c r="C487" s="17"/>
      <c r="D487" s="24"/>
      <c r="E487" s="24"/>
      <c r="F487" s="25"/>
      <c r="G487" s="1">
        <v>1375</v>
      </c>
      <c r="H487" s="2">
        <v>103</v>
      </c>
      <c r="I487" s="2">
        <v>-24.4</v>
      </c>
      <c r="J487" s="2">
        <v>-28.1</v>
      </c>
      <c r="K487" s="2">
        <f t="shared" si="63"/>
        <v>-24.4</v>
      </c>
      <c r="L487" s="8">
        <f t="shared" si="67"/>
        <v>1.8197008586099787E-13</v>
      </c>
      <c r="M487" s="26"/>
      <c r="N487" s="17"/>
      <c r="O487" s="9">
        <f t="shared" si="65"/>
        <v>-28.1</v>
      </c>
      <c r="P487" s="8">
        <f>D482/B482*10^(O487/10)</f>
        <v>6.040384813758673E-2</v>
      </c>
      <c r="Q487" s="26"/>
      <c r="R487" s="17"/>
      <c r="S487" s="20"/>
      <c r="T487" s="17"/>
      <c r="U487" s="23"/>
    </row>
    <row r="488" spans="1:21" x14ac:dyDescent="0.25">
      <c r="A488" s="24">
        <v>2000</v>
      </c>
      <c r="B488" s="24">
        <v>3</v>
      </c>
      <c r="C488" s="17">
        <v>0.5</v>
      </c>
      <c r="D488" s="24">
        <v>234</v>
      </c>
      <c r="E488" s="24">
        <v>6</v>
      </c>
      <c r="F488" s="25">
        <v>68</v>
      </c>
      <c r="G488" s="1">
        <v>1425</v>
      </c>
      <c r="H488" s="2">
        <v>102.8</v>
      </c>
      <c r="I488" s="2">
        <v>-22.6</v>
      </c>
      <c r="J488" s="2">
        <v>-30.7</v>
      </c>
      <c r="K488" s="2">
        <f t="shared" si="63"/>
        <v>-22.6</v>
      </c>
      <c r="L488" s="8">
        <f t="shared" si="67"/>
        <v>2.8840315031265929E-13</v>
      </c>
      <c r="M488" s="26">
        <f>SUM(L488:L493)</f>
        <v>4.1716193066162053E-12</v>
      </c>
      <c r="N488" s="17">
        <f>10*LOG10(M488/E488)</f>
        <v>-121.57846581640567</v>
      </c>
      <c r="O488" s="9">
        <f t="shared" si="65"/>
        <v>-30.7</v>
      </c>
      <c r="P488" s="8">
        <f>D488/B488*10^(O488/10)</f>
        <v>6.6388766979785366E-2</v>
      </c>
      <c r="Q488" s="26">
        <f>SUM(P488:P493)</f>
        <v>0.76079408498962486</v>
      </c>
      <c r="R488" s="17">
        <f>10*LOG10(Q488)</f>
        <v>-1.18732872603703</v>
      </c>
      <c r="S488" s="18">
        <f>F488+N488-Kzt-H</f>
        <v>-53.578465816405668</v>
      </c>
      <c r="T488" s="17">
        <v>1</v>
      </c>
      <c r="U488" s="21">
        <f>T488*10^((S488-R488)/10)</f>
        <v>5.7661547143441925E-6</v>
      </c>
    </row>
    <row r="489" spans="1:21" x14ac:dyDescent="0.25">
      <c r="A489" s="24"/>
      <c r="B489" s="24"/>
      <c r="C489" s="17"/>
      <c r="D489" s="24"/>
      <c r="E489" s="24"/>
      <c r="F489" s="25"/>
      <c r="G489" s="1">
        <v>1625</v>
      </c>
      <c r="H489" s="2">
        <v>104.1</v>
      </c>
      <c r="I489" s="2">
        <v>-23.6</v>
      </c>
      <c r="J489" s="2">
        <v>-26.4</v>
      </c>
      <c r="K489" s="2">
        <f t="shared" si="63"/>
        <v>-23.6</v>
      </c>
      <c r="L489" s="8">
        <f t="shared" si="67"/>
        <v>1.6982436524617405E-13</v>
      </c>
      <c r="M489" s="26"/>
      <c r="N489" s="17"/>
      <c r="O489" s="9">
        <f t="shared" si="65"/>
        <v>-26.4</v>
      </c>
      <c r="P489" s="8">
        <f>D488/B488*10^(O489/10)</f>
        <v>0.17868767691588636</v>
      </c>
      <c r="Q489" s="26"/>
      <c r="R489" s="17"/>
      <c r="S489" s="19"/>
      <c r="T489" s="17"/>
      <c r="U489" s="22"/>
    </row>
    <row r="490" spans="1:21" x14ac:dyDescent="0.25">
      <c r="A490" s="24"/>
      <c r="B490" s="24"/>
      <c r="C490" s="17"/>
      <c r="D490" s="24"/>
      <c r="E490" s="24"/>
      <c r="F490" s="25"/>
      <c r="G490" s="1">
        <v>1825</v>
      </c>
      <c r="H490" s="2">
        <v>107.6</v>
      </c>
      <c r="I490" s="2">
        <v>-21.5</v>
      </c>
      <c r="J490" s="2">
        <v>-26.1</v>
      </c>
      <c r="K490" s="2">
        <f t="shared" si="63"/>
        <v>-21.5</v>
      </c>
      <c r="L490" s="8">
        <f t="shared" si="67"/>
        <v>1.2302687708123759E-13</v>
      </c>
      <c r="M490" s="26"/>
      <c r="N490" s="17"/>
      <c r="O490" s="9">
        <f t="shared" si="65"/>
        <v>-26.1</v>
      </c>
      <c r="P490" s="8">
        <f>D488/B488*10^(O490/10)</f>
        <v>0.19146729542343205</v>
      </c>
      <c r="Q490" s="26"/>
      <c r="R490" s="17"/>
      <c r="S490" s="19"/>
      <c r="T490" s="17"/>
      <c r="U490" s="22"/>
    </row>
    <row r="491" spans="1:21" x14ac:dyDescent="0.25">
      <c r="A491" s="24"/>
      <c r="B491" s="24"/>
      <c r="C491" s="17"/>
      <c r="D491" s="24"/>
      <c r="E491" s="24"/>
      <c r="F491" s="25"/>
      <c r="G491" s="1">
        <v>2125</v>
      </c>
      <c r="H491" s="2">
        <v>104.2</v>
      </c>
      <c r="I491" s="2">
        <v>-25.1</v>
      </c>
      <c r="J491" s="2">
        <v>-28.7</v>
      </c>
      <c r="K491" s="2">
        <f t="shared" si="63"/>
        <v>-25.1</v>
      </c>
      <c r="L491" s="8">
        <f t="shared" si="67"/>
        <v>1.1748975549395202E-13</v>
      </c>
      <c r="M491" s="26"/>
      <c r="N491" s="17"/>
      <c r="O491" s="9">
        <f t="shared" si="65"/>
        <v>-28.7</v>
      </c>
      <c r="P491" s="8">
        <f>D488/B488*10^(O491/10)</f>
        <v>0.10521910484214889</v>
      </c>
      <c r="Q491" s="26"/>
      <c r="R491" s="17"/>
      <c r="S491" s="19"/>
      <c r="T491" s="17"/>
      <c r="U491" s="22"/>
    </row>
    <row r="492" spans="1:21" x14ac:dyDescent="0.25">
      <c r="A492" s="24"/>
      <c r="B492" s="24"/>
      <c r="C492" s="17"/>
      <c r="D492" s="24"/>
      <c r="E492" s="24"/>
      <c r="F492" s="25"/>
      <c r="G492" s="1">
        <v>2425</v>
      </c>
      <c r="H492" s="2">
        <v>93.7</v>
      </c>
      <c r="I492" s="2">
        <v>-21.7</v>
      </c>
      <c r="J492" s="2">
        <v>-27</v>
      </c>
      <c r="K492" s="2">
        <f t="shared" si="63"/>
        <v>-21.7</v>
      </c>
      <c r="L492" s="8">
        <f t="shared" si="67"/>
        <v>2.8840315031265959E-12</v>
      </c>
      <c r="M492" s="26"/>
      <c r="N492" s="17"/>
      <c r="O492" s="9">
        <f t="shared" si="65"/>
        <v>-27</v>
      </c>
      <c r="P492" s="8">
        <f>D488/B488*10^(O492/10)</f>
        <v>0.15563046056757249</v>
      </c>
      <c r="Q492" s="26"/>
      <c r="R492" s="17"/>
      <c r="S492" s="19"/>
      <c r="T492" s="17"/>
      <c r="U492" s="22"/>
    </row>
    <row r="493" spans="1:21" x14ac:dyDescent="0.25">
      <c r="A493" s="24"/>
      <c r="B493" s="24"/>
      <c r="C493" s="17"/>
      <c r="D493" s="24"/>
      <c r="E493" s="24"/>
      <c r="F493" s="25"/>
      <c r="G493" s="1">
        <v>2775</v>
      </c>
      <c r="H493" s="2">
        <v>100.2</v>
      </c>
      <c r="I493" s="2">
        <v>-22.1</v>
      </c>
      <c r="J493" s="2">
        <v>-30.9</v>
      </c>
      <c r="K493" s="2">
        <f t="shared" si="63"/>
        <v>-22.1</v>
      </c>
      <c r="L493" s="8">
        <f t="shared" si="67"/>
        <v>5.8884365535558666E-13</v>
      </c>
      <c r="M493" s="26"/>
      <c r="N493" s="17"/>
      <c r="O493" s="9">
        <f t="shared" si="65"/>
        <v>-30.9</v>
      </c>
      <c r="P493" s="8">
        <f>D488/B488*10^(O493/10)</f>
        <v>6.3400780260799705E-2</v>
      </c>
      <c r="Q493" s="26"/>
      <c r="R493" s="17"/>
      <c r="S493" s="20"/>
      <c r="T493" s="17"/>
      <c r="U493" s="23"/>
    </row>
    <row r="494" spans="1:21" x14ac:dyDescent="0.25">
      <c r="A494" s="24">
        <v>4000</v>
      </c>
      <c r="B494" s="24">
        <v>3</v>
      </c>
      <c r="C494" s="17">
        <v>0.5</v>
      </c>
      <c r="D494" s="24">
        <v>470</v>
      </c>
      <c r="E494" s="24">
        <v>6</v>
      </c>
      <c r="F494" s="25">
        <v>62</v>
      </c>
      <c r="G494" s="1">
        <v>2825</v>
      </c>
      <c r="H494" s="2">
        <v>99.4</v>
      </c>
      <c r="I494" s="2">
        <v>-23.7</v>
      </c>
      <c r="J494" s="2">
        <v>-30.2</v>
      </c>
      <c r="K494" s="2">
        <f t="shared" si="63"/>
        <v>-23.7</v>
      </c>
      <c r="L494" s="8">
        <f t="shared" si="67"/>
        <v>4.8977881936844462E-13</v>
      </c>
      <c r="M494" s="26">
        <f>SUM(L494:L499)</f>
        <v>1.6138195205147513E-12</v>
      </c>
      <c r="N494" s="17">
        <f>10*LOG10(M494/E494)</f>
        <v>-125.7029628606154</v>
      </c>
      <c r="O494" s="9">
        <f t="shared" si="65"/>
        <v>-30.2</v>
      </c>
      <c r="P494" s="8">
        <f>D494/B494*10^(O494/10)</f>
        <v>0.14961550514335822</v>
      </c>
      <c r="Q494" s="26">
        <f>SUM(P494:P499)</f>
        <v>1.2167785044935053</v>
      </c>
      <c r="R494" s="17">
        <f>10*LOG10(Q494)</f>
        <v>0.85211528903000111</v>
      </c>
      <c r="S494" s="18">
        <f>F494+N494-Kzt-H</f>
        <v>-63.702962860615401</v>
      </c>
      <c r="T494" s="17">
        <v>0.9</v>
      </c>
      <c r="U494" s="21">
        <f>T494*10^((S494-R494)/10)</f>
        <v>3.1530778557631121E-7</v>
      </c>
    </row>
    <row r="495" spans="1:21" x14ac:dyDescent="0.25">
      <c r="A495" s="24"/>
      <c r="B495" s="24"/>
      <c r="C495" s="17"/>
      <c r="D495" s="24"/>
      <c r="E495" s="24"/>
      <c r="F495" s="25"/>
      <c r="G495" s="1">
        <v>3425</v>
      </c>
      <c r="H495" s="2">
        <v>103.5</v>
      </c>
      <c r="I495" s="2">
        <v>-25.2</v>
      </c>
      <c r="J495" s="2">
        <v>-27.4</v>
      </c>
      <c r="K495" s="2">
        <f t="shared" si="63"/>
        <v>-25.2</v>
      </c>
      <c r="L495" s="8">
        <f t="shared" si="67"/>
        <v>1.3489628825916516E-13</v>
      </c>
      <c r="M495" s="26"/>
      <c r="N495" s="17"/>
      <c r="O495" s="9">
        <f t="shared" si="65"/>
        <v>-27.4</v>
      </c>
      <c r="P495" s="8">
        <f>D494/B494*10^(O495/10)</f>
        <v>0.28508646784889724</v>
      </c>
      <c r="Q495" s="26"/>
      <c r="R495" s="17"/>
      <c r="S495" s="19"/>
      <c r="T495" s="17"/>
      <c r="U495" s="22"/>
    </row>
    <row r="496" spans="1:21" x14ac:dyDescent="0.25">
      <c r="A496" s="24"/>
      <c r="B496" s="24"/>
      <c r="C496" s="17"/>
      <c r="D496" s="24"/>
      <c r="E496" s="24"/>
      <c r="F496" s="25"/>
      <c r="G496" s="1">
        <v>4025</v>
      </c>
      <c r="H496" s="2">
        <v>103.6</v>
      </c>
      <c r="I496" s="2">
        <v>-23.6</v>
      </c>
      <c r="J496" s="2">
        <v>-32.6</v>
      </c>
      <c r="K496" s="2">
        <f t="shared" si="63"/>
        <v>-23.6</v>
      </c>
      <c r="L496" s="8">
        <f t="shared" si="67"/>
        <v>1.9054607179632483E-13</v>
      </c>
      <c r="M496" s="26"/>
      <c r="N496" s="17"/>
      <c r="O496" s="9">
        <f t="shared" si="65"/>
        <v>-32.6</v>
      </c>
      <c r="P496" s="8">
        <f>D494/B494*10^(O496/10)</f>
        <v>8.6094736904361091E-2</v>
      </c>
      <c r="Q496" s="26"/>
      <c r="R496" s="17"/>
      <c r="S496" s="19"/>
      <c r="T496" s="17"/>
      <c r="U496" s="22"/>
    </row>
    <row r="497" spans="1:21" x14ac:dyDescent="0.25">
      <c r="A497" s="24"/>
      <c r="B497" s="24"/>
      <c r="C497" s="17"/>
      <c r="D497" s="24"/>
      <c r="E497" s="24"/>
      <c r="F497" s="25"/>
      <c r="G497" s="1">
        <v>4625</v>
      </c>
      <c r="H497" s="2">
        <v>105.6</v>
      </c>
      <c r="I497" s="2">
        <v>-24.7</v>
      </c>
      <c r="J497" s="2">
        <v>-30.9</v>
      </c>
      <c r="K497" s="2">
        <f t="shared" si="63"/>
        <v>-24.7</v>
      </c>
      <c r="L497" s="8">
        <f t="shared" si="67"/>
        <v>9.3325430079699445E-14</v>
      </c>
      <c r="M497" s="26"/>
      <c r="N497" s="17"/>
      <c r="O497" s="9">
        <f t="shared" si="65"/>
        <v>-30.9</v>
      </c>
      <c r="P497" s="8">
        <f>D494/B494*10^(O497/10)</f>
        <v>0.12734344753237545</v>
      </c>
      <c r="Q497" s="26"/>
      <c r="R497" s="17"/>
      <c r="S497" s="19"/>
      <c r="T497" s="17"/>
      <c r="U497" s="22"/>
    </row>
    <row r="498" spans="1:21" x14ac:dyDescent="0.25">
      <c r="A498" s="24"/>
      <c r="B498" s="24"/>
      <c r="C498" s="17"/>
      <c r="D498" s="24"/>
      <c r="E498" s="24"/>
      <c r="F498" s="25"/>
      <c r="G498" s="1">
        <v>5225</v>
      </c>
      <c r="H498" s="2">
        <v>103.5</v>
      </c>
      <c r="I498" s="2">
        <v>-20.6</v>
      </c>
      <c r="J498" s="2">
        <v>-26.1</v>
      </c>
      <c r="K498" s="2">
        <f t="shared" si="63"/>
        <v>-20.6</v>
      </c>
      <c r="L498" s="8">
        <f t="shared" si="67"/>
        <v>3.8904514499427974E-13</v>
      </c>
      <c r="M498" s="26"/>
      <c r="N498" s="17"/>
      <c r="O498" s="9">
        <f t="shared" si="65"/>
        <v>-26.1</v>
      </c>
      <c r="P498" s="8">
        <f>D494/B494*10^(O498/10)</f>
        <v>0.38457106345732078</v>
      </c>
      <c r="Q498" s="26"/>
      <c r="R498" s="17"/>
      <c r="S498" s="19"/>
      <c r="T498" s="17"/>
      <c r="U498" s="22"/>
    </row>
    <row r="499" spans="1:21" x14ac:dyDescent="0.25">
      <c r="A499" s="24"/>
      <c r="B499" s="24"/>
      <c r="C499" s="17"/>
      <c r="D499" s="24"/>
      <c r="E499" s="24"/>
      <c r="F499" s="25"/>
      <c r="G499" s="1">
        <v>5625</v>
      </c>
      <c r="H499" s="2">
        <v>99.5</v>
      </c>
      <c r="I499" s="2">
        <v>-25.5</v>
      </c>
      <c r="J499" s="2">
        <v>-29.3</v>
      </c>
      <c r="K499" s="2">
        <f t="shared" si="63"/>
        <v>-25.5</v>
      </c>
      <c r="L499" s="8">
        <f t="shared" si="67"/>
        <v>3.1622776601683746E-13</v>
      </c>
      <c r="M499" s="26"/>
      <c r="N499" s="17"/>
      <c r="O499" s="9">
        <f t="shared" si="65"/>
        <v>-29.3</v>
      </c>
      <c r="P499" s="8">
        <f>D494/B494*10^(O499/10)</f>
        <v>0.18406728360719271</v>
      </c>
      <c r="Q499" s="26"/>
      <c r="R499" s="17"/>
      <c r="S499" s="20"/>
      <c r="T499" s="17"/>
      <c r="U499" s="23"/>
    </row>
    <row r="500" spans="1:21" x14ac:dyDescent="0.25">
      <c r="A500" s="24">
        <v>8000</v>
      </c>
      <c r="B500" s="24">
        <v>3</v>
      </c>
      <c r="C500" s="17">
        <v>0.5</v>
      </c>
      <c r="D500" s="24">
        <v>943</v>
      </c>
      <c r="E500" s="24">
        <v>6</v>
      </c>
      <c r="F500" s="25">
        <v>54</v>
      </c>
      <c r="G500" s="1">
        <v>6025</v>
      </c>
      <c r="H500" s="2">
        <v>95</v>
      </c>
      <c r="I500" s="2">
        <v>-22.2</v>
      </c>
      <c r="J500" s="2">
        <v>-25.4</v>
      </c>
      <c r="K500" s="2">
        <f t="shared" si="63"/>
        <v>-22.2</v>
      </c>
      <c r="L500" s="8">
        <f t="shared" si="67"/>
        <v>1.905460717963237E-12</v>
      </c>
      <c r="M500" s="26">
        <f>SUM(L500:L505)</f>
        <v>2.6335926865398166E-11</v>
      </c>
      <c r="N500" s="17">
        <f>10*LOG10(M500/E500)</f>
        <v>-113.57602642881164</v>
      </c>
      <c r="O500" s="9">
        <f t="shared" si="65"/>
        <v>-25.4</v>
      </c>
      <c r="P500" s="8">
        <f>D500/B500*10^(O500/10)</f>
        <v>0.90654723581612917</v>
      </c>
      <c r="Q500" s="26">
        <f>SUM(P500:P505)</f>
        <v>4.1745741644409415</v>
      </c>
      <c r="R500" s="17">
        <f>10*LOG10(Q500)</f>
        <v>6.2061218102545119</v>
      </c>
      <c r="S500" s="18">
        <f>F500+N500-Kzt-H</f>
        <v>-59.576026428811645</v>
      </c>
      <c r="T500" s="17">
        <v>0.7</v>
      </c>
      <c r="U500" s="21">
        <f>T500*10^((S500-R500)/10)</f>
        <v>1.848771408532278E-7</v>
      </c>
    </row>
    <row r="501" spans="1:21" x14ac:dyDescent="0.25">
      <c r="A501" s="24"/>
      <c r="B501" s="24"/>
      <c r="C501" s="17"/>
      <c r="D501" s="24"/>
      <c r="E501" s="24"/>
      <c r="F501" s="25"/>
      <c r="G501" s="1">
        <v>7025</v>
      </c>
      <c r="H501" s="2">
        <v>94.8</v>
      </c>
      <c r="I501" s="2">
        <v>-20.5</v>
      </c>
      <c r="J501" s="2">
        <v>-26.5</v>
      </c>
      <c r="K501" s="2">
        <f t="shared" si="63"/>
        <v>-20.5</v>
      </c>
      <c r="L501" s="8">
        <f t="shared" si="67"/>
        <v>2.9512092266663859E-12</v>
      </c>
      <c r="M501" s="26"/>
      <c r="N501" s="17"/>
      <c r="O501" s="9">
        <f t="shared" si="65"/>
        <v>-26.5</v>
      </c>
      <c r="P501" s="8">
        <f>D500/B500*10^(O501/10)</f>
        <v>0.70370467788998103</v>
      </c>
      <c r="Q501" s="26"/>
      <c r="R501" s="17"/>
      <c r="S501" s="19"/>
      <c r="T501" s="17"/>
      <c r="U501" s="22"/>
    </row>
    <row r="502" spans="1:21" x14ac:dyDescent="0.25">
      <c r="A502" s="24"/>
      <c r="B502" s="24"/>
      <c r="C502" s="17"/>
      <c r="D502" s="24"/>
      <c r="E502" s="24"/>
      <c r="F502" s="25"/>
      <c r="G502" s="1">
        <v>8025</v>
      </c>
      <c r="H502" s="2">
        <v>101.9</v>
      </c>
      <c r="I502" s="2">
        <v>-25.599999999999998</v>
      </c>
      <c r="J502" s="2">
        <v>-27.4</v>
      </c>
      <c r="K502" s="2">
        <f t="shared" si="63"/>
        <v>-25.599999999999998</v>
      </c>
      <c r="L502" s="8">
        <f t="shared" si="67"/>
        <v>1.7782794100389184E-13</v>
      </c>
      <c r="M502" s="26"/>
      <c r="N502" s="17"/>
      <c r="O502" s="9">
        <f t="shared" si="65"/>
        <v>-27.4</v>
      </c>
      <c r="P502" s="8">
        <f>D500/B500*10^(O502/10)</f>
        <v>0.57199263655640453</v>
      </c>
      <c r="Q502" s="26"/>
      <c r="R502" s="17"/>
      <c r="S502" s="19"/>
      <c r="T502" s="17"/>
      <c r="U502" s="22"/>
    </row>
    <row r="503" spans="1:21" x14ac:dyDescent="0.25">
      <c r="A503" s="24"/>
      <c r="B503" s="24"/>
      <c r="C503" s="17"/>
      <c r="D503" s="24"/>
      <c r="E503" s="24"/>
      <c r="F503" s="25"/>
      <c r="G503" s="1">
        <v>9025</v>
      </c>
      <c r="H503" s="2">
        <v>93.2</v>
      </c>
      <c r="I503" s="2">
        <v>-23.5</v>
      </c>
      <c r="J503" s="2">
        <v>-30.8</v>
      </c>
      <c r="K503" s="2">
        <f t="shared" si="63"/>
        <v>-23.5</v>
      </c>
      <c r="L503" s="8">
        <f t="shared" si="67"/>
        <v>2.1379620895022273E-12</v>
      </c>
      <c r="M503" s="26"/>
      <c r="N503" s="17"/>
      <c r="O503" s="9">
        <f t="shared" si="65"/>
        <v>-30.8</v>
      </c>
      <c r="P503" s="8">
        <f>D500/B500*10^(O503/10)</f>
        <v>0.261451078716606</v>
      </c>
      <c r="Q503" s="26"/>
      <c r="R503" s="17"/>
      <c r="S503" s="19"/>
      <c r="T503" s="17"/>
      <c r="U503" s="22"/>
    </row>
    <row r="504" spans="1:21" x14ac:dyDescent="0.25">
      <c r="A504" s="24"/>
      <c r="B504" s="24"/>
      <c r="C504" s="17"/>
      <c r="D504" s="24"/>
      <c r="E504" s="24"/>
      <c r="F504" s="25"/>
      <c r="G504" s="1">
        <v>10025</v>
      </c>
      <c r="H504" s="2">
        <v>88.3</v>
      </c>
      <c r="I504" s="2">
        <v>-22.7</v>
      </c>
      <c r="J504" s="2">
        <v>-26.3</v>
      </c>
      <c r="K504" s="2">
        <f t="shared" si="63"/>
        <v>-22.7</v>
      </c>
      <c r="L504" s="8">
        <f t="shared" si="67"/>
        <v>7.9432823472428101E-12</v>
      </c>
      <c r="M504" s="26"/>
      <c r="N504" s="17"/>
      <c r="O504" s="9">
        <f t="shared" si="65"/>
        <v>-26.3</v>
      </c>
      <c r="P504" s="8">
        <f>D500/B500*10^(O504/10)</f>
        <v>0.73686925761556155</v>
      </c>
      <c r="Q504" s="26"/>
      <c r="R504" s="17"/>
      <c r="S504" s="19"/>
      <c r="T504" s="17"/>
      <c r="U504" s="22"/>
    </row>
    <row r="505" spans="1:21" x14ac:dyDescent="0.25">
      <c r="A505" s="24"/>
      <c r="B505" s="24"/>
      <c r="C505" s="17"/>
      <c r="D505" s="24"/>
      <c r="E505" s="24"/>
      <c r="F505" s="25"/>
      <c r="G505" s="1">
        <v>11025</v>
      </c>
      <c r="H505" s="2">
        <v>86</v>
      </c>
      <c r="I505" s="2">
        <v>-23.5</v>
      </c>
      <c r="J505" s="2">
        <v>-25</v>
      </c>
      <c r="K505" s="2">
        <f t="shared" si="63"/>
        <v>-23.5</v>
      </c>
      <c r="L505" s="8">
        <f t="shared" si="67"/>
        <v>1.1220184543019613E-11</v>
      </c>
      <c r="M505" s="26"/>
      <c r="N505" s="17"/>
      <c r="O505" s="9">
        <f t="shared" si="65"/>
        <v>-25</v>
      </c>
      <c r="P505" s="8">
        <f>D500/B500*10^(O505/10)</f>
        <v>0.99400927784625959</v>
      </c>
      <c r="Q505" s="26"/>
      <c r="R505" s="17"/>
      <c r="S505" s="20"/>
      <c r="T505" s="17"/>
      <c r="U505" s="23"/>
    </row>
    <row r="506" spans="1:21" x14ac:dyDescent="0.25">
      <c r="A506" s="24" t="s">
        <v>20</v>
      </c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12">
        <f>U506</f>
        <v>5.388217137663192E-2</v>
      </c>
      <c r="T506" s="2"/>
      <c r="U506" s="8">
        <f>0.8*SQRT(SUM(U472:U505))</f>
        <v>5.388217137663192E-2</v>
      </c>
    </row>
    <row r="507" spans="1:21" x14ac:dyDescent="0.25">
      <c r="A507" s="27" t="s">
        <v>106</v>
      </c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9"/>
    </row>
    <row r="508" spans="1:21" x14ac:dyDescent="0.25">
      <c r="A508" s="24">
        <v>250</v>
      </c>
      <c r="B508" s="24">
        <v>3</v>
      </c>
      <c r="C508" s="17">
        <v>0.5</v>
      </c>
      <c r="D508" s="24">
        <v>38</v>
      </c>
      <c r="E508" s="24">
        <v>4</v>
      </c>
      <c r="F508" s="25">
        <v>84</v>
      </c>
      <c r="G508" s="1">
        <v>175</v>
      </c>
      <c r="H508" s="2">
        <v>84.8</v>
      </c>
      <c r="I508" s="2">
        <v>-21</v>
      </c>
      <c r="J508" s="2">
        <v>-25.6</v>
      </c>
      <c r="K508" s="2">
        <f>I508</f>
        <v>-21</v>
      </c>
      <c r="L508" s="8">
        <f>10^((K508-H508)/10)</f>
        <v>2.6302679918953769E-11</v>
      </c>
      <c r="M508" s="26">
        <f>SUM(L508:L511)</f>
        <v>3.9817717800053559E-11</v>
      </c>
      <c r="N508" s="17">
        <f>10*LOG10(M508/E508)</f>
        <v>-110.01983627029017</v>
      </c>
      <c r="O508" s="9">
        <f>J508</f>
        <v>-25.6</v>
      </c>
      <c r="P508" s="8">
        <f>D508/B508*10^(O508/10)</f>
        <v>3.4886896908950089E-2</v>
      </c>
      <c r="Q508" s="26">
        <f>SUM(P508:P511)</f>
        <v>0.1289356256774733</v>
      </c>
      <c r="R508" s="17">
        <f>10*LOG10(Q508)</f>
        <v>-8.8962706792637718</v>
      </c>
      <c r="S508" s="18">
        <f>F508+N508-Kzt-H</f>
        <v>-26.01983627029017</v>
      </c>
      <c r="T508" s="17">
        <v>0.2</v>
      </c>
      <c r="U508" s="21">
        <f>T508*10^((S508-R508)/10)</f>
        <v>3.8785860986870107E-3</v>
      </c>
    </row>
    <row r="509" spans="1:21" x14ac:dyDescent="0.25">
      <c r="A509" s="24"/>
      <c r="B509" s="24"/>
      <c r="C509" s="17"/>
      <c r="D509" s="24"/>
      <c r="E509" s="24"/>
      <c r="F509" s="25"/>
      <c r="G509" s="1">
        <v>225</v>
      </c>
      <c r="H509" s="2">
        <v>90</v>
      </c>
      <c r="I509" s="2">
        <v>-22.7</v>
      </c>
      <c r="J509" s="2">
        <v>-25.1</v>
      </c>
      <c r="K509" s="2">
        <f t="shared" ref="K509:K541" si="68">I509</f>
        <v>-22.7</v>
      </c>
      <c r="L509" s="8">
        <f t="shared" ref="L509:L510" si="69">10^((K509-H509)/10)</f>
        <v>5.3703179637025143E-12</v>
      </c>
      <c r="M509" s="26"/>
      <c r="N509" s="17"/>
      <c r="O509" s="9">
        <f t="shared" ref="O509:O541" si="70">J509</f>
        <v>-25.1</v>
      </c>
      <c r="P509" s="8">
        <f>D508/B508*10^(O509/10)</f>
        <v>3.9143742145172113E-2</v>
      </c>
      <c r="Q509" s="26"/>
      <c r="R509" s="17"/>
      <c r="S509" s="19"/>
      <c r="T509" s="17"/>
      <c r="U509" s="22"/>
    </row>
    <row r="510" spans="1:21" x14ac:dyDescent="0.25">
      <c r="A510" s="24"/>
      <c r="B510" s="24"/>
      <c r="C510" s="17"/>
      <c r="D510" s="24"/>
      <c r="E510" s="24"/>
      <c r="F510" s="25"/>
      <c r="G510" s="1">
        <v>275</v>
      </c>
      <c r="H510" s="2">
        <v>92.2</v>
      </c>
      <c r="I510" s="2">
        <v>-21.1</v>
      </c>
      <c r="J510" s="2">
        <v>-24.8</v>
      </c>
      <c r="K510" s="2">
        <f t="shared" si="68"/>
        <v>-21.1</v>
      </c>
      <c r="L510" s="8">
        <f t="shared" si="69"/>
        <v>4.6773514128719567E-12</v>
      </c>
      <c r="M510" s="26"/>
      <c r="N510" s="17"/>
      <c r="O510" s="9">
        <f t="shared" si="70"/>
        <v>-24.8</v>
      </c>
      <c r="P510" s="8">
        <f>D508/B508*10^(O510/10)</f>
        <v>4.1943275387794861E-2</v>
      </c>
      <c r="Q510" s="26"/>
      <c r="R510" s="17"/>
      <c r="S510" s="19"/>
      <c r="T510" s="17"/>
      <c r="U510" s="22"/>
    </row>
    <row r="511" spans="1:21" x14ac:dyDescent="0.25">
      <c r="A511" s="24"/>
      <c r="B511" s="24"/>
      <c r="C511" s="17"/>
      <c r="D511" s="24"/>
      <c r="E511" s="24"/>
      <c r="F511" s="25"/>
      <c r="G511" s="1">
        <v>325</v>
      </c>
      <c r="H511" s="2">
        <v>93.3</v>
      </c>
      <c r="I511" s="2">
        <v>-21.3</v>
      </c>
      <c r="J511" s="2">
        <v>-29.9</v>
      </c>
      <c r="K511" s="2">
        <f t="shared" si="68"/>
        <v>-21.3</v>
      </c>
      <c r="L511" s="8">
        <f>10^((K511-H511)/10)</f>
        <v>3.4673685045253144E-12</v>
      </c>
      <c r="M511" s="26"/>
      <c r="N511" s="17"/>
      <c r="O511" s="9">
        <f t="shared" si="70"/>
        <v>-29.9</v>
      </c>
      <c r="P511" s="8">
        <f>D508/B508*10^(O511/10)</f>
        <v>1.2961711235556219E-2</v>
      </c>
      <c r="Q511" s="26"/>
      <c r="R511" s="17"/>
      <c r="S511" s="20"/>
      <c r="T511" s="17"/>
      <c r="U511" s="23"/>
    </row>
    <row r="512" spans="1:21" x14ac:dyDescent="0.25">
      <c r="A512" s="24">
        <v>500</v>
      </c>
      <c r="B512" s="24">
        <v>3</v>
      </c>
      <c r="C512" s="17">
        <v>0.5</v>
      </c>
      <c r="D512" s="24">
        <v>59</v>
      </c>
      <c r="E512" s="24">
        <v>6</v>
      </c>
      <c r="F512" s="25">
        <v>84</v>
      </c>
      <c r="G512" s="1">
        <v>375</v>
      </c>
      <c r="H512" s="2">
        <v>91.9</v>
      </c>
      <c r="I512" s="2">
        <v>-22.6</v>
      </c>
      <c r="J512" s="2">
        <v>-26.1</v>
      </c>
      <c r="K512" s="2">
        <f t="shared" si="68"/>
        <v>-22.6</v>
      </c>
      <c r="L512" s="8">
        <f t="shared" ref="L512:L513" si="71">10^((K512-H512)/10)</f>
        <v>3.5481338923357515E-12</v>
      </c>
      <c r="M512" s="26">
        <f>SUM(L512:L517)</f>
        <v>3.8499027435502589E-11</v>
      </c>
      <c r="N512" s="17">
        <f>10*LOG10(M512/E512)</f>
        <v>-111.9270149190708</v>
      </c>
      <c r="O512" s="9">
        <f t="shared" si="70"/>
        <v>-26.1</v>
      </c>
      <c r="P512" s="8">
        <f>D512/B512*10^(O512/10)</f>
        <v>4.827594200847219E-2</v>
      </c>
      <c r="Q512" s="26">
        <f>SUM(P512:P517)</f>
        <v>0.22661129100172106</v>
      </c>
      <c r="R512" s="17">
        <f>10*LOG10(Q512)</f>
        <v>-6.4471845503052911</v>
      </c>
      <c r="S512" s="18">
        <f>F512+N512-Kzt-H</f>
        <v>-27.9270149190708</v>
      </c>
      <c r="T512" s="17">
        <v>0.5</v>
      </c>
      <c r="U512" s="21">
        <f>T512*10^((S512-R512)/10)</f>
        <v>3.5562064675475316E-3</v>
      </c>
    </row>
    <row r="513" spans="1:21" x14ac:dyDescent="0.25">
      <c r="A513" s="24"/>
      <c r="B513" s="24"/>
      <c r="C513" s="17"/>
      <c r="D513" s="24"/>
      <c r="E513" s="24"/>
      <c r="F513" s="25"/>
      <c r="G513" s="1">
        <v>425</v>
      </c>
      <c r="H513" s="2">
        <v>88.1</v>
      </c>
      <c r="I513" s="2">
        <v>-19.899999999999999</v>
      </c>
      <c r="J513" s="2">
        <v>-28.7</v>
      </c>
      <c r="K513" s="2">
        <f t="shared" si="68"/>
        <v>-19.899999999999999</v>
      </c>
      <c r="L513" s="8">
        <f t="shared" si="71"/>
        <v>1.5848931924611082E-11</v>
      </c>
      <c r="M513" s="26"/>
      <c r="N513" s="17"/>
      <c r="O513" s="9">
        <f t="shared" si="70"/>
        <v>-28.7</v>
      </c>
      <c r="P513" s="8">
        <f>D512/B512*10^(O513/10)</f>
        <v>2.6529603357635829E-2</v>
      </c>
      <c r="Q513" s="26"/>
      <c r="R513" s="17"/>
      <c r="S513" s="19"/>
      <c r="T513" s="17"/>
      <c r="U513" s="22"/>
    </row>
    <row r="514" spans="1:21" x14ac:dyDescent="0.25">
      <c r="A514" s="24"/>
      <c r="B514" s="24"/>
      <c r="C514" s="17"/>
      <c r="D514" s="24"/>
      <c r="E514" s="24"/>
      <c r="F514" s="25"/>
      <c r="G514" s="1">
        <v>475</v>
      </c>
      <c r="H514" s="2">
        <v>90</v>
      </c>
      <c r="I514" s="2">
        <v>-18.7</v>
      </c>
      <c r="J514" s="2">
        <v>-24.8</v>
      </c>
      <c r="K514" s="2">
        <f t="shared" si="68"/>
        <v>-18.7</v>
      </c>
      <c r="L514" s="8">
        <f>10^((K514-H514)/10)</f>
        <v>1.348962882591645E-11</v>
      </c>
      <c r="M514" s="26"/>
      <c r="N514" s="17"/>
      <c r="O514" s="9">
        <f t="shared" si="70"/>
        <v>-24.8</v>
      </c>
      <c r="P514" s="8">
        <f>D512/B512*10^(O514/10)</f>
        <v>6.512245389157624E-2</v>
      </c>
      <c r="Q514" s="26"/>
      <c r="R514" s="17"/>
      <c r="S514" s="19"/>
      <c r="T514" s="17"/>
      <c r="U514" s="22"/>
    </row>
    <row r="515" spans="1:21" x14ac:dyDescent="0.25">
      <c r="A515" s="24"/>
      <c r="B515" s="24"/>
      <c r="C515" s="17"/>
      <c r="D515" s="24"/>
      <c r="E515" s="24"/>
      <c r="F515" s="25"/>
      <c r="G515" s="1">
        <v>575</v>
      </c>
      <c r="H515" s="2">
        <v>97</v>
      </c>
      <c r="I515" s="2">
        <v>-20</v>
      </c>
      <c r="J515" s="2">
        <v>-27</v>
      </c>
      <c r="K515" s="2">
        <f t="shared" si="68"/>
        <v>-20</v>
      </c>
      <c r="L515" s="8">
        <f t="shared" ref="L515:L541" si="72">10^((K515-H515)/10)</f>
        <v>1.9952623149688759E-12</v>
      </c>
      <c r="M515" s="26"/>
      <c r="N515" s="17"/>
      <c r="O515" s="9">
        <f t="shared" si="70"/>
        <v>-27</v>
      </c>
      <c r="P515" s="8">
        <f>D512/B512*10^(O515/10)</f>
        <v>3.9240158861054607E-2</v>
      </c>
      <c r="Q515" s="26"/>
      <c r="R515" s="17"/>
      <c r="S515" s="19"/>
      <c r="T515" s="17"/>
      <c r="U515" s="22"/>
    </row>
    <row r="516" spans="1:21" x14ac:dyDescent="0.25">
      <c r="A516" s="24"/>
      <c r="B516" s="24"/>
      <c r="C516" s="17"/>
      <c r="D516" s="24"/>
      <c r="E516" s="24"/>
      <c r="F516" s="25"/>
      <c r="G516" s="1">
        <v>625</v>
      </c>
      <c r="H516" s="2">
        <v>92</v>
      </c>
      <c r="I516" s="2">
        <v>-24.7</v>
      </c>
      <c r="J516" s="2">
        <v>-28.3</v>
      </c>
      <c r="K516" s="2">
        <f t="shared" si="68"/>
        <v>-24.7</v>
      </c>
      <c r="L516" s="8">
        <f t="shared" si="72"/>
        <v>2.1379620895022273E-12</v>
      </c>
      <c r="M516" s="26"/>
      <c r="N516" s="17"/>
      <c r="O516" s="9">
        <f t="shared" si="70"/>
        <v>-28.3</v>
      </c>
      <c r="P516" s="8">
        <f>D512/B512*10^(O516/10)</f>
        <v>2.9089131633974731E-2</v>
      </c>
      <c r="Q516" s="26"/>
      <c r="R516" s="17"/>
      <c r="S516" s="19"/>
      <c r="T516" s="17"/>
      <c r="U516" s="22"/>
    </row>
    <row r="517" spans="1:21" x14ac:dyDescent="0.25">
      <c r="A517" s="24"/>
      <c r="B517" s="24"/>
      <c r="C517" s="17"/>
      <c r="D517" s="24"/>
      <c r="E517" s="24"/>
      <c r="F517" s="25"/>
      <c r="G517" s="1">
        <v>675</v>
      </c>
      <c r="H517" s="2">
        <v>94.5</v>
      </c>
      <c r="I517" s="2">
        <v>-23.8</v>
      </c>
      <c r="J517" s="2">
        <v>-30.3</v>
      </c>
      <c r="K517" s="2">
        <f t="shared" si="68"/>
        <v>-23.8</v>
      </c>
      <c r="L517" s="8">
        <f t="shared" si="72"/>
        <v>1.4791083881682012E-12</v>
      </c>
      <c r="M517" s="26"/>
      <c r="N517" s="17"/>
      <c r="O517" s="9">
        <f t="shared" si="70"/>
        <v>-30.3</v>
      </c>
      <c r="P517" s="8">
        <f>D512/B512*10^(O517/10)</f>
        <v>1.8354001249007469E-2</v>
      </c>
      <c r="Q517" s="26"/>
      <c r="R517" s="17"/>
      <c r="S517" s="20"/>
      <c r="T517" s="17"/>
      <c r="U517" s="23"/>
    </row>
    <row r="518" spans="1:21" x14ac:dyDescent="0.25">
      <c r="A518" s="24">
        <v>1000</v>
      </c>
      <c r="B518" s="24">
        <v>3</v>
      </c>
      <c r="C518" s="17">
        <v>0.5</v>
      </c>
      <c r="D518" s="24">
        <v>117</v>
      </c>
      <c r="E518" s="24">
        <v>6</v>
      </c>
      <c r="F518" s="25">
        <v>76</v>
      </c>
      <c r="G518" s="1">
        <v>875</v>
      </c>
      <c r="H518" s="2">
        <v>91.1</v>
      </c>
      <c r="I518" s="2">
        <v>-23.4</v>
      </c>
      <c r="J518" s="2">
        <v>-26.7</v>
      </c>
      <c r="K518" s="2">
        <f t="shared" si="68"/>
        <v>-23.4</v>
      </c>
      <c r="L518" s="8">
        <f t="shared" si="72"/>
        <v>3.5481338923357515E-12</v>
      </c>
      <c r="M518" s="26">
        <f>SUM(L518:L523)</f>
        <v>9.8915530099498364E-12</v>
      </c>
      <c r="N518" s="17">
        <f>10*LOG10(M518/E518)</f>
        <v>-117.82886767613346</v>
      </c>
      <c r="O518" s="9">
        <f t="shared" si="70"/>
        <v>-26.7</v>
      </c>
      <c r="P518" s="8">
        <f>D518/B518*10^(O518/10)</f>
        <v>8.3380521490587042E-2</v>
      </c>
      <c r="Q518" s="26">
        <f>SUM(P518:P523)</f>
        <v>0.47153748711256749</v>
      </c>
      <c r="R518" s="17">
        <f>10*LOG10(Q518)</f>
        <v>-3.2648377525121761</v>
      </c>
      <c r="S518" s="18">
        <f>F518+N518-Kzt-H</f>
        <v>-41.828867676133456</v>
      </c>
      <c r="T518" s="17">
        <v>0.8</v>
      </c>
      <c r="U518" s="21">
        <f>T518*10^((S518-R518)/10)</f>
        <v>1.1134917268994639E-4</v>
      </c>
    </row>
    <row r="519" spans="1:21" x14ac:dyDescent="0.25">
      <c r="A519" s="24"/>
      <c r="B519" s="24"/>
      <c r="C519" s="17"/>
      <c r="D519" s="24"/>
      <c r="E519" s="24"/>
      <c r="F519" s="25"/>
      <c r="G519" s="1">
        <v>975</v>
      </c>
      <c r="H519" s="2">
        <v>96.5</v>
      </c>
      <c r="I519" s="2">
        <v>-25.9</v>
      </c>
      <c r="J519" s="2">
        <v>-27.3</v>
      </c>
      <c r="K519" s="2">
        <f t="shared" si="68"/>
        <v>-25.9</v>
      </c>
      <c r="L519" s="8">
        <f t="shared" si="72"/>
        <v>5.7543993733715476E-13</v>
      </c>
      <c r="M519" s="26"/>
      <c r="N519" s="17"/>
      <c r="O519" s="9">
        <f t="shared" si="70"/>
        <v>-27.3</v>
      </c>
      <c r="P519" s="8">
        <f>D518/B518*10^(O519/10)</f>
        <v>7.2621398329851788E-2</v>
      </c>
      <c r="Q519" s="26"/>
      <c r="R519" s="17"/>
      <c r="S519" s="19"/>
      <c r="T519" s="17"/>
      <c r="U519" s="22"/>
    </row>
    <row r="520" spans="1:21" x14ac:dyDescent="0.25">
      <c r="A520" s="24"/>
      <c r="B520" s="24"/>
      <c r="C520" s="17"/>
      <c r="D520" s="24"/>
      <c r="E520" s="24"/>
      <c r="F520" s="25"/>
      <c r="G520" s="1">
        <v>1075</v>
      </c>
      <c r="H520" s="2">
        <v>94.6</v>
      </c>
      <c r="I520" s="2">
        <v>-18.7</v>
      </c>
      <c r="J520" s="2">
        <v>-31.4</v>
      </c>
      <c r="K520" s="2">
        <f t="shared" si="68"/>
        <v>-18.7</v>
      </c>
      <c r="L520" s="8">
        <f t="shared" si="72"/>
        <v>4.6773514128719737E-12</v>
      </c>
      <c r="M520" s="26"/>
      <c r="N520" s="17"/>
      <c r="O520" s="9">
        <f t="shared" si="70"/>
        <v>-31.4</v>
      </c>
      <c r="P520" s="8">
        <f>D518/B518*10^(O520/10)</f>
        <v>2.8253002442924603E-2</v>
      </c>
      <c r="Q520" s="26"/>
      <c r="R520" s="17"/>
      <c r="S520" s="19"/>
      <c r="T520" s="17"/>
      <c r="U520" s="22"/>
    </row>
    <row r="521" spans="1:21" x14ac:dyDescent="0.25">
      <c r="A521" s="24"/>
      <c r="B521" s="24"/>
      <c r="C521" s="17"/>
      <c r="D521" s="24"/>
      <c r="E521" s="24"/>
      <c r="F521" s="25"/>
      <c r="G521" s="1">
        <v>1175</v>
      </c>
      <c r="H521" s="2">
        <v>97.8</v>
      </c>
      <c r="I521" s="2">
        <v>-24.700000000000003</v>
      </c>
      <c r="J521" s="2">
        <v>-25.1</v>
      </c>
      <c r="K521" s="2">
        <f t="shared" si="68"/>
        <v>-24.700000000000003</v>
      </c>
      <c r="L521" s="8">
        <f t="shared" si="72"/>
        <v>5.6234132519034702E-13</v>
      </c>
      <c r="M521" s="26"/>
      <c r="N521" s="17"/>
      <c r="O521" s="9">
        <f t="shared" si="70"/>
        <v>-25.1</v>
      </c>
      <c r="P521" s="8">
        <f>D518/B518*10^(O521/10)</f>
        <v>0.12052152186802992</v>
      </c>
      <c r="Q521" s="26"/>
      <c r="R521" s="17"/>
      <c r="S521" s="19"/>
      <c r="T521" s="17"/>
      <c r="U521" s="22"/>
    </row>
    <row r="522" spans="1:21" x14ac:dyDescent="0.25">
      <c r="A522" s="24"/>
      <c r="B522" s="24"/>
      <c r="C522" s="17"/>
      <c r="D522" s="24"/>
      <c r="E522" s="24"/>
      <c r="F522" s="25"/>
      <c r="G522" s="1">
        <v>1275</v>
      </c>
      <c r="H522" s="2">
        <v>100.1</v>
      </c>
      <c r="I522" s="2">
        <v>-26.1</v>
      </c>
      <c r="J522" s="2">
        <v>-26.7</v>
      </c>
      <c r="K522" s="2">
        <f t="shared" si="68"/>
        <v>-26.1</v>
      </c>
      <c r="L522" s="8">
        <f t="shared" si="72"/>
        <v>2.3988329190194898E-13</v>
      </c>
      <c r="M522" s="26"/>
      <c r="N522" s="17"/>
      <c r="O522" s="9">
        <f t="shared" si="70"/>
        <v>-26.7</v>
      </c>
      <c r="P522" s="8">
        <f>D518/B518*10^(O522/10)</f>
        <v>8.3380521490587042E-2</v>
      </c>
      <c r="Q522" s="26"/>
      <c r="R522" s="17"/>
      <c r="S522" s="19"/>
      <c r="T522" s="17"/>
      <c r="U522" s="22"/>
    </row>
    <row r="523" spans="1:21" x14ac:dyDescent="0.25">
      <c r="A523" s="24"/>
      <c r="B523" s="24"/>
      <c r="C523" s="17"/>
      <c r="D523" s="24"/>
      <c r="E523" s="24"/>
      <c r="F523" s="25"/>
      <c r="G523" s="1">
        <v>1375</v>
      </c>
      <c r="H523" s="2">
        <v>103</v>
      </c>
      <c r="I523" s="2">
        <v>-22.4</v>
      </c>
      <c r="J523" s="2">
        <v>-26.7</v>
      </c>
      <c r="K523" s="2">
        <f t="shared" si="68"/>
        <v>-22.4</v>
      </c>
      <c r="L523" s="8">
        <f t="shared" si="72"/>
        <v>2.8840315031265929E-13</v>
      </c>
      <c r="M523" s="26"/>
      <c r="N523" s="17"/>
      <c r="O523" s="9">
        <f t="shared" si="70"/>
        <v>-26.7</v>
      </c>
      <c r="P523" s="8">
        <f>D518/B518*10^(O523/10)</f>
        <v>8.3380521490587042E-2</v>
      </c>
      <c r="Q523" s="26"/>
      <c r="R523" s="17"/>
      <c r="S523" s="20"/>
      <c r="T523" s="17"/>
      <c r="U523" s="23"/>
    </row>
    <row r="524" spans="1:21" x14ac:dyDescent="0.25">
      <c r="A524" s="24">
        <v>2000</v>
      </c>
      <c r="B524" s="24">
        <v>3</v>
      </c>
      <c r="C524" s="17">
        <v>0.5</v>
      </c>
      <c r="D524" s="24">
        <v>234</v>
      </c>
      <c r="E524" s="24">
        <v>6</v>
      </c>
      <c r="F524" s="25">
        <v>68</v>
      </c>
      <c r="G524" s="1">
        <v>1425</v>
      </c>
      <c r="H524" s="2">
        <v>102.8</v>
      </c>
      <c r="I524" s="2">
        <v>-25.4</v>
      </c>
      <c r="J524" s="2">
        <v>-26.2</v>
      </c>
      <c r="K524" s="2">
        <f t="shared" si="68"/>
        <v>-25.4</v>
      </c>
      <c r="L524" s="8">
        <f t="shared" si="72"/>
        <v>1.5135612484362107E-13</v>
      </c>
      <c r="M524" s="26">
        <f>SUM(L524:L529)</f>
        <v>4.6067864079053469E-12</v>
      </c>
      <c r="N524" s="17">
        <f>10*LOG10(M524/E524)</f>
        <v>-121.14753173581038</v>
      </c>
      <c r="O524" s="9">
        <f t="shared" si="70"/>
        <v>-26.2</v>
      </c>
      <c r="P524" s="8">
        <f>D524/B524*10^(O524/10)</f>
        <v>0.18710896768352012</v>
      </c>
      <c r="Q524" s="26">
        <f>SUM(P524:P529)</f>
        <v>0.90458043154374379</v>
      </c>
      <c r="R524" s="17">
        <f>10*LOG10(Q524)</f>
        <v>-0.43552811421509569</v>
      </c>
      <c r="S524" s="18">
        <f>F524+N524-Kzt-H</f>
        <v>-53.147531735810375</v>
      </c>
      <c r="T524" s="17">
        <v>1</v>
      </c>
      <c r="U524" s="21">
        <f>T524*10^((S524-R524)/10)</f>
        <v>5.3554952424350303E-6</v>
      </c>
    </row>
    <row r="525" spans="1:21" x14ac:dyDescent="0.25">
      <c r="A525" s="24"/>
      <c r="B525" s="24"/>
      <c r="C525" s="17"/>
      <c r="D525" s="24"/>
      <c r="E525" s="24"/>
      <c r="F525" s="25"/>
      <c r="G525" s="1">
        <v>1625</v>
      </c>
      <c r="H525" s="2">
        <v>104.1</v>
      </c>
      <c r="I525" s="2">
        <v>-20.6</v>
      </c>
      <c r="J525" s="2">
        <v>-30.4</v>
      </c>
      <c r="K525" s="2">
        <f t="shared" si="68"/>
        <v>-20.6</v>
      </c>
      <c r="L525" s="8">
        <f t="shared" si="72"/>
        <v>3.38844156139202E-13</v>
      </c>
      <c r="M525" s="26"/>
      <c r="N525" s="17"/>
      <c r="O525" s="9">
        <f t="shared" si="70"/>
        <v>-30.4</v>
      </c>
      <c r="P525" s="8">
        <f>D524/B524*10^(O525/10)</f>
        <v>7.1136845469760873E-2</v>
      </c>
      <c r="Q525" s="26"/>
      <c r="R525" s="17"/>
      <c r="S525" s="19"/>
      <c r="T525" s="17"/>
      <c r="U525" s="22"/>
    </row>
    <row r="526" spans="1:21" x14ac:dyDescent="0.25">
      <c r="A526" s="24"/>
      <c r="B526" s="24"/>
      <c r="C526" s="17"/>
      <c r="D526" s="24"/>
      <c r="E526" s="24"/>
      <c r="F526" s="25"/>
      <c r="G526" s="1">
        <v>1825</v>
      </c>
      <c r="H526" s="2">
        <v>107.6</v>
      </c>
      <c r="I526" s="2">
        <v>-22.8</v>
      </c>
      <c r="J526" s="2">
        <v>-28.6</v>
      </c>
      <c r="K526" s="2">
        <f t="shared" si="68"/>
        <v>-22.8</v>
      </c>
      <c r="L526" s="8">
        <f t="shared" si="72"/>
        <v>9.1201083935590668E-14</v>
      </c>
      <c r="M526" s="26"/>
      <c r="N526" s="17"/>
      <c r="O526" s="9">
        <f t="shared" si="70"/>
        <v>-28.6</v>
      </c>
      <c r="P526" s="8">
        <f>D524/B524*10^(O526/10)</f>
        <v>0.10766997263902491</v>
      </c>
      <c r="Q526" s="26"/>
      <c r="R526" s="17"/>
      <c r="S526" s="19"/>
      <c r="T526" s="17"/>
      <c r="U526" s="22"/>
    </row>
    <row r="527" spans="1:21" x14ac:dyDescent="0.25">
      <c r="A527" s="24"/>
      <c r="B527" s="24"/>
      <c r="C527" s="17"/>
      <c r="D527" s="24"/>
      <c r="E527" s="24"/>
      <c r="F527" s="25"/>
      <c r="G527" s="1">
        <v>2125</v>
      </c>
      <c r="H527" s="2">
        <v>104.2</v>
      </c>
      <c r="I527" s="2">
        <v>-22.1</v>
      </c>
      <c r="J527" s="2">
        <v>-25.2</v>
      </c>
      <c r="K527" s="2">
        <f t="shared" si="68"/>
        <v>-22.1</v>
      </c>
      <c r="L527" s="8">
        <f t="shared" si="72"/>
        <v>2.3442288153199137E-13</v>
      </c>
      <c r="M527" s="26"/>
      <c r="N527" s="17"/>
      <c r="O527" s="9">
        <f t="shared" si="70"/>
        <v>-25.2</v>
      </c>
      <c r="P527" s="8">
        <f>D524/B524*10^(O527/10)</f>
        <v>0.23555623419135704</v>
      </c>
      <c r="Q527" s="26"/>
      <c r="R527" s="17"/>
      <c r="S527" s="19"/>
      <c r="T527" s="17"/>
      <c r="U527" s="22"/>
    </row>
    <row r="528" spans="1:21" x14ac:dyDescent="0.25">
      <c r="A528" s="24"/>
      <c r="B528" s="24"/>
      <c r="C528" s="17"/>
      <c r="D528" s="24"/>
      <c r="E528" s="24"/>
      <c r="F528" s="25"/>
      <c r="G528" s="1">
        <v>2425</v>
      </c>
      <c r="H528" s="2">
        <v>93.7</v>
      </c>
      <c r="I528" s="2">
        <v>-20.9</v>
      </c>
      <c r="J528" s="2">
        <v>-26.6</v>
      </c>
      <c r="K528" s="2">
        <f t="shared" si="68"/>
        <v>-20.9</v>
      </c>
      <c r="L528" s="8">
        <f t="shared" si="72"/>
        <v>3.4673685045253144E-12</v>
      </c>
      <c r="M528" s="26"/>
      <c r="N528" s="17"/>
      <c r="O528" s="9">
        <f t="shared" si="70"/>
        <v>-26.6</v>
      </c>
      <c r="P528" s="8">
        <f>D524/B524*10^(O528/10)</f>
        <v>0.17064540666806488</v>
      </c>
      <c r="Q528" s="26"/>
      <c r="R528" s="17"/>
      <c r="S528" s="19"/>
      <c r="T528" s="17"/>
      <c r="U528" s="22"/>
    </row>
    <row r="529" spans="1:21" x14ac:dyDescent="0.25">
      <c r="A529" s="24"/>
      <c r="B529" s="24"/>
      <c r="C529" s="17"/>
      <c r="D529" s="24"/>
      <c r="E529" s="24"/>
      <c r="F529" s="25"/>
      <c r="G529" s="1">
        <v>2775</v>
      </c>
      <c r="H529" s="2">
        <v>100.2</v>
      </c>
      <c r="I529" s="2">
        <v>-24.7</v>
      </c>
      <c r="J529" s="2">
        <v>-27.7</v>
      </c>
      <c r="K529" s="2">
        <f t="shared" si="68"/>
        <v>-24.7</v>
      </c>
      <c r="L529" s="8">
        <f t="shared" si="72"/>
        <v>3.2359365692962775E-13</v>
      </c>
      <c r="M529" s="26"/>
      <c r="N529" s="17"/>
      <c r="O529" s="9">
        <f t="shared" si="70"/>
        <v>-27.7</v>
      </c>
      <c r="P529" s="8">
        <f>D524/B524*10^(O529/10)</f>
        <v>0.13246300489201593</v>
      </c>
      <c r="Q529" s="26"/>
      <c r="R529" s="17"/>
      <c r="S529" s="20"/>
      <c r="T529" s="17"/>
      <c r="U529" s="23"/>
    </row>
    <row r="530" spans="1:21" x14ac:dyDescent="0.25">
      <c r="A530" s="24">
        <v>4000</v>
      </c>
      <c r="B530" s="24">
        <v>3</v>
      </c>
      <c r="C530" s="17">
        <v>0.5</v>
      </c>
      <c r="D530" s="24">
        <v>470</v>
      </c>
      <c r="E530" s="24">
        <v>6</v>
      </c>
      <c r="F530" s="25">
        <v>62</v>
      </c>
      <c r="G530" s="1">
        <v>2825</v>
      </c>
      <c r="H530" s="2">
        <v>99.4</v>
      </c>
      <c r="I530" s="2">
        <v>-20.7</v>
      </c>
      <c r="J530" s="2">
        <v>-25.1</v>
      </c>
      <c r="K530" s="2">
        <f t="shared" si="68"/>
        <v>-20.7</v>
      </c>
      <c r="L530" s="8">
        <f t="shared" si="72"/>
        <v>9.7723722095580473E-13</v>
      </c>
      <c r="M530" s="26">
        <f>SUM(L530:L535)</f>
        <v>3.1210782289459363E-12</v>
      </c>
      <c r="N530" s="17">
        <f>10*LOG10(M530/E530)</f>
        <v>-122.83846596113133</v>
      </c>
      <c r="O530" s="9">
        <f t="shared" si="70"/>
        <v>-25.1</v>
      </c>
      <c r="P530" s="8">
        <f>D530/B530*10^(O530/10)</f>
        <v>0.4841462844271287</v>
      </c>
      <c r="Q530" s="26">
        <f>SUM(P530:P535)</f>
        <v>1.9391546918980851</v>
      </c>
      <c r="R530" s="17">
        <f>10*LOG10(Q530)</f>
        <v>2.8761245536958668</v>
      </c>
      <c r="S530" s="18">
        <f>F530+N530-Kzt-H</f>
        <v>-60.838465961131334</v>
      </c>
      <c r="T530" s="17">
        <v>0.9</v>
      </c>
      <c r="U530" s="21">
        <f>T530*10^((S530-R530)/10)</f>
        <v>3.8263391199748832E-7</v>
      </c>
    </row>
    <row r="531" spans="1:21" x14ac:dyDescent="0.25">
      <c r="A531" s="24"/>
      <c r="B531" s="24"/>
      <c r="C531" s="17"/>
      <c r="D531" s="24"/>
      <c r="E531" s="24"/>
      <c r="F531" s="25"/>
      <c r="G531" s="1">
        <v>3425</v>
      </c>
      <c r="H531" s="2">
        <v>103.5</v>
      </c>
      <c r="I531" s="2">
        <v>-22.8</v>
      </c>
      <c r="J531" s="2">
        <v>-26.9</v>
      </c>
      <c r="K531" s="2">
        <f t="shared" si="68"/>
        <v>-22.8</v>
      </c>
      <c r="L531" s="8">
        <f t="shared" si="72"/>
        <v>2.3442288153199217E-13</v>
      </c>
      <c r="M531" s="26"/>
      <c r="N531" s="17"/>
      <c r="O531" s="9">
        <f t="shared" si="70"/>
        <v>-26.9</v>
      </c>
      <c r="P531" s="8">
        <f>D530/B530*10^(O531/10)</f>
        <v>0.31987227799822626</v>
      </c>
      <c r="Q531" s="26"/>
      <c r="R531" s="17"/>
      <c r="S531" s="19"/>
      <c r="T531" s="17"/>
      <c r="U531" s="22"/>
    </row>
    <row r="532" spans="1:21" x14ac:dyDescent="0.25">
      <c r="A532" s="24"/>
      <c r="B532" s="24"/>
      <c r="C532" s="17"/>
      <c r="D532" s="24"/>
      <c r="E532" s="24"/>
      <c r="F532" s="25"/>
      <c r="G532" s="1">
        <v>4025</v>
      </c>
      <c r="H532" s="2">
        <v>103.6</v>
      </c>
      <c r="I532" s="2">
        <v>-25</v>
      </c>
      <c r="J532" s="2">
        <v>-27.3</v>
      </c>
      <c r="K532" s="2">
        <f t="shared" si="68"/>
        <v>-25</v>
      </c>
      <c r="L532" s="8">
        <f t="shared" si="72"/>
        <v>1.3803842646028828E-13</v>
      </c>
      <c r="M532" s="26"/>
      <c r="N532" s="17"/>
      <c r="O532" s="9">
        <f t="shared" si="70"/>
        <v>-27.3</v>
      </c>
      <c r="P532" s="8">
        <f>D530/B530*10^(O532/10)</f>
        <v>0.29172698474384906</v>
      </c>
      <c r="Q532" s="26"/>
      <c r="R532" s="17"/>
      <c r="S532" s="19"/>
      <c r="T532" s="17"/>
      <c r="U532" s="22"/>
    </row>
    <row r="533" spans="1:21" x14ac:dyDescent="0.25">
      <c r="A533" s="24"/>
      <c r="B533" s="24"/>
      <c r="C533" s="17"/>
      <c r="D533" s="24"/>
      <c r="E533" s="24"/>
      <c r="F533" s="25"/>
      <c r="G533" s="1">
        <v>4625</v>
      </c>
      <c r="H533" s="2">
        <v>105.6</v>
      </c>
      <c r="I533" s="2">
        <v>-18.3</v>
      </c>
      <c r="J533" s="2">
        <v>-26.1</v>
      </c>
      <c r="K533" s="2">
        <f t="shared" si="68"/>
        <v>-18.3</v>
      </c>
      <c r="L533" s="8">
        <f t="shared" si="72"/>
        <v>4.0738027780411313E-13</v>
      </c>
      <c r="M533" s="26"/>
      <c r="N533" s="17"/>
      <c r="O533" s="9">
        <f t="shared" si="70"/>
        <v>-26.1</v>
      </c>
      <c r="P533" s="8">
        <f>D530/B530*10^(O533/10)</f>
        <v>0.38457106345732078</v>
      </c>
      <c r="Q533" s="26"/>
      <c r="R533" s="17"/>
      <c r="S533" s="19"/>
      <c r="T533" s="17"/>
      <c r="U533" s="22"/>
    </row>
    <row r="534" spans="1:21" x14ac:dyDescent="0.25">
      <c r="A534" s="24"/>
      <c r="B534" s="24"/>
      <c r="C534" s="17"/>
      <c r="D534" s="24"/>
      <c r="E534" s="24"/>
      <c r="F534" s="25"/>
      <c r="G534" s="1">
        <v>5225</v>
      </c>
      <c r="H534" s="2">
        <v>103.5</v>
      </c>
      <c r="I534" s="2">
        <v>-19.399999999999999</v>
      </c>
      <c r="J534" s="2">
        <v>-27.2</v>
      </c>
      <c r="K534" s="2">
        <f t="shared" si="68"/>
        <v>-19.399999999999999</v>
      </c>
      <c r="L534" s="8">
        <f t="shared" si="72"/>
        <v>5.1286138399136307E-13</v>
      </c>
      <c r="M534" s="26"/>
      <c r="N534" s="17"/>
      <c r="O534" s="9">
        <f t="shared" si="70"/>
        <v>-27.2</v>
      </c>
      <c r="P534" s="8">
        <f>D530/B530*10^(O534/10)</f>
        <v>0.29852217914757545</v>
      </c>
      <c r="Q534" s="26"/>
      <c r="R534" s="17"/>
      <c r="S534" s="19"/>
      <c r="T534" s="17"/>
      <c r="U534" s="22"/>
    </row>
    <row r="535" spans="1:21" x14ac:dyDescent="0.25">
      <c r="A535" s="24"/>
      <c r="B535" s="24"/>
      <c r="C535" s="17"/>
      <c r="D535" s="24"/>
      <c r="E535" s="24"/>
      <c r="F535" s="25"/>
      <c r="G535" s="1">
        <v>5625</v>
      </c>
      <c r="H535" s="2">
        <v>99.5</v>
      </c>
      <c r="I535" s="2">
        <v>-21.2</v>
      </c>
      <c r="J535" s="2">
        <v>-29.9</v>
      </c>
      <c r="K535" s="2">
        <f t="shared" si="68"/>
        <v>-21.2</v>
      </c>
      <c r="L535" s="8">
        <f t="shared" si="72"/>
        <v>8.5113803820237492E-13</v>
      </c>
      <c r="M535" s="26"/>
      <c r="N535" s="17"/>
      <c r="O535" s="9">
        <f t="shared" si="70"/>
        <v>-29.9</v>
      </c>
      <c r="P535" s="8">
        <f>D530/B530*10^(O535/10)</f>
        <v>0.1603159021239848</v>
      </c>
      <c r="Q535" s="26"/>
      <c r="R535" s="17"/>
      <c r="S535" s="20"/>
      <c r="T535" s="17"/>
      <c r="U535" s="23"/>
    </row>
    <row r="536" spans="1:21" x14ac:dyDescent="0.25">
      <c r="A536" s="24">
        <v>8000</v>
      </c>
      <c r="B536" s="24">
        <v>3</v>
      </c>
      <c r="C536" s="17">
        <v>0.5</v>
      </c>
      <c r="D536" s="24">
        <v>943</v>
      </c>
      <c r="E536" s="24">
        <v>6</v>
      </c>
      <c r="F536" s="25">
        <v>54</v>
      </c>
      <c r="G536" s="1">
        <v>6025</v>
      </c>
      <c r="H536" s="2">
        <v>95</v>
      </c>
      <c r="I536" s="2">
        <v>-24</v>
      </c>
      <c r="J536" s="2">
        <v>-24.7</v>
      </c>
      <c r="K536" s="2">
        <f t="shared" si="68"/>
        <v>-24</v>
      </c>
      <c r="L536" s="8">
        <f t="shared" si="72"/>
        <v>1.2589254117941629E-12</v>
      </c>
      <c r="M536" s="26">
        <f>SUM(L536:L541)</f>
        <v>3.7000666259611971E-11</v>
      </c>
      <c r="N536" s="17">
        <f>10*LOG10(M536/E536)</f>
        <v>-112.09941706039139</v>
      </c>
      <c r="O536" s="9">
        <f t="shared" si="70"/>
        <v>-24.7</v>
      </c>
      <c r="P536" s="8">
        <f>D536/B536*10^(O536/10)</f>
        <v>1.0651001307975594</v>
      </c>
      <c r="Q536" s="26">
        <f>SUM(P536:P541)</f>
        <v>4.4993396483514925</v>
      </c>
      <c r="R536" s="17">
        <f>10*LOG10(Q536)</f>
        <v>6.5314877863725949</v>
      </c>
      <c r="S536" s="18">
        <f>F536+N536-Kzt-H</f>
        <v>-58.099417060391389</v>
      </c>
      <c r="T536" s="17">
        <v>0.7</v>
      </c>
      <c r="U536" s="21">
        <f>T536*10^((S536-R536)/10)</f>
        <v>2.4099473537140977E-7</v>
      </c>
    </row>
    <row r="537" spans="1:21" x14ac:dyDescent="0.25">
      <c r="A537" s="24"/>
      <c r="B537" s="24"/>
      <c r="C537" s="17"/>
      <c r="D537" s="24"/>
      <c r="E537" s="24"/>
      <c r="F537" s="25"/>
      <c r="G537" s="1">
        <v>7025</v>
      </c>
      <c r="H537" s="2">
        <v>94.8</v>
      </c>
      <c r="I537" s="2">
        <v>-25</v>
      </c>
      <c r="J537" s="2">
        <v>-25.9</v>
      </c>
      <c r="K537" s="2">
        <f t="shared" si="68"/>
        <v>-25</v>
      </c>
      <c r="L537" s="8">
        <f t="shared" si="72"/>
        <v>1.0471285480508967E-12</v>
      </c>
      <c r="M537" s="26"/>
      <c r="N537" s="17"/>
      <c r="O537" s="9">
        <f t="shared" si="70"/>
        <v>-25.9</v>
      </c>
      <c r="P537" s="8">
        <f>D536/B536*10^(O537/10)</f>
        <v>0.80796107438367948</v>
      </c>
      <c r="Q537" s="26"/>
      <c r="R537" s="17"/>
      <c r="S537" s="19"/>
      <c r="T537" s="17"/>
      <c r="U537" s="22"/>
    </row>
    <row r="538" spans="1:21" x14ac:dyDescent="0.25">
      <c r="A538" s="24"/>
      <c r="B538" s="24"/>
      <c r="C538" s="17"/>
      <c r="D538" s="24"/>
      <c r="E538" s="24"/>
      <c r="F538" s="25"/>
      <c r="G538" s="1">
        <v>8025</v>
      </c>
      <c r="H538" s="2">
        <v>101.9</v>
      </c>
      <c r="I538" s="2">
        <v>-24.3</v>
      </c>
      <c r="J538" s="2">
        <v>-27.7</v>
      </c>
      <c r="K538" s="2">
        <f t="shared" si="68"/>
        <v>-24.3</v>
      </c>
      <c r="L538" s="8">
        <f t="shared" si="72"/>
        <v>2.3988329190194817E-13</v>
      </c>
      <c r="M538" s="26"/>
      <c r="N538" s="17"/>
      <c r="O538" s="9">
        <f t="shared" si="70"/>
        <v>-27.7</v>
      </c>
      <c r="P538" s="8">
        <f>D536/B536*10^(O538/10)</f>
        <v>0.53381458809047433</v>
      </c>
      <c r="Q538" s="26"/>
      <c r="R538" s="17"/>
      <c r="S538" s="19"/>
      <c r="T538" s="17"/>
      <c r="U538" s="22"/>
    </row>
    <row r="539" spans="1:21" x14ac:dyDescent="0.25">
      <c r="A539" s="24"/>
      <c r="B539" s="24"/>
      <c r="C539" s="17"/>
      <c r="D539" s="24"/>
      <c r="E539" s="24"/>
      <c r="F539" s="25"/>
      <c r="G539" s="1">
        <v>9025</v>
      </c>
      <c r="H539" s="2">
        <v>93.2</v>
      </c>
      <c r="I539" s="2">
        <v>-23.1</v>
      </c>
      <c r="J539" s="2">
        <v>-28.9</v>
      </c>
      <c r="K539" s="2">
        <f t="shared" si="68"/>
        <v>-23.1</v>
      </c>
      <c r="L539" s="8">
        <f t="shared" si="72"/>
        <v>2.3442288153199162E-12</v>
      </c>
      <c r="M539" s="26"/>
      <c r="N539" s="17"/>
      <c r="O539" s="9">
        <f t="shared" si="70"/>
        <v>-28.9</v>
      </c>
      <c r="P539" s="8">
        <f>D536/B536*10^(O539/10)</f>
        <v>0.40493977574887513</v>
      </c>
      <c r="Q539" s="26"/>
      <c r="R539" s="17"/>
      <c r="S539" s="19"/>
      <c r="T539" s="17"/>
      <c r="U539" s="22"/>
    </row>
    <row r="540" spans="1:21" x14ac:dyDescent="0.25">
      <c r="A540" s="24"/>
      <c r="B540" s="24"/>
      <c r="C540" s="17"/>
      <c r="D540" s="24"/>
      <c r="E540" s="24"/>
      <c r="F540" s="25"/>
      <c r="G540" s="1">
        <v>10025</v>
      </c>
      <c r="H540" s="2">
        <v>88.3</v>
      </c>
      <c r="I540" s="2">
        <v>-19</v>
      </c>
      <c r="J540" s="2">
        <v>-27.6</v>
      </c>
      <c r="K540" s="2">
        <f t="shared" si="68"/>
        <v>-19</v>
      </c>
      <c r="L540" s="8">
        <f t="shared" si="72"/>
        <v>1.8620871366628599E-11</v>
      </c>
      <c r="M540" s="26"/>
      <c r="N540" s="17"/>
      <c r="O540" s="9">
        <f t="shared" si="70"/>
        <v>-27.6</v>
      </c>
      <c r="P540" s="8">
        <f>D536/B536*10^(O540/10)</f>
        <v>0.54624872717021966</v>
      </c>
      <c r="Q540" s="26"/>
      <c r="R540" s="17"/>
      <c r="S540" s="19"/>
      <c r="T540" s="17"/>
      <c r="U540" s="22"/>
    </row>
    <row r="541" spans="1:21" x14ac:dyDescent="0.25">
      <c r="A541" s="24"/>
      <c r="B541" s="24"/>
      <c r="C541" s="17"/>
      <c r="D541" s="24"/>
      <c r="E541" s="24"/>
      <c r="F541" s="25"/>
      <c r="G541" s="1">
        <v>11025</v>
      </c>
      <c r="H541" s="2">
        <v>86</v>
      </c>
      <c r="I541" s="2">
        <v>-22.7</v>
      </c>
      <c r="J541" s="2">
        <v>-24.4</v>
      </c>
      <c r="K541" s="2">
        <f t="shared" si="68"/>
        <v>-22.7</v>
      </c>
      <c r="L541" s="8">
        <f t="shared" si="72"/>
        <v>1.348962882591645E-11</v>
      </c>
      <c r="M541" s="26"/>
      <c r="N541" s="17"/>
      <c r="O541" s="9">
        <f t="shared" si="70"/>
        <v>-24.4</v>
      </c>
      <c r="P541" s="8">
        <f>D536/B536*10^(O541/10)</f>
        <v>1.1412753521606844</v>
      </c>
      <c r="Q541" s="26"/>
      <c r="R541" s="17"/>
      <c r="S541" s="20"/>
      <c r="T541" s="17"/>
      <c r="U541" s="23"/>
    </row>
    <row r="542" spans="1:21" x14ac:dyDescent="0.25">
      <c r="A542" s="24" t="s">
        <v>20</v>
      </c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12">
        <f>U542</f>
        <v>6.9522351457650997E-2</v>
      </c>
      <c r="T542" s="2"/>
      <c r="U542" s="8">
        <f>0.8*SQRT(SUM(U508:U541))</f>
        <v>6.9522351457650997E-2</v>
      </c>
    </row>
    <row r="543" spans="1:21" x14ac:dyDescent="0.25">
      <c r="A543" s="27" t="s">
        <v>107</v>
      </c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9"/>
    </row>
    <row r="544" spans="1:21" x14ac:dyDescent="0.25">
      <c r="A544" s="24">
        <v>250</v>
      </c>
      <c r="B544" s="24">
        <v>3</v>
      </c>
      <c r="C544" s="17">
        <v>0.5</v>
      </c>
      <c r="D544" s="24">
        <v>38</v>
      </c>
      <c r="E544" s="24">
        <v>4</v>
      </c>
      <c r="F544" s="25">
        <v>84</v>
      </c>
      <c r="G544" s="1">
        <v>175</v>
      </c>
      <c r="H544" s="2">
        <v>84.8</v>
      </c>
      <c r="I544" s="2">
        <v>-15.4</v>
      </c>
      <c r="J544" s="2">
        <v>-20.399999999999999</v>
      </c>
      <c r="K544" s="2">
        <f>I544</f>
        <v>-15.4</v>
      </c>
      <c r="L544" s="8">
        <f>10^((K544-H544)/10)</f>
        <v>9.5499258602143585E-11</v>
      </c>
      <c r="M544" s="26">
        <f>SUM(L544:L547)</f>
        <v>3.7800222013513717E-10</v>
      </c>
      <c r="N544" s="17">
        <f>10*LOG10(M544/E544)</f>
        <v>-100.2456564072458</v>
      </c>
      <c r="O544" s="9">
        <f>J544</f>
        <v>-20.399999999999999</v>
      </c>
      <c r="P544" s="8">
        <f>D544/B544*10^(O544/10)</f>
        <v>0.11552137298508178</v>
      </c>
      <c r="Q544" s="26">
        <f>SUM(P544:P547)</f>
        <v>0.65290399524348797</v>
      </c>
      <c r="R544" s="17">
        <f>10*LOG10(Q544)</f>
        <v>-1.8515067385702864</v>
      </c>
      <c r="S544" s="18">
        <f>F544+N544-Kzt-H</f>
        <v>-16.245656407245804</v>
      </c>
      <c r="T544" s="17">
        <v>0.2</v>
      </c>
      <c r="U544" s="21">
        <f>T544*10^((S544-R544)/10)</f>
        <v>7.2713496528984227E-3</v>
      </c>
    </row>
    <row r="545" spans="1:21" x14ac:dyDescent="0.25">
      <c r="A545" s="24"/>
      <c r="B545" s="24"/>
      <c r="C545" s="17"/>
      <c r="D545" s="24"/>
      <c r="E545" s="24"/>
      <c r="F545" s="25"/>
      <c r="G545" s="1">
        <v>225</v>
      </c>
      <c r="H545" s="2">
        <v>90</v>
      </c>
      <c r="I545" s="2">
        <v>-5.8</v>
      </c>
      <c r="J545" s="2">
        <v>-16.3</v>
      </c>
      <c r="K545" s="2">
        <f t="shared" ref="K545:K577" si="73">I545</f>
        <v>-5.8</v>
      </c>
      <c r="L545" s="8">
        <f t="shared" ref="L545:L546" si="74">10^((K545-H545)/10)</f>
        <v>2.6302679918953798E-10</v>
      </c>
      <c r="M545" s="26"/>
      <c r="N545" s="17"/>
      <c r="O545" s="9">
        <f t="shared" ref="O545:O577" si="75">J545</f>
        <v>-16.3</v>
      </c>
      <c r="P545" s="8">
        <f>D544/B544*10^(O545/10)</f>
        <v>0.29693564994052335</v>
      </c>
      <c r="Q545" s="26"/>
      <c r="R545" s="17"/>
      <c r="S545" s="19"/>
      <c r="T545" s="17"/>
      <c r="U545" s="22"/>
    </row>
    <row r="546" spans="1:21" x14ac:dyDescent="0.25">
      <c r="A546" s="24"/>
      <c r="B546" s="24"/>
      <c r="C546" s="17"/>
      <c r="D546" s="24"/>
      <c r="E546" s="24"/>
      <c r="F546" s="25"/>
      <c r="G546" s="1">
        <v>275</v>
      </c>
      <c r="H546" s="2">
        <v>92.2</v>
      </c>
      <c r="I546" s="2">
        <v>-18.5</v>
      </c>
      <c r="J546" s="2">
        <v>-19.5</v>
      </c>
      <c r="K546" s="2">
        <f t="shared" si="73"/>
        <v>-18.5</v>
      </c>
      <c r="L546" s="8">
        <f t="shared" si="74"/>
        <v>8.5113803820237273E-12</v>
      </c>
      <c r="M546" s="26"/>
      <c r="N546" s="17"/>
      <c r="O546" s="9">
        <f t="shared" si="75"/>
        <v>-19.5</v>
      </c>
      <c r="P546" s="8">
        <f>D544/B544*10^(O546/10)</f>
        <v>0.14212233754491535</v>
      </c>
      <c r="Q546" s="26"/>
      <c r="R546" s="17"/>
      <c r="S546" s="19"/>
      <c r="T546" s="17"/>
      <c r="U546" s="22"/>
    </row>
    <row r="547" spans="1:21" x14ac:dyDescent="0.25">
      <c r="A547" s="24"/>
      <c r="B547" s="24"/>
      <c r="C547" s="17"/>
      <c r="D547" s="24"/>
      <c r="E547" s="24"/>
      <c r="F547" s="25"/>
      <c r="G547" s="1">
        <v>325</v>
      </c>
      <c r="H547" s="2">
        <v>93.3</v>
      </c>
      <c r="I547" s="2">
        <v>-16.3</v>
      </c>
      <c r="J547" s="2">
        <v>-21.1</v>
      </c>
      <c r="K547" s="2">
        <f t="shared" si="73"/>
        <v>-16.3</v>
      </c>
      <c r="L547" s="8">
        <f>10^((K547-H547)/10)</f>
        <v>1.096478196143183E-11</v>
      </c>
      <c r="M547" s="26"/>
      <c r="N547" s="17"/>
      <c r="O547" s="9">
        <f t="shared" si="75"/>
        <v>-21.1</v>
      </c>
      <c r="P547" s="8">
        <f>D544/B544*10^(O547/10)</f>
        <v>9.8324634772967504E-2</v>
      </c>
      <c r="Q547" s="26"/>
      <c r="R547" s="17"/>
      <c r="S547" s="20"/>
      <c r="T547" s="17"/>
      <c r="U547" s="23"/>
    </row>
    <row r="548" spans="1:21" x14ac:dyDescent="0.25">
      <c r="A548" s="24">
        <v>500</v>
      </c>
      <c r="B548" s="24">
        <v>3</v>
      </c>
      <c r="C548" s="17">
        <v>0.5</v>
      </c>
      <c r="D548" s="24">
        <v>59</v>
      </c>
      <c r="E548" s="24">
        <v>6</v>
      </c>
      <c r="F548" s="25">
        <v>84</v>
      </c>
      <c r="G548" s="1">
        <v>375</v>
      </c>
      <c r="H548" s="2">
        <v>91.9</v>
      </c>
      <c r="I548" s="2">
        <v>-14.5</v>
      </c>
      <c r="J548" s="2">
        <v>-17.899999999999999</v>
      </c>
      <c r="K548" s="2">
        <f t="shared" si="73"/>
        <v>-14.5</v>
      </c>
      <c r="L548" s="8">
        <f t="shared" ref="L548:L549" si="76">10^((K548-H548)/10)</f>
        <v>2.2908676527677615E-11</v>
      </c>
      <c r="M548" s="26">
        <f>SUM(L548:L553)</f>
        <v>1.8290009764522663E-10</v>
      </c>
      <c r="N548" s="17">
        <f>10*LOG10(M548/E548)</f>
        <v>-105.15937313049535</v>
      </c>
      <c r="O548" s="9">
        <f t="shared" si="75"/>
        <v>-17.899999999999999</v>
      </c>
      <c r="P548" s="8">
        <f>D548/B548*10^(O548/10)</f>
        <v>0.31895598581392304</v>
      </c>
      <c r="Q548" s="26">
        <f>SUM(P548:P553)</f>
        <v>1.7008728312910342</v>
      </c>
      <c r="R548" s="17">
        <f>10*LOG10(Q548)</f>
        <v>2.3067184404575141</v>
      </c>
      <c r="S548" s="18">
        <f>F548+N548-Kzt-H</f>
        <v>-21.159373130495354</v>
      </c>
      <c r="T548" s="17">
        <v>0.5</v>
      </c>
      <c r="U548" s="21">
        <f>T548*10^((S548-R548)/10)</f>
        <v>2.2509240801975921E-3</v>
      </c>
    </row>
    <row r="549" spans="1:21" x14ac:dyDescent="0.25">
      <c r="A549" s="24"/>
      <c r="B549" s="24"/>
      <c r="C549" s="17"/>
      <c r="D549" s="24"/>
      <c r="E549" s="24"/>
      <c r="F549" s="25"/>
      <c r="G549" s="1">
        <v>425</v>
      </c>
      <c r="H549" s="2">
        <v>88.1</v>
      </c>
      <c r="I549" s="2">
        <v>-13.6</v>
      </c>
      <c r="J549" s="2">
        <v>-21</v>
      </c>
      <c r="K549" s="2">
        <f t="shared" si="73"/>
        <v>-13.6</v>
      </c>
      <c r="L549" s="8">
        <f t="shared" si="76"/>
        <v>6.7608297539198256E-11</v>
      </c>
      <c r="M549" s="26"/>
      <c r="N549" s="17"/>
      <c r="O549" s="9">
        <f t="shared" si="75"/>
        <v>-21</v>
      </c>
      <c r="P549" s="8">
        <f>D548/B548*10^(O549/10)</f>
        <v>0.15621788616244198</v>
      </c>
      <c r="Q549" s="26"/>
      <c r="R549" s="17"/>
      <c r="S549" s="19"/>
      <c r="T549" s="17"/>
      <c r="U549" s="22"/>
    </row>
    <row r="550" spans="1:21" x14ac:dyDescent="0.25">
      <c r="A550" s="24"/>
      <c r="B550" s="24"/>
      <c r="C550" s="17"/>
      <c r="D550" s="24"/>
      <c r="E550" s="24"/>
      <c r="F550" s="25"/>
      <c r="G550" s="1">
        <v>475</v>
      </c>
      <c r="H550" s="2">
        <v>90</v>
      </c>
      <c r="I550" s="2">
        <v>-13.7</v>
      </c>
      <c r="J550" s="2">
        <v>-16</v>
      </c>
      <c r="K550" s="2">
        <f t="shared" si="73"/>
        <v>-13.7</v>
      </c>
      <c r="L550" s="8">
        <f>10^((K550-H550)/10)</f>
        <v>4.2657951880159099E-11</v>
      </c>
      <c r="M550" s="26"/>
      <c r="N550" s="17"/>
      <c r="O550" s="9">
        <f t="shared" si="75"/>
        <v>-16</v>
      </c>
      <c r="P550" s="8">
        <f>D548/B548*10^(O550/10)</f>
        <v>0.49400433153021706</v>
      </c>
      <c r="Q550" s="26"/>
      <c r="R550" s="17"/>
      <c r="S550" s="19"/>
      <c r="T550" s="17"/>
      <c r="U550" s="22"/>
    </row>
    <row r="551" spans="1:21" x14ac:dyDescent="0.25">
      <c r="A551" s="24"/>
      <c r="B551" s="24"/>
      <c r="C551" s="17"/>
      <c r="D551" s="24"/>
      <c r="E551" s="24"/>
      <c r="F551" s="25"/>
      <c r="G551" s="1">
        <v>575</v>
      </c>
      <c r="H551" s="2">
        <v>97</v>
      </c>
      <c r="I551" s="2">
        <v>-17.8</v>
      </c>
      <c r="J551" s="2">
        <v>-19</v>
      </c>
      <c r="K551" s="2">
        <f t="shared" si="73"/>
        <v>-17.8</v>
      </c>
      <c r="L551" s="8">
        <f t="shared" ref="L551:L577" si="77">10^((K551-H551)/10)</f>
        <v>3.3113112148258976E-12</v>
      </c>
      <c r="M551" s="26"/>
      <c r="N551" s="17"/>
      <c r="O551" s="9">
        <f t="shared" si="75"/>
        <v>-19</v>
      </c>
      <c r="P551" s="8">
        <f>D548/B548*10^(O551/10)</f>
        <v>0.24758866431951942</v>
      </c>
      <c r="Q551" s="26"/>
      <c r="R551" s="17"/>
      <c r="S551" s="19"/>
      <c r="T551" s="17"/>
      <c r="U551" s="22"/>
    </row>
    <row r="552" spans="1:21" x14ac:dyDescent="0.25">
      <c r="A552" s="24"/>
      <c r="B552" s="24"/>
      <c r="C552" s="17"/>
      <c r="D552" s="24"/>
      <c r="E552" s="24"/>
      <c r="F552" s="25"/>
      <c r="G552" s="1">
        <v>625</v>
      </c>
      <c r="H552" s="2">
        <v>92</v>
      </c>
      <c r="I552" s="2">
        <v>-13</v>
      </c>
      <c r="J552" s="2">
        <v>-16.7</v>
      </c>
      <c r="K552" s="2">
        <f t="shared" si="73"/>
        <v>-13</v>
      </c>
      <c r="L552" s="8">
        <f t="shared" si="77"/>
        <v>3.162277660168371E-11</v>
      </c>
      <c r="M552" s="26"/>
      <c r="N552" s="17"/>
      <c r="O552" s="9">
        <f t="shared" si="75"/>
        <v>-16.7</v>
      </c>
      <c r="P552" s="8">
        <f>D548/B548*10^(O552/10)</f>
        <v>0.42046587760210569</v>
      </c>
      <c r="Q552" s="26"/>
      <c r="R552" s="17"/>
      <c r="S552" s="19"/>
      <c r="T552" s="17"/>
      <c r="U552" s="22"/>
    </row>
    <row r="553" spans="1:21" x14ac:dyDescent="0.25">
      <c r="A553" s="24"/>
      <c r="B553" s="24"/>
      <c r="C553" s="17"/>
      <c r="D553" s="24"/>
      <c r="E553" s="24"/>
      <c r="F553" s="25"/>
      <c r="G553" s="1">
        <v>675</v>
      </c>
      <c r="H553" s="2">
        <v>94.5</v>
      </c>
      <c r="I553" s="2">
        <v>-13.8</v>
      </c>
      <c r="J553" s="2">
        <v>-24.9</v>
      </c>
      <c r="K553" s="2">
        <f t="shared" si="73"/>
        <v>-13.8</v>
      </c>
      <c r="L553" s="8">
        <f t="shared" si="77"/>
        <v>1.4791083881682027E-11</v>
      </c>
      <c r="M553" s="26"/>
      <c r="N553" s="17"/>
      <c r="O553" s="9">
        <f t="shared" si="75"/>
        <v>-24.9</v>
      </c>
      <c r="P553" s="8">
        <f>D548/B548*10^(O553/10)</f>
        <v>6.3640085862826892E-2</v>
      </c>
      <c r="Q553" s="26"/>
      <c r="R553" s="17"/>
      <c r="S553" s="20"/>
      <c r="T553" s="17"/>
      <c r="U553" s="23"/>
    </row>
    <row r="554" spans="1:21" x14ac:dyDescent="0.25">
      <c r="A554" s="24">
        <v>1000</v>
      </c>
      <c r="B554" s="24">
        <v>3</v>
      </c>
      <c r="C554" s="17">
        <v>0.5</v>
      </c>
      <c r="D554" s="24">
        <v>117</v>
      </c>
      <c r="E554" s="24">
        <v>6</v>
      </c>
      <c r="F554" s="25">
        <v>76</v>
      </c>
      <c r="G554" s="1">
        <v>875</v>
      </c>
      <c r="H554" s="2">
        <v>91.1</v>
      </c>
      <c r="I554" s="2">
        <v>-19.5</v>
      </c>
      <c r="J554" s="2">
        <v>-23.2</v>
      </c>
      <c r="K554" s="2">
        <f t="shared" si="73"/>
        <v>-19.5</v>
      </c>
      <c r="L554" s="8">
        <f t="shared" si="77"/>
        <v>8.7096358995607975E-12</v>
      </c>
      <c r="M554" s="26">
        <f>SUM(L554:L559)</f>
        <v>3.2786159749447836E-11</v>
      </c>
      <c r="N554" s="17">
        <f>10*LOG10(M554/E554)</f>
        <v>-112.62460699749502</v>
      </c>
      <c r="O554" s="9">
        <f t="shared" si="75"/>
        <v>-23.2</v>
      </c>
      <c r="P554" s="8">
        <f>D554/B554*10^(O554/10)</f>
        <v>0.18666573600582897</v>
      </c>
      <c r="Q554" s="26">
        <f>SUM(P554:P559)</f>
        <v>1.7536185230751684</v>
      </c>
      <c r="R554" s="17">
        <f>10*LOG10(Q554)</f>
        <v>2.4393512418272372</v>
      </c>
      <c r="S554" s="18">
        <f>F554+N554-Kzt-H</f>
        <v>-36.624606997495022</v>
      </c>
      <c r="T554" s="17">
        <v>0.8</v>
      </c>
      <c r="U554" s="21">
        <f>T554*10^((S554-R554)/10)</f>
        <v>9.924169268223562E-5</v>
      </c>
    </row>
    <row r="555" spans="1:21" x14ac:dyDescent="0.25">
      <c r="A555" s="24"/>
      <c r="B555" s="24"/>
      <c r="C555" s="17"/>
      <c r="D555" s="24"/>
      <c r="E555" s="24"/>
      <c r="F555" s="25"/>
      <c r="G555" s="1">
        <v>975</v>
      </c>
      <c r="H555" s="2">
        <v>96.5</v>
      </c>
      <c r="I555" s="2">
        <v>-14.6</v>
      </c>
      <c r="J555" s="2">
        <v>-18.2</v>
      </c>
      <c r="K555" s="2">
        <f t="shared" si="73"/>
        <v>-14.6</v>
      </c>
      <c r="L555" s="8">
        <f t="shared" si="77"/>
        <v>7.762471166286914E-12</v>
      </c>
      <c r="M555" s="26"/>
      <c r="N555" s="17"/>
      <c r="O555" s="9">
        <f t="shared" si="75"/>
        <v>-18.2</v>
      </c>
      <c r="P555" s="8">
        <f>D554/B554*10^(O555/10)</f>
        <v>0.59028888689012093</v>
      </c>
      <c r="Q555" s="26"/>
      <c r="R555" s="17"/>
      <c r="S555" s="19"/>
      <c r="T555" s="17"/>
      <c r="U555" s="22"/>
    </row>
    <row r="556" spans="1:21" x14ac:dyDescent="0.25">
      <c r="A556" s="24"/>
      <c r="B556" s="24"/>
      <c r="C556" s="17"/>
      <c r="D556" s="24"/>
      <c r="E556" s="24"/>
      <c r="F556" s="25"/>
      <c r="G556" s="1">
        <v>1075</v>
      </c>
      <c r="H556" s="2">
        <v>94.6</v>
      </c>
      <c r="I556" s="2">
        <v>-16.899999999999999</v>
      </c>
      <c r="J556" s="2">
        <v>-21.7</v>
      </c>
      <c r="K556" s="2">
        <f t="shared" si="73"/>
        <v>-16.899999999999999</v>
      </c>
      <c r="L556" s="8">
        <f t="shared" si="77"/>
        <v>7.0794578438413538E-12</v>
      </c>
      <c r="M556" s="26"/>
      <c r="N556" s="17"/>
      <c r="O556" s="9">
        <f t="shared" si="75"/>
        <v>-21.7</v>
      </c>
      <c r="P556" s="8">
        <f>D554/B554*10^(O556/10)</f>
        <v>0.26367236040287273</v>
      </c>
      <c r="Q556" s="26"/>
      <c r="R556" s="17"/>
      <c r="S556" s="19"/>
      <c r="T556" s="17"/>
      <c r="U556" s="22"/>
    </row>
    <row r="557" spans="1:21" x14ac:dyDescent="0.25">
      <c r="A557" s="24"/>
      <c r="B557" s="24"/>
      <c r="C557" s="17"/>
      <c r="D557" s="24"/>
      <c r="E557" s="24"/>
      <c r="F557" s="25"/>
      <c r="G557" s="1">
        <v>1175</v>
      </c>
      <c r="H557" s="2">
        <v>97.8</v>
      </c>
      <c r="I557" s="2">
        <v>-16.5</v>
      </c>
      <c r="J557" s="2">
        <v>-22.2</v>
      </c>
      <c r="K557" s="2">
        <f t="shared" si="73"/>
        <v>-16.5</v>
      </c>
      <c r="L557" s="8">
        <f t="shared" si="77"/>
        <v>3.7153522909717219E-12</v>
      </c>
      <c r="M557" s="26"/>
      <c r="N557" s="17"/>
      <c r="O557" s="9">
        <f t="shared" si="75"/>
        <v>-22.2</v>
      </c>
      <c r="P557" s="8">
        <f>D554/B554*10^(O557/10)</f>
        <v>0.23499823856899951</v>
      </c>
      <c r="Q557" s="26"/>
      <c r="R557" s="17"/>
      <c r="S557" s="19"/>
      <c r="T557" s="17"/>
      <c r="U557" s="22"/>
    </row>
    <row r="558" spans="1:21" x14ac:dyDescent="0.25">
      <c r="A558" s="24"/>
      <c r="B558" s="24"/>
      <c r="C558" s="17"/>
      <c r="D558" s="24"/>
      <c r="E558" s="24"/>
      <c r="F558" s="25"/>
      <c r="G558" s="1">
        <v>1275</v>
      </c>
      <c r="H558" s="2">
        <v>100.1</v>
      </c>
      <c r="I558" s="2">
        <v>-13.8</v>
      </c>
      <c r="J558" s="2">
        <v>-22.6</v>
      </c>
      <c r="K558" s="2">
        <f t="shared" si="73"/>
        <v>-13.8</v>
      </c>
      <c r="L558" s="8">
        <f t="shared" si="77"/>
        <v>4.0738027780411221E-12</v>
      </c>
      <c r="M558" s="26"/>
      <c r="N558" s="17"/>
      <c r="O558" s="9">
        <f t="shared" si="75"/>
        <v>-22.6</v>
      </c>
      <c r="P558" s="8">
        <f>D554/B554*10^(O558/10)</f>
        <v>0.21432094080447345</v>
      </c>
      <c r="Q558" s="26"/>
      <c r="R558" s="17"/>
      <c r="S558" s="19"/>
      <c r="T558" s="17"/>
      <c r="U558" s="22"/>
    </row>
    <row r="559" spans="1:21" x14ac:dyDescent="0.25">
      <c r="A559" s="24"/>
      <c r="B559" s="24"/>
      <c r="C559" s="17"/>
      <c r="D559" s="24"/>
      <c r="E559" s="24"/>
      <c r="F559" s="25"/>
      <c r="G559" s="1">
        <v>1375</v>
      </c>
      <c r="H559" s="2">
        <v>103</v>
      </c>
      <c r="I559" s="2">
        <v>-15.4</v>
      </c>
      <c r="J559" s="2">
        <v>-21.7</v>
      </c>
      <c r="K559" s="2">
        <f t="shared" si="73"/>
        <v>-15.4</v>
      </c>
      <c r="L559" s="8">
        <f t="shared" si="77"/>
        <v>1.4454397707459267E-12</v>
      </c>
      <c r="M559" s="26"/>
      <c r="N559" s="17"/>
      <c r="O559" s="9">
        <f t="shared" si="75"/>
        <v>-21.7</v>
      </c>
      <c r="P559" s="8">
        <f>D554/B554*10^(O559/10)</f>
        <v>0.26367236040287273</v>
      </c>
      <c r="Q559" s="26"/>
      <c r="R559" s="17"/>
      <c r="S559" s="20"/>
      <c r="T559" s="17"/>
      <c r="U559" s="23"/>
    </row>
    <row r="560" spans="1:21" x14ac:dyDescent="0.25">
      <c r="A560" s="24">
        <v>2000</v>
      </c>
      <c r="B560" s="24">
        <v>3</v>
      </c>
      <c r="C560" s="17">
        <v>0.5</v>
      </c>
      <c r="D560" s="24">
        <v>234</v>
      </c>
      <c r="E560" s="24">
        <v>6</v>
      </c>
      <c r="F560" s="25">
        <v>68</v>
      </c>
      <c r="G560" s="1">
        <v>1425</v>
      </c>
      <c r="H560" s="2">
        <v>102.8</v>
      </c>
      <c r="I560" s="2">
        <v>-17.7</v>
      </c>
      <c r="J560" s="2">
        <v>-19.7</v>
      </c>
      <c r="K560" s="2">
        <f t="shared" si="73"/>
        <v>-17.7</v>
      </c>
      <c r="L560" s="8">
        <f t="shared" si="77"/>
        <v>8.9125093813374051E-13</v>
      </c>
      <c r="M560" s="26">
        <f>SUM(L560:L565)</f>
        <v>1.5333201939666884E-11</v>
      </c>
      <c r="N560" s="17">
        <f>10*LOG10(M560/E560)</f>
        <v>-115.92518394973175</v>
      </c>
      <c r="O560" s="9">
        <f t="shared" si="75"/>
        <v>-19.7</v>
      </c>
      <c r="P560" s="8">
        <f>D560/B560*10^(O560/10)</f>
        <v>0.83578505808533243</v>
      </c>
      <c r="Q560" s="26">
        <f>SUM(P560:P565)</f>
        <v>4.9277203037725261</v>
      </c>
      <c r="R560" s="17">
        <f>10*LOG10(Q560)</f>
        <v>6.9264604940485626</v>
      </c>
      <c r="S560" s="18">
        <f>F560+N560-Kzt-H</f>
        <v>-47.925183949731746</v>
      </c>
      <c r="T560" s="17">
        <v>1</v>
      </c>
      <c r="U560" s="21">
        <f>T560*10^((S560-R560)/10)</f>
        <v>3.2721677171301567E-6</v>
      </c>
    </row>
    <row r="561" spans="1:21" x14ac:dyDescent="0.25">
      <c r="A561" s="24"/>
      <c r="B561" s="24"/>
      <c r="C561" s="17"/>
      <c r="D561" s="24"/>
      <c r="E561" s="24"/>
      <c r="F561" s="25"/>
      <c r="G561" s="1">
        <v>1625</v>
      </c>
      <c r="H561" s="2">
        <v>104.1</v>
      </c>
      <c r="I561" s="2">
        <v>-13.9</v>
      </c>
      <c r="J561" s="2">
        <v>-19.2</v>
      </c>
      <c r="K561" s="2">
        <f t="shared" si="73"/>
        <v>-13.9</v>
      </c>
      <c r="L561" s="8">
        <f t="shared" si="77"/>
        <v>1.5848931924611065E-12</v>
      </c>
      <c r="M561" s="26"/>
      <c r="N561" s="17"/>
      <c r="O561" s="9">
        <f t="shared" si="75"/>
        <v>-19.2</v>
      </c>
      <c r="P561" s="8">
        <f>D560/B560*10^(O561/10)</f>
        <v>0.93776625900158173</v>
      </c>
      <c r="Q561" s="26"/>
      <c r="R561" s="17"/>
      <c r="S561" s="19"/>
      <c r="T561" s="17"/>
      <c r="U561" s="22"/>
    </row>
    <row r="562" spans="1:21" x14ac:dyDescent="0.25">
      <c r="A562" s="24"/>
      <c r="B562" s="24"/>
      <c r="C562" s="17"/>
      <c r="D562" s="24"/>
      <c r="E562" s="24"/>
      <c r="F562" s="25"/>
      <c r="G562" s="1">
        <v>1825</v>
      </c>
      <c r="H562" s="2">
        <v>107.6</v>
      </c>
      <c r="I562" s="2">
        <v>-14.7</v>
      </c>
      <c r="J562" s="2">
        <v>-21.2</v>
      </c>
      <c r="K562" s="2">
        <f t="shared" si="73"/>
        <v>-14.7</v>
      </c>
      <c r="L562" s="8">
        <f t="shared" si="77"/>
        <v>5.8884365535558666E-13</v>
      </c>
      <c r="M562" s="26"/>
      <c r="N562" s="17"/>
      <c r="O562" s="9">
        <f t="shared" si="75"/>
        <v>-21.2</v>
      </c>
      <c r="P562" s="8">
        <f>D560/B560*10^(O562/10)</f>
        <v>0.59169050852276273</v>
      </c>
      <c r="Q562" s="26"/>
      <c r="R562" s="17"/>
      <c r="S562" s="19"/>
      <c r="T562" s="17"/>
      <c r="U562" s="22"/>
    </row>
    <row r="563" spans="1:21" x14ac:dyDescent="0.25">
      <c r="A563" s="24"/>
      <c r="B563" s="24"/>
      <c r="C563" s="17"/>
      <c r="D563" s="24"/>
      <c r="E563" s="24"/>
      <c r="F563" s="25"/>
      <c r="G563" s="1">
        <v>2125</v>
      </c>
      <c r="H563" s="2">
        <v>104.2</v>
      </c>
      <c r="I563" s="2">
        <v>-15.4</v>
      </c>
      <c r="J563" s="2">
        <v>-18.899999999999999</v>
      </c>
      <c r="K563" s="2">
        <f t="shared" si="73"/>
        <v>-15.4</v>
      </c>
      <c r="L563" s="8">
        <f t="shared" si="77"/>
        <v>1.0964781961431817E-12</v>
      </c>
      <c r="M563" s="26"/>
      <c r="N563" s="17"/>
      <c r="O563" s="9">
        <f t="shared" si="75"/>
        <v>-18.899999999999999</v>
      </c>
      <c r="P563" s="8">
        <f>D560/B560*10^(O563/10)</f>
        <v>1.0048346503206438</v>
      </c>
      <c r="Q563" s="26"/>
      <c r="R563" s="17"/>
      <c r="S563" s="19"/>
      <c r="T563" s="17"/>
      <c r="U563" s="22"/>
    </row>
    <row r="564" spans="1:21" x14ac:dyDescent="0.25">
      <c r="A564" s="24"/>
      <c r="B564" s="24"/>
      <c r="C564" s="17"/>
      <c r="D564" s="24"/>
      <c r="E564" s="24"/>
      <c r="F564" s="25"/>
      <c r="G564" s="1">
        <v>2425</v>
      </c>
      <c r="H564" s="2">
        <v>93.7</v>
      </c>
      <c r="I564" s="2">
        <v>-16.5</v>
      </c>
      <c r="J564" s="2">
        <v>-18.600000000000001</v>
      </c>
      <c r="K564" s="2">
        <f t="shared" si="73"/>
        <v>-16.5</v>
      </c>
      <c r="L564" s="8">
        <f t="shared" si="77"/>
        <v>9.5499258602143472E-12</v>
      </c>
      <c r="M564" s="26"/>
      <c r="N564" s="17"/>
      <c r="O564" s="9">
        <f t="shared" si="75"/>
        <v>-18.600000000000001</v>
      </c>
      <c r="P564" s="8">
        <f>D560/B560*10^(O564/10)</f>
        <v>1.0766997263902494</v>
      </c>
      <c r="Q564" s="26"/>
      <c r="R564" s="17"/>
      <c r="S564" s="19"/>
      <c r="T564" s="17"/>
      <c r="U564" s="22"/>
    </row>
    <row r="565" spans="1:21" x14ac:dyDescent="0.25">
      <c r="A565" s="24"/>
      <c r="B565" s="24"/>
      <c r="C565" s="17"/>
      <c r="D565" s="24"/>
      <c r="E565" s="24"/>
      <c r="F565" s="25"/>
      <c r="G565" s="1">
        <v>2775</v>
      </c>
      <c r="H565" s="2">
        <v>100.2</v>
      </c>
      <c r="I565" s="2">
        <v>-17.7</v>
      </c>
      <c r="J565" s="2">
        <v>-22.1</v>
      </c>
      <c r="K565" s="2">
        <f t="shared" si="73"/>
        <v>-17.7</v>
      </c>
      <c r="L565" s="8">
        <f t="shared" si="77"/>
        <v>1.6218100973589226E-12</v>
      </c>
      <c r="M565" s="26"/>
      <c r="N565" s="17"/>
      <c r="O565" s="9">
        <f t="shared" si="75"/>
        <v>-22.1</v>
      </c>
      <c r="P565" s="8">
        <f>D560/B560*10^(O565/10)</f>
        <v>0.48094410145195593</v>
      </c>
      <c r="Q565" s="26"/>
      <c r="R565" s="17"/>
      <c r="S565" s="20"/>
      <c r="T565" s="17"/>
      <c r="U565" s="23"/>
    </row>
    <row r="566" spans="1:21" x14ac:dyDescent="0.25">
      <c r="A566" s="24">
        <v>4000</v>
      </c>
      <c r="B566" s="24">
        <v>3</v>
      </c>
      <c r="C566" s="17">
        <v>0.5</v>
      </c>
      <c r="D566" s="24">
        <v>470</v>
      </c>
      <c r="E566" s="24">
        <v>6</v>
      </c>
      <c r="F566" s="25">
        <v>62</v>
      </c>
      <c r="G566" s="1">
        <v>2825</v>
      </c>
      <c r="H566" s="2">
        <v>99.4</v>
      </c>
      <c r="I566" s="2">
        <v>-17.7</v>
      </c>
      <c r="J566" s="2">
        <v>-26.2</v>
      </c>
      <c r="K566" s="2">
        <f t="shared" si="73"/>
        <v>-17.7</v>
      </c>
      <c r="L566" s="8">
        <f t="shared" si="77"/>
        <v>1.9498445997580347E-12</v>
      </c>
      <c r="M566" s="26">
        <f>SUM(L566:L571)</f>
        <v>8.6874543492545263E-12</v>
      </c>
      <c r="N566" s="17">
        <f>10*LOG10(M566/E566)</f>
        <v>-118.3925871490564</v>
      </c>
      <c r="O566" s="9">
        <f t="shared" si="75"/>
        <v>-26.2</v>
      </c>
      <c r="P566" s="8">
        <f>D566/B566*10^(O566/10)</f>
        <v>0.37581715731305321</v>
      </c>
      <c r="Q566" s="26">
        <f>SUM(P566:P571)</f>
        <v>6.4807510350089768</v>
      </c>
      <c r="R566" s="17">
        <f>10*LOG10(Q566)</f>
        <v>8.1162533788601419</v>
      </c>
      <c r="S566" s="18">
        <f>F566+N566-Kzt-H</f>
        <v>-56.392587149056396</v>
      </c>
      <c r="T566" s="17">
        <v>0.9</v>
      </c>
      <c r="U566" s="21">
        <f>T566*10^((S566-R566)/10)</f>
        <v>3.1868267698230873E-7</v>
      </c>
    </row>
    <row r="567" spans="1:21" x14ac:dyDescent="0.25">
      <c r="A567" s="24"/>
      <c r="B567" s="24"/>
      <c r="C567" s="17"/>
      <c r="D567" s="24"/>
      <c r="E567" s="24"/>
      <c r="F567" s="25"/>
      <c r="G567" s="1">
        <v>3425</v>
      </c>
      <c r="H567" s="2">
        <v>103.5</v>
      </c>
      <c r="I567" s="2">
        <v>-14.2</v>
      </c>
      <c r="J567" s="2">
        <v>-26.1</v>
      </c>
      <c r="K567" s="2">
        <f t="shared" si="73"/>
        <v>-14.2</v>
      </c>
      <c r="L567" s="8">
        <f t="shared" si="77"/>
        <v>1.6982436524617421E-12</v>
      </c>
      <c r="M567" s="26"/>
      <c r="N567" s="17"/>
      <c r="O567" s="9">
        <f t="shared" si="75"/>
        <v>-26.1</v>
      </c>
      <c r="P567" s="8">
        <f>D566/B566*10^(O567/10)</f>
        <v>0.38457106345732078</v>
      </c>
      <c r="Q567" s="26"/>
      <c r="R567" s="17"/>
      <c r="S567" s="19"/>
      <c r="T567" s="17"/>
      <c r="U567" s="22"/>
    </row>
    <row r="568" spans="1:21" x14ac:dyDescent="0.25">
      <c r="A568" s="24"/>
      <c r="B568" s="24"/>
      <c r="C568" s="17"/>
      <c r="D568" s="24"/>
      <c r="E568" s="24"/>
      <c r="F568" s="25"/>
      <c r="G568" s="1">
        <v>4025</v>
      </c>
      <c r="H568" s="2">
        <v>103.6</v>
      </c>
      <c r="I568" s="2">
        <v>-20</v>
      </c>
      <c r="J568" s="2">
        <v>-20.2</v>
      </c>
      <c r="K568" s="2">
        <f t="shared" si="73"/>
        <v>-20</v>
      </c>
      <c r="L568" s="8">
        <f t="shared" si="77"/>
        <v>4.3651583224016479E-13</v>
      </c>
      <c r="M568" s="26"/>
      <c r="N568" s="17"/>
      <c r="O568" s="9">
        <f t="shared" si="75"/>
        <v>-20.2</v>
      </c>
      <c r="P568" s="8">
        <f>D566/B566*10^(O568/10)</f>
        <v>1.4961550514335826</v>
      </c>
      <c r="Q568" s="26"/>
      <c r="R568" s="17"/>
      <c r="S568" s="19"/>
      <c r="T568" s="17"/>
      <c r="U568" s="22"/>
    </row>
    <row r="569" spans="1:21" x14ac:dyDescent="0.25">
      <c r="A569" s="24"/>
      <c r="B569" s="24"/>
      <c r="C569" s="17"/>
      <c r="D569" s="24"/>
      <c r="E569" s="24"/>
      <c r="F569" s="25"/>
      <c r="G569" s="1">
        <v>4625</v>
      </c>
      <c r="H569" s="2">
        <v>105.6</v>
      </c>
      <c r="I569" s="2">
        <v>-15.6</v>
      </c>
      <c r="J569" s="2">
        <v>-21.3</v>
      </c>
      <c r="K569" s="2">
        <f t="shared" si="73"/>
        <v>-15.6</v>
      </c>
      <c r="L569" s="8">
        <f t="shared" si="77"/>
        <v>7.5857757502918275E-13</v>
      </c>
      <c r="M569" s="26"/>
      <c r="N569" s="17"/>
      <c r="O569" s="9">
        <f t="shared" si="75"/>
        <v>-21.3</v>
      </c>
      <c r="P569" s="8">
        <f>D566/B566*10^(O569/10)</f>
        <v>1.1613860447047706</v>
      </c>
      <c r="Q569" s="26"/>
      <c r="R569" s="17"/>
      <c r="S569" s="19"/>
      <c r="T569" s="17"/>
      <c r="U569" s="22"/>
    </row>
    <row r="570" spans="1:21" x14ac:dyDescent="0.25">
      <c r="A570" s="24"/>
      <c r="B570" s="24"/>
      <c r="C570" s="17"/>
      <c r="D570" s="24"/>
      <c r="E570" s="24"/>
      <c r="F570" s="25"/>
      <c r="G570" s="1">
        <v>5225</v>
      </c>
      <c r="H570" s="2">
        <v>103.5</v>
      </c>
      <c r="I570" s="2">
        <v>-14.9</v>
      </c>
      <c r="J570" s="2">
        <v>-20</v>
      </c>
      <c r="K570" s="2">
        <f t="shared" si="73"/>
        <v>-14.9</v>
      </c>
      <c r="L570" s="8">
        <f t="shared" si="77"/>
        <v>1.4454397707459267E-12</v>
      </c>
      <c r="M570" s="26"/>
      <c r="N570" s="17"/>
      <c r="O570" s="9">
        <f t="shared" si="75"/>
        <v>-20</v>
      </c>
      <c r="P570" s="8">
        <f>D566/B566*10^(O570/10)</f>
        <v>1.5666666666666667</v>
      </c>
      <c r="Q570" s="26"/>
      <c r="R570" s="17"/>
      <c r="S570" s="19"/>
      <c r="T570" s="17"/>
      <c r="U570" s="22"/>
    </row>
    <row r="571" spans="1:21" x14ac:dyDescent="0.25">
      <c r="A571" s="24"/>
      <c r="B571" s="24"/>
      <c r="C571" s="17"/>
      <c r="D571" s="24"/>
      <c r="E571" s="24"/>
      <c r="F571" s="25"/>
      <c r="G571" s="1">
        <v>5625</v>
      </c>
      <c r="H571" s="2">
        <v>99.5</v>
      </c>
      <c r="I571" s="2">
        <v>-16.7</v>
      </c>
      <c r="J571" s="2">
        <v>-20.2</v>
      </c>
      <c r="K571" s="2">
        <f t="shared" si="73"/>
        <v>-16.7</v>
      </c>
      <c r="L571" s="8">
        <f t="shared" si="77"/>
        <v>2.3988329190194755E-12</v>
      </c>
      <c r="M571" s="26"/>
      <c r="N571" s="17"/>
      <c r="O571" s="9">
        <f t="shared" si="75"/>
        <v>-20.2</v>
      </c>
      <c r="P571" s="8">
        <f>D566/B566*10^(O571/10)</f>
        <v>1.4961550514335826</v>
      </c>
      <c r="Q571" s="26"/>
      <c r="R571" s="17"/>
      <c r="S571" s="20"/>
      <c r="T571" s="17"/>
      <c r="U571" s="23"/>
    </row>
    <row r="572" spans="1:21" x14ac:dyDescent="0.25">
      <c r="A572" s="24">
        <v>8000</v>
      </c>
      <c r="B572" s="24">
        <v>3</v>
      </c>
      <c r="C572" s="17">
        <v>0.5</v>
      </c>
      <c r="D572" s="24">
        <v>943</v>
      </c>
      <c r="E572" s="24">
        <v>6</v>
      </c>
      <c r="F572" s="25">
        <v>54</v>
      </c>
      <c r="G572" s="1">
        <v>6025</v>
      </c>
      <c r="H572" s="2">
        <v>95</v>
      </c>
      <c r="I572" s="2">
        <v>-19.100000000000001</v>
      </c>
      <c r="J572" s="2">
        <v>-21.1</v>
      </c>
      <c r="K572" s="2">
        <f t="shared" si="73"/>
        <v>-19.100000000000001</v>
      </c>
      <c r="L572" s="8">
        <f t="shared" si="77"/>
        <v>3.890451449942802E-12</v>
      </c>
      <c r="M572" s="26">
        <f>SUM(L572:L577)</f>
        <v>8.2599042065324114E-11</v>
      </c>
      <c r="N572" s="17">
        <f>10*LOG10(M572/E572)</f>
        <v>-108.61176239723747</v>
      </c>
      <c r="O572" s="9">
        <f t="shared" si="75"/>
        <v>-21.1</v>
      </c>
      <c r="P572" s="8">
        <f>D572/B572*10^(O572/10)</f>
        <v>2.4400034366028516</v>
      </c>
      <c r="Q572" s="26">
        <f>SUM(P572:P577)</f>
        <v>15.685429124821855</v>
      </c>
      <c r="R572" s="17">
        <f>10*LOG10(Q572)</f>
        <v>11.954964047036924</v>
      </c>
      <c r="S572" s="18">
        <f>F572+N572-Kzt-H</f>
        <v>-54.61176239723747</v>
      </c>
      <c r="T572" s="17">
        <v>0.7</v>
      </c>
      <c r="U572" s="21">
        <f>T572*10^((S572-R572)/10)</f>
        <v>1.5432113030714105E-7</v>
      </c>
    </row>
    <row r="573" spans="1:21" x14ac:dyDescent="0.25">
      <c r="A573" s="24"/>
      <c r="B573" s="24"/>
      <c r="C573" s="17"/>
      <c r="D573" s="24"/>
      <c r="E573" s="24"/>
      <c r="F573" s="25"/>
      <c r="G573" s="1">
        <v>7025</v>
      </c>
      <c r="H573" s="2">
        <v>94.8</v>
      </c>
      <c r="I573" s="2">
        <v>-18.600000000000001</v>
      </c>
      <c r="J573" s="2">
        <v>-18.7</v>
      </c>
      <c r="K573" s="2">
        <f t="shared" si="73"/>
        <v>-18.600000000000001</v>
      </c>
      <c r="L573" s="8">
        <f t="shared" si="77"/>
        <v>4.5708818961487419E-12</v>
      </c>
      <c r="M573" s="26"/>
      <c r="N573" s="17"/>
      <c r="O573" s="9">
        <f t="shared" si="75"/>
        <v>-18.7</v>
      </c>
      <c r="P573" s="8">
        <f>D572/B572*10^(O573/10)</f>
        <v>4.2402399942797642</v>
      </c>
      <c r="Q573" s="26"/>
      <c r="R573" s="17"/>
      <c r="S573" s="19"/>
      <c r="T573" s="17"/>
      <c r="U573" s="22"/>
    </row>
    <row r="574" spans="1:21" x14ac:dyDescent="0.25">
      <c r="A574" s="24"/>
      <c r="B574" s="24"/>
      <c r="C574" s="17"/>
      <c r="D574" s="24"/>
      <c r="E574" s="24"/>
      <c r="F574" s="25"/>
      <c r="G574" s="1">
        <v>8025</v>
      </c>
      <c r="H574" s="2">
        <v>101.9</v>
      </c>
      <c r="I574" s="2">
        <v>-16.8</v>
      </c>
      <c r="J574" s="2">
        <v>-23</v>
      </c>
      <c r="K574" s="2">
        <f t="shared" si="73"/>
        <v>-16.8</v>
      </c>
      <c r="L574" s="8">
        <f t="shared" si="77"/>
        <v>1.3489628825916484E-12</v>
      </c>
      <c r="M574" s="26"/>
      <c r="N574" s="17"/>
      <c r="O574" s="9">
        <f t="shared" si="75"/>
        <v>-23</v>
      </c>
      <c r="P574" s="8">
        <f>D572/B572*10^(O574/10)</f>
        <v>1.5753985377017252</v>
      </c>
      <c r="Q574" s="26"/>
      <c r="R574" s="17"/>
      <c r="S574" s="19"/>
      <c r="T574" s="17"/>
      <c r="U574" s="22"/>
    </row>
    <row r="575" spans="1:21" x14ac:dyDescent="0.25">
      <c r="A575" s="24"/>
      <c r="B575" s="24"/>
      <c r="C575" s="17"/>
      <c r="D575" s="24"/>
      <c r="E575" s="24"/>
      <c r="F575" s="25"/>
      <c r="G575" s="1">
        <v>9025</v>
      </c>
      <c r="H575" s="2">
        <v>93.2</v>
      </c>
      <c r="I575" s="2">
        <v>-12.6</v>
      </c>
      <c r="J575" s="2">
        <v>-24</v>
      </c>
      <c r="K575" s="2">
        <f t="shared" si="73"/>
        <v>-12.6</v>
      </c>
      <c r="L575" s="8">
        <f t="shared" si="77"/>
        <v>2.6302679918953769E-11</v>
      </c>
      <c r="M575" s="26"/>
      <c r="N575" s="17"/>
      <c r="O575" s="9">
        <f t="shared" si="75"/>
        <v>-24</v>
      </c>
      <c r="P575" s="8">
        <f>D572/B572*10^(O575/10)</f>
        <v>1.2513835394398261</v>
      </c>
      <c r="Q575" s="26"/>
      <c r="R575" s="17"/>
      <c r="S575" s="19"/>
      <c r="T575" s="17"/>
      <c r="U575" s="22"/>
    </row>
    <row r="576" spans="1:21" x14ac:dyDescent="0.25">
      <c r="A576" s="24"/>
      <c r="B576" s="24"/>
      <c r="C576" s="17"/>
      <c r="D576" s="24"/>
      <c r="E576" s="24"/>
      <c r="F576" s="25"/>
      <c r="G576" s="1">
        <v>10025</v>
      </c>
      <c r="H576" s="2">
        <v>88.3</v>
      </c>
      <c r="I576" s="2">
        <v>-22</v>
      </c>
      <c r="J576" s="2">
        <v>-22.1</v>
      </c>
      <c r="K576" s="2">
        <f t="shared" si="73"/>
        <v>-22</v>
      </c>
      <c r="L576" s="8">
        <f t="shared" si="77"/>
        <v>9.3325430079698992E-12</v>
      </c>
      <c r="M576" s="26"/>
      <c r="N576" s="17"/>
      <c r="O576" s="9">
        <f t="shared" si="75"/>
        <v>-22.1</v>
      </c>
      <c r="P576" s="8">
        <f>D572/B572*10^(O576/10)</f>
        <v>1.9381636225179248</v>
      </c>
      <c r="Q576" s="26"/>
      <c r="R576" s="17"/>
      <c r="S576" s="19"/>
      <c r="T576" s="17"/>
      <c r="U576" s="22"/>
    </row>
    <row r="577" spans="1:21" x14ac:dyDescent="0.25">
      <c r="A577" s="24"/>
      <c r="B577" s="24"/>
      <c r="C577" s="17"/>
      <c r="D577" s="24"/>
      <c r="E577" s="24"/>
      <c r="F577" s="25"/>
      <c r="G577" s="1">
        <v>11025</v>
      </c>
      <c r="H577" s="2">
        <v>86</v>
      </c>
      <c r="I577" s="2">
        <v>-18.3</v>
      </c>
      <c r="J577" s="2">
        <v>-18.7</v>
      </c>
      <c r="K577" s="2">
        <f t="shared" si="73"/>
        <v>-18.3</v>
      </c>
      <c r="L577" s="8">
        <f t="shared" si="77"/>
        <v>3.7153522909717256E-11</v>
      </c>
      <c r="M577" s="26"/>
      <c r="N577" s="17"/>
      <c r="O577" s="9">
        <f t="shared" si="75"/>
        <v>-18.7</v>
      </c>
      <c r="P577" s="8">
        <f>D572/B572*10^(O577/10)</f>
        <v>4.2402399942797642</v>
      </c>
      <c r="Q577" s="26"/>
      <c r="R577" s="17"/>
      <c r="S577" s="20"/>
      <c r="T577" s="17"/>
      <c r="U577" s="23"/>
    </row>
    <row r="578" spans="1:21" x14ac:dyDescent="0.25">
      <c r="A578" s="24" t="s">
        <v>20</v>
      </c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12">
        <f>U578</f>
        <v>7.8486729975669842E-2</v>
      </c>
      <c r="T578" s="2"/>
      <c r="U578" s="8">
        <f>0.8*SQRT(SUM(U544:U577))</f>
        <v>7.8486729975669842E-2</v>
      </c>
    </row>
    <row r="579" spans="1:21" x14ac:dyDescent="0.25">
      <c r="A579" s="27" t="s">
        <v>108</v>
      </c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9"/>
    </row>
    <row r="580" spans="1:21" x14ac:dyDescent="0.25">
      <c r="A580" s="24">
        <v>250</v>
      </c>
      <c r="B580" s="24">
        <v>3</v>
      </c>
      <c r="C580" s="17">
        <v>0.5</v>
      </c>
      <c r="D580" s="24">
        <v>38</v>
      </c>
      <c r="E580" s="24">
        <v>4</v>
      </c>
      <c r="F580" s="25">
        <v>84</v>
      </c>
      <c r="G580" s="1">
        <v>175</v>
      </c>
      <c r="H580" s="2">
        <v>84.8</v>
      </c>
      <c r="I580" s="2">
        <v>-9.8000000000000007</v>
      </c>
      <c r="J580" s="2">
        <v>-14</v>
      </c>
      <c r="K580" s="2">
        <f>I580</f>
        <v>-9.8000000000000007</v>
      </c>
      <c r="L580" s="8">
        <f>10^((K580-H580)/10)</f>
        <v>3.4673685045253217E-10</v>
      </c>
      <c r="M580" s="26">
        <f>SUM(L580:L583)</f>
        <v>5.0706120933910649E-10</v>
      </c>
      <c r="N580" s="17">
        <f>10*LOG10(M580/E580)</f>
        <v>-98.969996034469162</v>
      </c>
      <c r="O580" s="9">
        <f>J580</f>
        <v>-14</v>
      </c>
      <c r="P580" s="8">
        <f>D580/B580*10^(O580/10)</f>
        <v>0.50426908270109649</v>
      </c>
      <c r="Q580" s="26">
        <f>SUM(P580:P583)</f>
        <v>0.82256485800666934</v>
      </c>
      <c r="R580" s="17">
        <f>10*LOG10(Q580)</f>
        <v>-0.84829848558665333</v>
      </c>
      <c r="S580" s="18">
        <f>F580+N580-Kzt-H</f>
        <v>-14.969996034469162</v>
      </c>
      <c r="T580" s="17">
        <v>0.2</v>
      </c>
      <c r="U580" s="21">
        <f>T580*10^((S580-R580)/10)</f>
        <v>7.7421261027991479E-3</v>
      </c>
    </row>
    <row r="581" spans="1:21" x14ac:dyDescent="0.25">
      <c r="A581" s="24"/>
      <c r="B581" s="24"/>
      <c r="C581" s="17"/>
      <c r="D581" s="24"/>
      <c r="E581" s="24"/>
      <c r="F581" s="25"/>
      <c r="G581" s="1">
        <v>225</v>
      </c>
      <c r="H581" s="2">
        <v>90</v>
      </c>
      <c r="I581" s="2">
        <v>-9.1999999999999993</v>
      </c>
      <c r="J581" s="2">
        <v>-22.9</v>
      </c>
      <c r="K581" s="2">
        <f t="shared" ref="K581:K613" si="78">I581</f>
        <v>-9.1999999999999993</v>
      </c>
      <c r="L581" s="8">
        <f t="shared" ref="L581:L582" si="79">10^((K581-H581)/10)</f>
        <v>1.2022644346174114E-10</v>
      </c>
      <c r="M581" s="26"/>
      <c r="N581" s="17"/>
      <c r="O581" s="9">
        <f t="shared" ref="O581:O613" si="80">J581</f>
        <v>-22.9</v>
      </c>
      <c r="P581" s="8">
        <f>D580/B580*10^(O581/10)</f>
        <v>6.4962441972239521E-2</v>
      </c>
      <c r="Q581" s="26"/>
      <c r="R581" s="17"/>
      <c r="S581" s="19"/>
      <c r="T581" s="17"/>
      <c r="U581" s="22"/>
    </row>
    <row r="582" spans="1:21" x14ac:dyDescent="0.25">
      <c r="A582" s="24"/>
      <c r="B582" s="24"/>
      <c r="C582" s="17"/>
      <c r="D582" s="24"/>
      <c r="E582" s="24"/>
      <c r="F582" s="25"/>
      <c r="G582" s="1">
        <v>275</v>
      </c>
      <c r="H582" s="2">
        <v>92.2</v>
      </c>
      <c r="I582" s="2">
        <v>-13.5</v>
      </c>
      <c r="J582" s="2">
        <v>-20</v>
      </c>
      <c r="K582" s="2">
        <f t="shared" si="78"/>
        <v>-13.5</v>
      </c>
      <c r="L582" s="8">
        <f t="shared" si="79"/>
        <v>2.6915348039269103E-11</v>
      </c>
      <c r="M582" s="26"/>
      <c r="N582" s="17"/>
      <c r="O582" s="9">
        <f t="shared" si="80"/>
        <v>-20</v>
      </c>
      <c r="P582" s="8">
        <f>D580/B580*10^(O582/10)</f>
        <v>0.12666666666666665</v>
      </c>
      <c r="Q582" s="26"/>
      <c r="R582" s="17"/>
      <c r="S582" s="19"/>
      <c r="T582" s="17"/>
      <c r="U582" s="22"/>
    </row>
    <row r="583" spans="1:21" x14ac:dyDescent="0.25">
      <c r="A583" s="24"/>
      <c r="B583" s="24"/>
      <c r="C583" s="17"/>
      <c r="D583" s="24"/>
      <c r="E583" s="24"/>
      <c r="F583" s="25"/>
      <c r="G583" s="1">
        <v>325</v>
      </c>
      <c r="H583" s="2">
        <v>93.3</v>
      </c>
      <c r="I583" s="2">
        <v>-15.5</v>
      </c>
      <c r="J583" s="2">
        <v>-20</v>
      </c>
      <c r="K583" s="2">
        <f t="shared" si="78"/>
        <v>-15.5</v>
      </c>
      <c r="L583" s="8">
        <f>10^((K583-H583)/10)</f>
        <v>1.3182567385564083E-11</v>
      </c>
      <c r="M583" s="26"/>
      <c r="N583" s="17"/>
      <c r="O583" s="9">
        <f t="shared" si="80"/>
        <v>-20</v>
      </c>
      <c r="P583" s="8">
        <f>D580/B580*10^(O583/10)</f>
        <v>0.12666666666666665</v>
      </c>
      <c r="Q583" s="26"/>
      <c r="R583" s="17"/>
      <c r="S583" s="20"/>
      <c r="T583" s="17"/>
      <c r="U583" s="23"/>
    </row>
    <row r="584" spans="1:21" x14ac:dyDescent="0.25">
      <c r="A584" s="24">
        <v>500</v>
      </c>
      <c r="B584" s="24">
        <v>3</v>
      </c>
      <c r="C584" s="17">
        <v>0.5</v>
      </c>
      <c r="D584" s="24">
        <v>59</v>
      </c>
      <c r="E584" s="24">
        <v>6</v>
      </c>
      <c r="F584" s="25">
        <v>84</v>
      </c>
      <c r="G584" s="1">
        <v>375</v>
      </c>
      <c r="H584" s="2">
        <v>91.9</v>
      </c>
      <c r="I584" s="2">
        <v>-13.5</v>
      </c>
      <c r="J584" s="2">
        <v>-20.8</v>
      </c>
      <c r="K584" s="2">
        <f t="shared" si="78"/>
        <v>-13.5</v>
      </c>
      <c r="L584" s="8">
        <f t="shared" ref="L584:L585" si="81">10^((K584-H584)/10)</f>
        <v>2.8840315031265894E-11</v>
      </c>
      <c r="M584" s="26">
        <f>SUM(L584:L589)</f>
        <v>1.2547263157842409E-10</v>
      </c>
      <c r="N584" s="17">
        <f>10*LOG10(M584/E584)</f>
        <v>-106.7960224369545</v>
      </c>
      <c r="O584" s="9">
        <f t="shared" si="80"/>
        <v>-20.8</v>
      </c>
      <c r="P584" s="8">
        <f>D584/B584*10^(O584/10)</f>
        <v>0.16358020831685854</v>
      </c>
      <c r="Q584" s="26">
        <f>SUM(P584:P589)</f>
        <v>1.7138023383970935</v>
      </c>
      <c r="R584" s="17">
        <f>10*LOG10(Q584)</f>
        <v>2.3396073106815232</v>
      </c>
      <c r="S584" s="18">
        <f>F584+N584-Kzt-H</f>
        <v>-22.796022436954502</v>
      </c>
      <c r="T584" s="17">
        <v>0.5</v>
      </c>
      <c r="U584" s="21">
        <f>T584*10^((S584-R584)/10)</f>
        <v>1.532523100468435E-3</v>
      </c>
    </row>
    <row r="585" spans="1:21" x14ac:dyDescent="0.25">
      <c r="A585" s="24"/>
      <c r="B585" s="24"/>
      <c r="C585" s="17"/>
      <c r="D585" s="24"/>
      <c r="E585" s="24"/>
      <c r="F585" s="25"/>
      <c r="G585" s="1">
        <v>425</v>
      </c>
      <c r="H585" s="2">
        <v>88.1</v>
      </c>
      <c r="I585" s="2">
        <v>-16.099999999999998</v>
      </c>
      <c r="J585" s="2">
        <v>-16.399999999999999</v>
      </c>
      <c r="K585" s="2">
        <f t="shared" si="78"/>
        <v>-16.099999999999998</v>
      </c>
      <c r="L585" s="8">
        <f t="shared" si="81"/>
        <v>3.8018939632056257E-11</v>
      </c>
      <c r="M585" s="26"/>
      <c r="N585" s="17"/>
      <c r="O585" s="9">
        <f t="shared" si="80"/>
        <v>-16.399999999999999</v>
      </c>
      <c r="P585" s="8">
        <f>D584/B584*10^(O585/10)</f>
        <v>0.4505373050443286</v>
      </c>
      <c r="Q585" s="26"/>
      <c r="R585" s="17"/>
      <c r="S585" s="19"/>
      <c r="T585" s="17"/>
      <c r="U585" s="22"/>
    </row>
    <row r="586" spans="1:21" x14ac:dyDescent="0.25">
      <c r="A586" s="24"/>
      <c r="B586" s="24"/>
      <c r="C586" s="17"/>
      <c r="D586" s="24"/>
      <c r="E586" s="24"/>
      <c r="F586" s="25"/>
      <c r="G586" s="1">
        <v>475</v>
      </c>
      <c r="H586" s="2">
        <v>90</v>
      </c>
      <c r="I586" s="2">
        <v>-15.600000000000001</v>
      </c>
      <c r="J586" s="2">
        <v>-16.3</v>
      </c>
      <c r="K586" s="2">
        <f t="shared" si="78"/>
        <v>-15.600000000000001</v>
      </c>
      <c r="L586" s="8">
        <f>10^((K586-H586)/10)</f>
        <v>2.7542287033381702E-11</v>
      </c>
      <c r="M586" s="26"/>
      <c r="N586" s="17"/>
      <c r="O586" s="9">
        <f t="shared" si="80"/>
        <v>-16.3</v>
      </c>
      <c r="P586" s="8">
        <f>D584/B584*10^(O586/10)</f>
        <v>0.46103166701291787</v>
      </c>
      <c r="Q586" s="26"/>
      <c r="R586" s="17"/>
      <c r="S586" s="19"/>
      <c r="T586" s="17"/>
      <c r="U586" s="22"/>
    </row>
    <row r="587" spans="1:21" x14ac:dyDescent="0.25">
      <c r="A587" s="24"/>
      <c r="B587" s="24"/>
      <c r="C587" s="17"/>
      <c r="D587" s="24"/>
      <c r="E587" s="24"/>
      <c r="F587" s="25"/>
      <c r="G587" s="1">
        <v>575</v>
      </c>
      <c r="H587" s="2">
        <v>97</v>
      </c>
      <c r="I587" s="2">
        <v>-15.1</v>
      </c>
      <c r="J587" s="2">
        <v>-19.8</v>
      </c>
      <c r="K587" s="2">
        <f t="shared" si="78"/>
        <v>-15.1</v>
      </c>
      <c r="L587" s="8">
        <f t="shared" ref="L587:L613" si="82">10^((K587-H587)/10)</f>
        <v>6.1659500186148244E-12</v>
      </c>
      <c r="M587" s="26"/>
      <c r="N587" s="17"/>
      <c r="O587" s="9">
        <f t="shared" si="80"/>
        <v>-19.8</v>
      </c>
      <c r="P587" s="8">
        <f>D584/B584*10^(O587/10)</f>
        <v>0.2059352811166768</v>
      </c>
      <c r="Q587" s="26"/>
      <c r="R587" s="17"/>
      <c r="S587" s="19"/>
      <c r="T587" s="17"/>
      <c r="U587" s="22"/>
    </row>
    <row r="588" spans="1:21" x14ac:dyDescent="0.25">
      <c r="A588" s="24"/>
      <c r="B588" s="24"/>
      <c r="C588" s="17"/>
      <c r="D588" s="24"/>
      <c r="E588" s="24"/>
      <c r="F588" s="25"/>
      <c r="G588" s="1">
        <v>625</v>
      </c>
      <c r="H588" s="2">
        <v>92</v>
      </c>
      <c r="I588" s="2">
        <v>-16.899999999999999</v>
      </c>
      <c r="J588" s="2">
        <v>-20.399999999999999</v>
      </c>
      <c r="K588" s="2">
        <f t="shared" si="78"/>
        <v>-16.899999999999999</v>
      </c>
      <c r="L588" s="8">
        <f t="shared" si="82"/>
        <v>1.2882495516931307E-11</v>
      </c>
      <c r="M588" s="26"/>
      <c r="N588" s="17"/>
      <c r="O588" s="9">
        <f t="shared" si="80"/>
        <v>-20.399999999999999</v>
      </c>
      <c r="P588" s="8">
        <f>D584/B584*10^(O588/10)</f>
        <v>0.17936213173999541</v>
      </c>
      <c r="Q588" s="26"/>
      <c r="R588" s="17"/>
      <c r="S588" s="19"/>
      <c r="T588" s="17"/>
      <c r="U588" s="22"/>
    </row>
    <row r="589" spans="1:21" x14ac:dyDescent="0.25">
      <c r="A589" s="24"/>
      <c r="B589" s="24"/>
      <c r="C589" s="17"/>
      <c r="D589" s="24"/>
      <c r="E589" s="24"/>
      <c r="F589" s="25"/>
      <c r="G589" s="1">
        <v>675</v>
      </c>
      <c r="H589" s="2">
        <v>94.5</v>
      </c>
      <c r="I589" s="2">
        <v>-14.7</v>
      </c>
      <c r="J589" s="2">
        <v>-18.899999999999999</v>
      </c>
      <c r="K589" s="2">
        <f t="shared" si="78"/>
        <v>-14.7</v>
      </c>
      <c r="L589" s="8">
        <f t="shared" si="82"/>
        <v>1.2022644346174101E-11</v>
      </c>
      <c r="M589" s="26"/>
      <c r="N589" s="17"/>
      <c r="O589" s="9">
        <f t="shared" si="80"/>
        <v>-18.899999999999999</v>
      </c>
      <c r="P589" s="8">
        <f>D584/B584*10^(O589/10)</f>
        <v>0.2533557451663162</v>
      </c>
      <c r="Q589" s="26"/>
      <c r="R589" s="17"/>
      <c r="S589" s="20"/>
      <c r="T589" s="17"/>
      <c r="U589" s="23"/>
    </row>
    <row r="590" spans="1:21" x14ac:dyDescent="0.25">
      <c r="A590" s="24">
        <v>1000</v>
      </c>
      <c r="B590" s="24">
        <v>3</v>
      </c>
      <c r="C590" s="17">
        <v>0.5</v>
      </c>
      <c r="D590" s="24">
        <v>117</v>
      </c>
      <c r="E590" s="24">
        <v>6</v>
      </c>
      <c r="F590" s="25">
        <v>76</v>
      </c>
      <c r="G590" s="1">
        <v>875</v>
      </c>
      <c r="H590" s="2">
        <v>91.1</v>
      </c>
      <c r="I590" s="2">
        <v>-15.5</v>
      </c>
      <c r="J590" s="2">
        <v>-22.7</v>
      </c>
      <c r="K590" s="2">
        <f t="shared" si="78"/>
        <v>-15.5</v>
      </c>
      <c r="L590" s="8">
        <f t="shared" si="82"/>
        <v>2.1877616239495499E-11</v>
      </c>
      <c r="M590" s="26">
        <f>SUM(L590:L595)</f>
        <v>4.5744824138666918E-11</v>
      </c>
      <c r="N590" s="17">
        <f>10*LOG10(M590/E590)</f>
        <v>-111.17809288050667</v>
      </c>
      <c r="O590" s="9">
        <f t="shared" si="80"/>
        <v>-22.7</v>
      </c>
      <c r="P590" s="8">
        <f>D590/B590*10^(O590/10)</f>
        <v>0.20944240058439845</v>
      </c>
      <c r="Q590" s="26">
        <f>SUM(P590:P595)</f>
        <v>2.088995594479107</v>
      </c>
      <c r="R590" s="17">
        <f>10*LOG10(Q590)</f>
        <v>3.1993752408972398</v>
      </c>
      <c r="S590" s="18">
        <f>F590+N590-Kzt-H</f>
        <v>-35.178092880506668</v>
      </c>
      <c r="T590" s="17">
        <v>0.8</v>
      </c>
      <c r="U590" s="21">
        <f>T590*10^((S590-R590)/10)</f>
        <v>1.1623667408038437E-4</v>
      </c>
    </row>
    <row r="591" spans="1:21" x14ac:dyDescent="0.25">
      <c r="A591" s="24"/>
      <c r="B591" s="24"/>
      <c r="C591" s="17"/>
      <c r="D591" s="24"/>
      <c r="E591" s="24"/>
      <c r="F591" s="25"/>
      <c r="G591" s="1">
        <v>975</v>
      </c>
      <c r="H591" s="2">
        <v>96.5</v>
      </c>
      <c r="I591" s="2">
        <v>-18.3</v>
      </c>
      <c r="J591" s="2">
        <v>-21.1</v>
      </c>
      <c r="K591" s="2">
        <f t="shared" si="78"/>
        <v>-18.3</v>
      </c>
      <c r="L591" s="8">
        <f t="shared" si="82"/>
        <v>3.3113112148258976E-12</v>
      </c>
      <c r="M591" s="26"/>
      <c r="N591" s="17"/>
      <c r="O591" s="9">
        <f t="shared" si="80"/>
        <v>-21.1</v>
      </c>
      <c r="P591" s="8">
        <f>D590/B590*10^(O591/10)</f>
        <v>0.30273637548518945</v>
      </c>
      <c r="Q591" s="26"/>
      <c r="R591" s="17"/>
      <c r="S591" s="19"/>
      <c r="T591" s="17"/>
      <c r="U591" s="22"/>
    </row>
    <row r="592" spans="1:21" x14ac:dyDescent="0.25">
      <c r="A592" s="24"/>
      <c r="B592" s="24"/>
      <c r="C592" s="17"/>
      <c r="D592" s="24"/>
      <c r="E592" s="24"/>
      <c r="F592" s="25"/>
      <c r="G592" s="1">
        <v>1075</v>
      </c>
      <c r="H592" s="2">
        <v>94.6</v>
      </c>
      <c r="I592" s="2">
        <v>-16.600000000000001</v>
      </c>
      <c r="J592" s="2">
        <v>-21.1</v>
      </c>
      <c r="K592" s="2">
        <f t="shared" si="78"/>
        <v>-16.600000000000001</v>
      </c>
      <c r="L592" s="8">
        <f t="shared" si="82"/>
        <v>7.585775750291834E-12</v>
      </c>
      <c r="M592" s="26"/>
      <c r="N592" s="17"/>
      <c r="O592" s="9">
        <f t="shared" si="80"/>
        <v>-21.1</v>
      </c>
      <c r="P592" s="8">
        <f>D590/B590*10^(O592/10)</f>
        <v>0.30273637548518945</v>
      </c>
      <c r="Q592" s="26"/>
      <c r="R592" s="17"/>
      <c r="S592" s="19"/>
      <c r="T592" s="17"/>
      <c r="U592" s="22"/>
    </row>
    <row r="593" spans="1:21" x14ac:dyDescent="0.25">
      <c r="A593" s="24"/>
      <c r="B593" s="24"/>
      <c r="C593" s="17"/>
      <c r="D593" s="24"/>
      <c r="E593" s="24"/>
      <c r="F593" s="25"/>
      <c r="G593" s="1">
        <v>1175</v>
      </c>
      <c r="H593" s="2">
        <v>97.8</v>
      </c>
      <c r="I593" s="2">
        <v>-13.6</v>
      </c>
      <c r="J593" s="2">
        <v>-18.3</v>
      </c>
      <c r="K593" s="2">
        <f t="shared" si="78"/>
        <v>-13.6</v>
      </c>
      <c r="L593" s="8">
        <f t="shared" si="82"/>
        <v>7.2443596007498992E-12</v>
      </c>
      <c r="M593" s="26"/>
      <c r="N593" s="17"/>
      <c r="O593" s="9">
        <f t="shared" si="80"/>
        <v>-18.3</v>
      </c>
      <c r="P593" s="8">
        <f>D590/B590*10^(O593/10)</f>
        <v>0.5768522713856008</v>
      </c>
      <c r="Q593" s="26"/>
      <c r="R593" s="17"/>
      <c r="S593" s="19"/>
      <c r="T593" s="17"/>
      <c r="U593" s="22"/>
    </row>
    <row r="594" spans="1:21" x14ac:dyDescent="0.25">
      <c r="A594" s="24"/>
      <c r="B594" s="24"/>
      <c r="C594" s="17"/>
      <c r="D594" s="24"/>
      <c r="E594" s="24"/>
      <c r="F594" s="25"/>
      <c r="G594" s="1">
        <v>1275</v>
      </c>
      <c r="H594" s="2">
        <v>100.1</v>
      </c>
      <c r="I594" s="2">
        <v>-13.4</v>
      </c>
      <c r="J594" s="2">
        <v>-23.9</v>
      </c>
      <c r="K594" s="2">
        <f t="shared" si="78"/>
        <v>-13.4</v>
      </c>
      <c r="L594" s="8">
        <f t="shared" si="82"/>
        <v>4.4668359215096234E-12</v>
      </c>
      <c r="M594" s="26"/>
      <c r="N594" s="17"/>
      <c r="O594" s="9">
        <f t="shared" si="80"/>
        <v>-23.9</v>
      </c>
      <c r="P594" s="8">
        <f>D590/B590*10^(O594/10)</f>
        <v>0.15887830834360409</v>
      </c>
      <c r="Q594" s="26"/>
      <c r="R594" s="17"/>
      <c r="S594" s="19"/>
      <c r="T594" s="17"/>
      <c r="U594" s="22"/>
    </row>
    <row r="595" spans="1:21" x14ac:dyDescent="0.25">
      <c r="A595" s="24"/>
      <c r="B595" s="24"/>
      <c r="C595" s="17"/>
      <c r="D595" s="24"/>
      <c r="E595" s="24"/>
      <c r="F595" s="25"/>
      <c r="G595" s="1">
        <v>1375</v>
      </c>
      <c r="H595" s="2">
        <v>103</v>
      </c>
      <c r="I595" s="2">
        <v>-16</v>
      </c>
      <c r="J595" s="2">
        <v>-18.600000000000001</v>
      </c>
      <c r="K595" s="2">
        <f t="shared" si="78"/>
        <v>-16</v>
      </c>
      <c r="L595" s="8">
        <f t="shared" si="82"/>
        <v>1.2589254117941629E-12</v>
      </c>
      <c r="M595" s="26"/>
      <c r="N595" s="17"/>
      <c r="O595" s="9">
        <f t="shared" si="80"/>
        <v>-18.600000000000001</v>
      </c>
      <c r="P595" s="8">
        <f>D590/B590*10^(O595/10)</f>
        <v>0.53834986319512468</v>
      </c>
      <c r="Q595" s="26"/>
      <c r="R595" s="17"/>
      <c r="S595" s="20"/>
      <c r="T595" s="17"/>
      <c r="U595" s="23"/>
    </row>
    <row r="596" spans="1:21" x14ac:dyDescent="0.25">
      <c r="A596" s="24">
        <v>2000</v>
      </c>
      <c r="B596" s="24">
        <v>3</v>
      </c>
      <c r="C596" s="17">
        <v>0.5</v>
      </c>
      <c r="D596" s="24">
        <v>234</v>
      </c>
      <c r="E596" s="24">
        <v>6</v>
      </c>
      <c r="F596" s="25">
        <v>68</v>
      </c>
      <c r="G596" s="1">
        <v>1425</v>
      </c>
      <c r="H596" s="2">
        <v>102.8</v>
      </c>
      <c r="I596" s="2">
        <v>-15.5</v>
      </c>
      <c r="J596" s="2">
        <v>-22.5</v>
      </c>
      <c r="K596" s="2">
        <f t="shared" si="78"/>
        <v>-15.5</v>
      </c>
      <c r="L596" s="8">
        <f t="shared" si="82"/>
        <v>1.4791083881682012E-12</v>
      </c>
      <c r="M596" s="26">
        <f>SUM(L596:L601)</f>
        <v>1.2377150757823534E-11</v>
      </c>
      <c r="N596" s="17">
        <f>10*LOG10(M596/E596)</f>
        <v>-116.85530569558262</v>
      </c>
      <c r="O596" s="9">
        <f t="shared" si="80"/>
        <v>-22.5</v>
      </c>
      <c r="P596" s="8">
        <f>D596/B596*10^(O596/10)</f>
        <v>0.43862623364847197</v>
      </c>
      <c r="Q596" s="26">
        <f>SUM(P596:P601)</f>
        <v>3.913431091279012</v>
      </c>
      <c r="R596" s="17">
        <f>10*LOG10(Q596)</f>
        <v>5.9255769105209293</v>
      </c>
      <c r="S596" s="18">
        <f>F596+N596-Kzt-H</f>
        <v>-48.855305695582615</v>
      </c>
      <c r="T596" s="17">
        <v>1</v>
      </c>
      <c r="U596" s="21">
        <f>T596*10^((S596-R596)/10)</f>
        <v>3.3259195457197568E-6</v>
      </c>
    </row>
    <row r="597" spans="1:21" x14ac:dyDescent="0.25">
      <c r="A597" s="24"/>
      <c r="B597" s="24"/>
      <c r="C597" s="17"/>
      <c r="D597" s="24"/>
      <c r="E597" s="24"/>
      <c r="F597" s="25"/>
      <c r="G597" s="1">
        <v>1625</v>
      </c>
      <c r="H597" s="2">
        <v>104.1</v>
      </c>
      <c r="I597" s="2">
        <v>-16.600000000000001</v>
      </c>
      <c r="J597" s="2">
        <v>-19.7</v>
      </c>
      <c r="K597" s="2">
        <f t="shared" si="78"/>
        <v>-16.600000000000001</v>
      </c>
      <c r="L597" s="8">
        <f t="shared" si="82"/>
        <v>8.5113803820237784E-13</v>
      </c>
      <c r="M597" s="26"/>
      <c r="N597" s="17"/>
      <c r="O597" s="9">
        <f t="shared" si="80"/>
        <v>-19.7</v>
      </c>
      <c r="P597" s="8">
        <f>D596/B596*10^(O597/10)</f>
        <v>0.83578505808533243</v>
      </c>
      <c r="Q597" s="26"/>
      <c r="R597" s="17"/>
      <c r="S597" s="19"/>
      <c r="T597" s="17"/>
      <c r="U597" s="22"/>
    </row>
    <row r="598" spans="1:21" x14ac:dyDescent="0.25">
      <c r="A598" s="24"/>
      <c r="B598" s="24"/>
      <c r="C598" s="17"/>
      <c r="D598" s="24"/>
      <c r="E598" s="24"/>
      <c r="F598" s="25"/>
      <c r="G598" s="1">
        <v>1825</v>
      </c>
      <c r="H598" s="2">
        <v>107.6</v>
      </c>
      <c r="I598" s="2">
        <v>-15.7</v>
      </c>
      <c r="J598" s="2">
        <v>-20.2</v>
      </c>
      <c r="K598" s="2">
        <f t="shared" si="78"/>
        <v>-15.7</v>
      </c>
      <c r="L598" s="8">
        <f t="shared" si="82"/>
        <v>4.6773514128719676E-13</v>
      </c>
      <c r="M598" s="26"/>
      <c r="N598" s="17"/>
      <c r="O598" s="9">
        <f t="shared" si="80"/>
        <v>-20.2</v>
      </c>
      <c r="P598" s="8">
        <f>D596/B596*10^(O598/10)</f>
        <v>0.74489421709671988</v>
      </c>
      <c r="Q598" s="26"/>
      <c r="R598" s="17"/>
      <c r="S598" s="19"/>
      <c r="T598" s="17"/>
      <c r="U598" s="22"/>
    </row>
    <row r="599" spans="1:21" x14ac:dyDescent="0.25">
      <c r="A599" s="24"/>
      <c r="B599" s="24"/>
      <c r="C599" s="17"/>
      <c r="D599" s="24"/>
      <c r="E599" s="24"/>
      <c r="F599" s="25"/>
      <c r="G599" s="1">
        <v>2125</v>
      </c>
      <c r="H599" s="2">
        <v>104.2</v>
      </c>
      <c r="I599" s="2">
        <v>-19.100000000000001</v>
      </c>
      <c r="J599" s="2">
        <v>-21.9</v>
      </c>
      <c r="K599" s="2">
        <f t="shared" si="78"/>
        <v>-19.100000000000001</v>
      </c>
      <c r="L599" s="8">
        <f t="shared" si="82"/>
        <v>4.6773514128719514E-13</v>
      </c>
      <c r="M599" s="26"/>
      <c r="N599" s="17"/>
      <c r="O599" s="9">
        <f t="shared" si="80"/>
        <v>-21.9</v>
      </c>
      <c r="P599" s="8">
        <f>D596/B596*10^(O599/10)</f>
        <v>0.50361029864703111</v>
      </c>
      <c r="Q599" s="26"/>
      <c r="R599" s="17"/>
      <c r="S599" s="19"/>
      <c r="T599" s="17"/>
      <c r="U599" s="22"/>
    </row>
    <row r="600" spans="1:21" x14ac:dyDescent="0.25">
      <c r="A600" s="24"/>
      <c r="B600" s="24"/>
      <c r="C600" s="17"/>
      <c r="D600" s="24"/>
      <c r="E600" s="24"/>
      <c r="F600" s="25"/>
      <c r="G600" s="1">
        <v>2425</v>
      </c>
      <c r="H600" s="2">
        <v>93.7</v>
      </c>
      <c r="I600" s="2">
        <v>-17.399999999999999</v>
      </c>
      <c r="J600" s="2">
        <v>-21.8</v>
      </c>
      <c r="K600" s="2">
        <f t="shared" si="78"/>
        <v>-17.399999999999999</v>
      </c>
      <c r="L600" s="8">
        <f t="shared" si="82"/>
        <v>7.762471166286914E-12</v>
      </c>
      <c r="M600" s="26"/>
      <c r="N600" s="17"/>
      <c r="O600" s="9">
        <f t="shared" si="80"/>
        <v>-21.8</v>
      </c>
      <c r="P600" s="8">
        <f>D596/B596*10^(O600/10)</f>
        <v>0.5153408894459246</v>
      </c>
      <c r="Q600" s="26"/>
      <c r="R600" s="17"/>
      <c r="S600" s="19"/>
      <c r="T600" s="17"/>
      <c r="U600" s="22"/>
    </row>
    <row r="601" spans="1:21" x14ac:dyDescent="0.25">
      <c r="A601" s="24"/>
      <c r="B601" s="24"/>
      <c r="C601" s="17"/>
      <c r="D601" s="24"/>
      <c r="E601" s="24"/>
      <c r="F601" s="25"/>
      <c r="G601" s="1">
        <v>2775</v>
      </c>
      <c r="H601" s="2">
        <v>100.2</v>
      </c>
      <c r="I601" s="2">
        <v>-18.5</v>
      </c>
      <c r="J601" s="2">
        <v>-19.5</v>
      </c>
      <c r="K601" s="2">
        <f t="shared" si="78"/>
        <v>-18.5</v>
      </c>
      <c r="L601" s="8">
        <f t="shared" si="82"/>
        <v>1.3489628825916484E-12</v>
      </c>
      <c r="M601" s="26"/>
      <c r="N601" s="17"/>
      <c r="O601" s="9">
        <f t="shared" si="80"/>
        <v>-19.5</v>
      </c>
      <c r="P601" s="8">
        <f>D596/B596*10^(O601/10)</f>
        <v>0.87517439435553146</v>
      </c>
      <c r="Q601" s="26"/>
      <c r="R601" s="17"/>
      <c r="S601" s="20"/>
      <c r="T601" s="17"/>
      <c r="U601" s="23"/>
    </row>
    <row r="602" spans="1:21" x14ac:dyDescent="0.25">
      <c r="A602" s="24">
        <v>4000</v>
      </c>
      <c r="B602" s="24">
        <v>3</v>
      </c>
      <c r="C602" s="17">
        <v>0.5</v>
      </c>
      <c r="D602" s="24">
        <v>470</v>
      </c>
      <c r="E602" s="24">
        <v>6</v>
      </c>
      <c r="F602" s="25">
        <v>62</v>
      </c>
      <c r="G602" s="1">
        <v>2825</v>
      </c>
      <c r="H602" s="2">
        <v>99.4</v>
      </c>
      <c r="I602" s="2">
        <v>-16</v>
      </c>
      <c r="J602" s="2">
        <v>-22.9</v>
      </c>
      <c r="K602" s="2">
        <f t="shared" si="78"/>
        <v>-16</v>
      </c>
      <c r="L602" s="8">
        <f t="shared" si="82"/>
        <v>2.8840315031265959E-12</v>
      </c>
      <c r="M602" s="26">
        <f>SUM(L602:L607)</f>
        <v>1.2672542413842975E-11</v>
      </c>
      <c r="N602" s="17">
        <f>10*LOG10(M602/E602)</f>
        <v>-116.75287496941775</v>
      </c>
      <c r="O602" s="9">
        <f t="shared" si="80"/>
        <v>-22.9</v>
      </c>
      <c r="P602" s="8">
        <f>D602/B602*10^(O602/10)</f>
        <v>0.80348283491980466</v>
      </c>
      <c r="Q602" s="26">
        <f>SUM(P602:P607)</f>
        <v>9.83076986369724</v>
      </c>
      <c r="R602" s="17">
        <f>10*LOG10(Q602)</f>
        <v>9.925875294764424</v>
      </c>
      <c r="S602" s="18">
        <f>F602+N602-Kzt-H</f>
        <v>-54.752874969417746</v>
      </c>
      <c r="T602" s="17">
        <v>0.9</v>
      </c>
      <c r="U602" s="21">
        <f>T602*10^((S602-R602)/10)</f>
        <v>3.0645554439803734E-7</v>
      </c>
    </row>
    <row r="603" spans="1:21" x14ac:dyDescent="0.25">
      <c r="A603" s="24"/>
      <c r="B603" s="24"/>
      <c r="C603" s="17"/>
      <c r="D603" s="24"/>
      <c r="E603" s="24"/>
      <c r="F603" s="25"/>
      <c r="G603" s="1">
        <v>3425</v>
      </c>
      <c r="H603" s="2">
        <v>103.5</v>
      </c>
      <c r="I603" s="2">
        <v>-18.100000000000001</v>
      </c>
      <c r="J603" s="2">
        <v>-18.2</v>
      </c>
      <c r="K603" s="2">
        <f t="shared" si="78"/>
        <v>-18.100000000000001</v>
      </c>
      <c r="L603" s="8">
        <f t="shared" si="82"/>
        <v>6.9183097091893335E-13</v>
      </c>
      <c r="M603" s="26"/>
      <c r="N603" s="17"/>
      <c r="O603" s="9">
        <f t="shared" si="80"/>
        <v>-18.2</v>
      </c>
      <c r="P603" s="8">
        <f>D602/B602*10^(O603/10)</f>
        <v>2.3712459558833916</v>
      </c>
      <c r="Q603" s="26"/>
      <c r="R603" s="17"/>
      <c r="S603" s="19"/>
      <c r="T603" s="17"/>
      <c r="U603" s="22"/>
    </row>
    <row r="604" spans="1:21" x14ac:dyDescent="0.25">
      <c r="A604" s="24"/>
      <c r="B604" s="24"/>
      <c r="C604" s="17"/>
      <c r="D604" s="24"/>
      <c r="E604" s="24"/>
      <c r="F604" s="25"/>
      <c r="G604" s="1">
        <v>4025</v>
      </c>
      <c r="H604" s="2">
        <v>103.6</v>
      </c>
      <c r="I604" s="2">
        <v>-15.7</v>
      </c>
      <c r="J604" s="2">
        <v>-19.8</v>
      </c>
      <c r="K604" s="2">
        <f t="shared" si="78"/>
        <v>-15.7</v>
      </c>
      <c r="L604" s="8">
        <f t="shared" si="82"/>
        <v>1.1748975549395258E-12</v>
      </c>
      <c r="M604" s="26"/>
      <c r="N604" s="17"/>
      <c r="O604" s="9">
        <f t="shared" si="80"/>
        <v>-19.8</v>
      </c>
      <c r="P604" s="8">
        <f>D602/B602*10^(O604/10)</f>
        <v>1.6405013919464082</v>
      </c>
      <c r="Q604" s="26"/>
      <c r="R604" s="17"/>
      <c r="S604" s="19"/>
      <c r="T604" s="17"/>
      <c r="U604" s="22"/>
    </row>
    <row r="605" spans="1:21" x14ac:dyDescent="0.25">
      <c r="A605" s="24"/>
      <c r="B605" s="24"/>
      <c r="C605" s="17"/>
      <c r="D605" s="24"/>
      <c r="E605" s="24"/>
      <c r="F605" s="25"/>
      <c r="G605" s="1">
        <v>4625</v>
      </c>
      <c r="H605" s="2">
        <v>105.6</v>
      </c>
      <c r="I605" s="2">
        <v>-11.6</v>
      </c>
      <c r="J605" s="2">
        <v>-19.7</v>
      </c>
      <c r="K605" s="2">
        <f t="shared" si="78"/>
        <v>-11.6</v>
      </c>
      <c r="L605" s="8">
        <f t="shared" si="82"/>
        <v>1.9054607179632507E-12</v>
      </c>
      <c r="M605" s="26"/>
      <c r="N605" s="17"/>
      <c r="O605" s="9">
        <f t="shared" si="80"/>
        <v>-19.7</v>
      </c>
      <c r="P605" s="8">
        <f>D602/B602*10^(O605/10)</f>
        <v>1.678713578205582</v>
      </c>
      <c r="Q605" s="26"/>
      <c r="R605" s="17"/>
      <c r="S605" s="19"/>
      <c r="T605" s="17"/>
      <c r="U605" s="22"/>
    </row>
    <row r="606" spans="1:21" x14ac:dyDescent="0.25">
      <c r="A606" s="24"/>
      <c r="B606" s="24"/>
      <c r="C606" s="17"/>
      <c r="D606" s="24"/>
      <c r="E606" s="24"/>
      <c r="F606" s="25"/>
      <c r="G606" s="1">
        <v>5225</v>
      </c>
      <c r="H606" s="2">
        <v>103.5</v>
      </c>
      <c r="I606" s="2">
        <v>-14.9</v>
      </c>
      <c r="J606" s="2">
        <v>-20.6</v>
      </c>
      <c r="K606" s="2">
        <f t="shared" si="78"/>
        <v>-14.9</v>
      </c>
      <c r="L606" s="8">
        <f t="shared" si="82"/>
        <v>1.4454397707459267E-12</v>
      </c>
      <c r="M606" s="26"/>
      <c r="N606" s="17"/>
      <c r="O606" s="9">
        <f t="shared" si="80"/>
        <v>-20.6</v>
      </c>
      <c r="P606" s="8">
        <f>D602/B602*10^(O606/10)</f>
        <v>1.3645096242645254</v>
      </c>
      <c r="Q606" s="26"/>
      <c r="R606" s="17"/>
      <c r="S606" s="19"/>
      <c r="T606" s="17"/>
      <c r="U606" s="22"/>
    </row>
    <row r="607" spans="1:21" x14ac:dyDescent="0.25">
      <c r="A607" s="24"/>
      <c r="B607" s="24"/>
      <c r="C607" s="17"/>
      <c r="D607" s="24"/>
      <c r="E607" s="24"/>
      <c r="F607" s="25"/>
      <c r="G607" s="1">
        <v>5625</v>
      </c>
      <c r="H607" s="2">
        <v>99.5</v>
      </c>
      <c r="I607" s="2">
        <v>-13.9</v>
      </c>
      <c r="J607" s="2">
        <v>-19</v>
      </c>
      <c r="K607" s="2">
        <f t="shared" si="78"/>
        <v>-13.9</v>
      </c>
      <c r="L607" s="8">
        <f t="shared" si="82"/>
        <v>4.5708818961487419E-12</v>
      </c>
      <c r="M607" s="26"/>
      <c r="N607" s="17"/>
      <c r="O607" s="9">
        <f t="shared" si="80"/>
        <v>-19</v>
      </c>
      <c r="P607" s="8">
        <f>D602/B602*10^(O607/10)</f>
        <v>1.9723164784775273</v>
      </c>
      <c r="Q607" s="26"/>
      <c r="R607" s="17"/>
      <c r="S607" s="20"/>
      <c r="T607" s="17"/>
      <c r="U607" s="23"/>
    </row>
    <row r="608" spans="1:21" x14ac:dyDescent="0.25">
      <c r="A608" s="24">
        <v>8000</v>
      </c>
      <c r="B608" s="24">
        <v>3</v>
      </c>
      <c r="C608" s="17">
        <v>0.5</v>
      </c>
      <c r="D608" s="24">
        <v>943</v>
      </c>
      <c r="E608" s="24">
        <v>6</v>
      </c>
      <c r="F608" s="25">
        <v>54</v>
      </c>
      <c r="G608" s="1">
        <v>6025</v>
      </c>
      <c r="H608" s="2">
        <v>95</v>
      </c>
      <c r="I608" s="2">
        <v>-18.399999999999999</v>
      </c>
      <c r="J608" s="2">
        <v>-19.399999999999999</v>
      </c>
      <c r="K608" s="2">
        <f t="shared" si="78"/>
        <v>-18.399999999999999</v>
      </c>
      <c r="L608" s="8">
        <f t="shared" si="82"/>
        <v>4.5708818961487419E-12</v>
      </c>
      <c r="M608" s="26">
        <f>SUM(L608:L613)</f>
        <v>1.330665830026984E-10</v>
      </c>
      <c r="N608" s="17">
        <f>10*LOG10(M608/E608)</f>
        <v>-106.5408224554517</v>
      </c>
      <c r="O608" s="9">
        <f t="shared" si="80"/>
        <v>-19.399999999999999</v>
      </c>
      <c r="P608" s="8">
        <f>D608/B608*10^(O608/10)</f>
        <v>3.6090295502385343</v>
      </c>
      <c r="Q608" s="26">
        <f>SUM(P608:P613)</f>
        <v>17.407100013400409</v>
      </c>
      <c r="R608" s="17">
        <f>10*LOG10(Q608)</f>
        <v>12.407264245875959</v>
      </c>
      <c r="S608" s="18">
        <f>F608+N608-Kzt-H</f>
        <v>-52.540822455451703</v>
      </c>
      <c r="T608" s="17">
        <v>0.7</v>
      </c>
      <c r="U608" s="21">
        <f>T608*10^((S608-R608)/10)</f>
        <v>2.2402132927766623E-7</v>
      </c>
    </row>
    <row r="609" spans="1:21" x14ac:dyDescent="0.25">
      <c r="A609" s="24"/>
      <c r="B609" s="24"/>
      <c r="C609" s="17"/>
      <c r="D609" s="24"/>
      <c r="E609" s="24"/>
      <c r="F609" s="25"/>
      <c r="G609" s="1">
        <v>7025</v>
      </c>
      <c r="H609" s="2">
        <v>94.8</v>
      </c>
      <c r="I609" s="2">
        <v>-18.7</v>
      </c>
      <c r="J609" s="2">
        <v>-22.6</v>
      </c>
      <c r="K609" s="2">
        <f t="shared" si="78"/>
        <v>-18.7</v>
      </c>
      <c r="L609" s="8">
        <f t="shared" si="82"/>
        <v>4.4668359215096234E-12</v>
      </c>
      <c r="M609" s="26"/>
      <c r="N609" s="17"/>
      <c r="O609" s="9">
        <f t="shared" si="80"/>
        <v>-22.6</v>
      </c>
      <c r="P609" s="8">
        <f>D608/B608*10^(O609/10)</f>
        <v>1.7273901468257986</v>
      </c>
      <c r="Q609" s="26"/>
      <c r="R609" s="17"/>
      <c r="S609" s="19"/>
      <c r="T609" s="17"/>
      <c r="U609" s="22"/>
    </row>
    <row r="610" spans="1:21" x14ac:dyDescent="0.25">
      <c r="A610" s="24"/>
      <c r="B610" s="24"/>
      <c r="C610" s="17"/>
      <c r="D610" s="24"/>
      <c r="E610" s="24"/>
      <c r="F610" s="25"/>
      <c r="G610" s="1">
        <v>8025</v>
      </c>
      <c r="H610" s="2">
        <v>101.9</v>
      </c>
      <c r="I610" s="2">
        <v>-15.6</v>
      </c>
      <c r="J610" s="2">
        <v>-22.9</v>
      </c>
      <c r="K610" s="2">
        <f t="shared" si="78"/>
        <v>-15.6</v>
      </c>
      <c r="L610" s="8">
        <f t="shared" si="82"/>
        <v>1.7782794100389204E-12</v>
      </c>
      <c r="M610" s="26"/>
      <c r="N610" s="17"/>
      <c r="O610" s="9">
        <f t="shared" si="80"/>
        <v>-22.9</v>
      </c>
      <c r="P610" s="8">
        <f>D608/B608*10^(O610/10)</f>
        <v>1.6120942836795229</v>
      </c>
      <c r="Q610" s="26"/>
      <c r="R610" s="17"/>
      <c r="S610" s="19"/>
      <c r="T610" s="17"/>
      <c r="U610" s="22"/>
    </row>
    <row r="611" spans="1:21" x14ac:dyDescent="0.25">
      <c r="A611" s="24"/>
      <c r="B611" s="24"/>
      <c r="C611" s="17"/>
      <c r="D611" s="24"/>
      <c r="E611" s="24"/>
      <c r="F611" s="25"/>
      <c r="G611" s="1">
        <v>9025</v>
      </c>
      <c r="H611" s="2">
        <v>93.2</v>
      </c>
      <c r="I611" s="2">
        <v>-18.600000000000001</v>
      </c>
      <c r="J611" s="2">
        <v>-23.3</v>
      </c>
      <c r="K611" s="2">
        <f t="shared" si="78"/>
        <v>-18.600000000000001</v>
      </c>
      <c r="L611" s="8">
        <f t="shared" si="82"/>
        <v>6.6069344800759144E-12</v>
      </c>
      <c r="M611" s="26"/>
      <c r="N611" s="17"/>
      <c r="O611" s="9">
        <f t="shared" si="80"/>
        <v>-23.3</v>
      </c>
      <c r="P611" s="8">
        <f>D608/B608*10^(O611/10)</f>
        <v>1.4702474607794249</v>
      </c>
      <c r="Q611" s="26"/>
      <c r="R611" s="17"/>
      <c r="S611" s="19"/>
      <c r="T611" s="17"/>
      <c r="U611" s="22"/>
    </row>
    <row r="612" spans="1:21" x14ac:dyDescent="0.25">
      <c r="A612" s="24"/>
      <c r="B612" s="24"/>
      <c r="C612" s="17"/>
      <c r="D612" s="24"/>
      <c r="E612" s="24"/>
      <c r="F612" s="25"/>
      <c r="G612" s="1">
        <v>10025</v>
      </c>
      <c r="H612" s="2">
        <v>88.3</v>
      </c>
      <c r="I612" s="2">
        <v>-12.8</v>
      </c>
      <c r="J612" s="2">
        <v>-18.3</v>
      </c>
      <c r="K612" s="2">
        <f t="shared" si="78"/>
        <v>-12.8</v>
      </c>
      <c r="L612" s="8">
        <f t="shared" si="82"/>
        <v>7.7624711662869221E-11</v>
      </c>
      <c r="M612" s="26"/>
      <c r="N612" s="17"/>
      <c r="O612" s="9">
        <f t="shared" si="80"/>
        <v>-18.3</v>
      </c>
      <c r="P612" s="8">
        <f>D608/B608*10^(O612/10)</f>
        <v>4.6493307001420643</v>
      </c>
      <c r="Q612" s="26"/>
      <c r="R612" s="17"/>
      <c r="S612" s="19"/>
      <c r="T612" s="17"/>
      <c r="U612" s="22"/>
    </row>
    <row r="613" spans="1:21" x14ac:dyDescent="0.25">
      <c r="A613" s="24"/>
      <c r="B613" s="24"/>
      <c r="C613" s="17"/>
      <c r="D613" s="24"/>
      <c r="E613" s="24"/>
      <c r="F613" s="25"/>
      <c r="G613" s="1">
        <v>11025</v>
      </c>
      <c r="H613" s="2">
        <v>86</v>
      </c>
      <c r="I613" s="2">
        <v>-18.200000000000003</v>
      </c>
      <c r="J613" s="2">
        <v>-18.600000000000001</v>
      </c>
      <c r="K613" s="2">
        <f t="shared" si="78"/>
        <v>-18.200000000000003</v>
      </c>
      <c r="L613" s="8">
        <f t="shared" si="82"/>
        <v>3.8018939632055986E-11</v>
      </c>
      <c r="M613" s="26"/>
      <c r="N613" s="17"/>
      <c r="O613" s="9">
        <f t="shared" si="80"/>
        <v>-18.600000000000001</v>
      </c>
      <c r="P613" s="8">
        <f>D608/B608*10^(O613/10)</f>
        <v>4.3390078717350642</v>
      </c>
      <c r="Q613" s="26"/>
      <c r="R613" s="17"/>
      <c r="S613" s="20"/>
      <c r="T613" s="17"/>
      <c r="U613" s="23"/>
    </row>
    <row r="614" spans="1:21" x14ac:dyDescent="0.25">
      <c r="A614" s="24" t="s">
        <v>20</v>
      </c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12">
        <f>U614</f>
        <v>7.7541182962417535E-2</v>
      </c>
      <c r="T614" s="2"/>
      <c r="U614" s="8">
        <f>0.8*SQRT(SUM(U580:U613))</f>
        <v>7.7541182962417535E-2</v>
      </c>
    </row>
    <row r="615" spans="1:21" x14ac:dyDescent="0.25">
      <c r="A615" s="27" t="s">
        <v>109</v>
      </c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9"/>
    </row>
    <row r="616" spans="1:21" x14ac:dyDescent="0.25">
      <c r="A616" s="24">
        <v>250</v>
      </c>
      <c r="B616" s="24">
        <v>3</v>
      </c>
      <c r="C616" s="17">
        <v>0.5</v>
      </c>
      <c r="D616" s="24">
        <v>38</v>
      </c>
      <c r="E616" s="24">
        <v>4</v>
      </c>
      <c r="F616" s="25">
        <v>84</v>
      </c>
      <c r="G616" s="1">
        <v>175</v>
      </c>
      <c r="H616" s="2">
        <v>84.8</v>
      </c>
      <c r="I616" s="2">
        <v>-15.2</v>
      </c>
      <c r="J616" s="2">
        <v>-17.399999999999999</v>
      </c>
      <c r="K616" s="2">
        <f>I616</f>
        <v>-15.2</v>
      </c>
      <c r="L616" s="8">
        <f>10^((K616-H616)/10)</f>
        <v>1E-10</v>
      </c>
      <c r="M616" s="26">
        <f>SUM(L616:L619)</f>
        <v>1.8554278447549753E-10</v>
      </c>
      <c r="N616" s="17">
        <f>10*LOG10(M616/E616)</f>
        <v>-103.33615921478552</v>
      </c>
      <c r="O616" s="9">
        <f>J616</f>
        <v>-17.399999999999999</v>
      </c>
      <c r="P616" s="8">
        <f>D616/B616*10^(O616/10)</f>
        <v>0.23049544209059783</v>
      </c>
      <c r="Q616" s="26">
        <f>SUM(P616:P619)</f>
        <v>1.0856126615649879</v>
      </c>
      <c r="R616" s="17">
        <f>10*LOG10(Q616)</f>
        <v>0.35674899883570577</v>
      </c>
      <c r="S616" s="18">
        <f>F616+N616-Kzt-H</f>
        <v>-19.336159214785525</v>
      </c>
      <c r="T616" s="17">
        <v>0.2</v>
      </c>
      <c r="U616" s="21">
        <f>T616*10^((S616-R616)/10)</f>
        <v>2.1465409316277005E-3</v>
      </c>
    </row>
    <row r="617" spans="1:21" x14ac:dyDescent="0.25">
      <c r="A617" s="24"/>
      <c r="B617" s="24"/>
      <c r="C617" s="17"/>
      <c r="D617" s="24"/>
      <c r="E617" s="24"/>
      <c r="F617" s="25"/>
      <c r="G617" s="1">
        <v>225</v>
      </c>
      <c r="H617" s="2">
        <v>90</v>
      </c>
      <c r="I617" s="2">
        <v>-14.5</v>
      </c>
      <c r="J617" s="2">
        <v>-14.9</v>
      </c>
      <c r="K617" s="2">
        <f t="shared" ref="K617:K649" si="83">I617</f>
        <v>-14.5</v>
      </c>
      <c r="L617" s="8">
        <f t="shared" ref="L617:L618" si="84">10^((K617-H617)/10)</f>
        <v>3.5481338923357562E-11</v>
      </c>
      <c r="M617" s="26"/>
      <c r="N617" s="17"/>
      <c r="O617" s="9">
        <f t="shared" ref="O617:O649" si="85">J617</f>
        <v>-14.9</v>
      </c>
      <c r="P617" s="8">
        <f>D616/B616*10^(O617/10)</f>
        <v>0.40988529877752894</v>
      </c>
      <c r="Q617" s="26"/>
      <c r="R617" s="17"/>
      <c r="S617" s="19"/>
      <c r="T617" s="17"/>
      <c r="U617" s="22"/>
    </row>
    <row r="618" spans="1:21" x14ac:dyDescent="0.25">
      <c r="A618" s="24"/>
      <c r="B618" s="24"/>
      <c r="C618" s="17"/>
      <c r="D618" s="24"/>
      <c r="E618" s="24"/>
      <c r="F618" s="25"/>
      <c r="G618" s="1">
        <v>275</v>
      </c>
      <c r="H618" s="2">
        <v>92.2</v>
      </c>
      <c r="I618" s="2">
        <v>-14.4</v>
      </c>
      <c r="J618" s="2">
        <v>-15.4</v>
      </c>
      <c r="K618" s="2">
        <f t="shared" si="83"/>
        <v>-14.4</v>
      </c>
      <c r="L618" s="8">
        <f t="shared" si="84"/>
        <v>2.1877616239495499E-11</v>
      </c>
      <c r="M618" s="26"/>
      <c r="N618" s="17"/>
      <c r="O618" s="9">
        <f t="shared" si="85"/>
        <v>-15.4</v>
      </c>
      <c r="P618" s="8">
        <f>D616/B616*10^(O618/10)</f>
        <v>0.36531065706270327</v>
      </c>
      <c r="Q618" s="26"/>
      <c r="R618" s="17"/>
      <c r="S618" s="19"/>
      <c r="T618" s="17"/>
      <c r="U618" s="22"/>
    </row>
    <row r="619" spans="1:21" x14ac:dyDescent="0.25">
      <c r="A619" s="24"/>
      <c r="B619" s="24"/>
      <c r="C619" s="17"/>
      <c r="D619" s="24"/>
      <c r="E619" s="24"/>
      <c r="F619" s="25"/>
      <c r="G619" s="1">
        <v>325</v>
      </c>
      <c r="H619" s="2">
        <v>93.3</v>
      </c>
      <c r="I619" s="2">
        <v>-12.2</v>
      </c>
      <c r="J619" s="2">
        <v>-22</v>
      </c>
      <c r="K619" s="2">
        <f t="shared" si="83"/>
        <v>-12.2</v>
      </c>
      <c r="L619" s="8">
        <f>10^((K619-H619)/10)</f>
        <v>2.8183829312644474E-11</v>
      </c>
      <c r="M619" s="26"/>
      <c r="N619" s="17"/>
      <c r="O619" s="9">
        <f t="shared" si="85"/>
        <v>-22</v>
      </c>
      <c r="P619" s="8">
        <f>D616/B616*10^(O619/10)</f>
        <v>7.9921263634157719E-2</v>
      </c>
      <c r="Q619" s="26"/>
      <c r="R619" s="17"/>
      <c r="S619" s="20"/>
      <c r="T619" s="17"/>
      <c r="U619" s="23"/>
    </row>
    <row r="620" spans="1:21" x14ac:dyDescent="0.25">
      <c r="A620" s="24">
        <v>500</v>
      </c>
      <c r="B620" s="24">
        <v>3</v>
      </c>
      <c r="C620" s="17">
        <v>0.5</v>
      </c>
      <c r="D620" s="24">
        <v>59</v>
      </c>
      <c r="E620" s="24">
        <v>6</v>
      </c>
      <c r="F620" s="25">
        <v>84</v>
      </c>
      <c r="G620" s="1">
        <v>375</v>
      </c>
      <c r="H620" s="2">
        <v>91.9</v>
      </c>
      <c r="I620" s="2">
        <v>-16.2</v>
      </c>
      <c r="J620" s="2">
        <v>-21.6</v>
      </c>
      <c r="K620" s="2">
        <f t="shared" si="83"/>
        <v>-16.2</v>
      </c>
      <c r="L620" s="8">
        <f t="shared" ref="L620:L621" si="86">10^((K620-H620)/10)</f>
        <v>1.5488166189124763E-11</v>
      </c>
      <c r="M620" s="26">
        <f>SUM(L620:L625)</f>
        <v>1.0729043352144765E-10</v>
      </c>
      <c r="N620" s="17">
        <f>10*LOG10(M620/E620)</f>
        <v>-107.47590250263593</v>
      </c>
      <c r="O620" s="9">
        <f t="shared" si="85"/>
        <v>-21.6</v>
      </c>
      <c r="P620" s="8">
        <f>D620/B620*10^(O620/10)</f>
        <v>0.13606009094739074</v>
      </c>
      <c r="Q620" s="26">
        <f>SUM(P620:P625)</f>
        <v>1.6032946546677136</v>
      </c>
      <c r="R620" s="17">
        <f>10*LOG10(Q620)</f>
        <v>2.0501334464772536</v>
      </c>
      <c r="S620" s="18">
        <f>F620+N620-Kzt-H</f>
        <v>-23.475902502635932</v>
      </c>
      <c r="T620" s="17">
        <v>0.5</v>
      </c>
      <c r="U620" s="21">
        <f>T620*10^((S620-R620)/10)</f>
        <v>1.4007686370930961E-3</v>
      </c>
    </row>
    <row r="621" spans="1:21" x14ac:dyDescent="0.25">
      <c r="A621" s="24"/>
      <c r="B621" s="24"/>
      <c r="C621" s="17"/>
      <c r="D621" s="24"/>
      <c r="E621" s="24"/>
      <c r="F621" s="25"/>
      <c r="G621" s="1">
        <v>425</v>
      </c>
      <c r="H621" s="2">
        <v>88.1</v>
      </c>
      <c r="I621" s="2">
        <v>-17.100000000000001</v>
      </c>
      <c r="J621" s="2">
        <v>-17.5</v>
      </c>
      <c r="K621" s="2">
        <f t="shared" si="83"/>
        <v>-17.100000000000001</v>
      </c>
      <c r="L621" s="8">
        <f t="shared" si="86"/>
        <v>3.0199517204020087E-11</v>
      </c>
      <c r="M621" s="26"/>
      <c r="N621" s="17"/>
      <c r="O621" s="9">
        <f t="shared" si="85"/>
        <v>-17.5</v>
      </c>
      <c r="P621" s="8">
        <f>D620/B620*10^(O621/10)</f>
        <v>0.34972828397432149</v>
      </c>
      <c r="Q621" s="26"/>
      <c r="R621" s="17"/>
      <c r="S621" s="19"/>
      <c r="T621" s="17"/>
      <c r="U621" s="22"/>
    </row>
    <row r="622" spans="1:21" x14ac:dyDescent="0.25">
      <c r="A622" s="24"/>
      <c r="B622" s="24"/>
      <c r="C622" s="17"/>
      <c r="D622" s="24"/>
      <c r="E622" s="24"/>
      <c r="F622" s="25"/>
      <c r="G622" s="1">
        <v>475</v>
      </c>
      <c r="H622" s="2">
        <v>90</v>
      </c>
      <c r="I622" s="2">
        <v>-15.6</v>
      </c>
      <c r="J622" s="2">
        <v>-18</v>
      </c>
      <c r="K622" s="2">
        <f t="shared" si="83"/>
        <v>-15.6</v>
      </c>
      <c r="L622" s="8">
        <f>10^((K622-H622)/10)</f>
        <v>2.7542287033381702E-11</v>
      </c>
      <c r="M622" s="26"/>
      <c r="N622" s="17"/>
      <c r="O622" s="9">
        <f t="shared" si="85"/>
        <v>-18</v>
      </c>
      <c r="P622" s="8">
        <f>D620/B620*10^(O622/10)</f>
        <v>0.31169566118401881</v>
      </c>
      <c r="Q622" s="26"/>
      <c r="R622" s="17"/>
      <c r="S622" s="19"/>
      <c r="T622" s="17"/>
      <c r="U622" s="22"/>
    </row>
    <row r="623" spans="1:21" x14ac:dyDescent="0.25">
      <c r="A623" s="24"/>
      <c r="B623" s="24"/>
      <c r="C623" s="17"/>
      <c r="D623" s="24"/>
      <c r="E623" s="24"/>
      <c r="F623" s="25"/>
      <c r="G623" s="1">
        <v>575</v>
      </c>
      <c r="H623" s="2">
        <v>97</v>
      </c>
      <c r="I623" s="2">
        <v>-15.4</v>
      </c>
      <c r="J623" s="2">
        <v>-19.100000000000001</v>
      </c>
      <c r="K623" s="2">
        <f t="shared" si="83"/>
        <v>-15.4</v>
      </c>
      <c r="L623" s="8">
        <f t="shared" ref="L623:L649" si="87">10^((K623-H623)/10)</f>
        <v>5.7543993733715538E-12</v>
      </c>
      <c r="M623" s="26"/>
      <c r="N623" s="17"/>
      <c r="O623" s="9">
        <f t="shared" si="85"/>
        <v>-19.100000000000001</v>
      </c>
      <c r="P623" s="8">
        <f>D620/B620*10^(O623/10)</f>
        <v>0.24195285825976826</v>
      </c>
      <c r="Q623" s="26"/>
      <c r="R623" s="17"/>
      <c r="S623" s="19"/>
      <c r="T623" s="17"/>
      <c r="U623" s="22"/>
    </row>
    <row r="624" spans="1:21" x14ac:dyDescent="0.25">
      <c r="A624" s="24"/>
      <c r="B624" s="24"/>
      <c r="C624" s="17"/>
      <c r="D624" s="24"/>
      <c r="E624" s="24"/>
      <c r="F624" s="25"/>
      <c r="G624" s="1">
        <v>625</v>
      </c>
      <c r="H624" s="2">
        <v>92</v>
      </c>
      <c r="I624" s="2">
        <v>-14.8</v>
      </c>
      <c r="J624" s="2">
        <v>-18.100000000000001</v>
      </c>
      <c r="K624" s="2">
        <f t="shared" si="83"/>
        <v>-14.8</v>
      </c>
      <c r="L624" s="8">
        <f t="shared" si="87"/>
        <v>2.0892961308540373E-11</v>
      </c>
      <c r="M624" s="26"/>
      <c r="N624" s="17"/>
      <c r="O624" s="9">
        <f t="shared" si="85"/>
        <v>-18.100000000000001</v>
      </c>
      <c r="P624" s="8">
        <f>D620/B620*10^(O624/10)</f>
        <v>0.30460060171945447</v>
      </c>
      <c r="Q624" s="26"/>
      <c r="R624" s="17"/>
      <c r="S624" s="19"/>
      <c r="T624" s="17"/>
      <c r="U624" s="22"/>
    </row>
    <row r="625" spans="1:21" x14ac:dyDescent="0.25">
      <c r="A625" s="24"/>
      <c r="B625" s="24"/>
      <c r="C625" s="17"/>
      <c r="D625" s="24"/>
      <c r="E625" s="24"/>
      <c r="F625" s="25"/>
      <c r="G625" s="1">
        <v>675</v>
      </c>
      <c r="H625" s="2">
        <v>94.5</v>
      </c>
      <c r="I625" s="2">
        <v>-16.8</v>
      </c>
      <c r="J625" s="2">
        <v>-18.8</v>
      </c>
      <c r="K625" s="2">
        <f t="shared" si="83"/>
        <v>-16.8</v>
      </c>
      <c r="L625" s="8">
        <f t="shared" si="87"/>
        <v>7.4131024130091739E-12</v>
      </c>
      <c r="M625" s="26"/>
      <c r="N625" s="17"/>
      <c r="O625" s="9">
        <f t="shared" si="85"/>
        <v>-18.8</v>
      </c>
      <c r="P625" s="8">
        <f>D620/B620*10^(O625/10)</f>
        <v>0.25925715858275988</v>
      </c>
      <c r="Q625" s="26"/>
      <c r="R625" s="17"/>
      <c r="S625" s="20"/>
      <c r="T625" s="17"/>
      <c r="U625" s="23"/>
    </row>
    <row r="626" spans="1:21" x14ac:dyDescent="0.25">
      <c r="A626" s="24">
        <v>1000</v>
      </c>
      <c r="B626" s="24">
        <v>3</v>
      </c>
      <c r="C626" s="17">
        <v>0.5</v>
      </c>
      <c r="D626" s="24">
        <v>117</v>
      </c>
      <c r="E626" s="24">
        <v>6</v>
      </c>
      <c r="F626" s="25">
        <v>76</v>
      </c>
      <c r="G626" s="1">
        <v>875</v>
      </c>
      <c r="H626" s="2">
        <v>91.1</v>
      </c>
      <c r="I626" s="2">
        <v>-15.4</v>
      </c>
      <c r="J626" s="2">
        <v>-21.2</v>
      </c>
      <c r="K626" s="2">
        <f t="shared" si="83"/>
        <v>-15.4</v>
      </c>
      <c r="L626" s="8">
        <f t="shared" si="87"/>
        <v>2.238721138568329E-11</v>
      </c>
      <c r="M626" s="26">
        <f>SUM(L626:L631)</f>
        <v>4.4107004427192741E-11</v>
      </c>
      <c r="N626" s="17">
        <f>10*LOG10(M626/E626)</f>
        <v>-111.3364368716242</v>
      </c>
      <c r="O626" s="9">
        <f t="shared" si="85"/>
        <v>-21.2</v>
      </c>
      <c r="P626" s="8">
        <f>D626/B626*10^(O626/10)</f>
        <v>0.29584525426138136</v>
      </c>
      <c r="Q626" s="26">
        <f>SUM(P626:P631)</f>
        <v>2.2584369439370362</v>
      </c>
      <c r="R626" s="17">
        <f>10*LOG10(Q626)</f>
        <v>3.5380796946792952</v>
      </c>
      <c r="S626" s="18">
        <f>F626+N626-Kzt-H</f>
        <v>-35.336436871624201</v>
      </c>
      <c r="T626" s="17">
        <v>0.8</v>
      </c>
      <c r="U626" s="21">
        <f>T626*10^((S626-R626)/10)</f>
        <v>1.0366647476397181E-4</v>
      </c>
    </row>
    <row r="627" spans="1:21" x14ac:dyDescent="0.25">
      <c r="A627" s="24"/>
      <c r="B627" s="24"/>
      <c r="C627" s="17"/>
      <c r="D627" s="24"/>
      <c r="E627" s="24"/>
      <c r="F627" s="25"/>
      <c r="G627" s="1">
        <v>975</v>
      </c>
      <c r="H627" s="2">
        <v>96.5</v>
      </c>
      <c r="I627" s="2">
        <v>-17.599999999999998</v>
      </c>
      <c r="J627" s="2">
        <v>-18.899999999999999</v>
      </c>
      <c r="K627" s="2">
        <f t="shared" si="83"/>
        <v>-17.599999999999998</v>
      </c>
      <c r="L627" s="8">
        <f t="shared" si="87"/>
        <v>3.890451449942802E-12</v>
      </c>
      <c r="M627" s="26"/>
      <c r="N627" s="17"/>
      <c r="O627" s="9">
        <f t="shared" si="85"/>
        <v>-18.899999999999999</v>
      </c>
      <c r="P627" s="8">
        <f>D626/B626*10^(O627/10)</f>
        <v>0.50241732516032189</v>
      </c>
      <c r="Q627" s="26"/>
      <c r="R627" s="17"/>
      <c r="S627" s="19"/>
      <c r="T627" s="17"/>
      <c r="U627" s="22"/>
    </row>
    <row r="628" spans="1:21" x14ac:dyDescent="0.25">
      <c r="A628" s="24"/>
      <c r="B628" s="24"/>
      <c r="C628" s="17"/>
      <c r="D628" s="24"/>
      <c r="E628" s="24"/>
      <c r="F628" s="25"/>
      <c r="G628" s="1">
        <v>1075</v>
      </c>
      <c r="H628" s="2">
        <v>94.6</v>
      </c>
      <c r="I628" s="2">
        <v>-15</v>
      </c>
      <c r="J628" s="2">
        <v>-19.3</v>
      </c>
      <c r="K628" s="2">
        <f t="shared" si="83"/>
        <v>-15</v>
      </c>
      <c r="L628" s="8">
        <f t="shared" si="87"/>
        <v>1.096478196143183E-11</v>
      </c>
      <c r="M628" s="26"/>
      <c r="N628" s="17"/>
      <c r="O628" s="9">
        <f t="shared" si="85"/>
        <v>-19.3</v>
      </c>
      <c r="P628" s="8">
        <f>D626/B626*10^(O628/10)</f>
        <v>0.45821004642641605</v>
      </c>
      <c r="Q628" s="26"/>
      <c r="R628" s="17"/>
      <c r="S628" s="19"/>
      <c r="T628" s="17"/>
      <c r="U628" s="22"/>
    </row>
    <row r="629" spans="1:21" x14ac:dyDescent="0.25">
      <c r="A629" s="24"/>
      <c r="B629" s="24"/>
      <c r="C629" s="17"/>
      <c r="D629" s="24"/>
      <c r="E629" s="24"/>
      <c r="F629" s="25"/>
      <c r="G629" s="1">
        <v>1175</v>
      </c>
      <c r="H629" s="2">
        <v>97.8</v>
      </c>
      <c r="I629" s="2">
        <v>-15.7</v>
      </c>
      <c r="J629" s="2">
        <v>-23</v>
      </c>
      <c r="K629" s="2">
        <f t="shared" si="83"/>
        <v>-15.7</v>
      </c>
      <c r="L629" s="8">
        <f t="shared" si="87"/>
        <v>4.4668359215096234E-12</v>
      </c>
      <c r="M629" s="26"/>
      <c r="N629" s="17"/>
      <c r="O629" s="9">
        <f t="shared" si="85"/>
        <v>-23</v>
      </c>
      <c r="P629" s="8">
        <f>D626/B626*10^(O629/10)</f>
        <v>0.19546302111463612</v>
      </c>
      <c r="Q629" s="26"/>
      <c r="R629" s="17"/>
      <c r="S629" s="19"/>
      <c r="T629" s="17"/>
      <c r="U629" s="22"/>
    </row>
    <row r="630" spans="1:21" x14ac:dyDescent="0.25">
      <c r="A630" s="24"/>
      <c r="B630" s="24"/>
      <c r="C630" s="17"/>
      <c r="D630" s="24"/>
      <c r="E630" s="24"/>
      <c r="F630" s="25"/>
      <c r="G630" s="1">
        <v>1275</v>
      </c>
      <c r="H630" s="2">
        <v>100.1</v>
      </c>
      <c r="I630" s="2">
        <v>-17.899999999999999</v>
      </c>
      <c r="J630" s="2">
        <v>-18.3</v>
      </c>
      <c r="K630" s="2">
        <f t="shared" si="83"/>
        <v>-17.899999999999999</v>
      </c>
      <c r="L630" s="8">
        <f t="shared" si="87"/>
        <v>1.5848931924611065E-12</v>
      </c>
      <c r="M630" s="26"/>
      <c r="N630" s="17"/>
      <c r="O630" s="9">
        <f t="shared" si="85"/>
        <v>-18.3</v>
      </c>
      <c r="P630" s="8">
        <f>D626/B626*10^(O630/10)</f>
        <v>0.5768522713856008</v>
      </c>
      <c r="Q630" s="26"/>
      <c r="R630" s="17"/>
      <c r="S630" s="19"/>
      <c r="T630" s="17"/>
      <c r="U630" s="22"/>
    </row>
    <row r="631" spans="1:21" x14ac:dyDescent="0.25">
      <c r="A631" s="24"/>
      <c r="B631" s="24"/>
      <c r="C631" s="17"/>
      <c r="D631" s="24"/>
      <c r="E631" s="24"/>
      <c r="F631" s="25"/>
      <c r="G631" s="1">
        <v>1375</v>
      </c>
      <c r="H631" s="2">
        <v>103</v>
      </c>
      <c r="I631" s="2">
        <v>-17.899999999999999</v>
      </c>
      <c r="J631" s="2">
        <v>-22.3</v>
      </c>
      <c r="K631" s="2">
        <f t="shared" si="83"/>
        <v>-17.899999999999999</v>
      </c>
      <c r="L631" s="8">
        <f t="shared" si="87"/>
        <v>8.1283051616409777E-13</v>
      </c>
      <c r="M631" s="26"/>
      <c r="N631" s="17"/>
      <c r="O631" s="9">
        <f t="shared" si="85"/>
        <v>-22.3</v>
      </c>
      <c r="P631" s="8">
        <f>D626/B626*10^(O631/10)</f>
        <v>0.22964902558867969</v>
      </c>
      <c r="Q631" s="26"/>
      <c r="R631" s="17"/>
      <c r="S631" s="20"/>
      <c r="T631" s="17"/>
      <c r="U631" s="23"/>
    </row>
    <row r="632" spans="1:21" x14ac:dyDescent="0.25">
      <c r="A632" s="24">
        <v>2000</v>
      </c>
      <c r="B632" s="24">
        <v>3</v>
      </c>
      <c r="C632" s="17">
        <v>0.5</v>
      </c>
      <c r="D632" s="24">
        <v>234</v>
      </c>
      <c r="E632" s="24">
        <v>6</v>
      </c>
      <c r="F632" s="25">
        <v>68</v>
      </c>
      <c r="G632" s="1">
        <v>1425</v>
      </c>
      <c r="H632" s="2">
        <v>102.8</v>
      </c>
      <c r="I632" s="2">
        <v>-14.8</v>
      </c>
      <c r="J632" s="2">
        <v>-20.3</v>
      </c>
      <c r="K632" s="2">
        <f t="shared" si="83"/>
        <v>-14.8</v>
      </c>
      <c r="L632" s="8">
        <f t="shared" si="87"/>
        <v>1.737800828749373E-12</v>
      </c>
      <c r="M632" s="26">
        <f>SUM(L632:L637)</f>
        <v>1.2722883819156401E-11</v>
      </c>
      <c r="N632" s="17">
        <f>10*LOG10(M632/E632)</f>
        <v>-116.73565689008694</v>
      </c>
      <c r="O632" s="9">
        <f t="shared" si="85"/>
        <v>-20.3</v>
      </c>
      <c r="P632" s="8">
        <f>D632/B632*10^(O632/10)</f>
        <v>0.72793835462165224</v>
      </c>
      <c r="Q632" s="26">
        <f>SUM(P632:P637)</f>
        <v>4.2503571649765144</v>
      </c>
      <c r="R632" s="17">
        <f>10*LOG10(Q632)</f>
        <v>6.2842542611171464</v>
      </c>
      <c r="S632" s="18">
        <f>F632+N632-Kzt-H</f>
        <v>-48.735656890086943</v>
      </c>
      <c r="T632" s="17">
        <v>1</v>
      </c>
      <c r="U632" s="21">
        <f>T632*10^((S632-R632)/10)</f>
        <v>3.1478127119972108E-6</v>
      </c>
    </row>
    <row r="633" spans="1:21" x14ac:dyDescent="0.25">
      <c r="A633" s="24"/>
      <c r="B633" s="24"/>
      <c r="C633" s="17"/>
      <c r="D633" s="24"/>
      <c r="E633" s="24"/>
      <c r="F633" s="25"/>
      <c r="G633" s="1">
        <v>1625</v>
      </c>
      <c r="H633" s="2">
        <v>104.1</v>
      </c>
      <c r="I633" s="2">
        <v>-14.1</v>
      </c>
      <c r="J633" s="2">
        <v>-24.1</v>
      </c>
      <c r="K633" s="2">
        <f t="shared" si="83"/>
        <v>-14.1</v>
      </c>
      <c r="L633" s="8">
        <f t="shared" si="87"/>
        <v>1.513561248436207E-12</v>
      </c>
      <c r="M633" s="26"/>
      <c r="N633" s="17"/>
      <c r="O633" s="9">
        <f t="shared" si="85"/>
        <v>-24.1</v>
      </c>
      <c r="P633" s="8">
        <f>D632/B632*10^(O633/10)</f>
        <v>0.30345521309553858</v>
      </c>
      <c r="Q633" s="26"/>
      <c r="R633" s="17"/>
      <c r="S633" s="19"/>
      <c r="T633" s="17"/>
      <c r="U633" s="22"/>
    </row>
    <row r="634" spans="1:21" x14ac:dyDescent="0.25">
      <c r="A634" s="24"/>
      <c r="B634" s="24"/>
      <c r="C634" s="17"/>
      <c r="D634" s="24"/>
      <c r="E634" s="24"/>
      <c r="F634" s="25"/>
      <c r="G634" s="1">
        <v>1825</v>
      </c>
      <c r="H634" s="2">
        <v>107.6</v>
      </c>
      <c r="I634" s="2">
        <v>-18</v>
      </c>
      <c r="J634" s="2">
        <v>-19.5</v>
      </c>
      <c r="K634" s="2">
        <f t="shared" si="83"/>
        <v>-18</v>
      </c>
      <c r="L634" s="8">
        <f t="shared" si="87"/>
        <v>2.754228703338164E-13</v>
      </c>
      <c r="M634" s="26"/>
      <c r="N634" s="17"/>
      <c r="O634" s="9">
        <f t="shared" si="85"/>
        <v>-19.5</v>
      </c>
      <c r="P634" s="8">
        <f>D632/B632*10^(O634/10)</f>
        <v>0.87517439435553146</v>
      </c>
      <c r="Q634" s="26"/>
      <c r="R634" s="17"/>
      <c r="S634" s="19"/>
      <c r="T634" s="17"/>
      <c r="U634" s="22"/>
    </row>
    <row r="635" spans="1:21" x14ac:dyDescent="0.25">
      <c r="A635" s="24"/>
      <c r="B635" s="24"/>
      <c r="C635" s="17"/>
      <c r="D635" s="24"/>
      <c r="E635" s="24"/>
      <c r="F635" s="25"/>
      <c r="G635" s="1">
        <v>2125</v>
      </c>
      <c r="H635" s="2">
        <v>104.2</v>
      </c>
      <c r="I635" s="2">
        <v>-18.2</v>
      </c>
      <c r="J635" s="2">
        <v>-23.7</v>
      </c>
      <c r="K635" s="2">
        <f t="shared" si="83"/>
        <v>-18.2</v>
      </c>
      <c r="L635" s="8">
        <f t="shared" si="87"/>
        <v>5.7543993733715476E-13</v>
      </c>
      <c r="M635" s="26"/>
      <c r="N635" s="17"/>
      <c r="O635" s="9">
        <f t="shared" si="85"/>
        <v>-23.7</v>
      </c>
      <c r="P635" s="8">
        <f>D632/B632*10^(O635/10)</f>
        <v>0.33273202466524215</v>
      </c>
      <c r="Q635" s="26"/>
      <c r="R635" s="17"/>
      <c r="S635" s="19"/>
      <c r="T635" s="17"/>
      <c r="U635" s="22"/>
    </row>
    <row r="636" spans="1:21" x14ac:dyDescent="0.25">
      <c r="A636" s="24"/>
      <c r="B636" s="24"/>
      <c r="C636" s="17"/>
      <c r="D636" s="24"/>
      <c r="E636" s="24"/>
      <c r="F636" s="25"/>
      <c r="G636" s="1">
        <v>2425</v>
      </c>
      <c r="H636" s="2">
        <v>93.7</v>
      </c>
      <c r="I636" s="2">
        <v>-18.399999999999999</v>
      </c>
      <c r="J636" s="2">
        <v>-21.2</v>
      </c>
      <c r="K636" s="2">
        <f t="shared" si="83"/>
        <v>-18.399999999999999</v>
      </c>
      <c r="L636" s="8">
        <f t="shared" si="87"/>
        <v>6.1659500186148244E-12</v>
      </c>
      <c r="M636" s="26"/>
      <c r="N636" s="17"/>
      <c r="O636" s="9">
        <f t="shared" si="85"/>
        <v>-21.2</v>
      </c>
      <c r="P636" s="8">
        <f>D632/B632*10^(O636/10)</f>
        <v>0.59169050852276273</v>
      </c>
      <c r="Q636" s="26"/>
      <c r="R636" s="17"/>
      <c r="S636" s="19"/>
      <c r="T636" s="17"/>
      <c r="U636" s="22"/>
    </row>
    <row r="637" spans="1:21" x14ac:dyDescent="0.25">
      <c r="A637" s="24"/>
      <c r="B637" s="24"/>
      <c r="C637" s="17"/>
      <c r="D637" s="24"/>
      <c r="E637" s="24"/>
      <c r="F637" s="25"/>
      <c r="G637" s="1">
        <v>2775</v>
      </c>
      <c r="H637" s="2">
        <v>100.2</v>
      </c>
      <c r="I637" s="2">
        <v>-15.899999999999999</v>
      </c>
      <c r="J637" s="2">
        <v>-17.399999999999999</v>
      </c>
      <c r="K637" s="2">
        <f t="shared" si="83"/>
        <v>-15.899999999999999</v>
      </c>
      <c r="L637" s="8">
        <f t="shared" si="87"/>
        <v>2.4547089156850233E-12</v>
      </c>
      <c r="M637" s="26"/>
      <c r="N637" s="17"/>
      <c r="O637" s="9">
        <f t="shared" si="85"/>
        <v>-17.399999999999999</v>
      </c>
      <c r="P637" s="8">
        <f>D632/B632*10^(O637/10)</f>
        <v>1.4193666697157867</v>
      </c>
      <c r="Q637" s="26"/>
      <c r="R637" s="17"/>
      <c r="S637" s="20"/>
      <c r="T637" s="17"/>
      <c r="U637" s="23"/>
    </row>
    <row r="638" spans="1:21" x14ac:dyDescent="0.25">
      <c r="A638" s="24">
        <v>4000</v>
      </c>
      <c r="B638" s="24">
        <v>3</v>
      </c>
      <c r="C638" s="17">
        <v>0.5</v>
      </c>
      <c r="D638" s="24">
        <v>470</v>
      </c>
      <c r="E638" s="24">
        <v>6</v>
      </c>
      <c r="F638" s="25">
        <v>62</v>
      </c>
      <c r="G638" s="1">
        <v>2825</v>
      </c>
      <c r="H638" s="2">
        <v>99.4</v>
      </c>
      <c r="I638" s="2">
        <v>-17.899999999999999</v>
      </c>
      <c r="J638" s="2">
        <v>-19.399999999999999</v>
      </c>
      <c r="K638" s="2">
        <f t="shared" si="83"/>
        <v>-17.899999999999999</v>
      </c>
      <c r="L638" s="8">
        <f t="shared" si="87"/>
        <v>1.8620871366628578E-12</v>
      </c>
      <c r="M638" s="26">
        <f>SUM(L638:L643)</f>
        <v>6.4313941305898686E-12</v>
      </c>
      <c r="N638" s="17">
        <f>10*LOG10(M638/E638)</f>
        <v>-119.69846125422954</v>
      </c>
      <c r="O638" s="9">
        <f t="shared" si="85"/>
        <v>-19.399999999999999</v>
      </c>
      <c r="P638" s="8">
        <f>D638/B638*10^(O638/10)</f>
        <v>1.7987740070117826</v>
      </c>
      <c r="Q638" s="26">
        <f>SUM(P638:P643)</f>
        <v>8.0686860041490753</v>
      </c>
      <c r="R638" s="17">
        <f>10*LOG10(Q638)</f>
        <v>9.0680281506764313</v>
      </c>
      <c r="S638" s="18">
        <f>F638+N638-Kzt-H</f>
        <v>-57.698461254229542</v>
      </c>
      <c r="T638" s="17">
        <v>0.9</v>
      </c>
      <c r="U638" s="21">
        <f>T638*10^((S638-R638)/10)</f>
        <v>1.8949317343055779E-7</v>
      </c>
    </row>
    <row r="639" spans="1:21" x14ac:dyDescent="0.25">
      <c r="A639" s="24"/>
      <c r="B639" s="24"/>
      <c r="C639" s="17"/>
      <c r="D639" s="24"/>
      <c r="E639" s="24"/>
      <c r="F639" s="25"/>
      <c r="G639" s="1">
        <v>3425</v>
      </c>
      <c r="H639" s="2">
        <v>103.5</v>
      </c>
      <c r="I639" s="2">
        <v>-16.5</v>
      </c>
      <c r="J639" s="2">
        <v>-19.399999999999999</v>
      </c>
      <c r="K639" s="2">
        <f t="shared" si="83"/>
        <v>-16.5</v>
      </c>
      <c r="L639" s="8">
        <f t="shared" si="87"/>
        <v>9.9999999999999998E-13</v>
      </c>
      <c r="M639" s="26"/>
      <c r="N639" s="17"/>
      <c r="O639" s="9">
        <f t="shared" si="85"/>
        <v>-19.399999999999999</v>
      </c>
      <c r="P639" s="8">
        <f>D638/B638*10^(O639/10)</f>
        <v>1.7987740070117826</v>
      </c>
      <c r="Q639" s="26"/>
      <c r="R639" s="17"/>
      <c r="S639" s="19"/>
      <c r="T639" s="17"/>
      <c r="U639" s="22"/>
    </row>
    <row r="640" spans="1:21" x14ac:dyDescent="0.25">
      <c r="A640" s="24"/>
      <c r="B640" s="24"/>
      <c r="C640" s="17"/>
      <c r="D640" s="24"/>
      <c r="E640" s="24"/>
      <c r="F640" s="25"/>
      <c r="G640" s="1">
        <v>4025</v>
      </c>
      <c r="H640" s="2">
        <v>103.6</v>
      </c>
      <c r="I640" s="2">
        <v>-16.2</v>
      </c>
      <c r="J640" s="2">
        <v>-20.7</v>
      </c>
      <c r="K640" s="2">
        <f t="shared" si="83"/>
        <v>-16.2</v>
      </c>
      <c r="L640" s="8">
        <f t="shared" si="87"/>
        <v>1.0471285480508967E-12</v>
      </c>
      <c r="M640" s="26"/>
      <c r="N640" s="17"/>
      <c r="O640" s="9">
        <f t="shared" si="85"/>
        <v>-20.7</v>
      </c>
      <c r="P640" s="8">
        <f>D638/B638*10^(O640/10)</f>
        <v>1.3334495931837236</v>
      </c>
      <c r="Q640" s="26"/>
      <c r="R640" s="17"/>
      <c r="S640" s="19"/>
      <c r="T640" s="17"/>
      <c r="U640" s="22"/>
    </row>
    <row r="641" spans="1:21" x14ac:dyDescent="0.25">
      <c r="A641" s="24"/>
      <c r="B641" s="24"/>
      <c r="C641" s="17"/>
      <c r="D641" s="24"/>
      <c r="E641" s="24"/>
      <c r="F641" s="25"/>
      <c r="G641" s="1">
        <v>4625</v>
      </c>
      <c r="H641" s="2">
        <v>105.6</v>
      </c>
      <c r="I641" s="2">
        <v>-16.2</v>
      </c>
      <c r="J641" s="2">
        <v>-23.9</v>
      </c>
      <c r="K641" s="2">
        <f t="shared" si="83"/>
        <v>-16.2</v>
      </c>
      <c r="L641" s="8">
        <f t="shared" si="87"/>
        <v>6.606934480075954E-13</v>
      </c>
      <c r="M641" s="26"/>
      <c r="N641" s="17"/>
      <c r="O641" s="9">
        <f t="shared" si="85"/>
        <v>-23.9</v>
      </c>
      <c r="P641" s="8">
        <f>D638/B638*10^(O641/10)</f>
        <v>0.63822910189311033</v>
      </c>
      <c r="Q641" s="26"/>
      <c r="R641" s="17"/>
      <c r="S641" s="19"/>
      <c r="T641" s="17"/>
      <c r="U641" s="22"/>
    </row>
    <row r="642" spans="1:21" x14ac:dyDescent="0.25">
      <c r="A642" s="24"/>
      <c r="B642" s="24"/>
      <c r="C642" s="17"/>
      <c r="D642" s="24"/>
      <c r="E642" s="24"/>
      <c r="F642" s="25"/>
      <c r="G642" s="1">
        <v>5225</v>
      </c>
      <c r="H642" s="2">
        <v>103.5</v>
      </c>
      <c r="I642" s="2">
        <v>-18.7</v>
      </c>
      <c r="J642" s="2">
        <v>-20.6</v>
      </c>
      <c r="K642" s="2">
        <f t="shared" si="83"/>
        <v>-18.7</v>
      </c>
      <c r="L642" s="8">
        <f t="shared" si="87"/>
        <v>6.025595860743553E-13</v>
      </c>
      <c r="M642" s="26"/>
      <c r="N642" s="17"/>
      <c r="O642" s="9">
        <f t="shared" si="85"/>
        <v>-20.6</v>
      </c>
      <c r="P642" s="8">
        <f>D638/B638*10^(O642/10)</f>
        <v>1.3645096242645254</v>
      </c>
      <c r="Q642" s="26"/>
      <c r="R642" s="17"/>
      <c r="S642" s="19"/>
      <c r="T642" s="17"/>
      <c r="U642" s="22"/>
    </row>
    <row r="643" spans="1:21" x14ac:dyDescent="0.25">
      <c r="A643" s="24"/>
      <c r="B643" s="24"/>
      <c r="C643" s="17"/>
      <c r="D643" s="24"/>
      <c r="E643" s="24"/>
      <c r="F643" s="25"/>
      <c r="G643" s="1">
        <v>5625</v>
      </c>
      <c r="H643" s="2">
        <v>99.5</v>
      </c>
      <c r="I643" s="2">
        <v>-19.5</v>
      </c>
      <c r="J643" s="2">
        <v>-21.4</v>
      </c>
      <c r="K643" s="2">
        <f t="shared" si="83"/>
        <v>-19.5</v>
      </c>
      <c r="L643" s="8">
        <f t="shared" si="87"/>
        <v>1.2589254117941629E-12</v>
      </c>
      <c r="M643" s="26"/>
      <c r="N643" s="17"/>
      <c r="O643" s="9">
        <f t="shared" si="85"/>
        <v>-21.4</v>
      </c>
      <c r="P643" s="8">
        <f>D638/B638*10^(O643/10)</f>
        <v>1.1349496707841509</v>
      </c>
      <c r="Q643" s="26"/>
      <c r="R643" s="17"/>
      <c r="S643" s="20"/>
      <c r="T643" s="17"/>
      <c r="U643" s="23"/>
    </row>
    <row r="644" spans="1:21" x14ac:dyDescent="0.25">
      <c r="A644" s="24">
        <v>8000</v>
      </c>
      <c r="B644" s="24">
        <v>3</v>
      </c>
      <c r="C644" s="17">
        <v>0.5</v>
      </c>
      <c r="D644" s="24">
        <v>943</v>
      </c>
      <c r="E644" s="24">
        <v>6</v>
      </c>
      <c r="F644" s="25">
        <v>54</v>
      </c>
      <c r="G644" s="1">
        <v>6025</v>
      </c>
      <c r="H644" s="2">
        <v>95</v>
      </c>
      <c r="I644" s="2">
        <v>-16.3</v>
      </c>
      <c r="J644" s="2">
        <v>-24</v>
      </c>
      <c r="K644" s="2">
        <f t="shared" si="83"/>
        <v>-16.3</v>
      </c>
      <c r="L644" s="8">
        <f t="shared" si="87"/>
        <v>7.4131024130091739E-12</v>
      </c>
      <c r="M644" s="26">
        <f>SUM(L644:L649)</f>
        <v>1.0032785742939876E-10</v>
      </c>
      <c r="N644" s="17">
        <f>10*LOG10(M644/E644)</f>
        <v>-107.76729712696449</v>
      </c>
      <c r="O644" s="9">
        <f t="shared" si="85"/>
        <v>-24</v>
      </c>
      <c r="P644" s="8">
        <f>D644/B644*10^(O644/10)</f>
        <v>1.2513835394398261</v>
      </c>
      <c r="Q644" s="26">
        <f>SUM(P644:P649)</f>
        <v>15.079982955818107</v>
      </c>
      <c r="R644" s="17">
        <f>10*LOG10(Q644)</f>
        <v>11.784008506717971</v>
      </c>
      <c r="S644" s="18">
        <f>F644+N644-Kzt-H</f>
        <v>-53.767297126964493</v>
      </c>
      <c r="T644" s="17">
        <v>0.7</v>
      </c>
      <c r="U644" s="21">
        <f>T644*10^((S644-R644)/10)</f>
        <v>1.9496985856723916E-7</v>
      </c>
    </row>
    <row r="645" spans="1:21" x14ac:dyDescent="0.25">
      <c r="A645" s="24"/>
      <c r="B645" s="24"/>
      <c r="C645" s="17"/>
      <c r="D645" s="24"/>
      <c r="E645" s="24"/>
      <c r="F645" s="25"/>
      <c r="G645" s="1">
        <v>7025</v>
      </c>
      <c r="H645" s="2">
        <v>94.8</v>
      </c>
      <c r="I645" s="2">
        <v>-16.8</v>
      </c>
      <c r="J645" s="2">
        <v>-21.2</v>
      </c>
      <c r="K645" s="2">
        <f t="shared" si="83"/>
        <v>-16.8</v>
      </c>
      <c r="L645" s="8">
        <f t="shared" si="87"/>
        <v>6.9183097091893405E-12</v>
      </c>
      <c r="M645" s="26"/>
      <c r="N645" s="17"/>
      <c r="O645" s="9">
        <f t="shared" si="85"/>
        <v>-21.2</v>
      </c>
      <c r="P645" s="8">
        <f>D644/B644*10^(O645/10)</f>
        <v>2.3844621775083983</v>
      </c>
      <c r="Q645" s="26"/>
      <c r="R645" s="17"/>
      <c r="S645" s="19"/>
      <c r="T645" s="17"/>
      <c r="U645" s="22"/>
    </row>
    <row r="646" spans="1:21" x14ac:dyDescent="0.25">
      <c r="A646" s="24"/>
      <c r="B646" s="24"/>
      <c r="C646" s="17"/>
      <c r="D646" s="24"/>
      <c r="E646" s="24"/>
      <c r="F646" s="25"/>
      <c r="G646" s="1">
        <v>8025</v>
      </c>
      <c r="H646" s="2">
        <v>101.9</v>
      </c>
      <c r="I646" s="2">
        <v>-16.7</v>
      </c>
      <c r="J646" s="2">
        <v>-20.8</v>
      </c>
      <c r="K646" s="2">
        <f t="shared" si="83"/>
        <v>-16.7</v>
      </c>
      <c r="L646" s="8">
        <f t="shared" si="87"/>
        <v>1.3803842646028794E-12</v>
      </c>
      <c r="M646" s="26"/>
      <c r="N646" s="17"/>
      <c r="O646" s="9">
        <f t="shared" si="85"/>
        <v>-20.8</v>
      </c>
      <c r="P646" s="8">
        <f>D644/B644*10^(O646/10)</f>
        <v>2.6145107871660609</v>
      </c>
      <c r="Q646" s="26"/>
      <c r="R646" s="17"/>
      <c r="S646" s="19"/>
      <c r="T646" s="17"/>
      <c r="U646" s="22"/>
    </row>
    <row r="647" spans="1:21" x14ac:dyDescent="0.25">
      <c r="A647" s="24"/>
      <c r="B647" s="24"/>
      <c r="C647" s="17"/>
      <c r="D647" s="24"/>
      <c r="E647" s="24"/>
      <c r="F647" s="25"/>
      <c r="G647" s="1">
        <v>9025</v>
      </c>
      <c r="H647" s="2">
        <v>93.2</v>
      </c>
      <c r="I647" s="2">
        <v>-15.6</v>
      </c>
      <c r="J647" s="2">
        <v>-20.100000000000001</v>
      </c>
      <c r="K647" s="2">
        <f t="shared" si="83"/>
        <v>-15.6</v>
      </c>
      <c r="L647" s="8">
        <f t="shared" si="87"/>
        <v>1.3182567385564083E-11</v>
      </c>
      <c r="M647" s="26"/>
      <c r="N647" s="17"/>
      <c r="O647" s="9">
        <f t="shared" si="85"/>
        <v>-20.100000000000001</v>
      </c>
      <c r="P647" s="8">
        <f>D644/B644*10^(O647/10)</f>
        <v>3.0717823312044277</v>
      </c>
      <c r="Q647" s="26"/>
      <c r="R647" s="17"/>
      <c r="S647" s="19"/>
      <c r="T647" s="17"/>
      <c r="U647" s="22"/>
    </row>
    <row r="648" spans="1:21" x14ac:dyDescent="0.25">
      <c r="A648" s="24"/>
      <c r="B648" s="24"/>
      <c r="C648" s="17"/>
      <c r="D648" s="24"/>
      <c r="E648" s="24"/>
      <c r="F648" s="25"/>
      <c r="G648" s="1">
        <v>10025</v>
      </c>
      <c r="H648" s="2">
        <v>88.3</v>
      </c>
      <c r="I648" s="2">
        <v>-15.7</v>
      </c>
      <c r="J648" s="2">
        <v>-20.8</v>
      </c>
      <c r="K648" s="2">
        <f t="shared" si="83"/>
        <v>-15.7</v>
      </c>
      <c r="L648" s="8">
        <f t="shared" si="87"/>
        <v>3.9810717055349579E-11</v>
      </c>
      <c r="M648" s="26"/>
      <c r="N648" s="17"/>
      <c r="O648" s="9">
        <f t="shared" si="85"/>
        <v>-20.8</v>
      </c>
      <c r="P648" s="8">
        <f>D644/B644*10^(O648/10)</f>
        <v>2.6145107871660609</v>
      </c>
      <c r="Q648" s="26"/>
      <c r="R648" s="17"/>
      <c r="S648" s="19"/>
      <c r="T648" s="17"/>
      <c r="U648" s="22"/>
    </row>
    <row r="649" spans="1:21" x14ac:dyDescent="0.25">
      <c r="A649" s="24"/>
      <c r="B649" s="24"/>
      <c r="C649" s="17"/>
      <c r="D649" s="24"/>
      <c r="E649" s="24"/>
      <c r="F649" s="25"/>
      <c r="G649" s="1">
        <v>11025</v>
      </c>
      <c r="H649" s="2">
        <v>86</v>
      </c>
      <c r="I649" s="2">
        <v>-19</v>
      </c>
      <c r="J649" s="2">
        <v>-20</v>
      </c>
      <c r="K649" s="2">
        <f t="shared" si="83"/>
        <v>-19</v>
      </c>
      <c r="L649" s="8">
        <f t="shared" si="87"/>
        <v>3.162277660168371E-11</v>
      </c>
      <c r="M649" s="26"/>
      <c r="N649" s="17"/>
      <c r="O649" s="9">
        <f t="shared" si="85"/>
        <v>-20</v>
      </c>
      <c r="P649" s="8">
        <f>D644/B644*10^(O649/10)</f>
        <v>3.1433333333333331</v>
      </c>
      <c r="Q649" s="26"/>
      <c r="R649" s="17"/>
      <c r="S649" s="20"/>
      <c r="T649" s="17"/>
      <c r="U649" s="23"/>
    </row>
    <row r="650" spans="1:21" x14ac:dyDescent="0.25">
      <c r="A650" s="24" t="s">
        <v>20</v>
      </c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12">
        <f>U650</f>
        <v>4.8362023575388248E-2</v>
      </c>
      <c r="T650" s="2"/>
      <c r="U650" s="8">
        <f>0.8*SQRT(SUM(U616:U649))</f>
        <v>4.8362023575388248E-2</v>
      </c>
    </row>
    <row r="651" spans="1:21" x14ac:dyDescent="0.25">
      <c r="A651" s="27" t="s">
        <v>110</v>
      </c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9"/>
    </row>
    <row r="652" spans="1:21" x14ac:dyDescent="0.25">
      <c r="A652" s="24">
        <v>250</v>
      </c>
      <c r="B652" s="24">
        <v>3</v>
      </c>
      <c r="C652" s="17">
        <v>0.5</v>
      </c>
      <c r="D652" s="24">
        <v>38</v>
      </c>
      <c r="E652" s="24">
        <v>4</v>
      </c>
      <c r="F652" s="25">
        <v>84</v>
      </c>
      <c r="G652" s="1">
        <v>175</v>
      </c>
      <c r="H652" s="2">
        <v>84.8</v>
      </c>
      <c r="I652" s="2">
        <v>-21.4</v>
      </c>
      <c r="J652" s="2">
        <v>-26.9</v>
      </c>
      <c r="K652" s="2">
        <f>I652</f>
        <v>-21.4</v>
      </c>
      <c r="L652" s="8">
        <f>10^((K652-H652)/10)</f>
        <v>2.3988329190194867E-11</v>
      </c>
      <c r="M652" s="26">
        <f>SUM(L652:L655)</f>
        <v>4.4278389501261611E-11</v>
      </c>
      <c r="N652" s="17">
        <f>10*LOG10(M652/E652)</f>
        <v>-109.55868175043476</v>
      </c>
      <c r="O652" s="9">
        <f>J652</f>
        <v>-26.9</v>
      </c>
      <c r="P652" s="8">
        <f>D652/B652*10^(O652/10)</f>
        <v>2.5862013965814036E-2</v>
      </c>
      <c r="Q652" s="26">
        <f>SUM(P652:P655)</f>
        <v>0.14921160344060821</v>
      </c>
      <c r="R652" s="17">
        <f>10*LOG10(Q652)</f>
        <v>-8.2619740263894528</v>
      </c>
      <c r="S652" s="18">
        <f>F652+N652-Kzt-H</f>
        <v>-25.558681750434758</v>
      </c>
      <c r="T652" s="17">
        <v>0.2</v>
      </c>
      <c r="U652" s="21">
        <f>T652*10^((S652-R652)/10)</f>
        <v>3.7269985454444136E-3</v>
      </c>
    </row>
    <row r="653" spans="1:21" x14ac:dyDescent="0.25">
      <c r="A653" s="24"/>
      <c r="B653" s="24"/>
      <c r="C653" s="17"/>
      <c r="D653" s="24"/>
      <c r="E653" s="24"/>
      <c r="F653" s="25"/>
      <c r="G653" s="1">
        <v>225</v>
      </c>
      <c r="H653" s="2">
        <v>90</v>
      </c>
      <c r="I653" s="2">
        <v>-19.899999999999999</v>
      </c>
      <c r="J653" s="2">
        <v>-22.4</v>
      </c>
      <c r="K653" s="2">
        <f t="shared" ref="K653:K685" si="88">I653</f>
        <v>-19.899999999999999</v>
      </c>
      <c r="L653" s="8">
        <f t="shared" ref="L653:L654" si="89">10^((K653-H653)/10)</f>
        <v>1.0232929922807526E-11</v>
      </c>
      <c r="M653" s="26"/>
      <c r="N653" s="17"/>
      <c r="O653" s="9">
        <f t="shared" ref="O653:O685" si="90">J653</f>
        <v>-22.4</v>
      </c>
      <c r="P653" s="8">
        <f>D652/B652*10^(O653/10)</f>
        <v>7.2889058729373221E-2</v>
      </c>
      <c r="Q653" s="26"/>
      <c r="R653" s="17"/>
      <c r="S653" s="19"/>
      <c r="T653" s="17"/>
      <c r="U653" s="22"/>
    </row>
    <row r="654" spans="1:21" x14ac:dyDescent="0.25">
      <c r="A654" s="24"/>
      <c r="B654" s="24"/>
      <c r="C654" s="17"/>
      <c r="D654" s="24"/>
      <c r="E654" s="24"/>
      <c r="F654" s="25"/>
      <c r="G654" s="1">
        <v>275</v>
      </c>
      <c r="H654" s="2">
        <v>92.2</v>
      </c>
      <c r="I654" s="2">
        <v>-20.100000000000001</v>
      </c>
      <c r="J654" s="2">
        <v>-28</v>
      </c>
      <c r="K654" s="2">
        <f t="shared" si="88"/>
        <v>-20.100000000000001</v>
      </c>
      <c r="L654" s="8">
        <f t="shared" si="89"/>
        <v>5.8884365535558725E-12</v>
      </c>
      <c r="M654" s="26"/>
      <c r="N654" s="17"/>
      <c r="O654" s="9">
        <f t="shared" si="90"/>
        <v>-28</v>
      </c>
      <c r="P654" s="8">
        <f>D652/B652*10^(O654/10)</f>
        <v>2.0075313771174101E-2</v>
      </c>
      <c r="Q654" s="26"/>
      <c r="R654" s="17"/>
      <c r="S654" s="19"/>
      <c r="T654" s="17"/>
      <c r="U654" s="22"/>
    </row>
    <row r="655" spans="1:21" x14ac:dyDescent="0.25">
      <c r="A655" s="24"/>
      <c r="B655" s="24"/>
      <c r="C655" s="17"/>
      <c r="D655" s="24"/>
      <c r="E655" s="24"/>
      <c r="F655" s="25"/>
      <c r="G655" s="1">
        <v>325</v>
      </c>
      <c r="H655" s="2">
        <v>93.3</v>
      </c>
      <c r="I655" s="2">
        <v>-20.5</v>
      </c>
      <c r="J655" s="2">
        <v>-26.2</v>
      </c>
      <c r="K655" s="2">
        <f t="shared" si="88"/>
        <v>-20.5</v>
      </c>
      <c r="L655" s="8">
        <f>10^((K655-H655)/10)</f>
        <v>4.1686938347033479E-12</v>
      </c>
      <c r="M655" s="26"/>
      <c r="N655" s="17"/>
      <c r="O655" s="9">
        <f t="shared" si="90"/>
        <v>-26.2</v>
      </c>
      <c r="P655" s="8">
        <f>D652/B652*10^(O655/10)</f>
        <v>3.0385216974246853E-2</v>
      </c>
      <c r="Q655" s="26"/>
      <c r="R655" s="17"/>
      <c r="S655" s="20"/>
      <c r="T655" s="17"/>
      <c r="U655" s="23"/>
    </row>
    <row r="656" spans="1:21" x14ac:dyDescent="0.25">
      <c r="A656" s="24">
        <v>500</v>
      </c>
      <c r="B656" s="24">
        <v>3</v>
      </c>
      <c r="C656" s="17">
        <v>0.5</v>
      </c>
      <c r="D656" s="24">
        <v>59</v>
      </c>
      <c r="E656" s="24">
        <v>6</v>
      </c>
      <c r="F656" s="25">
        <v>84</v>
      </c>
      <c r="G656" s="1">
        <v>375</v>
      </c>
      <c r="H656" s="2">
        <v>91.9</v>
      </c>
      <c r="I656" s="2">
        <v>-23.4</v>
      </c>
      <c r="J656" s="2">
        <v>-29.8</v>
      </c>
      <c r="K656" s="2">
        <f t="shared" si="88"/>
        <v>-23.4</v>
      </c>
      <c r="L656" s="8">
        <f t="shared" ref="L656:L657" si="91">10^((K656-H656)/10)</f>
        <v>2.9512092266663754E-12</v>
      </c>
      <c r="M656" s="26">
        <f>SUM(L656:L661)</f>
        <v>3.004215093950763E-11</v>
      </c>
      <c r="N656" s="17">
        <f>10*LOG10(M656/E656)</f>
        <v>-113.00420226588223</v>
      </c>
      <c r="O656" s="9">
        <f t="shared" si="90"/>
        <v>-29.8</v>
      </c>
      <c r="P656" s="8">
        <f>D656/B656*10^(O656/10)</f>
        <v>2.0593528111667678E-2</v>
      </c>
      <c r="Q656" s="26">
        <f>SUM(P656:P661)</f>
        <v>0.23626382796115603</v>
      </c>
      <c r="R656" s="17">
        <f>10*LOG10(Q656)</f>
        <v>-6.2660276384946565</v>
      </c>
      <c r="S656" s="18">
        <f>F656+N656-Kzt-H</f>
        <v>-29.004202265882228</v>
      </c>
      <c r="T656" s="17">
        <v>0.5</v>
      </c>
      <c r="U656" s="21">
        <f>T656*10^((S656-R656)/10)</f>
        <v>2.66165977703531E-3</v>
      </c>
    </row>
    <row r="657" spans="1:21" x14ac:dyDescent="0.25">
      <c r="A657" s="24"/>
      <c r="B657" s="24"/>
      <c r="C657" s="17"/>
      <c r="D657" s="24"/>
      <c r="E657" s="24"/>
      <c r="F657" s="25"/>
      <c r="G657" s="1">
        <v>425</v>
      </c>
      <c r="H657" s="2">
        <v>88.1</v>
      </c>
      <c r="I657" s="2">
        <v>-24</v>
      </c>
      <c r="J657" s="2">
        <v>-27.8</v>
      </c>
      <c r="K657" s="2">
        <f t="shared" si="88"/>
        <v>-24</v>
      </c>
      <c r="L657" s="8">
        <f t="shared" si="91"/>
        <v>6.1659500186148244E-12</v>
      </c>
      <c r="M657" s="26"/>
      <c r="N657" s="17"/>
      <c r="O657" s="9">
        <f t="shared" si="90"/>
        <v>-27.8</v>
      </c>
      <c r="P657" s="8">
        <f>D656/B656*10^(O657/10)</f>
        <v>3.2638542512938663E-2</v>
      </c>
      <c r="Q657" s="26"/>
      <c r="R657" s="17"/>
      <c r="S657" s="19"/>
      <c r="T657" s="17"/>
      <c r="U657" s="22"/>
    </row>
    <row r="658" spans="1:21" x14ac:dyDescent="0.25">
      <c r="A658" s="24"/>
      <c r="B658" s="24"/>
      <c r="C658" s="17"/>
      <c r="D658" s="24"/>
      <c r="E658" s="24"/>
      <c r="F658" s="25"/>
      <c r="G658" s="1">
        <v>475</v>
      </c>
      <c r="H658" s="2">
        <v>90</v>
      </c>
      <c r="I658" s="2">
        <v>-18.8</v>
      </c>
      <c r="J658" s="2">
        <v>-29.8</v>
      </c>
      <c r="K658" s="2">
        <f t="shared" si="88"/>
        <v>-18.8</v>
      </c>
      <c r="L658" s="8">
        <f>10^((K658-H658)/10)</f>
        <v>1.3182567385564083E-11</v>
      </c>
      <c r="M658" s="26"/>
      <c r="N658" s="17"/>
      <c r="O658" s="9">
        <f t="shared" si="90"/>
        <v>-29.8</v>
      </c>
      <c r="P658" s="8">
        <f>D656/B656*10^(O658/10)</f>
        <v>2.0593528111667678E-2</v>
      </c>
      <c r="Q658" s="26"/>
      <c r="R658" s="17"/>
      <c r="S658" s="19"/>
      <c r="T658" s="17"/>
      <c r="U658" s="22"/>
    </row>
    <row r="659" spans="1:21" x14ac:dyDescent="0.25">
      <c r="A659" s="24"/>
      <c r="B659" s="24"/>
      <c r="C659" s="17"/>
      <c r="D659" s="24"/>
      <c r="E659" s="24"/>
      <c r="F659" s="25"/>
      <c r="G659" s="1">
        <v>575</v>
      </c>
      <c r="H659" s="2">
        <v>97</v>
      </c>
      <c r="I659" s="2">
        <v>-22.3</v>
      </c>
      <c r="J659" s="2">
        <v>-22.3</v>
      </c>
      <c r="K659" s="2">
        <f t="shared" si="88"/>
        <v>-22.3</v>
      </c>
      <c r="L659" s="8">
        <f t="shared" ref="L659:L685" si="92">10^((K659-H659)/10)</f>
        <v>1.1748975549395258E-12</v>
      </c>
      <c r="M659" s="26"/>
      <c r="N659" s="17"/>
      <c r="O659" s="9">
        <f t="shared" si="90"/>
        <v>-22.3</v>
      </c>
      <c r="P659" s="8">
        <f>D656/B656*10^(O659/10)</f>
        <v>0.11580591888659918</v>
      </c>
      <c r="Q659" s="26"/>
      <c r="R659" s="17"/>
      <c r="S659" s="19"/>
      <c r="T659" s="17"/>
      <c r="U659" s="22"/>
    </row>
    <row r="660" spans="1:21" x14ac:dyDescent="0.25">
      <c r="A660" s="24"/>
      <c r="B660" s="24"/>
      <c r="C660" s="17"/>
      <c r="D660" s="24"/>
      <c r="E660" s="24"/>
      <c r="F660" s="25"/>
      <c r="G660" s="1">
        <v>625</v>
      </c>
      <c r="H660" s="2">
        <v>92</v>
      </c>
      <c r="I660" s="2">
        <v>-21.8</v>
      </c>
      <c r="J660" s="2">
        <v>-35.5</v>
      </c>
      <c r="K660" s="2">
        <f t="shared" si="88"/>
        <v>-21.8</v>
      </c>
      <c r="L660" s="8">
        <f t="shared" si="92"/>
        <v>4.1686938347033479E-12</v>
      </c>
      <c r="M660" s="26"/>
      <c r="N660" s="17"/>
      <c r="O660" s="9">
        <f t="shared" si="90"/>
        <v>-35.5</v>
      </c>
      <c r="P660" s="8">
        <f>D656/B656*10^(O660/10)</f>
        <v>5.5428197648200945E-3</v>
      </c>
      <c r="Q660" s="26"/>
      <c r="R660" s="17"/>
      <c r="S660" s="19"/>
      <c r="T660" s="17"/>
      <c r="U660" s="22"/>
    </row>
    <row r="661" spans="1:21" x14ac:dyDescent="0.25">
      <c r="A661" s="24"/>
      <c r="B661" s="24"/>
      <c r="C661" s="17"/>
      <c r="D661" s="24"/>
      <c r="E661" s="24"/>
      <c r="F661" s="25"/>
      <c r="G661" s="1">
        <v>675</v>
      </c>
      <c r="H661" s="2">
        <v>94.5</v>
      </c>
      <c r="I661" s="2">
        <v>-21.7</v>
      </c>
      <c r="J661" s="2">
        <v>-26.8</v>
      </c>
      <c r="K661" s="2">
        <f t="shared" si="88"/>
        <v>-21.7</v>
      </c>
      <c r="L661" s="8">
        <f t="shared" si="92"/>
        <v>2.3988329190194755E-12</v>
      </c>
      <c r="M661" s="26"/>
      <c r="N661" s="17"/>
      <c r="O661" s="9">
        <f t="shared" si="90"/>
        <v>-26.8</v>
      </c>
      <c r="P661" s="8">
        <f>D656/B656*10^(O661/10)</f>
        <v>4.1089490573462735E-2</v>
      </c>
      <c r="Q661" s="26"/>
      <c r="R661" s="17"/>
      <c r="S661" s="20"/>
      <c r="T661" s="17"/>
      <c r="U661" s="23"/>
    </row>
    <row r="662" spans="1:21" x14ac:dyDescent="0.25">
      <c r="A662" s="24">
        <v>1000</v>
      </c>
      <c r="B662" s="24">
        <v>3</v>
      </c>
      <c r="C662" s="17">
        <v>0.5</v>
      </c>
      <c r="D662" s="24">
        <v>117</v>
      </c>
      <c r="E662" s="24">
        <v>6</v>
      </c>
      <c r="F662" s="25">
        <v>76</v>
      </c>
      <c r="G662" s="1">
        <v>875</v>
      </c>
      <c r="H662" s="2">
        <v>91.1</v>
      </c>
      <c r="I662" s="2">
        <v>-21.8</v>
      </c>
      <c r="J662" s="2">
        <v>-23.8</v>
      </c>
      <c r="K662" s="2">
        <f t="shared" si="88"/>
        <v>-21.8</v>
      </c>
      <c r="L662" s="8">
        <f t="shared" si="92"/>
        <v>5.128613839913655E-12</v>
      </c>
      <c r="M662" s="26">
        <f>SUM(L662:L667)</f>
        <v>8.2427514962249099E-12</v>
      </c>
      <c r="N662" s="17">
        <f>10*LOG10(M662/E662)</f>
        <v>-118.6207904352127</v>
      </c>
      <c r="O662" s="9">
        <f t="shared" si="90"/>
        <v>-23.8</v>
      </c>
      <c r="P662" s="8">
        <f>D662/B662*10^(O662/10)</f>
        <v>0.16257905955343074</v>
      </c>
      <c r="Q662" s="26">
        <f>SUM(P662:P667)</f>
        <v>0.48536916288730481</v>
      </c>
      <c r="R662" s="17">
        <f>10*LOG10(Q662)</f>
        <v>-3.1392781929642801</v>
      </c>
      <c r="S662" s="18">
        <f>F662+N662-Kzt-H</f>
        <v>-42.620790435212697</v>
      </c>
      <c r="T662" s="17">
        <v>0.8</v>
      </c>
      <c r="U662" s="21">
        <f>T662*10^((S662-R662)/10)</f>
        <v>9.0144402148586468E-5</v>
      </c>
    </row>
    <row r="663" spans="1:21" x14ac:dyDescent="0.25">
      <c r="A663" s="24"/>
      <c r="B663" s="24"/>
      <c r="C663" s="17"/>
      <c r="D663" s="24"/>
      <c r="E663" s="24"/>
      <c r="F663" s="25"/>
      <c r="G663" s="1">
        <v>975</v>
      </c>
      <c r="H663" s="2">
        <v>96.5</v>
      </c>
      <c r="I663" s="2">
        <v>-24.9</v>
      </c>
      <c r="J663" s="2">
        <v>-25.1</v>
      </c>
      <c r="K663" s="2">
        <f t="shared" si="88"/>
        <v>-24.9</v>
      </c>
      <c r="L663" s="8">
        <f t="shared" si="92"/>
        <v>7.2443596007498653E-13</v>
      </c>
      <c r="M663" s="26"/>
      <c r="N663" s="17"/>
      <c r="O663" s="9">
        <f t="shared" si="90"/>
        <v>-25.1</v>
      </c>
      <c r="P663" s="8">
        <f>D662/B662*10^(O663/10)</f>
        <v>0.12052152186802992</v>
      </c>
      <c r="Q663" s="26"/>
      <c r="R663" s="17"/>
      <c r="S663" s="19"/>
      <c r="T663" s="17"/>
      <c r="U663" s="22"/>
    </row>
    <row r="664" spans="1:21" x14ac:dyDescent="0.25">
      <c r="A664" s="24"/>
      <c r="B664" s="24"/>
      <c r="C664" s="17"/>
      <c r="D664" s="24"/>
      <c r="E664" s="24"/>
      <c r="F664" s="25"/>
      <c r="G664" s="1">
        <v>1075</v>
      </c>
      <c r="H664" s="2">
        <v>94.6</v>
      </c>
      <c r="I664" s="2">
        <v>-25</v>
      </c>
      <c r="J664" s="2">
        <v>-27.9</v>
      </c>
      <c r="K664" s="2">
        <f t="shared" si="88"/>
        <v>-25</v>
      </c>
      <c r="L664" s="8">
        <f t="shared" si="92"/>
        <v>1.0964781961431857E-12</v>
      </c>
      <c r="M664" s="26"/>
      <c r="N664" s="17"/>
      <c r="O664" s="9">
        <f t="shared" si="90"/>
        <v>-27.9</v>
      </c>
      <c r="P664" s="8">
        <f>D662/B662*10^(O664/10)</f>
        <v>6.3250593796998211E-2</v>
      </c>
      <c r="Q664" s="26"/>
      <c r="R664" s="17"/>
      <c r="S664" s="19"/>
      <c r="T664" s="17"/>
      <c r="U664" s="22"/>
    </row>
    <row r="665" spans="1:21" x14ac:dyDescent="0.25">
      <c r="A665" s="24"/>
      <c r="B665" s="24"/>
      <c r="C665" s="17"/>
      <c r="D665" s="24"/>
      <c r="E665" s="24"/>
      <c r="F665" s="25"/>
      <c r="G665" s="1">
        <v>1175</v>
      </c>
      <c r="H665" s="2">
        <v>97.8</v>
      </c>
      <c r="I665" s="2">
        <v>-24</v>
      </c>
      <c r="J665" s="2">
        <v>-27.3</v>
      </c>
      <c r="K665" s="2">
        <f t="shared" si="88"/>
        <v>-24</v>
      </c>
      <c r="L665" s="8">
        <f t="shared" si="92"/>
        <v>6.606934480075954E-13</v>
      </c>
      <c r="M665" s="26"/>
      <c r="N665" s="17"/>
      <c r="O665" s="9">
        <f t="shared" si="90"/>
        <v>-27.3</v>
      </c>
      <c r="P665" s="8">
        <f>D662/B662*10^(O665/10)</f>
        <v>7.2621398329851788E-2</v>
      </c>
      <c r="Q665" s="26"/>
      <c r="R665" s="17"/>
      <c r="S665" s="19"/>
      <c r="T665" s="17"/>
      <c r="U665" s="22"/>
    </row>
    <row r="666" spans="1:21" x14ac:dyDescent="0.25">
      <c r="A666" s="24"/>
      <c r="B666" s="24"/>
      <c r="C666" s="17"/>
      <c r="D666" s="24"/>
      <c r="E666" s="24"/>
      <c r="F666" s="25"/>
      <c r="G666" s="1">
        <v>1275</v>
      </c>
      <c r="H666" s="2">
        <v>100.1</v>
      </c>
      <c r="I666" s="2">
        <v>-23.9</v>
      </c>
      <c r="J666" s="2">
        <v>-29.7</v>
      </c>
      <c r="K666" s="2">
        <f t="shared" si="88"/>
        <v>-23.9</v>
      </c>
      <c r="L666" s="8">
        <f t="shared" si="92"/>
        <v>3.9810717055349631E-13</v>
      </c>
      <c r="M666" s="26"/>
      <c r="N666" s="17"/>
      <c r="O666" s="9">
        <f t="shared" si="90"/>
        <v>-29.7</v>
      </c>
      <c r="P666" s="8">
        <f>D662/B662*10^(O666/10)</f>
        <v>4.1789252904266647E-2</v>
      </c>
      <c r="Q666" s="26"/>
      <c r="R666" s="17"/>
      <c r="S666" s="19"/>
      <c r="T666" s="17"/>
      <c r="U666" s="22"/>
    </row>
    <row r="667" spans="1:21" x14ac:dyDescent="0.25">
      <c r="A667" s="24"/>
      <c r="B667" s="24"/>
      <c r="C667" s="17"/>
      <c r="D667" s="24"/>
      <c r="E667" s="24"/>
      <c r="F667" s="25"/>
      <c r="G667" s="1">
        <v>1375</v>
      </c>
      <c r="H667" s="2">
        <v>103</v>
      </c>
      <c r="I667" s="2">
        <v>-23.3</v>
      </c>
      <c r="J667" s="2">
        <v>-32</v>
      </c>
      <c r="K667" s="2">
        <f t="shared" si="88"/>
        <v>-23.3</v>
      </c>
      <c r="L667" s="8">
        <f t="shared" si="92"/>
        <v>2.3442288153199217E-13</v>
      </c>
      <c r="M667" s="26"/>
      <c r="N667" s="17"/>
      <c r="O667" s="9">
        <f t="shared" si="90"/>
        <v>-32</v>
      </c>
      <c r="P667" s="8">
        <f>D662/B662*10^(O667/10)</f>
        <v>2.4607336434727504E-2</v>
      </c>
      <c r="Q667" s="26"/>
      <c r="R667" s="17"/>
      <c r="S667" s="20"/>
      <c r="T667" s="17"/>
      <c r="U667" s="23"/>
    </row>
    <row r="668" spans="1:21" x14ac:dyDescent="0.25">
      <c r="A668" s="24">
        <v>2000</v>
      </c>
      <c r="B668" s="24">
        <v>3</v>
      </c>
      <c r="C668" s="17">
        <v>0.5</v>
      </c>
      <c r="D668" s="24">
        <v>234</v>
      </c>
      <c r="E668" s="24">
        <v>6</v>
      </c>
      <c r="F668" s="25">
        <v>68</v>
      </c>
      <c r="G668" s="1">
        <v>1425</v>
      </c>
      <c r="H668" s="2">
        <v>102.8</v>
      </c>
      <c r="I668" s="2">
        <v>-22</v>
      </c>
      <c r="J668" s="2">
        <v>-27.3</v>
      </c>
      <c r="K668" s="2">
        <f t="shared" si="88"/>
        <v>-22</v>
      </c>
      <c r="L668" s="8">
        <f t="shared" si="92"/>
        <v>3.311311214825894E-13</v>
      </c>
      <c r="M668" s="26">
        <f>SUM(L668:L673)</f>
        <v>3.615647672974986E-12</v>
      </c>
      <c r="N668" s="17">
        <f>10*LOG10(M668/E668)</f>
        <v>-122.19965146372842</v>
      </c>
      <c r="O668" s="9">
        <f t="shared" si="90"/>
        <v>-27.3</v>
      </c>
      <c r="P668" s="8">
        <f>D668/B668*10^(O668/10)</f>
        <v>0.14524279665970358</v>
      </c>
      <c r="Q668" s="26">
        <f>SUM(P668:P673)</f>
        <v>0.72628253332195603</v>
      </c>
      <c r="R668" s="17">
        <f>10*LOG10(Q668)</f>
        <v>-1.388944002460212</v>
      </c>
      <c r="S668" s="18">
        <f>F668+N668-Kzt-H</f>
        <v>-54.199651463728415</v>
      </c>
      <c r="T668" s="17">
        <v>1</v>
      </c>
      <c r="U668" s="21">
        <f>T668*10^((S668-R668)/10)</f>
        <v>5.2351514955704481E-6</v>
      </c>
    </row>
    <row r="669" spans="1:21" x14ac:dyDescent="0.25">
      <c r="A669" s="24"/>
      <c r="B669" s="24"/>
      <c r="C669" s="17"/>
      <c r="D669" s="24"/>
      <c r="E669" s="24"/>
      <c r="F669" s="25"/>
      <c r="G669" s="1">
        <v>1625</v>
      </c>
      <c r="H669" s="2">
        <v>104.1</v>
      </c>
      <c r="I669" s="2">
        <v>-25.3</v>
      </c>
      <c r="J669" s="2">
        <v>-30.7</v>
      </c>
      <c r="K669" s="2">
        <f t="shared" si="88"/>
        <v>-25.3</v>
      </c>
      <c r="L669" s="8">
        <f t="shared" si="92"/>
        <v>1.1481536214968778E-13</v>
      </c>
      <c r="M669" s="26"/>
      <c r="N669" s="17"/>
      <c r="O669" s="9">
        <f t="shared" si="90"/>
        <v>-30.7</v>
      </c>
      <c r="P669" s="8">
        <f>D668/B668*10^(O669/10)</f>
        <v>6.6388766979785366E-2</v>
      </c>
      <c r="Q669" s="26"/>
      <c r="R669" s="17"/>
      <c r="S669" s="19"/>
      <c r="T669" s="17"/>
      <c r="U669" s="22"/>
    </row>
    <row r="670" spans="1:21" x14ac:dyDescent="0.25">
      <c r="A670" s="24"/>
      <c r="B670" s="24"/>
      <c r="C670" s="17"/>
      <c r="D670" s="24"/>
      <c r="E670" s="24"/>
      <c r="F670" s="25"/>
      <c r="G670" s="1">
        <v>1825</v>
      </c>
      <c r="H670" s="2">
        <v>107.6</v>
      </c>
      <c r="I670" s="2">
        <v>-24.7</v>
      </c>
      <c r="J670" s="2">
        <v>-26.4</v>
      </c>
      <c r="K670" s="2">
        <f t="shared" si="88"/>
        <v>-24.7</v>
      </c>
      <c r="L670" s="8">
        <f t="shared" si="92"/>
        <v>5.8884365535558805E-14</v>
      </c>
      <c r="M670" s="26"/>
      <c r="N670" s="17"/>
      <c r="O670" s="9">
        <f t="shared" si="90"/>
        <v>-26.4</v>
      </c>
      <c r="P670" s="8">
        <f>D668/B668*10^(O670/10)</f>
        <v>0.17868767691588636</v>
      </c>
      <c r="Q670" s="26"/>
      <c r="R670" s="17"/>
      <c r="S670" s="19"/>
      <c r="T670" s="17"/>
      <c r="U670" s="22"/>
    </row>
    <row r="671" spans="1:21" x14ac:dyDescent="0.25">
      <c r="A671" s="24"/>
      <c r="B671" s="24"/>
      <c r="C671" s="17"/>
      <c r="D671" s="24"/>
      <c r="E671" s="24"/>
      <c r="F671" s="25"/>
      <c r="G671" s="1">
        <v>2125</v>
      </c>
      <c r="H671" s="2">
        <v>104.2</v>
      </c>
      <c r="I671" s="2">
        <v>-23.3</v>
      </c>
      <c r="J671" s="2">
        <v>-31.4</v>
      </c>
      <c r="K671" s="2">
        <f t="shared" si="88"/>
        <v>-23.3</v>
      </c>
      <c r="L671" s="8">
        <f t="shared" si="92"/>
        <v>1.7782794100389184E-13</v>
      </c>
      <c r="M671" s="26"/>
      <c r="N671" s="17"/>
      <c r="O671" s="9">
        <f t="shared" si="90"/>
        <v>-31.4</v>
      </c>
      <c r="P671" s="8">
        <f>D668/B668*10^(O671/10)</f>
        <v>5.6506004885849205E-2</v>
      </c>
      <c r="Q671" s="26"/>
      <c r="R671" s="17"/>
      <c r="S671" s="19"/>
      <c r="T671" s="17"/>
      <c r="U671" s="22"/>
    </row>
    <row r="672" spans="1:21" x14ac:dyDescent="0.25">
      <c r="A672" s="24"/>
      <c r="B672" s="24"/>
      <c r="C672" s="17"/>
      <c r="D672" s="24"/>
      <c r="E672" s="24"/>
      <c r="F672" s="25"/>
      <c r="G672" s="1">
        <v>2425</v>
      </c>
      <c r="H672" s="2">
        <v>93.7</v>
      </c>
      <c r="I672" s="2">
        <v>-23.2</v>
      </c>
      <c r="J672" s="2">
        <v>-25.7</v>
      </c>
      <c r="K672" s="2">
        <f t="shared" si="88"/>
        <v>-23.2</v>
      </c>
      <c r="L672" s="8">
        <f t="shared" si="92"/>
        <v>2.0417379446695178E-12</v>
      </c>
      <c r="M672" s="26"/>
      <c r="N672" s="17"/>
      <c r="O672" s="9">
        <f t="shared" si="90"/>
        <v>-25.7</v>
      </c>
      <c r="P672" s="8">
        <f>D668/B668*10^(O672/10)</f>
        <v>0.20993971470629935</v>
      </c>
      <c r="Q672" s="26"/>
      <c r="R672" s="17"/>
      <c r="S672" s="19"/>
      <c r="T672" s="17"/>
      <c r="U672" s="22"/>
    </row>
    <row r="673" spans="1:21" x14ac:dyDescent="0.25">
      <c r="A673" s="24"/>
      <c r="B673" s="24"/>
      <c r="C673" s="17"/>
      <c r="D673" s="24"/>
      <c r="E673" s="24"/>
      <c r="F673" s="25"/>
      <c r="G673" s="1">
        <v>2775</v>
      </c>
      <c r="H673" s="2">
        <v>100.2</v>
      </c>
      <c r="I673" s="2">
        <v>-20.3</v>
      </c>
      <c r="J673" s="2">
        <v>-30.5</v>
      </c>
      <c r="K673" s="2">
        <f t="shared" si="88"/>
        <v>-20.3</v>
      </c>
      <c r="L673" s="8">
        <f t="shared" si="92"/>
        <v>8.9125093813374051E-13</v>
      </c>
      <c r="M673" s="26"/>
      <c r="N673" s="17"/>
      <c r="O673" s="9">
        <f t="shared" si="90"/>
        <v>-30.5</v>
      </c>
      <c r="P673" s="8">
        <f>D668/B668*10^(O673/10)</f>
        <v>6.9517573174432135E-2</v>
      </c>
      <c r="Q673" s="26"/>
      <c r="R673" s="17"/>
      <c r="S673" s="20"/>
      <c r="T673" s="17"/>
      <c r="U673" s="23"/>
    </row>
    <row r="674" spans="1:21" x14ac:dyDescent="0.25">
      <c r="A674" s="24">
        <v>4000</v>
      </c>
      <c r="B674" s="24">
        <v>3</v>
      </c>
      <c r="C674" s="17">
        <v>0.5</v>
      </c>
      <c r="D674" s="24">
        <v>470</v>
      </c>
      <c r="E674" s="24">
        <v>6</v>
      </c>
      <c r="F674" s="25">
        <v>62</v>
      </c>
      <c r="G674" s="1">
        <v>2825</v>
      </c>
      <c r="H674" s="2">
        <v>99.4</v>
      </c>
      <c r="I674" s="2">
        <v>-21.6</v>
      </c>
      <c r="J674" s="2">
        <v>-27.3</v>
      </c>
      <c r="K674" s="2">
        <f t="shared" si="88"/>
        <v>-21.6</v>
      </c>
      <c r="L674" s="8">
        <f t="shared" si="92"/>
        <v>7.9432823472428024E-13</v>
      </c>
      <c r="M674" s="26">
        <f>SUM(L674:L679)</f>
        <v>2.4234884070327272E-12</v>
      </c>
      <c r="N674" s="17">
        <f>10*LOG10(M674/E674)</f>
        <v>-123.9371030380527</v>
      </c>
      <c r="O674" s="9">
        <f t="shared" si="90"/>
        <v>-27.3</v>
      </c>
      <c r="P674" s="8">
        <f>D674/B674*10^(O674/10)</f>
        <v>0.29172698474384906</v>
      </c>
      <c r="Q674" s="26">
        <f>SUM(P674:P679)</f>
        <v>1.4174870301731395</v>
      </c>
      <c r="R674" s="17">
        <f>10*LOG10(Q674)</f>
        <v>1.5151909384359954</v>
      </c>
      <c r="S674" s="18">
        <f>F674+N674-Kzt-H</f>
        <v>-61.937103038052697</v>
      </c>
      <c r="T674" s="17">
        <v>0.9</v>
      </c>
      <c r="U674" s="21">
        <f>T674*10^((S674-R674)/10)</f>
        <v>4.0645560028638425E-7</v>
      </c>
    </row>
    <row r="675" spans="1:21" x14ac:dyDescent="0.25">
      <c r="A675" s="24"/>
      <c r="B675" s="24"/>
      <c r="C675" s="17"/>
      <c r="D675" s="24"/>
      <c r="E675" s="24"/>
      <c r="F675" s="25"/>
      <c r="G675" s="1">
        <v>3425</v>
      </c>
      <c r="H675" s="2">
        <v>103.5</v>
      </c>
      <c r="I675" s="2">
        <v>-22.9</v>
      </c>
      <c r="J675" s="2">
        <v>-30</v>
      </c>
      <c r="K675" s="2">
        <f t="shared" si="88"/>
        <v>-22.9</v>
      </c>
      <c r="L675" s="8">
        <f t="shared" si="92"/>
        <v>2.2908676527677649E-13</v>
      </c>
      <c r="M675" s="26"/>
      <c r="N675" s="17"/>
      <c r="O675" s="9">
        <f t="shared" si="90"/>
        <v>-30</v>
      </c>
      <c r="P675" s="8">
        <f>D674/B674*10^(O675/10)</f>
        <v>0.15666666666666665</v>
      </c>
      <c r="Q675" s="26"/>
      <c r="R675" s="17"/>
      <c r="S675" s="19"/>
      <c r="T675" s="17"/>
      <c r="U675" s="22"/>
    </row>
    <row r="676" spans="1:21" x14ac:dyDescent="0.25">
      <c r="A676" s="24"/>
      <c r="B676" s="24"/>
      <c r="C676" s="17"/>
      <c r="D676" s="24"/>
      <c r="E676" s="24"/>
      <c r="F676" s="25"/>
      <c r="G676" s="1">
        <v>4025</v>
      </c>
      <c r="H676" s="2">
        <v>103.6</v>
      </c>
      <c r="I676" s="2">
        <v>-19.100000000000001</v>
      </c>
      <c r="J676" s="2">
        <v>-26.7</v>
      </c>
      <c r="K676" s="2">
        <f t="shared" si="88"/>
        <v>-19.100000000000001</v>
      </c>
      <c r="L676" s="8">
        <f t="shared" si="92"/>
        <v>5.3703179637025273E-13</v>
      </c>
      <c r="M676" s="26"/>
      <c r="N676" s="17"/>
      <c r="O676" s="9">
        <f t="shared" si="90"/>
        <v>-26.7</v>
      </c>
      <c r="P676" s="8">
        <f>D674/B674*10^(O676/10)</f>
        <v>0.33494739402201629</v>
      </c>
      <c r="Q676" s="26"/>
      <c r="R676" s="17"/>
      <c r="S676" s="19"/>
      <c r="T676" s="17"/>
      <c r="U676" s="22"/>
    </row>
    <row r="677" spans="1:21" x14ac:dyDescent="0.25">
      <c r="A677" s="24"/>
      <c r="B677" s="24"/>
      <c r="C677" s="17"/>
      <c r="D677" s="24"/>
      <c r="E677" s="24"/>
      <c r="F677" s="25"/>
      <c r="G677" s="1">
        <v>4625</v>
      </c>
      <c r="H677" s="2">
        <v>105.6</v>
      </c>
      <c r="I677" s="2">
        <v>-20.3</v>
      </c>
      <c r="J677" s="2">
        <v>-30.4</v>
      </c>
      <c r="K677" s="2">
        <f t="shared" si="88"/>
        <v>-20.3</v>
      </c>
      <c r="L677" s="8">
        <f t="shared" si="92"/>
        <v>2.5703957827688533E-13</v>
      </c>
      <c r="M677" s="26"/>
      <c r="N677" s="17"/>
      <c r="O677" s="9">
        <f t="shared" si="90"/>
        <v>-30.4</v>
      </c>
      <c r="P677" s="8">
        <f>D674/B674*10^(O677/10)</f>
        <v>0.14288169816575902</v>
      </c>
      <c r="Q677" s="26"/>
      <c r="R677" s="17"/>
      <c r="S677" s="19"/>
      <c r="T677" s="17"/>
      <c r="U677" s="22"/>
    </row>
    <row r="678" spans="1:21" x14ac:dyDescent="0.25">
      <c r="A678" s="24"/>
      <c r="B678" s="24"/>
      <c r="C678" s="17"/>
      <c r="D678" s="24"/>
      <c r="E678" s="24"/>
      <c r="F678" s="25"/>
      <c r="G678" s="1">
        <v>5225</v>
      </c>
      <c r="H678" s="2">
        <v>103.5</v>
      </c>
      <c r="I678" s="2">
        <v>-22.5</v>
      </c>
      <c r="J678" s="2">
        <v>-29.1</v>
      </c>
      <c r="K678" s="2">
        <f t="shared" si="88"/>
        <v>-22.5</v>
      </c>
      <c r="L678" s="8">
        <f t="shared" si="92"/>
        <v>2.511886431509579E-13</v>
      </c>
      <c r="M678" s="26"/>
      <c r="N678" s="17"/>
      <c r="O678" s="9">
        <f t="shared" si="90"/>
        <v>-29.1</v>
      </c>
      <c r="P678" s="8">
        <f>D674/B674*10^(O678/10)</f>
        <v>0.19274210742727299</v>
      </c>
      <c r="Q678" s="26"/>
      <c r="R678" s="17"/>
      <c r="S678" s="19"/>
      <c r="T678" s="17"/>
      <c r="U678" s="22"/>
    </row>
    <row r="679" spans="1:21" x14ac:dyDescent="0.25">
      <c r="A679" s="24"/>
      <c r="B679" s="24"/>
      <c r="C679" s="17"/>
      <c r="D679" s="24"/>
      <c r="E679" s="24"/>
      <c r="F679" s="25"/>
      <c r="G679" s="1">
        <v>5625</v>
      </c>
      <c r="H679" s="2">
        <v>99.5</v>
      </c>
      <c r="I679" s="2">
        <v>-25</v>
      </c>
      <c r="J679" s="2">
        <v>-27.2</v>
      </c>
      <c r="K679" s="2">
        <f t="shared" si="88"/>
        <v>-25</v>
      </c>
      <c r="L679" s="8">
        <f t="shared" si="92"/>
        <v>3.5481338923357479E-13</v>
      </c>
      <c r="M679" s="26"/>
      <c r="N679" s="17"/>
      <c r="O679" s="9">
        <f t="shared" si="90"/>
        <v>-27.2</v>
      </c>
      <c r="P679" s="8">
        <f>D674/B674*10^(O679/10)</f>
        <v>0.29852217914757545</v>
      </c>
      <c r="Q679" s="26"/>
      <c r="R679" s="17"/>
      <c r="S679" s="20"/>
      <c r="T679" s="17"/>
      <c r="U679" s="23"/>
    </row>
    <row r="680" spans="1:21" x14ac:dyDescent="0.25">
      <c r="A680" s="24">
        <v>8000</v>
      </c>
      <c r="B680" s="24">
        <v>3</v>
      </c>
      <c r="C680" s="17">
        <v>0.5</v>
      </c>
      <c r="D680" s="24">
        <v>943</v>
      </c>
      <c r="E680" s="24">
        <v>6</v>
      </c>
      <c r="F680" s="25">
        <v>54</v>
      </c>
      <c r="G680" s="1">
        <v>6025</v>
      </c>
      <c r="H680" s="2">
        <v>95</v>
      </c>
      <c r="I680" s="2">
        <v>-24.8</v>
      </c>
      <c r="J680" s="2">
        <v>-27.4</v>
      </c>
      <c r="K680" s="2">
        <f t="shared" si="88"/>
        <v>-24.8</v>
      </c>
      <c r="L680" s="8">
        <f t="shared" si="92"/>
        <v>1.0471285480508967E-12</v>
      </c>
      <c r="M680" s="26">
        <f>SUM(L680:L685)</f>
        <v>2.725577715538022E-11</v>
      </c>
      <c r="N680" s="17">
        <f>10*LOG10(M680/E680)</f>
        <v>-113.42692680623072</v>
      </c>
      <c r="O680" s="9">
        <f t="shared" si="90"/>
        <v>-27.4</v>
      </c>
      <c r="P680" s="8">
        <f>D680/B680*10^(O680/10)</f>
        <v>0.57199263655640453</v>
      </c>
      <c r="Q680" s="26">
        <f>SUM(P680:P685)</f>
        <v>3.9899020919444448</v>
      </c>
      <c r="R680" s="17">
        <f>10*LOG10(Q680)</f>
        <v>6.0096223868174405</v>
      </c>
      <c r="S680" s="18">
        <f>F680+N680-Kzt-H</f>
        <v>-59.426926806230725</v>
      </c>
      <c r="T680" s="17">
        <v>0.7</v>
      </c>
      <c r="U680" s="21">
        <f>T680*10^((S680-R680)/10)</f>
        <v>2.0019034163165861E-7</v>
      </c>
    </row>
    <row r="681" spans="1:21" x14ac:dyDescent="0.25">
      <c r="A681" s="24"/>
      <c r="B681" s="24"/>
      <c r="C681" s="17"/>
      <c r="D681" s="24"/>
      <c r="E681" s="24"/>
      <c r="F681" s="25"/>
      <c r="G681" s="1">
        <v>7025</v>
      </c>
      <c r="H681" s="2">
        <v>94.8</v>
      </c>
      <c r="I681" s="2">
        <v>-23.6</v>
      </c>
      <c r="J681" s="2">
        <v>-24.9</v>
      </c>
      <c r="K681" s="2">
        <f t="shared" si="88"/>
        <v>-23.6</v>
      </c>
      <c r="L681" s="8">
        <f t="shared" si="92"/>
        <v>1.4454397707459267E-12</v>
      </c>
      <c r="M681" s="26"/>
      <c r="N681" s="17"/>
      <c r="O681" s="9">
        <f t="shared" si="90"/>
        <v>-24.9</v>
      </c>
      <c r="P681" s="8">
        <f>D680/B680*10^(O681/10)</f>
        <v>1.0171627282821314</v>
      </c>
      <c r="Q681" s="26"/>
      <c r="R681" s="17"/>
      <c r="S681" s="19"/>
      <c r="T681" s="17"/>
      <c r="U681" s="22"/>
    </row>
    <row r="682" spans="1:21" x14ac:dyDescent="0.25">
      <c r="A682" s="24"/>
      <c r="B682" s="24"/>
      <c r="C682" s="17"/>
      <c r="D682" s="24"/>
      <c r="E682" s="24"/>
      <c r="F682" s="25"/>
      <c r="G682" s="1">
        <v>8025</v>
      </c>
      <c r="H682" s="2">
        <v>101.9</v>
      </c>
      <c r="I682" s="2">
        <v>-23.6</v>
      </c>
      <c r="J682" s="2">
        <v>-27.4</v>
      </c>
      <c r="K682" s="2">
        <f t="shared" si="88"/>
        <v>-23.6</v>
      </c>
      <c r="L682" s="8">
        <f t="shared" si="92"/>
        <v>2.8183829312644412E-13</v>
      </c>
      <c r="M682" s="26"/>
      <c r="N682" s="17"/>
      <c r="O682" s="9">
        <f t="shared" si="90"/>
        <v>-27.4</v>
      </c>
      <c r="P682" s="8">
        <f>D680/B680*10^(O682/10)</f>
        <v>0.57199263655640453</v>
      </c>
      <c r="Q682" s="26"/>
      <c r="R682" s="17"/>
      <c r="S682" s="19"/>
      <c r="T682" s="17"/>
      <c r="U682" s="22"/>
    </row>
    <row r="683" spans="1:21" x14ac:dyDescent="0.25">
      <c r="A683" s="24"/>
      <c r="B683" s="24"/>
      <c r="C683" s="17"/>
      <c r="D683" s="24"/>
      <c r="E683" s="24"/>
      <c r="F683" s="25"/>
      <c r="G683" s="1">
        <v>9025</v>
      </c>
      <c r="H683" s="2">
        <v>93.2</v>
      </c>
      <c r="I683" s="2">
        <v>-25.5</v>
      </c>
      <c r="J683" s="2">
        <v>-28</v>
      </c>
      <c r="K683" s="2">
        <f t="shared" si="88"/>
        <v>-25.5</v>
      </c>
      <c r="L683" s="8">
        <f t="shared" si="92"/>
        <v>1.3489628825916484E-12</v>
      </c>
      <c r="M683" s="26"/>
      <c r="N683" s="17"/>
      <c r="O683" s="9">
        <f t="shared" si="90"/>
        <v>-28</v>
      </c>
      <c r="P683" s="8">
        <f>D680/B680*10^(O683/10)</f>
        <v>0.49818476016360996</v>
      </c>
      <c r="Q683" s="26"/>
      <c r="R683" s="17"/>
      <c r="S683" s="19"/>
      <c r="T683" s="17"/>
      <c r="U683" s="22"/>
    </row>
    <row r="684" spans="1:21" x14ac:dyDescent="0.25">
      <c r="A684" s="24"/>
      <c r="B684" s="24"/>
      <c r="C684" s="17"/>
      <c r="D684" s="24"/>
      <c r="E684" s="24"/>
      <c r="F684" s="25"/>
      <c r="G684" s="1">
        <v>10025</v>
      </c>
      <c r="H684" s="2">
        <v>88.3</v>
      </c>
      <c r="I684" s="2">
        <v>-24.1</v>
      </c>
      <c r="J684" s="2">
        <v>-27.5</v>
      </c>
      <c r="K684" s="2">
        <f t="shared" si="88"/>
        <v>-24.1</v>
      </c>
      <c r="L684" s="8">
        <f t="shared" si="92"/>
        <v>5.7543993733715538E-12</v>
      </c>
      <c r="M684" s="26"/>
      <c r="N684" s="17"/>
      <c r="O684" s="9">
        <f t="shared" si="90"/>
        <v>-27.5</v>
      </c>
      <c r="P684" s="8">
        <f>D680/B680*10^(O684/10)</f>
        <v>0.55897249455556786</v>
      </c>
      <c r="Q684" s="26"/>
      <c r="R684" s="17"/>
      <c r="S684" s="19"/>
      <c r="T684" s="17"/>
      <c r="U684" s="22"/>
    </row>
    <row r="685" spans="1:21" x14ac:dyDescent="0.25">
      <c r="A685" s="24"/>
      <c r="B685" s="24"/>
      <c r="C685" s="17"/>
      <c r="D685" s="24"/>
      <c r="E685" s="24"/>
      <c r="F685" s="25"/>
      <c r="G685" s="1">
        <v>11025</v>
      </c>
      <c r="H685" s="2">
        <v>86</v>
      </c>
      <c r="I685" s="2">
        <v>-21.6</v>
      </c>
      <c r="J685" s="2">
        <v>-26.1</v>
      </c>
      <c r="K685" s="2">
        <f t="shared" si="88"/>
        <v>-21.6</v>
      </c>
      <c r="L685" s="8">
        <f t="shared" si="92"/>
        <v>1.7378008287493749E-11</v>
      </c>
      <c r="M685" s="26"/>
      <c r="N685" s="17"/>
      <c r="O685" s="9">
        <f t="shared" si="90"/>
        <v>-26.1</v>
      </c>
      <c r="P685" s="8">
        <f>D680/B680*10^(O685/10)</f>
        <v>0.77159683583032657</v>
      </c>
      <c r="Q685" s="26"/>
      <c r="R685" s="17"/>
      <c r="S685" s="20"/>
      <c r="T685" s="17"/>
      <c r="U685" s="23"/>
    </row>
    <row r="686" spans="1:21" x14ac:dyDescent="0.25">
      <c r="A686" s="24" t="s">
        <v>20</v>
      </c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12">
        <f>U686</f>
        <v>6.442183243374959E-2</v>
      </c>
      <c r="T686" s="2"/>
      <c r="U686" s="8">
        <f>0.8*SQRT(SUM(U652:U685))</f>
        <v>6.442183243374959E-2</v>
      </c>
    </row>
    <row r="687" spans="1:21" x14ac:dyDescent="0.25">
      <c r="A687" s="27" t="s">
        <v>111</v>
      </c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9"/>
    </row>
    <row r="688" spans="1:21" x14ac:dyDescent="0.25">
      <c r="A688" s="24">
        <v>250</v>
      </c>
      <c r="B688" s="24">
        <v>3</v>
      </c>
      <c r="C688" s="17">
        <v>0.5</v>
      </c>
      <c r="D688" s="24">
        <v>38</v>
      </c>
      <c r="E688" s="24">
        <v>4</v>
      </c>
      <c r="F688" s="25">
        <v>84</v>
      </c>
      <c r="G688" s="1">
        <v>175</v>
      </c>
      <c r="H688" s="2">
        <v>84.8</v>
      </c>
      <c r="I688" s="2">
        <v>-12.5</v>
      </c>
      <c r="J688" s="2">
        <v>-18.7</v>
      </c>
      <c r="K688" s="2">
        <f>I688</f>
        <v>-12.5</v>
      </c>
      <c r="L688" s="8">
        <f>10^((K688-H688)/10)</f>
        <v>1.862087136662862E-10</v>
      </c>
      <c r="M688" s="26">
        <f>SUM(L688:L691)</f>
        <v>2.5166938164316539E-10</v>
      </c>
      <c r="N688" s="17">
        <f>10*LOG10(M688/E688)</f>
        <v>-102.0122960928088</v>
      </c>
      <c r="O688" s="9">
        <f>J688</f>
        <v>-18.7</v>
      </c>
      <c r="P688" s="8">
        <f>D688/B688*10^(O688/10)</f>
        <v>0.1708686317949428</v>
      </c>
      <c r="Q688" s="26">
        <f>SUM(P688:P691)</f>
        <v>0.72269920385555297</v>
      </c>
      <c r="R688" s="17">
        <f>10*LOG10(Q688)</f>
        <v>-1.410424237119521</v>
      </c>
      <c r="S688" s="18">
        <f>F688+N688-Kzt-H</f>
        <v>-18.012296092808796</v>
      </c>
      <c r="T688" s="17">
        <v>0.2</v>
      </c>
      <c r="U688" s="21">
        <f>T688*10^((S688-R688)/10)</f>
        <v>4.3736377569209605E-3</v>
      </c>
    </row>
    <row r="689" spans="1:21" x14ac:dyDescent="0.25">
      <c r="A689" s="24"/>
      <c r="B689" s="24"/>
      <c r="C689" s="17"/>
      <c r="D689" s="24"/>
      <c r="E689" s="24"/>
      <c r="F689" s="25"/>
      <c r="G689" s="1">
        <v>225</v>
      </c>
      <c r="H689" s="2">
        <v>90</v>
      </c>
      <c r="I689" s="2">
        <v>-14.2</v>
      </c>
      <c r="J689" s="2">
        <v>-18.100000000000001</v>
      </c>
      <c r="K689" s="2">
        <f t="shared" ref="K689:K721" si="93">I689</f>
        <v>-14.2</v>
      </c>
      <c r="L689" s="8">
        <f t="shared" ref="L689:L690" si="94">10^((K689-H689)/10)</f>
        <v>3.8018939632055986E-11</v>
      </c>
      <c r="M689" s="26"/>
      <c r="N689" s="17"/>
      <c r="O689" s="9">
        <f t="shared" ref="O689:O721" si="95">J689</f>
        <v>-18.100000000000001</v>
      </c>
      <c r="P689" s="8">
        <f>D688/B688*10^(O689/10)</f>
        <v>0.19618343839558083</v>
      </c>
      <c r="Q689" s="26"/>
      <c r="R689" s="17"/>
      <c r="S689" s="19"/>
      <c r="T689" s="17"/>
      <c r="U689" s="22"/>
    </row>
    <row r="690" spans="1:21" x14ac:dyDescent="0.25">
      <c r="A690" s="24"/>
      <c r="B690" s="24"/>
      <c r="C690" s="17"/>
      <c r="D690" s="24"/>
      <c r="E690" s="24"/>
      <c r="F690" s="25"/>
      <c r="G690" s="1">
        <v>275</v>
      </c>
      <c r="H690" s="2">
        <v>92.2</v>
      </c>
      <c r="I690" s="2">
        <v>-14.9</v>
      </c>
      <c r="J690" s="2">
        <v>-17.8</v>
      </c>
      <c r="K690" s="2">
        <f t="shared" si="93"/>
        <v>-14.9</v>
      </c>
      <c r="L690" s="8">
        <f t="shared" si="94"/>
        <v>1.9498445997580369E-11</v>
      </c>
      <c r="M690" s="26"/>
      <c r="N690" s="17"/>
      <c r="O690" s="9">
        <f t="shared" si="95"/>
        <v>-17.8</v>
      </c>
      <c r="P690" s="8">
        <f>D688/B688*10^(O690/10)</f>
        <v>0.21021434160875749</v>
      </c>
      <c r="Q690" s="26"/>
      <c r="R690" s="17"/>
      <c r="S690" s="19"/>
      <c r="T690" s="17"/>
      <c r="U690" s="22"/>
    </row>
    <row r="691" spans="1:21" x14ac:dyDescent="0.25">
      <c r="A691" s="24"/>
      <c r="B691" s="24"/>
      <c r="C691" s="17"/>
      <c r="D691" s="24"/>
      <c r="E691" s="24"/>
      <c r="F691" s="25"/>
      <c r="G691" s="1">
        <v>325</v>
      </c>
      <c r="H691" s="2">
        <v>93.3</v>
      </c>
      <c r="I691" s="2">
        <v>-17.7</v>
      </c>
      <c r="J691" s="2">
        <v>-19.399999999999999</v>
      </c>
      <c r="K691" s="2">
        <f t="shared" si="93"/>
        <v>-17.7</v>
      </c>
      <c r="L691" s="8">
        <f>10^((K691-H691)/10)</f>
        <v>7.9432823472428101E-12</v>
      </c>
      <c r="M691" s="26"/>
      <c r="N691" s="17"/>
      <c r="O691" s="9">
        <f t="shared" si="95"/>
        <v>-19.399999999999999</v>
      </c>
      <c r="P691" s="8">
        <f>D688/B688*10^(O691/10)</f>
        <v>0.1454327920562718</v>
      </c>
      <c r="Q691" s="26"/>
      <c r="R691" s="17"/>
      <c r="S691" s="20"/>
      <c r="T691" s="17"/>
      <c r="U691" s="23"/>
    </row>
    <row r="692" spans="1:21" x14ac:dyDescent="0.25">
      <c r="A692" s="24">
        <v>500</v>
      </c>
      <c r="B692" s="24">
        <v>3</v>
      </c>
      <c r="C692" s="17">
        <v>0.5</v>
      </c>
      <c r="D692" s="24">
        <v>59</v>
      </c>
      <c r="E692" s="24">
        <v>6</v>
      </c>
      <c r="F692" s="25">
        <v>84</v>
      </c>
      <c r="G692" s="1">
        <v>375</v>
      </c>
      <c r="H692" s="2">
        <v>91.9</v>
      </c>
      <c r="I692" s="2">
        <v>-18</v>
      </c>
      <c r="J692" s="2">
        <v>-19.100000000000001</v>
      </c>
      <c r="K692" s="2">
        <f t="shared" si="93"/>
        <v>-18</v>
      </c>
      <c r="L692" s="8">
        <f t="shared" ref="L692:L693" si="96">10^((K692-H692)/10)</f>
        <v>1.0232929922807526E-11</v>
      </c>
      <c r="M692" s="26">
        <f>SUM(L692:L697)</f>
        <v>8.0720304656774286E-11</v>
      </c>
      <c r="N692" s="17">
        <f>10*LOG10(M692/E692)</f>
        <v>-108.71168458025623</v>
      </c>
      <c r="O692" s="9">
        <f t="shared" si="95"/>
        <v>-19.100000000000001</v>
      </c>
      <c r="P692" s="8">
        <f>D692/B692*10^(O692/10)</f>
        <v>0.24195285825976826</v>
      </c>
      <c r="Q692" s="26">
        <f>SUM(P692:P697)</f>
        <v>1.1004764659978803</v>
      </c>
      <c r="R692" s="17">
        <f>10*LOG10(Q692)</f>
        <v>0.41580759477696566</v>
      </c>
      <c r="S692" s="18">
        <f>F692+N692-Kzt-H</f>
        <v>-24.711684580256232</v>
      </c>
      <c r="T692" s="17">
        <v>0.5</v>
      </c>
      <c r="U692" s="21">
        <f>T692*10^((S692-R692)/10)</f>
        <v>1.535397350446851E-3</v>
      </c>
    </row>
    <row r="693" spans="1:21" x14ac:dyDescent="0.25">
      <c r="A693" s="24"/>
      <c r="B693" s="24"/>
      <c r="C693" s="17"/>
      <c r="D693" s="24"/>
      <c r="E693" s="24"/>
      <c r="F693" s="25"/>
      <c r="G693" s="1">
        <v>425</v>
      </c>
      <c r="H693" s="2">
        <v>88.1</v>
      </c>
      <c r="I693" s="2">
        <v>-16.5</v>
      </c>
      <c r="J693" s="2">
        <v>-19.5</v>
      </c>
      <c r="K693" s="2">
        <f t="shared" si="93"/>
        <v>-16.5</v>
      </c>
      <c r="L693" s="8">
        <f t="shared" si="96"/>
        <v>3.467368504525318E-11</v>
      </c>
      <c r="M693" s="26"/>
      <c r="N693" s="17"/>
      <c r="O693" s="9">
        <f t="shared" si="95"/>
        <v>-19.5</v>
      </c>
      <c r="P693" s="8">
        <f>D692/B692*10^(O693/10)</f>
        <v>0.22066362934605283</v>
      </c>
      <c r="Q693" s="26"/>
      <c r="R693" s="17"/>
      <c r="S693" s="19"/>
      <c r="T693" s="17"/>
      <c r="U693" s="22"/>
    </row>
    <row r="694" spans="1:21" x14ac:dyDescent="0.25">
      <c r="A694" s="24"/>
      <c r="B694" s="24"/>
      <c r="C694" s="17"/>
      <c r="D694" s="24"/>
      <c r="E694" s="24"/>
      <c r="F694" s="25"/>
      <c r="G694" s="1">
        <v>475</v>
      </c>
      <c r="H694" s="2">
        <v>90</v>
      </c>
      <c r="I694" s="2">
        <v>-19.7</v>
      </c>
      <c r="J694" s="2">
        <v>-21.6</v>
      </c>
      <c r="K694" s="2">
        <f t="shared" si="93"/>
        <v>-19.7</v>
      </c>
      <c r="L694" s="8">
        <f>10^((K694-H694)/10)</f>
        <v>1.0715193052376007E-11</v>
      </c>
      <c r="M694" s="26"/>
      <c r="N694" s="17"/>
      <c r="O694" s="9">
        <f t="shared" si="95"/>
        <v>-21.6</v>
      </c>
      <c r="P694" s="8">
        <f>D692/B692*10^(O694/10)</f>
        <v>0.13606009094739074</v>
      </c>
      <c r="Q694" s="26"/>
      <c r="R694" s="17"/>
      <c r="S694" s="19"/>
      <c r="T694" s="17"/>
      <c r="U694" s="22"/>
    </row>
    <row r="695" spans="1:21" x14ac:dyDescent="0.25">
      <c r="A695" s="24"/>
      <c r="B695" s="24"/>
      <c r="C695" s="17"/>
      <c r="D695" s="24"/>
      <c r="E695" s="24"/>
      <c r="F695" s="25"/>
      <c r="G695" s="1">
        <v>575</v>
      </c>
      <c r="H695" s="2">
        <v>97</v>
      </c>
      <c r="I695" s="2">
        <v>-13.8</v>
      </c>
      <c r="J695" s="2">
        <v>-26.1</v>
      </c>
      <c r="K695" s="2">
        <f t="shared" si="93"/>
        <v>-13.8</v>
      </c>
      <c r="L695" s="8">
        <f t="shared" ref="L695:L721" si="97">10^((K695-H695)/10)</f>
        <v>8.3176377110266746E-12</v>
      </c>
      <c r="M695" s="26"/>
      <c r="N695" s="17"/>
      <c r="O695" s="9">
        <f t="shared" si="95"/>
        <v>-26.1</v>
      </c>
      <c r="P695" s="8">
        <f>D692/B692*10^(O695/10)</f>
        <v>4.827594200847219E-2</v>
      </c>
      <c r="Q695" s="26"/>
      <c r="R695" s="17"/>
      <c r="S695" s="19"/>
      <c r="T695" s="17"/>
      <c r="U695" s="22"/>
    </row>
    <row r="696" spans="1:21" x14ac:dyDescent="0.25">
      <c r="A696" s="24"/>
      <c r="B696" s="24"/>
      <c r="C696" s="17"/>
      <c r="D696" s="24"/>
      <c r="E696" s="24"/>
      <c r="F696" s="25"/>
      <c r="G696" s="1">
        <v>625</v>
      </c>
      <c r="H696" s="2">
        <v>92</v>
      </c>
      <c r="I696" s="2">
        <v>-17.8</v>
      </c>
      <c r="J696" s="2">
        <v>-19</v>
      </c>
      <c r="K696" s="2">
        <f t="shared" si="93"/>
        <v>-17.8</v>
      </c>
      <c r="L696" s="8">
        <f t="shared" si="97"/>
        <v>1.0471285480508978E-11</v>
      </c>
      <c r="M696" s="26"/>
      <c r="N696" s="17"/>
      <c r="O696" s="9">
        <f t="shared" si="95"/>
        <v>-19</v>
      </c>
      <c r="P696" s="8">
        <f>D692/B692*10^(O696/10)</f>
        <v>0.24758866431951942</v>
      </c>
      <c r="Q696" s="26"/>
      <c r="R696" s="17"/>
      <c r="S696" s="19"/>
      <c r="T696" s="17"/>
      <c r="U696" s="22"/>
    </row>
    <row r="697" spans="1:21" x14ac:dyDescent="0.25">
      <c r="A697" s="24"/>
      <c r="B697" s="24"/>
      <c r="C697" s="17"/>
      <c r="D697" s="24"/>
      <c r="E697" s="24"/>
      <c r="F697" s="25"/>
      <c r="G697" s="1">
        <v>675</v>
      </c>
      <c r="H697" s="2">
        <v>94.5</v>
      </c>
      <c r="I697" s="2">
        <v>-17.5</v>
      </c>
      <c r="J697" s="2">
        <v>-19.8</v>
      </c>
      <c r="K697" s="2">
        <f t="shared" si="93"/>
        <v>-17.5</v>
      </c>
      <c r="L697" s="8">
        <f t="shared" si="97"/>
        <v>6.3095734448019345E-12</v>
      </c>
      <c r="M697" s="26"/>
      <c r="N697" s="17"/>
      <c r="O697" s="9">
        <f t="shared" si="95"/>
        <v>-19.8</v>
      </c>
      <c r="P697" s="8">
        <f>D692/B692*10^(O697/10)</f>
        <v>0.2059352811166768</v>
      </c>
      <c r="Q697" s="26"/>
      <c r="R697" s="17"/>
      <c r="S697" s="20"/>
      <c r="T697" s="17"/>
      <c r="U697" s="23"/>
    </row>
    <row r="698" spans="1:21" x14ac:dyDescent="0.25">
      <c r="A698" s="24">
        <v>1000</v>
      </c>
      <c r="B698" s="24">
        <v>3</v>
      </c>
      <c r="C698" s="17">
        <v>0.5</v>
      </c>
      <c r="D698" s="24">
        <v>117</v>
      </c>
      <c r="E698" s="24">
        <v>6</v>
      </c>
      <c r="F698" s="25">
        <v>76</v>
      </c>
      <c r="G698" s="1">
        <v>875</v>
      </c>
      <c r="H698" s="2">
        <v>91.1</v>
      </c>
      <c r="I698" s="2">
        <v>-14.4</v>
      </c>
      <c r="J698" s="2">
        <v>-18.7</v>
      </c>
      <c r="K698" s="2">
        <f t="shared" si="93"/>
        <v>-14.4</v>
      </c>
      <c r="L698" s="8">
        <f t="shared" si="97"/>
        <v>2.8183829312644474E-11</v>
      </c>
      <c r="M698" s="26">
        <f>SUM(L698:L703)</f>
        <v>5.340993190246955E-11</v>
      </c>
      <c r="N698" s="17">
        <f>10*LOG10(M698/E698)</f>
        <v>-110.50529226138538</v>
      </c>
      <c r="O698" s="9">
        <f t="shared" si="95"/>
        <v>-18.7</v>
      </c>
      <c r="P698" s="8">
        <f>D698/B698*10^(O698/10)</f>
        <v>0.5260955242107449</v>
      </c>
      <c r="Q698" s="26">
        <f>SUM(P698:P703)</f>
        <v>3.0616223527055997</v>
      </c>
      <c r="R698" s="17">
        <f>10*LOG10(Q698)</f>
        <v>4.8595161998377367</v>
      </c>
      <c r="S698" s="18">
        <f>F698+N698-Kzt-H</f>
        <v>-34.505292261385378</v>
      </c>
      <c r="T698" s="17">
        <v>0.8</v>
      </c>
      <c r="U698" s="21">
        <f>T698*10^((S698-R698)/10)</f>
        <v>9.2599606437882413E-5</v>
      </c>
    </row>
    <row r="699" spans="1:21" x14ac:dyDescent="0.25">
      <c r="A699" s="24"/>
      <c r="B699" s="24"/>
      <c r="C699" s="17"/>
      <c r="D699" s="24"/>
      <c r="E699" s="24"/>
      <c r="F699" s="25"/>
      <c r="G699" s="1">
        <v>975</v>
      </c>
      <c r="H699" s="2">
        <v>96.5</v>
      </c>
      <c r="I699" s="2">
        <v>-14.4</v>
      </c>
      <c r="J699" s="2">
        <v>-20</v>
      </c>
      <c r="K699" s="2">
        <f t="shared" si="93"/>
        <v>-14.4</v>
      </c>
      <c r="L699" s="8">
        <f t="shared" si="97"/>
        <v>8.1283051616409864E-12</v>
      </c>
      <c r="M699" s="26"/>
      <c r="N699" s="17"/>
      <c r="O699" s="9">
        <f t="shared" si="95"/>
        <v>-20</v>
      </c>
      <c r="P699" s="8">
        <f>D698/B698*10^(O699/10)</f>
        <v>0.39</v>
      </c>
      <c r="Q699" s="26"/>
      <c r="R699" s="17"/>
      <c r="S699" s="19"/>
      <c r="T699" s="17"/>
      <c r="U699" s="22"/>
    </row>
    <row r="700" spans="1:21" x14ac:dyDescent="0.25">
      <c r="A700" s="24"/>
      <c r="B700" s="24"/>
      <c r="C700" s="17"/>
      <c r="D700" s="24"/>
      <c r="E700" s="24"/>
      <c r="F700" s="25"/>
      <c r="G700" s="1">
        <v>1075</v>
      </c>
      <c r="H700" s="2">
        <v>94.6</v>
      </c>
      <c r="I700" s="2">
        <v>-15.6</v>
      </c>
      <c r="J700" s="2">
        <v>-20.2</v>
      </c>
      <c r="K700" s="2">
        <f t="shared" si="93"/>
        <v>-15.6</v>
      </c>
      <c r="L700" s="8">
        <f t="shared" si="97"/>
        <v>9.5499258602143472E-12</v>
      </c>
      <c r="M700" s="26"/>
      <c r="N700" s="17"/>
      <c r="O700" s="9">
        <f t="shared" si="95"/>
        <v>-20.2</v>
      </c>
      <c r="P700" s="8">
        <f>D698/B698*10^(O700/10)</f>
        <v>0.37244710854835994</v>
      </c>
      <c r="Q700" s="26"/>
      <c r="R700" s="17"/>
      <c r="S700" s="19"/>
      <c r="T700" s="17"/>
      <c r="U700" s="22"/>
    </row>
    <row r="701" spans="1:21" x14ac:dyDescent="0.25">
      <c r="A701" s="24"/>
      <c r="B701" s="24"/>
      <c r="C701" s="17"/>
      <c r="D701" s="24"/>
      <c r="E701" s="24"/>
      <c r="F701" s="25"/>
      <c r="G701" s="1">
        <v>1175</v>
      </c>
      <c r="H701" s="2">
        <v>97.8</v>
      </c>
      <c r="I701" s="2">
        <v>-17.5</v>
      </c>
      <c r="J701" s="2">
        <v>-18.399999999999999</v>
      </c>
      <c r="K701" s="2">
        <f t="shared" si="93"/>
        <v>-17.5</v>
      </c>
      <c r="L701" s="8">
        <f t="shared" si="97"/>
        <v>2.9512092266663859E-12</v>
      </c>
      <c r="M701" s="26"/>
      <c r="N701" s="17"/>
      <c r="O701" s="9">
        <f t="shared" si="95"/>
        <v>-18.399999999999999</v>
      </c>
      <c r="P701" s="8">
        <f>D698/B698*10^(O701/10)</f>
        <v>0.56372151059091158</v>
      </c>
      <c r="Q701" s="26"/>
      <c r="R701" s="17"/>
      <c r="S701" s="19"/>
      <c r="T701" s="17"/>
      <c r="U701" s="22"/>
    </row>
    <row r="702" spans="1:21" x14ac:dyDescent="0.25">
      <c r="A702" s="24"/>
      <c r="B702" s="24"/>
      <c r="C702" s="17"/>
      <c r="D702" s="24"/>
      <c r="E702" s="24"/>
      <c r="F702" s="25"/>
      <c r="G702" s="1">
        <v>1275</v>
      </c>
      <c r="H702" s="2">
        <v>100.1</v>
      </c>
      <c r="I702" s="2">
        <v>-15.4</v>
      </c>
      <c r="J702" s="2">
        <v>-18.3</v>
      </c>
      <c r="K702" s="2">
        <f t="shared" si="93"/>
        <v>-15.4</v>
      </c>
      <c r="L702" s="8">
        <f t="shared" si="97"/>
        <v>2.8183829312644444E-12</v>
      </c>
      <c r="M702" s="26"/>
      <c r="N702" s="17"/>
      <c r="O702" s="9">
        <f t="shared" si="95"/>
        <v>-18.3</v>
      </c>
      <c r="P702" s="8">
        <f>D698/B698*10^(O702/10)</f>
        <v>0.5768522713856008</v>
      </c>
      <c r="Q702" s="26"/>
      <c r="R702" s="17"/>
      <c r="S702" s="19"/>
      <c r="T702" s="17"/>
      <c r="U702" s="22"/>
    </row>
    <row r="703" spans="1:21" x14ac:dyDescent="0.25">
      <c r="A703" s="24"/>
      <c r="B703" s="24"/>
      <c r="C703" s="17"/>
      <c r="D703" s="24"/>
      <c r="E703" s="24"/>
      <c r="F703" s="25"/>
      <c r="G703" s="1">
        <v>1375</v>
      </c>
      <c r="H703" s="2">
        <v>103</v>
      </c>
      <c r="I703" s="2">
        <v>-14.5</v>
      </c>
      <c r="J703" s="2">
        <v>-17.899999999999999</v>
      </c>
      <c r="K703" s="2">
        <f t="shared" si="93"/>
        <v>-14.5</v>
      </c>
      <c r="L703" s="8">
        <f t="shared" si="97"/>
        <v>1.7782794100389204E-12</v>
      </c>
      <c r="M703" s="26"/>
      <c r="N703" s="17"/>
      <c r="O703" s="9">
        <f t="shared" si="95"/>
        <v>-17.899999999999999</v>
      </c>
      <c r="P703" s="8">
        <f>D698/B698*10^(O703/10)</f>
        <v>0.63250593796998289</v>
      </c>
      <c r="Q703" s="26"/>
      <c r="R703" s="17"/>
      <c r="S703" s="20"/>
      <c r="T703" s="17"/>
      <c r="U703" s="23"/>
    </row>
    <row r="704" spans="1:21" x14ac:dyDescent="0.25">
      <c r="A704" s="24">
        <v>2000</v>
      </c>
      <c r="B704" s="24">
        <v>3</v>
      </c>
      <c r="C704" s="17">
        <v>0.5</v>
      </c>
      <c r="D704" s="24">
        <v>234</v>
      </c>
      <c r="E704" s="24">
        <v>6</v>
      </c>
      <c r="F704" s="25">
        <v>68</v>
      </c>
      <c r="G704" s="1">
        <v>1425</v>
      </c>
      <c r="H704" s="2">
        <v>102.8</v>
      </c>
      <c r="I704" s="2">
        <v>-18.100000000000001</v>
      </c>
      <c r="J704" s="2">
        <v>-19</v>
      </c>
      <c r="K704" s="2">
        <f t="shared" si="93"/>
        <v>-18.100000000000001</v>
      </c>
      <c r="L704" s="8">
        <f t="shared" si="97"/>
        <v>8.1283051616409777E-13</v>
      </c>
      <c r="M704" s="26">
        <f>SUM(L704:L709)</f>
        <v>1.7885140273874817E-11</v>
      </c>
      <c r="N704" s="17">
        <f>10*LOG10(M704/E704)</f>
        <v>-115.25658899696202</v>
      </c>
      <c r="O704" s="9">
        <f t="shared" si="95"/>
        <v>-19</v>
      </c>
      <c r="P704" s="8">
        <f>D704/B704*10^(O704/10)</f>
        <v>0.98196182119944986</v>
      </c>
      <c r="Q704" s="26">
        <f>SUM(P704:P709)</f>
        <v>3.7731812705374788</v>
      </c>
      <c r="R704" s="17">
        <f>10*LOG10(Q704)</f>
        <v>5.7670767000435808</v>
      </c>
      <c r="S704" s="18">
        <f>F704+N704-Kzt-H</f>
        <v>-47.256588996962023</v>
      </c>
      <c r="T704" s="17">
        <v>1</v>
      </c>
      <c r="U704" s="21">
        <f>T704*10^((S704-R704)/10)</f>
        <v>4.9846357771428125E-6</v>
      </c>
    </row>
    <row r="705" spans="1:21" x14ac:dyDescent="0.25">
      <c r="A705" s="24"/>
      <c r="B705" s="24"/>
      <c r="C705" s="17"/>
      <c r="D705" s="24"/>
      <c r="E705" s="24"/>
      <c r="F705" s="25"/>
      <c r="G705" s="1">
        <v>1625</v>
      </c>
      <c r="H705" s="2">
        <v>104.1</v>
      </c>
      <c r="I705" s="2">
        <v>-19</v>
      </c>
      <c r="J705" s="2">
        <v>-21.1</v>
      </c>
      <c r="K705" s="2">
        <f t="shared" si="93"/>
        <v>-19</v>
      </c>
      <c r="L705" s="8">
        <f t="shared" si="97"/>
        <v>4.8977881936844633E-13</v>
      </c>
      <c r="M705" s="26"/>
      <c r="N705" s="17"/>
      <c r="O705" s="9">
        <f t="shared" si="95"/>
        <v>-21.1</v>
      </c>
      <c r="P705" s="8">
        <f>D704/B704*10^(O705/10)</f>
        <v>0.60547275097037889</v>
      </c>
      <c r="Q705" s="26"/>
      <c r="R705" s="17"/>
      <c r="S705" s="19"/>
      <c r="T705" s="17"/>
      <c r="U705" s="22"/>
    </row>
    <row r="706" spans="1:21" x14ac:dyDescent="0.25">
      <c r="A706" s="24"/>
      <c r="B706" s="24"/>
      <c r="C706" s="17"/>
      <c r="D706" s="24"/>
      <c r="E706" s="24"/>
      <c r="F706" s="25"/>
      <c r="G706" s="1">
        <v>1825</v>
      </c>
      <c r="H706" s="2">
        <v>107.6</v>
      </c>
      <c r="I706" s="2">
        <v>-15.1</v>
      </c>
      <c r="J706" s="2">
        <v>-20.100000000000001</v>
      </c>
      <c r="K706" s="2">
        <f t="shared" si="93"/>
        <v>-15.1</v>
      </c>
      <c r="L706" s="8">
        <f t="shared" si="97"/>
        <v>5.3703179637025273E-13</v>
      </c>
      <c r="M706" s="26"/>
      <c r="N706" s="17"/>
      <c r="O706" s="9">
        <f t="shared" si="95"/>
        <v>-20.100000000000001</v>
      </c>
      <c r="P706" s="8">
        <f>D704/B704*10^(O706/10)</f>
        <v>0.76224503234553143</v>
      </c>
      <c r="Q706" s="26"/>
      <c r="R706" s="17"/>
      <c r="S706" s="19"/>
      <c r="T706" s="17"/>
      <c r="U706" s="22"/>
    </row>
    <row r="707" spans="1:21" x14ac:dyDescent="0.25">
      <c r="A707" s="24"/>
      <c r="B707" s="24"/>
      <c r="C707" s="17"/>
      <c r="D707" s="24"/>
      <c r="E707" s="24"/>
      <c r="F707" s="25"/>
      <c r="G707" s="1">
        <v>2125</v>
      </c>
      <c r="H707" s="2">
        <v>104.2</v>
      </c>
      <c r="I707" s="2">
        <v>-18.3</v>
      </c>
      <c r="J707" s="2">
        <v>-21.7</v>
      </c>
      <c r="K707" s="2">
        <f t="shared" si="93"/>
        <v>-18.3</v>
      </c>
      <c r="L707" s="8">
        <f t="shared" si="97"/>
        <v>5.6234132519034702E-13</v>
      </c>
      <c r="M707" s="26"/>
      <c r="N707" s="17"/>
      <c r="O707" s="9">
        <f t="shared" si="95"/>
        <v>-21.7</v>
      </c>
      <c r="P707" s="8">
        <f>D704/B704*10^(O707/10)</f>
        <v>0.52734472080574546</v>
      </c>
      <c r="Q707" s="26"/>
      <c r="R707" s="17"/>
      <c r="S707" s="19"/>
      <c r="T707" s="17"/>
      <c r="U707" s="22"/>
    </row>
    <row r="708" spans="1:21" x14ac:dyDescent="0.25">
      <c r="A708" s="24"/>
      <c r="B708" s="24"/>
      <c r="C708" s="17"/>
      <c r="D708" s="24"/>
      <c r="E708" s="24"/>
      <c r="F708" s="25"/>
      <c r="G708" s="1">
        <v>2425</v>
      </c>
      <c r="H708" s="2">
        <v>93.7</v>
      </c>
      <c r="I708" s="2">
        <v>-16.100000000000001</v>
      </c>
      <c r="J708" s="2">
        <v>-21.6</v>
      </c>
      <c r="K708" s="2">
        <f t="shared" si="93"/>
        <v>-16.100000000000001</v>
      </c>
      <c r="L708" s="8">
        <f t="shared" si="97"/>
        <v>1.0471285480508978E-11</v>
      </c>
      <c r="M708" s="26"/>
      <c r="N708" s="17"/>
      <c r="O708" s="9">
        <f t="shared" si="95"/>
        <v>-21.6</v>
      </c>
      <c r="P708" s="8">
        <f>D704/B704*10^(O708/10)</f>
        <v>0.53962815731677005</v>
      </c>
      <c r="Q708" s="26"/>
      <c r="R708" s="17"/>
      <c r="S708" s="19"/>
      <c r="T708" s="17"/>
      <c r="U708" s="22"/>
    </row>
    <row r="709" spans="1:21" x14ac:dyDescent="0.25">
      <c r="A709" s="24"/>
      <c r="B709" s="24"/>
      <c r="C709" s="17"/>
      <c r="D709" s="24"/>
      <c r="E709" s="24"/>
      <c r="F709" s="25"/>
      <c r="G709" s="1">
        <v>2775</v>
      </c>
      <c r="H709" s="2">
        <v>100.2</v>
      </c>
      <c r="I709" s="2">
        <v>-12.8</v>
      </c>
      <c r="J709" s="2">
        <v>-23.4</v>
      </c>
      <c r="K709" s="2">
        <f t="shared" si="93"/>
        <v>-12.8</v>
      </c>
      <c r="L709" s="8">
        <f t="shared" si="97"/>
        <v>5.0118723362726945E-12</v>
      </c>
      <c r="M709" s="26"/>
      <c r="N709" s="17"/>
      <c r="O709" s="9">
        <f t="shared" si="95"/>
        <v>-23.4</v>
      </c>
      <c r="P709" s="8">
        <f>D704/B704*10^(O709/10)</f>
        <v>0.35652878789960252</v>
      </c>
      <c r="Q709" s="26"/>
      <c r="R709" s="17"/>
      <c r="S709" s="20"/>
      <c r="T709" s="17"/>
      <c r="U709" s="23"/>
    </row>
    <row r="710" spans="1:21" x14ac:dyDescent="0.25">
      <c r="A710" s="24">
        <v>4000</v>
      </c>
      <c r="B710" s="24">
        <v>3</v>
      </c>
      <c r="C710" s="17">
        <v>0.5</v>
      </c>
      <c r="D710" s="24">
        <v>470</v>
      </c>
      <c r="E710" s="24">
        <v>6</v>
      </c>
      <c r="F710" s="25">
        <v>62</v>
      </c>
      <c r="G710" s="1">
        <v>2825</v>
      </c>
      <c r="H710" s="2">
        <v>99.4</v>
      </c>
      <c r="I710" s="2">
        <v>-12.4</v>
      </c>
      <c r="J710" s="2">
        <v>-18.5</v>
      </c>
      <c r="K710" s="2">
        <f t="shared" si="93"/>
        <v>-12.4</v>
      </c>
      <c r="L710" s="8">
        <f t="shared" si="97"/>
        <v>6.6069344800759144E-12</v>
      </c>
      <c r="M710" s="26">
        <f>SUM(L710:L715)</f>
        <v>2.0267359731023541E-11</v>
      </c>
      <c r="N710" s="17">
        <f>10*LOG10(M710/E710)</f>
        <v>-114.71354074405605</v>
      </c>
      <c r="O710" s="9">
        <f t="shared" si="95"/>
        <v>-18.5</v>
      </c>
      <c r="P710" s="8">
        <f>D710/B710*10^(O710/10)</f>
        <v>2.2129754865756457</v>
      </c>
      <c r="Q710" s="26">
        <f>SUM(P710:P715)</f>
        <v>8.8739809085591048</v>
      </c>
      <c r="R710" s="17">
        <f>10*LOG10(Q710)</f>
        <v>9.481184900424303</v>
      </c>
      <c r="S710" s="18">
        <f>F710+N710-Kzt-H</f>
        <v>-52.713540744056047</v>
      </c>
      <c r="T710" s="17">
        <v>0.9</v>
      </c>
      <c r="U710" s="21">
        <f>T710*10^((S710-R710)/10)</f>
        <v>5.4296263646247874E-7</v>
      </c>
    </row>
    <row r="711" spans="1:21" x14ac:dyDescent="0.25">
      <c r="A711" s="24"/>
      <c r="B711" s="24"/>
      <c r="C711" s="17"/>
      <c r="D711" s="24"/>
      <c r="E711" s="24"/>
      <c r="F711" s="25"/>
      <c r="G711" s="1">
        <v>3425</v>
      </c>
      <c r="H711" s="2">
        <v>103.5</v>
      </c>
      <c r="I711" s="2">
        <v>-13.7</v>
      </c>
      <c r="J711" s="2">
        <v>-22.7</v>
      </c>
      <c r="K711" s="2">
        <f t="shared" si="93"/>
        <v>-13.7</v>
      </c>
      <c r="L711" s="8">
        <f t="shared" si="97"/>
        <v>1.905460717963237E-12</v>
      </c>
      <c r="M711" s="26"/>
      <c r="N711" s="17"/>
      <c r="O711" s="9">
        <f t="shared" si="95"/>
        <v>-22.7</v>
      </c>
      <c r="P711" s="8">
        <f>D710/B710*10^(O711/10)</f>
        <v>0.84134981431339539</v>
      </c>
      <c r="Q711" s="26"/>
      <c r="R711" s="17"/>
      <c r="S711" s="19"/>
      <c r="T711" s="17"/>
      <c r="U711" s="22"/>
    </row>
    <row r="712" spans="1:21" x14ac:dyDescent="0.25">
      <c r="A712" s="24"/>
      <c r="B712" s="24"/>
      <c r="C712" s="17"/>
      <c r="D712" s="24"/>
      <c r="E712" s="24"/>
      <c r="F712" s="25"/>
      <c r="G712" s="1">
        <v>4025</v>
      </c>
      <c r="H712" s="2">
        <v>103.6</v>
      </c>
      <c r="I712" s="2">
        <v>-15.6</v>
      </c>
      <c r="J712" s="2">
        <v>-18</v>
      </c>
      <c r="K712" s="2">
        <f t="shared" si="93"/>
        <v>-15.6</v>
      </c>
      <c r="L712" s="8">
        <f t="shared" si="97"/>
        <v>1.202264434617413E-12</v>
      </c>
      <c r="M712" s="26"/>
      <c r="N712" s="17"/>
      <c r="O712" s="9">
        <f t="shared" si="95"/>
        <v>-18</v>
      </c>
      <c r="P712" s="8">
        <f>D710/B710*10^(O712/10)</f>
        <v>2.4829993348557426</v>
      </c>
      <c r="Q712" s="26"/>
      <c r="R712" s="17"/>
      <c r="S712" s="19"/>
      <c r="T712" s="17"/>
      <c r="U712" s="22"/>
    </row>
    <row r="713" spans="1:21" x14ac:dyDescent="0.25">
      <c r="A713" s="24"/>
      <c r="B713" s="24"/>
      <c r="C713" s="17"/>
      <c r="D713" s="24"/>
      <c r="E713" s="24"/>
      <c r="F713" s="25"/>
      <c r="G713" s="1">
        <v>4625</v>
      </c>
      <c r="H713" s="2">
        <v>105.6</v>
      </c>
      <c r="I713" s="2">
        <v>-17.2</v>
      </c>
      <c r="J713" s="2">
        <v>-22.2</v>
      </c>
      <c r="K713" s="2">
        <f t="shared" si="93"/>
        <v>-17.2</v>
      </c>
      <c r="L713" s="8">
        <f t="shared" si="97"/>
        <v>5.2480746024977259E-13</v>
      </c>
      <c r="M713" s="26"/>
      <c r="N713" s="17"/>
      <c r="O713" s="9">
        <f t="shared" si="95"/>
        <v>-22.2</v>
      </c>
      <c r="P713" s="8">
        <f>D710/B710*10^(O713/10)</f>
        <v>0.94401001818316033</v>
      </c>
      <c r="Q713" s="26"/>
      <c r="R713" s="17"/>
      <c r="S713" s="19"/>
      <c r="T713" s="17"/>
      <c r="U713" s="22"/>
    </row>
    <row r="714" spans="1:21" x14ac:dyDescent="0.25">
      <c r="A714" s="24"/>
      <c r="B714" s="24"/>
      <c r="C714" s="17"/>
      <c r="D714" s="24"/>
      <c r="E714" s="24"/>
      <c r="F714" s="25"/>
      <c r="G714" s="1">
        <v>5225</v>
      </c>
      <c r="H714" s="2">
        <v>103.5</v>
      </c>
      <c r="I714" s="2">
        <v>-15.3</v>
      </c>
      <c r="J714" s="2">
        <v>-21.7</v>
      </c>
      <c r="K714" s="2">
        <f t="shared" si="93"/>
        <v>-15.3</v>
      </c>
      <c r="L714" s="8">
        <f t="shared" si="97"/>
        <v>1.3182567385564068E-12</v>
      </c>
      <c r="M714" s="26"/>
      <c r="N714" s="17"/>
      <c r="O714" s="9">
        <f t="shared" si="95"/>
        <v>-21.7</v>
      </c>
      <c r="P714" s="8">
        <f>D710/B710*10^(O714/10)</f>
        <v>1.0591966614474373</v>
      </c>
      <c r="Q714" s="26"/>
      <c r="R714" s="17"/>
      <c r="S714" s="19"/>
      <c r="T714" s="17"/>
      <c r="U714" s="22"/>
    </row>
    <row r="715" spans="1:21" x14ac:dyDescent="0.25">
      <c r="A715" s="24"/>
      <c r="B715" s="24"/>
      <c r="C715" s="17"/>
      <c r="D715" s="24"/>
      <c r="E715" s="24"/>
      <c r="F715" s="25"/>
      <c r="G715" s="1">
        <v>5625</v>
      </c>
      <c r="H715" s="2">
        <v>99.5</v>
      </c>
      <c r="I715" s="2">
        <v>-11.1</v>
      </c>
      <c r="J715" s="2">
        <v>-20.7</v>
      </c>
      <c r="K715" s="2">
        <f t="shared" si="93"/>
        <v>-11.1</v>
      </c>
      <c r="L715" s="8">
        <f t="shared" si="97"/>
        <v>8.7096358995607975E-12</v>
      </c>
      <c r="M715" s="26"/>
      <c r="N715" s="17"/>
      <c r="O715" s="9">
        <f t="shared" si="95"/>
        <v>-20.7</v>
      </c>
      <c r="P715" s="8">
        <f>D710/B710*10^(O715/10)</f>
        <v>1.3334495931837236</v>
      </c>
      <c r="Q715" s="26"/>
      <c r="R715" s="17"/>
      <c r="S715" s="20"/>
      <c r="T715" s="17"/>
      <c r="U715" s="23"/>
    </row>
    <row r="716" spans="1:21" x14ac:dyDescent="0.25">
      <c r="A716" s="24">
        <v>8000</v>
      </c>
      <c r="B716" s="24">
        <v>3</v>
      </c>
      <c r="C716" s="17">
        <v>0.5</v>
      </c>
      <c r="D716" s="24">
        <v>943</v>
      </c>
      <c r="E716" s="24">
        <v>6</v>
      </c>
      <c r="F716" s="25">
        <v>54</v>
      </c>
      <c r="G716" s="1">
        <v>6025</v>
      </c>
      <c r="H716" s="2">
        <v>95</v>
      </c>
      <c r="I716" s="2">
        <v>-13.8</v>
      </c>
      <c r="J716" s="2">
        <v>-21.1</v>
      </c>
      <c r="K716" s="2">
        <f t="shared" si="93"/>
        <v>-13.8</v>
      </c>
      <c r="L716" s="8">
        <f t="shared" si="97"/>
        <v>1.3182567385564083E-11</v>
      </c>
      <c r="M716" s="26">
        <f>SUM(L716:L721)</f>
        <v>1.4924163999294276E-10</v>
      </c>
      <c r="N716" s="17">
        <f>10*LOG10(M716/E716)</f>
        <v>-106.04261237594777</v>
      </c>
      <c r="O716" s="9">
        <f t="shared" si="95"/>
        <v>-21.1</v>
      </c>
      <c r="P716" s="8">
        <f>D716/B716*10^(O716/10)</f>
        <v>2.4400034366028516</v>
      </c>
      <c r="Q716" s="26">
        <f>SUM(P716:P721)</f>
        <v>15.609619933470258</v>
      </c>
      <c r="R716" s="17">
        <f>10*LOG10(Q716)</f>
        <v>11.933923288916246</v>
      </c>
      <c r="S716" s="18">
        <f>F716+N716-Kzt-H</f>
        <v>-52.042612375947769</v>
      </c>
      <c r="T716" s="17">
        <v>0.7</v>
      </c>
      <c r="U716" s="21">
        <f>T716*10^((S716-R716)/10)</f>
        <v>2.8018473701750805E-7</v>
      </c>
    </row>
    <row r="717" spans="1:21" x14ac:dyDescent="0.25">
      <c r="A717" s="24"/>
      <c r="B717" s="24"/>
      <c r="C717" s="17"/>
      <c r="D717" s="24"/>
      <c r="E717" s="24"/>
      <c r="F717" s="25"/>
      <c r="G717" s="1">
        <v>7025</v>
      </c>
      <c r="H717" s="2">
        <v>94.8</v>
      </c>
      <c r="I717" s="2">
        <v>-17.100000000000001</v>
      </c>
      <c r="J717" s="2">
        <v>-19.8</v>
      </c>
      <c r="K717" s="2">
        <f t="shared" si="93"/>
        <v>-17.100000000000001</v>
      </c>
      <c r="L717" s="8">
        <f t="shared" si="97"/>
        <v>6.4565422903465118E-12</v>
      </c>
      <c r="M717" s="26"/>
      <c r="N717" s="17"/>
      <c r="O717" s="9">
        <f t="shared" si="95"/>
        <v>-19.8</v>
      </c>
      <c r="P717" s="8">
        <f>D716/B716*10^(O717/10)</f>
        <v>3.2914740693733253</v>
      </c>
      <c r="Q717" s="26"/>
      <c r="R717" s="17"/>
      <c r="S717" s="19"/>
      <c r="T717" s="17"/>
      <c r="U717" s="22"/>
    </row>
    <row r="718" spans="1:21" x14ac:dyDescent="0.25">
      <c r="A718" s="24"/>
      <c r="B718" s="24"/>
      <c r="C718" s="17"/>
      <c r="D718" s="24"/>
      <c r="E718" s="24"/>
      <c r="F718" s="25"/>
      <c r="G718" s="1">
        <v>8025</v>
      </c>
      <c r="H718" s="2">
        <v>101.9</v>
      </c>
      <c r="I718" s="2">
        <v>-18.3</v>
      </c>
      <c r="J718" s="2">
        <v>-19.899999999999999</v>
      </c>
      <c r="K718" s="2">
        <f t="shared" si="93"/>
        <v>-18.3</v>
      </c>
      <c r="L718" s="8">
        <f t="shared" si="97"/>
        <v>9.5499258602143367E-13</v>
      </c>
      <c r="M718" s="26"/>
      <c r="N718" s="17"/>
      <c r="O718" s="9">
        <f t="shared" si="95"/>
        <v>-19.899999999999999</v>
      </c>
      <c r="P718" s="8">
        <f>D716/B716*10^(O718/10)</f>
        <v>3.2165509724025045</v>
      </c>
      <c r="Q718" s="26"/>
      <c r="R718" s="17"/>
      <c r="S718" s="19"/>
      <c r="T718" s="17"/>
      <c r="U718" s="22"/>
    </row>
    <row r="719" spans="1:21" x14ac:dyDescent="0.25">
      <c r="A719" s="24"/>
      <c r="B719" s="24"/>
      <c r="C719" s="17"/>
      <c r="D719" s="24"/>
      <c r="E719" s="24"/>
      <c r="F719" s="25"/>
      <c r="G719" s="1">
        <v>9025</v>
      </c>
      <c r="H719" s="2">
        <v>93.2</v>
      </c>
      <c r="I719" s="2">
        <v>-17.600000000000001</v>
      </c>
      <c r="J719" s="2">
        <v>-22.3</v>
      </c>
      <c r="K719" s="2">
        <f t="shared" si="93"/>
        <v>-17.600000000000001</v>
      </c>
      <c r="L719" s="8">
        <f t="shared" si="97"/>
        <v>8.3176377110266455E-12</v>
      </c>
      <c r="M719" s="26"/>
      <c r="N719" s="17"/>
      <c r="O719" s="9">
        <f t="shared" si="95"/>
        <v>-22.3</v>
      </c>
      <c r="P719" s="8">
        <f>D716/B716*10^(O719/10)</f>
        <v>1.8509318900010678</v>
      </c>
      <c r="Q719" s="26"/>
      <c r="R719" s="17"/>
      <c r="S719" s="19"/>
      <c r="T719" s="17"/>
      <c r="U719" s="22"/>
    </row>
    <row r="720" spans="1:21" x14ac:dyDescent="0.25">
      <c r="A720" s="24"/>
      <c r="B720" s="24"/>
      <c r="C720" s="17"/>
      <c r="D720" s="24"/>
      <c r="E720" s="24"/>
      <c r="F720" s="25"/>
      <c r="G720" s="1">
        <v>10025</v>
      </c>
      <c r="H720" s="2">
        <v>88.3</v>
      </c>
      <c r="I720" s="2">
        <v>-16</v>
      </c>
      <c r="J720" s="2">
        <v>-20.2</v>
      </c>
      <c r="K720" s="2">
        <f t="shared" si="93"/>
        <v>-16</v>
      </c>
      <c r="L720" s="8">
        <f t="shared" si="97"/>
        <v>3.7153522909717256E-11</v>
      </c>
      <c r="M720" s="26"/>
      <c r="N720" s="17"/>
      <c r="O720" s="9">
        <f t="shared" si="95"/>
        <v>-20.2</v>
      </c>
      <c r="P720" s="8">
        <f>D716/B716*10^(O720/10)</f>
        <v>3.0018600287273793</v>
      </c>
      <c r="Q720" s="26"/>
      <c r="R720" s="17"/>
      <c r="S720" s="19"/>
      <c r="T720" s="17"/>
      <c r="U720" s="22"/>
    </row>
    <row r="721" spans="1:21" x14ac:dyDescent="0.25">
      <c r="A721" s="24"/>
      <c r="B721" s="24"/>
      <c r="C721" s="17"/>
      <c r="D721" s="24"/>
      <c r="E721" s="24"/>
      <c r="F721" s="25"/>
      <c r="G721" s="1">
        <v>11025</v>
      </c>
      <c r="H721" s="2">
        <v>86</v>
      </c>
      <c r="I721" s="2">
        <v>-14.8</v>
      </c>
      <c r="J721" s="2">
        <v>-22.4</v>
      </c>
      <c r="K721" s="2">
        <f t="shared" si="93"/>
        <v>-14.8</v>
      </c>
      <c r="L721" s="8">
        <f t="shared" si="97"/>
        <v>8.3176377110266833E-11</v>
      </c>
      <c r="M721" s="26"/>
      <c r="N721" s="17"/>
      <c r="O721" s="9">
        <f t="shared" si="95"/>
        <v>-22.4</v>
      </c>
      <c r="P721" s="8">
        <f>D716/B716*10^(O721/10)</f>
        <v>1.8087995363631302</v>
      </c>
      <c r="Q721" s="26"/>
      <c r="R721" s="17"/>
      <c r="S721" s="20"/>
      <c r="T721" s="17"/>
      <c r="U721" s="23"/>
    </row>
    <row r="722" spans="1:21" x14ac:dyDescent="0.25">
      <c r="A722" s="24" t="s">
        <v>20</v>
      </c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12">
        <f>U722</f>
        <v>6.2006154517531914E-2</v>
      </c>
      <c r="T722" s="2"/>
      <c r="U722" s="8">
        <f>0.8*SQRT(SUM(U688:U721))</f>
        <v>6.2006154517531914E-2</v>
      </c>
    </row>
  </sheetData>
  <mergeCells count="1600">
    <mergeCell ref="R4:R7"/>
    <mergeCell ref="S4:S7"/>
    <mergeCell ref="T4:T7"/>
    <mergeCell ref="U4:U7"/>
    <mergeCell ref="A8:A13"/>
    <mergeCell ref="B8:B13"/>
    <mergeCell ref="C8:C13"/>
    <mergeCell ref="D8:D13"/>
    <mergeCell ref="E8:E13"/>
    <mergeCell ref="F8:F13"/>
    <mergeCell ref="A3:U3"/>
    <mergeCell ref="A4:A7"/>
    <mergeCell ref="B4:B7"/>
    <mergeCell ref="C4:C7"/>
    <mergeCell ref="D4:D7"/>
    <mergeCell ref="E4:E7"/>
    <mergeCell ref="F4:F7"/>
    <mergeCell ref="M4:M7"/>
    <mergeCell ref="N4:N7"/>
    <mergeCell ref="Q4:Q7"/>
    <mergeCell ref="R14:R19"/>
    <mergeCell ref="S14:S19"/>
    <mergeCell ref="T14:T19"/>
    <mergeCell ref="U14:U19"/>
    <mergeCell ref="A20:A25"/>
    <mergeCell ref="B20:B25"/>
    <mergeCell ref="C20:C25"/>
    <mergeCell ref="D20:D25"/>
    <mergeCell ref="E20:E25"/>
    <mergeCell ref="F20:F25"/>
    <mergeCell ref="U8:U13"/>
    <mergeCell ref="A14:A19"/>
    <mergeCell ref="B14:B19"/>
    <mergeCell ref="C14:C19"/>
    <mergeCell ref="D14:D19"/>
    <mergeCell ref="E14:E19"/>
    <mergeCell ref="F14:F19"/>
    <mergeCell ref="M14:M19"/>
    <mergeCell ref="N14:N19"/>
    <mergeCell ref="Q14:Q19"/>
    <mergeCell ref="M8:M13"/>
    <mergeCell ref="N8:N13"/>
    <mergeCell ref="Q8:Q13"/>
    <mergeCell ref="R8:R13"/>
    <mergeCell ref="S8:S13"/>
    <mergeCell ref="T8:T13"/>
    <mergeCell ref="R26:R31"/>
    <mergeCell ref="S26:S31"/>
    <mergeCell ref="T26:T31"/>
    <mergeCell ref="U26:U31"/>
    <mergeCell ref="A32:A37"/>
    <mergeCell ref="B32:B37"/>
    <mergeCell ref="C32:C37"/>
    <mergeCell ref="D32:D37"/>
    <mergeCell ref="E32:E37"/>
    <mergeCell ref="F32:F37"/>
    <mergeCell ref="U20:U25"/>
    <mergeCell ref="A26:A31"/>
    <mergeCell ref="B26:B31"/>
    <mergeCell ref="C26:C31"/>
    <mergeCell ref="D26:D31"/>
    <mergeCell ref="E26:E31"/>
    <mergeCell ref="F26:F31"/>
    <mergeCell ref="M26:M31"/>
    <mergeCell ref="N26:N31"/>
    <mergeCell ref="Q26:Q31"/>
    <mergeCell ref="M20:M25"/>
    <mergeCell ref="N20:N25"/>
    <mergeCell ref="Q20:Q25"/>
    <mergeCell ref="R20:R25"/>
    <mergeCell ref="S20:S25"/>
    <mergeCell ref="T20:T25"/>
    <mergeCell ref="N40:N43"/>
    <mergeCell ref="Q40:Q43"/>
    <mergeCell ref="R40:R43"/>
    <mergeCell ref="S40:S43"/>
    <mergeCell ref="T40:T43"/>
    <mergeCell ref="U40:U43"/>
    <mergeCell ref="U32:U37"/>
    <mergeCell ref="A38:R38"/>
    <mergeCell ref="A39:U39"/>
    <mergeCell ref="A40:A43"/>
    <mergeCell ref="B40:B43"/>
    <mergeCell ref="C40:C43"/>
    <mergeCell ref="D40:D43"/>
    <mergeCell ref="E40:E43"/>
    <mergeCell ref="F40:F43"/>
    <mergeCell ref="M40:M43"/>
    <mergeCell ref="M32:M37"/>
    <mergeCell ref="N32:N37"/>
    <mergeCell ref="Q32:Q37"/>
    <mergeCell ref="R32:R37"/>
    <mergeCell ref="S32:S37"/>
    <mergeCell ref="T32:T37"/>
    <mergeCell ref="R50:R55"/>
    <mergeCell ref="S50:S55"/>
    <mergeCell ref="T50:T55"/>
    <mergeCell ref="U50:U55"/>
    <mergeCell ref="A56:A61"/>
    <mergeCell ref="B56:B61"/>
    <mergeCell ref="C56:C61"/>
    <mergeCell ref="D56:D61"/>
    <mergeCell ref="E56:E61"/>
    <mergeCell ref="F56:F61"/>
    <mergeCell ref="U44:U49"/>
    <mergeCell ref="A50:A55"/>
    <mergeCell ref="B50:B55"/>
    <mergeCell ref="C50:C55"/>
    <mergeCell ref="D50:D55"/>
    <mergeCell ref="E50:E55"/>
    <mergeCell ref="F50:F55"/>
    <mergeCell ref="M50:M55"/>
    <mergeCell ref="N50:N55"/>
    <mergeCell ref="Q50:Q55"/>
    <mergeCell ref="M44:M49"/>
    <mergeCell ref="N44:N49"/>
    <mergeCell ref="Q44:Q49"/>
    <mergeCell ref="R44:R49"/>
    <mergeCell ref="S44:S49"/>
    <mergeCell ref="T44:T49"/>
    <mergeCell ref="A44:A49"/>
    <mergeCell ref="B44:B49"/>
    <mergeCell ref="C44:C49"/>
    <mergeCell ref="D44:D49"/>
    <mergeCell ref="E44:E49"/>
    <mergeCell ref="F44:F49"/>
    <mergeCell ref="R62:R67"/>
    <mergeCell ref="S62:S67"/>
    <mergeCell ref="T62:T67"/>
    <mergeCell ref="U62:U67"/>
    <mergeCell ref="A68:A73"/>
    <mergeCell ref="B68:B73"/>
    <mergeCell ref="C68:C73"/>
    <mergeCell ref="D68:D73"/>
    <mergeCell ref="E68:E73"/>
    <mergeCell ref="F68:F73"/>
    <mergeCell ref="U56:U61"/>
    <mergeCell ref="A62:A67"/>
    <mergeCell ref="B62:B67"/>
    <mergeCell ref="C62:C67"/>
    <mergeCell ref="D62:D67"/>
    <mergeCell ref="E62:E67"/>
    <mergeCell ref="F62:F67"/>
    <mergeCell ref="M62:M67"/>
    <mergeCell ref="N62:N67"/>
    <mergeCell ref="Q62:Q67"/>
    <mergeCell ref="M56:M61"/>
    <mergeCell ref="N56:N61"/>
    <mergeCell ref="Q56:Q61"/>
    <mergeCell ref="R56:R61"/>
    <mergeCell ref="S56:S61"/>
    <mergeCell ref="T56:T61"/>
    <mergeCell ref="N76:N79"/>
    <mergeCell ref="Q76:Q79"/>
    <mergeCell ref="R76:R79"/>
    <mergeCell ref="S76:S79"/>
    <mergeCell ref="T76:T79"/>
    <mergeCell ref="U76:U79"/>
    <mergeCell ref="U68:U73"/>
    <mergeCell ref="A74:R74"/>
    <mergeCell ref="A75:U75"/>
    <mergeCell ref="A76:A79"/>
    <mergeCell ref="B76:B79"/>
    <mergeCell ref="C76:C79"/>
    <mergeCell ref="D76:D79"/>
    <mergeCell ref="E76:E79"/>
    <mergeCell ref="F76:F79"/>
    <mergeCell ref="M76:M79"/>
    <mergeCell ref="M68:M73"/>
    <mergeCell ref="N68:N73"/>
    <mergeCell ref="Q68:Q73"/>
    <mergeCell ref="R68:R73"/>
    <mergeCell ref="S68:S73"/>
    <mergeCell ref="T68:T73"/>
    <mergeCell ref="R86:R91"/>
    <mergeCell ref="S86:S91"/>
    <mergeCell ref="T86:T91"/>
    <mergeCell ref="U86:U91"/>
    <mergeCell ref="A92:A97"/>
    <mergeCell ref="B92:B97"/>
    <mergeCell ref="C92:C97"/>
    <mergeCell ref="D92:D97"/>
    <mergeCell ref="E92:E97"/>
    <mergeCell ref="F92:F97"/>
    <mergeCell ref="U80:U85"/>
    <mergeCell ref="A86:A91"/>
    <mergeCell ref="B86:B91"/>
    <mergeCell ref="C86:C91"/>
    <mergeCell ref="D86:D91"/>
    <mergeCell ref="E86:E91"/>
    <mergeCell ref="F86:F91"/>
    <mergeCell ref="M86:M91"/>
    <mergeCell ref="N86:N91"/>
    <mergeCell ref="Q86:Q91"/>
    <mergeCell ref="M80:M85"/>
    <mergeCell ref="N80:N85"/>
    <mergeCell ref="Q80:Q85"/>
    <mergeCell ref="R80:R85"/>
    <mergeCell ref="S80:S85"/>
    <mergeCell ref="T80:T85"/>
    <mergeCell ref="A80:A85"/>
    <mergeCell ref="B80:B85"/>
    <mergeCell ref="C80:C85"/>
    <mergeCell ref="D80:D85"/>
    <mergeCell ref="E80:E85"/>
    <mergeCell ref="F80:F85"/>
    <mergeCell ref="R98:R103"/>
    <mergeCell ref="S98:S103"/>
    <mergeCell ref="T98:T103"/>
    <mergeCell ref="U98:U103"/>
    <mergeCell ref="A104:A109"/>
    <mergeCell ref="B104:B109"/>
    <mergeCell ref="C104:C109"/>
    <mergeCell ref="D104:D109"/>
    <mergeCell ref="E104:E109"/>
    <mergeCell ref="F104:F109"/>
    <mergeCell ref="U92:U97"/>
    <mergeCell ref="A98:A103"/>
    <mergeCell ref="B98:B103"/>
    <mergeCell ref="C98:C103"/>
    <mergeCell ref="D98:D103"/>
    <mergeCell ref="E98:E103"/>
    <mergeCell ref="F98:F103"/>
    <mergeCell ref="M98:M103"/>
    <mergeCell ref="N98:N103"/>
    <mergeCell ref="Q98:Q103"/>
    <mergeCell ref="M92:M97"/>
    <mergeCell ref="N92:N97"/>
    <mergeCell ref="Q92:Q97"/>
    <mergeCell ref="R92:R97"/>
    <mergeCell ref="S92:S97"/>
    <mergeCell ref="T92:T97"/>
    <mergeCell ref="N112:N115"/>
    <mergeCell ref="Q112:Q115"/>
    <mergeCell ref="R112:R115"/>
    <mergeCell ref="S112:S115"/>
    <mergeCell ref="T112:T115"/>
    <mergeCell ref="U112:U115"/>
    <mergeCell ref="U104:U109"/>
    <mergeCell ref="A110:R110"/>
    <mergeCell ref="A111:U111"/>
    <mergeCell ref="A112:A115"/>
    <mergeCell ref="B112:B115"/>
    <mergeCell ref="C112:C115"/>
    <mergeCell ref="D112:D115"/>
    <mergeCell ref="E112:E115"/>
    <mergeCell ref="F112:F115"/>
    <mergeCell ref="M112:M115"/>
    <mergeCell ref="M104:M109"/>
    <mergeCell ref="N104:N109"/>
    <mergeCell ref="Q104:Q109"/>
    <mergeCell ref="R104:R109"/>
    <mergeCell ref="S104:S109"/>
    <mergeCell ref="T104:T109"/>
    <mergeCell ref="R122:R127"/>
    <mergeCell ref="S122:S127"/>
    <mergeCell ref="T122:T127"/>
    <mergeCell ref="U122:U127"/>
    <mergeCell ref="A128:A133"/>
    <mergeCell ref="B128:B133"/>
    <mergeCell ref="C128:C133"/>
    <mergeCell ref="D128:D133"/>
    <mergeCell ref="E128:E133"/>
    <mergeCell ref="F128:F133"/>
    <mergeCell ref="U116:U121"/>
    <mergeCell ref="A122:A127"/>
    <mergeCell ref="B122:B127"/>
    <mergeCell ref="C122:C127"/>
    <mergeCell ref="D122:D127"/>
    <mergeCell ref="E122:E127"/>
    <mergeCell ref="F122:F127"/>
    <mergeCell ref="M122:M127"/>
    <mergeCell ref="N122:N127"/>
    <mergeCell ref="Q122:Q127"/>
    <mergeCell ref="M116:M121"/>
    <mergeCell ref="N116:N121"/>
    <mergeCell ref="Q116:Q121"/>
    <mergeCell ref="R116:R121"/>
    <mergeCell ref="S116:S121"/>
    <mergeCell ref="T116:T121"/>
    <mergeCell ref="A116:A121"/>
    <mergeCell ref="B116:B121"/>
    <mergeCell ref="C116:C121"/>
    <mergeCell ref="D116:D121"/>
    <mergeCell ref="E116:E121"/>
    <mergeCell ref="F116:F121"/>
    <mergeCell ref="R134:R139"/>
    <mergeCell ref="S134:S139"/>
    <mergeCell ref="T134:T139"/>
    <mergeCell ref="U134:U139"/>
    <mergeCell ref="A140:A145"/>
    <mergeCell ref="B140:B145"/>
    <mergeCell ref="C140:C145"/>
    <mergeCell ref="D140:D145"/>
    <mergeCell ref="E140:E145"/>
    <mergeCell ref="F140:F145"/>
    <mergeCell ref="U128:U133"/>
    <mergeCell ref="A134:A139"/>
    <mergeCell ref="B134:B139"/>
    <mergeCell ref="C134:C139"/>
    <mergeCell ref="D134:D139"/>
    <mergeCell ref="E134:E139"/>
    <mergeCell ref="F134:F139"/>
    <mergeCell ref="M134:M139"/>
    <mergeCell ref="N134:N139"/>
    <mergeCell ref="Q134:Q139"/>
    <mergeCell ref="M128:M133"/>
    <mergeCell ref="N128:N133"/>
    <mergeCell ref="Q128:Q133"/>
    <mergeCell ref="R128:R133"/>
    <mergeCell ref="S128:S133"/>
    <mergeCell ref="T128:T133"/>
    <mergeCell ref="N148:N151"/>
    <mergeCell ref="Q148:Q151"/>
    <mergeCell ref="R148:R151"/>
    <mergeCell ref="S148:S151"/>
    <mergeCell ref="T148:T151"/>
    <mergeCell ref="U148:U151"/>
    <mergeCell ref="U140:U145"/>
    <mergeCell ref="A146:R146"/>
    <mergeCell ref="A147:U147"/>
    <mergeCell ref="A148:A151"/>
    <mergeCell ref="B148:B151"/>
    <mergeCell ref="C148:C151"/>
    <mergeCell ref="D148:D151"/>
    <mergeCell ref="E148:E151"/>
    <mergeCell ref="F148:F151"/>
    <mergeCell ref="M148:M151"/>
    <mergeCell ref="M140:M145"/>
    <mergeCell ref="N140:N145"/>
    <mergeCell ref="Q140:Q145"/>
    <mergeCell ref="R140:R145"/>
    <mergeCell ref="S140:S145"/>
    <mergeCell ref="T140:T145"/>
    <mergeCell ref="R158:R163"/>
    <mergeCell ref="S158:S163"/>
    <mergeCell ref="T158:T163"/>
    <mergeCell ref="U158:U163"/>
    <mergeCell ref="A164:A169"/>
    <mergeCell ref="B164:B169"/>
    <mergeCell ref="C164:C169"/>
    <mergeCell ref="D164:D169"/>
    <mergeCell ref="E164:E169"/>
    <mergeCell ref="F164:F169"/>
    <mergeCell ref="U152:U157"/>
    <mergeCell ref="A158:A163"/>
    <mergeCell ref="B158:B163"/>
    <mergeCell ref="C158:C163"/>
    <mergeCell ref="D158:D163"/>
    <mergeCell ref="E158:E163"/>
    <mergeCell ref="F158:F163"/>
    <mergeCell ref="M158:M163"/>
    <mergeCell ref="N158:N163"/>
    <mergeCell ref="Q158:Q163"/>
    <mergeCell ref="M152:M157"/>
    <mergeCell ref="N152:N157"/>
    <mergeCell ref="Q152:Q157"/>
    <mergeCell ref="R152:R157"/>
    <mergeCell ref="S152:S157"/>
    <mergeCell ref="T152:T157"/>
    <mergeCell ref="A152:A157"/>
    <mergeCell ref="B152:B157"/>
    <mergeCell ref="C152:C157"/>
    <mergeCell ref="D152:D157"/>
    <mergeCell ref="E152:E157"/>
    <mergeCell ref="F152:F157"/>
    <mergeCell ref="R170:R175"/>
    <mergeCell ref="S170:S175"/>
    <mergeCell ref="T170:T175"/>
    <mergeCell ref="U170:U175"/>
    <mergeCell ref="A176:A181"/>
    <mergeCell ref="B176:B181"/>
    <mergeCell ref="C176:C181"/>
    <mergeCell ref="D176:D181"/>
    <mergeCell ref="E176:E181"/>
    <mergeCell ref="F176:F181"/>
    <mergeCell ref="U164:U169"/>
    <mergeCell ref="A170:A175"/>
    <mergeCell ref="B170:B175"/>
    <mergeCell ref="C170:C175"/>
    <mergeCell ref="D170:D175"/>
    <mergeCell ref="E170:E175"/>
    <mergeCell ref="F170:F175"/>
    <mergeCell ref="M170:M175"/>
    <mergeCell ref="N170:N175"/>
    <mergeCell ref="Q170:Q175"/>
    <mergeCell ref="M164:M169"/>
    <mergeCell ref="N164:N169"/>
    <mergeCell ref="Q164:Q169"/>
    <mergeCell ref="R164:R169"/>
    <mergeCell ref="S164:S169"/>
    <mergeCell ref="T164:T169"/>
    <mergeCell ref="N184:N187"/>
    <mergeCell ref="Q184:Q187"/>
    <mergeCell ref="R184:R187"/>
    <mergeCell ref="S184:S187"/>
    <mergeCell ref="T184:T187"/>
    <mergeCell ref="U184:U187"/>
    <mergeCell ref="U176:U181"/>
    <mergeCell ref="A182:R182"/>
    <mergeCell ref="A183:U183"/>
    <mergeCell ref="A184:A187"/>
    <mergeCell ref="B184:B187"/>
    <mergeCell ref="C184:C187"/>
    <mergeCell ref="D184:D187"/>
    <mergeCell ref="E184:E187"/>
    <mergeCell ref="F184:F187"/>
    <mergeCell ref="M184:M187"/>
    <mergeCell ref="M176:M181"/>
    <mergeCell ref="N176:N181"/>
    <mergeCell ref="Q176:Q181"/>
    <mergeCell ref="R176:R181"/>
    <mergeCell ref="S176:S181"/>
    <mergeCell ref="T176:T181"/>
    <mergeCell ref="R194:R199"/>
    <mergeCell ref="S194:S199"/>
    <mergeCell ref="T194:T199"/>
    <mergeCell ref="U194:U199"/>
    <mergeCell ref="A200:A205"/>
    <mergeCell ref="B200:B205"/>
    <mergeCell ref="C200:C205"/>
    <mergeCell ref="D200:D205"/>
    <mergeCell ref="E200:E205"/>
    <mergeCell ref="F200:F205"/>
    <mergeCell ref="U188:U193"/>
    <mergeCell ref="A194:A199"/>
    <mergeCell ref="B194:B199"/>
    <mergeCell ref="C194:C199"/>
    <mergeCell ref="D194:D199"/>
    <mergeCell ref="E194:E199"/>
    <mergeCell ref="F194:F199"/>
    <mergeCell ref="M194:M199"/>
    <mergeCell ref="N194:N199"/>
    <mergeCell ref="Q194:Q199"/>
    <mergeCell ref="M188:M193"/>
    <mergeCell ref="N188:N193"/>
    <mergeCell ref="Q188:Q193"/>
    <mergeCell ref="R188:R193"/>
    <mergeCell ref="S188:S193"/>
    <mergeCell ref="T188:T193"/>
    <mergeCell ref="A188:A193"/>
    <mergeCell ref="B188:B193"/>
    <mergeCell ref="C188:C193"/>
    <mergeCell ref="D188:D193"/>
    <mergeCell ref="E188:E193"/>
    <mergeCell ref="F188:F193"/>
    <mergeCell ref="R206:R211"/>
    <mergeCell ref="S206:S211"/>
    <mergeCell ref="T206:T211"/>
    <mergeCell ref="U206:U211"/>
    <mergeCell ref="A212:A217"/>
    <mergeCell ref="B212:B217"/>
    <mergeCell ref="C212:C217"/>
    <mergeCell ref="D212:D217"/>
    <mergeCell ref="E212:E217"/>
    <mergeCell ref="F212:F217"/>
    <mergeCell ref="U200:U205"/>
    <mergeCell ref="A206:A211"/>
    <mergeCell ref="B206:B211"/>
    <mergeCell ref="C206:C211"/>
    <mergeCell ref="D206:D211"/>
    <mergeCell ref="E206:E211"/>
    <mergeCell ref="F206:F211"/>
    <mergeCell ref="M206:M211"/>
    <mergeCell ref="N206:N211"/>
    <mergeCell ref="Q206:Q211"/>
    <mergeCell ref="M200:M205"/>
    <mergeCell ref="N200:N205"/>
    <mergeCell ref="Q200:Q205"/>
    <mergeCell ref="R200:R205"/>
    <mergeCell ref="S200:S205"/>
    <mergeCell ref="T200:T205"/>
    <mergeCell ref="N220:N223"/>
    <mergeCell ref="Q220:Q223"/>
    <mergeCell ref="R220:R223"/>
    <mergeCell ref="S220:S223"/>
    <mergeCell ref="T220:T223"/>
    <mergeCell ref="U220:U223"/>
    <mergeCell ref="U212:U217"/>
    <mergeCell ref="A218:R218"/>
    <mergeCell ref="A219:U219"/>
    <mergeCell ref="A220:A223"/>
    <mergeCell ref="B220:B223"/>
    <mergeCell ref="C220:C223"/>
    <mergeCell ref="D220:D223"/>
    <mergeCell ref="E220:E223"/>
    <mergeCell ref="F220:F223"/>
    <mergeCell ref="M220:M223"/>
    <mergeCell ref="M212:M217"/>
    <mergeCell ref="N212:N217"/>
    <mergeCell ref="Q212:Q217"/>
    <mergeCell ref="R212:R217"/>
    <mergeCell ref="S212:S217"/>
    <mergeCell ref="T212:T217"/>
    <mergeCell ref="R230:R235"/>
    <mergeCell ref="S230:S235"/>
    <mergeCell ref="T230:T235"/>
    <mergeCell ref="U230:U235"/>
    <mergeCell ref="A236:A241"/>
    <mergeCell ref="B236:B241"/>
    <mergeCell ref="C236:C241"/>
    <mergeCell ref="D236:D241"/>
    <mergeCell ref="E236:E241"/>
    <mergeCell ref="F236:F241"/>
    <mergeCell ref="U224:U229"/>
    <mergeCell ref="A230:A235"/>
    <mergeCell ref="B230:B235"/>
    <mergeCell ref="C230:C235"/>
    <mergeCell ref="D230:D235"/>
    <mergeCell ref="E230:E235"/>
    <mergeCell ref="F230:F235"/>
    <mergeCell ref="M230:M235"/>
    <mergeCell ref="N230:N235"/>
    <mergeCell ref="Q230:Q235"/>
    <mergeCell ref="M224:M229"/>
    <mergeCell ref="N224:N229"/>
    <mergeCell ref="Q224:Q229"/>
    <mergeCell ref="R224:R229"/>
    <mergeCell ref="S224:S229"/>
    <mergeCell ref="T224:T229"/>
    <mergeCell ref="A224:A229"/>
    <mergeCell ref="B224:B229"/>
    <mergeCell ref="C224:C229"/>
    <mergeCell ref="D224:D229"/>
    <mergeCell ref="E224:E229"/>
    <mergeCell ref="F224:F229"/>
    <mergeCell ref="R242:R247"/>
    <mergeCell ref="S242:S247"/>
    <mergeCell ref="T242:T247"/>
    <mergeCell ref="U242:U247"/>
    <mergeCell ref="A248:A253"/>
    <mergeCell ref="B248:B253"/>
    <mergeCell ref="C248:C253"/>
    <mergeCell ref="D248:D253"/>
    <mergeCell ref="E248:E253"/>
    <mergeCell ref="F248:F253"/>
    <mergeCell ref="U236:U241"/>
    <mergeCell ref="A242:A247"/>
    <mergeCell ref="B242:B247"/>
    <mergeCell ref="C242:C247"/>
    <mergeCell ref="D242:D247"/>
    <mergeCell ref="E242:E247"/>
    <mergeCell ref="F242:F247"/>
    <mergeCell ref="M242:M247"/>
    <mergeCell ref="N242:N247"/>
    <mergeCell ref="Q242:Q247"/>
    <mergeCell ref="M236:M241"/>
    <mergeCell ref="N236:N241"/>
    <mergeCell ref="Q236:Q241"/>
    <mergeCell ref="R236:R241"/>
    <mergeCell ref="S236:S241"/>
    <mergeCell ref="T236:T241"/>
    <mergeCell ref="N256:N259"/>
    <mergeCell ref="Q256:Q259"/>
    <mergeCell ref="R256:R259"/>
    <mergeCell ref="S256:S259"/>
    <mergeCell ref="T256:T259"/>
    <mergeCell ref="U256:U259"/>
    <mergeCell ref="U248:U253"/>
    <mergeCell ref="A254:R254"/>
    <mergeCell ref="A255:U255"/>
    <mergeCell ref="A256:A259"/>
    <mergeCell ref="B256:B259"/>
    <mergeCell ref="C256:C259"/>
    <mergeCell ref="D256:D259"/>
    <mergeCell ref="E256:E259"/>
    <mergeCell ref="F256:F259"/>
    <mergeCell ref="M256:M259"/>
    <mergeCell ref="M248:M253"/>
    <mergeCell ref="N248:N253"/>
    <mergeCell ref="Q248:Q253"/>
    <mergeCell ref="R248:R253"/>
    <mergeCell ref="S248:S253"/>
    <mergeCell ref="T248:T253"/>
    <mergeCell ref="R266:R271"/>
    <mergeCell ref="S266:S271"/>
    <mergeCell ref="T266:T271"/>
    <mergeCell ref="U266:U271"/>
    <mergeCell ref="A272:A277"/>
    <mergeCell ref="B272:B277"/>
    <mergeCell ref="C272:C277"/>
    <mergeCell ref="D272:D277"/>
    <mergeCell ref="E272:E277"/>
    <mergeCell ref="F272:F277"/>
    <mergeCell ref="U260:U265"/>
    <mergeCell ref="A266:A271"/>
    <mergeCell ref="B266:B271"/>
    <mergeCell ref="C266:C271"/>
    <mergeCell ref="D266:D271"/>
    <mergeCell ref="E266:E271"/>
    <mergeCell ref="F266:F271"/>
    <mergeCell ref="M266:M271"/>
    <mergeCell ref="N266:N271"/>
    <mergeCell ref="Q266:Q271"/>
    <mergeCell ref="M260:M265"/>
    <mergeCell ref="N260:N265"/>
    <mergeCell ref="Q260:Q265"/>
    <mergeCell ref="R260:R265"/>
    <mergeCell ref="S260:S265"/>
    <mergeCell ref="T260:T265"/>
    <mergeCell ref="A260:A265"/>
    <mergeCell ref="B260:B265"/>
    <mergeCell ref="C260:C265"/>
    <mergeCell ref="D260:D265"/>
    <mergeCell ref="E260:E265"/>
    <mergeCell ref="F260:F265"/>
    <mergeCell ref="R278:R283"/>
    <mergeCell ref="S278:S283"/>
    <mergeCell ref="T278:T283"/>
    <mergeCell ref="U278:U283"/>
    <mergeCell ref="A284:A289"/>
    <mergeCell ref="B284:B289"/>
    <mergeCell ref="C284:C289"/>
    <mergeCell ref="D284:D289"/>
    <mergeCell ref="E284:E289"/>
    <mergeCell ref="F284:F289"/>
    <mergeCell ref="U272:U277"/>
    <mergeCell ref="A278:A283"/>
    <mergeCell ref="B278:B283"/>
    <mergeCell ref="C278:C283"/>
    <mergeCell ref="D278:D283"/>
    <mergeCell ref="E278:E283"/>
    <mergeCell ref="F278:F283"/>
    <mergeCell ref="M278:M283"/>
    <mergeCell ref="N278:N283"/>
    <mergeCell ref="Q278:Q283"/>
    <mergeCell ref="M272:M277"/>
    <mergeCell ref="N272:N277"/>
    <mergeCell ref="Q272:Q277"/>
    <mergeCell ref="R272:R277"/>
    <mergeCell ref="S272:S277"/>
    <mergeCell ref="T272:T277"/>
    <mergeCell ref="N292:N295"/>
    <mergeCell ref="Q292:Q295"/>
    <mergeCell ref="R292:R295"/>
    <mergeCell ref="S292:S295"/>
    <mergeCell ref="T292:T295"/>
    <mergeCell ref="U292:U295"/>
    <mergeCell ref="U284:U289"/>
    <mergeCell ref="A290:R290"/>
    <mergeCell ref="A291:U291"/>
    <mergeCell ref="A292:A295"/>
    <mergeCell ref="B292:B295"/>
    <mergeCell ref="C292:C295"/>
    <mergeCell ref="D292:D295"/>
    <mergeCell ref="E292:E295"/>
    <mergeCell ref="F292:F295"/>
    <mergeCell ref="M292:M295"/>
    <mergeCell ref="M284:M289"/>
    <mergeCell ref="N284:N289"/>
    <mergeCell ref="Q284:Q289"/>
    <mergeCell ref="R284:R289"/>
    <mergeCell ref="S284:S289"/>
    <mergeCell ref="T284:T289"/>
    <mergeCell ref="R302:R307"/>
    <mergeCell ref="S302:S307"/>
    <mergeCell ref="T302:T307"/>
    <mergeCell ref="U302:U307"/>
    <mergeCell ref="A308:A313"/>
    <mergeCell ref="B308:B313"/>
    <mergeCell ref="C308:C313"/>
    <mergeCell ref="D308:D313"/>
    <mergeCell ref="E308:E313"/>
    <mergeCell ref="F308:F313"/>
    <mergeCell ref="U296:U301"/>
    <mergeCell ref="A302:A307"/>
    <mergeCell ref="B302:B307"/>
    <mergeCell ref="C302:C307"/>
    <mergeCell ref="D302:D307"/>
    <mergeCell ref="E302:E307"/>
    <mergeCell ref="F302:F307"/>
    <mergeCell ref="M302:M307"/>
    <mergeCell ref="N302:N307"/>
    <mergeCell ref="Q302:Q307"/>
    <mergeCell ref="M296:M301"/>
    <mergeCell ref="N296:N301"/>
    <mergeCell ref="Q296:Q301"/>
    <mergeCell ref="R296:R301"/>
    <mergeCell ref="S296:S301"/>
    <mergeCell ref="T296:T301"/>
    <mergeCell ref="A296:A301"/>
    <mergeCell ref="B296:B301"/>
    <mergeCell ref="C296:C301"/>
    <mergeCell ref="D296:D301"/>
    <mergeCell ref="E296:E301"/>
    <mergeCell ref="F296:F301"/>
    <mergeCell ref="R314:R319"/>
    <mergeCell ref="S314:S319"/>
    <mergeCell ref="T314:T319"/>
    <mergeCell ref="U314:U319"/>
    <mergeCell ref="A320:A325"/>
    <mergeCell ref="B320:B325"/>
    <mergeCell ref="C320:C325"/>
    <mergeCell ref="D320:D325"/>
    <mergeCell ref="E320:E325"/>
    <mergeCell ref="F320:F325"/>
    <mergeCell ref="U308:U313"/>
    <mergeCell ref="A314:A319"/>
    <mergeCell ref="B314:B319"/>
    <mergeCell ref="C314:C319"/>
    <mergeCell ref="D314:D319"/>
    <mergeCell ref="E314:E319"/>
    <mergeCell ref="F314:F319"/>
    <mergeCell ref="M314:M319"/>
    <mergeCell ref="N314:N319"/>
    <mergeCell ref="Q314:Q319"/>
    <mergeCell ref="M308:M313"/>
    <mergeCell ref="N308:N313"/>
    <mergeCell ref="Q308:Q313"/>
    <mergeCell ref="R308:R313"/>
    <mergeCell ref="S308:S313"/>
    <mergeCell ref="T308:T313"/>
    <mergeCell ref="N328:N331"/>
    <mergeCell ref="Q328:Q331"/>
    <mergeCell ref="R328:R331"/>
    <mergeCell ref="S328:S331"/>
    <mergeCell ref="T328:T331"/>
    <mergeCell ref="U328:U331"/>
    <mergeCell ref="U320:U325"/>
    <mergeCell ref="A326:R326"/>
    <mergeCell ref="A327:U327"/>
    <mergeCell ref="A328:A331"/>
    <mergeCell ref="B328:B331"/>
    <mergeCell ref="C328:C331"/>
    <mergeCell ref="D328:D331"/>
    <mergeCell ref="E328:E331"/>
    <mergeCell ref="F328:F331"/>
    <mergeCell ref="M328:M331"/>
    <mergeCell ref="M320:M325"/>
    <mergeCell ref="N320:N325"/>
    <mergeCell ref="Q320:Q325"/>
    <mergeCell ref="R320:R325"/>
    <mergeCell ref="S320:S325"/>
    <mergeCell ref="T320:T325"/>
    <mergeCell ref="R338:R343"/>
    <mergeCell ref="S338:S343"/>
    <mergeCell ref="T338:T343"/>
    <mergeCell ref="U338:U343"/>
    <mergeCell ref="A344:A349"/>
    <mergeCell ref="B344:B349"/>
    <mergeCell ref="C344:C349"/>
    <mergeCell ref="D344:D349"/>
    <mergeCell ref="E344:E349"/>
    <mergeCell ref="F344:F349"/>
    <mergeCell ref="U332:U337"/>
    <mergeCell ref="A338:A343"/>
    <mergeCell ref="B338:B343"/>
    <mergeCell ref="C338:C343"/>
    <mergeCell ref="D338:D343"/>
    <mergeCell ref="E338:E343"/>
    <mergeCell ref="F338:F343"/>
    <mergeCell ref="M338:M343"/>
    <mergeCell ref="N338:N343"/>
    <mergeCell ref="Q338:Q343"/>
    <mergeCell ref="M332:M337"/>
    <mergeCell ref="N332:N337"/>
    <mergeCell ref="Q332:Q337"/>
    <mergeCell ref="R332:R337"/>
    <mergeCell ref="S332:S337"/>
    <mergeCell ref="T332:T337"/>
    <mergeCell ref="A332:A337"/>
    <mergeCell ref="B332:B337"/>
    <mergeCell ref="C332:C337"/>
    <mergeCell ref="D332:D337"/>
    <mergeCell ref="E332:E337"/>
    <mergeCell ref="F332:F337"/>
    <mergeCell ref="R350:R355"/>
    <mergeCell ref="S350:S355"/>
    <mergeCell ref="T350:T355"/>
    <mergeCell ref="U350:U355"/>
    <mergeCell ref="A356:A361"/>
    <mergeCell ref="B356:B361"/>
    <mergeCell ref="C356:C361"/>
    <mergeCell ref="D356:D361"/>
    <mergeCell ref="E356:E361"/>
    <mergeCell ref="F356:F361"/>
    <mergeCell ref="U344:U349"/>
    <mergeCell ref="A350:A355"/>
    <mergeCell ref="B350:B355"/>
    <mergeCell ref="C350:C355"/>
    <mergeCell ref="D350:D355"/>
    <mergeCell ref="E350:E355"/>
    <mergeCell ref="F350:F355"/>
    <mergeCell ref="M350:M355"/>
    <mergeCell ref="N350:N355"/>
    <mergeCell ref="Q350:Q355"/>
    <mergeCell ref="M344:M349"/>
    <mergeCell ref="N344:N349"/>
    <mergeCell ref="Q344:Q349"/>
    <mergeCell ref="R344:R349"/>
    <mergeCell ref="S344:S349"/>
    <mergeCell ref="T344:T349"/>
    <mergeCell ref="N364:N367"/>
    <mergeCell ref="Q364:Q367"/>
    <mergeCell ref="R364:R367"/>
    <mergeCell ref="S364:S367"/>
    <mergeCell ref="T364:T367"/>
    <mergeCell ref="U364:U367"/>
    <mergeCell ref="U356:U361"/>
    <mergeCell ref="A362:R362"/>
    <mergeCell ref="A363:U363"/>
    <mergeCell ref="A364:A367"/>
    <mergeCell ref="B364:B367"/>
    <mergeCell ref="C364:C367"/>
    <mergeCell ref="D364:D367"/>
    <mergeCell ref="E364:E367"/>
    <mergeCell ref="F364:F367"/>
    <mergeCell ref="M364:M367"/>
    <mergeCell ref="M356:M361"/>
    <mergeCell ref="N356:N361"/>
    <mergeCell ref="Q356:Q361"/>
    <mergeCell ref="R356:R361"/>
    <mergeCell ref="S356:S361"/>
    <mergeCell ref="T356:T361"/>
    <mergeCell ref="R374:R379"/>
    <mergeCell ref="S374:S379"/>
    <mergeCell ref="T374:T379"/>
    <mergeCell ref="U374:U379"/>
    <mergeCell ref="A380:A385"/>
    <mergeCell ref="B380:B385"/>
    <mergeCell ref="C380:C385"/>
    <mergeCell ref="D380:D385"/>
    <mergeCell ref="E380:E385"/>
    <mergeCell ref="F380:F385"/>
    <mergeCell ref="U368:U373"/>
    <mergeCell ref="A374:A379"/>
    <mergeCell ref="B374:B379"/>
    <mergeCell ref="C374:C379"/>
    <mergeCell ref="D374:D379"/>
    <mergeCell ref="E374:E379"/>
    <mergeCell ref="F374:F379"/>
    <mergeCell ref="M374:M379"/>
    <mergeCell ref="N374:N379"/>
    <mergeCell ref="Q374:Q379"/>
    <mergeCell ref="M368:M373"/>
    <mergeCell ref="N368:N373"/>
    <mergeCell ref="Q368:Q373"/>
    <mergeCell ref="R368:R373"/>
    <mergeCell ref="S368:S373"/>
    <mergeCell ref="T368:T373"/>
    <mergeCell ref="A368:A373"/>
    <mergeCell ref="B368:B373"/>
    <mergeCell ref="C368:C373"/>
    <mergeCell ref="D368:D373"/>
    <mergeCell ref="E368:E373"/>
    <mergeCell ref="F368:F373"/>
    <mergeCell ref="R386:R391"/>
    <mergeCell ref="S386:S391"/>
    <mergeCell ref="T386:T391"/>
    <mergeCell ref="U386:U391"/>
    <mergeCell ref="A392:A397"/>
    <mergeCell ref="B392:B397"/>
    <mergeCell ref="C392:C397"/>
    <mergeCell ref="D392:D397"/>
    <mergeCell ref="E392:E397"/>
    <mergeCell ref="F392:F397"/>
    <mergeCell ref="U380:U385"/>
    <mergeCell ref="A386:A391"/>
    <mergeCell ref="B386:B391"/>
    <mergeCell ref="C386:C391"/>
    <mergeCell ref="D386:D391"/>
    <mergeCell ref="E386:E391"/>
    <mergeCell ref="F386:F391"/>
    <mergeCell ref="M386:M391"/>
    <mergeCell ref="N386:N391"/>
    <mergeCell ref="Q386:Q391"/>
    <mergeCell ref="M380:M385"/>
    <mergeCell ref="N380:N385"/>
    <mergeCell ref="Q380:Q385"/>
    <mergeCell ref="R380:R385"/>
    <mergeCell ref="S380:S385"/>
    <mergeCell ref="T380:T385"/>
    <mergeCell ref="N400:N403"/>
    <mergeCell ref="Q400:Q403"/>
    <mergeCell ref="R400:R403"/>
    <mergeCell ref="S400:S403"/>
    <mergeCell ref="T400:T403"/>
    <mergeCell ref="U400:U403"/>
    <mergeCell ref="U392:U397"/>
    <mergeCell ref="A398:R398"/>
    <mergeCell ref="A399:U399"/>
    <mergeCell ref="A400:A403"/>
    <mergeCell ref="B400:B403"/>
    <mergeCell ref="C400:C403"/>
    <mergeCell ref="D400:D403"/>
    <mergeCell ref="E400:E403"/>
    <mergeCell ref="F400:F403"/>
    <mergeCell ref="M400:M403"/>
    <mergeCell ref="M392:M397"/>
    <mergeCell ref="N392:N397"/>
    <mergeCell ref="Q392:Q397"/>
    <mergeCell ref="R392:R397"/>
    <mergeCell ref="S392:S397"/>
    <mergeCell ref="T392:T397"/>
    <mergeCell ref="R410:R415"/>
    <mergeCell ref="S410:S415"/>
    <mergeCell ref="T410:T415"/>
    <mergeCell ref="U410:U415"/>
    <mergeCell ref="A416:A421"/>
    <mergeCell ref="B416:B421"/>
    <mergeCell ref="C416:C421"/>
    <mergeCell ref="D416:D421"/>
    <mergeCell ref="E416:E421"/>
    <mergeCell ref="F416:F421"/>
    <mergeCell ref="U404:U409"/>
    <mergeCell ref="A410:A415"/>
    <mergeCell ref="B410:B415"/>
    <mergeCell ref="C410:C415"/>
    <mergeCell ref="D410:D415"/>
    <mergeCell ref="E410:E415"/>
    <mergeCell ref="F410:F415"/>
    <mergeCell ref="M410:M415"/>
    <mergeCell ref="N410:N415"/>
    <mergeCell ref="Q410:Q415"/>
    <mergeCell ref="M404:M409"/>
    <mergeCell ref="N404:N409"/>
    <mergeCell ref="Q404:Q409"/>
    <mergeCell ref="R404:R409"/>
    <mergeCell ref="S404:S409"/>
    <mergeCell ref="T404:T409"/>
    <mergeCell ref="A404:A409"/>
    <mergeCell ref="B404:B409"/>
    <mergeCell ref="C404:C409"/>
    <mergeCell ref="D404:D409"/>
    <mergeCell ref="E404:E409"/>
    <mergeCell ref="F404:F409"/>
    <mergeCell ref="R422:R427"/>
    <mergeCell ref="S422:S427"/>
    <mergeCell ref="T422:T427"/>
    <mergeCell ref="U422:U427"/>
    <mergeCell ref="A428:A433"/>
    <mergeCell ref="B428:B433"/>
    <mergeCell ref="C428:C433"/>
    <mergeCell ref="D428:D433"/>
    <mergeCell ref="E428:E433"/>
    <mergeCell ref="F428:F433"/>
    <mergeCell ref="U416:U421"/>
    <mergeCell ref="A422:A427"/>
    <mergeCell ref="B422:B427"/>
    <mergeCell ref="C422:C427"/>
    <mergeCell ref="D422:D427"/>
    <mergeCell ref="E422:E427"/>
    <mergeCell ref="F422:F427"/>
    <mergeCell ref="M422:M427"/>
    <mergeCell ref="N422:N427"/>
    <mergeCell ref="Q422:Q427"/>
    <mergeCell ref="M416:M421"/>
    <mergeCell ref="N416:N421"/>
    <mergeCell ref="Q416:Q421"/>
    <mergeCell ref="R416:R421"/>
    <mergeCell ref="S416:S421"/>
    <mergeCell ref="T416:T421"/>
    <mergeCell ref="N436:N439"/>
    <mergeCell ref="Q436:Q439"/>
    <mergeCell ref="R436:R439"/>
    <mergeCell ref="S436:S439"/>
    <mergeCell ref="T436:T439"/>
    <mergeCell ref="U436:U439"/>
    <mergeCell ref="U428:U433"/>
    <mergeCell ref="A434:R434"/>
    <mergeCell ref="A435:U435"/>
    <mergeCell ref="A436:A439"/>
    <mergeCell ref="B436:B439"/>
    <mergeCell ref="C436:C439"/>
    <mergeCell ref="D436:D439"/>
    <mergeCell ref="E436:E439"/>
    <mergeCell ref="F436:F439"/>
    <mergeCell ref="M436:M439"/>
    <mergeCell ref="M428:M433"/>
    <mergeCell ref="N428:N433"/>
    <mergeCell ref="Q428:Q433"/>
    <mergeCell ref="R428:R433"/>
    <mergeCell ref="S428:S433"/>
    <mergeCell ref="T428:T433"/>
    <mergeCell ref="R446:R451"/>
    <mergeCell ref="S446:S451"/>
    <mergeCell ref="T446:T451"/>
    <mergeCell ref="U446:U451"/>
    <mergeCell ref="A452:A457"/>
    <mergeCell ref="B452:B457"/>
    <mergeCell ref="C452:C457"/>
    <mergeCell ref="D452:D457"/>
    <mergeCell ref="E452:E457"/>
    <mergeCell ref="F452:F457"/>
    <mergeCell ref="U440:U445"/>
    <mergeCell ref="A446:A451"/>
    <mergeCell ref="B446:B451"/>
    <mergeCell ref="C446:C451"/>
    <mergeCell ref="D446:D451"/>
    <mergeCell ref="E446:E451"/>
    <mergeCell ref="F446:F451"/>
    <mergeCell ref="M446:M451"/>
    <mergeCell ref="N446:N451"/>
    <mergeCell ref="Q446:Q451"/>
    <mergeCell ref="M440:M445"/>
    <mergeCell ref="N440:N445"/>
    <mergeCell ref="Q440:Q445"/>
    <mergeCell ref="R440:R445"/>
    <mergeCell ref="S440:S445"/>
    <mergeCell ref="T440:T445"/>
    <mergeCell ref="A440:A445"/>
    <mergeCell ref="B440:B445"/>
    <mergeCell ref="C440:C445"/>
    <mergeCell ref="D440:D445"/>
    <mergeCell ref="E440:E445"/>
    <mergeCell ref="F440:F445"/>
    <mergeCell ref="R458:R463"/>
    <mergeCell ref="S458:S463"/>
    <mergeCell ref="T458:T463"/>
    <mergeCell ref="U458:U463"/>
    <mergeCell ref="A464:A469"/>
    <mergeCell ref="B464:B469"/>
    <mergeCell ref="C464:C469"/>
    <mergeCell ref="D464:D469"/>
    <mergeCell ref="E464:E469"/>
    <mergeCell ref="F464:F469"/>
    <mergeCell ref="U452:U457"/>
    <mergeCell ref="A458:A463"/>
    <mergeCell ref="B458:B463"/>
    <mergeCell ref="C458:C463"/>
    <mergeCell ref="D458:D463"/>
    <mergeCell ref="E458:E463"/>
    <mergeCell ref="F458:F463"/>
    <mergeCell ref="M458:M463"/>
    <mergeCell ref="N458:N463"/>
    <mergeCell ref="Q458:Q463"/>
    <mergeCell ref="M452:M457"/>
    <mergeCell ref="N452:N457"/>
    <mergeCell ref="Q452:Q457"/>
    <mergeCell ref="R452:R457"/>
    <mergeCell ref="S452:S457"/>
    <mergeCell ref="T452:T457"/>
    <mergeCell ref="N472:N475"/>
    <mergeCell ref="Q472:Q475"/>
    <mergeCell ref="R472:R475"/>
    <mergeCell ref="S472:S475"/>
    <mergeCell ref="T472:T475"/>
    <mergeCell ref="U472:U475"/>
    <mergeCell ref="U464:U469"/>
    <mergeCell ref="A470:R470"/>
    <mergeCell ref="A471:U471"/>
    <mergeCell ref="A472:A475"/>
    <mergeCell ref="B472:B475"/>
    <mergeCell ref="C472:C475"/>
    <mergeCell ref="D472:D475"/>
    <mergeCell ref="E472:E475"/>
    <mergeCell ref="F472:F475"/>
    <mergeCell ref="M472:M475"/>
    <mergeCell ref="M464:M469"/>
    <mergeCell ref="N464:N469"/>
    <mergeCell ref="Q464:Q469"/>
    <mergeCell ref="R464:R469"/>
    <mergeCell ref="S464:S469"/>
    <mergeCell ref="T464:T469"/>
    <mergeCell ref="R482:R487"/>
    <mergeCell ref="S482:S487"/>
    <mergeCell ref="T482:T487"/>
    <mergeCell ref="U482:U487"/>
    <mergeCell ref="A488:A493"/>
    <mergeCell ref="B488:B493"/>
    <mergeCell ref="C488:C493"/>
    <mergeCell ref="D488:D493"/>
    <mergeCell ref="E488:E493"/>
    <mergeCell ref="F488:F493"/>
    <mergeCell ref="U476:U481"/>
    <mergeCell ref="A482:A487"/>
    <mergeCell ref="B482:B487"/>
    <mergeCell ref="C482:C487"/>
    <mergeCell ref="D482:D487"/>
    <mergeCell ref="E482:E487"/>
    <mergeCell ref="F482:F487"/>
    <mergeCell ref="M482:M487"/>
    <mergeCell ref="N482:N487"/>
    <mergeCell ref="Q482:Q487"/>
    <mergeCell ref="M476:M481"/>
    <mergeCell ref="N476:N481"/>
    <mergeCell ref="Q476:Q481"/>
    <mergeCell ref="R476:R481"/>
    <mergeCell ref="S476:S481"/>
    <mergeCell ref="T476:T481"/>
    <mergeCell ref="A476:A481"/>
    <mergeCell ref="B476:B481"/>
    <mergeCell ref="C476:C481"/>
    <mergeCell ref="D476:D481"/>
    <mergeCell ref="E476:E481"/>
    <mergeCell ref="F476:F481"/>
    <mergeCell ref="R494:R499"/>
    <mergeCell ref="S494:S499"/>
    <mergeCell ref="T494:T499"/>
    <mergeCell ref="U494:U499"/>
    <mergeCell ref="A500:A505"/>
    <mergeCell ref="B500:B505"/>
    <mergeCell ref="C500:C505"/>
    <mergeCell ref="D500:D505"/>
    <mergeCell ref="E500:E505"/>
    <mergeCell ref="F500:F505"/>
    <mergeCell ref="U488:U493"/>
    <mergeCell ref="A494:A499"/>
    <mergeCell ref="B494:B499"/>
    <mergeCell ref="C494:C499"/>
    <mergeCell ref="D494:D499"/>
    <mergeCell ref="E494:E499"/>
    <mergeCell ref="F494:F499"/>
    <mergeCell ref="M494:M499"/>
    <mergeCell ref="N494:N499"/>
    <mergeCell ref="Q494:Q499"/>
    <mergeCell ref="M488:M493"/>
    <mergeCell ref="N488:N493"/>
    <mergeCell ref="Q488:Q493"/>
    <mergeCell ref="R488:R493"/>
    <mergeCell ref="S488:S493"/>
    <mergeCell ref="T488:T493"/>
    <mergeCell ref="N508:N511"/>
    <mergeCell ref="Q508:Q511"/>
    <mergeCell ref="R508:R511"/>
    <mergeCell ref="S508:S511"/>
    <mergeCell ref="T508:T511"/>
    <mergeCell ref="U508:U511"/>
    <mergeCell ref="U500:U505"/>
    <mergeCell ref="A506:R506"/>
    <mergeCell ref="A507:U507"/>
    <mergeCell ref="A508:A511"/>
    <mergeCell ref="B508:B511"/>
    <mergeCell ref="C508:C511"/>
    <mergeCell ref="D508:D511"/>
    <mergeCell ref="E508:E511"/>
    <mergeCell ref="F508:F511"/>
    <mergeCell ref="M508:M511"/>
    <mergeCell ref="M500:M505"/>
    <mergeCell ref="N500:N505"/>
    <mergeCell ref="Q500:Q505"/>
    <mergeCell ref="R500:R505"/>
    <mergeCell ref="S500:S505"/>
    <mergeCell ref="T500:T505"/>
    <mergeCell ref="R518:R523"/>
    <mergeCell ref="S518:S523"/>
    <mergeCell ref="T518:T523"/>
    <mergeCell ref="U518:U523"/>
    <mergeCell ref="A524:A529"/>
    <mergeCell ref="B524:B529"/>
    <mergeCell ref="C524:C529"/>
    <mergeCell ref="D524:D529"/>
    <mergeCell ref="E524:E529"/>
    <mergeCell ref="F524:F529"/>
    <mergeCell ref="U512:U517"/>
    <mergeCell ref="A518:A523"/>
    <mergeCell ref="B518:B523"/>
    <mergeCell ref="C518:C523"/>
    <mergeCell ref="D518:D523"/>
    <mergeCell ref="E518:E523"/>
    <mergeCell ref="F518:F523"/>
    <mergeCell ref="M518:M523"/>
    <mergeCell ref="N518:N523"/>
    <mergeCell ref="Q518:Q523"/>
    <mergeCell ref="M512:M517"/>
    <mergeCell ref="N512:N517"/>
    <mergeCell ref="Q512:Q517"/>
    <mergeCell ref="R512:R517"/>
    <mergeCell ref="S512:S517"/>
    <mergeCell ref="T512:T517"/>
    <mergeCell ref="A512:A517"/>
    <mergeCell ref="B512:B517"/>
    <mergeCell ref="C512:C517"/>
    <mergeCell ref="D512:D517"/>
    <mergeCell ref="E512:E517"/>
    <mergeCell ref="F512:F517"/>
    <mergeCell ref="R530:R535"/>
    <mergeCell ref="S530:S535"/>
    <mergeCell ref="T530:T535"/>
    <mergeCell ref="U530:U535"/>
    <mergeCell ref="A536:A541"/>
    <mergeCell ref="B536:B541"/>
    <mergeCell ref="C536:C541"/>
    <mergeCell ref="D536:D541"/>
    <mergeCell ref="E536:E541"/>
    <mergeCell ref="F536:F541"/>
    <mergeCell ref="U524:U529"/>
    <mergeCell ref="A530:A535"/>
    <mergeCell ref="B530:B535"/>
    <mergeCell ref="C530:C535"/>
    <mergeCell ref="D530:D535"/>
    <mergeCell ref="E530:E535"/>
    <mergeCell ref="F530:F535"/>
    <mergeCell ref="M530:M535"/>
    <mergeCell ref="N530:N535"/>
    <mergeCell ref="Q530:Q535"/>
    <mergeCell ref="M524:M529"/>
    <mergeCell ref="N524:N529"/>
    <mergeCell ref="Q524:Q529"/>
    <mergeCell ref="R524:R529"/>
    <mergeCell ref="S524:S529"/>
    <mergeCell ref="T524:T529"/>
    <mergeCell ref="N544:N547"/>
    <mergeCell ref="Q544:Q547"/>
    <mergeCell ref="R544:R547"/>
    <mergeCell ref="S544:S547"/>
    <mergeCell ref="T544:T547"/>
    <mergeCell ref="U544:U547"/>
    <mergeCell ref="U536:U541"/>
    <mergeCell ref="A542:R542"/>
    <mergeCell ref="A543:U543"/>
    <mergeCell ref="A544:A547"/>
    <mergeCell ref="B544:B547"/>
    <mergeCell ref="C544:C547"/>
    <mergeCell ref="D544:D547"/>
    <mergeCell ref="E544:E547"/>
    <mergeCell ref="F544:F547"/>
    <mergeCell ref="M544:M547"/>
    <mergeCell ref="M536:M541"/>
    <mergeCell ref="N536:N541"/>
    <mergeCell ref="Q536:Q541"/>
    <mergeCell ref="R536:R541"/>
    <mergeCell ref="S536:S541"/>
    <mergeCell ref="T536:T541"/>
    <mergeCell ref="R554:R559"/>
    <mergeCell ref="S554:S559"/>
    <mergeCell ref="T554:T559"/>
    <mergeCell ref="U554:U559"/>
    <mergeCell ref="A560:A565"/>
    <mergeCell ref="B560:B565"/>
    <mergeCell ref="C560:C565"/>
    <mergeCell ref="D560:D565"/>
    <mergeCell ref="E560:E565"/>
    <mergeCell ref="F560:F565"/>
    <mergeCell ref="U548:U553"/>
    <mergeCell ref="A554:A559"/>
    <mergeCell ref="B554:B559"/>
    <mergeCell ref="C554:C559"/>
    <mergeCell ref="D554:D559"/>
    <mergeCell ref="E554:E559"/>
    <mergeCell ref="F554:F559"/>
    <mergeCell ref="M554:M559"/>
    <mergeCell ref="N554:N559"/>
    <mergeCell ref="Q554:Q559"/>
    <mergeCell ref="M548:M553"/>
    <mergeCell ref="N548:N553"/>
    <mergeCell ref="Q548:Q553"/>
    <mergeCell ref="R548:R553"/>
    <mergeCell ref="S548:S553"/>
    <mergeCell ref="T548:T553"/>
    <mergeCell ref="A548:A553"/>
    <mergeCell ref="B548:B553"/>
    <mergeCell ref="C548:C553"/>
    <mergeCell ref="D548:D553"/>
    <mergeCell ref="E548:E553"/>
    <mergeCell ref="F548:F553"/>
    <mergeCell ref="R566:R571"/>
    <mergeCell ref="S566:S571"/>
    <mergeCell ref="T566:T571"/>
    <mergeCell ref="U566:U571"/>
    <mergeCell ref="A572:A577"/>
    <mergeCell ref="B572:B577"/>
    <mergeCell ref="C572:C577"/>
    <mergeCell ref="D572:D577"/>
    <mergeCell ref="E572:E577"/>
    <mergeCell ref="F572:F577"/>
    <mergeCell ref="U560:U565"/>
    <mergeCell ref="A566:A571"/>
    <mergeCell ref="B566:B571"/>
    <mergeCell ref="C566:C571"/>
    <mergeCell ref="D566:D571"/>
    <mergeCell ref="E566:E571"/>
    <mergeCell ref="F566:F571"/>
    <mergeCell ref="M566:M571"/>
    <mergeCell ref="N566:N571"/>
    <mergeCell ref="Q566:Q571"/>
    <mergeCell ref="M560:M565"/>
    <mergeCell ref="N560:N565"/>
    <mergeCell ref="Q560:Q565"/>
    <mergeCell ref="R560:R565"/>
    <mergeCell ref="S560:S565"/>
    <mergeCell ref="T560:T565"/>
    <mergeCell ref="N580:N583"/>
    <mergeCell ref="Q580:Q583"/>
    <mergeCell ref="R580:R583"/>
    <mergeCell ref="S580:S583"/>
    <mergeCell ref="T580:T583"/>
    <mergeCell ref="U580:U583"/>
    <mergeCell ref="U572:U577"/>
    <mergeCell ref="A578:R578"/>
    <mergeCell ref="A579:U579"/>
    <mergeCell ref="A580:A583"/>
    <mergeCell ref="B580:B583"/>
    <mergeCell ref="C580:C583"/>
    <mergeCell ref="D580:D583"/>
    <mergeCell ref="E580:E583"/>
    <mergeCell ref="F580:F583"/>
    <mergeCell ref="M580:M583"/>
    <mergeCell ref="M572:M577"/>
    <mergeCell ref="N572:N577"/>
    <mergeCell ref="Q572:Q577"/>
    <mergeCell ref="R572:R577"/>
    <mergeCell ref="S572:S577"/>
    <mergeCell ref="T572:T577"/>
    <mergeCell ref="R590:R595"/>
    <mergeCell ref="S590:S595"/>
    <mergeCell ref="T590:T595"/>
    <mergeCell ref="U590:U595"/>
    <mergeCell ref="A596:A601"/>
    <mergeCell ref="B596:B601"/>
    <mergeCell ref="C596:C601"/>
    <mergeCell ref="D596:D601"/>
    <mergeCell ref="E596:E601"/>
    <mergeCell ref="F596:F601"/>
    <mergeCell ref="U584:U589"/>
    <mergeCell ref="A590:A595"/>
    <mergeCell ref="B590:B595"/>
    <mergeCell ref="C590:C595"/>
    <mergeCell ref="D590:D595"/>
    <mergeCell ref="E590:E595"/>
    <mergeCell ref="F590:F595"/>
    <mergeCell ref="M590:M595"/>
    <mergeCell ref="N590:N595"/>
    <mergeCell ref="Q590:Q595"/>
    <mergeCell ref="M584:M589"/>
    <mergeCell ref="N584:N589"/>
    <mergeCell ref="Q584:Q589"/>
    <mergeCell ref="R584:R589"/>
    <mergeCell ref="S584:S589"/>
    <mergeCell ref="T584:T589"/>
    <mergeCell ref="A584:A589"/>
    <mergeCell ref="B584:B589"/>
    <mergeCell ref="C584:C589"/>
    <mergeCell ref="D584:D589"/>
    <mergeCell ref="E584:E589"/>
    <mergeCell ref="F584:F589"/>
    <mergeCell ref="R602:R607"/>
    <mergeCell ref="S602:S607"/>
    <mergeCell ref="T602:T607"/>
    <mergeCell ref="U602:U607"/>
    <mergeCell ref="A608:A613"/>
    <mergeCell ref="B608:B613"/>
    <mergeCell ref="C608:C613"/>
    <mergeCell ref="D608:D613"/>
    <mergeCell ref="E608:E613"/>
    <mergeCell ref="F608:F613"/>
    <mergeCell ref="U596:U601"/>
    <mergeCell ref="A602:A607"/>
    <mergeCell ref="B602:B607"/>
    <mergeCell ref="C602:C607"/>
    <mergeCell ref="D602:D607"/>
    <mergeCell ref="E602:E607"/>
    <mergeCell ref="F602:F607"/>
    <mergeCell ref="M602:M607"/>
    <mergeCell ref="N602:N607"/>
    <mergeCell ref="Q602:Q607"/>
    <mergeCell ref="M596:M601"/>
    <mergeCell ref="N596:N601"/>
    <mergeCell ref="Q596:Q601"/>
    <mergeCell ref="R596:R601"/>
    <mergeCell ref="S596:S601"/>
    <mergeCell ref="T596:T601"/>
    <mergeCell ref="N616:N619"/>
    <mergeCell ref="Q616:Q619"/>
    <mergeCell ref="R616:R619"/>
    <mergeCell ref="S616:S619"/>
    <mergeCell ref="T616:T619"/>
    <mergeCell ref="U616:U619"/>
    <mergeCell ref="U608:U613"/>
    <mergeCell ref="A614:R614"/>
    <mergeCell ref="A615:U615"/>
    <mergeCell ref="A616:A619"/>
    <mergeCell ref="B616:B619"/>
    <mergeCell ref="C616:C619"/>
    <mergeCell ref="D616:D619"/>
    <mergeCell ref="E616:E619"/>
    <mergeCell ref="F616:F619"/>
    <mergeCell ref="M616:M619"/>
    <mergeCell ref="M608:M613"/>
    <mergeCell ref="N608:N613"/>
    <mergeCell ref="Q608:Q613"/>
    <mergeCell ref="R608:R613"/>
    <mergeCell ref="S608:S613"/>
    <mergeCell ref="T608:T613"/>
    <mergeCell ref="R626:R631"/>
    <mergeCell ref="S626:S631"/>
    <mergeCell ref="T626:T631"/>
    <mergeCell ref="U626:U631"/>
    <mergeCell ref="A632:A637"/>
    <mergeCell ref="B632:B637"/>
    <mergeCell ref="C632:C637"/>
    <mergeCell ref="D632:D637"/>
    <mergeCell ref="E632:E637"/>
    <mergeCell ref="F632:F637"/>
    <mergeCell ref="U620:U625"/>
    <mergeCell ref="A626:A631"/>
    <mergeCell ref="B626:B631"/>
    <mergeCell ref="C626:C631"/>
    <mergeCell ref="D626:D631"/>
    <mergeCell ref="E626:E631"/>
    <mergeCell ref="F626:F631"/>
    <mergeCell ref="M626:M631"/>
    <mergeCell ref="N626:N631"/>
    <mergeCell ref="Q626:Q631"/>
    <mergeCell ref="M620:M625"/>
    <mergeCell ref="N620:N625"/>
    <mergeCell ref="Q620:Q625"/>
    <mergeCell ref="R620:R625"/>
    <mergeCell ref="S620:S625"/>
    <mergeCell ref="T620:T625"/>
    <mergeCell ref="A620:A625"/>
    <mergeCell ref="B620:B625"/>
    <mergeCell ref="C620:C625"/>
    <mergeCell ref="D620:D625"/>
    <mergeCell ref="E620:E625"/>
    <mergeCell ref="F620:F625"/>
    <mergeCell ref="R638:R643"/>
    <mergeCell ref="S638:S643"/>
    <mergeCell ref="T638:T643"/>
    <mergeCell ref="U638:U643"/>
    <mergeCell ref="A644:A649"/>
    <mergeCell ref="B644:B649"/>
    <mergeCell ref="C644:C649"/>
    <mergeCell ref="D644:D649"/>
    <mergeCell ref="E644:E649"/>
    <mergeCell ref="F644:F649"/>
    <mergeCell ref="U632:U637"/>
    <mergeCell ref="A638:A643"/>
    <mergeCell ref="B638:B643"/>
    <mergeCell ref="C638:C643"/>
    <mergeCell ref="D638:D643"/>
    <mergeCell ref="E638:E643"/>
    <mergeCell ref="F638:F643"/>
    <mergeCell ref="M638:M643"/>
    <mergeCell ref="N638:N643"/>
    <mergeCell ref="Q638:Q643"/>
    <mergeCell ref="M632:M637"/>
    <mergeCell ref="N632:N637"/>
    <mergeCell ref="Q632:Q637"/>
    <mergeCell ref="R632:R637"/>
    <mergeCell ref="S632:S637"/>
    <mergeCell ref="T632:T637"/>
    <mergeCell ref="N652:N655"/>
    <mergeCell ref="Q652:Q655"/>
    <mergeCell ref="R652:R655"/>
    <mergeCell ref="S652:S655"/>
    <mergeCell ref="T652:T655"/>
    <mergeCell ref="U652:U655"/>
    <mergeCell ref="U644:U649"/>
    <mergeCell ref="A650:R650"/>
    <mergeCell ref="A651:U651"/>
    <mergeCell ref="A652:A655"/>
    <mergeCell ref="B652:B655"/>
    <mergeCell ref="C652:C655"/>
    <mergeCell ref="D652:D655"/>
    <mergeCell ref="E652:E655"/>
    <mergeCell ref="F652:F655"/>
    <mergeCell ref="M652:M655"/>
    <mergeCell ref="M644:M649"/>
    <mergeCell ref="N644:N649"/>
    <mergeCell ref="Q644:Q649"/>
    <mergeCell ref="R644:R649"/>
    <mergeCell ref="S644:S649"/>
    <mergeCell ref="T644:T649"/>
    <mergeCell ref="R662:R667"/>
    <mergeCell ref="S662:S667"/>
    <mergeCell ref="T662:T667"/>
    <mergeCell ref="U662:U667"/>
    <mergeCell ref="A668:A673"/>
    <mergeCell ref="B668:B673"/>
    <mergeCell ref="C668:C673"/>
    <mergeCell ref="D668:D673"/>
    <mergeCell ref="E668:E673"/>
    <mergeCell ref="F668:F673"/>
    <mergeCell ref="U656:U661"/>
    <mergeCell ref="A662:A667"/>
    <mergeCell ref="B662:B667"/>
    <mergeCell ref="C662:C667"/>
    <mergeCell ref="D662:D667"/>
    <mergeCell ref="E662:E667"/>
    <mergeCell ref="F662:F667"/>
    <mergeCell ref="M662:M667"/>
    <mergeCell ref="N662:N667"/>
    <mergeCell ref="Q662:Q667"/>
    <mergeCell ref="M656:M661"/>
    <mergeCell ref="N656:N661"/>
    <mergeCell ref="Q656:Q661"/>
    <mergeCell ref="R656:R661"/>
    <mergeCell ref="S656:S661"/>
    <mergeCell ref="T656:T661"/>
    <mergeCell ref="A656:A661"/>
    <mergeCell ref="B656:B661"/>
    <mergeCell ref="C656:C661"/>
    <mergeCell ref="D656:D661"/>
    <mergeCell ref="E656:E661"/>
    <mergeCell ref="F656:F661"/>
    <mergeCell ref="R674:R679"/>
    <mergeCell ref="S674:S679"/>
    <mergeCell ref="T674:T679"/>
    <mergeCell ref="U674:U679"/>
    <mergeCell ref="A680:A685"/>
    <mergeCell ref="B680:B685"/>
    <mergeCell ref="C680:C685"/>
    <mergeCell ref="D680:D685"/>
    <mergeCell ref="E680:E685"/>
    <mergeCell ref="F680:F685"/>
    <mergeCell ref="U668:U673"/>
    <mergeCell ref="A674:A679"/>
    <mergeCell ref="B674:B679"/>
    <mergeCell ref="C674:C679"/>
    <mergeCell ref="D674:D679"/>
    <mergeCell ref="E674:E679"/>
    <mergeCell ref="F674:F679"/>
    <mergeCell ref="M674:M679"/>
    <mergeCell ref="N674:N679"/>
    <mergeCell ref="Q674:Q679"/>
    <mergeCell ref="M668:M673"/>
    <mergeCell ref="N668:N673"/>
    <mergeCell ref="Q668:Q673"/>
    <mergeCell ref="R668:R673"/>
    <mergeCell ref="S668:S673"/>
    <mergeCell ref="T668:T673"/>
    <mergeCell ref="N688:N691"/>
    <mergeCell ref="Q688:Q691"/>
    <mergeCell ref="R688:R691"/>
    <mergeCell ref="S688:S691"/>
    <mergeCell ref="T688:T691"/>
    <mergeCell ref="U688:U691"/>
    <mergeCell ref="U680:U685"/>
    <mergeCell ref="A686:R686"/>
    <mergeCell ref="A687:U687"/>
    <mergeCell ref="A688:A691"/>
    <mergeCell ref="B688:B691"/>
    <mergeCell ref="C688:C691"/>
    <mergeCell ref="D688:D691"/>
    <mergeCell ref="E688:E691"/>
    <mergeCell ref="F688:F691"/>
    <mergeCell ref="M688:M691"/>
    <mergeCell ref="M680:M685"/>
    <mergeCell ref="N680:N685"/>
    <mergeCell ref="Q680:Q685"/>
    <mergeCell ref="R680:R685"/>
    <mergeCell ref="S680:S685"/>
    <mergeCell ref="T680:T685"/>
    <mergeCell ref="U692:U697"/>
    <mergeCell ref="A698:A703"/>
    <mergeCell ref="B698:B703"/>
    <mergeCell ref="C698:C703"/>
    <mergeCell ref="D698:D703"/>
    <mergeCell ref="E698:E703"/>
    <mergeCell ref="F698:F703"/>
    <mergeCell ref="M698:M703"/>
    <mergeCell ref="N698:N703"/>
    <mergeCell ref="Q698:Q703"/>
    <mergeCell ref="M692:M697"/>
    <mergeCell ref="N692:N697"/>
    <mergeCell ref="Q692:Q697"/>
    <mergeCell ref="R692:R697"/>
    <mergeCell ref="S692:S697"/>
    <mergeCell ref="T692:T697"/>
    <mergeCell ref="A692:A697"/>
    <mergeCell ref="B692:B697"/>
    <mergeCell ref="C692:C697"/>
    <mergeCell ref="D692:D697"/>
    <mergeCell ref="E692:E697"/>
    <mergeCell ref="F692:F697"/>
    <mergeCell ref="U704:U709"/>
    <mergeCell ref="A710:A715"/>
    <mergeCell ref="B710:B715"/>
    <mergeCell ref="C710:C715"/>
    <mergeCell ref="D710:D715"/>
    <mergeCell ref="E710:E715"/>
    <mergeCell ref="F710:F715"/>
    <mergeCell ref="M710:M715"/>
    <mergeCell ref="N710:N715"/>
    <mergeCell ref="Q710:Q715"/>
    <mergeCell ref="M704:M709"/>
    <mergeCell ref="N704:N709"/>
    <mergeCell ref="Q704:Q709"/>
    <mergeCell ref="R704:R709"/>
    <mergeCell ref="S704:S709"/>
    <mergeCell ref="T704:T709"/>
    <mergeCell ref="R698:R703"/>
    <mergeCell ref="S698:S703"/>
    <mergeCell ref="T698:T703"/>
    <mergeCell ref="U698:U703"/>
    <mergeCell ref="A704:A709"/>
    <mergeCell ref="B704:B709"/>
    <mergeCell ref="C704:C709"/>
    <mergeCell ref="D704:D709"/>
    <mergeCell ref="E704:E709"/>
    <mergeCell ref="F704:F709"/>
    <mergeCell ref="U716:U721"/>
    <mergeCell ref="A722:R722"/>
    <mergeCell ref="M716:M721"/>
    <mergeCell ref="N716:N721"/>
    <mergeCell ref="Q716:Q721"/>
    <mergeCell ref="R716:R721"/>
    <mergeCell ref="S716:S721"/>
    <mergeCell ref="T716:T721"/>
    <mergeCell ref="R710:R715"/>
    <mergeCell ref="S710:S715"/>
    <mergeCell ref="T710:T715"/>
    <mergeCell ref="U710:U715"/>
    <mergeCell ref="A716:A721"/>
    <mergeCell ref="B716:B721"/>
    <mergeCell ref="C716:C721"/>
    <mergeCell ref="D716:D721"/>
    <mergeCell ref="E716:E721"/>
    <mergeCell ref="F716:F72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>
      <selection activeCell="B6" sqref="B6"/>
    </sheetView>
  </sheetViews>
  <sheetFormatPr defaultRowHeight="15" x14ac:dyDescent="0.25"/>
  <sheetData>
    <row r="1" spans="1:3" x14ac:dyDescent="0.25">
      <c r="A1" t="s">
        <v>24</v>
      </c>
      <c r="B1" t="s">
        <v>25</v>
      </c>
      <c r="C1" t="s">
        <v>26</v>
      </c>
    </row>
    <row r="2" spans="1:3" x14ac:dyDescent="0.25">
      <c r="A2" t="s">
        <v>27</v>
      </c>
      <c r="B2">
        <v>1</v>
      </c>
    </row>
    <row r="3" spans="1:3" x14ac:dyDescent="0.25">
      <c r="A3" t="s">
        <v>28</v>
      </c>
      <c r="B3">
        <v>0.125</v>
      </c>
    </row>
    <row r="4" spans="1:3" x14ac:dyDescent="0.25">
      <c r="A4" t="s">
        <v>29</v>
      </c>
      <c r="B4">
        <v>1</v>
      </c>
    </row>
    <row r="5" spans="1:3" x14ac:dyDescent="0.25">
      <c r="A5" t="s">
        <v>30</v>
      </c>
      <c r="B5">
        <v>0</v>
      </c>
    </row>
    <row r="6" spans="1:3" x14ac:dyDescent="0.25">
      <c r="A6" s="10" t="s">
        <v>21</v>
      </c>
      <c r="B6" s="10">
        <v>640</v>
      </c>
    </row>
    <row r="7" spans="1:3" x14ac:dyDescent="0.25">
      <c r="A7" s="11" t="s">
        <v>22</v>
      </c>
      <c r="B7" s="11">
        <v>0</v>
      </c>
    </row>
    <row r="8" spans="1:3" x14ac:dyDescent="0.25">
      <c r="A8" t="s">
        <v>23</v>
      </c>
      <c r="B8">
        <f>20*LOG10(B6/(B6+B7))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зел</vt:lpstr>
      <vt:lpstr>кор</vt:lpstr>
      <vt:lpstr>оранж</vt:lpstr>
      <vt:lpstr>син</vt:lpstr>
      <vt:lpstr>Params</vt:lpstr>
      <vt:lpstr>H</vt:lpstr>
      <vt:lpstr>Kzt</vt:lpstr>
    </vt:vector>
  </TitlesOfParts>
  <Company>InfoTeCS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Tereshchenko Vitaly</dc:creator>
  <cp:lastModifiedBy>Пользователь Windows</cp:lastModifiedBy>
  <dcterms:created xsi:type="dcterms:W3CDTF">2020-01-10T08:23:33Z</dcterms:created>
  <dcterms:modified xsi:type="dcterms:W3CDTF">2025-10-10T09:39:13Z</dcterms:modified>
</cp:coreProperties>
</file>