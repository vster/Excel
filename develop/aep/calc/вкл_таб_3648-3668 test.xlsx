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64011"/>
  <mc:AlternateContent xmlns:mc="http://schemas.openxmlformats.org/markup-compatibility/2006">
    <mc:Choice Requires="x15">
      <x15ac:absPath xmlns:x15ac="http://schemas.microsoft.com/office/spreadsheetml/2010/11/ac" url="D:\vst\Excel\develop\aep\calc\"/>
    </mc:Choice>
  </mc:AlternateContent>
  <bookViews>
    <workbookView xWindow="-120" yWindow="-120" windowWidth="29040" windowHeight="15840"/>
  </bookViews>
  <sheets>
    <sheet name="зел" sheetId="3" r:id="rId1"/>
    <sheet name="кор" sheetId="5" r:id="rId2"/>
    <sheet name="оранж" sheetId="6" r:id="rId3"/>
    <sheet name="син" sheetId="7" r:id="rId4"/>
    <sheet name="Питание" sheetId="8" r:id="rId5"/>
    <sheet name="Params" sheetId="4" r:id="rId6"/>
  </sheets>
  <definedNames>
    <definedName name="H">Params!$B$8</definedName>
    <definedName name="Kzt">Params!$B$5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721" i="8" l="1"/>
  <c r="P721" i="8" s="1"/>
  <c r="K721" i="8"/>
  <c r="L721" i="8" s="1"/>
  <c r="O720" i="8"/>
  <c r="P720" i="8" s="1"/>
  <c r="K720" i="8"/>
  <c r="L720" i="8" s="1"/>
  <c r="O719" i="8"/>
  <c r="P719" i="8" s="1"/>
  <c r="K719" i="8"/>
  <c r="L719" i="8" s="1"/>
  <c r="O718" i="8"/>
  <c r="P718" i="8" s="1"/>
  <c r="K718" i="8"/>
  <c r="L718" i="8" s="1"/>
  <c r="O717" i="8"/>
  <c r="P717" i="8" s="1"/>
  <c r="K717" i="8"/>
  <c r="L717" i="8" s="1"/>
  <c r="O716" i="8"/>
  <c r="P716" i="8" s="1"/>
  <c r="K716" i="8"/>
  <c r="L716" i="8" s="1"/>
  <c r="O715" i="8"/>
  <c r="P715" i="8" s="1"/>
  <c r="K715" i="8"/>
  <c r="L715" i="8" s="1"/>
  <c r="O714" i="8"/>
  <c r="P714" i="8" s="1"/>
  <c r="K714" i="8"/>
  <c r="L714" i="8" s="1"/>
  <c r="O713" i="8"/>
  <c r="P713" i="8" s="1"/>
  <c r="K713" i="8"/>
  <c r="L713" i="8" s="1"/>
  <c r="O712" i="8"/>
  <c r="P712" i="8" s="1"/>
  <c r="K712" i="8"/>
  <c r="L712" i="8" s="1"/>
  <c r="O711" i="8"/>
  <c r="P711" i="8" s="1"/>
  <c r="K711" i="8"/>
  <c r="L711" i="8" s="1"/>
  <c r="O710" i="8"/>
  <c r="P710" i="8" s="1"/>
  <c r="K710" i="8"/>
  <c r="L710" i="8" s="1"/>
  <c r="O709" i="8"/>
  <c r="P709" i="8" s="1"/>
  <c r="K709" i="8"/>
  <c r="L709" i="8" s="1"/>
  <c r="O708" i="8"/>
  <c r="P708" i="8" s="1"/>
  <c r="K708" i="8"/>
  <c r="L708" i="8" s="1"/>
  <c r="O707" i="8"/>
  <c r="P707" i="8" s="1"/>
  <c r="K707" i="8"/>
  <c r="L707" i="8" s="1"/>
  <c r="O706" i="8"/>
  <c r="P706" i="8" s="1"/>
  <c r="K706" i="8"/>
  <c r="L706" i="8" s="1"/>
  <c r="O705" i="8"/>
  <c r="P705" i="8" s="1"/>
  <c r="K705" i="8"/>
  <c r="L705" i="8" s="1"/>
  <c r="O704" i="8"/>
  <c r="P704" i="8" s="1"/>
  <c r="K704" i="8"/>
  <c r="L704" i="8" s="1"/>
  <c r="O703" i="8"/>
  <c r="P703" i="8" s="1"/>
  <c r="K703" i="8"/>
  <c r="L703" i="8" s="1"/>
  <c r="O702" i="8"/>
  <c r="P702" i="8" s="1"/>
  <c r="K702" i="8"/>
  <c r="L702" i="8" s="1"/>
  <c r="O701" i="8"/>
  <c r="P701" i="8" s="1"/>
  <c r="K701" i="8"/>
  <c r="L701" i="8" s="1"/>
  <c r="O700" i="8"/>
  <c r="P700" i="8" s="1"/>
  <c r="K700" i="8"/>
  <c r="L700" i="8" s="1"/>
  <c r="O699" i="8"/>
  <c r="P699" i="8" s="1"/>
  <c r="K699" i="8"/>
  <c r="L699" i="8" s="1"/>
  <c r="O698" i="8"/>
  <c r="P698" i="8" s="1"/>
  <c r="K698" i="8"/>
  <c r="L698" i="8" s="1"/>
  <c r="O697" i="8"/>
  <c r="P697" i="8" s="1"/>
  <c r="K697" i="8"/>
  <c r="L697" i="8" s="1"/>
  <c r="O696" i="8"/>
  <c r="P696" i="8" s="1"/>
  <c r="K696" i="8"/>
  <c r="L696" i="8" s="1"/>
  <c r="O695" i="8"/>
  <c r="P695" i="8" s="1"/>
  <c r="K695" i="8"/>
  <c r="L695" i="8" s="1"/>
  <c r="O694" i="8"/>
  <c r="P694" i="8" s="1"/>
  <c r="K694" i="8"/>
  <c r="L694" i="8" s="1"/>
  <c r="O693" i="8"/>
  <c r="P693" i="8" s="1"/>
  <c r="K693" i="8"/>
  <c r="L693" i="8" s="1"/>
  <c r="O692" i="8"/>
  <c r="P692" i="8" s="1"/>
  <c r="Q692" i="8" s="1"/>
  <c r="R692" i="8" s="1"/>
  <c r="K692" i="8"/>
  <c r="L692" i="8" s="1"/>
  <c r="M692" i="8" s="1"/>
  <c r="N692" i="8" s="1"/>
  <c r="S692" i="8" s="1"/>
  <c r="O691" i="8"/>
  <c r="P691" i="8" s="1"/>
  <c r="K691" i="8"/>
  <c r="L691" i="8" s="1"/>
  <c r="O690" i="8"/>
  <c r="P690" i="8" s="1"/>
  <c r="K690" i="8"/>
  <c r="L690" i="8" s="1"/>
  <c r="O689" i="8"/>
  <c r="P689" i="8" s="1"/>
  <c r="K689" i="8"/>
  <c r="L689" i="8" s="1"/>
  <c r="O688" i="8"/>
  <c r="P688" i="8" s="1"/>
  <c r="Q688" i="8" s="1"/>
  <c r="R688" i="8" s="1"/>
  <c r="K688" i="8"/>
  <c r="L688" i="8" s="1"/>
  <c r="O685" i="8"/>
  <c r="P685" i="8" s="1"/>
  <c r="K685" i="8"/>
  <c r="L685" i="8" s="1"/>
  <c r="O684" i="8"/>
  <c r="P684" i="8" s="1"/>
  <c r="L684" i="8"/>
  <c r="K684" i="8"/>
  <c r="O683" i="8"/>
  <c r="P683" i="8" s="1"/>
  <c r="L683" i="8"/>
  <c r="K683" i="8"/>
  <c r="O682" i="8"/>
  <c r="P682" i="8" s="1"/>
  <c r="K682" i="8"/>
  <c r="L682" i="8" s="1"/>
  <c r="O681" i="8"/>
  <c r="P681" i="8" s="1"/>
  <c r="K681" i="8"/>
  <c r="L681" i="8" s="1"/>
  <c r="O680" i="8"/>
  <c r="P680" i="8" s="1"/>
  <c r="K680" i="8"/>
  <c r="L680" i="8" s="1"/>
  <c r="O679" i="8"/>
  <c r="P679" i="8" s="1"/>
  <c r="K679" i="8"/>
  <c r="L679" i="8" s="1"/>
  <c r="O678" i="8"/>
  <c r="P678" i="8" s="1"/>
  <c r="K678" i="8"/>
  <c r="L678" i="8" s="1"/>
  <c r="P677" i="8"/>
  <c r="O677" i="8"/>
  <c r="K677" i="8"/>
  <c r="L677" i="8" s="1"/>
  <c r="P676" i="8"/>
  <c r="O676" i="8"/>
  <c r="K676" i="8"/>
  <c r="L676" i="8" s="1"/>
  <c r="O675" i="8"/>
  <c r="P675" i="8" s="1"/>
  <c r="K675" i="8"/>
  <c r="L675" i="8" s="1"/>
  <c r="O674" i="8"/>
  <c r="P674" i="8" s="1"/>
  <c r="Q674" i="8" s="1"/>
  <c r="R674" i="8" s="1"/>
  <c r="L674" i="8"/>
  <c r="K674" i="8"/>
  <c r="O673" i="8"/>
  <c r="P673" i="8" s="1"/>
  <c r="K673" i="8"/>
  <c r="L673" i="8" s="1"/>
  <c r="O672" i="8"/>
  <c r="P672" i="8" s="1"/>
  <c r="K672" i="8"/>
  <c r="L672" i="8" s="1"/>
  <c r="O671" i="8"/>
  <c r="P671" i="8" s="1"/>
  <c r="L671" i="8"/>
  <c r="K671" i="8"/>
  <c r="O670" i="8"/>
  <c r="P670" i="8" s="1"/>
  <c r="L670" i="8"/>
  <c r="K670" i="8"/>
  <c r="O669" i="8"/>
  <c r="P669" i="8" s="1"/>
  <c r="K669" i="8"/>
  <c r="L669" i="8" s="1"/>
  <c r="O668" i="8"/>
  <c r="P668" i="8" s="1"/>
  <c r="K668" i="8"/>
  <c r="L668" i="8" s="1"/>
  <c r="P667" i="8"/>
  <c r="O667" i="8"/>
  <c r="K667" i="8"/>
  <c r="L667" i="8" s="1"/>
  <c r="P666" i="8"/>
  <c r="O666" i="8"/>
  <c r="K666" i="8"/>
  <c r="L666" i="8" s="1"/>
  <c r="O665" i="8"/>
  <c r="P665" i="8" s="1"/>
  <c r="K665" i="8"/>
  <c r="L665" i="8" s="1"/>
  <c r="O664" i="8"/>
  <c r="P664" i="8" s="1"/>
  <c r="Q662" i="8" s="1"/>
  <c r="R662" i="8" s="1"/>
  <c r="K664" i="8"/>
  <c r="L664" i="8" s="1"/>
  <c r="P663" i="8"/>
  <c r="O663" i="8"/>
  <c r="K663" i="8"/>
  <c r="L663" i="8" s="1"/>
  <c r="P662" i="8"/>
  <c r="O662" i="8"/>
  <c r="K662" i="8"/>
  <c r="L662" i="8" s="1"/>
  <c r="O661" i="8"/>
  <c r="P661" i="8" s="1"/>
  <c r="L661" i="8"/>
  <c r="K661" i="8"/>
  <c r="O660" i="8"/>
  <c r="P660" i="8" s="1"/>
  <c r="L660" i="8"/>
  <c r="K660" i="8"/>
  <c r="O659" i="8"/>
  <c r="P659" i="8" s="1"/>
  <c r="K659" i="8"/>
  <c r="L659" i="8" s="1"/>
  <c r="O658" i="8"/>
  <c r="P658" i="8" s="1"/>
  <c r="K658" i="8"/>
  <c r="L658" i="8" s="1"/>
  <c r="O657" i="8"/>
  <c r="P657" i="8" s="1"/>
  <c r="L657" i="8"/>
  <c r="K657" i="8"/>
  <c r="O656" i="8"/>
  <c r="P656" i="8" s="1"/>
  <c r="K656" i="8"/>
  <c r="L656" i="8" s="1"/>
  <c r="O655" i="8"/>
  <c r="P655" i="8" s="1"/>
  <c r="K655" i="8"/>
  <c r="L655" i="8" s="1"/>
  <c r="O654" i="8"/>
  <c r="P654" i="8" s="1"/>
  <c r="K654" i="8"/>
  <c r="L654" i="8" s="1"/>
  <c r="P653" i="8"/>
  <c r="O653" i="8"/>
  <c r="K653" i="8"/>
  <c r="L653" i="8" s="1"/>
  <c r="P652" i="8"/>
  <c r="O652" i="8"/>
  <c r="K652" i="8"/>
  <c r="L652" i="8" s="1"/>
  <c r="M652" i="8" s="1"/>
  <c r="N652" i="8" s="1"/>
  <c r="S652" i="8" s="1"/>
  <c r="P649" i="8"/>
  <c r="O649" i="8"/>
  <c r="K649" i="8"/>
  <c r="L649" i="8" s="1"/>
  <c r="P648" i="8"/>
  <c r="O648" i="8"/>
  <c r="K648" i="8"/>
  <c r="L648" i="8" s="1"/>
  <c r="O647" i="8"/>
  <c r="P647" i="8" s="1"/>
  <c r="K647" i="8"/>
  <c r="L647" i="8" s="1"/>
  <c r="O646" i="8"/>
  <c r="P646" i="8" s="1"/>
  <c r="K646" i="8"/>
  <c r="L646" i="8" s="1"/>
  <c r="P645" i="8"/>
  <c r="O645" i="8"/>
  <c r="K645" i="8"/>
  <c r="L645" i="8" s="1"/>
  <c r="P644" i="8"/>
  <c r="O644" i="8"/>
  <c r="L644" i="8"/>
  <c r="K644" i="8"/>
  <c r="O643" i="8"/>
  <c r="P643" i="8" s="1"/>
  <c r="K643" i="8"/>
  <c r="L643" i="8" s="1"/>
  <c r="O642" i="8"/>
  <c r="P642" i="8" s="1"/>
  <c r="L642" i="8"/>
  <c r="K642" i="8"/>
  <c r="O641" i="8"/>
  <c r="P641" i="8" s="1"/>
  <c r="K641" i="8"/>
  <c r="L641" i="8" s="1"/>
  <c r="O640" i="8"/>
  <c r="P640" i="8" s="1"/>
  <c r="L640" i="8"/>
  <c r="K640" i="8"/>
  <c r="O639" i="8"/>
  <c r="P639" i="8" s="1"/>
  <c r="K639" i="8"/>
  <c r="L639" i="8" s="1"/>
  <c r="P638" i="8"/>
  <c r="O638" i="8"/>
  <c r="K638" i="8"/>
  <c r="L638" i="8" s="1"/>
  <c r="M638" i="8" s="1"/>
  <c r="N638" i="8" s="1"/>
  <c r="S638" i="8" s="1"/>
  <c r="O637" i="8"/>
  <c r="P637" i="8" s="1"/>
  <c r="K637" i="8"/>
  <c r="L637" i="8" s="1"/>
  <c r="P636" i="8"/>
  <c r="O636" i="8"/>
  <c r="K636" i="8"/>
  <c r="L636" i="8" s="1"/>
  <c r="P635" i="8"/>
  <c r="O635" i="8"/>
  <c r="K635" i="8"/>
  <c r="L635" i="8" s="1"/>
  <c r="P634" i="8"/>
  <c r="O634" i="8"/>
  <c r="K634" i="8"/>
  <c r="L634" i="8" s="1"/>
  <c r="O633" i="8"/>
  <c r="P633" i="8" s="1"/>
  <c r="K633" i="8"/>
  <c r="L633" i="8" s="1"/>
  <c r="P632" i="8"/>
  <c r="O632" i="8"/>
  <c r="K632" i="8"/>
  <c r="L632" i="8" s="1"/>
  <c r="O631" i="8"/>
  <c r="P631" i="8" s="1"/>
  <c r="K631" i="8"/>
  <c r="L631" i="8" s="1"/>
  <c r="O630" i="8"/>
  <c r="P630" i="8" s="1"/>
  <c r="K630" i="8"/>
  <c r="L630" i="8" s="1"/>
  <c r="P629" i="8"/>
  <c r="O629" i="8"/>
  <c r="K629" i="8"/>
  <c r="L629" i="8" s="1"/>
  <c r="P628" i="8"/>
  <c r="O628" i="8"/>
  <c r="K628" i="8"/>
  <c r="L628" i="8" s="1"/>
  <c r="O627" i="8"/>
  <c r="P627" i="8" s="1"/>
  <c r="K627" i="8"/>
  <c r="L627" i="8" s="1"/>
  <c r="O626" i="8"/>
  <c r="P626" i="8" s="1"/>
  <c r="K626" i="8"/>
  <c r="L626" i="8" s="1"/>
  <c r="P625" i="8"/>
  <c r="O625" i="8"/>
  <c r="K625" i="8"/>
  <c r="L625" i="8" s="1"/>
  <c r="O624" i="8"/>
  <c r="P624" i="8" s="1"/>
  <c r="K624" i="8"/>
  <c r="L624" i="8" s="1"/>
  <c r="P623" i="8"/>
  <c r="O623" i="8"/>
  <c r="K623" i="8"/>
  <c r="L623" i="8" s="1"/>
  <c r="P622" i="8"/>
  <c r="O622" i="8"/>
  <c r="K622" i="8"/>
  <c r="L622" i="8" s="1"/>
  <c r="P621" i="8"/>
  <c r="O621" i="8"/>
  <c r="K621" i="8"/>
  <c r="L621" i="8" s="1"/>
  <c r="O620" i="8"/>
  <c r="P620" i="8" s="1"/>
  <c r="K620" i="8"/>
  <c r="L620" i="8" s="1"/>
  <c r="P619" i="8"/>
  <c r="O619" i="8"/>
  <c r="K619" i="8"/>
  <c r="L619" i="8" s="1"/>
  <c r="P618" i="8"/>
  <c r="O618" i="8"/>
  <c r="K618" i="8"/>
  <c r="L618" i="8" s="1"/>
  <c r="P617" i="8"/>
  <c r="O617" i="8"/>
  <c r="K617" i="8"/>
  <c r="L617" i="8" s="1"/>
  <c r="O616" i="8"/>
  <c r="P616" i="8" s="1"/>
  <c r="K616" i="8"/>
  <c r="L616" i="8" s="1"/>
  <c r="O613" i="8"/>
  <c r="P613" i="8" s="1"/>
  <c r="K613" i="8"/>
  <c r="L613" i="8" s="1"/>
  <c r="P612" i="8"/>
  <c r="O612" i="8"/>
  <c r="K612" i="8"/>
  <c r="L612" i="8" s="1"/>
  <c r="O611" i="8"/>
  <c r="P611" i="8" s="1"/>
  <c r="K611" i="8"/>
  <c r="L611" i="8" s="1"/>
  <c r="P610" i="8"/>
  <c r="O610" i="8"/>
  <c r="K610" i="8"/>
  <c r="L610" i="8" s="1"/>
  <c r="O609" i="8"/>
  <c r="P609" i="8" s="1"/>
  <c r="K609" i="8"/>
  <c r="L609" i="8" s="1"/>
  <c r="P608" i="8"/>
  <c r="O608" i="8"/>
  <c r="L608" i="8"/>
  <c r="K608" i="8"/>
  <c r="O607" i="8"/>
  <c r="P607" i="8" s="1"/>
  <c r="K607" i="8"/>
  <c r="L607" i="8" s="1"/>
  <c r="O606" i="8"/>
  <c r="P606" i="8" s="1"/>
  <c r="L606" i="8"/>
  <c r="K606" i="8"/>
  <c r="O605" i="8"/>
  <c r="P605" i="8" s="1"/>
  <c r="K605" i="8"/>
  <c r="L605" i="8" s="1"/>
  <c r="O604" i="8"/>
  <c r="P604" i="8" s="1"/>
  <c r="L604" i="8"/>
  <c r="K604" i="8"/>
  <c r="O603" i="8"/>
  <c r="P603" i="8" s="1"/>
  <c r="K603" i="8"/>
  <c r="L603" i="8" s="1"/>
  <c r="O602" i="8"/>
  <c r="P602" i="8" s="1"/>
  <c r="K602" i="8"/>
  <c r="L602" i="8" s="1"/>
  <c r="P601" i="8"/>
  <c r="O601" i="8"/>
  <c r="K601" i="8"/>
  <c r="L601" i="8" s="1"/>
  <c r="O600" i="8"/>
  <c r="P600" i="8" s="1"/>
  <c r="K600" i="8"/>
  <c r="L600" i="8" s="1"/>
  <c r="P599" i="8"/>
  <c r="O599" i="8"/>
  <c r="K599" i="8"/>
  <c r="L599" i="8" s="1"/>
  <c r="O598" i="8"/>
  <c r="P598" i="8" s="1"/>
  <c r="K598" i="8"/>
  <c r="L598" i="8" s="1"/>
  <c r="P597" i="8"/>
  <c r="O597" i="8"/>
  <c r="K597" i="8"/>
  <c r="L597" i="8" s="1"/>
  <c r="P596" i="8"/>
  <c r="Q596" i="8" s="1"/>
  <c r="R596" i="8" s="1"/>
  <c r="O596" i="8"/>
  <c r="K596" i="8"/>
  <c r="L596" i="8" s="1"/>
  <c r="M596" i="8" s="1"/>
  <c r="N596" i="8" s="1"/>
  <c r="S596" i="8" s="1"/>
  <c r="O595" i="8"/>
  <c r="P595" i="8" s="1"/>
  <c r="L595" i="8"/>
  <c r="K595" i="8"/>
  <c r="O594" i="8"/>
  <c r="P594" i="8" s="1"/>
  <c r="K594" i="8"/>
  <c r="L594" i="8" s="1"/>
  <c r="O593" i="8"/>
  <c r="P593" i="8" s="1"/>
  <c r="L593" i="8"/>
  <c r="K593" i="8"/>
  <c r="O592" i="8"/>
  <c r="P592" i="8" s="1"/>
  <c r="K592" i="8"/>
  <c r="L592" i="8" s="1"/>
  <c r="O591" i="8"/>
  <c r="P591" i="8" s="1"/>
  <c r="L591" i="8"/>
  <c r="K591" i="8"/>
  <c r="O590" i="8"/>
  <c r="P590" i="8" s="1"/>
  <c r="K590" i="8"/>
  <c r="L590" i="8" s="1"/>
  <c r="P589" i="8"/>
  <c r="O589" i="8"/>
  <c r="K589" i="8"/>
  <c r="L589" i="8" s="1"/>
  <c r="O588" i="8"/>
  <c r="P588" i="8" s="1"/>
  <c r="K588" i="8"/>
  <c r="L588" i="8" s="1"/>
  <c r="P587" i="8"/>
  <c r="O587" i="8"/>
  <c r="K587" i="8"/>
  <c r="L587" i="8" s="1"/>
  <c r="O586" i="8"/>
  <c r="P586" i="8" s="1"/>
  <c r="K586" i="8"/>
  <c r="L586" i="8" s="1"/>
  <c r="P585" i="8"/>
  <c r="O585" i="8"/>
  <c r="K585" i="8"/>
  <c r="L585" i="8" s="1"/>
  <c r="O584" i="8"/>
  <c r="P584" i="8" s="1"/>
  <c r="K584" i="8"/>
  <c r="L584" i="8" s="1"/>
  <c r="O583" i="8"/>
  <c r="P583" i="8" s="1"/>
  <c r="L583" i="8"/>
  <c r="K583" i="8"/>
  <c r="O582" i="8"/>
  <c r="P582" i="8" s="1"/>
  <c r="K582" i="8"/>
  <c r="L582" i="8" s="1"/>
  <c r="O581" i="8"/>
  <c r="P581" i="8" s="1"/>
  <c r="L581" i="8"/>
  <c r="K581" i="8"/>
  <c r="O580" i="8"/>
  <c r="P580" i="8" s="1"/>
  <c r="K580" i="8"/>
  <c r="L580" i="8" s="1"/>
  <c r="O577" i="8"/>
  <c r="P577" i="8" s="1"/>
  <c r="L577" i="8"/>
  <c r="K577" i="8"/>
  <c r="O576" i="8"/>
  <c r="P576" i="8" s="1"/>
  <c r="K576" i="8"/>
  <c r="L576" i="8" s="1"/>
  <c r="O575" i="8"/>
  <c r="P575" i="8" s="1"/>
  <c r="K575" i="8"/>
  <c r="L575" i="8" s="1"/>
  <c r="O574" i="8"/>
  <c r="P574" i="8" s="1"/>
  <c r="K574" i="8"/>
  <c r="L574" i="8" s="1"/>
  <c r="O573" i="8"/>
  <c r="P573" i="8" s="1"/>
  <c r="L573" i="8"/>
  <c r="K573" i="8"/>
  <c r="O572" i="8"/>
  <c r="P572" i="8" s="1"/>
  <c r="K572" i="8"/>
  <c r="L572" i="8" s="1"/>
  <c r="P571" i="8"/>
  <c r="O571" i="8"/>
  <c r="K571" i="8"/>
  <c r="L571" i="8" s="1"/>
  <c r="P570" i="8"/>
  <c r="O570" i="8"/>
  <c r="K570" i="8"/>
  <c r="L570" i="8" s="1"/>
  <c r="O569" i="8"/>
  <c r="P569" i="8" s="1"/>
  <c r="K569" i="8"/>
  <c r="L569" i="8" s="1"/>
  <c r="O568" i="8"/>
  <c r="P568" i="8" s="1"/>
  <c r="K568" i="8"/>
  <c r="L568" i="8" s="1"/>
  <c r="P567" i="8"/>
  <c r="O567" i="8"/>
  <c r="K567" i="8"/>
  <c r="L567" i="8" s="1"/>
  <c r="P566" i="8"/>
  <c r="O566" i="8"/>
  <c r="K566" i="8"/>
  <c r="L566" i="8" s="1"/>
  <c r="M566" i="8" s="1"/>
  <c r="N566" i="8" s="1"/>
  <c r="S566" i="8" s="1"/>
  <c r="O565" i="8"/>
  <c r="P565" i="8" s="1"/>
  <c r="L565" i="8"/>
  <c r="K565" i="8"/>
  <c r="O564" i="8"/>
  <c r="P564" i="8" s="1"/>
  <c r="K564" i="8"/>
  <c r="L564" i="8" s="1"/>
  <c r="O563" i="8"/>
  <c r="P563" i="8" s="1"/>
  <c r="K563" i="8"/>
  <c r="L563" i="8" s="1"/>
  <c r="O562" i="8"/>
  <c r="P562" i="8" s="1"/>
  <c r="K562" i="8"/>
  <c r="L562" i="8" s="1"/>
  <c r="O561" i="8"/>
  <c r="P561" i="8" s="1"/>
  <c r="L561" i="8"/>
  <c r="K561" i="8"/>
  <c r="O560" i="8"/>
  <c r="P560" i="8" s="1"/>
  <c r="K560" i="8"/>
  <c r="L560" i="8" s="1"/>
  <c r="O559" i="8"/>
  <c r="P559" i="8" s="1"/>
  <c r="K559" i="8"/>
  <c r="L559" i="8" s="1"/>
  <c r="O558" i="8"/>
  <c r="P558" i="8" s="1"/>
  <c r="K558" i="8"/>
  <c r="L558" i="8" s="1"/>
  <c r="O557" i="8"/>
  <c r="P557" i="8" s="1"/>
  <c r="K557" i="8"/>
  <c r="L557" i="8" s="1"/>
  <c r="O556" i="8"/>
  <c r="P556" i="8" s="1"/>
  <c r="K556" i="8"/>
  <c r="L556" i="8" s="1"/>
  <c r="O555" i="8"/>
  <c r="P555" i="8" s="1"/>
  <c r="K555" i="8"/>
  <c r="L555" i="8" s="1"/>
  <c r="O554" i="8"/>
  <c r="P554" i="8" s="1"/>
  <c r="K554" i="8"/>
  <c r="L554" i="8" s="1"/>
  <c r="O553" i="8"/>
  <c r="P553" i="8" s="1"/>
  <c r="K553" i="8"/>
  <c r="L553" i="8" s="1"/>
  <c r="O552" i="8"/>
  <c r="P552" i="8" s="1"/>
  <c r="K552" i="8"/>
  <c r="L552" i="8" s="1"/>
  <c r="O551" i="8"/>
  <c r="P551" i="8" s="1"/>
  <c r="K551" i="8"/>
  <c r="L551" i="8" s="1"/>
  <c r="O550" i="8"/>
  <c r="P550" i="8" s="1"/>
  <c r="K550" i="8"/>
  <c r="L550" i="8" s="1"/>
  <c r="O549" i="8"/>
  <c r="P549" i="8" s="1"/>
  <c r="L549" i="8"/>
  <c r="K549" i="8"/>
  <c r="O548" i="8"/>
  <c r="P548" i="8" s="1"/>
  <c r="K548" i="8"/>
  <c r="L548" i="8" s="1"/>
  <c r="P547" i="8"/>
  <c r="O547" i="8"/>
  <c r="K547" i="8"/>
  <c r="L547" i="8" s="1"/>
  <c r="O546" i="8"/>
  <c r="P546" i="8" s="1"/>
  <c r="K546" i="8"/>
  <c r="L546" i="8" s="1"/>
  <c r="O545" i="8"/>
  <c r="P545" i="8" s="1"/>
  <c r="K545" i="8"/>
  <c r="L545" i="8" s="1"/>
  <c r="O544" i="8"/>
  <c r="P544" i="8" s="1"/>
  <c r="K544" i="8"/>
  <c r="L544" i="8" s="1"/>
  <c r="M544" i="8" s="1"/>
  <c r="N544" i="8" s="1"/>
  <c r="S544" i="8" s="1"/>
  <c r="O541" i="8"/>
  <c r="P541" i="8" s="1"/>
  <c r="K541" i="8"/>
  <c r="L541" i="8" s="1"/>
  <c r="O540" i="8"/>
  <c r="P540" i="8" s="1"/>
  <c r="K540" i="8"/>
  <c r="L540" i="8" s="1"/>
  <c r="O539" i="8"/>
  <c r="P539" i="8" s="1"/>
  <c r="K539" i="8"/>
  <c r="L539" i="8" s="1"/>
  <c r="O538" i="8"/>
  <c r="P538" i="8" s="1"/>
  <c r="K538" i="8"/>
  <c r="L538" i="8" s="1"/>
  <c r="O537" i="8"/>
  <c r="P537" i="8" s="1"/>
  <c r="K537" i="8"/>
  <c r="L537" i="8" s="1"/>
  <c r="P536" i="8"/>
  <c r="O536" i="8"/>
  <c r="K536" i="8"/>
  <c r="L536" i="8" s="1"/>
  <c r="O535" i="8"/>
  <c r="P535" i="8" s="1"/>
  <c r="K535" i="8"/>
  <c r="L535" i="8" s="1"/>
  <c r="O534" i="8"/>
  <c r="P534" i="8" s="1"/>
  <c r="L534" i="8"/>
  <c r="K534" i="8"/>
  <c r="O533" i="8"/>
  <c r="P533" i="8" s="1"/>
  <c r="K533" i="8"/>
  <c r="L533" i="8" s="1"/>
  <c r="O532" i="8"/>
  <c r="P532" i="8" s="1"/>
  <c r="K532" i="8"/>
  <c r="L532" i="8" s="1"/>
  <c r="O531" i="8"/>
  <c r="P531" i="8" s="1"/>
  <c r="K531" i="8"/>
  <c r="L531" i="8" s="1"/>
  <c r="O530" i="8"/>
  <c r="P530" i="8" s="1"/>
  <c r="Q530" i="8" s="1"/>
  <c r="R530" i="8" s="1"/>
  <c r="K530" i="8"/>
  <c r="L530" i="8" s="1"/>
  <c r="O529" i="8"/>
  <c r="P529" i="8" s="1"/>
  <c r="K529" i="8"/>
  <c r="L529" i="8" s="1"/>
  <c r="O528" i="8"/>
  <c r="P528" i="8" s="1"/>
  <c r="K528" i="8"/>
  <c r="L528" i="8" s="1"/>
  <c r="O527" i="8"/>
  <c r="P527" i="8" s="1"/>
  <c r="K527" i="8"/>
  <c r="L527" i="8" s="1"/>
  <c r="O526" i="8"/>
  <c r="P526" i="8" s="1"/>
  <c r="K526" i="8"/>
  <c r="L526" i="8" s="1"/>
  <c r="O525" i="8"/>
  <c r="P525" i="8" s="1"/>
  <c r="K525" i="8"/>
  <c r="L525" i="8" s="1"/>
  <c r="O524" i="8"/>
  <c r="P524" i="8" s="1"/>
  <c r="K524" i="8"/>
  <c r="L524" i="8" s="1"/>
  <c r="O523" i="8"/>
  <c r="P523" i="8" s="1"/>
  <c r="K523" i="8"/>
  <c r="L523" i="8" s="1"/>
  <c r="O522" i="8"/>
  <c r="P522" i="8" s="1"/>
  <c r="K522" i="8"/>
  <c r="L522" i="8" s="1"/>
  <c r="O521" i="8"/>
  <c r="P521" i="8" s="1"/>
  <c r="K521" i="8"/>
  <c r="L521" i="8" s="1"/>
  <c r="O520" i="8"/>
  <c r="P520" i="8" s="1"/>
  <c r="K520" i="8"/>
  <c r="L520" i="8" s="1"/>
  <c r="O519" i="8"/>
  <c r="P519" i="8" s="1"/>
  <c r="K519" i="8"/>
  <c r="L519" i="8" s="1"/>
  <c r="O518" i="8"/>
  <c r="P518" i="8" s="1"/>
  <c r="K518" i="8"/>
  <c r="L518" i="8" s="1"/>
  <c r="O517" i="8"/>
  <c r="P517" i="8" s="1"/>
  <c r="K517" i="8"/>
  <c r="L517" i="8" s="1"/>
  <c r="O516" i="8"/>
  <c r="P516" i="8" s="1"/>
  <c r="K516" i="8"/>
  <c r="L516" i="8" s="1"/>
  <c r="P515" i="8"/>
  <c r="O515" i="8"/>
  <c r="K515" i="8"/>
  <c r="L515" i="8" s="1"/>
  <c r="O514" i="8"/>
  <c r="P514" i="8" s="1"/>
  <c r="K514" i="8"/>
  <c r="L514" i="8" s="1"/>
  <c r="O513" i="8"/>
  <c r="P513" i="8" s="1"/>
  <c r="K513" i="8"/>
  <c r="L513" i="8" s="1"/>
  <c r="O512" i="8"/>
  <c r="P512" i="8" s="1"/>
  <c r="Q512" i="8" s="1"/>
  <c r="R512" i="8" s="1"/>
  <c r="K512" i="8"/>
  <c r="L512" i="8" s="1"/>
  <c r="O511" i="8"/>
  <c r="P511" i="8" s="1"/>
  <c r="K511" i="8"/>
  <c r="L511" i="8" s="1"/>
  <c r="O510" i="8"/>
  <c r="P510" i="8" s="1"/>
  <c r="K510" i="8"/>
  <c r="L510" i="8" s="1"/>
  <c r="O509" i="8"/>
  <c r="P509" i="8" s="1"/>
  <c r="L509" i="8"/>
  <c r="K509" i="8"/>
  <c r="O508" i="8"/>
  <c r="P508" i="8" s="1"/>
  <c r="K508" i="8"/>
  <c r="L508" i="8" s="1"/>
  <c r="O505" i="8"/>
  <c r="P505" i="8" s="1"/>
  <c r="K505" i="8"/>
  <c r="L505" i="8" s="1"/>
  <c r="O504" i="8"/>
  <c r="P504" i="8" s="1"/>
  <c r="K504" i="8"/>
  <c r="L504" i="8" s="1"/>
  <c r="O503" i="8"/>
  <c r="P503" i="8" s="1"/>
  <c r="K503" i="8"/>
  <c r="L503" i="8" s="1"/>
  <c r="O502" i="8"/>
  <c r="P502" i="8" s="1"/>
  <c r="K502" i="8"/>
  <c r="L502" i="8" s="1"/>
  <c r="O501" i="8"/>
  <c r="P501" i="8" s="1"/>
  <c r="L501" i="8"/>
  <c r="K501" i="8"/>
  <c r="O500" i="8"/>
  <c r="P500" i="8" s="1"/>
  <c r="Q500" i="8" s="1"/>
  <c r="R500" i="8" s="1"/>
  <c r="K500" i="8"/>
  <c r="L500" i="8" s="1"/>
  <c r="O499" i="8"/>
  <c r="P499" i="8" s="1"/>
  <c r="K499" i="8"/>
  <c r="L499" i="8" s="1"/>
  <c r="O498" i="8"/>
  <c r="P498" i="8" s="1"/>
  <c r="K498" i="8"/>
  <c r="L498" i="8" s="1"/>
  <c r="O497" i="8"/>
  <c r="P497" i="8" s="1"/>
  <c r="K497" i="8"/>
  <c r="L497" i="8" s="1"/>
  <c r="P496" i="8"/>
  <c r="O496" i="8"/>
  <c r="K496" i="8"/>
  <c r="L496" i="8" s="1"/>
  <c r="O495" i="8"/>
  <c r="P495" i="8" s="1"/>
  <c r="K495" i="8"/>
  <c r="L495" i="8" s="1"/>
  <c r="O494" i="8"/>
  <c r="P494" i="8" s="1"/>
  <c r="K494" i="8"/>
  <c r="L494" i="8" s="1"/>
  <c r="O493" i="8"/>
  <c r="P493" i="8" s="1"/>
  <c r="K493" i="8"/>
  <c r="L493" i="8" s="1"/>
  <c r="O492" i="8"/>
  <c r="P492" i="8" s="1"/>
  <c r="K492" i="8"/>
  <c r="L492" i="8" s="1"/>
  <c r="O491" i="8"/>
  <c r="P491" i="8" s="1"/>
  <c r="L491" i="8"/>
  <c r="K491" i="8"/>
  <c r="O490" i="8"/>
  <c r="P490" i="8" s="1"/>
  <c r="K490" i="8"/>
  <c r="L490" i="8" s="1"/>
  <c r="O489" i="8"/>
  <c r="P489" i="8" s="1"/>
  <c r="K489" i="8"/>
  <c r="L489" i="8" s="1"/>
  <c r="O488" i="8"/>
  <c r="P488" i="8" s="1"/>
  <c r="K488" i="8"/>
  <c r="L488" i="8" s="1"/>
  <c r="O487" i="8"/>
  <c r="P487" i="8" s="1"/>
  <c r="K487" i="8"/>
  <c r="L487" i="8" s="1"/>
  <c r="P486" i="8"/>
  <c r="O486" i="8"/>
  <c r="K486" i="8"/>
  <c r="L486" i="8" s="1"/>
  <c r="O485" i="8"/>
  <c r="P485" i="8" s="1"/>
  <c r="K485" i="8"/>
  <c r="L485" i="8" s="1"/>
  <c r="O484" i="8"/>
  <c r="P484" i="8" s="1"/>
  <c r="K484" i="8"/>
  <c r="L484" i="8" s="1"/>
  <c r="O483" i="8"/>
  <c r="P483" i="8" s="1"/>
  <c r="K483" i="8"/>
  <c r="L483" i="8" s="1"/>
  <c r="O482" i="8"/>
  <c r="P482" i="8" s="1"/>
  <c r="K482" i="8"/>
  <c r="L482" i="8" s="1"/>
  <c r="O481" i="8"/>
  <c r="P481" i="8" s="1"/>
  <c r="L481" i="8"/>
  <c r="K481" i="8"/>
  <c r="O480" i="8"/>
  <c r="P480" i="8" s="1"/>
  <c r="K480" i="8"/>
  <c r="L480" i="8" s="1"/>
  <c r="O479" i="8"/>
  <c r="P479" i="8" s="1"/>
  <c r="K479" i="8"/>
  <c r="L479" i="8" s="1"/>
  <c r="O478" i="8"/>
  <c r="P478" i="8" s="1"/>
  <c r="K478" i="8"/>
  <c r="L478" i="8" s="1"/>
  <c r="O477" i="8"/>
  <c r="P477" i="8" s="1"/>
  <c r="K477" i="8"/>
  <c r="L477" i="8" s="1"/>
  <c r="O476" i="8"/>
  <c r="P476" i="8" s="1"/>
  <c r="K476" i="8"/>
  <c r="L476" i="8" s="1"/>
  <c r="O475" i="8"/>
  <c r="P475" i="8" s="1"/>
  <c r="K475" i="8"/>
  <c r="L475" i="8" s="1"/>
  <c r="O474" i="8"/>
  <c r="P474" i="8" s="1"/>
  <c r="K474" i="8"/>
  <c r="L474" i="8" s="1"/>
  <c r="O473" i="8"/>
  <c r="P473" i="8" s="1"/>
  <c r="K473" i="8"/>
  <c r="L473" i="8" s="1"/>
  <c r="O472" i="8"/>
  <c r="P472" i="8" s="1"/>
  <c r="K472" i="8"/>
  <c r="L472" i="8" s="1"/>
  <c r="O469" i="8"/>
  <c r="P469" i="8" s="1"/>
  <c r="K469" i="8"/>
  <c r="L469" i="8" s="1"/>
  <c r="O468" i="8"/>
  <c r="P468" i="8" s="1"/>
  <c r="K468" i="8"/>
  <c r="L468" i="8" s="1"/>
  <c r="P467" i="8"/>
  <c r="O467" i="8"/>
  <c r="K467" i="8"/>
  <c r="L467" i="8" s="1"/>
  <c r="O466" i="8"/>
  <c r="P466" i="8" s="1"/>
  <c r="K466" i="8"/>
  <c r="L466" i="8" s="1"/>
  <c r="O465" i="8"/>
  <c r="P465" i="8" s="1"/>
  <c r="K465" i="8"/>
  <c r="L465" i="8" s="1"/>
  <c r="P464" i="8"/>
  <c r="O464" i="8"/>
  <c r="K464" i="8"/>
  <c r="L464" i="8" s="1"/>
  <c r="M464" i="8" s="1"/>
  <c r="N464" i="8" s="1"/>
  <c r="S464" i="8" s="1"/>
  <c r="O463" i="8"/>
  <c r="P463" i="8" s="1"/>
  <c r="L463" i="8"/>
  <c r="K463" i="8"/>
  <c r="O462" i="8"/>
  <c r="P462" i="8" s="1"/>
  <c r="K462" i="8"/>
  <c r="L462" i="8" s="1"/>
  <c r="O461" i="8"/>
  <c r="P461" i="8" s="1"/>
  <c r="K461" i="8"/>
  <c r="L461" i="8" s="1"/>
  <c r="O460" i="8"/>
  <c r="P460" i="8" s="1"/>
  <c r="K460" i="8"/>
  <c r="L460" i="8" s="1"/>
  <c r="O459" i="8"/>
  <c r="P459" i="8" s="1"/>
  <c r="L459" i="8"/>
  <c r="K459" i="8"/>
  <c r="O458" i="8"/>
  <c r="P458" i="8" s="1"/>
  <c r="Q458" i="8" s="1"/>
  <c r="R458" i="8" s="1"/>
  <c r="K458" i="8"/>
  <c r="L458" i="8" s="1"/>
  <c r="P457" i="8"/>
  <c r="O457" i="8"/>
  <c r="K457" i="8"/>
  <c r="L457" i="8" s="1"/>
  <c r="P456" i="8"/>
  <c r="O456" i="8"/>
  <c r="K456" i="8"/>
  <c r="L456" i="8" s="1"/>
  <c r="O455" i="8"/>
  <c r="P455" i="8" s="1"/>
  <c r="K455" i="8"/>
  <c r="L455" i="8" s="1"/>
  <c r="O454" i="8"/>
  <c r="P454" i="8" s="1"/>
  <c r="K454" i="8"/>
  <c r="L454" i="8" s="1"/>
  <c r="P453" i="8"/>
  <c r="O453" i="8"/>
  <c r="K453" i="8"/>
  <c r="L453" i="8" s="1"/>
  <c r="O452" i="8"/>
  <c r="P452" i="8" s="1"/>
  <c r="K452" i="8"/>
  <c r="L452" i="8" s="1"/>
  <c r="M452" i="8" s="1"/>
  <c r="N452" i="8" s="1"/>
  <c r="S452" i="8" s="1"/>
  <c r="O451" i="8"/>
  <c r="P451" i="8" s="1"/>
  <c r="K451" i="8"/>
  <c r="L451" i="8" s="1"/>
  <c r="O450" i="8"/>
  <c r="P450" i="8" s="1"/>
  <c r="K450" i="8"/>
  <c r="L450" i="8" s="1"/>
  <c r="O449" i="8"/>
  <c r="P449" i="8" s="1"/>
  <c r="L449" i="8"/>
  <c r="K449" i="8"/>
  <c r="O448" i="8"/>
  <c r="P448" i="8" s="1"/>
  <c r="K448" i="8"/>
  <c r="L448" i="8" s="1"/>
  <c r="O447" i="8"/>
  <c r="P447" i="8" s="1"/>
  <c r="K447" i="8"/>
  <c r="L447" i="8" s="1"/>
  <c r="O446" i="8"/>
  <c r="P446" i="8" s="1"/>
  <c r="Q446" i="8" s="1"/>
  <c r="R446" i="8" s="1"/>
  <c r="K446" i="8"/>
  <c r="L446" i="8" s="1"/>
  <c r="O445" i="8"/>
  <c r="P445" i="8" s="1"/>
  <c r="K445" i="8"/>
  <c r="L445" i="8" s="1"/>
  <c r="O444" i="8"/>
  <c r="P444" i="8" s="1"/>
  <c r="K444" i="8"/>
  <c r="L444" i="8" s="1"/>
  <c r="P443" i="8"/>
  <c r="O443" i="8"/>
  <c r="K443" i="8"/>
  <c r="L443" i="8" s="1"/>
  <c r="P442" i="8"/>
  <c r="O442" i="8"/>
  <c r="K442" i="8"/>
  <c r="L442" i="8" s="1"/>
  <c r="O441" i="8"/>
  <c r="P441" i="8" s="1"/>
  <c r="K441" i="8"/>
  <c r="L441" i="8" s="1"/>
  <c r="P440" i="8"/>
  <c r="O440" i="8"/>
  <c r="K440" i="8"/>
  <c r="L440" i="8" s="1"/>
  <c r="O439" i="8"/>
  <c r="P439" i="8" s="1"/>
  <c r="K439" i="8"/>
  <c r="L439" i="8" s="1"/>
  <c r="O438" i="8"/>
  <c r="P438" i="8" s="1"/>
  <c r="L438" i="8"/>
  <c r="K438" i="8"/>
  <c r="O437" i="8"/>
  <c r="P437" i="8" s="1"/>
  <c r="K437" i="8"/>
  <c r="L437" i="8" s="1"/>
  <c r="O436" i="8"/>
  <c r="P436" i="8" s="1"/>
  <c r="Q436" i="8" s="1"/>
  <c r="R436" i="8" s="1"/>
  <c r="K436" i="8"/>
  <c r="L436" i="8" s="1"/>
  <c r="O433" i="8"/>
  <c r="P433" i="8" s="1"/>
  <c r="K433" i="8"/>
  <c r="L433" i="8" s="1"/>
  <c r="O432" i="8"/>
  <c r="P432" i="8" s="1"/>
  <c r="Q428" i="8" s="1"/>
  <c r="R428" i="8" s="1"/>
  <c r="K432" i="8"/>
  <c r="L432" i="8" s="1"/>
  <c r="O431" i="8"/>
  <c r="P431" i="8" s="1"/>
  <c r="L431" i="8"/>
  <c r="K431" i="8"/>
  <c r="O430" i="8"/>
  <c r="P430" i="8" s="1"/>
  <c r="K430" i="8"/>
  <c r="L430" i="8" s="1"/>
  <c r="O429" i="8"/>
  <c r="P429" i="8" s="1"/>
  <c r="K429" i="8"/>
  <c r="L429" i="8" s="1"/>
  <c r="O428" i="8"/>
  <c r="P428" i="8" s="1"/>
  <c r="K428" i="8"/>
  <c r="L428" i="8" s="1"/>
  <c r="O427" i="8"/>
  <c r="P427" i="8" s="1"/>
  <c r="K427" i="8"/>
  <c r="L427" i="8" s="1"/>
  <c r="P426" i="8"/>
  <c r="O426" i="8"/>
  <c r="K426" i="8"/>
  <c r="L426" i="8" s="1"/>
  <c r="O425" i="8"/>
  <c r="P425" i="8" s="1"/>
  <c r="K425" i="8"/>
  <c r="L425" i="8" s="1"/>
  <c r="O424" i="8"/>
  <c r="P424" i="8" s="1"/>
  <c r="K424" i="8"/>
  <c r="L424" i="8" s="1"/>
  <c r="O423" i="8"/>
  <c r="P423" i="8" s="1"/>
  <c r="K423" i="8"/>
  <c r="L423" i="8" s="1"/>
  <c r="O422" i="8"/>
  <c r="P422" i="8" s="1"/>
  <c r="L422" i="8"/>
  <c r="K422" i="8"/>
  <c r="O421" i="8"/>
  <c r="P421" i="8" s="1"/>
  <c r="L421" i="8"/>
  <c r="K421" i="8"/>
  <c r="O420" i="8"/>
  <c r="P420" i="8" s="1"/>
  <c r="K420" i="8"/>
  <c r="L420" i="8" s="1"/>
  <c r="O419" i="8"/>
  <c r="P419" i="8" s="1"/>
  <c r="K419" i="8"/>
  <c r="L419" i="8" s="1"/>
  <c r="O418" i="8"/>
  <c r="P418" i="8" s="1"/>
  <c r="L418" i="8"/>
  <c r="K418" i="8"/>
  <c r="O417" i="8"/>
  <c r="P417" i="8" s="1"/>
  <c r="K417" i="8"/>
  <c r="L417" i="8" s="1"/>
  <c r="O416" i="8"/>
  <c r="P416" i="8" s="1"/>
  <c r="K416" i="8"/>
  <c r="L416" i="8" s="1"/>
  <c r="O415" i="8"/>
  <c r="P415" i="8" s="1"/>
  <c r="K415" i="8"/>
  <c r="L415" i="8" s="1"/>
  <c r="O414" i="8"/>
  <c r="P414" i="8" s="1"/>
  <c r="K414" i="8"/>
  <c r="L414" i="8" s="1"/>
  <c r="O413" i="8"/>
  <c r="P413" i="8" s="1"/>
  <c r="K413" i="8"/>
  <c r="L413" i="8" s="1"/>
  <c r="P412" i="8"/>
  <c r="O412" i="8"/>
  <c r="K412" i="8"/>
  <c r="L412" i="8" s="1"/>
  <c r="O411" i="8"/>
  <c r="P411" i="8" s="1"/>
  <c r="K411" i="8"/>
  <c r="L411" i="8" s="1"/>
  <c r="P410" i="8"/>
  <c r="O410" i="8"/>
  <c r="K410" i="8"/>
  <c r="L410" i="8" s="1"/>
  <c r="O409" i="8"/>
  <c r="P409" i="8" s="1"/>
  <c r="K409" i="8"/>
  <c r="L409" i="8" s="1"/>
  <c r="O408" i="8"/>
  <c r="P408" i="8" s="1"/>
  <c r="L408" i="8"/>
  <c r="K408" i="8"/>
  <c r="O407" i="8"/>
  <c r="P407" i="8" s="1"/>
  <c r="L407" i="8"/>
  <c r="K407" i="8"/>
  <c r="O406" i="8"/>
  <c r="P406" i="8" s="1"/>
  <c r="K406" i="8"/>
  <c r="L406" i="8" s="1"/>
  <c r="O405" i="8"/>
  <c r="P405" i="8" s="1"/>
  <c r="K405" i="8"/>
  <c r="L405" i="8" s="1"/>
  <c r="O404" i="8"/>
  <c r="P404" i="8" s="1"/>
  <c r="Q404" i="8" s="1"/>
  <c r="R404" i="8" s="1"/>
  <c r="K404" i="8"/>
  <c r="L404" i="8" s="1"/>
  <c r="O403" i="8"/>
  <c r="P403" i="8" s="1"/>
  <c r="K403" i="8"/>
  <c r="L403" i="8" s="1"/>
  <c r="P402" i="8"/>
  <c r="O402" i="8"/>
  <c r="K402" i="8"/>
  <c r="L402" i="8" s="1"/>
  <c r="O401" i="8"/>
  <c r="P401" i="8" s="1"/>
  <c r="K401" i="8"/>
  <c r="L401" i="8" s="1"/>
  <c r="O400" i="8"/>
  <c r="P400" i="8" s="1"/>
  <c r="K400" i="8"/>
  <c r="L400" i="8" s="1"/>
  <c r="O397" i="8"/>
  <c r="P397" i="8" s="1"/>
  <c r="K397" i="8"/>
  <c r="L397" i="8" s="1"/>
  <c r="O396" i="8"/>
  <c r="P396" i="8" s="1"/>
  <c r="K396" i="8"/>
  <c r="L396" i="8" s="1"/>
  <c r="P395" i="8"/>
  <c r="O395" i="8"/>
  <c r="K395" i="8"/>
  <c r="L395" i="8" s="1"/>
  <c r="O394" i="8"/>
  <c r="P394" i="8" s="1"/>
  <c r="K394" i="8"/>
  <c r="L394" i="8" s="1"/>
  <c r="O393" i="8"/>
  <c r="P393" i="8" s="1"/>
  <c r="K393" i="8"/>
  <c r="L393" i="8" s="1"/>
  <c r="P392" i="8"/>
  <c r="O392" i="8"/>
  <c r="L392" i="8"/>
  <c r="M392" i="8" s="1"/>
  <c r="N392" i="8" s="1"/>
  <c r="S392" i="8" s="1"/>
  <c r="K392" i="8"/>
  <c r="O391" i="8"/>
  <c r="P391" i="8" s="1"/>
  <c r="K391" i="8"/>
  <c r="L391" i="8" s="1"/>
  <c r="O390" i="8"/>
  <c r="P390" i="8" s="1"/>
  <c r="K390" i="8"/>
  <c r="L390" i="8" s="1"/>
  <c r="O389" i="8"/>
  <c r="P389" i="8" s="1"/>
  <c r="K389" i="8"/>
  <c r="L389" i="8" s="1"/>
  <c r="O388" i="8"/>
  <c r="P388" i="8" s="1"/>
  <c r="K388" i="8"/>
  <c r="L388" i="8" s="1"/>
  <c r="O387" i="8"/>
  <c r="P387" i="8" s="1"/>
  <c r="K387" i="8"/>
  <c r="L387" i="8" s="1"/>
  <c r="O386" i="8"/>
  <c r="P386" i="8" s="1"/>
  <c r="K386" i="8"/>
  <c r="L386" i="8" s="1"/>
  <c r="O385" i="8"/>
  <c r="P385" i="8" s="1"/>
  <c r="K385" i="8"/>
  <c r="L385" i="8" s="1"/>
  <c r="O384" i="8"/>
  <c r="P384" i="8" s="1"/>
  <c r="K384" i="8"/>
  <c r="L384" i="8" s="1"/>
  <c r="O383" i="8"/>
  <c r="P383" i="8" s="1"/>
  <c r="K383" i="8"/>
  <c r="L383" i="8" s="1"/>
  <c r="O382" i="8"/>
  <c r="P382" i="8" s="1"/>
  <c r="K382" i="8"/>
  <c r="L382" i="8" s="1"/>
  <c r="O381" i="8"/>
  <c r="P381" i="8" s="1"/>
  <c r="K381" i="8"/>
  <c r="L381" i="8" s="1"/>
  <c r="O380" i="8"/>
  <c r="P380" i="8" s="1"/>
  <c r="L380" i="8"/>
  <c r="K380" i="8"/>
  <c r="O379" i="8"/>
  <c r="P379" i="8" s="1"/>
  <c r="K379" i="8"/>
  <c r="L379" i="8" s="1"/>
  <c r="O378" i="8"/>
  <c r="P378" i="8" s="1"/>
  <c r="L378" i="8"/>
  <c r="K378" i="8"/>
  <c r="O377" i="8"/>
  <c r="P377" i="8" s="1"/>
  <c r="K377" i="8"/>
  <c r="L377" i="8" s="1"/>
  <c r="O376" i="8"/>
  <c r="P376" i="8" s="1"/>
  <c r="L376" i="8"/>
  <c r="K376" i="8"/>
  <c r="O375" i="8"/>
  <c r="P375" i="8" s="1"/>
  <c r="K375" i="8"/>
  <c r="L375" i="8" s="1"/>
  <c r="O374" i="8"/>
  <c r="P374" i="8" s="1"/>
  <c r="K374" i="8"/>
  <c r="L374" i="8" s="1"/>
  <c r="O373" i="8"/>
  <c r="P373" i="8" s="1"/>
  <c r="K373" i="8"/>
  <c r="L373" i="8" s="1"/>
  <c r="P372" i="8"/>
  <c r="O372" i="8"/>
  <c r="K372" i="8"/>
  <c r="L372" i="8" s="1"/>
  <c r="O371" i="8"/>
  <c r="P371" i="8" s="1"/>
  <c r="K371" i="8"/>
  <c r="L371" i="8" s="1"/>
  <c r="O370" i="8"/>
  <c r="P370" i="8" s="1"/>
  <c r="K370" i="8"/>
  <c r="L370" i="8" s="1"/>
  <c r="O369" i="8"/>
  <c r="P369" i="8" s="1"/>
  <c r="K369" i="8"/>
  <c r="L369" i="8" s="1"/>
  <c r="P368" i="8"/>
  <c r="O368" i="8"/>
  <c r="K368" i="8"/>
  <c r="L368" i="8" s="1"/>
  <c r="M368" i="8" s="1"/>
  <c r="N368" i="8" s="1"/>
  <c r="S368" i="8" s="1"/>
  <c r="O367" i="8"/>
  <c r="P367" i="8" s="1"/>
  <c r="L367" i="8"/>
  <c r="K367" i="8"/>
  <c r="O366" i="8"/>
  <c r="P366" i="8" s="1"/>
  <c r="K366" i="8"/>
  <c r="L366" i="8" s="1"/>
  <c r="O365" i="8"/>
  <c r="P365" i="8" s="1"/>
  <c r="L365" i="8"/>
  <c r="K365" i="8"/>
  <c r="O364" i="8"/>
  <c r="P364" i="8" s="1"/>
  <c r="K364" i="8"/>
  <c r="L364" i="8" s="1"/>
  <c r="O361" i="8"/>
  <c r="P361" i="8" s="1"/>
  <c r="K361" i="8"/>
  <c r="L361" i="8" s="1"/>
  <c r="O360" i="8"/>
  <c r="P360" i="8" s="1"/>
  <c r="L360" i="8"/>
  <c r="K360" i="8"/>
  <c r="O359" i="8"/>
  <c r="P359" i="8" s="1"/>
  <c r="K359" i="8"/>
  <c r="L359" i="8" s="1"/>
  <c r="O358" i="8"/>
  <c r="P358" i="8" s="1"/>
  <c r="L358" i="8"/>
  <c r="K358" i="8"/>
  <c r="O357" i="8"/>
  <c r="P357" i="8" s="1"/>
  <c r="K357" i="8"/>
  <c r="L357" i="8" s="1"/>
  <c r="O356" i="8"/>
  <c r="P356" i="8" s="1"/>
  <c r="K356" i="8"/>
  <c r="L356" i="8" s="1"/>
  <c r="P355" i="8"/>
  <c r="O355" i="8"/>
  <c r="K355" i="8"/>
  <c r="L355" i="8" s="1"/>
  <c r="O354" i="8"/>
  <c r="P354" i="8" s="1"/>
  <c r="K354" i="8"/>
  <c r="L354" i="8" s="1"/>
  <c r="P353" i="8"/>
  <c r="O353" i="8"/>
  <c r="K353" i="8"/>
  <c r="L353" i="8" s="1"/>
  <c r="O352" i="8"/>
  <c r="P352" i="8" s="1"/>
  <c r="K352" i="8"/>
  <c r="L352" i="8" s="1"/>
  <c r="P351" i="8"/>
  <c r="O351" i="8"/>
  <c r="K351" i="8"/>
  <c r="L351" i="8" s="1"/>
  <c r="O350" i="8"/>
  <c r="P350" i="8" s="1"/>
  <c r="L350" i="8"/>
  <c r="K350" i="8"/>
  <c r="O349" i="8"/>
  <c r="P349" i="8" s="1"/>
  <c r="K349" i="8"/>
  <c r="L349" i="8" s="1"/>
  <c r="O348" i="8"/>
  <c r="P348" i="8" s="1"/>
  <c r="L348" i="8"/>
  <c r="K348" i="8"/>
  <c r="O347" i="8"/>
  <c r="P347" i="8" s="1"/>
  <c r="K347" i="8"/>
  <c r="L347" i="8" s="1"/>
  <c r="O346" i="8"/>
  <c r="P346" i="8" s="1"/>
  <c r="L346" i="8"/>
  <c r="K346" i="8"/>
  <c r="O345" i="8"/>
  <c r="P345" i="8" s="1"/>
  <c r="K345" i="8"/>
  <c r="L345" i="8" s="1"/>
  <c r="O344" i="8"/>
  <c r="P344" i="8" s="1"/>
  <c r="K344" i="8"/>
  <c r="L344" i="8" s="1"/>
  <c r="O343" i="8"/>
  <c r="P343" i="8" s="1"/>
  <c r="K343" i="8"/>
  <c r="L343" i="8" s="1"/>
  <c r="O342" i="8"/>
  <c r="P342" i="8" s="1"/>
  <c r="K342" i="8"/>
  <c r="L342" i="8" s="1"/>
  <c r="O341" i="8"/>
  <c r="P341" i="8" s="1"/>
  <c r="K341" i="8"/>
  <c r="L341" i="8" s="1"/>
  <c r="P340" i="8"/>
  <c r="O340" i="8"/>
  <c r="K340" i="8"/>
  <c r="L340" i="8" s="1"/>
  <c r="O339" i="8"/>
  <c r="P339" i="8" s="1"/>
  <c r="K339" i="8"/>
  <c r="L339" i="8" s="1"/>
  <c r="O338" i="8"/>
  <c r="P338" i="8" s="1"/>
  <c r="K338" i="8"/>
  <c r="L338" i="8" s="1"/>
  <c r="M338" i="8" s="1"/>
  <c r="N338" i="8" s="1"/>
  <c r="S338" i="8" s="1"/>
  <c r="O337" i="8"/>
  <c r="P337" i="8" s="1"/>
  <c r="L337" i="8"/>
  <c r="K337" i="8"/>
  <c r="O336" i="8"/>
  <c r="P336" i="8" s="1"/>
  <c r="K336" i="8"/>
  <c r="L336" i="8" s="1"/>
  <c r="O335" i="8"/>
  <c r="P335" i="8" s="1"/>
  <c r="L335" i="8"/>
  <c r="K335" i="8"/>
  <c r="O334" i="8"/>
  <c r="P334" i="8" s="1"/>
  <c r="K334" i="8"/>
  <c r="L334" i="8" s="1"/>
  <c r="O333" i="8"/>
  <c r="P333" i="8" s="1"/>
  <c r="L333" i="8"/>
  <c r="K333" i="8"/>
  <c r="O332" i="8"/>
  <c r="P332" i="8" s="1"/>
  <c r="K332" i="8"/>
  <c r="L332" i="8" s="1"/>
  <c r="O331" i="8"/>
  <c r="P331" i="8" s="1"/>
  <c r="K331" i="8"/>
  <c r="L331" i="8" s="1"/>
  <c r="P330" i="8"/>
  <c r="O330" i="8"/>
  <c r="K330" i="8"/>
  <c r="L330" i="8" s="1"/>
  <c r="O329" i="8"/>
  <c r="P329" i="8" s="1"/>
  <c r="K329" i="8"/>
  <c r="L329" i="8" s="1"/>
  <c r="O328" i="8"/>
  <c r="P328" i="8" s="1"/>
  <c r="L328" i="8"/>
  <c r="K328" i="8"/>
  <c r="P325" i="8"/>
  <c r="O325" i="8"/>
  <c r="K325" i="8"/>
  <c r="L325" i="8" s="1"/>
  <c r="O324" i="8"/>
  <c r="P324" i="8" s="1"/>
  <c r="K324" i="8"/>
  <c r="L324" i="8" s="1"/>
  <c r="O323" i="8"/>
  <c r="P323" i="8" s="1"/>
  <c r="K323" i="8"/>
  <c r="L323" i="8" s="1"/>
  <c r="P322" i="8"/>
  <c r="O322" i="8"/>
  <c r="K322" i="8"/>
  <c r="L322" i="8" s="1"/>
  <c r="P321" i="8"/>
  <c r="O321" i="8"/>
  <c r="K321" i="8"/>
  <c r="L321" i="8" s="1"/>
  <c r="O320" i="8"/>
  <c r="P320" i="8" s="1"/>
  <c r="Q320" i="8" s="1"/>
  <c r="R320" i="8" s="1"/>
  <c r="L320" i="8"/>
  <c r="K320" i="8"/>
  <c r="O319" i="8"/>
  <c r="P319" i="8" s="1"/>
  <c r="L319" i="8"/>
  <c r="K319" i="8"/>
  <c r="O318" i="8"/>
  <c r="P318" i="8" s="1"/>
  <c r="K318" i="8"/>
  <c r="L318" i="8" s="1"/>
  <c r="O317" i="8"/>
  <c r="P317" i="8" s="1"/>
  <c r="K317" i="8"/>
  <c r="L317" i="8" s="1"/>
  <c r="O316" i="8"/>
  <c r="P316" i="8" s="1"/>
  <c r="L316" i="8"/>
  <c r="K316" i="8"/>
  <c r="O315" i="8"/>
  <c r="P315" i="8" s="1"/>
  <c r="L315" i="8"/>
  <c r="K315" i="8"/>
  <c r="O314" i="8"/>
  <c r="P314" i="8" s="1"/>
  <c r="K314" i="8"/>
  <c r="L314" i="8" s="1"/>
  <c r="O313" i="8"/>
  <c r="P313" i="8" s="1"/>
  <c r="K313" i="8"/>
  <c r="L313" i="8" s="1"/>
  <c r="P312" i="8"/>
  <c r="O312" i="8"/>
  <c r="K312" i="8"/>
  <c r="L312" i="8" s="1"/>
  <c r="P311" i="8"/>
  <c r="O311" i="8"/>
  <c r="K311" i="8"/>
  <c r="L311" i="8" s="1"/>
  <c r="O310" i="8"/>
  <c r="P310" i="8" s="1"/>
  <c r="K310" i="8"/>
  <c r="L310" i="8" s="1"/>
  <c r="O309" i="8"/>
  <c r="P309" i="8" s="1"/>
  <c r="K309" i="8"/>
  <c r="L309" i="8" s="1"/>
  <c r="P308" i="8"/>
  <c r="O308" i="8"/>
  <c r="K308" i="8"/>
  <c r="L308" i="8" s="1"/>
  <c r="M308" i="8" s="1"/>
  <c r="N308" i="8" s="1"/>
  <c r="S308" i="8" s="1"/>
  <c r="O307" i="8"/>
  <c r="P307" i="8" s="1"/>
  <c r="L307" i="8"/>
  <c r="K307" i="8"/>
  <c r="O306" i="8"/>
  <c r="P306" i="8" s="1"/>
  <c r="L306" i="8"/>
  <c r="K306" i="8"/>
  <c r="O305" i="8"/>
  <c r="P305" i="8" s="1"/>
  <c r="K305" i="8"/>
  <c r="L305" i="8" s="1"/>
  <c r="O304" i="8"/>
  <c r="P304" i="8" s="1"/>
  <c r="K304" i="8"/>
  <c r="L304" i="8" s="1"/>
  <c r="O303" i="8"/>
  <c r="P303" i="8" s="1"/>
  <c r="L303" i="8"/>
  <c r="K303" i="8"/>
  <c r="O302" i="8"/>
  <c r="P302" i="8" s="1"/>
  <c r="K302" i="8"/>
  <c r="L302" i="8" s="1"/>
  <c r="O301" i="8"/>
  <c r="P301" i="8" s="1"/>
  <c r="K301" i="8"/>
  <c r="L301" i="8" s="1"/>
  <c r="O300" i="8"/>
  <c r="P300" i="8" s="1"/>
  <c r="K300" i="8"/>
  <c r="L300" i="8" s="1"/>
  <c r="P299" i="8"/>
  <c r="O299" i="8"/>
  <c r="K299" i="8"/>
  <c r="L299" i="8" s="1"/>
  <c r="P298" i="8"/>
  <c r="O298" i="8"/>
  <c r="K298" i="8"/>
  <c r="L298" i="8" s="1"/>
  <c r="O297" i="8"/>
  <c r="P297" i="8" s="1"/>
  <c r="K297" i="8"/>
  <c r="L297" i="8" s="1"/>
  <c r="O296" i="8"/>
  <c r="P296" i="8" s="1"/>
  <c r="Q296" i="8" s="1"/>
  <c r="R296" i="8" s="1"/>
  <c r="K296" i="8"/>
  <c r="L296" i="8" s="1"/>
  <c r="M296" i="8" s="1"/>
  <c r="N296" i="8" s="1"/>
  <c r="S296" i="8" s="1"/>
  <c r="O295" i="8"/>
  <c r="P295" i="8" s="1"/>
  <c r="L295" i="8"/>
  <c r="K295" i="8"/>
  <c r="O294" i="8"/>
  <c r="P294" i="8" s="1"/>
  <c r="L294" i="8"/>
  <c r="K294" i="8"/>
  <c r="O293" i="8"/>
  <c r="P293" i="8" s="1"/>
  <c r="K293" i="8"/>
  <c r="L293" i="8" s="1"/>
  <c r="O292" i="8"/>
  <c r="P292" i="8" s="1"/>
  <c r="K292" i="8"/>
  <c r="L292" i="8" s="1"/>
  <c r="O289" i="8"/>
  <c r="P289" i="8" s="1"/>
  <c r="L289" i="8"/>
  <c r="K289" i="8"/>
  <c r="O288" i="8"/>
  <c r="P288" i="8" s="1"/>
  <c r="K288" i="8"/>
  <c r="L288" i="8" s="1"/>
  <c r="O287" i="8"/>
  <c r="P287" i="8" s="1"/>
  <c r="L287" i="8"/>
  <c r="K287" i="8"/>
  <c r="O286" i="8"/>
  <c r="P286" i="8" s="1"/>
  <c r="K286" i="8"/>
  <c r="L286" i="8" s="1"/>
  <c r="O285" i="8"/>
  <c r="P285" i="8" s="1"/>
  <c r="L285" i="8"/>
  <c r="K285" i="8"/>
  <c r="O284" i="8"/>
  <c r="P284" i="8" s="1"/>
  <c r="K284" i="8"/>
  <c r="L284" i="8" s="1"/>
  <c r="O283" i="8"/>
  <c r="P283" i="8" s="1"/>
  <c r="K283" i="8"/>
  <c r="L283" i="8" s="1"/>
  <c r="P282" i="8"/>
  <c r="O282" i="8"/>
  <c r="K282" i="8"/>
  <c r="L282" i="8" s="1"/>
  <c r="P281" i="8"/>
  <c r="O281" i="8"/>
  <c r="K281" i="8"/>
  <c r="L281" i="8" s="1"/>
  <c r="O280" i="8"/>
  <c r="P280" i="8" s="1"/>
  <c r="K280" i="8"/>
  <c r="L280" i="8" s="1"/>
  <c r="O279" i="8"/>
  <c r="P279" i="8" s="1"/>
  <c r="K279" i="8"/>
  <c r="L279" i="8" s="1"/>
  <c r="P278" i="8"/>
  <c r="O278" i="8"/>
  <c r="K278" i="8"/>
  <c r="L278" i="8" s="1"/>
  <c r="P277" i="8"/>
  <c r="O277" i="8"/>
  <c r="K277" i="8"/>
  <c r="L277" i="8" s="1"/>
  <c r="O276" i="8"/>
  <c r="P276" i="8" s="1"/>
  <c r="K276" i="8"/>
  <c r="L276" i="8" s="1"/>
  <c r="O275" i="8"/>
  <c r="P275" i="8" s="1"/>
  <c r="K275" i="8"/>
  <c r="L275" i="8" s="1"/>
  <c r="P274" i="8"/>
  <c r="O274" i="8"/>
  <c r="K274" i="8"/>
  <c r="L274" i="8" s="1"/>
  <c r="P273" i="8"/>
  <c r="O273" i="8"/>
  <c r="K273" i="8"/>
  <c r="L273" i="8" s="1"/>
  <c r="O272" i="8"/>
  <c r="P272" i="8" s="1"/>
  <c r="K272" i="8"/>
  <c r="L272" i="8" s="1"/>
  <c r="P271" i="8"/>
  <c r="O271" i="8"/>
  <c r="K271" i="8"/>
  <c r="L271" i="8" s="1"/>
  <c r="P270" i="8"/>
  <c r="O270" i="8"/>
  <c r="K270" i="8"/>
  <c r="L270" i="8" s="1"/>
  <c r="O269" i="8"/>
  <c r="P269" i="8" s="1"/>
  <c r="K269" i="8"/>
  <c r="L269" i="8" s="1"/>
  <c r="O268" i="8"/>
  <c r="P268" i="8" s="1"/>
  <c r="K268" i="8"/>
  <c r="L268" i="8" s="1"/>
  <c r="P267" i="8"/>
  <c r="O267" i="8"/>
  <c r="K267" i="8"/>
  <c r="L267" i="8" s="1"/>
  <c r="P266" i="8"/>
  <c r="O266" i="8"/>
  <c r="L266" i="8"/>
  <c r="K266" i="8"/>
  <c r="O265" i="8"/>
  <c r="P265" i="8" s="1"/>
  <c r="K265" i="8"/>
  <c r="L265" i="8" s="1"/>
  <c r="O264" i="8"/>
  <c r="P264" i="8" s="1"/>
  <c r="L264" i="8"/>
  <c r="K264" i="8"/>
  <c r="O263" i="8"/>
  <c r="P263" i="8" s="1"/>
  <c r="K263" i="8"/>
  <c r="L263" i="8" s="1"/>
  <c r="O262" i="8"/>
  <c r="P262" i="8" s="1"/>
  <c r="L262" i="8"/>
  <c r="K262" i="8"/>
  <c r="O261" i="8"/>
  <c r="P261" i="8" s="1"/>
  <c r="K261" i="8"/>
  <c r="L261" i="8" s="1"/>
  <c r="O260" i="8"/>
  <c r="P260" i="8" s="1"/>
  <c r="K260" i="8"/>
  <c r="L260" i="8" s="1"/>
  <c r="O259" i="8"/>
  <c r="P259" i="8" s="1"/>
  <c r="K259" i="8"/>
  <c r="L259" i="8" s="1"/>
  <c r="P258" i="8"/>
  <c r="O258" i="8"/>
  <c r="K258" i="8"/>
  <c r="L258" i="8" s="1"/>
  <c r="P257" i="8"/>
  <c r="O257" i="8"/>
  <c r="K257" i="8"/>
  <c r="L257" i="8" s="1"/>
  <c r="O256" i="8"/>
  <c r="P256" i="8" s="1"/>
  <c r="L256" i="8"/>
  <c r="K256" i="8"/>
  <c r="O253" i="8"/>
  <c r="P253" i="8" s="1"/>
  <c r="K253" i="8"/>
  <c r="L253" i="8" s="1"/>
  <c r="P252" i="8"/>
  <c r="O252" i="8"/>
  <c r="K252" i="8"/>
  <c r="L252" i="8" s="1"/>
  <c r="P251" i="8"/>
  <c r="O251" i="8"/>
  <c r="K251" i="8"/>
  <c r="L251" i="8" s="1"/>
  <c r="O250" i="8"/>
  <c r="P250" i="8" s="1"/>
  <c r="K250" i="8"/>
  <c r="L250" i="8" s="1"/>
  <c r="O249" i="8"/>
  <c r="P249" i="8" s="1"/>
  <c r="K249" i="8"/>
  <c r="L249" i="8" s="1"/>
  <c r="P248" i="8"/>
  <c r="O248" i="8"/>
  <c r="K248" i="8"/>
  <c r="L248" i="8" s="1"/>
  <c r="O247" i="8"/>
  <c r="P247" i="8" s="1"/>
  <c r="K247" i="8"/>
  <c r="L247" i="8" s="1"/>
  <c r="O246" i="8"/>
  <c r="P246" i="8" s="1"/>
  <c r="K246" i="8"/>
  <c r="L246" i="8" s="1"/>
  <c r="O245" i="8"/>
  <c r="P245" i="8" s="1"/>
  <c r="L245" i="8"/>
  <c r="K245" i="8"/>
  <c r="O244" i="8"/>
  <c r="P244" i="8" s="1"/>
  <c r="K244" i="8"/>
  <c r="L244" i="8" s="1"/>
  <c r="O243" i="8"/>
  <c r="P243" i="8" s="1"/>
  <c r="K243" i="8"/>
  <c r="L243" i="8" s="1"/>
  <c r="O242" i="8"/>
  <c r="P242" i="8" s="1"/>
  <c r="K242" i="8"/>
  <c r="L242" i="8" s="1"/>
  <c r="P241" i="8"/>
  <c r="O241" i="8"/>
  <c r="K241" i="8"/>
  <c r="L241" i="8" s="1"/>
  <c r="P240" i="8"/>
  <c r="O240" i="8"/>
  <c r="K240" i="8"/>
  <c r="L240" i="8" s="1"/>
  <c r="O239" i="8"/>
  <c r="P239" i="8" s="1"/>
  <c r="K239" i="8"/>
  <c r="L239" i="8" s="1"/>
  <c r="O238" i="8"/>
  <c r="P238" i="8" s="1"/>
  <c r="K238" i="8"/>
  <c r="L238" i="8" s="1"/>
  <c r="P237" i="8"/>
  <c r="O237" i="8"/>
  <c r="K237" i="8"/>
  <c r="L237" i="8" s="1"/>
  <c r="P236" i="8"/>
  <c r="O236" i="8"/>
  <c r="K236" i="8"/>
  <c r="L236" i="8" s="1"/>
  <c r="M236" i="8" s="1"/>
  <c r="N236" i="8" s="1"/>
  <c r="S236" i="8" s="1"/>
  <c r="O235" i="8"/>
  <c r="P235" i="8" s="1"/>
  <c r="K235" i="8"/>
  <c r="L235" i="8" s="1"/>
  <c r="O234" i="8"/>
  <c r="P234" i="8" s="1"/>
  <c r="K234" i="8"/>
  <c r="L234" i="8" s="1"/>
  <c r="O233" i="8"/>
  <c r="P233" i="8" s="1"/>
  <c r="L233" i="8"/>
  <c r="K233" i="8"/>
  <c r="O232" i="8"/>
  <c r="P232" i="8" s="1"/>
  <c r="K232" i="8"/>
  <c r="L232" i="8" s="1"/>
  <c r="O231" i="8"/>
  <c r="P231" i="8" s="1"/>
  <c r="K231" i="8"/>
  <c r="L231" i="8" s="1"/>
  <c r="O230" i="8"/>
  <c r="P230" i="8" s="1"/>
  <c r="K230" i="8"/>
  <c r="L230" i="8" s="1"/>
  <c r="P229" i="8"/>
  <c r="O229" i="8"/>
  <c r="K229" i="8"/>
  <c r="L229" i="8" s="1"/>
  <c r="O228" i="8"/>
  <c r="P228" i="8" s="1"/>
  <c r="K228" i="8"/>
  <c r="L228" i="8" s="1"/>
  <c r="O227" i="8"/>
  <c r="P227" i="8" s="1"/>
  <c r="K227" i="8"/>
  <c r="L227" i="8" s="1"/>
  <c r="O226" i="8"/>
  <c r="P226" i="8" s="1"/>
  <c r="K226" i="8"/>
  <c r="L226" i="8" s="1"/>
  <c r="P225" i="8"/>
  <c r="O225" i="8"/>
  <c r="K225" i="8"/>
  <c r="L225" i="8" s="1"/>
  <c r="O224" i="8"/>
  <c r="P224" i="8" s="1"/>
  <c r="K224" i="8"/>
  <c r="L224" i="8" s="1"/>
  <c r="O223" i="8"/>
  <c r="P223" i="8" s="1"/>
  <c r="K223" i="8"/>
  <c r="L223" i="8" s="1"/>
  <c r="O222" i="8"/>
  <c r="P222" i="8" s="1"/>
  <c r="K222" i="8"/>
  <c r="L222" i="8" s="1"/>
  <c r="O221" i="8"/>
  <c r="P221" i="8" s="1"/>
  <c r="L221" i="8"/>
  <c r="K221" i="8"/>
  <c r="O220" i="8"/>
  <c r="P220" i="8" s="1"/>
  <c r="K220" i="8"/>
  <c r="L220" i="8" s="1"/>
  <c r="O217" i="8"/>
  <c r="P217" i="8" s="1"/>
  <c r="K217" i="8"/>
  <c r="L217" i="8" s="1"/>
  <c r="O216" i="8"/>
  <c r="P216" i="8" s="1"/>
  <c r="L216" i="8"/>
  <c r="K216" i="8"/>
  <c r="O215" i="8"/>
  <c r="P215" i="8" s="1"/>
  <c r="K215" i="8"/>
  <c r="L215" i="8" s="1"/>
  <c r="O214" i="8"/>
  <c r="P214" i="8" s="1"/>
  <c r="L214" i="8"/>
  <c r="K214" i="8"/>
  <c r="O213" i="8"/>
  <c r="P213" i="8" s="1"/>
  <c r="K213" i="8"/>
  <c r="L213" i="8" s="1"/>
  <c r="O212" i="8"/>
  <c r="P212" i="8" s="1"/>
  <c r="K212" i="8"/>
  <c r="L212" i="8" s="1"/>
  <c r="O211" i="8"/>
  <c r="P211" i="8" s="1"/>
  <c r="K211" i="8"/>
  <c r="L211" i="8" s="1"/>
  <c r="O210" i="8"/>
  <c r="P210" i="8" s="1"/>
  <c r="K210" i="8"/>
  <c r="L210" i="8" s="1"/>
  <c r="P209" i="8"/>
  <c r="O209" i="8"/>
  <c r="K209" i="8"/>
  <c r="L209" i="8" s="1"/>
  <c r="O208" i="8"/>
  <c r="P208" i="8" s="1"/>
  <c r="K208" i="8"/>
  <c r="L208" i="8" s="1"/>
  <c r="O207" i="8"/>
  <c r="P207" i="8" s="1"/>
  <c r="K207" i="8"/>
  <c r="L207" i="8" s="1"/>
  <c r="O206" i="8"/>
  <c r="P206" i="8" s="1"/>
  <c r="L206" i="8"/>
  <c r="K206" i="8"/>
  <c r="O205" i="8"/>
  <c r="P205" i="8" s="1"/>
  <c r="K205" i="8"/>
  <c r="L205" i="8" s="1"/>
  <c r="O204" i="8"/>
  <c r="P204" i="8" s="1"/>
  <c r="L204" i="8"/>
  <c r="K204" i="8"/>
  <c r="O203" i="8"/>
  <c r="P203" i="8" s="1"/>
  <c r="K203" i="8"/>
  <c r="L203" i="8" s="1"/>
  <c r="O202" i="8"/>
  <c r="P202" i="8" s="1"/>
  <c r="L202" i="8"/>
  <c r="K202" i="8"/>
  <c r="O201" i="8"/>
  <c r="P201" i="8" s="1"/>
  <c r="K201" i="8"/>
  <c r="L201" i="8" s="1"/>
  <c r="O200" i="8"/>
  <c r="P200" i="8" s="1"/>
  <c r="K200" i="8"/>
  <c r="L200" i="8" s="1"/>
  <c r="O199" i="8"/>
  <c r="P199" i="8" s="1"/>
  <c r="K199" i="8"/>
  <c r="L199" i="8" s="1"/>
  <c r="O198" i="8"/>
  <c r="P198" i="8" s="1"/>
  <c r="K198" i="8"/>
  <c r="L198" i="8" s="1"/>
  <c r="O197" i="8"/>
  <c r="P197" i="8" s="1"/>
  <c r="K197" i="8"/>
  <c r="L197" i="8" s="1"/>
  <c r="P196" i="8"/>
  <c r="O196" i="8"/>
  <c r="K196" i="8"/>
  <c r="L196" i="8" s="1"/>
  <c r="O195" i="8"/>
  <c r="P195" i="8" s="1"/>
  <c r="K195" i="8"/>
  <c r="L195" i="8" s="1"/>
  <c r="O194" i="8"/>
  <c r="P194" i="8" s="1"/>
  <c r="L194" i="8"/>
  <c r="K194" i="8"/>
  <c r="O193" i="8"/>
  <c r="P193" i="8" s="1"/>
  <c r="K193" i="8"/>
  <c r="L193" i="8" s="1"/>
  <c r="O192" i="8"/>
  <c r="P192" i="8" s="1"/>
  <c r="L192" i="8"/>
  <c r="K192" i="8"/>
  <c r="O191" i="8"/>
  <c r="P191" i="8" s="1"/>
  <c r="K191" i="8"/>
  <c r="L191" i="8" s="1"/>
  <c r="O190" i="8"/>
  <c r="P190" i="8" s="1"/>
  <c r="L190" i="8"/>
  <c r="K190" i="8"/>
  <c r="O189" i="8"/>
  <c r="P189" i="8" s="1"/>
  <c r="K189" i="8"/>
  <c r="L189" i="8" s="1"/>
  <c r="O188" i="8"/>
  <c r="P188" i="8" s="1"/>
  <c r="K188" i="8"/>
  <c r="L188" i="8" s="1"/>
  <c r="P187" i="8"/>
  <c r="O187" i="8"/>
  <c r="K187" i="8"/>
  <c r="L187" i="8" s="1"/>
  <c r="O186" i="8"/>
  <c r="P186" i="8" s="1"/>
  <c r="K186" i="8"/>
  <c r="L186" i="8" s="1"/>
  <c r="O185" i="8"/>
  <c r="P185" i="8" s="1"/>
  <c r="K185" i="8"/>
  <c r="L185" i="8" s="1"/>
  <c r="O184" i="8"/>
  <c r="P184" i="8" s="1"/>
  <c r="L184" i="8"/>
  <c r="M184" i="8" s="1"/>
  <c r="N184" i="8" s="1"/>
  <c r="S184" i="8" s="1"/>
  <c r="K184" i="8"/>
  <c r="P181" i="8"/>
  <c r="O181" i="8"/>
  <c r="K181" i="8"/>
  <c r="L181" i="8" s="1"/>
  <c r="O180" i="8"/>
  <c r="P180" i="8" s="1"/>
  <c r="K180" i="8"/>
  <c r="L180" i="8" s="1"/>
  <c r="P179" i="8"/>
  <c r="O179" i="8"/>
  <c r="K179" i="8"/>
  <c r="L179" i="8" s="1"/>
  <c r="O178" i="8"/>
  <c r="P178" i="8" s="1"/>
  <c r="K178" i="8"/>
  <c r="L178" i="8" s="1"/>
  <c r="P177" i="8"/>
  <c r="O177" i="8"/>
  <c r="K177" i="8"/>
  <c r="L177" i="8" s="1"/>
  <c r="O176" i="8"/>
  <c r="P176" i="8" s="1"/>
  <c r="K176" i="8"/>
  <c r="L176" i="8" s="1"/>
  <c r="M176" i="8" s="1"/>
  <c r="N176" i="8" s="1"/>
  <c r="S176" i="8" s="1"/>
  <c r="O175" i="8"/>
  <c r="P175" i="8" s="1"/>
  <c r="K175" i="8"/>
  <c r="L175" i="8" s="1"/>
  <c r="O174" i="8"/>
  <c r="P174" i="8" s="1"/>
  <c r="K174" i="8"/>
  <c r="L174" i="8" s="1"/>
  <c r="O173" i="8"/>
  <c r="P173" i="8" s="1"/>
  <c r="L173" i="8"/>
  <c r="K173" i="8"/>
  <c r="O172" i="8"/>
  <c r="P172" i="8" s="1"/>
  <c r="K172" i="8"/>
  <c r="L172" i="8" s="1"/>
  <c r="O171" i="8"/>
  <c r="P171" i="8" s="1"/>
  <c r="K171" i="8"/>
  <c r="L171" i="8" s="1"/>
  <c r="O170" i="8"/>
  <c r="P170" i="8" s="1"/>
  <c r="K170" i="8"/>
  <c r="L170" i="8" s="1"/>
  <c r="O169" i="8"/>
  <c r="P169" i="8" s="1"/>
  <c r="K169" i="8"/>
  <c r="L169" i="8" s="1"/>
  <c r="P168" i="8"/>
  <c r="O168" i="8"/>
  <c r="K168" i="8"/>
  <c r="L168" i="8" s="1"/>
  <c r="O167" i="8"/>
  <c r="P167" i="8" s="1"/>
  <c r="K167" i="8"/>
  <c r="L167" i="8" s="1"/>
  <c r="P166" i="8"/>
  <c r="O166" i="8"/>
  <c r="K166" i="8"/>
  <c r="L166" i="8" s="1"/>
  <c r="O165" i="8"/>
  <c r="P165" i="8" s="1"/>
  <c r="K165" i="8"/>
  <c r="L165" i="8" s="1"/>
  <c r="O164" i="8"/>
  <c r="P164" i="8" s="1"/>
  <c r="L164" i="8"/>
  <c r="M164" i="8" s="1"/>
  <c r="N164" i="8" s="1"/>
  <c r="S164" i="8" s="1"/>
  <c r="K164" i="8"/>
  <c r="O163" i="8"/>
  <c r="P163" i="8" s="1"/>
  <c r="K163" i="8"/>
  <c r="L163" i="8" s="1"/>
  <c r="O162" i="8"/>
  <c r="P162" i="8" s="1"/>
  <c r="K162" i="8"/>
  <c r="L162" i="8" s="1"/>
  <c r="O161" i="8"/>
  <c r="P161" i="8" s="1"/>
  <c r="L161" i="8"/>
  <c r="K161" i="8"/>
  <c r="O160" i="8"/>
  <c r="P160" i="8" s="1"/>
  <c r="L160" i="8"/>
  <c r="K160" i="8"/>
  <c r="O159" i="8"/>
  <c r="P159" i="8" s="1"/>
  <c r="K159" i="8"/>
  <c r="L159" i="8" s="1"/>
  <c r="O158" i="8"/>
  <c r="P158" i="8" s="1"/>
  <c r="K158" i="8"/>
  <c r="L158" i="8" s="1"/>
  <c r="O157" i="8"/>
  <c r="P157" i="8" s="1"/>
  <c r="K157" i="8"/>
  <c r="L157" i="8" s="1"/>
  <c r="P156" i="8"/>
  <c r="O156" i="8"/>
  <c r="K156" i="8"/>
  <c r="L156" i="8" s="1"/>
  <c r="O155" i="8"/>
  <c r="P155" i="8" s="1"/>
  <c r="Q152" i="8" s="1"/>
  <c r="R152" i="8" s="1"/>
  <c r="K155" i="8"/>
  <c r="L155" i="8" s="1"/>
  <c r="P154" i="8"/>
  <c r="O154" i="8"/>
  <c r="K154" i="8"/>
  <c r="L154" i="8" s="1"/>
  <c r="O153" i="8"/>
  <c r="P153" i="8" s="1"/>
  <c r="K153" i="8"/>
  <c r="L153" i="8" s="1"/>
  <c r="P152" i="8"/>
  <c r="O152" i="8"/>
  <c r="L152" i="8"/>
  <c r="M152" i="8" s="1"/>
  <c r="N152" i="8" s="1"/>
  <c r="S152" i="8" s="1"/>
  <c r="K152" i="8"/>
  <c r="O151" i="8"/>
  <c r="P151" i="8" s="1"/>
  <c r="K151" i="8"/>
  <c r="L151" i="8" s="1"/>
  <c r="O150" i="8"/>
  <c r="P150" i="8" s="1"/>
  <c r="K150" i="8"/>
  <c r="L150" i="8" s="1"/>
  <c r="O149" i="8"/>
  <c r="P149" i="8" s="1"/>
  <c r="L149" i="8"/>
  <c r="K149" i="8"/>
  <c r="O148" i="8"/>
  <c r="P148" i="8" s="1"/>
  <c r="K148" i="8"/>
  <c r="L148" i="8" s="1"/>
  <c r="O145" i="8"/>
  <c r="P145" i="8" s="1"/>
  <c r="K145" i="8"/>
  <c r="L145" i="8" s="1"/>
  <c r="O144" i="8"/>
  <c r="P144" i="8" s="1"/>
  <c r="L144" i="8"/>
  <c r="K144" i="8"/>
  <c r="O143" i="8"/>
  <c r="P143" i="8" s="1"/>
  <c r="L143" i="8"/>
  <c r="K143" i="8"/>
  <c r="O142" i="8"/>
  <c r="P142" i="8" s="1"/>
  <c r="K142" i="8"/>
  <c r="L142" i="8" s="1"/>
  <c r="O141" i="8"/>
  <c r="P141" i="8" s="1"/>
  <c r="K141" i="8"/>
  <c r="L141" i="8" s="1"/>
  <c r="O140" i="8"/>
  <c r="P140" i="8" s="1"/>
  <c r="K140" i="8"/>
  <c r="L140" i="8" s="1"/>
  <c r="O139" i="8"/>
  <c r="P139" i="8" s="1"/>
  <c r="K139" i="8"/>
  <c r="L139" i="8" s="1"/>
  <c r="P138" i="8"/>
  <c r="O138" i="8"/>
  <c r="K138" i="8"/>
  <c r="L138" i="8" s="1"/>
  <c r="O137" i="8"/>
  <c r="P137" i="8" s="1"/>
  <c r="K137" i="8"/>
  <c r="L137" i="8" s="1"/>
  <c r="P136" i="8"/>
  <c r="O136" i="8"/>
  <c r="K136" i="8"/>
  <c r="L136" i="8" s="1"/>
  <c r="O135" i="8"/>
  <c r="P135" i="8" s="1"/>
  <c r="K135" i="8"/>
  <c r="L135" i="8" s="1"/>
  <c r="P134" i="8"/>
  <c r="O134" i="8"/>
  <c r="K134" i="8"/>
  <c r="L134" i="8" s="1"/>
  <c r="O133" i="8"/>
  <c r="P133" i="8" s="1"/>
  <c r="K133" i="8"/>
  <c r="L133" i="8" s="1"/>
  <c r="O132" i="8"/>
  <c r="P132" i="8" s="1"/>
  <c r="L132" i="8"/>
  <c r="K132" i="8"/>
  <c r="O131" i="8"/>
  <c r="P131" i="8" s="1"/>
  <c r="L131" i="8"/>
  <c r="K131" i="8"/>
  <c r="O130" i="8"/>
  <c r="P130" i="8" s="1"/>
  <c r="K130" i="8"/>
  <c r="L130" i="8" s="1"/>
  <c r="O129" i="8"/>
  <c r="P129" i="8" s="1"/>
  <c r="K129" i="8"/>
  <c r="L129" i="8" s="1"/>
  <c r="O128" i="8"/>
  <c r="P128" i="8" s="1"/>
  <c r="K128" i="8"/>
  <c r="L128" i="8" s="1"/>
  <c r="O127" i="8"/>
  <c r="P127" i="8" s="1"/>
  <c r="K127" i="8"/>
  <c r="L127" i="8" s="1"/>
  <c r="P126" i="8"/>
  <c r="O126" i="8"/>
  <c r="K126" i="8"/>
  <c r="L126" i="8" s="1"/>
  <c r="O125" i="8"/>
  <c r="P125" i="8" s="1"/>
  <c r="K125" i="8"/>
  <c r="L125" i="8" s="1"/>
  <c r="P124" i="8"/>
  <c r="O124" i="8"/>
  <c r="K124" i="8"/>
  <c r="L124" i="8" s="1"/>
  <c r="O123" i="8"/>
  <c r="P123" i="8" s="1"/>
  <c r="K123" i="8"/>
  <c r="L123" i="8" s="1"/>
  <c r="P122" i="8"/>
  <c r="O122" i="8"/>
  <c r="K122" i="8"/>
  <c r="L122" i="8" s="1"/>
  <c r="O121" i="8"/>
  <c r="P121" i="8" s="1"/>
  <c r="K121" i="8"/>
  <c r="L121" i="8" s="1"/>
  <c r="P120" i="8"/>
  <c r="O120" i="8"/>
  <c r="K120" i="8"/>
  <c r="L120" i="8" s="1"/>
  <c r="O119" i="8"/>
  <c r="P119" i="8" s="1"/>
  <c r="K119" i="8"/>
  <c r="L119" i="8" s="1"/>
  <c r="P118" i="8"/>
  <c r="O118" i="8"/>
  <c r="K118" i="8"/>
  <c r="L118" i="8" s="1"/>
  <c r="O117" i="8"/>
  <c r="P117" i="8" s="1"/>
  <c r="K117" i="8"/>
  <c r="L117" i="8" s="1"/>
  <c r="O116" i="8"/>
  <c r="P116" i="8" s="1"/>
  <c r="K116" i="8"/>
  <c r="L116" i="8" s="1"/>
  <c r="P115" i="8"/>
  <c r="O115" i="8"/>
  <c r="K115" i="8"/>
  <c r="L115" i="8" s="1"/>
  <c r="O114" i="8"/>
  <c r="P114" i="8" s="1"/>
  <c r="K114" i="8"/>
  <c r="L114" i="8" s="1"/>
  <c r="P113" i="8"/>
  <c r="O113" i="8"/>
  <c r="K113" i="8"/>
  <c r="L113" i="8" s="1"/>
  <c r="P112" i="8"/>
  <c r="O112" i="8"/>
  <c r="L112" i="8"/>
  <c r="K112" i="8"/>
  <c r="P109" i="8"/>
  <c r="O109" i="8"/>
  <c r="K109" i="8"/>
  <c r="L109" i="8" s="1"/>
  <c r="O108" i="8"/>
  <c r="P108" i="8" s="1"/>
  <c r="K108" i="8"/>
  <c r="L108" i="8" s="1"/>
  <c r="P107" i="8"/>
  <c r="O107" i="8"/>
  <c r="K107" i="8"/>
  <c r="L107" i="8" s="1"/>
  <c r="O106" i="8"/>
  <c r="P106" i="8" s="1"/>
  <c r="K106" i="8"/>
  <c r="L106" i="8" s="1"/>
  <c r="P105" i="8"/>
  <c r="O105" i="8"/>
  <c r="K105" i="8"/>
  <c r="L105" i="8" s="1"/>
  <c r="O104" i="8"/>
  <c r="P104" i="8" s="1"/>
  <c r="K104" i="8"/>
  <c r="L104" i="8" s="1"/>
  <c r="P103" i="8"/>
  <c r="O103" i="8"/>
  <c r="K103" i="8"/>
  <c r="L103" i="8" s="1"/>
  <c r="O102" i="8"/>
  <c r="P102" i="8" s="1"/>
  <c r="K102" i="8"/>
  <c r="L102" i="8" s="1"/>
  <c r="P101" i="8"/>
  <c r="O101" i="8"/>
  <c r="K101" i="8"/>
  <c r="L101" i="8" s="1"/>
  <c r="O100" i="8"/>
  <c r="P100" i="8" s="1"/>
  <c r="K100" i="8"/>
  <c r="L100" i="8" s="1"/>
  <c r="P99" i="8"/>
  <c r="O99" i="8"/>
  <c r="K99" i="8"/>
  <c r="L99" i="8" s="1"/>
  <c r="O98" i="8"/>
  <c r="P98" i="8" s="1"/>
  <c r="K98" i="8"/>
  <c r="L98" i="8" s="1"/>
  <c r="M98" i="8" s="1"/>
  <c r="N98" i="8" s="1"/>
  <c r="S98" i="8" s="1"/>
  <c r="O97" i="8"/>
  <c r="P97" i="8" s="1"/>
  <c r="K97" i="8"/>
  <c r="L97" i="8" s="1"/>
  <c r="P96" i="8"/>
  <c r="O96" i="8"/>
  <c r="K96" i="8"/>
  <c r="L96" i="8" s="1"/>
  <c r="O95" i="8"/>
  <c r="P95" i="8" s="1"/>
  <c r="K95" i="8"/>
  <c r="L95" i="8" s="1"/>
  <c r="P94" i="8"/>
  <c r="O94" i="8"/>
  <c r="K94" i="8"/>
  <c r="L94" i="8" s="1"/>
  <c r="O93" i="8"/>
  <c r="P93" i="8" s="1"/>
  <c r="K93" i="8"/>
  <c r="L93" i="8" s="1"/>
  <c r="O92" i="8"/>
  <c r="P92" i="8" s="1"/>
  <c r="Q92" i="8" s="1"/>
  <c r="R92" i="8" s="1"/>
  <c r="L92" i="8"/>
  <c r="K92" i="8"/>
  <c r="O91" i="8"/>
  <c r="P91" i="8" s="1"/>
  <c r="K91" i="8"/>
  <c r="L91" i="8" s="1"/>
  <c r="O90" i="8"/>
  <c r="P90" i="8" s="1"/>
  <c r="K90" i="8"/>
  <c r="L90" i="8" s="1"/>
  <c r="O89" i="8"/>
  <c r="P89" i="8" s="1"/>
  <c r="K89" i="8"/>
  <c r="L89" i="8" s="1"/>
  <c r="O88" i="8"/>
  <c r="P88" i="8" s="1"/>
  <c r="L88" i="8"/>
  <c r="K88" i="8"/>
  <c r="O87" i="8"/>
  <c r="P87" i="8" s="1"/>
  <c r="K87" i="8"/>
  <c r="L87" i="8" s="1"/>
  <c r="P86" i="8"/>
  <c r="O86" i="8"/>
  <c r="K86" i="8"/>
  <c r="L86" i="8" s="1"/>
  <c r="O85" i="8"/>
  <c r="P85" i="8" s="1"/>
  <c r="K85" i="8"/>
  <c r="L85" i="8" s="1"/>
  <c r="P84" i="8"/>
  <c r="O84" i="8"/>
  <c r="K84" i="8"/>
  <c r="L84" i="8" s="1"/>
  <c r="O83" i="8"/>
  <c r="P83" i="8" s="1"/>
  <c r="K83" i="8"/>
  <c r="L83" i="8" s="1"/>
  <c r="P82" i="8"/>
  <c r="O82" i="8"/>
  <c r="K82" i="8"/>
  <c r="L82" i="8" s="1"/>
  <c r="O81" i="8"/>
  <c r="P81" i="8" s="1"/>
  <c r="K81" i="8"/>
  <c r="L81" i="8" s="1"/>
  <c r="P80" i="8"/>
  <c r="O80" i="8"/>
  <c r="K80" i="8"/>
  <c r="L80" i="8" s="1"/>
  <c r="M80" i="8" s="1"/>
  <c r="N80" i="8" s="1"/>
  <c r="S80" i="8" s="1"/>
  <c r="O79" i="8"/>
  <c r="P79" i="8" s="1"/>
  <c r="K79" i="8"/>
  <c r="L79" i="8" s="1"/>
  <c r="P78" i="8"/>
  <c r="O78" i="8"/>
  <c r="K78" i="8"/>
  <c r="L78" i="8" s="1"/>
  <c r="O77" i="8"/>
  <c r="P77" i="8" s="1"/>
  <c r="K77" i="8"/>
  <c r="L77" i="8" s="1"/>
  <c r="O76" i="8"/>
  <c r="P76" i="8" s="1"/>
  <c r="L76" i="8"/>
  <c r="K76" i="8"/>
  <c r="O73" i="8"/>
  <c r="P73" i="8" s="1"/>
  <c r="K73" i="8"/>
  <c r="L73" i="8" s="1"/>
  <c r="O72" i="8"/>
  <c r="P72" i="8" s="1"/>
  <c r="L72" i="8"/>
  <c r="K72" i="8"/>
  <c r="O71" i="8"/>
  <c r="P71" i="8" s="1"/>
  <c r="K71" i="8"/>
  <c r="L71" i="8" s="1"/>
  <c r="O70" i="8"/>
  <c r="P70" i="8" s="1"/>
  <c r="L70" i="8"/>
  <c r="K70" i="8"/>
  <c r="O69" i="8"/>
  <c r="P69" i="8" s="1"/>
  <c r="K69" i="8"/>
  <c r="L69" i="8" s="1"/>
  <c r="P68" i="8"/>
  <c r="O68" i="8"/>
  <c r="K68" i="8"/>
  <c r="L68" i="8" s="1"/>
  <c r="M68" i="8" s="1"/>
  <c r="N68" i="8" s="1"/>
  <c r="S68" i="8" s="1"/>
  <c r="O67" i="8"/>
  <c r="P67" i="8" s="1"/>
  <c r="K67" i="8"/>
  <c r="L67" i="8" s="1"/>
  <c r="P66" i="8"/>
  <c r="O66" i="8"/>
  <c r="K66" i="8"/>
  <c r="L66" i="8" s="1"/>
  <c r="O65" i="8"/>
  <c r="P65" i="8" s="1"/>
  <c r="K65" i="8"/>
  <c r="L65" i="8" s="1"/>
  <c r="P64" i="8"/>
  <c r="O64" i="8"/>
  <c r="K64" i="8"/>
  <c r="L64" i="8" s="1"/>
  <c r="P63" i="8"/>
  <c r="O63" i="8"/>
  <c r="K63" i="8"/>
  <c r="L63" i="8" s="1"/>
  <c r="P62" i="8"/>
  <c r="O62" i="8"/>
  <c r="K62" i="8"/>
  <c r="L62" i="8" s="1"/>
  <c r="O61" i="8"/>
  <c r="P61" i="8" s="1"/>
  <c r="K61" i="8"/>
  <c r="L61" i="8" s="1"/>
  <c r="P60" i="8"/>
  <c r="O60" i="8"/>
  <c r="K60" i="8"/>
  <c r="L60" i="8" s="1"/>
  <c r="P59" i="8"/>
  <c r="O59" i="8"/>
  <c r="K59" i="8"/>
  <c r="L59" i="8" s="1"/>
  <c r="P58" i="8"/>
  <c r="O58" i="8"/>
  <c r="K58" i="8"/>
  <c r="L58" i="8" s="1"/>
  <c r="O57" i="8"/>
  <c r="P57" i="8" s="1"/>
  <c r="K57" i="8"/>
  <c r="L57" i="8" s="1"/>
  <c r="P56" i="8"/>
  <c r="O56" i="8"/>
  <c r="K56" i="8"/>
  <c r="L56" i="8" s="1"/>
  <c r="M56" i="8" s="1"/>
  <c r="N56" i="8" s="1"/>
  <c r="S56" i="8" s="1"/>
  <c r="O55" i="8"/>
  <c r="P55" i="8" s="1"/>
  <c r="K55" i="8"/>
  <c r="L55" i="8" s="1"/>
  <c r="P54" i="8"/>
  <c r="O54" i="8"/>
  <c r="K54" i="8"/>
  <c r="L54" i="8" s="1"/>
  <c r="O53" i="8"/>
  <c r="P53" i="8" s="1"/>
  <c r="K53" i="8"/>
  <c r="L53" i="8" s="1"/>
  <c r="P52" i="8"/>
  <c r="O52" i="8"/>
  <c r="K52" i="8"/>
  <c r="L52" i="8" s="1"/>
  <c r="O51" i="8"/>
  <c r="P51" i="8" s="1"/>
  <c r="K51" i="8"/>
  <c r="L51" i="8" s="1"/>
  <c r="P50" i="8"/>
  <c r="O50" i="8"/>
  <c r="K50" i="8"/>
  <c r="L50" i="8" s="1"/>
  <c r="O49" i="8"/>
  <c r="P49" i="8" s="1"/>
  <c r="K49" i="8"/>
  <c r="L49" i="8" s="1"/>
  <c r="P48" i="8"/>
  <c r="O48" i="8"/>
  <c r="K48" i="8"/>
  <c r="L48" i="8" s="1"/>
  <c r="O47" i="8"/>
  <c r="P47" i="8" s="1"/>
  <c r="K47" i="8"/>
  <c r="L47" i="8" s="1"/>
  <c r="P46" i="8"/>
  <c r="O46" i="8"/>
  <c r="K46" i="8"/>
  <c r="L46" i="8" s="1"/>
  <c r="O45" i="8"/>
  <c r="P45" i="8" s="1"/>
  <c r="K45" i="8"/>
  <c r="L45" i="8" s="1"/>
  <c r="P44" i="8"/>
  <c r="O44" i="8"/>
  <c r="K44" i="8"/>
  <c r="L44" i="8" s="1"/>
  <c r="M44" i="8" s="1"/>
  <c r="N44" i="8" s="1"/>
  <c r="S44" i="8" s="1"/>
  <c r="O43" i="8"/>
  <c r="P43" i="8" s="1"/>
  <c r="K43" i="8"/>
  <c r="L43" i="8" s="1"/>
  <c r="P42" i="8"/>
  <c r="O42" i="8"/>
  <c r="K42" i="8"/>
  <c r="L42" i="8" s="1"/>
  <c r="O41" i="8"/>
  <c r="P41" i="8" s="1"/>
  <c r="K41" i="8"/>
  <c r="L41" i="8" s="1"/>
  <c r="P40" i="8"/>
  <c r="O40" i="8"/>
  <c r="K40" i="8"/>
  <c r="L40" i="8" s="1"/>
  <c r="M40" i="8" s="1"/>
  <c r="N40" i="8" s="1"/>
  <c r="S40" i="8" s="1"/>
  <c r="O37" i="8"/>
  <c r="P37" i="8" s="1"/>
  <c r="K37" i="8"/>
  <c r="L37" i="8" s="1"/>
  <c r="P36" i="8"/>
  <c r="O36" i="8"/>
  <c r="K36" i="8"/>
  <c r="L36" i="8" s="1"/>
  <c r="O35" i="8"/>
  <c r="P35" i="8" s="1"/>
  <c r="K35" i="8"/>
  <c r="L35" i="8" s="1"/>
  <c r="O34" i="8"/>
  <c r="P34" i="8" s="1"/>
  <c r="K34" i="8"/>
  <c r="L34" i="8" s="1"/>
  <c r="O33" i="8"/>
  <c r="P33" i="8" s="1"/>
  <c r="K33" i="8"/>
  <c r="L33" i="8" s="1"/>
  <c r="P32" i="8"/>
  <c r="O32" i="8"/>
  <c r="K32" i="8"/>
  <c r="L32" i="8" s="1"/>
  <c r="O31" i="8"/>
  <c r="P31" i="8" s="1"/>
  <c r="K31" i="8"/>
  <c r="L31" i="8" s="1"/>
  <c r="O30" i="8"/>
  <c r="P30" i="8" s="1"/>
  <c r="K30" i="8"/>
  <c r="L30" i="8" s="1"/>
  <c r="O29" i="8"/>
  <c r="P29" i="8" s="1"/>
  <c r="K29" i="8"/>
  <c r="L29" i="8" s="1"/>
  <c r="P28" i="8"/>
  <c r="O28" i="8"/>
  <c r="K28" i="8"/>
  <c r="L28" i="8" s="1"/>
  <c r="O27" i="8"/>
  <c r="P27" i="8" s="1"/>
  <c r="K27" i="8"/>
  <c r="L27" i="8" s="1"/>
  <c r="P26" i="8"/>
  <c r="O26" i="8"/>
  <c r="K26" i="8"/>
  <c r="L26" i="8" s="1"/>
  <c r="M26" i="8" s="1"/>
  <c r="N26" i="8" s="1"/>
  <c r="S26" i="8" s="1"/>
  <c r="O25" i="8"/>
  <c r="P25" i="8" s="1"/>
  <c r="K25" i="8"/>
  <c r="L25" i="8" s="1"/>
  <c r="P24" i="8"/>
  <c r="O24" i="8"/>
  <c r="K24" i="8"/>
  <c r="L24" i="8" s="1"/>
  <c r="O23" i="8"/>
  <c r="P23" i="8" s="1"/>
  <c r="K23" i="8"/>
  <c r="L23" i="8" s="1"/>
  <c r="P22" i="8"/>
  <c r="O22" i="8"/>
  <c r="K22" i="8"/>
  <c r="L22" i="8" s="1"/>
  <c r="O21" i="8"/>
  <c r="P21" i="8" s="1"/>
  <c r="K21" i="8"/>
  <c r="L21" i="8" s="1"/>
  <c r="P20" i="8"/>
  <c r="O20" i="8"/>
  <c r="K20" i="8"/>
  <c r="L20" i="8" s="1"/>
  <c r="O19" i="8"/>
  <c r="P19" i="8" s="1"/>
  <c r="K19" i="8"/>
  <c r="L19" i="8" s="1"/>
  <c r="P18" i="8"/>
  <c r="O18" i="8"/>
  <c r="K18" i="8"/>
  <c r="L18" i="8" s="1"/>
  <c r="O17" i="8"/>
  <c r="P17" i="8" s="1"/>
  <c r="K17" i="8"/>
  <c r="L17" i="8" s="1"/>
  <c r="P16" i="8"/>
  <c r="O16" i="8"/>
  <c r="K16" i="8"/>
  <c r="L16" i="8" s="1"/>
  <c r="O15" i="8"/>
  <c r="P15" i="8" s="1"/>
  <c r="K15" i="8"/>
  <c r="L15" i="8" s="1"/>
  <c r="P14" i="8"/>
  <c r="O14" i="8"/>
  <c r="K14" i="8"/>
  <c r="L14" i="8" s="1"/>
  <c r="M14" i="8" s="1"/>
  <c r="N14" i="8" s="1"/>
  <c r="S14" i="8" s="1"/>
  <c r="O13" i="8"/>
  <c r="P13" i="8" s="1"/>
  <c r="K13" i="8"/>
  <c r="L13" i="8" s="1"/>
  <c r="P12" i="8"/>
  <c r="O12" i="8"/>
  <c r="K12" i="8"/>
  <c r="L12" i="8" s="1"/>
  <c r="O11" i="8"/>
  <c r="P11" i="8" s="1"/>
  <c r="K11" i="8"/>
  <c r="L11" i="8" s="1"/>
  <c r="P10" i="8"/>
  <c r="O10" i="8"/>
  <c r="K10" i="8"/>
  <c r="L10" i="8" s="1"/>
  <c r="O9" i="8"/>
  <c r="P9" i="8" s="1"/>
  <c r="K9" i="8"/>
  <c r="L9" i="8" s="1"/>
  <c r="P8" i="8"/>
  <c r="O8" i="8"/>
  <c r="K8" i="8"/>
  <c r="L8" i="8" s="1"/>
  <c r="O7" i="8"/>
  <c r="P7" i="8" s="1"/>
  <c r="K7" i="8"/>
  <c r="L7" i="8" s="1"/>
  <c r="P6" i="8"/>
  <c r="O6" i="8"/>
  <c r="K6" i="8"/>
  <c r="L6" i="8" s="1"/>
  <c r="O5" i="8"/>
  <c r="P5" i="8" s="1"/>
  <c r="K5" i="8"/>
  <c r="L5" i="8" s="1"/>
  <c r="P4" i="8"/>
  <c r="O4" i="8"/>
  <c r="K4" i="8"/>
  <c r="L4" i="8" s="1"/>
  <c r="O721" i="7"/>
  <c r="P721" i="7" s="1"/>
  <c r="K721" i="7"/>
  <c r="L721" i="7" s="1"/>
  <c r="O720" i="7"/>
  <c r="P720" i="7" s="1"/>
  <c r="K720" i="7"/>
  <c r="L720" i="7" s="1"/>
  <c r="O719" i="7"/>
  <c r="P719" i="7" s="1"/>
  <c r="K719" i="7"/>
  <c r="L719" i="7" s="1"/>
  <c r="O718" i="7"/>
  <c r="P718" i="7" s="1"/>
  <c r="K718" i="7"/>
  <c r="L718" i="7" s="1"/>
  <c r="O717" i="7"/>
  <c r="P717" i="7" s="1"/>
  <c r="K717" i="7"/>
  <c r="L717" i="7" s="1"/>
  <c r="O716" i="7"/>
  <c r="P716" i="7" s="1"/>
  <c r="K716" i="7"/>
  <c r="L716" i="7" s="1"/>
  <c r="O715" i="7"/>
  <c r="P715" i="7" s="1"/>
  <c r="K715" i="7"/>
  <c r="L715" i="7" s="1"/>
  <c r="O714" i="7"/>
  <c r="P714" i="7" s="1"/>
  <c r="K714" i="7"/>
  <c r="L714" i="7" s="1"/>
  <c r="O713" i="7"/>
  <c r="P713" i="7" s="1"/>
  <c r="K713" i="7"/>
  <c r="L713" i="7" s="1"/>
  <c r="O712" i="7"/>
  <c r="P712" i="7" s="1"/>
  <c r="K712" i="7"/>
  <c r="L712" i="7" s="1"/>
  <c r="O711" i="7"/>
  <c r="P711" i="7" s="1"/>
  <c r="K711" i="7"/>
  <c r="L711" i="7" s="1"/>
  <c r="O710" i="7"/>
  <c r="P710" i="7" s="1"/>
  <c r="K710" i="7"/>
  <c r="L710" i="7" s="1"/>
  <c r="M710" i="7" s="1"/>
  <c r="N710" i="7" s="1"/>
  <c r="S710" i="7" s="1"/>
  <c r="O709" i="7"/>
  <c r="P709" i="7" s="1"/>
  <c r="K709" i="7"/>
  <c r="L709" i="7" s="1"/>
  <c r="O708" i="7"/>
  <c r="P708" i="7" s="1"/>
  <c r="K708" i="7"/>
  <c r="L708" i="7" s="1"/>
  <c r="O707" i="7"/>
  <c r="P707" i="7" s="1"/>
  <c r="K707" i="7"/>
  <c r="L707" i="7" s="1"/>
  <c r="O706" i="7"/>
  <c r="P706" i="7" s="1"/>
  <c r="K706" i="7"/>
  <c r="L706" i="7" s="1"/>
  <c r="O705" i="7"/>
  <c r="P705" i="7" s="1"/>
  <c r="K705" i="7"/>
  <c r="L705" i="7" s="1"/>
  <c r="O704" i="7"/>
  <c r="P704" i="7" s="1"/>
  <c r="K704" i="7"/>
  <c r="L704" i="7" s="1"/>
  <c r="O703" i="7"/>
  <c r="P703" i="7" s="1"/>
  <c r="K703" i="7"/>
  <c r="L703" i="7" s="1"/>
  <c r="O702" i="7"/>
  <c r="P702" i="7" s="1"/>
  <c r="K702" i="7"/>
  <c r="L702" i="7" s="1"/>
  <c r="O701" i="7"/>
  <c r="P701" i="7" s="1"/>
  <c r="K701" i="7"/>
  <c r="L701" i="7" s="1"/>
  <c r="O700" i="7"/>
  <c r="P700" i="7" s="1"/>
  <c r="K700" i="7"/>
  <c r="L700" i="7" s="1"/>
  <c r="O699" i="7"/>
  <c r="P699" i="7" s="1"/>
  <c r="K699" i="7"/>
  <c r="L699" i="7" s="1"/>
  <c r="O698" i="7"/>
  <c r="P698" i="7" s="1"/>
  <c r="K698" i="7"/>
  <c r="L698" i="7" s="1"/>
  <c r="M698" i="7" s="1"/>
  <c r="N698" i="7" s="1"/>
  <c r="S698" i="7" s="1"/>
  <c r="O697" i="7"/>
  <c r="P697" i="7" s="1"/>
  <c r="K697" i="7"/>
  <c r="L697" i="7" s="1"/>
  <c r="O696" i="7"/>
  <c r="P696" i="7" s="1"/>
  <c r="L696" i="7"/>
  <c r="K696" i="7"/>
  <c r="O695" i="7"/>
  <c r="P695" i="7" s="1"/>
  <c r="K695" i="7"/>
  <c r="L695" i="7" s="1"/>
  <c r="O694" i="7"/>
  <c r="P694" i="7" s="1"/>
  <c r="K694" i="7"/>
  <c r="L694" i="7" s="1"/>
  <c r="O693" i="7"/>
  <c r="P693" i="7" s="1"/>
  <c r="K693" i="7"/>
  <c r="L693" i="7" s="1"/>
  <c r="O692" i="7"/>
  <c r="P692" i="7" s="1"/>
  <c r="K692" i="7"/>
  <c r="L692" i="7" s="1"/>
  <c r="O691" i="7"/>
  <c r="P691" i="7" s="1"/>
  <c r="K691" i="7"/>
  <c r="L691" i="7" s="1"/>
  <c r="O690" i="7"/>
  <c r="P690" i="7" s="1"/>
  <c r="K690" i="7"/>
  <c r="L690" i="7" s="1"/>
  <c r="O689" i="7"/>
  <c r="P689" i="7" s="1"/>
  <c r="K689" i="7"/>
  <c r="L689" i="7" s="1"/>
  <c r="O688" i="7"/>
  <c r="P688" i="7" s="1"/>
  <c r="K688" i="7"/>
  <c r="L688" i="7" s="1"/>
  <c r="O685" i="7"/>
  <c r="P685" i="7" s="1"/>
  <c r="K685" i="7"/>
  <c r="L685" i="7" s="1"/>
  <c r="O684" i="7"/>
  <c r="P684" i="7" s="1"/>
  <c r="K684" i="7"/>
  <c r="L684" i="7" s="1"/>
  <c r="O683" i="7"/>
  <c r="P683" i="7" s="1"/>
  <c r="K683" i="7"/>
  <c r="L683" i="7" s="1"/>
  <c r="O682" i="7"/>
  <c r="P682" i="7" s="1"/>
  <c r="K682" i="7"/>
  <c r="L682" i="7" s="1"/>
  <c r="O681" i="7"/>
  <c r="P681" i="7" s="1"/>
  <c r="K681" i="7"/>
  <c r="L681" i="7" s="1"/>
  <c r="O680" i="7"/>
  <c r="P680" i="7" s="1"/>
  <c r="K680" i="7"/>
  <c r="L680" i="7" s="1"/>
  <c r="O679" i="7"/>
  <c r="P679" i="7" s="1"/>
  <c r="K679" i="7"/>
  <c r="L679" i="7" s="1"/>
  <c r="O678" i="7"/>
  <c r="P678" i="7" s="1"/>
  <c r="K678" i="7"/>
  <c r="L678" i="7" s="1"/>
  <c r="O677" i="7"/>
  <c r="P677" i="7" s="1"/>
  <c r="K677" i="7"/>
  <c r="L677" i="7" s="1"/>
  <c r="O676" i="7"/>
  <c r="P676" i="7" s="1"/>
  <c r="K676" i="7"/>
  <c r="L676" i="7" s="1"/>
  <c r="O675" i="7"/>
  <c r="P675" i="7" s="1"/>
  <c r="K675" i="7"/>
  <c r="L675" i="7" s="1"/>
  <c r="O674" i="7"/>
  <c r="P674" i="7" s="1"/>
  <c r="K674" i="7"/>
  <c r="L674" i="7" s="1"/>
  <c r="O673" i="7"/>
  <c r="P673" i="7" s="1"/>
  <c r="K673" i="7"/>
  <c r="L673" i="7" s="1"/>
  <c r="O672" i="7"/>
  <c r="P672" i="7" s="1"/>
  <c r="K672" i="7"/>
  <c r="L672" i="7" s="1"/>
  <c r="O671" i="7"/>
  <c r="P671" i="7" s="1"/>
  <c r="K671" i="7"/>
  <c r="L671" i="7" s="1"/>
  <c r="O670" i="7"/>
  <c r="P670" i="7" s="1"/>
  <c r="K670" i="7"/>
  <c r="L670" i="7" s="1"/>
  <c r="O669" i="7"/>
  <c r="P669" i="7" s="1"/>
  <c r="K669" i="7"/>
  <c r="L669" i="7" s="1"/>
  <c r="O668" i="7"/>
  <c r="P668" i="7" s="1"/>
  <c r="K668" i="7"/>
  <c r="L668" i="7" s="1"/>
  <c r="O667" i="7"/>
  <c r="P667" i="7" s="1"/>
  <c r="K667" i="7"/>
  <c r="L667" i="7" s="1"/>
  <c r="O666" i="7"/>
  <c r="P666" i="7" s="1"/>
  <c r="K666" i="7"/>
  <c r="L666" i="7" s="1"/>
  <c r="O665" i="7"/>
  <c r="P665" i="7" s="1"/>
  <c r="K665" i="7"/>
  <c r="L665" i="7" s="1"/>
  <c r="O664" i="7"/>
  <c r="P664" i="7" s="1"/>
  <c r="K664" i="7"/>
  <c r="L664" i="7" s="1"/>
  <c r="O663" i="7"/>
  <c r="P663" i="7" s="1"/>
  <c r="K663" i="7"/>
  <c r="L663" i="7" s="1"/>
  <c r="O662" i="7"/>
  <c r="P662" i="7" s="1"/>
  <c r="K662" i="7"/>
  <c r="L662" i="7" s="1"/>
  <c r="O661" i="7"/>
  <c r="P661" i="7" s="1"/>
  <c r="K661" i="7"/>
  <c r="L661" i="7" s="1"/>
  <c r="O660" i="7"/>
  <c r="P660" i="7" s="1"/>
  <c r="K660" i="7"/>
  <c r="L660" i="7" s="1"/>
  <c r="O659" i="7"/>
  <c r="P659" i="7" s="1"/>
  <c r="K659" i="7"/>
  <c r="L659" i="7" s="1"/>
  <c r="O658" i="7"/>
  <c r="P658" i="7" s="1"/>
  <c r="K658" i="7"/>
  <c r="L658" i="7" s="1"/>
  <c r="O657" i="7"/>
  <c r="P657" i="7" s="1"/>
  <c r="K657" i="7"/>
  <c r="L657" i="7" s="1"/>
  <c r="O656" i="7"/>
  <c r="P656" i="7" s="1"/>
  <c r="K656" i="7"/>
  <c r="L656" i="7" s="1"/>
  <c r="O655" i="7"/>
  <c r="P655" i="7" s="1"/>
  <c r="K655" i="7"/>
  <c r="L655" i="7" s="1"/>
  <c r="O654" i="7"/>
  <c r="P654" i="7" s="1"/>
  <c r="K654" i="7"/>
  <c r="L654" i="7" s="1"/>
  <c r="O653" i="7"/>
  <c r="P653" i="7" s="1"/>
  <c r="K653" i="7"/>
  <c r="L653" i="7" s="1"/>
  <c r="O652" i="7"/>
  <c r="P652" i="7" s="1"/>
  <c r="K652" i="7"/>
  <c r="L652" i="7" s="1"/>
  <c r="O649" i="7"/>
  <c r="P649" i="7" s="1"/>
  <c r="K649" i="7"/>
  <c r="L649" i="7" s="1"/>
  <c r="O648" i="7"/>
  <c r="P648" i="7" s="1"/>
  <c r="K648" i="7"/>
  <c r="L648" i="7" s="1"/>
  <c r="O647" i="7"/>
  <c r="P647" i="7" s="1"/>
  <c r="K647" i="7"/>
  <c r="L647" i="7" s="1"/>
  <c r="O646" i="7"/>
  <c r="P646" i="7" s="1"/>
  <c r="K646" i="7"/>
  <c r="L646" i="7" s="1"/>
  <c r="O645" i="7"/>
  <c r="P645" i="7" s="1"/>
  <c r="K645" i="7"/>
  <c r="L645" i="7" s="1"/>
  <c r="O644" i="7"/>
  <c r="P644" i="7" s="1"/>
  <c r="K644" i="7"/>
  <c r="L644" i="7" s="1"/>
  <c r="O643" i="7"/>
  <c r="P643" i="7" s="1"/>
  <c r="K643" i="7"/>
  <c r="L643" i="7" s="1"/>
  <c r="O642" i="7"/>
  <c r="P642" i="7" s="1"/>
  <c r="K642" i="7"/>
  <c r="L642" i="7" s="1"/>
  <c r="O641" i="7"/>
  <c r="P641" i="7" s="1"/>
  <c r="K641" i="7"/>
  <c r="L641" i="7" s="1"/>
  <c r="O640" i="7"/>
  <c r="P640" i="7" s="1"/>
  <c r="K640" i="7"/>
  <c r="L640" i="7" s="1"/>
  <c r="O639" i="7"/>
  <c r="P639" i="7" s="1"/>
  <c r="K639" i="7"/>
  <c r="L639" i="7" s="1"/>
  <c r="O638" i="7"/>
  <c r="P638" i="7" s="1"/>
  <c r="K638" i="7"/>
  <c r="L638" i="7" s="1"/>
  <c r="O637" i="7"/>
  <c r="P637" i="7" s="1"/>
  <c r="K637" i="7"/>
  <c r="L637" i="7" s="1"/>
  <c r="O636" i="7"/>
  <c r="P636" i="7" s="1"/>
  <c r="K636" i="7"/>
  <c r="L636" i="7" s="1"/>
  <c r="O635" i="7"/>
  <c r="P635" i="7" s="1"/>
  <c r="K635" i="7"/>
  <c r="L635" i="7" s="1"/>
  <c r="O634" i="7"/>
  <c r="P634" i="7" s="1"/>
  <c r="K634" i="7"/>
  <c r="L634" i="7" s="1"/>
  <c r="O633" i="7"/>
  <c r="P633" i="7" s="1"/>
  <c r="K633" i="7"/>
  <c r="L633" i="7" s="1"/>
  <c r="O632" i="7"/>
  <c r="P632" i="7" s="1"/>
  <c r="K632" i="7"/>
  <c r="L632" i="7" s="1"/>
  <c r="O631" i="7"/>
  <c r="P631" i="7" s="1"/>
  <c r="K631" i="7"/>
  <c r="L631" i="7" s="1"/>
  <c r="O630" i="7"/>
  <c r="P630" i="7" s="1"/>
  <c r="K630" i="7"/>
  <c r="L630" i="7" s="1"/>
  <c r="O629" i="7"/>
  <c r="P629" i="7" s="1"/>
  <c r="K629" i="7"/>
  <c r="L629" i="7" s="1"/>
  <c r="O628" i="7"/>
  <c r="P628" i="7" s="1"/>
  <c r="K628" i="7"/>
  <c r="L628" i="7" s="1"/>
  <c r="O627" i="7"/>
  <c r="P627" i="7" s="1"/>
  <c r="K627" i="7"/>
  <c r="L627" i="7" s="1"/>
  <c r="M626" i="7" s="1"/>
  <c r="N626" i="7" s="1"/>
  <c r="S626" i="7" s="1"/>
  <c r="O626" i="7"/>
  <c r="P626" i="7" s="1"/>
  <c r="K626" i="7"/>
  <c r="L626" i="7" s="1"/>
  <c r="O625" i="7"/>
  <c r="P625" i="7" s="1"/>
  <c r="K625" i="7"/>
  <c r="L625" i="7" s="1"/>
  <c r="O624" i="7"/>
  <c r="P624" i="7" s="1"/>
  <c r="K624" i="7"/>
  <c r="L624" i="7" s="1"/>
  <c r="O623" i="7"/>
  <c r="P623" i="7" s="1"/>
  <c r="K623" i="7"/>
  <c r="L623" i="7" s="1"/>
  <c r="O622" i="7"/>
  <c r="P622" i="7" s="1"/>
  <c r="K622" i="7"/>
  <c r="L622" i="7" s="1"/>
  <c r="O621" i="7"/>
  <c r="P621" i="7" s="1"/>
  <c r="K621" i="7"/>
  <c r="L621" i="7" s="1"/>
  <c r="O620" i="7"/>
  <c r="P620" i="7" s="1"/>
  <c r="K620" i="7"/>
  <c r="L620" i="7" s="1"/>
  <c r="O619" i="7"/>
  <c r="P619" i="7" s="1"/>
  <c r="K619" i="7"/>
  <c r="L619" i="7" s="1"/>
  <c r="O618" i="7"/>
  <c r="P618" i="7" s="1"/>
  <c r="K618" i="7"/>
  <c r="L618" i="7" s="1"/>
  <c r="O617" i="7"/>
  <c r="P617" i="7" s="1"/>
  <c r="Q616" i="7" s="1"/>
  <c r="R616" i="7" s="1"/>
  <c r="K617" i="7"/>
  <c r="L617" i="7" s="1"/>
  <c r="O616" i="7"/>
  <c r="P616" i="7" s="1"/>
  <c r="K616" i="7"/>
  <c r="L616" i="7" s="1"/>
  <c r="O613" i="7"/>
  <c r="P613" i="7" s="1"/>
  <c r="K613" i="7"/>
  <c r="L613" i="7" s="1"/>
  <c r="O612" i="7"/>
  <c r="P612" i="7" s="1"/>
  <c r="K612" i="7"/>
  <c r="L612" i="7" s="1"/>
  <c r="O611" i="7"/>
  <c r="P611" i="7" s="1"/>
  <c r="K611" i="7"/>
  <c r="L611" i="7" s="1"/>
  <c r="O610" i="7"/>
  <c r="P610" i="7" s="1"/>
  <c r="K610" i="7"/>
  <c r="L610" i="7" s="1"/>
  <c r="O609" i="7"/>
  <c r="P609" i="7" s="1"/>
  <c r="K609" i="7"/>
  <c r="L609" i="7" s="1"/>
  <c r="O608" i="7"/>
  <c r="P608" i="7" s="1"/>
  <c r="K608" i="7"/>
  <c r="L608" i="7" s="1"/>
  <c r="O607" i="7"/>
  <c r="P607" i="7" s="1"/>
  <c r="K607" i="7"/>
  <c r="L607" i="7" s="1"/>
  <c r="O606" i="7"/>
  <c r="P606" i="7" s="1"/>
  <c r="K606" i="7"/>
  <c r="L606" i="7" s="1"/>
  <c r="O605" i="7"/>
  <c r="P605" i="7" s="1"/>
  <c r="K605" i="7"/>
  <c r="L605" i="7" s="1"/>
  <c r="O604" i="7"/>
  <c r="P604" i="7" s="1"/>
  <c r="K604" i="7"/>
  <c r="L604" i="7" s="1"/>
  <c r="O603" i="7"/>
  <c r="P603" i="7" s="1"/>
  <c r="K603" i="7"/>
  <c r="L603" i="7" s="1"/>
  <c r="O602" i="7"/>
  <c r="P602" i="7" s="1"/>
  <c r="K602" i="7"/>
  <c r="L602" i="7" s="1"/>
  <c r="O601" i="7"/>
  <c r="P601" i="7" s="1"/>
  <c r="K601" i="7"/>
  <c r="L601" i="7" s="1"/>
  <c r="O600" i="7"/>
  <c r="P600" i="7" s="1"/>
  <c r="K600" i="7"/>
  <c r="L600" i="7" s="1"/>
  <c r="O599" i="7"/>
  <c r="P599" i="7" s="1"/>
  <c r="K599" i="7"/>
  <c r="L599" i="7" s="1"/>
  <c r="O598" i="7"/>
  <c r="P598" i="7" s="1"/>
  <c r="K598" i="7"/>
  <c r="L598" i="7" s="1"/>
  <c r="O597" i="7"/>
  <c r="P597" i="7" s="1"/>
  <c r="K597" i="7"/>
  <c r="L597" i="7" s="1"/>
  <c r="O596" i="7"/>
  <c r="P596" i="7" s="1"/>
  <c r="K596" i="7"/>
  <c r="L596" i="7" s="1"/>
  <c r="O595" i="7"/>
  <c r="P595" i="7" s="1"/>
  <c r="K595" i="7"/>
  <c r="L595" i="7" s="1"/>
  <c r="O594" i="7"/>
  <c r="P594" i="7" s="1"/>
  <c r="K594" i="7"/>
  <c r="L594" i="7" s="1"/>
  <c r="O593" i="7"/>
  <c r="P593" i="7" s="1"/>
  <c r="K593" i="7"/>
  <c r="L593" i="7" s="1"/>
  <c r="O592" i="7"/>
  <c r="P592" i="7" s="1"/>
  <c r="K592" i="7"/>
  <c r="L592" i="7" s="1"/>
  <c r="O591" i="7"/>
  <c r="P591" i="7" s="1"/>
  <c r="K591" i="7"/>
  <c r="L591" i="7" s="1"/>
  <c r="O590" i="7"/>
  <c r="P590" i="7" s="1"/>
  <c r="K590" i="7"/>
  <c r="L590" i="7" s="1"/>
  <c r="O589" i="7"/>
  <c r="P589" i="7" s="1"/>
  <c r="K589" i="7"/>
  <c r="L589" i="7" s="1"/>
  <c r="O588" i="7"/>
  <c r="P588" i="7" s="1"/>
  <c r="K588" i="7"/>
  <c r="L588" i="7" s="1"/>
  <c r="O587" i="7"/>
  <c r="P587" i="7" s="1"/>
  <c r="K587" i="7"/>
  <c r="L587" i="7" s="1"/>
  <c r="O586" i="7"/>
  <c r="P586" i="7" s="1"/>
  <c r="K586" i="7"/>
  <c r="L586" i="7" s="1"/>
  <c r="O585" i="7"/>
  <c r="P585" i="7" s="1"/>
  <c r="K585" i="7"/>
  <c r="L585" i="7" s="1"/>
  <c r="O584" i="7"/>
  <c r="P584" i="7" s="1"/>
  <c r="K584" i="7"/>
  <c r="L584" i="7" s="1"/>
  <c r="O583" i="7"/>
  <c r="P583" i="7" s="1"/>
  <c r="K583" i="7"/>
  <c r="L583" i="7" s="1"/>
  <c r="O582" i="7"/>
  <c r="P582" i="7" s="1"/>
  <c r="L582" i="7"/>
  <c r="K582" i="7"/>
  <c r="O581" i="7"/>
  <c r="P581" i="7" s="1"/>
  <c r="K581" i="7"/>
  <c r="L581" i="7" s="1"/>
  <c r="O580" i="7"/>
  <c r="P580" i="7" s="1"/>
  <c r="K580" i="7"/>
  <c r="L580" i="7" s="1"/>
  <c r="O577" i="7"/>
  <c r="P577" i="7" s="1"/>
  <c r="K577" i="7"/>
  <c r="L577" i="7" s="1"/>
  <c r="O576" i="7"/>
  <c r="P576" i="7" s="1"/>
  <c r="K576" i="7"/>
  <c r="L576" i="7" s="1"/>
  <c r="O575" i="7"/>
  <c r="P575" i="7" s="1"/>
  <c r="K575" i="7"/>
  <c r="L575" i="7" s="1"/>
  <c r="O574" i="7"/>
  <c r="P574" i="7" s="1"/>
  <c r="K574" i="7"/>
  <c r="L574" i="7" s="1"/>
  <c r="O573" i="7"/>
  <c r="P573" i="7" s="1"/>
  <c r="K573" i="7"/>
  <c r="L573" i="7" s="1"/>
  <c r="O572" i="7"/>
  <c r="P572" i="7" s="1"/>
  <c r="K572" i="7"/>
  <c r="L572" i="7" s="1"/>
  <c r="O571" i="7"/>
  <c r="P571" i="7" s="1"/>
  <c r="K571" i="7"/>
  <c r="L571" i="7" s="1"/>
  <c r="O570" i="7"/>
  <c r="P570" i="7" s="1"/>
  <c r="K570" i="7"/>
  <c r="L570" i="7" s="1"/>
  <c r="O569" i="7"/>
  <c r="P569" i="7" s="1"/>
  <c r="K569" i="7"/>
  <c r="L569" i="7" s="1"/>
  <c r="O568" i="7"/>
  <c r="P568" i="7" s="1"/>
  <c r="K568" i="7"/>
  <c r="L568" i="7" s="1"/>
  <c r="O567" i="7"/>
  <c r="P567" i="7" s="1"/>
  <c r="K567" i="7"/>
  <c r="L567" i="7" s="1"/>
  <c r="P566" i="7"/>
  <c r="O566" i="7"/>
  <c r="K566" i="7"/>
  <c r="L566" i="7" s="1"/>
  <c r="O565" i="7"/>
  <c r="P565" i="7" s="1"/>
  <c r="K565" i="7"/>
  <c r="L565" i="7" s="1"/>
  <c r="O564" i="7"/>
  <c r="P564" i="7" s="1"/>
  <c r="K564" i="7"/>
  <c r="L564" i="7" s="1"/>
  <c r="O563" i="7"/>
  <c r="P563" i="7" s="1"/>
  <c r="K563" i="7"/>
  <c r="L563" i="7" s="1"/>
  <c r="O562" i="7"/>
  <c r="P562" i="7" s="1"/>
  <c r="K562" i="7"/>
  <c r="L562" i="7" s="1"/>
  <c r="O561" i="7"/>
  <c r="P561" i="7" s="1"/>
  <c r="L561" i="7"/>
  <c r="K561" i="7"/>
  <c r="O560" i="7"/>
  <c r="P560" i="7" s="1"/>
  <c r="K560" i="7"/>
  <c r="L560" i="7" s="1"/>
  <c r="O559" i="7"/>
  <c r="P559" i="7" s="1"/>
  <c r="K559" i="7"/>
  <c r="L559" i="7" s="1"/>
  <c r="O558" i="7"/>
  <c r="P558" i="7" s="1"/>
  <c r="K558" i="7"/>
  <c r="L558" i="7" s="1"/>
  <c r="O557" i="7"/>
  <c r="P557" i="7" s="1"/>
  <c r="K557" i="7"/>
  <c r="L557" i="7" s="1"/>
  <c r="O556" i="7"/>
  <c r="P556" i="7" s="1"/>
  <c r="K556" i="7"/>
  <c r="L556" i="7" s="1"/>
  <c r="O555" i="7"/>
  <c r="P555" i="7" s="1"/>
  <c r="K555" i="7"/>
  <c r="L555" i="7" s="1"/>
  <c r="O554" i="7"/>
  <c r="P554" i="7" s="1"/>
  <c r="L554" i="7"/>
  <c r="K554" i="7"/>
  <c r="O553" i="7"/>
  <c r="P553" i="7" s="1"/>
  <c r="K553" i="7"/>
  <c r="L553" i="7" s="1"/>
  <c r="O552" i="7"/>
  <c r="P552" i="7" s="1"/>
  <c r="K552" i="7"/>
  <c r="L552" i="7" s="1"/>
  <c r="O551" i="7"/>
  <c r="P551" i="7" s="1"/>
  <c r="K551" i="7"/>
  <c r="L551" i="7" s="1"/>
  <c r="O550" i="7"/>
  <c r="P550" i="7" s="1"/>
  <c r="K550" i="7"/>
  <c r="L550" i="7" s="1"/>
  <c r="O549" i="7"/>
  <c r="P549" i="7" s="1"/>
  <c r="K549" i="7"/>
  <c r="L549" i="7" s="1"/>
  <c r="O548" i="7"/>
  <c r="P548" i="7" s="1"/>
  <c r="K548" i="7"/>
  <c r="L548" i="7" s="1"/>
  <c r="O547" i="7"/>
  <c r="P547" i="7" s="1"/>
  <c r="K547" i="7"/>
  <c r="L547" i="7" s="1"/>
  <c r="O546" i="7"/>
  <c r="P546" i="7" s="1"/>
  <c r="K546" i="7"/>
  <c r="L546" i="7" s="1"/>
  <c r="O545" i="7"/>
  <c r="P545" i="7" s="1"/>
  <c r="K545" i="7"/>
  <c r="L545" i="7" s="1"/>
  <c r="O544" i="7"/>
  <c r="P544" i="7" s="1"/>
  <c r="K544" i="7"/>
  <c r="L544" i="7" s="1"/>
  <c r="O541" i="7"/>
  <c r="P541" i="7" s="1"/>
  <c r="K541" i="7"/>
  <c r="L541" i="7" s="1"/>
  <c r="O540" i="7"/>
  <c r="P540" i="7" s="1"/>
  <c r="K540" i="7"/>
  <c r="L540" i="7" s="1"/>
  <c r="O539" i="7"/>
  <c r="P539" i="7" s="1"/>
  <c r="K539" i="7"/>
  <c r="L539" i="7" s="1"/>
  <c r="O538" i="7"/>
  <c r="P538" i="7" s="1"/>
  <c r="K538" i="7"/>
  <c r="L538" i="7" s="1"/>
  <c r="O537" i="7"/>
  <c r="P537" i="7" s="1"/>
  <c r="K537" i="7"/>
  <c r="L537" i="7" s="1"/>
  <c r="P536" i="7"/>
  <c r="O536" i="7"/>
  <c r="K536" i="7"/>
  <c r="L536" i="7" s="1"/>
  <c r="O535" i="7"/>
  <c r="P535" i="7" s="1"/>
  <c r="K535" i="7"/>
  <c r="L535" i="7" s="1"/>
  <c r="O534" i="7"/>
  <c r="P534" i="7" s="1"/>
  <c r="K534" i="7"/>
  <c r="L534" i="7" s="1"/>
  <c r="O533" i="7"/>
  <c r="P533" i="7" s="1"/>
  <c r="L533" i="7"/>
  <c r="K533" i="7"/>
  <c r="O532" i="7"/>
  <c r="P532" i="7" s="1"/>
  <c r="K532" i="7"/>
  <c r="L532" i="7" s="1"/>
  <c r="O531" i="7"/>
  <c r="P531" i="7" s="1"/>
  <c r="K531" i="7"/>
  <c r="L531" i="7" s="1"/>
  <c r="O530" i="7"/>
  <c r="P530" i="7" s="1"/>
  <c r="L530" i="7"/>
  <c r="K530" i="7"/>
  <c r="O529" i="7"/>
  <c r="P529" i="7" s="1"/>
  <c r="L529" i="7"/>
  <c r="K529" i="7"/>
  <c r="O528" i="7"/>
  <c r="P528" i="7" s="1"/>
  <c r="L528" i="7"/>
  <c r="K528" i="7"/>
  <c r="O527" i="7"/>
  <c r="P527" i="7" s="1"/>
  <c r="L527" i="7"/>
  <c r="K527" i="7"/>
  <c r="O526" i="7"/>
  <c r="P526" i="7" s="1"/>
  <c r="L526" i="7"/>
  <c r="K526" i="7"/>
  <c r="O525" i="7"/>
  <c r="P525" i="7" s="1"/>
  <c r="L525" i="7"/>
  <c r="K525" i="7"/>
  <c r="O524" i="7"/>
  <c r="P524" i="7" s="1"/>
  <c r="L524" i="7"/>
  <c r="K524" i="7"/>
  <c r="O523" i="7"/>
  <c r="P523" i="7" s="1"/>
  <c r="L523" i="7"/>
  <c r="K523" i="7"/>
  <c r="O522" i="7"/>
  <c r="P522" i="7" s="1"/>
  <c r="L522" i="7"/>
  <c r="K522" i="7"/>
  <c r="O521" i="7"/>
  <c r="P521" i="7" s="1"/>
  <c r="L521" i="7"/>
  <c r="K521" i="7"/>
  <c r="O520" i="7"/>
  <c r="P520" i="7" s="1"/>
  <c r="L520" i="7"/>
  <c r="K520" i="7"/>
  <c r="O519" i="7"/>
  <c r="P519" i="7" s="1"/>
  <c r="L519" i="7"/>
  <c r="K519" i="7"/>
  <c r="O518" i="7"/>
  <c r="P518" i="7" s="1"/>
  <c r="L518" i="7"/>
  <c r="M518" i="7" s="1"/>
  <c r="N518" i="7" s="1"/>
  <c r="S518" i="7" s="1"/>
  <c r="K518" i="7"/>
  <c r="O517" i="7"/>
  <c r="P517" i="7" s="1"/>
  <c r="L517" i="7"/>
  <c r="K517" i="7"/>
  <c r="O516" i="7"/>
  <c r="P516" i="7" s="1"/>
  <c r="L516" i="7"/>
  <c r="K516" i="7"/>
  <c r="O515" i="7"/>
  <c r="P515" i="7" s="1"/>
  <c r="L515" i="7"/>
  <c r="K515" i="7"/>
  <c r="O514" i="7"/>
  <c r="P514" i="7" s="1"/>
  <c r="L514" i="7"/>
  <c r="K514" i="7"/>
  <c r="O513" i="7"/>
  <c r="P513" i="7" s="1"/>
  <c r="L513" i="7"/>
  <c r="K513" i="7"/>
  <c r="O512" i="7"/>
  <c r="P512" i="7" s="1"/>
  <c r="K512" i="7"/>
  <c r="L512" i="7" s="1"/>
  <c r="O511" i="7"/>
  <c r="P511" i="7" s="1"/>
  <c r="K511" i="7"/>
  <c r="L511" i="7" s="1"/>
  <c r="P510" i="7"/>
  <c r="O510" i="7"/>
  <c r="K510" i="7"/>
  <c r="L510" i="7" s="1"/>
  <c r="O509" i="7"/>
  <c r="P509" i="7" s="1"/>
  <c r="K509" i="7"/>
  <c r="L509" i="7" s="1"/>
  <c r="O508" i="7"/>
  <c r="P508" i="7" s="1"/>
  <c r="K508" i="7"/>
  <c r="L508" i="7" s="1"/>
  <c r="O505" i="7"/>
  <c r="P505" i="7" s="1"/>
  <c r="K505" i="7"/>
  <c r="L505" i="7" s="1"/>
  <c r="O504" i="7"/>
  <c r="P504" i="7" s="1"/>
  <c r="K504" i="7"/>
  <c r="L504" i="7" s="1"/>
  <c r="O503" i="7"/>
  <c r="P503" i="7" s="1"/>
  <c r="K503" i="7"/>
  <c r="L503" i="7" s="1"/>
  <c r="O502" i="7"/>
  <c r="P502" i="7" s="1"/>
  <c r="K502" i="7"/>
  <c r="L502" i="7" s="1"/>
  <c r="O501" i="7"/>
  <c r="P501" i="7" s="1"/>
  <c r="K501" i="7"/>
  <c r="L501" i="7" s="1"/>
  <c r="O500" i="7"/>
  <c r="P500" i="7" s="1"/>
  <c r="K500" i="7"/>
  <c r="L500" i="7" s="1"/>
  <c r="O499" i="7"/>
  <c r="P499" i="7" s="1"/>
  <c r="K499" i="7"/>
  <c r="L499" i="7" s="1"/>
  <c r="O498" i="7"/>
  <c r="P498" i="7" s="1"/>
  <c r="K498" i="7"/>
  <c r="L498" i="7" s="1"/>
  <c r="O497" i="7"/>
  <c r="P497" i="7" s="1"/>
  <c r="K497" i="7"/>
  <c r="L497" i="7" s="1"/>
  <c r="P496" i="7"/>
  <c r="O496" i="7"/>
  <c r="K496" i="7"/>
  <c r="L496" i="7" s="1"/>
  <c r="O495" i="7"/>
  <c r="P495" i="7" s="1"/>
  <c r="K495" i="7"/>
  <c r="L495" i="7" s="1"/>
  <c r="O494" i="7"/>
  <c r="P494" i="7" s="1"/>
  <c r="K494" i="7"/>
  <c r="L494" i="7" s="1"/>
  <c r="O493" i="7"/>
  <c r="P493" i="7" s="1"/>
  <c r="K493" i="7"/>
  <c r="L493" i="7" s="1"/>
  <c r="O492" i="7"/>
  <c r="P492" i="7" s="1"/>
  <c r="L492" i="7"/>
  <c r="K492" i="7"/>
  <c r="O491" i="7"/>
  <c r="P491" i="7" s="1"/>
  <c r="K491" i="7"/>
  <c r="L491" i="7" s="1"/>
  <c r="O490" i="7"/>
  <c r="P490" i="7" s="1"/>
  <c r="K490" i="7"/>
  <c r="L490" i="7" s="1"/>
  <c r="O489" i="7"/>
  <c r="P489" i="7" s="1"/>
  <c r="K489" i="7"/>
  <c r="L489" i="7" s="1"/>
  <c r="O488" i="7"/>
  <c r="P488" i="7" s="1"/>
  <c r="Q488" i="7" s="1"/>
  <c r="R488" i="7" s="1"/>
  <c r="K488" i="7"/>
  <c r="L488" i="7" s="1"/>
  <c r="O487" i="7"/>
  <c r="P487" i="7" s="1"/>
  <c r="L487" i="7"/>
  <c r="K487" i="7"/>
  <c r="O486" i="7"/>
  <c r="P486" i="7" s="1"/>
  <c r="K486" i="7"/>
  <c r="L486" i="7" s="1"/>
  <c r="O485" i="7"/>
  <c r="P485" i="7" s="1"/>
  <c r="K485" i="7"/>
  <c r="L485" i="7" s="1"/>
  <c r="O484" i="7"/>
  <c r="P484" i="7" s="1"/>
  <c r="K484" i="7"/>
  <c r="L484" i="7" s="1"/>
  <c r="O483" i="7"/>
  <c r="P483" i="7" s="1"/>
  <c r="L483" i="7"/>
  <c r="K483" i="7"/>
  <c r="O482" i="7"/>
  <c r="P482" i="7" s="1"/>
  <c r="K482" i="7"/>
  <c r="L482" i="7" s="1"/>
  <c r="P481" i="7"/>
  <c r="O481" i="7"/>
  <c r="K481" i="7"/>
  <c r="L481" i="7" s="1"/>
  <c r="O480" i="7"/>
  <c r="P480" i="7" s="1"/>
  <c r="K480" i="7"/>
  <c r="L480" i="7" s="1"/>
  <c r="O479" i="7"/>
  <c r="P479" i="7" s="1"/>
  <c r="K479" i="7"/>
  <c r="L479" i="7" s="1"/>
  <c r="O478" i="7"/>
  <c r="P478" i="7" s="1"/>
  <c r="K478" i="7"/>
  <c r="L478" i="7" s="1"/>
  <c r="O477" i="7"/>
  <c r="P477" i="7" s="1"/>
  <c r="K477" i="7"/>
  <c r="L477" i="7" s="1"/>
  <c r="O476" i="7"/>
  <c r="P476" i="7" s="1"/>
  <c r="K476" i="7"/>
  <c r="L476" i="7" s="1"/>
  <c r="O475" i="7"/>
  <c r="P475" i="7" s="1"/>
  <c r="K475" i="7"/>
  <c r="L475" i="7" s="1"/>
  <c r="O474" i="7"/>
  <c r="P474" i="7" s="1"/>
  <c r="K474" i="7"/>
  <c r="L474" i="7" s="1"/>
  <c r="O473" i="7"/>
  <c r="P473" i="7" s="1"/>
  <c r="K473" i="7"/>
  <c r="L473" i="7" s="1"/>
  <c r="O472" i="7"/>
  <c r="P472" i="7" s="1"/>
  <c r="K472" i="7"/>
  <c r="L472" i="7" s="1"/>
  <c r="O469" i="7"/>
  <c r="P469" i="7" s="1"/>
  <c r="K469" i="7"/>
  <c r="L469" i="7" s="1"/>
  <c r="O468" i="7"/>
  <c r="P468" i="7" s="1"/>
  <c r="K468" i="7"/>
  <c r="L468" i="7" s="1"/>
  <c r="O467" i="7"/>
  <c r="P467" i="7" s="1"/>
  <c r="K467" i="7"/>
  <c r="L467" i="7" s="1"/>
  <c r="O466" i="7"/>
  <c r="P466" i="7" s="1"/>
  <c r="K466" i="7"/>
  <c r="L466" i="7" s="1"/>
  <c r="O465" i="7"/>
  <c r="P465" i="7" s="1"/>
  <c r="K465" i="7"/>
  <c r="L465" i="7" s="1"/>
  <c r="O464" i="7"/>
  <c r="P464" i="7" s="1"/>
  <c r="K464" i="7"/>
  <c r="L464" i="7" s="1"/>
  <c r="O463" i="7"/>
  <c r="P463" i="7" s="1"/>
  <c r="K463" i="7"/>
  <c r="L463" i="7" s="1"/>
  <c r="O462" i="7"/>
  <c r="P462" i="7" s="1"/>
  <c r="K462" i="7"/>
  <c r="L462" i="7" s="1"/>
  <c r="O461" i="7"/>
  <c r="P461" i="7" s="1"/>
  <c r="K461" i="7"/>
  <c r="L461" i="7" s="1"/>
  <c r="O460" i="7"/>
  <c r="P460" i="7" s="1"/>
  <c r="K460" i="7"/>
  <c r="L460" i="7" s="1"/>
  <c r="O459" i="7"/>
  <c r="P459" i="7" s="1"/>
  <c r="K459" i="7"/>
  <c r="L459" i="7" s="1"/>
  <c r="O458" i="7"/>
  <c r="P458" i="7" s="1"/>
  <c r="K458" i="7"/>
  <c r="L458" i="7" s="1"/>
  <c r="M458" i="7" s="1"/>
  <c r="N458" i="7" s="1"/>
  <c r="S458" i="7" s="1"/>
  <c r="O457" i="7"/>
  <c r="P457" i="7" s="1"/>
  <c r="K457" i="7"/>
  <c r="L457" i="7" s="1"/>
  <c r="O456" i="7"/>
  <c r="P456" i="7" s="1"/>
  <c r="K456" i="7"/>
  <c r="L456" i="7" s="1"/>
  <c r="O455" i="7"/>
  <c r="P455" i="7" s="1"/>
  <c r="K455" i="7"/>
  <c r="L455" i="7" s="1"/>
  <c r="O454" i="7"/>
  <c r="P454" i="7" s="1"/>
  <c r="K454" i="7"/>
  <c r="L454" i="7" s="1"/>
  <c r="O453" i="7"/>
  <c r="P453" i="7" s="1"/>
  <c r="L453" i="7"/>
  <c r="K453" i="7"/>
  <c r="O452" i="7"/>
  <c r="P452" i="7" s="1"/>
  <c r="K452" i="7"/>
  <c r="L452" i="7" s="1"/>
  <c r="O451" i="7"/>
  <c r="P451" i="7" s="1"/>
  <c r="K451" i="7"/>
  <c r="L451" i="7" s="1"/>
  <c r="O450" i="7"/>
  <c r="P450" i="7" s="1"/>
  <c r="K450" i="7"/>
  <c r="L450" i="7" s="1"/>
  <c r="O449" i="7"/>
  <c r="P449" i="7" s="1"/>
  <c r="K449" i="7"/>
  <c r="L449" i="7" s="1"/>
  <c r="O448" i="7"/>
  <c r="P448" i="7" s="1"/>
  <c r="K448" i="7"/>
  <c r="L448" i="7" s="1"/>
  <c r="O447" i="7"/>
  <c r="P447" i="7" s="1"/>
  <c r="K447" i="7"/>
  <c r="L447" i="7" s="1"/>
  <c r="P446" i="7"/>
  <c r="O446" i="7"/>
  <c r="K446" i="7"/>
  <c r="L446" i="7" s="1"/>
  <c r="O445" i="7"/>
  <c r="P445" i="7" s="1"/>
  <c r="L445" i="7"/>
  <c r="K445" i="7"/>
  <c r="O444" i="7"/>
  <c r="P444" i="7" s="1"/>
  <c r="K444" i="7"/>
  <c r="L444" i="7" s="1"/>
  <c r="O443" i="7"/>
  <c r="P443" i="7" s="1"/>
  <c r="K443" i="7"/>
  <c r="L443" i="7" s="1"/>
  <c r="O442" i="7"/>
  <c r="P442" i="7" s="1"/>
  <c r="K442" i="7"/>
  <c r="L442" i="7" s="1"/>
  <c r="O441" i="7"/>
  <c r="P441" i="7" s="1"/>
  <c r="L441" i="7"/>
  <c r="K441" i="7"/>
  <c r="O440" i="7"/>
  <c r="P440" i="7" s="1"/>
  <c r="K440" i="7"/>
  <c r="L440" i="7" s="1"/>
  <c r="O439" i="7"/>
  <c r="P439" i="7" s="1"/>
  <c r="K439" i="7"/>
  <c r="L439" i="7" s="1"/>
  <c r="O438" i="7"/>
  <c r="P438" i="7" s="1"/>
  <c r="K438" i="7"/>
  <c r="L438" i="7" s="1"/>
  <c r="O437" i="7"/>
  <c r="P437" i="7" s="1"/>
  <c r="K437" i="7"/>
  <c r="L437" i="7" s="1"/>
  <c r="O436" i="7"/>
  <c r="P436" i="7" s="1"/>
  <c r="K436" i="7"/>
  <c r="L436" i="7" s="1"/>
  <c r="O433" i="7"/>
  <c r="P433" i="7" s="1"/>
  <c r="K433" i="7"/>
  <c r="L433" i="7" s="1"/>
  <c r="O432" i="7"/>
  <c r="P432" i="7" s="1"/>
  <c r="K432" i="7"/>
  <c r="L432" i="7" s="1"/>
  <c r="O431" i="7"/>
  <c r="P431" i="7" s="1"/>
  <c r="K431" i="7"/>
  <c r="L431" i="7" s="1"/>
  <c r="O430" i="7"/>
  <c r="P430" i="7" s="1"/>
  <c r="K430" i="7"/>
  <c r="L430" i="7" s="1"/>
  <c r="O429" i="7"/>
  <c r="P429" i="7" s="1"/>
  <c r="L429" i="7"/>
  <c r="K429" i="7"/>
  <c r="O428" i="7"/>
  <c r="P428" i="7" s="1"/>
  <c r="K428" i="7"/>
  <c r="L428" i="7" s="1"/>
  <c r="O427" i="7"/>
  <c r="P427" i="7" s="1"/>
  <c r="K427" i="7"/>
  <c r="L427" i="7" s="1"/>
  <c r="O426" i="7"/>
  <c r="P426" i="7" s="1"/>
  <c r="K426" i="7"/>
  <c r="L426" i="7" s="1"/>
  <c r="O425" i="7"/>
  <c r="P425" i="7" s="1"/>
  <c r="K425" i="7"/>
  <c r="L425" i="7" s="1"/>
  <c r="O424" i="7"/>
  <c r="P424" i="7" s="1"/>
  <c r="K424" i="7"/>
  <c r="L424" i="7" s="1"/>
  <c r="O423" i="7"/>
  <c r="P423" i="7" s="1"/>
  <c r="K423" i="7"/>
  <c r="L423" i="7" s="1"/>
  <c r="O422" i="7"/>
  <c r="P422" i="7" s="1"/>
  <c r="K422" i="7"/>
  <c r="L422" i="7" s="1"/>
  <c r="O421" i="7"/>
  <c r="P421" i="7" s="1"/>
  <c r="K421" i="7"/>
  <c r="L421" i="7" s="1"/>
  <c r="O420" i="7"/>
  <c r="P420" i="7" s="1"/>
  <c r="K420" i="7"/>
  <c r="L420" i="7" s="1"/>
  <c r="O419" i="7"/>
  <c r="P419" i="7" s="1"/>
  <c r="K419" i="7"/>
  <c r="L419" i="7" s="1"/>
  <c r="O418" i="7"/>
  <c r="P418" i="7" s="1"/>
  <c r="K418" i="7"/>
  <c r="L418" i="7" s="1"/>
  <c r="O417" i="7"/>
  <c r="P417" i="7" s="1"/>
  <c r="K417" i="7"/>
  <c r="L417" i="7" s="1"/>
  <c r="O416" i="7"/>
  <c r="P416" i="7" s="1"/>
  <c r="L416" i="7"/>
  <c r="K416" i="7"/>
  <c r="O415" i="7"/>
  <c r="P415" i="7" s="1"/>
  <c r="K415" i="7"/>
  <c r="L415" i="7" s="1"/>
  <c r="O414" i="7"/>
  <c r="P414" i="7" s="1"/>
  <c r="K414" i="7"/>
  <c r="L414" i="7" s="1"/>
  <c r="O413" i="7"/>
  <c r="P413" i="7" s="1"/>
  <c r="L413" i="7"/>
  <c r="K413" i="7"/>
  <c r="O412" i="7"/>
  <c r="P412" i="7" s="1"/>
  <c r="K412" i="7"/>
  <c r="L412" i="7" s="1"/>
  <c r="O411" i="7"/>
  <c r="P411" i="7" s="1"/>
  <c r="L411" i="7"/>
  <c r="K411" i="7"/>
  <c r="O410" i="7"/>
  <c r="P410" i="7" s="1"/>
  <c r="K410" i="7"/>
  <c r="L410" i="7" s="1"/>
  <c r="P409" i="7"/>
  <c r="O409" i="7"/>
  <c r="K409" i="7"/>
  <c r="L409" i="7" s="1"/>
  <c r="O408" i="7"/>
  <c r="P408" i="7" s="1"/>
  <c r="K408" i="7"/>
  <c r="L408" i="7" s="1"/>
  <c r="O407" i="7"/>
  <c r="P407" i="7" s="1"/>
  <c r="K407" i="7"/>
  <c r="L407" i="7" s="1"/>
  <c r="O406" i="7"/>
  <c r="P406" i="7" s="1"/>
  <c r="K406" i="7"/>
  <c r="L406" i="7" s="1"/>
  <c r="O405" i="7"/>
  <c r="P405" i="7" s="1"/>
  <c r="K405" i="7"/>
  <c r="L405" i="7" s="1"/>
  <c r="O404" i="7"/>
  <c r="P404" i="7" s="1"/>
  <c r="K404" i="7"/>
  <c r="L404" i="7" s="1"/>
  <c r="O403" i="7"/>
  <c r="P403" i="7" s="1"/>
  <c r="L403" i="7"/>
  <c r="K403" i="7"/>
  <c r="O402" i="7"/>
  <c r="P402" i="7" s="1"/>
  <c r="K402" i="7"/>
  <c r="L402" i="7" s="1"/>
  <c r="O401" i="7"/>
  <c r="P401" i="7" s="1"/>
  <c r="K401" i="7"/>
  <c r="L401" i="7" s="1"/>
  <c r="O400" i="7"/>
  <c r="P400" i="7" s="1"/>
  <c r="K400" i="7"/>
  <c r="L400" i="7" s="1"/>
  <c r="O397" i="7"/>
  <c r="P397" i="7" s="1"/>
  <c r="K397" i="7"/>
  <c r="L397" i="7" s="1"/>
  <c r="O396" i="7"/>
  <c r="P396" i="7" s="1"/>
  <c r="K396" i="7"/>
  <c r="L396" i="7" s="1"/>
  <c r="O395" i="7"/>
  <c r="P395" i="7" s="1"/>
  <c r="K395" i="7"/>
  <c r="L395" i="7" s="1"/>
  <c r="O394" i="7"/>
  <c r="P394" i="7" s="1"/>
  <c r="K394" i="7"/>
  <c r="L394" i="7" s="1"/>
  <c r="O393" i="7"/>
  <c r="P393" i="7" s="1"/>
  <c r="L393" i="7"/>
  <c r="K393" i="7"/>
  <c r="O392" i="7"/>
  <c r="P392" i="7" s="1"/>
  <c r="K392" i="7"/>
  <c r="L392" i="7" s="1"/>
  <c r="O391" i="7"/>
  <c r="P391" i="7" s="1"/>
  <c r="K391" i="7"/>
  <c r="L391" i="7" s="1"/>
  <c r="O390" i="7"/>
  <c r="P390" i="7" s="1"/>
  <c r="K390" i="7"/>
  <c r="L390" i="7" s="1"/>
  <c r="O389" i="7"/>
  <c r="P389" i="7" s="1"/>
  <c r="K389" i="7"/>
  <c r="L389" i="7" s="1"/>
  <c r="O388" i="7"/>
  <c r="P388" i="7" s="1"/>
  <c r="K388" i="7"/>
  <c r="L388" i="7" s="1"/>
  <c r="O387" i="7"/>
  <c r="P387" i="7" s="1"/>
  <c r="K387" i="7"/>
  <c r="L387" i="7" s="1"/>
  <c r="O386" i="7"/>
  <c r="P386" i="7" s="1"/>
  <c r="K386" i="7"/>
  <c r="L386" i="7" s="1"/>
  <c r="O385" i="7"/>
  <c r="P385" i="7" s="1"/>
  <c r="K385" i="7"/>
  <c r="L385" i="7" s="1"/>
  <c r="O384" i="7"/>
  <c r="P384" i="7" s="1"/>
  <c r="K384" i="7"/>
  <c r="L384" i="7" s="1"/>
  <c r="O383" i="7"/>
  <c r="P383" i="7" s="1"/>
  <c r="K383" i="7"/>
  <c r="L383" i="7" s="1"/>
  <c r="O382" i="7"/>
  <c r="P382" i="7" s="1"/>
  <c r="K382" i="7"/>
  <c r="L382" i="7" s="1"/>
  <c r="O381" i="7"/>
  <c r="P381" i="7" s="1"/>
  <c r="K381" i="7"/>
  <c r="L381" i="7" s="1"/>
  <c r="O380" i="7"/>
  <c r="P380" i="7" s="1"/>
  <c r="K380" i="7"/>
  <c r="L380" i="7" s="1"/>
  <c r="O379" i="7"/>
  <c r="P379" i="7" s="1"/>
  <c r="K379" i="7"/>
  <c r="L379" i="7" s="1"/>
  <c r="O378" i="7"/>
  <c r="P378" i="7" s="1"/>
  <c r="K378" i="7"/>
  <c r="L378" i="7" s="1"/>
  <c r="O377" i="7"/>
  <c r="P377" i="7" s="1"/>
  <c r="K377" i="7"/>
  <c r="L377" i="7" s="1"/>
  <c r="O376" i="7"/>
  <c r="P376" i="7" s="1"/>
  <c r="K376" i="7"/>
  <c r="L376" i="7" s="1"/>
  <c r="O375" i="7"/>
  <c r="P375" i="7" s="1"/>
  <c r="K375" i="7"/>
  <c r="L375" i="7" s="1"/>
  <c r="O374" i="7"/>
  <c r="P374" i="7" s="1"/>
  <c r="K374" i="7"/>
  <c r="L374" i="7" s="1"/>
  <c r="O373" i="7"/>
  <c r="P373" i="7" s="1"/>
  <c r="K373" i="7"/>
  <c r="L373" i="7" s="1"/>
  <c r="O372" i="7"/>
  <c r="P372" i="7" s="1"/>
  <c r="K372" i="7"/>
  <c r="L372" i="7" s="1"/>
  <c r="O371" i="7"/>
  <c r="P371" i="7" s="1"/>
  <c r="K371" i="7"/>
  <c r="L371" i="7" s="1"/>
  <c r="O370" i="7"/>
  <c r="P370" i="7" s="1"/>
  <c r="K370" i="7"/>
  <c r="L370" i="7" s="1"/>
  <c r="O369" i="7"/>
  <c r="P369" i="7" s="1"/>
  <c r="K369" i="7"/>
  <c r="L369" i="7" s="1"/>
  <c r="O368" i="7"/>
  <c r="P368" i="7" s="1"/>
  <c r="K368" i="7"/>
  <c r="L368" i="7" s="1"/>
  <c r="O367" i="7"/>
  <c r="P367" i="7" s="1"/>
  <c r="K367" i="7"/>
  <c r="L367" i="7" s="1"/>
  <c r="O366" i="7"/>
  <c r="P366" i="7" s="1"/>
  <c r="K366" i="7"/>
  <c r="L366" i="7" s="1"/>
  <c r="O365" i="7"/>
  <c r="P365" i="7" s="1"/>
  <c r="K365" i="7"/>
  <c r="L365" i="7" s="1"/>
  <c r="O364" i="7"/>
  <c r="P364" i="7" s="1"/>
  <c r="K364" i="7"/>
  <c r="L364" i="7" s="1"/>
  <c r="O361" i="7"/>
  <c r="P361" i="7" s="1"/>
  <c r="K361" i="7"/>
  <c r="L361" i="7" s="1"/>
  <c r="O360" i="7"/>
  <c r="P360" i="7" s="1"/>
  <c r="K360" i="7"/>
  <c r="L360" i="7" s="1"/>
  <c r="O359" i="7"/>
  <c r="P359" i="7" s="1"/>
  <c r="K359" i="7"/>
  <c r="L359" i="7" s="1"/>
  <c r="O358" i="7"/>
  <c r="P358" i="7" s="1"/>
  <c r="K358" i="7"/>
  <c r="L358" i="7" s="1"/>
  <c r="O357" i="7"/>
  <c r="P357" i="7" s="1"/>
  <c r="L357" i="7"/>
  <c r="K357" i="7"/>
  <c r="O356" i="7"/>
  <c r="P356" i="7" s="1"/>
  <c r="K356" i="7"/>
  <c r="L356" i="7" s="1"/>
  <c r="O355" i="7"/>
  <c r="P355" i="7" s="1"/>
  <c r="K355" i="7"/>
  <c r="L355" i="7" s="1"/>
  <c r="O354" i="7"/>
  <c r="P354" i="7" s="1"/>
  <c r="K354" i="7"/>
  <c r="L354" i="7" s="1"/>
  <c r="O353" i="7"/>
  <c r="P353" i="7" s="1"/>
  <c r="K353" i="7"/>
  <c r="L353" i="7" s="1"/>
  <c r="O352" i="7"/>
  <c r="P352" i="7" s="1"/>
  <c r="K352" i="7"/>
  <c r="L352" i="7" s="1"/>
  <c r="O351" i="7"/>
  <c r="P351" i="7" s="1"/>
  <c r="K351" i="7"/>
  <c r="L351" i="7" s="1"/>
  <c r="O350" i="7"/>
  <c r="P350" i="7" s="1"/>
  <c r="K350" i="7"/>
  <c r="L350" i="7" s="1"/>
  <c r="O349" i="7"/>
  <c r="P349" i="7" s="1"/>
  <c r="K349" i="7"/>
  <c r="L349" i="7" s="1"/>
  <c r="O348" i="7"/>
  <c r="P348" i="7" s="1"/>
  <c r="K348" i="7"/>
  <c r="L348" i="7" s="1"/>
  <c r="O347" i="7"/>
  <c r="P347" i="7" s="1"/>
  <c r="K347" i="7"/>
  <c r="L347" i="7" s="1"/>
  <c r="O346" i="7"/>
  <c r="P346" i="7" s="1"/>
  <c r="K346" i="7"/>
  <c r="L346" i="7" s="1"/>
  <c r="O345" i="7"/>
  <c r="P345" i="7" s="1"/>
  <c r="K345" i="7"/>
  <c r="L345" i="7" s="1"/>
  <c r="O344" i="7"/>
  <c r="P344" i="7" s="1"/>
  <c r="K344" i="7"/>
  <c r="L344" i="7" s="1"/>
  <c r="O343" i="7"/>
  <c r="P343" i="7" s="1"/>
  <c r="K343" i="7"/>
  <c r="L343" i="7" s="1"/>
  <c r="O342" i="7"/>
  <c r="P342" i="7" s="1"/>
  <c r="K342" i="7"/>
  <c r="L342" i="7" s="1"/>
  <c r="O341" i="7"/>
  <c r="P341" i="7" s="1"/>
  <c r="K341" i="7"/>
  <c r="L341" i="7" s="1"/>
  <c r="O340" i="7"/>
  <c r="P340" i="7" s="1"/>
  <c r="K340" i="7"/>
  <c r="L340" i="7" s="1"/>
  <c r="O339" i="7"/>
  <c r="P339" i="7" s="1"/>
  <c r="K339" i="7"/>
  <c r="L339" i="7" s="1"/>
  <c r="O338" i="7"/>
  <c r="P338" i="7" s="1"/>
  <c r="K338" i="7"/>
  <c r="L338" i="7" s="1"/>
  <c r="O337" i="7"/>
  <c r="P337" i="7" s="1"/>
  <c r="K337" i="7"/>
  <c r="L337" i="7" s="1"/>
  <c r="O336" i="7"/>
  <c r="P336" i="7" s="1"/>
  <c r="K336" i="7"/>
  <c r="L336" i="7" s="1"/>
  <c r="O335" i="7"/>
  <c r="P335" i="7" s="1"/>
  <c r="K335" i="7"/>
  <c r="L335" i="7" s="1"/>
  <c r="O334" i="7"/>
  <c r="P334" i="7" s="1"/>
  <c r="K334" i="7"/>
  <c r="L334" i="7" s="1"/>
  <c r="O333" i="7"/>
  <c r="P333" i="7" s="1"/>
  <c r="K333" i="7"/>
  <c r="L333" i="7" s="1"/>
  <c r="O332" i="7"/>
  <c r="P332" i="7" s="1"/>
  <c r="K332" i="7"/>
  <c r="L332" i="7" s="1"/>
  <c r="O331" i="7"/>
  <c r="P331" i="7" s="1"/>
  <c r="K331" i="7"/>
  <c r="L331" i="7" s="1"/>
  <c r="O330" i="7"/>
  <c r="P330" i="7" s="1"/>
  <c r="K330" i="7"/>
  <c r="L330" i="7" s="1"/>
  <c r="O329" i="7"/>
  <c r="P329" i="7" s="1"/>
  <c r="K329" i="7"/>
  <c r="L329" i="7" s="1"/>
  <c r="O328" i="7"/>
  <c r="P328" i="7" s="1"/>
  <c r="K328" i="7"/>
  <c r="L328" i="7" s="1"/>
  <c r="O325" i="7"/>
  <c r="P325" i="7" s="1"/>
  <c r="K325" i="7"/>
  <c r="L325" i="7" s="1"/>
  <c r="O324" i="7"/>
  <c r="P324" i="7" s="1"/>
  <c r="K324" i="7"/>
  <c r="L324" i="7" s="1"/>
  <c r="O323" i="7"/>
  <c r="P323" i="7" s="1"/>
  <c r="K323" i="7"/>
  <c r="L323" i="7" s="1"/>
  <c r="O322" i="7"/>
  <c r="P322" i="7" s="1"/>
  <c r="K322" i="7"/>
  <c r="L322" i="7" s="1"/>
  <c r="O321" i="7"/>
  <c r="P321" i="7" s="1"/>
  <c r="K321" i="7"/>
  <c r="L321" i="7" s="1"/>
  <c r="O320" i="7"/>
  <c r="P320" i="7" s="1"/>
  <c r="K320" i="7"/>
  <c r="L320" i="7" s="1"/>
  <c r="O319" i="7"/>
  <c r="P319" i="7" s="1"/>
  <c r="K319" i="7"/>
  <c r="L319" i="7" s="1"/>
  <c r="O318" i="7"/>
  <c r="P318" i="7" s="1"/>
  <c r="K318" i="7"/>
  <c r="L318" i="7" s="1"/>
  <c r="O317" i="7"/>
  <c r="P317" i="7" s="1"/>
  <c r="K317" i="7"/>
  <c r="L317" i="7" s="1"/>
  <c r="O316" i="7"/>
  <c r="P316" i="7" s="1"/>
  <c r="K316" i="7"/>
  <c r="L316" i="7" s="1"/>
  <c r="O315" i="7"/>
  <c r="P315" i="7" s="1"/>
  <c r="K315" i="7"/>
  <c r="L315" i="7" s="1"/>
  <c r="O314" i="7"/>
  <c r="P314" i="7" s="1"/>
  <c r="K314" i="7"/>
  <c r="L314" i="7" s="1"/>
  <c r="M314" i="7" s="1"/>
  <c r="N314" i="7" s="1"/>
  <c r="S314" i="7" s="1"/>
  <c r="O313" i="7"/>
  <c r="P313" i="7" s="1"/>
  <c r="K313" i="7"/>
  <c r="L313" i="7" s="1"/>
  <c r="O312" i="7"/>
  <c r="P312" i="7" s="1"/>
  <c r="K312" i="7"/>
  <c r="L312" i="7" s="1"/>
  <c r="O311" i="7"/>
  <c r="P311" i="7" s="1"/>
  <c r="K311" i="7"/>
  <c r="L311" i="7" s="1"/>
  <c r="O310" i="7"/>
  <c r="P310" i="7" s="1"/>
  <c r="K310" i="7"/>
  <c r="L310" i="7" s="1"/>
  <c r="O309" i="7"/>
  <c r="P309" i="7" s="1"/>
  <c r="K309" i="7"/>
  <c r="L309" i="7" s="1"/>
  <c r="O308" i="7"/>
  <c r="P308" i="7" s="1"/>
  <c r="K308" i="7"/>
  <c r="L308" i="7" s="1"/>
  <c r="O307" i="7"/>
  <c r="P307" i="7" s="1"/>
  <c r="K307" i="7"/>
  <c r="L307" i="7" s="1"/>
  <c r="O306" i="7"/>
  <c r="P306" i="7" s="1"/>
  <c r="K306" i="7"/>
  <c r="L306" i="7" s="1"/>
  <c r="O305" i="7"/>
  <c r="P305" i="7" s="1"/>
  <c r="K305" i="7"/>
  <c r="L305" i="7" s="1"/>
  <c r="O304" i="7"/>
  <c r="P304" i="7" s="1"/>
  <c r="K304" i="7"/>
  <c r="L304" i="7" s="1"/>
  <c r="O303" i="7"/>
  <c r="P303" i="7" s="1"/>
  <c r="K303" i="7"/>
  <c r="L303" i="7" s="1"/>
  <c r="O302" i="7"/>
  <c r="P302" i="7" s="1"/>
  <c r="K302" i="7"/>
  <c r="L302" i="7" s="1"/>
  <c r="M302" i="7" s="1"/>
  <c r="N302" i="7" s="1"/>
  <c r="S302" i="7" s="1"/>
  <c r="O301" i="7"/>
  <c r="P301" i="7" s="1"/>
  <c r="K301" i="7"/>
  <c r="L301" i="7" s="1"/>
  <c r="O300" i="7"/>
  <c r="P300" i="7" s="1"/>
  <c r="K300" i="7"/>
  <c r="L300" i="7" s="1"/>
  <c r="O299" i="7"/>
  <c r="P299" i="7" s="1"/>
  <c r="K299" i="7"/>
  <c r="L299" i="7" s="1"/>
  <c r="O298" i="7"/>
  <c r="P298" i="7" s="1"/>
  <c r="K298" i="7"/>
  <c r="L298" i="7" s="1"/>
  <c r="O297" i="7"/>
  <c r="P297" i="7" s="1"/>
  <c r="K297" i="7"/>
  <c r="L297" i="7" s="1"/>
  <c r="O296" i="7"/>
  <c r="P296" i="7" s="1"/>
  <c r="K296" i="7"/>
  <c r="L296" i="7" s="1"/>
  <c r="O295" i="7"/>
  <c r="P295" i="7" s="1"/>
  <c r="K295" i="7"/>
  <c r="L295" i="7" s="1"/>
  <c r="O294" i="7"/>
  <c r="P294" i="7" s="1"/>
  <c r="K294" i="7"/>
  <c r="L294" i="7" s="1"/>
  <c r="O293" i="7"/>
  <c r="P293" i="7" s="1"/>
  <c r="K293" i="7"/>
  <c r="L293" i="7" s="1"/>
  <c r="O292" i="7"/>
  <c r="P292" i="7" s="1"/>
  <c r="K292" i="7"/>
  <c r="L292" i="7" s="1"/>
  <c r="O289" i="7"/>
  <c r="P289" i="7" s="1"/>
  <c r="K289" i="7"/>
  <c r="L289" i="7" s="1"/>
  <c r="O288" i="7"/>
  <c r="P288" i="7" s="1"/>
  <c r="K288" i="7"/>
  <c r="L288" i="7" s="1"/>
  <c r="O287" i="7"/>
  <c r="P287" i="7" s="1"/>
  <c r="K287" i="7"/>
  <c r="L287" i="7" s="1"/>
  <c r="O286" i="7"/>
  <c r="P286" i="7" s="1"/>
  <c r="K286" i="7"/>
  <c r="L286" i="7" s="1"/>
  <c r="O285" i="7"/>
  <c r="P285" i="7" s="1"/>
  <c r="K285" i="7"/>
  <c r="L285" i="7" s="1"/>
  <c r="O284" i="7"/>
  <c r="P284" i="7" s="1"/>
  <c r="K284" i="7"/>
  <c r="L284" i="7" s="1"/>
  <c r="O283" i="7"/>
  <c r="P283" i="7" s="1"/>
  <c r="K283" i="7"/>
  <c r="L283" i="7" s="1"/>
  <c r="O282" i="7"/>
  <c r="P282" i="7" s="1"/>
  <c r="K282" i="7"/>
  <c r="L282" i="7" s="1"/>
  <c r="O281" i="7"/>
  <c r="P281" i="7" s="1"/>
  <c r="K281" i="7"/>
  <c r="L281" i="7" s="1"/>
  <c r="O280" i="7"/>
  <c r="P280" i="7" s="1"/>
  <c r="K280" i="7"/>
  <c r="L280" i="7" s="1"/>
  <c r="O279" i="7"/>
  <c r="P279" i="7" s="1"/>
  <c r="K279" i="7"/>
  <c r="L279" i="7" s="1"/>
  <c r="O278" i="7"/>
  <c r="P278" i="7" s="1"/>
  <c r="K278" i="7"/>
  <c r="L278" i="7" s="1"/>
  <c r="M278" i="7" s="1"/>
  <c r="N278" i="7" s="1"/>
  <c r="S278" i="7" s="1"/>
  <c r="O277" i="7"/>
  <c r="P277" i="7" s="1"/>
  <c r="K277" i="7"/>
  <c r="L277" i="7" s="1"/>
  <c r="O276" i="7"/>
  <c r="P276" i="7" s="1"/>
  <c r="K276" i="7"/>
  <c r="L276" i="7" s="1"/>
  <c r="O275" i="7"/>
  <c r="P275" i="7" s="1"/>
  <c r="K275" i="7"/>
  <c r="L275" i="7" s="1"/>
  <c r="O274" i="7"/>
  <c r="P274" i="7" s="1"/>
  <c r="K274" i="7"/>
  <c r="L274" i="7" s="1"/>
  <c r="O273" i="7"/>
  <c r="P273" i="7" s="1"/>
  <c r="K273" i="7"/>
  <c r="L273" i="7" s="1"/>
  <c r="O272" i="7"/>
  <c r="P272" i="7" s="1"/>
  <c r="K272" i="7"/>
  <c r="L272" i="7" s="1"/>
  <c r="M272" i="7" s="1"/>
  <c r="N272" i="7" s="1"/>
  <c r="S272" i="7" s="1"/>
  <c r="O271" i="7"/>
  <c r="P271" i="7" s="1"/>
  <c r="K271" i="7"/>
  <c r="L271" i="7" s="1"/>
  <c r="O270" i="7"/>
  <c r="P270" i="7" s="1"/>
  <c r="K270" i="7"/>
  <c r="L270" i="7" s="1"/>
  <c r="O269" i="7"/>
  <c r="P269" i="7" s="1"/>
  <c r="K269" i="7"/>
  <c r="L269" i="7" s="1"/>
  <c r="O268" i="7"/>
  <c r="P268" i="7" s="1"/>
  <c r="K268" i="7"/>
  <c r="L268" i="7" s="1"/>
  <c r="O267" i="7"/>
  <c r="P267" i="7" s="1"/>
  <c r="K267" i="7"/>
  <c r="L267" i="7" s="1"/>
  <c r="O266" i="7"/>
  <c r="P266" i="7" s="1"/>
  <c r="K266" i="7"/>
  <c r="L266" i="7" s="1"/>
  <c r="O265" i="7"/>
  <c r="P265" i="7" s="1"/>
  <c r="K265" i="7"/>
  <c r="L265" i="7" s="1"/>
  <c r="O264" i="7"/>
  <c r="P264" i="7" s="1"/>
  <c r="K264" i="7"/>
  <c r="L264" i="7" s="1"/>
  <c r="O263" i="7"/>
  <c r="P263" i="7" s="1"/>
  <c r="K263" i="7"/>
  <c r="L263" i="7" s="1"/>
  <c r="O262" i="7"/>
  <c r="P262" i="7" s="1"/>
  <c r="K262" i="7"/>
  <c r="L262" i="7" s="1"/>
  <c r="O261" i="7"/>
  <c r="P261" i="7" s="1"/>
  <c r="K261" i="7"/>
  <c r="L261" i="7" s="1"/>
  <c r="O260" i="7"/>
  <c r="P260" i="7" s="1"/>
  <c r="K260" i="7"/>
  <c r="L260" i="7" s="1"/>
  <c r="M260" i="7" s="1"/>
  <c r="N260" i="7" s="1"/>
  <c r="S260" i="7" s="1"/>
  <c r="O259" i="7"/>
  <c r="P259" i="7" s="1"/>
  <c r="K259" i="7"/>
  <c r="L259" i="7" s="1"/>
  <c r="O258" i="7"/>
  <c r="P258" i="7" s="1"/>
  <c r="K258" i="7"/>
  <c r="L258" i="7" s="1"/>
  <c r="O257" i="7"/>
  <c r="P257" i="7" s="1"/>
  <c r="K257" i="7"/>
  <c r="L257" i="7" s="1"/>
  <c r="O256" i="7"/>
  <c r="P256" i="7" s="1"/>
  <c r="K256" i="7"/>
  <c r="L256" i="7" s="1"/>
  <c r="M256" i="7" s="1"/>
  <c r="N256" i="7" s="1"/>
  <c r="S256" i="7" s="1"/>
  <c r="O253" i="7"/>
  <c r="P253" i="7" s="1"/>
  <c r="K253" i="7"/>
  <c r="L253" i="7" s="1"/>
  <c r="O252" i="7"/>
  <c r="P252" i="7" s="1"/>
  <c r="K252" i="7"/>
  <c r="L252" i="7" s="1"/>
  <c r="O251" i="7"/>
  <c r="P251" i="7" s="1"/>
  <c r="K251" i="7"/>
  <c r="L251" i="7" s="1"/>
  <c r="O250" i="7"/>
  <c r="P250" i="7" s="1"/>
  <c r="K250" i="7"/>
  <c r="L250" i="7" s="1"/>
  <c r="O249" i="7"/>
  <c r="P249" i="7" s="1"/>
  <c r="K249" i="7"/>
  <c r="L249" i="7" s="1"/>
  <c r="O248" i="7"/>
  <c r="P248" i="7" s="1"/>
  <c r="K248" i="7"/>
  <c r="L248" i="7" s="1"/>
  <c r="O247" i="7"/>
  <c r="P247" i="7" s="1"/>
  <c r="K247" i="7"/>
  <c r="L247" i="7" s="1"/>
  <c r="O246" i="7"/>
  <c r="P246" i="7" s="1"/>
  <c r="K246" i="7"/>
  <c r="L246" i="7" s="1"/>
  <c r="O245" i="7"/>
  <c r="P245" i="7" s="1"/>
  <c r="K245" i="7"/>
  <c r="L245" i="7" s="1"/>
  <c r="O244" i="7"/>
  <c r="P244" i="7" s="1"/>
  <c r="K244" i="7"/>
  <c r="L244" i="7" s="1"/>
  <c r="O243" i="7"/>
  <c r="P243" i="7" s="1"/>
  <c r="K243" i="7"/>
  <c r="L243" i="7" s="1"/>
  <c r="O242" i="7"/>
  <c r="P242" i="7" s="1"/>
  <c r="K242" i="7"/>
  <c r="L242" i="7" s="1"/>
  <c r="M242" i="7" s="1"/>
  <c r="N242" i="7" s="1"/>
  <c r="S242" i="7" s="1"/>
  <c r="O241" i="7"/>
  <c r="P241" i="7" s="1"/>
  <c r="K241" i="7"/>
  <c r="L241" i="7" s="1"/>
  <c r="O240" i="7"/>
  <c r="P240" i="7" s="1"/>
  <c r="L240" i="7"/>
  <c r="K240" i="7"/>
  <c r="O239" i="7"/>
  <c r="P239" i="7" s="1"/>
  <c r="K239" i="7"/>
  <c r="L239" i="7" s="1"/>
  <c r="O238" i="7"/>
  <c r="P238" i="7" s="1"/>
  <c r="K238" i="7"/>
  <c r="L238" i="7" s="1"/>
  <c r="O237" i="7"/>
  <c r="P237" i="7" s="1"/>
  <c r="K237" i="7"/>
  <c r="L237" i="7" s="1"/>
  <c r="O236" i="7"/>
  <c r="P236" i="7" s="1"/>
  <c r="K236" i="7"/>
  <c r="L236" i="7" s="1"/>
  <c r="O235" i="7"/>
  <c r="P235" i="7" s="1"/>
  <c r="K235" i="7"/>
  <c r="L235" i="7" s="1"/>
  <c r="O234" i="7"/>
  <c r="P234" i="7" s="1"/>
  <c r="K234" i="7"/>
  <c r="L234" i="7" s="1"/>
  <c r="O233" i="7"/>
  <c r="P233" i="7" s="1"/>
  <c r="K233" i="7"/>
  <c r="L233" i="7" s="1"/>
  <c r="P232" i="7"/>
  <c r="O232" i="7"/>
  <c r="K232" i="7"/>
  <c r="L232" i="7" s="1"/>
  <c r="O231" i="7"/>
  <c r="P231" i="7" s="1"/>
  <c r="K231" i="7"/>
  <c r="L231" i="7" s="1"/>
  <c r="O230" i="7"/>
  <c r="P230" i="7" s="1"/>
  <c r="K230" i="7"/>
  <c r="L230" i="7" s="1"/>
  <c r="O229" i="7"/>
  <c r="P229" i="7" s="1"/>
  <c r="K229" i="7"/>
  <c r="L229" i="7" s="1"/>
  <c r="O228" i="7"/>
  <c r="P228" i="7" s="1"/>
  <c r="K228" i="7"/>
  <c r="L228" i="7" s="1"/>
  <c r="O227" i="7"/>
  <c r="P227" i="7" s="1"/>
  <c r="L227" i="7"/>
  <c r="K227" i="7"/>
  <c r="O226" i="7"/>
  <c r="P226" i="7" s="1"/>
  <c r="K226" i="7"/>
  <c r="L226" i="7" s="1"/>
  <c r="O225" i="7"/>
  <c r="P225" i="7" s="1"/>
  <c r="K225" i="7"/>
  <c r="L225" i="7" s="1"/>
  <c r="O224" i="7"/>
  <c r="P224" i="7" s="1"/>
  <c r="K224" i="7"/>
  <c r="L224" i="7" s="1"/>
  <c r="O223" i="7"/>
  <c r="P223" i="7" s="1"/>
  <c r="K223" i="7"/>
  <c r="L223" i="7" s="1"/>
  <c r="O222" i="7"/>
  <c r="P222" i="7" s="1"/>
  <c r="K222" i="7"/>
  <c r="L222" i="7" s="1"/>
  <c r="O221" i="7"/>
  <c r="P221" i="7" s="1"/>
  <c r="K221" i="7"/>
  <c r="L221" i="7" s="1"/>
  <c r="O220" i="7"/>
  <c r="P220" i="7" s="1"/>
  <c r="K220" i="7"/>
  <c r="L220" i="7" s="1"/>
  <c r="O217" i="7"/>
  <c r="P217" i="7" s="1"/>
  <c r="K217" i="7"/>
  <c r="L217" i="7" s="1"/>
  <c r="O216" i="7"/>
  <c r="P216" i="7" s="1"/>
  <c r="K216" i="7"/>
  <c r="L216" i="7" s="1"/>
  <c r="O215" i="7"/>
  <c r="P215" i="7" s="1"/>
  <c r="K215" i="7"/>
  <c r="L215" i="7" s="1"/>
  <c r="O214" i="7"/>
  <c r="P214" i="7" s="1"/>
  <c r="K214" i="7"/>
  <c r="L214" i="7" s="1"/>
  <c r="O213" i="7"/>
  <c r="P213" i="7" s="1"/>
  <c r="K213" i="7"/>
  <c r="L213" i="7" s="1"/>
  <c r="O212" i="7"/>
  <c r="P212" i="7" s="1"/>
  <c r="K212" i="7"/>
  <c r="L212" i="7" s="1"/>
  <c r="O211" i="7"/>
  <c r="P211" i="7" s="1"/>
  <c r="K211" i="7"/>
  <c r="L211" i="7" s="1"/>
  <c r="O210" i="7"/>
  <c r="P210" i="7" s="1"/>
  <c r="K210" i="7"/>
  <c r="L210" i="7" s="1"/>
  <c r="O209" i="7"/>
  <c r="P209" i="7" s="1"/>
  <c r="K209" i="7"/>
  <c r="L209" i="7" s="1"/>
  <c r="O208" i="7"/>
  <c r="P208" i="7" s="1"/>
  <c r="K208" i="7"/>
  <c r="L208" i="7" s="1"/>
  <c r="O207" i="7"/>
  <c r="P207" i="7" s="1"/>
  <c r="K207" i="7"/>
  <c r="L207" i="7" s="1"/>
  <c r="O206" i="7"/>
  <c r="P206" i="7" s="1"/>
  <c r="K206" i="7"/>
  <c r="L206" i="7" s="1"/>
  <c r="O205" i="7"/>
  <c r="P205" i="7" s="1"/>
  <c r="K205" i="7"/>
  <c r="L205" i="7" s="1"/>
  <c r="O204" i="7"/>
  <c r="P204" i="7" s="1"/>
  <c r="K204" i="7"/>
  <c r="L204" i="7" s="1"/>
  <c r="O203" i="7"/>
  <c r="P203" i="7" s="1"/>
  <c r="K203" i="7"/>
  <c r="L203" i="7" s="1"/>
  <c r="O202" i="7"/>
  <c r="P202" i="7" s="1"/>
  <c r="K202" i="7"/>
  <c r="L202" i="7" s="1"/>
  <c r="O201" i="7"/>
  <c r="P201" i="7" s="1"/>
  <c r="K201" i="7"/>
  <c r="L201" i="7" s="1"/>
  <c r="P200" i="7"/>
  <c r="O200" i="7"/>
  <c r="K200" i="7"/>
  <c r="L200" i="7" s="1"/>
  <c r="O199" i="7"/>
  <c r="P199" i="7" s="1"/>
  <c r="K199" i="7"/>
  <c r="L199" i="7" s="1"/>
  <c r="O198" i="7"/>
  <c r="P198" i="7" s="1"/>
  <c r="K198" i="7"/>
  <c r="L198" i="7" s="1"/>
  <c r="O197" i="7"/>
  <c r="P197" i="7" s="1"/>
  <c r="L197" i="7"/>
  <c r="K197" i="7"/>
  <c r="O196" i="7"/>
  <c r="P196" i="7" s="1"/>
  <c r="K196" i="7"/>
  <c r="L196" i="7" s="1"/>
  <c r="O195" i="7"/>
  <c r="P195" i="7" s="1"/>
  <c r="K195" i="7"/>
  <c r="L195" i="7" s="1"/>
  <c r="O194" i="7"/>
  <c r="P194" i="7" s="1"/>
  <c r="K194" i="7"/>
  <c r="L194" i="7" s="1"/>
  <c r="P193" i="7"/>
  <c r="O193" i="7"/>
  <c r="K193" i="7"/>
  <c r="L193" i="7" s="1"/>
  <c r="O192" i="7"/>
  <c r="P192" i="7" s="1"/>
  <c r="K192" i="7"/>
  <c r="L192" i="7" s="1"/>
  <c r="O191" i="7"/>
  <c r="P191" i="7" s="1"/>
  <c r="K191" i="7"/>
  <c r="L191" i="7" s="1"/>
  <c r="O190" i="7"/>
  <c r="P190" i="7" s="1"/>
  <c r="K190" i="7"/>
  <c r="L190" i="7" s="1"/>
  <c r="O189" i="7"/>
  <c r="P189" i="7" s="1"/>
  <c r="K189" i="7"/>
  <c r="L189" i="7" s="1"/>
  <c r="O188" i="7"/>
  <c r="P188" i="7" s="1"/>
  <c r="K188" i="7"/>
  <c r="L188" i="7" s="1"/>
  <c r="M188" i="7" s="1"/>
  <c r="N188" i="7" s="1"/>
  <c r="S188" i="7" s="1"/>
  <c r="O187" i="7"/>
  <c r="P187" i="7" s="1"/>
  <c r="K187" i="7"/>
  <c r="L187" i="7" s="1"/>
  <c r="O186" i="7"/>
  <c r="P186" i="7" s="1"/>
  <c r="K186" i="7"/>
  <c r="L186" i="7" s="1"/>
  <c r="O185" i="7"/>
  <c r="P185" i="7" s="1"/>
  <c r="K185" i="7"/>
  <c r="L185" i="7" s="1"/>
  <c r="O184" i="7"/>
  <c r="P184" i="7" s="1"/>
  <c r="K184" i="7"/>
  <c r="L184" i="7" s="1"/>
  <c r="O181" i="7"/>
  <c r="P181" i="7" s="1"/>
  <c r="K181" i="7"/>
  <c r="L181" i="7" s="1"/>
  <c r="O180" i="7"/>
  <c r="P180" i="7" s="1"/>
  <c r="K180" i="7"/>
  <c r="L180" i="7" s="1"/>
  <c r="O179" i="7"/>
  <c r="P179" i="7" s="1"/>
  <c r="K179" i="7"/>
  <c r="L179" i="7" s="1"/>
  <c r="O178" i="7"/>
  <c r="P178" i="7" s="1"/>
  <c r="K178" i="7"/>
  <c r="L178" i="7" s="1"/>
  <c r="O177" i="7"/>
  <c r="P177" i="7" s="1"/>
  <c r="K177" i="7"/>
  <c r="L177" i="7" s="1"/>
  <c r="O176" i="7"/>
  <c r="P176" i="7" s="1"/>
  <c r="K176" i="7"/>
  <c r="L176" i="7" s="1"/>
  <c r="O175" i="7"/>
  <c r="P175" i="7" s="1"/>
  <c r="K175" i="7"/>
  <c r="L175" i="7" s="1"/>
  <c r="O174" i="7"/>
  <c r="P174" i="7" s="1"/>
  <c r="K174" i="7"/>
  <c r="L174" i="7" s="1"/>
  <c r="O173" i="7"/>
  <c r="P173" i="7" s="1"/>
  <c r="K173" i="7"/>
  <c r="L173" i="7" s="1"/>
  <c r="O172" i="7"/>
  <c r="P172" i="7" s="1"/>
  <c r="K172" i="7"/>
  <c r="L172" i="7" s="1"/>
  <c r="O171" i="7"/>
  <c r="P171" i="7" s="1"/>
  <c r="K171" i="7"/>
  <c r="L171" i="7" s="1"/>
  <c r="O170" i="7"/>
  <c r="P170" i="7" s="1"/>
  <c r="K170" i="7"/>
  <c r="L170" i="7" s="1"/>
  <c r="O169" i="7"/>
  <c r="P169" i="7" s="1"/>
  <c r="K169" i="7"/>
  <c r="L169" i="7" s="1"/>
  <c r="O168" i="7"/>
  <c r="P168" i="7" s="1"/>
  <c r="K168" i="7"/>
  <c r="L168" i="7" s="1"/>
  <c r="O167" i="7"/>
  <c r="P167" i="7" s="1"/>
  <c r="K167" i="7"/>
  <c r="L167" i="7" s="1"/>
  <c r="O166" i="7"/>
  <c r="P166" i="7" s="1"/>
  <c r="K166" i="7"/>
  <c r="L166" i="7" s="1"/>
  <c r="O165" i="7"/>
  <c r="P165" i="7" s="1"/>
  <c r="K165" i="7"/>
  <c r="L165" i="7" s="1"/>
  <c r="O164" i="7"/>
  <c r="P164" i="7" s="1"/>
  <c r="Q164" i="7" s="1"/>
  <c r="R164" i="7" s="1"/>
  <c r="L164" i="7"/>
  <c r="K164" i="7"/>
  <c r="O163" i="7"/>
  <c r="P163" i="7" s="1"/>
  <c r="K163" i="7"/>
  <c r="L163" i="7" s="1"/>
  <c r="O162" i="7"/>
  <c r="P162" i="7" s="1"/>
  <c r="K162" i="7"/>
  <c r="L162" i="7" s="1"/>
  <c r="O161" i="7"/>
  <c r="P161" i="7" s="1"/>
  <c r="L161" i="7"/>
  <c r="K161" i="7"/>
  <c r="O160" i="7"/>
  <c r="P160" i="7" s="1"/>
  <c r="K160" i="7"/>
  <c r="L160" i="7" s="1"/>
  <c r="O159" i="7"/>
  <c r="P159" i="7" s="1"/>
  <c r="K159" i="7"/>
  <c r="L159" i="7" s="1"/>
  <c r="O158" i="7"/>
  <c r="P158" i="7" s="1"/>
  <c r="K158" i="7"/>
  <c r="L158" i="7" s="1"/>
  <c r="O157" i="7"/>
  <c r="P157" i="7" s="1"/>
  <c r="K157" i="7"/>
  <c r="L157" i="7" s="1"/>
  <c r="O156" i="7"/>
  <c r="P156" i="7" s="1"/>
  <c r="K156" i="7"/>
  <c r="L156" i="7" s="1"/>
  <c r="O155" i="7"/>
  <c r="P155" i="7" s="1"/>
  <c r="K155" i="7"/>
  <c r="L155" i="7" s="1"/>
  <c r="O154" i="7"/>
  <c r="P154" i="7" s="1"/>
  <c r="K154" i="7"/>
  <c r="L154" i="7" s="1"/>
  <c r="P153" i="7"/>
  <c r="O153" i="7"/>
  <c r="K153" i="7"/>
  <c r="L153" i="7" s="1"/>
  <c r="O152" i="7"/>
  <c r="P152" i="7" s="1"/>
  <c r="L152" i="7"/>
  <c r="K152" i="7"/>
  <c r="O151" i="7"/>
  <c r="P151" i="7" s="1"/>
  <c r="K151" i="7"/>
  <c r="L151" i="7" s="1"/>
  <c r="O150" i="7"/>
  <c r="P150" i="7" s="1"/>
  <c r="K150" i="7"/>
  <c r="L150" i="7" s="1"/>
  <c r="O149" i="7"/>
  <c r="P149" i="7" s="1"/>
  <c r="L149" i="7"/>
  <c r="K149" i="7"/>
  <c r="O148" i="7"/>
  <c r="P148" i="7" s="1"/>
  <c r="K148" i="7"/>
  <c r="L148" i="7" s="1"/>
  <c r="O145" i="7"/>
  <c r="P145" i="7" s="1"/>
  <c r="K145" i="7"/>
  <c r="L145" i="7" s="1"/>
  <c r="O144" i="7"/>
  <c r="P144" i="7" s="1"/>
  <c r="K144" i="7"/>
  <c r="L144" i="7" s="1"/>
  <c r="O143" i="7"/>
  <c r="P143" i="7" s="1"/>
  <c r="K143" i="7"/>
  <c r="L143" i="7" s="1"/>
  <c r="O142" i="7"/>
  <c r="P142" i="7" s="1"/>
  <c r="L142" i="7"/>
  <c r="K142" i="7"/>
  <c r="O141" i="7"/>
  <c r="P141" i="7" s="1"/>
  <c r="K141" i="7"/>
  <c r="L141" i="7" s="1"/>
  <c r="O140" i="7"/>
  <c r="P140" i="7" s="1"/>
  <c r="K140" i="7"/>
  <c r="L140" i="7" s="1"/>
  <c r="O139" i="7"/>
  <c r="P139" i="7" s="1"/>
  <c r="K139" i="7"/>
  <c r="L139" i="7" s="1"/>
  <c r="O138" i="7"/>
  <c r="P138" i="7" s="1"/>
  <c r="K138" i="7"/>
  <c r="L138" i="7" s="1"/>
  <c r="O137" i="7"/>
  <c r="P137" i="7" s="1"/>
  <c r="K137" i="7"/>
  <c r="L137" i="7" s="1"/>
  <c r="O136" i="7"/>
  <c r="P136" i="7" s="1"/>
  <c r="K136" i="7"/>
  <c r="L136" i="7" s="1"/>
  <c r="O135" i="7"/>
  <c r="P135" i="7" s="1"/>
  <c r="K135" i="7"/>
  <c r="L135" i="7" s="1"/>
  <c r="O134" i="7"/>
  <c r="P134" i="7" s="1"/>
  <c r="K134" i="7"/>
  <c r="L134" i="7" s="1"/>
  <c r="O133" i="7"/>
  <c r="P133" i="7" s="1"/>
  <c r="K133" i="7"/>
  <c r="L133" i="7" s="1"/>
  <c r="O132" i="7"/>
  <c r="P132" i="7" s="1"/>
  <c r="K132" i="7"/>
  <c r="L132" i="7" s="1"/>
  <c r="O131" i="7"/>
  <c r="P131" i="7" s="1"/>
  <c r="K131" i="7"/>
  <c r="L131" i="7" s="1"/>
  <c r="O130" i="7"/>
  <c r="P130" i="7" s="1"/>
  <c r="L130" i="7"/>
  <c r="K130" i="7"/>
  <c r="O129" i="7"/>
  <c r="P129" i="7" s="1"/>
  <c r="K129" i="7"/>
  <c r="L129" i="7" s="1"/>
  <c r="O128" i="7"/>
  <c r="P128" i="7" s="1"/>
  <c r="K128" i="7"/>
  <c r="L128" i="7" s="1"/>
  <c r="O127" i="7"/>
  <c r="P127" i="7" s="1"/>
  <c r="K127" i="7"/>
  <c r="L127" i="7" s="1"/>
  <c r="O126" i="7"/>
  <c r="P126" i="7" s="1"/>
  <c r="K126" i="7"/>
  <c r="L126" i="7" s="1"/>
  <c r="O125" i="7"/>
  <c r="P125" i="7" s="1"/>
  <c r="K125" i="7"/>
  <c r="L125" i="7" s="1"/>
  <c r="O124" i="7"/>
  <c r="P124" i="7" s="1"/>
  <c r="K124" i="7"/>
  <c r="L124" i="7" s="1"/>
  <c r="O123" i="7"/>
  <c r="P123" i="7" s="1"/>
  <c r="K123" i="7"/>
  <c r="L123" i="7" s="1"/>
  <c r="O122" i="7"/>
  <c r="P122" i="7" s="1"/>
  <c r="K122" i="7"/>
  <c r="L122" i="7" s="1"/>
  <c r="O121" i="7"/>
  <c r="P121" i="7" s="1"/>
  <c r="K121" i="7"/>
  <c r="L121" i="7" s="1"/>
  <c r="O120" i="7"/>
  <c r="P120" i="7" s="1"/>
  <c r="L120" i="7"/>
  <c r="K120" i="7"/>
  <c r="O119" i="7"/>
  <c r="P119" i="7" s="1"/>
  <c r="K119" i="7"/>
  <c r="L119" i="7" s="1"/>
  <c r="O118" i="7"/>
  <c r="P118" i="7" s="1"/>
  <c r="K118" i="7"/>
  <c r="L118" i="7" s="1"/>
  <c r="O117" i="7"/>
  <c r="P117" i="7" s="1"/>
  <c r="K117" i="7"/>
  <c r="L117" i="7" s="1"/>
  <c r="O116" i="7"/>
  <c r="P116" i="7" s="1"/>
  <c r="K116" i="7"/>
  <c r="L116" i="7" s="1"/>
  <c r="O115" i="7"/>
  <c r="P115" i="7" s="1"/>
  <c r="K115" i="7"/>
  <c r="L115" i="7" s="1"/>
  <c r="O114" i="7"/>
  <c r="P114" i="7" s="1"/>
  <c r="K114" i="7"/>
  <c r="L114" i="7" s="1"/>
  <c r="O113" i="7"/>
  <c r="P113" i="7" s="1"/>
  <c r="K113" i="7"/>
  <c r="L113" i="7" s="1"/>
  <c r="O112" i="7"/>
  <c r="P112" i="7" s="1"/>
  <c r="K112" i="7"/>
  <c r="L112" i="7" s="1"/>
  <c r="O109" i="7"/>
  <c r="P109" i="7" s="1"/>
  <c r="K109" i="7"/>
  <c r="L109" i="7" s="1"/>
  <c r="O108" i="7"/>
  <c r="P108" i="7" s="1"/>
  <c r="K108" i="7"/>
  <c r="L108" i="7" s="1"/>
  <c r="O107" i="7"/>
  <c r="P107" i="7" s="1"/>
  <c r="K107" i="7"/>
  <c r="L107" i="7" s="1"/>
  <c r="O106" i="7"/>
  <c r="P106" i="7" s="1"/>
  <c r="K106" i="7"/>
  <c r="L106" i="7" s="1"/>
  <c r="P105" i="7"/>
  <c r="O105" i="7"/>
  <c r="K105" i="7"/>
  <c r="L105" i="7" s="1"/>
  <c r="O104" i="7"/>
  <c r="P104" i="7" s="1"/>
  <c r="K104" i="7"/>
  <c r="L104" i="7" s="1"/>
  <c r="O103" i="7"/>
  <c r="P103" i="7" s="1"/>
  <c r="K103" i="7"/>
  <c r="L103" i="7" s="1"/>
  <c r="O102" i="7"/>
  <c r="P102" i="7" s="1"/>
  <c r="K102" i="7"/>
  <c r="L102" i="7" s="1"/>
  <c r="O101" i="7"/>
  <c r="P101" i="7" s="1"/>
  <c r="K101" i="7"/>
  <c r="L101" i="7" s="1"/>
  <c r="O100" i="7"/>
  <c r="P100" i="7" s="1"/>
  <c r="K100" i="7"/>
  <c r="L100" i="7" s="1"/>
  <c r="O99" i="7"/>
  <c r="P99" i="7" s="1"/>
  <c r="K99" i="7"/>
  <c r="L99" i="7" s="1"/>
  <c r="O98" i="7"/>
  <c r="P98" i="7" s="1"/>
  <c r="K98" i="7"/>
  <c r="L98" i="7" s="1"/>
  <c r="O97" i="7"/>
  <c r="P97" i="7" s="1"/>
  <c r="K97" i="7"/>
  <c r="L97" i="7" s="1"/>
  <c r="O96" i="7"/>
  <c r="P96" i="7" s="1"/>
  <c r="K96" i="7"/>
  <c r="L96" i="7" s="1"/>
  <c r="O95" i="7"/>
  <c r="P95" i="7" s="1"/>
  <c r="K95" i="7"/>
  <c r="L95" i="7" s="1"/>
  <c r="P94" i="7"/>
  <c r="O94" i="7"/>
  <c r="K94" i="7"/>
  <c r="L94" i="7" s="1"/>
  <c r="O93" i="7"/>
  <c r="P93" i="7" s="1"/>
  <c r="K93" i="7"/>
  <c r="L93" i="7" s="1"/>
  <c r="O92" i="7"/>
  <c r="P92" i="7" s="1"/>
  <c r="K92" i="7"/>
  <c r="L92" i="7" s="1"/>
  <c r="O91" i="7"/>
  <c r="P91" i="7" s="1"/>
  <c r="K91" i="7"/>
  <c r="L91" i="7" s="1"/>
  <c r="O90" i="7"/>
  <c r="P90" i="7" s="1"/>
  <c r="K90" i="7"/>
  <c r="L90" i="7" s="1"/>
  <c r="O89" i="7"/>
  <c r="P89" i="7" s="1"/>
  <c r="K89" i="7"/>
  <c r="L89" i="7" s="1"/>
  <c r="O88" i="7"/>
  <c r="P88" i="7" s="1"/>
  <c r="K88" i="7"/>
  <c r="L88" i="7" s="1"/>
  <c r="O87" i="7"/>
  <c r="P87" i="7" s="1"/>
  <c r="K87" i="7"/>
  <c r="L87" i="7" s="1"/>
  <c r="O86" i="7"/>
  <c r="P86" i="7" s="1"/>
  <c r="K86" i="7"/>
  <c r="L86" i="7" s="1"/>
  <c r="P85" i="7"/>
  <c r="O85" i="7"/>
  <c r="K85" i="7"/>
  <c r="L85" i="7" s="1"/>
  <c r="O84" i="7"/>
  <c r="P84" i="7" s="1"/>
  <c r="K84" i="7"/>
  <c r="L84" i="7" s="1"/>
  <c r="O83" i="7"/>
  <c r="P83" i="7" s="1"/>
  <c r="K83" i="7"/>
  <c r="L83" i="7" s="1"/>
  <c r="O82" i="7"/>
  <c r="P82" i="7" s="1"/>
  <c r="K82" i="7"/>
  <c r="L82" i="7" s="1"/>
  <c r="O81" i="7"/>
  <c r="P81" i="7" s="1"/>
  <c r="K81" i="7"/>
  <c r="L81" i="7" s="1"/>
  <c r="O80" i="7"/>
  <c r="P80" i="7" s="1"/>
  <c r="K80" i="7"/>
  <c r="L80" i="7" s="1"/>
  <c r="O79" i="7"/>
  <c r="P79" i="7" s="1"/>
  <c r="K79" i="7"/>
  <c r="L79" i="7" s="1"/>
  <c r="O78" i="7"/>
  <c r="P78" i="7" s="1"/>
  <c r="K78" i="7"/>
  <c r="L78" i="7" s="1"/>
  <c r="P77" i="7"/>
  <c r="O77" i="7"/>
  <c r="K77" i="7"/>
  <c r="L77" i="7" s="1"/>
  <c r="O76" i="7"/>
  <c r="P76" i="7" s="1"/>
  <c r="K76" i="7"/>
  <c r="L76" i="7" s="1"/>
  <c r="O73" i="7"/>
  <c r="P73" i="7" s="1"/>
  <c r="K73" i="7"/>
  <c r="L73" i="7" s="1"/>
  <c r="O72" i="7"/>
  <c r="P72" i="7" s="1"/>
  <c r="L72" i="7"/>
  <c r="K72" i="7"/>
  <c r="O71" i="7"/>
  <c r="P71" i="7" s="1"/>
  <c r="K71" i="7"/>
  <c r="L71" i="7" s="1"/>
  <c r="O70" i="7"/>
  <c r="P70" i="7" s="1"/>
  <c r="K70" i="7"/>
  <c r="L70" i="7" s="1"/>
  <c r="O69" i="7"/>
  <c r="P69" i="7" s="1"/>
  <c r="K69" i="7"/>
  <c r="L69" i="7" s="1"/>
  <c r="O68" i="7"/>
  <c r="P68" i="7" s="1"/>
  <c r="K68" i="7"/>
  <c r="L68" i="7" s="1"/>
  <c r="O67" i="7"/>
  <c r="P67" i="7" s="1"/>
  <c r="K67" i="7"/>
  <c r="L67" i="7" s="1"/>
  <c r="O66" i="7"/>
  <c r="P66" i="7" s="1"/>
  <c r="K66" i="7"/>
  <c r="L66" i="7" s="1"/>
  <c r="O65" i="7"/>
  <c r="P65" i="7" s="1"/>
  <c r="K65" i="7"/>
  <c r="L65" i="7" s="1"/>
  <c r="O64" i="7"/>
  <c r="P64" i="7" s="1"/>
  <c r="K64" i="7"/>
  <c r="L64" i="7" s="1"/>
  <c r="O63" i="7"/>
  <c r="P63" i="7" s="1"/>
  <c r="K63" i="7"/>
  <c r="L63" i="7" s="1"/>
  <c r="O62" i="7"/>
  <c r="P62" i="7" s="1"/>
  <c r="K62" i="7"/>
  <c r="L62" i="7" s="1"/>
  <c r="O61" i="7"/>
  <c r="P61" i="7" s="1"/>
  <c r="K61" i="7"/>
  <c r="L61" i="7" s="1"/>
  <c r="O60" i="7"/>
  <c r="P60" i="7" s="1"/>
  <c r="K60" i="7"/>
  <c r="L60" i="7" s="1"/>
  <c r="O59" i="7"/>
  <c r="P59" i="7" s="1"/>
  <c r="K59" i="7"/>
  <c r="L59" i="7" s="1"/>
  <c r="O58" i="7"/>
  <c r="P58" i="7" s="1"/>
  <c r="K58" i="7"/>
  <c r="L58" i="7" s="1"/>
  <c r="O57" i="7"/>
  <c r="P57" i="7" s="1"/>
  <c r="K57" i="7"/>
  <c r="L57" i="7" s="1"/>
  <c r="O56" i="7"/>
  <c r="P56" i="7" s="1"/>
  <c r="K56" i="7"/>
  <c r="L56" i="7" s="1"/>
  <c r="O55" i="7"/>
  <c r="P55" i="7" s="1"/>
  <c r="K55" i="7"/>
  <c r="L55" i="7" s="1"/>
  <c r="O54" i="7"/>
  <c r="P54" i="7" s="1"/>
  <c r="K54" i="7"/>
  <c r="L54" i="7" s="1"/>
  <c r="O53" i="7"/>
  <c r="P53" i="7" s="1"/>
  <c r="K53" i="7"/>
  <c r="L53" i="7" s="1"/>
  <c r="O52" i="7"/>
  <c r="P52" i="7" s="1"/>
  <c r="K52" i="7"/>
  <c r="L52" i="7" s="1"/>
  <c r="O51" i="7"/>
  <c r="P51" i="7" s="1"/>
  <c r="K51" i="7"/>
  <c r="L51" i="7" s="1"/>
  <c r="O50" i="7"/>
  <c r="P50" i="7" s="1"/>
  <c r="K50" i="7"/>
  <c r="L50" i="7" s="1"/>
  <c r="O49" i="7"/>
  <c r="P49" i="7" s="1"/>
  <c r="K49" i="7"/>
  <c r="L49" i="7" s="1"/>
  <c r="O48" i="7"/>
  <c r="P48" i="7" s="1"/>
  <c r="K48" i="7"/>
  <c r="L48" i="7" s="1"/>
  <c r="O47" i="7"/>
  <c r="P47" i="7" s="1"/>
  <c r="K47" i="7"/>
  <c r="L47" i="7" s="1"/>
  <c r="O46" i="7"/>
  <c r="P46" i="7" s="1"/>
  <c r="K46" i="7"/>
  <c r="L46" i="7" s="1"/>
  <c r="O45" i="7"/>
  <c r="P45" i="7" s="1"/>
  <c r="K45" i="7"/>
  <c r="L45" i="7" s="1"/>
  <c r="O44" i="7"/>
  <c r="P44" i="7" s="1"/>
  <c r="K44" i="7"/>
  <c r="L44" i="7" s="1"/>
  <c r="O43" i="7"/>
  <c r="P43" i="7" s="1"/>
  <c r="K43" i="7"/>
  <c r="L43" i="7" s="1"/>
  <c r="O42" i="7"/>
  <c r="P42" i="7" s="1"/>
  <c r="K42" i="7"/>
  <c r="L42" i="7" s="1"/>
  <c r="O41" i="7"/>
  <c r="P41" i="7" s="1"/>
  <c r="K41" i="7"/>
  <c r="L41" i="7" s="1"/>
  <c r="O40" i="7"/>
  <c r="P40" i="7" s="1"/>
  <c r="K40" i="7"/>
  <c r="L40" i="7" s="1"/>
  <c r="M40" i="7" s="1"/>
  <c r="N40" i="7" s="1"/>
  <c r="S40" i="7" s="1"/>
  <c r="O37" i="7"/>
  <c r="P37" i="7" s="1"/>
  <c r="K37" i="7"/>
  <c r="L37" i="7" s="1"/>
  <c r="O36" i="7"/>
  <c r="P36" i="7" s="1"/>
  <c r="L36" i="7"/>
  <c r="K36" i="7"/>
  <c r="O35" i="7"/>
  <c r="P35" i="7" s="1"/>
  <c r="K35" i="7"/>
  <c r="L35" i="7" s="1"/>
  <c r="O34" i="7"/>
  <c r="P34" i="7" s="1"/>
  <c r="L34" i="7"/>
  <c r="K34" i="7"/>
  <c r="O33" i="7"/>
  <c r="P33" i="7" s="1"/>
  <c r="K33" i="7"/>
  <c r="L33" i="7" s="1"/>
  <c r="O32" i="7"/>
  <c r="P32" i="7" s="1"/>
  <c r="L32" i="7"/>
  <c r="K32" i="7"/>
  <c r="O31" i="7"/>
  <c r="P31" i="7" s="1"/>
  <c r="K31" i="7"/>
  <c r="L31" i="7" s="1"/>
  <c r="O30" i="7"/>
  <c r="P30" i="7" s="1"/>
  <c r="L30" i="7"/>
  <c r="K30" i="7"/>
  <c r="O29" i="7"/>
  <c r="P29" i="7" s="1"/>
  <c r="K29" i="7"/>
  <c r="L29" i="7" s="1"/>
  <c r="O28" i="7"/>
  <c r="P28" i="7" s="1"/>
  <c r="L28" i="7"/>
  <c r="K28" i="7"/>
  <c r="O27" i="7"/>
  <c r="P27" i="7" s="1"/>
  <c r="K27" i="7"/>
  <c r="L27" i="7" s="1"/>
  <c r="O26" i="7"/>
  <c r="P26" i="7" s="1"/>
  <c r="L26" i="7"/>
  <c r="K26" i="7"/>
  <c r="O25" i="7"/>
  <c r="P25" i="7" s="1"/>
  <c r="K25" i="7"/>
  <c r="L25" i="7" s="1"/>
  <c r="O24" i="7"/>
  <c r="P24" i="7" s="1"/>
  <c r="L24" i="7"/>
  <c r="K24" i="7"/>
  <c r="O23" i="7"/>
  <c r="P23" i="7" s="1"/>
  <c r="K23" i="7"/>
  <c r="L23" i="7" s="1"/>
  <c r="O22" i="7"/>
  <c r="P22" i="7" s="1"/>
  <c r="L22" i="7"/>
  <c r="K22" i="7"/>
  <c r="O21" i="7"/>
  <c r="P21" i="7" s="1"/>
  <c r="K21" i="7"/>
  <c r="L21" i="7" s="1"/>
  <c r="O20" i="7"/>
  <c r="P20" i="7" s="1"/>
  <c r="L20" i="7"/>
  <c r="K20" i="7"/>
  <c r="O19" i="7"/>
  <c r="P19" i="7" s="1"/>
  <c r="K19" i="7"/>
  <c r="L19" i="7" s="1"/>
  <c r="O18" i="7"/>
  <c r="P18" i="7" s="1"/>
  <c r="L18" i="7"/>
  <c r="K18" i="7"/>
  <c r="O17" i="7"/>
  <c r="P17" i="7" s="1"/>
  <c r="K17" i="7"/>
  <c r="L17" i="7" s="1"/>
  <c r="O16" i="7"/>
  <c r="P16" i="7" s="1"/>
  <c r="L16" i="7"/>
  <c r="K16" i="7"/>
  <c r="O15" i="7"/>
  <c r="P15" i="7" s="1"/>
  <c r="K15" i="7"/>
  <c r="L15" i="7" s="1"/>
  <c r="O14" i="7"/>
  <c r="P14" i="7" s="1"/>
  <c r="K14" i="7"/>
  <c r="L14" i="7" s="1"/>
  <c r="P13" i="7"/>
  <c r="O13" i="7"/>
  <c r="K13" i="7"/>
  <c r="L13" i="7" s="1"/>
  <c r="O12" i="7"/>
  <c r="P12" i="7" s="1"/>
  <c r="K12" i="7"/>
  <c r="L12" i="7" s="1"/>
  <c r="O11" i="7"/>
  <c r="P11" i="7" s="1"/>
  <c r="K11" i="7"/>
  <c r="L11" i="7" s="1"/>
  <c r="O10" i="7"/>
  <c r="P10" i="7" s="1"/>
  <c r="K10" i="7"/>
  <c r="L10" i="7" s="1"/>
  <c r="P9" i="7"/>
  <c r="O9" i="7"/>
  <c r="K9" i="7"/>
  <c r="L9" i="7" s="1"/>
  <c r="O8" i="7"/>
  <c r="P8" i="7" s="1"/>
  <c r="Q8" i="7" s="1"/>
  <c r="R8" i="7" s="1"/>
  <c r="K8" i="7"/>
  <c r="L8" i="7" s="1"/>
  <c r="O7" i="7"/>
  <c r="P7" i="7" s="1"/>
  <c r="K7" i="7"/>
  <c r="L7" i="7" s="1"/>
  <c r="O6" i="7"/>
  <c r="P6" i="7" s="1"/>
  <c r="K6" i="7"/>
  <c r="L6" i="7" s="1"/>
  <c r="P5" i="7"/>
  <c r="O5" i="7"/>
  <c r="K5" i="7"/>
  <c r="L5" i="7" s="1"/>
  <c r="O4" i="7"/>
  <c r="P4" i="7" s="1"/>
  <c r="K4" i="7"/>
  <c r="L4" i="7" s="1"/>
  <c r="O721" i="6"/>
  <c r="P721" i="6" s="1"/>
  <c r="K721" i="6"/>
  <c r="L721" i="6" s="1"/>
  <c r="O720" i="6"/>
  <c r="P720" i="6" s="1"/>
  <c r="K720" i="6"/>
  <c r="L720" i="6" s="1"/>
  <c r="O719" i="6"/>
  <c r="P719" i="6" s="1"/>
  <c r="K719" i="6"/>
  <c r="L719" i="6" s="1"/>
  <c r="O718" i="6"/>
  <c r="P718" i="6" s="1"/>
  <c r="K718" i="6"/>
  <c r="L718" i="6" s="1"/>
  <c r="O717" i="6"/>
  <c r="P717" i="6" s="1"/>
  <c r="K717" i="6"/>
  <c r="L717" i="6" s="1"/>
  <c r="O716" i="6"/>
  <c r="P716" i="6" s="1"/>
  <c r="Q716" i="6" s="1"/>
  <c r="R716" i="6" s="1"/>
  <c r="K716" i="6"/>
  <c r="L716" i="6" s="1"/>
  <c r="O715" i="6"/>
  <c r="P715" i="6" s="1"/>
  <c r="K715" i="6"/>
  <c r="L715" i="6" s="1"/>
  <c r="O714" i="6"/>
  <c r="P714" i="6" s="1"/>
  <c r="K714" i="6"/>
  <c r="L714" i="6" s="1"/>
  <c r="O713" i="6"/>
  <c r="P713" i="6" s="1"/>
  <c r="K713" i="6"/>
  <c r="L713" i="6" s="1"/>
  <c r="O712" i="6"/>
  <c r="P712" i="6" s="1"/>
  <c r="K712" i="6"/>
  <c r="L712" i="6" s="1"/>
  <c r="O711" i="6"/>
  <c r="P711" i="6" s="1"/>
  <c r="K711" i="6"/>
  <c r="L711" i="6" s="1"/>
  <c r="Q710" i="6"/>
  <c r="R710" i="6" s="1"/>
  <c r="O710" i="6"/>
  <c r="P710" i="6" s="1"/>
  <c r="K710" i="6"/>
  <c r="L710" i="6" s="1"/>
  <c r="O709" i="6"/>
  <c r="P709" i="6" s="1"/>
  <c r="K709" i="6"/>
  <c r="L709" i="6" s="1"/>
  <c r="O708" i="6"/>
  <c r="P708" i="6" s="1"/>
  <c r="K708" i="6"/>
  <c r="L708" i="6" s="1"/>
  <c r="O707" i="6"/>
  <c r="P707" i="6" s="1"/>
  <c r="K707" i="6"/>
  <c r="L707" i="6" s="1"/>
  <c r="O706" i="6"/>
  <c r="P706" i="6" s="1"/>
  <c r="K706" i="6"/>
  <c r="L706" i="6" s="1"/>
  <c r="O705" i="6"/>
  <c r="P705" i="6" s="1"/>
  <c r="K705" i="6"/>
  <c r="L705" i="6" s="1"/>
  <c r="O704" i="6"/>
  <c r="P704" i="6" s="1"/>
  <c r="K704" i="6"/>
  <c r="L704" i="6" s="1"/>
  <c r="O703" i="6"/>
  <c r="P703" i="6" s="1"/>
  <c r="K703" i="6"/>
  <c r="L703" i="6" s="1"/>
  <c r="P702" i="6"/>
  <c r="O702" i="6"/>
  <c r="K702" i="6"/>
  <c r="L702" i="6" s="1"/>
  <c r="O701" i="6"/>
  <c r="P701" i="6" s="1"/>
  <c r="K701" i="6"/>
  <c r="L701" i="6" s="1"/>
  <c r="O700" i="6"/>
  <c r="P700" i="6" s="1"/>
  <c r="K700" i="6"/>
  <c r="L700" i="6" s="1"/>
  <c r="O699" i="6"/>
  <c r="P699" i="6" s="1"/>
  <c r="K699" i="6"/>
  <c r="L699" i="6" s="1"/>
  <c r="O698" i="6"/>
  <c r="P698" i="6" s="1"/>
  <c r="K698" i="6"/>
  <c r="L698" i="6" s="1"/>
  <c r="M698" i="6" s="1"/>
  <c r="N698" i="6" s="1"/>
  <c r="S698" i="6" s="1"/>
  <c r="O697" i="6"/>
  <c r="P697" i="6" s="1"/>
  <c r="K697" i="6"/>
  <c r="L697" i="6" s="1"/>
  <c r="O696" i="6"/>
  <c r="P696" i="6" s="1"/>
  <c r="L696" i="6"/>
  <c r="K696" i="6"/>
  <c r="O695" i="6"/>
  <c r="P695" i="6" s="1"/>
  <c r="K695" i="6"/>
  <c r="L695" i="6" s="1"/>
  <c r="O694" i="6"/>
  <c r="P694" i="6" s="1"/>
  <c r="K694" i="6"/>
  <c r="L694" i="6" s="1"/>
  <c r="O693" i="6"/>
  <c r="P693" i="6" s="1"/>
  <c r="K693" i="6"/>
  <c r="L693" i="6" s="1"/>
  <c r="O692" i="6"/>
  <c r="P692" i="6" s="1"/>
  <c r="K692" i="6"/>
  <c r="L692" i="6" s="1"/>
  <c r="M692" i="6" s="1"/>
  <c r="N692" i="6" s="1"/>
  <c r="S692" i="6" s="1"/>
  <c r="O691" i="6"/>
  <c r="P691" i="6" s="1"/>
  <c r="K691" i="6"/>
  <c r="L691" i="6" s="1"/>
  <c r="O690" i="6"/>
  <c r="P690" i="6" s="1"/>
  <c r="K690" i="6"/>
  <c r="L690" i="6" s="1"/>
  <c r="P689" i="6"/>
  <c r="O689" i="6"/>
  <c r="K689" i="6"/>
  <c r="L689" i="6" s="1"/>
  <c r="O688" i="6"/>
  <c r="P688" i="6" s="1"/>
  <c r="K688" i="6"/>
  <c r="L688" i="6" s="1"/>
  <c r="M688" i="6" s="1"/>
  <c r="N688" i="6" s="1"/>
  <c r="S688" i="6" s="1"/>
  <c r="P685" i="6"/>
  <c r="O685" i="6"/>
  <c r="K685" i="6"/>
  <c r="L685" i="6" s="1"/>
  <c r="O684" i="6"/>
  <c r="P684" i="6" s="1"/>
  <c r="K684" i="6"/>
  <c r="L684" i="6" s="1"/>
  <c r="P683" i="6"/>
  <c r="O683" i="6"/>
  <c r="K683" i="6"/>
  <c r="L683" i="6" s="1"/>
  <c r="O682" i="6"/>
  <c r="P682" i="6" s="1"/>
  <c r="K682" i="6"/>
  <c r="L682" i="6" s="1"/>
  <c r="O681" i="6"/>
  <c r="P681" i="6" s="1"/>
  <c r="K681" i="6"/>
  <c r="L681" i="6" s="1"/>
  <c r="P680" i="6"/>
  <c r="O680" i="6"/>
  <c r="K680" i="6"/>
  <c r="L680" i="6" s="1"/>
  <c r="M680" i="6" s="1"/>
  <c r="N680" i="6" s="1"/>
  <c r="S680" i="6" s="1"/>
  <c r="O679" i="6"/>
  <c r="P679" i="6" s="1"/>
  <c r="K679" i="6"/>
  <c r="L679" i="6" s="1"/>
  <c r="O678" i="6"/>
  <c r="P678" i="6" s="1"/>
  <c r="K678" i="6"/>
  <c r="L678" i="6" s="1"/>
  <c r="O677" i="6"/>
  <c r="P677" i="6" s="1"/>
  <c r="K677" i="6"/>
  <c r="L677" i="6" s="1"/>
  <c r="O676" i="6"/>
  <c r="P676" i="6" s="1"/>
  <c r="K676" i="6"/>
  <c r="L676" i="6" s="1"/>
  <c r="O675" i="6"/>
  <c r="P675" i="6" s="1"/>
  <c r="L675" i="6"/>
  <c r="K675" i="6"/>
  <c r="O674" i="6"/>
  <c r="P674" i="6" s="1"/>
  <c r="K674" i="6"/>
  <c r="L674" i="6" s="1"/>
  <c r="O673" i="6"/>
  <c r="P673" i="6" s="1"/>
  <c r="K673" i="6"/>
  <c r="L673" i="6" s="1"/>
  <c r="O672" i="6"/>
  <c r="P672" i="6" s="1"/>
  <c r="K672" i="6"/>
  <c r="L672" i="6" s="1"/>
  <c r="O671" i="6"/>
  <c r="P671" i="6" s="1"/>
  <c r="K671" i="6"/>
  <c r="L671" i="6" s="1"/>
  <c r="P670" i="6"/>
  <c r="O670" i="6"/>
  <c r="K670" i="6"/>
  <c r="L670" i="6" s="1"/>
  <c r="O669" i="6"/>
  <c r="P669" i="6" s="1"/>
  <c r="K669" i="6"/>
  <c r="L669" i="6" s="1"/>
  <c r="O668" i="6"/>
  <c r="P668" i="6" s="1"/>
  <c r="L668" i="6"/>
  <c r="K668" i="6"/>
  <c r="O667" i="6"/>
  <c r="P667" i="6" s="1"/>
  <c r="K667" i="6"/>
  <c r="L667" i="6" s="1"/>
  <c r="O666" i="6"/>
  <c r="P666" i="6" s="1"/>
  <c r="L666" i="6"/>
  <c r="K666" i="6"/>
  <c r="O665" i="6"/>
  <c r="P665" i="6" s="1"/>
  <c r="K665" i="6"/>
  <c r="L665" i="6" s="1"/>
  <c r="O664" i="6"/>
  <c r="P664" i="6" s="1"/>
  <c r="K664" i="6"/>
  <c r="L664" i="6" s="1"/>
  <c r="O663" i="6"/>
  <c r="P663" i="6" s="1"/>
  <c r="K663" i="6"/>
  <c r="L663" i="6" s="1"/>
  <c r="O662" i="6"/>
  <c r="P662" i="6" s="1"/>
  <c r="K662" i="6"/>
  <c r="L662" i="6" s="1"/>
  <c r="P661" i="6"/>
  <c r="O661" i="6"/>
  <c r="K661" i="6"/>
  <c r="L661" i="6" s="1"/>
  <c r="O660" i="6"/>
  <c r="P660" i="6" s="1"/>
  <c r="K660" i="6"/>
  <c r="L660" i="6" s="1"/>
  <c r="O659" i="6"/>
  <c r="P659" i="6" s="1"/>
  <c r="K659" i="6"/>
  <c r="L659" i="6" s="1"/>
  <c r="O658" i="6"/>
  <c r="P658" i="6" s="1"/>
  <c r="K658" i="6"/>
  <c r="L658" i="6" s="1"/>
  <c r="O657" i="6"/>
  <c r="P657" i="6" s="1"/>
  <c r="K657" i="6"/>
  <c r="L657" i="6" s="1"/>
  <c r="O656" i="6"/>
  <c r="P656" i="6" s="1"/>
  <c r="K656" i="6"/>
  <c r="L656" i="6" s="1"/>
  <c r="M656" i="6" s="1"/>
  <c r="N656" i="6" s="1"/>
  <c r="S656" i="6" s="1"/>
  <c r="O655" i="6"/>
  <c r="P655" i="6" s="1"/>
  <c r="L655" i="6"/>
  <c r="K655" i="6"/>
  <c r="O654" i="6"/>
  <c r="P654" i="6" s="1"/>
  <c r="K654" i="6"/>
  <c r="L654" i="6" s="1"/>
  <c r="O653" i="6"/>
  <c r="P653" i="6" s="1"/>
  <c r="K653" i="6"/>
  <c r="L653" i="6" s="1"/>
  <c r="O652" i="6"/>
  <c r="P652" i="6" s="1"/>
  <c r="K652" i="6"/>
  <c r="L652" i="6" s="1"/>
  <c r="O649" i="6"/>
  <c r="P649" i="6" s="1"/>
  <c r="K649" i="6"/>
  <c r="L649" i="6" s="1"/>
  <c r="O648" i="6"/>
  <c r="P648" i="6" s="1"/>
  <c r="K648" i="6"/>
  <c r="L648" i="6" s="1"/>
  <c r="O647" i="6"/>
  <c r="P647" i="6" s="1"/>
  <c r="K647" i="6"/>
  <c r="L647" i="6" s="1"/>
  <c r="O646" i="6"/>
  <c r="P646" i="6" s="1"/>
  <c r="K646" i="6"/>
  <c r="L646" i="6" s="1"/>
  <c r="O645" i="6"/>
  <c r="P645" i="6" s="1"/>
  <c r="K645" i="6"/>
  <c r="L645" i="6" s="1"/>
  <c r="O644" i="6"/>
  <c r="P644" i="6" s="1"/>
  <c r="K644" i="6"/>
  <c r="L644" i="6" s="1"/>
  <c r="M644" i="6" s="1"/>
  <c r="N644" i="6" s="1"/>
  <c r="S644" i="6" s="1"/>
  <c r="O643" i="6"/>
  <c r="P643" i="6" s="1"/>
  <c r="K643" i="6"/>
  <c r="L643" i="6" s="1"/>
  <c r="O642" i="6"/>
  <c r="P642" i="6" s="1"/>
  <c r="K642" i="6"/>
  <c r="L642" i="6" s="1"/>
  <c r="O641" i="6"/>
  <c r="P641" i="6" s="1"/>
  <c r="K641" i="6"/>
  <c r="L641" i="6" s="1"/>
  <c r="O640" i="6"/>
  <c r="P640" i="6" s="1"/>
  <c r="K640" i="6"/>
  <c r="L640" i="6" s="1"/>
  <c r="O639" i="6"/>
  <c r="P639" i="6" s="1"/>
  <c r="K639" i="6"/>
  <c r="L639" i="6" s="1"/>
  <c r="O638" i="6"/>
  <c r="P638" i="6" s="1"/>
  <c r="K638" i="6"/>
  <c r="L638" i="6" s="1"/>
  <c r="M638" i="6" s="1"/>
  <c r="N638" i="6" s="1"/>
  <c r="S638" i="6" s="1"/>
  <c r="O637" i="6"/>
  <c r="P637" i="6" s="1"/>
  <c r="K637" i="6"/>
  <c r="L637" i="6" s="1"/>
  <c r="O636" i="6"/>
  <c r="P636" i="6" s="1"/>
  <c r="K636" i="6"/>
  <c r="L636" i="6" s="1"/>
  <c r="O635" i="6"/>
  <c r="P635" i="6" s="1"/>
  <c r="K635" i="6"/>
  <c r="L635" i="6" s="1"/>
  <c r="O634" i="6"/>
  <c r="P634" i="6" s="1"/>
  <c r="K634" i="6"/>
  <c r="L634" i="6" s="1"/>
  <c r="M632" i="6" s="1"/>
  <c r="N632" i="6" s="1"/>
  <c r="S632" i="6" s="1"/>
  <c r="O633" i="6"/>
  <c r="P633" i="6" s="1"/>
  <c r="K633" i="6"/>
  <c r="L633" i="6" s="1"/>
  <c r="O632" i="6"/>
  <c r="P632" i="6" s="1"/>
  <c r="Q632" i="6" s="1"/>
  <c r="R632" i="6" s="1"/>
  <c r="K632" i="6"/>
  <c r="L632" i="6" s="1"/>
  <c r="O631" i="6"/>
  <c r="P631" i="6" s="1"/>
  <c r="K631" i="6"/>
  <c r="L631" i="6" s="1"/>
  <c r="O630" i="6"/>
  <c r="P630" i="6" s="1"/>
  <c r="K630" i="6"/>
  <c r="L630" i="6" s="1"/>
  <c r="O629" i="6"/>
  <c r="P629" i="6" s="1"/>
  <c r="K629" i="6"/>
  <c r="L629" i="6" s="1"/>
  <c r="O628" i="6"/>
  <c r="P628" i="6" s="1"/>
  <c r="K628" i="6"/>
  <c r="L628" i="6" s="1"/>
  <c r="O627" i="6"/>
  <c r="P627" i="6" s="1"/>
  <c r="K627" i="6"/>
  <c r="L627" i="6" s="1"/>
  <c r="O626" i="6"/>
  <c r="P626" i="6" s="1"/>
  <c r="K626" i="6"/>
  <c r="L626" i="6" s="1"/>
  <c r="O625" i="6"/>
  <c r="P625" i="6" s="1"/>
  <c r="K625" i="6"/>
  <c r="L625" i="6" s="1"/>
  <c r="O624" i="6"/>
  <c r="P624" i="6" s="1"/>
  <c r="K624" i="6"/>
  <c r="L624" i="6" s="1"/>
  <c r="O623" i="6"/>
  <c r="P623" i="6" s="1"/>
  <c r="K623" i="6"/>
  <c r="L623" i="6" s="1"/>
  <c r="O622" i="6"/>
  <c r="P622" i="6" s="1"/>
  <c r="K622" i="6"/>
  <c r="L622" i="6" s="1"/>
  <c r="O621" i="6"/>
  <c r="P621" i="6" s="1"/>
  <c r="K621" i="6"/>
  <c r="L621" i="6" s="1"/>
  <c r="O620" i="6"/>
  <c r="P620" i="6" s="1"/>
  <c r="K620" i="6"/>
  <c r="L620" i="6" s="1"/>
  <c r="O619" i="6"/>
  <c r="P619" i="6" s="1"/>
  <c r="K619" i="6"/>
  <c r="L619" i="6" s="1"/>
  <c r="O618" i="6"/>
  <c r="P618" i="6" s="1"/>
  <c r="K618" i="6"/>
  <c r="L618" i="6" s="1"/>
  <c r="O617" i="6"/>
  <c r="P617" i="6" s="1"/>
  <c r="K617" i="6"/>
  <c r="L617" i="6" s="1"/>
  <c r="Q616" i="6"/>
  <c r="R616" i="6" s="1"/>
  <c r="O616" i="6"/>
  <c r="P616" i="6" s="1"/>
  <c r="K616" i="6"/>
  <c r="L616" i="6" s="1"/>
  <c r="O613" i="6"/>
  <c r="P613" i="6" s="1"/>
  <c r="K613" i="6"/>
  <c r="L613" i="6" s="1"/>
  <c r="O612" i="6"/>
  <c r="P612" i="6" s="1"/>
  <c r="K612" i="6"/>
  <c r="L612" i="6" s="1"/>
  <c r="O611" i="6"/>
  <c r="P611" i="6" s="1"/>
  <c r="K611" i="6"/>
  <c r="L611" i="6" s="1"/>
  <c r="O610" i="6"/>
  <c r="P610" i="6" s="1"/>
  <c r="K610" i="6"/>
  <c r="L610" i="6" s="1"/>
  <c r="O609" i="6"/>
  <c r="P609" i="6" s="1"/>
  <c r="K609" i="6"/>
  <c r="L609" i="6" s="1"/>
  <c r="Q608" i="6"/>
  <c r="R608" i="6" s="1"/>
  <c r="O608" i="6"/>
  <c r="P608" i="6" s="1"/>
  <c r="K608" i="6"/>
  <c r="L608" i="6" s="1"/>
  <c r="O607" i="6"/>
  <c r="P607" i="6" s="1"/>
  <c r="K607" i="6"/>
  <c r="L607" i="6" s="1"/>
  <c r="O606" i="6"/>
  <c r="P606" i="6" s="1"/>
  <c r="K606" i="6"/>
  <c r="L606" i="6" s="1"/>
  <c r="O605" i="6"/>
  <c r="P605" i="6" s="1"/>
  <c r="K605" i="6"/>
  <c r="L605" i="6" s="1"/>
  <c r="O604" i="6"/>
  <c r="P604" i="6" s="1"/>
  <c r="K604" i="6"/>
  <c r="L604" i="6" s="1"/>
  <c r="O603" i="6"/>
  <c r="P603" i="6" s="1"/>
  <c r="K603" i="6"/>
  <c r="L603" i="6" s="1"/>
  <c r="Q602" i="6"/>
  <c r="R602" i="6" s="1"/>
  <c r="P602" i="6"/>
  <c r="O602" i="6"/>
  <c r="K602" i="6"/>
  <c r="L602" i="6" s="1"/>
  <c r="M602" i="6" s="1"/>
  <c r="N602" i="6" s="1"/>
  <c r="S602" i="6" s="1"/>
  <c r="U602" i="6" s="1"/>
  <c r="O601" i="6"/>
  <c r="P601" i="6" s="1"/>
  <c r="L601" i="6"/>
  <c r="K601" i="6"/>
  <c r="O600" i="6"/>
  <c r="P600" i="6" s="1"/>
  <c r="K600" i="6"/>
  <c r="L600" i="6" s="1"/>
  <c r="O599" i="6"/>
  <c r="P599" i="6" s="1"/>
  <c r="L599" i="6"/>
  <c r="K599" i="6"/>
  <c r="O598" i="6"/>
  <c r="P598" i="6" s="1"/>
  <c r="L598" i="6"/>
  <c r="K598" i="6"/>
  <c r="O597" i="6"/>
  <c r="P597" i="6" s="1"/>
  <c r="K597" i="6"/>
  <c r="L597" i="6" s="1"/>
  <c r="O596" i="6"/>
  <c r="P596" i="6" s="1"/>
  <c r="K596" i="6"/>
  <c r="L596" i="6" s="1"/>
  <c r="P595" i="6"/>
  <c r="O595" i="6"/>
  <c r="K595" i="6"/>
  <c r="L595" i="6" s="1"/>
  <c r="O594" i="6"/>
  <c r="P594" i="6" s="1"/>
  <c r="K594" i="6"/>
  <c r="L594" i="6" s="1"/>
  <c r="O593" i="6"/>
  <c r="P593" i="6" s="1"/>
  <c r="K593" i="6"/>
  <c r="L593" i="6" s="1"/>
  <c r="M590" i="6" s="1"/>
  <c r="N590" i="6" s="1"/>
  <c r="S590" i="6" s="1"/>
  <c r="O592" i="6"/>
  <c r="P592" i="6" s="1"/>
  <c r="K592" i="6"/>
  <c r="L592" i="6" s="1"/>
  <c r="O591" i="6"/>
  <c r="P591" i="6" s="1"/>
  <c r="K591" i="6"/>
  <c r="L591" i="6" s="1"/>
  <c r="O590" i="6"/>
  <c r="P590" i="6" s="1"/>
  <c r="L590" i="6"/>
  <c r="K590" i="6"/>
  <c r="O589" i="6"/>
  <c r="P589" i="6" s="1"/>
  <c r="K589" i="6"/>
  <c r="L589" i="6" s="1"/>
  <c r="O588" i="6"/>
  <c r="P588" i="6" s="1"/>
  <c r="K588" i="6"/>
  <c r="L588" i="6" s="1"/>
  <c r="O587" i="6"/>
  <c r="P587" i="6" s="1"/>
  <c r="K587" i="6"/>
  <c r="L587" i="6" s="1"/>
  <c r="O586" i="6"/>
  <c r="P586" i="6" s="1"/>
  <c r="K586" i="6"/>
  <c r="L586" i="6" s="1"/>
  <c r="O585" i="6"/>
  <c r="P585" i="6" s="1"/>
  <c r="K585" i="6"/>
  <c r="L585" i="6" s="1"/>
  <c r="M584" i="6" s="1"/>
  <c r="N584" i="6" s="1"/>
  <c r="S584" i="6" s="1"/>
  <c r="O584" i="6"/>
  <c r="P584" i="6" s="1"/>
  <c r="K584" i="6"/>
  <c r="L584" i="6" s="1"/>
  <c r="P583" i="6"/>
  <c r="O583" i="6"/>
  <c r="K583" i="6"/>
  <c r="L583" i="6" s="1"/>
  <c r="O582" i="6"/>
  <c r="P582" i="6" s="1"/>
  <c r="Q580" i="6" s="1"/>
  <c r="R580" i="6" s="1"/>
  <c r="K582" i="6"/>
  <c r="L582" i="6" s="1"/>
  <c r="P581" i="6"/>
  <c r="O581" i="6"/>
  <c r="K581" i="6"/>
  <c r="L581" i="6" s="1"/>
  <c r="P580" i="6"/>
  <c r="O580" i="6"/>
  <c r="K580" i="6"/>
  <c r="L580" i="6" s="1"/>
  <c r="M580" i="6" s="1"/>
  <c r="N580" i="6" s="1"/>
  <c r="S580" i="6" s="1"/>
  <c r="O577" i="6"/>
  <c r="P577" i="6" s="1"/>
  <c r="K577" i="6"/>
  <c r="L577" i="6" s="1"/>
  <c r="O576" i="6"/>
  <c r="P576" i="6" s="1"/>
  <c r="K576" i="6"/>
  <c r="L576" i="6" s="1"/>
  <c r="P575" i="6"/>
  <c r="O575" i="6"/>
  <c r="K575" i="6"/>
  <c r="L575" i="6" s="1"/>
  <c r="P574" i="6"/>
  <c r="O574" i="6"/>
  <c r="K574" i="6"/>
  <c r="L574" i="6" s="1"/>
  <c r="O573" i="6"/>
  <c r="P573" i="6" s="1"/>
  <c r="K573" i="6"/>
  <c r="L573" i="6" s="1"/>
  <c r="P572" i="6"/>
  <c r="O572" i="6"/>
  <c r="K572" i="6"/>
  <c r="L572" i="6" s="1"/>
  <c r="O571" i="6"/>
  <c r="P571" i="6" s="1"/>
  <c r="K571" i="6"/>
  <c r="L571" i="6" s="1"/>
  <c r="O570" i="6"/>
  <c r="P570" i="6" s="1"/>
  <c r="K570" i="6"/>
  <c r="L570" i="6" s="1"/>
  <c r="O569" i="6"/>
  <c r="P569" i="6" s="1"/>
  <c r="K569" i="6"/>
  <c r="L569" i="6" s="1"/>
  <c r="O568" i="6"/>
  <c r="P568" i="6" s="1"/>
  <c r="K568" i="6"/>
  <c r="L568" i="6" s="1"/>
  <c r="O567" i="6"/>
  <c r="P567" i="6" s="1"/>
  <c r="K567" i="6"/>
  <c r="L567" i="6" s="1"/>
  <c r="O566" i="6"/>
  <c r="P566" i="6" s="1"/>
  <c r="K566" i="6"/>
  <c r="L566" i="6" s="1"/>
  <c r="P565" i="6"/>
  <c r="O565" i="6"/>
  <c r="K565" i="6"/>
  <c r="L565" i="6" s="1"/>
  <c r="O564" i="6"/>
  <c r="P564" i="6" s="1"/>
  <c r="K564" i="6"/>
  <c r="L564" i="6" s="1"/>
  <c r="O563" i="6"/>
  <c r="P563" i="6" s="1"/>
  <c r="K563" i="6"/>
  <c r="L563" i="6" s="1"/>
  <c r="P562" i="6"/>
  <c r="O562" i="6"/>
  <c r="K562" i="6"/>
  <c r="L562" i="6" s="1"/>
  <c r="O561" i="6"/>
  <c r="P561" i="6" s="1"/>
  <c r="K561" i="6"/>
  <c r="L561" i="6" s="1"/>
  <c r="O560" i="6"/>
  <c r="P560" i="6" s="1"/>
  <c r="L560" i="6"/>
  <c r="K560" i="6"/>
  <c r="O559" i="6"/>
  <c r="P559" i="6" s="1"/>
  <c r="K559" i="6"/>
  <c r="L559" i="6" s="1"/>
  <c r="O558" i="6"/>
  <c r="P558" i="6" s="1"/>
  <c r="K558" i="6"/>
  <c r="L558" i="6" s="1"/>
  <c r="O557" i="6"/>
  <c r="P557" i="6" s="1"/>
  <c r="K557" i="6"/>
  <c r="L557" i="6" s="1"/>
  <c r="O556" i="6"/>
  <c r="P556" i="6" s="1"/>
  <c r="K556" i="6"/>
  <c r="L556" i="6" s="1"/>
  <c r="O555" i="6"/>
  <c r="P555" i="6" s="1"/>
  <c r="Q554" i="6" s="1"/>
  <c r="R554" i="6" s="1"/>
  <c r="K555" i="6"/>
  <c r="L555" i="6" s="1"/>
  <c r="O554" i="6"/>
  <c r="P554" i="6" s="1"/>
  <c r="K554" i="6"/>
  <c r="L554" i="6" s="1"/>
  <c r="P553" i="6"/>
  <c r="O553" i="6"/>
  <c r="K553" i="6"/>
  <c r="L553" i="6" s="1"/>
  <c r="P552" i="6"/>
  <c r="O552" i="6"/>
  <c r="K552" i="6"/>
  <c r="L552" i="6" s="1"/>
  <c r="O551" i="6"/>
  <c r="P551" i="6" s="1"/>
  <c r="K551" i="6"/>
  <c r="L551" i="6" s="1"/>
  <c r="O550" i="6"/>
  <c r="P550" i="6" s="1"/>
  <c r="K550" i="6"/>
  <c r="L550" i="6" s="1"/>
  <c r="O549" i="6"/>
  <c r="P549" i="6" s="1"/>
  <c r="K549" i="6"/>
  <c r="L549" i="6" s="1"/>
  <c r="O548" i="6"/>
  <c r="P548" i="6" s="1"/>
  <c r="K548" i="6"/>
  <c r="L548" i="6" s="1"/>
  <c r="M548" i="6" s="1"/>
  <c r="N548" i="6" s="1"/>
  <c r="S548" i="6" s="1"/>
  <c r="O547" i="6"/>
  <c r="P547" i="6" s="1"/>
  <c r="K547" i="6"/>
  <c r="L547" i="6" s="1"/>
  <c r="O546" i="6"/>
  <c r="P546" i="6" s="1"/>
  <c r="K546" i="6"/>
  <c r="L546" i="6" s="1"/>
  <c r="O545" i="6"/>
  <c r="P545" i="6" s="1"/>
  <c r="L545" i="6"/>
  <c r="K545" i="6"/>
  <c r="O544" i="6"/>
  <c r="P544" i="6" s="1"/>
  <c r="K544" i="6"/>
  <c r="L544" i="6" s="1"/>
  <c r="O541" i="6"/>
  <c r="P541" i="6" s="1"/>
  <c r="K541" i="6"/>
  <c r="L541" i="6" s="1"/>
  <c r="O540" i="6"/>
  <c r="P540" i="6" s="1"/>
  <c r="K540" i="6"/>
  <c r="L540" i="6" s="1"/>
  <c r="O539" i="6"/>
  <c r="P539" i="6" s="1"/>
  <c r="L539" i="6"/>
  <c r="K539" i="6"/>
  <c r="O538" i="6"/>
  <c r="P538" i="6" s="1"/>
  <c r="K538" i="6"/>
  <c r="L538" i="6" s="1"/>
  <c r="O537" i="6"/>
  <c r="P537" i="6" s="1"/>
  <c r="L537" i="6"/>
  <c r="K537" i="6"/>
  <c r="P536" i="6"/>
  <c r="O536" i="6"/>
  <c r="K536" i="6"/>
  <c r="L536" i="6" s="1"/>
  <c r="O535" i="6"/>
  <c r="P535" i="6" s="1"/>
  <c r="K535" i="6"/>
  <c r="L535" i="6" s="1"/>
  <c r="P534" i="6"/>
  <c r="O534" i="6"/>
  <c r="K534" i="6"/>
  <c r="L534" i="6" s="1"/>
  <c r="O533" i="6"/>
  <c r="P533" i="6" s="1"/>
  <c r="K533" i="6"/>
  <c r="L533" i="6" s="1"/>
  <c r="P532" i="6"/>
  <c r="O532" i="6"/>
  <c r="K532" i="6"/>
  <c r="L532" i="6" s="1"/>
  <c r="O531" i="6"/>
  <c r="P531" i="6" s="1"/>
  <c r="K531" i="6"/>
  <c r="L531" i="6" s="1"/>
  <c r="P530" i="6"/>
  <c r="O530" i="6"/>
  <c r="L530" i="6"/>
  <c r="K530" i="6"/>
  <c r="P529" i="6"/>
  <c r="O529" i="6"/>
  <c r="L529" i="6"/>
  <c r="K529" i="6"/>
  <c r="P528" i="6"/>
  <c r="O528" i="6"/>
  <c r="L528" i="6"/>
  <c r="K528" i="6"/>
  <c r="P527" i="6"/>
  <c r="O527" i="6"/>
  <c r="L527" i="6"/>
  <c r="K527" i="6"/>
  <c r="P526" i="6"/>
  <c r="O526" i="6"/>
  <c r="L526" i="6"/>
  <c r="K526" i="6"/>
  <c r="P525" i="6"/>
  <c r="O525" i="6"/>
  <c r="L525" i="6"/>
  <c r="K525" i="6"/>
  <c r="O524" i="6"/>
  <c r="P524" i="6" s="1"/>
  <c r="Q524" i="6" s="1"/>
  <c r="R524" i="6" s="1"/>
  <c r="L524" i="6"/>
  <c r="M524" i="6" s="1"/>
  <c r="N524" i="6" s="1"/>
  <c r="S524" i="6" s="1"/>
  <c r="K524" i="6"/>
  <c r="O523" i="6"/>
  <c r="P523" i="6" s="1"/>
  <c r="L523" i="6"/>
  <c r="K523" i="6"/>
  <c r="O522" i="6"/>
  <c r="P522" i="6" s="1"/>
  <c r="L522" i="6"/>
  <c r="K522" i="6"/>
  <c r="O521" i="6"/>
  <c r="P521" i="6" s="1"/>
  <c r="L521" i="6"/>
  <c r="K521" i="6"/>
  <c r="O520" i="6"/>
  <c r="P520" i="6" s="1"/>
  <c r="L520" i="6"/>
  <c r="K520" i="6"/>
  <c r="O519" i="6"/>
  <c r="P519" i="6" s="1"/>
  <c r="L519" i="6"/>
  <c r="M518" i="6" s="1"/>
  <c r="N518" i="6" s="1"/>
  <c r="S518" i="6" s="1"/>
  <c r="K519" i="6"/>
  <c r="P518" i="6"/>
  <c r="O518" i="6"/>
  <c r="L518" i="6"/>
  <c r="K518" i="6"/>
  <c r="O517" i="6"/>
  <c r="P517" i="6" s="1"/>
  <c r="L517" i="6"/>
  <c r="K517" i="6"/>
  <c r="O516" i="6"/>
  <c r="P516" i="6" s="1"/>
  <c r="L516" i="6"/>
  <c r="K516" i="6"/>
  <c r="O515" i="6"/>
  <c r="P515" i="6" s="1"/>
  <c r="K515" i="6"/>
  <c r="L515" i="6" s="1"/>
  <c r="O514" i="6"/>
  <c r="P514" i="6" s="1"/>
  <c r="L514" i="6"/>
  <c r="K514" i="6"/>
  <c r="O513" i="6"/>
  <c r="P513" i="6" s="1"/>
  <c r="L513" i="6"/>
  <c r="K513" i="6"/>
  <c r="P512" i="6"/>
  <c r="O512" i="6"/>
  <c r="K512" i="6"/>
  <c r="L512" i="6" s="1"/>
  <c r="O511" i="6"/>
  <c r="P511" i="6" s="1"/>
  <c r="K511" i="6"/>
  <c r="L511" i="6" s="1"/>
  <c r="P510" i="6"/>
  <c r="O510" i="6"/>
  <c r="K510" i="6"/>
  <c r="L510" i="6" s="1"/>
  <c r="O509" i="6"/>
  <c r="P509" i="6" s="1"/>
  <c r="K509" i="6"/>
  <c r="L509" i="6" s="1"/>
  <c r="P508" i="6"/>
  <c r="O508" i="6"/>
  <c r="K508" i="6"/>
  <c r="L508" i="6" s="1"/>
  <c r="P505" i="6"/>
  <c r="O505" i="6"/>
  <c r="K505" i="6"/>
  <c r="L505" i="6" s="1"/>
  <c r="P504" i="6"/>
  <c r="O504" i="6"/>
  <c r="K504" i="6"/>
  <c r="L504" i="6" s="1"/>
  <c r="O503" i="6"/>
  <c r="P503" i="6" s="1"/>
  <c r="K503" i="6"/>
  <c r="L503" i="6" s="1"/>
  <c r="O502" i="6"/>
  <c r="P502" i="6" s="1"/>
  <c r="K502" i="6"/>
  <c r="L502" i="6" s="1"/>
  <c r="P501" i="6"/>
  <c r="O501" i="6"/>
  <c r="K501" i="6"/>
  <c r="L501" i="6" s="1"/>
  <c r="P500" i="6"/>
  <c r="O500" i="6"/>
  <c r="K500" i="6"/>
  <c r="L500" i="6" s="1"/>
  <c r="O499" i="6"/>
  <c r="P499" i="6" s="1"/>
  <c r="K499" i="6"/>
  <c r="L499" i="6" s="1"/>
  <c r="O498" i="6"/>
  <c r="P498" i="6" s="1"/>
  <c r="K498" i="6"/>
  <c r="L498" i="6" s="1"/>
  <c r="O497" i="6"/>
  <c r="P497" i="6" s="1"/>
  <c r="K497" i="6"/>
  <c r="L497" i="6" s="1"/>
  <c r="O496" i="6"/>
  <c r="P496" i="6" s="1"/>
  <c r="K496" i="6"/>
  <c r="L496" i="6" s="1"/>
  <c r="O495" i="6"/>
  <c r="P495" i="6" s="1"/>
  <c r="K495" i="6"/>
  <c r="L495" i="6" s="1"/>
  <c r="P494" i="6"/>
  <c r="O494" i="6"/>
  <c r="K494" i="6"/>
  <c r="L494" i="6" s="1"/>
  <c r="P493" i="6"/>
  <c r="O493" i="6"/>
  <c r="K493" i="6"/>
  <c r="L493" i="6" s="1"/>
  <c r="P492" i="6"/>
  <c r="O492" i="6"/>
  <c r="K492" i="6"/>
  <c r="L492" i="6" s="1"/>
  <c r="O491" i="6"/>
  <c r="P491" i="6" s="1"/>
  <c r="Q488" i="6" s="1"/>
  <c r="R488" i="6" s="1"/>
  <c r="K491" i="6"/>
  <c r="L491" i="6" s="1"/>
  <c r="P490" i="6"/>
  <c r="O490" i="6"/>
  <c r="K490" i="6"/>
  <c r="L490" i="6" s="1"/>
  <c r="P489" i="6"/>
  <c r="O489" i="6"/>
  <c r="K489" i="6"/>
  <c r="L489" i="6" s="1"/>
  <c r="P488" i="6"/>
  <c r="O488" i="6"/>
  <c r="K488" i="6"/>
  <c r="L488" i="6" s="1"/>
  <c r="P487" i="6"/>
  <c r="O487" i="6"/>
  <c r="K487" i="6"/>
  <c r="L487" i="6" s="1"/>
  <c r="P486" i="6"/>
  <c r="O486" i="6"/>
  <c r="K486" i="6"/>
  <c r="L486" i="6" s="1"/>
  <c r="O485" i="6"/>
  <c r="P485" i="6" s="1"/>
  <c r="K485" i="6"/>
  <c r="L485" i="6" s="1"/>
  <c r="P484" i="6"/>
  <c r="O484" i="6"/>
  <c r="K484" i="6"/>
  <c r="L484" i="6" s="1"/>
  <c r="P483" i="6"/>
  <c r="O483" i="6"/>
  <c r="K483" i="6"/>
  <c r="L483" i="6" s="1"/>
  <c r="O482" i="6"/>
  <c r="P482" i="6" s="1"/>
  <c r="K482" i="6"/>
  <c r="L482" i="6" s="1"/>
  <c r="P481" i="6"/>
  <c r="O481" i="6"/>
  <c r="K481" i="6"/>
  <c r="L481" i="6" s="1"/>
  <c r="P480" i="6"/>
  <c r="O480" i="6"/>
  <c r="K480" i="6"/>
  <c r="L480" i="6" s="1"/>
  <c r="P479" i="6"/>
  <c r="O479" i="6"/>
  <c r="K479" i="6"/>
  <c r="L479" i="6" s="1"/>
  <c r="O478" i="6"/>
  <c r="P478" i="6" s="1"/>
  <c r="Q476" i="6" s="1"/>
  <c r="R476" i="6" s="1"/>
  <c r="K478" i="6"/>
  <c r="L478" i="6" s="1"/>
  <c r="P477" i="6"/>
  <c r="O477" i="6"/>
  <c r="K477" i="6"/>
  <c r="L477" i="6" s="1"/>
  <c r="P476" i="6"/>
  <c r="O476" i="6"/>
  <c r="L476" i="6"/>
  <c r="K476" i="6"/>
  <c r="O475" i="6"/>
  <c r="P475" i="6" s="1"/>
  <c r="K475" i="6"/>
  <c r="L475" i="6" s="1"/>
  <c r="O474" i="6"/>
  <c r="P474" i="6" s="1"/>
  <c r="K474" i="6"/>
  <c r="L474" i="6" s="1"/>
  <c r="O473" i="6"/>
  <c r="P473" i="6" s="1"/>
  <c r="K473" i="6"/>
  <c r="L473" i="6" s="1"/>
  <c r="P472" i="6"/>
  <c r="O472" i="6"/>
  <c r="K472" i="6"/>
  <c r="L472" i="6" s="1"/>
  <c r="O469" i="6"/>
  <c r="P469" i="6" s="1"/>
  <c r="K469" i="6"/>
  <c r="L469" i="6" s="1"/>
  <c r="O468" i="6"/>
  <c r="P468" i="6" s="1"/>
  <c r="L468" i="6"/>
  <c r="K468" i="6"/>
  <c r="O467" i="6"/>
  <c r="P467" i="6" s="1"/>
  <c r="L467" i="6"/>
  <c r="K467" i="6"/>
  <c r="O466" i="6"/>
  <c r="P466" i="6" s="1"/>
  <c r="L466" i="6"/>
  <c r="K466" i="6"/>
  <c r="O465" i="6"/>
  <c r="P465" i="6" s="1"/>
  <c r="L465" i="6"/>
  <c r="K465" i="6"/>
  <c r="O464" i="6"/>
  <c r="P464" i="6" s="1"/>
  <c r="K464" i="6"/>
  <c r="L464" i="6" s="1"/>
  <c r="M464" i="6" s="1"/>
  <c r="N464" i="6" s="1"/>
  <c r="S464" i="6" s="1"/>
  <c r="P463" i="6"/>
  <c r="O463" i="6"/>
  <c r="K463" i="6"/>
  <c r="L463" i="6" s="1"/>
  <c r="O462" i="6"/>
  <c r="P462" i="6" s="1"/>
  <c r="K462" i="6"/>
  <c r="L462" i="6" s="1"/>
  <c r="P461" i="6"/>
  <c r="O461" i="6"/>
  <c r="K461" i="6"/>
  <c r="L461" i="6" s="1"/>
  <c r="O460" i="6"/>
  <c r="P460" i="6" s="1"/>
  <c r="K460" i="6"/>
  <c r="L460" i="6" s="1"/>
  <c r="P459" i="6"/>
  <c r="O459" i="6"/>
  <c r="K459" i="6"/>
  <c r="L459" i="6" s="1"/>
  <c r="P458" i="6"/>
  <c r="O458" i="6"/>
  <c r="K458" i="6"/>
  <c r="L458" i="6" s="1"/>
  <c r="O457" i="6"/>
  <c r="P457" i="6" s="1"/>
  <c r="L457" i="6"/>
  <c r="K457" i="6"/>
  <c r="O456" i="6"/>
  <c r="P456" i="6" s="1"/>
  <c r="K456" i="6"/>
  <c r="L456" i="6" s="1"/>
  <c r="O455" i="6"/>
  <c r="P455" i="6" s="1"/>
  <c r="L455" i="6"/>
  <c r="K455" i="6"/>
  <c r="O454" i="6"/>
  <c r="P454" i="6" s="1"/>
  <c r="K454" i="6"/>
  <c r="L454" i="6" s="1"/>
  <c r="O453" i="6"/>
  <c r="P453" i="6" s="1"/>
  <c r="L453" i="6"/>
  <c r="K453" i="6"/>
  <c r="P452" i="6"/>
  <c r="O452" i="6"/>
  <c r="K452" i="6"/>
  <c r="L452" i="6" s="1"/>
  <c r="P451" i="6"/>
  <c r="O451" i="6"/>
  <c r="K451" i="6"/>
  <c r="L451" i="6" s="1"/>
  <c r="O450" i="6"/>
  <c r="P450" i="6" s="1"/>
  <c r="K450" i="6"/>
  <c r="L450" i="6" s="1"/>
  <c r="O449" i="6"/>
  <c r="P449" i="6" s="1"/>
  <c r="Q446" i="6" s="1"/>
  <c r="R446" i="6" s="1"/>
  <c r="K449" i="6"/>
  <c r="L449" i="6" s="1"/>
  <c r="P448" i="6"/>
  <c r="O448" i="6"/>
  <c r="K448" i="6"/>
  <c r="L448" i="6" s="1"/>
  <c r="P447" i="6"/>
  <c r="O447" i="6"/>
  <c r="K447" i="6"/>
  <c r="L447" i="6" s="1"/>
  <c r="P446" i="6"/>
  <c r="O446" i="6"/>
  <c r="K446" i="6"/>
  <c r="L446" i="6" s="1"/>
  <c r="P445" i="6"/>
  <c r="O445" i="6"/>
  <c r="K445" i="6"/>
  <c r="L445" i="6" s="1"/>
  <c r="O444" i="6"/>
  <c r="P444" i="6" s="1"/>
  <c r="K444" i="6"/>
  <c r="L444" i="6" s="1"/>
  <c r="O443" i="6"/>
  <c r="P443" i="6" s="1"/>
  <c r="K443" i="6"/>
  <c r="L443" i="6" s="1"/>
  <c r="P442" i="6"/>
  <c r="O442" i="6"/>
  <c r="K442" i="6"/>
  <c r="L442" i="6" s="1"/>
  <c r="P441" i="6"/>
  <c r="O441" i="6"/>
  <c r="K441" i="6"/>
  <c r="L441" i="6" s="1"/>
  <c r="O440" i="6"/>
  <c r="P440" i="6" s="1"/>
  <c r="K440" i="6"/>
  <c r="L440" i="6" s="1"/>
  <c r="M440" i="6" s="1"/>
  <c r="N440" i="6" s="1"/>
  <c r="S440" i="6" s="1"/>
  <c r="P439" i="6"/>
  <c r="O439" i="6"/>
  <c r="L439" i="6"/>
  <c r="K439" i="6"/>
  <c r="P438" i="6"/>
  <c r="O438" i="6"/>
  <c r="L438" i="6"/>
  <c r="K438" i="6"/>
  <c r="P437" i="6"/>
  <c r="O437" i="6"/>
  <c r="L437" i="6"/>
  <c r="K437" i="6"/>
  <c r="O436" i="6"/>
  <c r="P436" i="6" s="1"/>
  <c r="Q436" i="6" s="1"/>
  <c r="R436" i="6" s="1"/>
  <c r="L436" i="6"/>
  <c r="M436" i="6" s="1"/>
  <c r="N436" i="6" s="1"/>
  <c r="S436" i="6" s="1"/>
  <c r="K436" i="6"/>
  <c r="P433" i="6"/>
  <c r="O433" i="6"/>
  <c r="K433" i="6"/>
  <c r="L433" i="6" s="1"/>
  <c r="O432" i="6"/>
  <c r="P432" i="6" s="1"/>
  <c r="K432" i="6"/>
  <c r="L432" i="6" s="1"/>
  <c r="P431" i="6"/>
  <c r="O431" i="6"/>
  <c r="K431" i="6"/>
  <c r="L431" i="6" s="1"/>
  <c r="O430" i="6"/>
  <c r="P430" i="6" s="1"/>
  <c r="K430" i="6"/>
  <c r="L430" i="6" s="1"/>
  <c r="P429" i="6"/>
  <c r="O429" i="6"/>
  <c r="K429" i="6"/>
  <c r="L429" i="6" s="1"/>
  <c r="O428" i="6"/>
  <c r="P428" i="6" s="1"/>
  <c r="Q428" i="6" s="1"/>
  <c r="R428" i="6" s="1"/>
  <c r="L428" i="6"/>
  <c r="K428" i="6"/>
  <c r="O427" i="6"/>
  <c r="P427" i="6" s="1"/>
  <c r="L427" i="6"/>
  <c r="K427" i="6"/>
  <c r="O426" i="6"/>
  <c r="P426" i="6" s="1"/>
  <c r="L426" i="6"/>
  <c r="K426" i="6"/>
  <c r="O425" i="6"/>
  <c r="P425" i="6" s="1"/>
  <c r="L425" i="6"/>
  <c r="K425" i="6"/>
  <c r="O424" i="6"/>
  <c r="P424" i="6" s="1"/>
  <c r="L424" i="6"/>
  <c r="K424" i="6"/>
  <c r="O423" i="6"/>
  <c r="P423" i="6" s="1"/>
  <c r="L423" i="6"/>
  <c r="K423" i="6"/>
  <c r="O422" i="6"/>
  <c r="P422" i="6" s="1"/>
  <c r="L422" i="6"/>
  <c r="M422" i="6" s="1"/>
  <c r="N422" i="6" s="1"/>
  <c r="S422" i="6" s="1"/>
  <c r="K422" i="6"/>
  <c r="P421" i="6"/>
  <c r="O421" i="6"/>
  <c r="L421" i="6"/>
  <c r="K421" i="6"/>
  <c r="P420" i="6"/>
  <c r="O420" i="6"/>
  <c r="L420" i="6"/>
  <c r="K420" i="6"/>
  <c r="P419" i="6"/>
  <c r="O419" i="6"/>
  <c r="L419" i="6"/>
  <c r="K419" i="6"/>
  <c r="P418" i="6"/>
  <c r="O418" i="6"/>
  <c r="L418" i="6"/>
  <c r="K418" i="6"/>
  <c r="P417" i="6"/>
  <c r="O417" i="6"/>
  <c r="L417" i="6"/>
  <c r="K417" i="6"/>
  <c r="O416" i="6"/>
  <c r="P416" i="6" s="1"/>
  <c r="Q416" i="6" s="1"/>
  <c r="R416" i="6" s="1"/>
  <c r="K416" i="6"/>
  <c r="L416" i="6" s="1"/>
  <c r="M416" i="6" s="1"/>
  <c r="N416" i="6" s="1"/>
  <c r="S416" i="6" s="1"/>
  <c r="O415" i="6"/>
  <c r="P415" i="6" s="1"/>
  <c r="L415" i="6"/>
  <c r="K415" i="6"/>
  <c r="O414" i="6"/>
  <c r="P414" i="6" s="1"/>
  <c r="L414" i="6"/>
  <c r="K414" i="6"/>
  <c r="O413" i="6"/>
  <c r="P413" i="6" s="1"/>
  <c r="K413" i="6"/>
  <c r="L413" i="6" s="1"/>
  <c r="O412" i="6"/>
  <c r="P412" i="6" s="1"/>
  <c r="K412" i="6"/>
  <c r="L412" i="6" s="1"/>
  <c r="O411" i="6"/>
  <c r="P411" i="6" s="1"/>
  <c r="L411" i="6"/>
  <c r="K411" i="6"/>
  <c r="O410" i="6"/>
  <c r="P410" i="6" s="1"/>
  <c r="K410" i="6"/>
  <c r="L410" i="6" s="1"/>
  <c r="P409" i="6"/>
  <c r="O409" i="6"/>
  <c r="K409" i="6"/>
  <c r="L409" i="6" s="1"/>
  <c r="O408" i="6"/>
  <c r="P408" i="6" s="1"/>
  <c r="K408" i="6"/>
  <c r="L408" i="6" s="1"/>
  <c r="P407" i="6"/>
  <c r="O407" i="6"/>
  <c r="K407" i="6"/>
  <c r="L407" i="6" s="1"/>
  <c r="O406" i="6"/>
  <c r="P406" i="6" s="1"/>
  <c r="K406" i="6"/>
  <c r="L406" i="6" s="1"/>
  <c r="P405" i="6"/>
  <c r="O405" i="6"/>
  <c r="K405" i="6"/>
  <c r="L405" i="6" s="1"/>
  <c r="O404" i="6"/>
  <c r="P404" i="6" s="1"/>
  <c r="K404" i="6"/>
  <c r="L404" i="6" s="1"/>
  <c r="P403" i="6"/>
  <c r="O403" i="6"/>
  <c r="K403" i="6"/>
  <c r="L403" i="6" s="1"/>
  <c r="O402" i="6"/>
  <c r="P402" i="6" s="1"/>
  <c r="K402" i="6"/>
  <c r="L402" i="6" s="1"/>
  <c r="P401" i="6"/>
  <c r="O401" i="6"/>
  <c r="K401" i="6"/>
  <c r="L401" i="6" s="1"/>
  <c r="O400" i="6"/>
  <c r="P400" i="6" s="1"/>
  <c r="L400" i="6"/>
  <c r="K400" i="6"/>
  <c r="O397" i="6"/>
  <c r="P397" i="6" s="1"/>
  <c r="L397" i="6"/>
  <c r="K397" i="6"/>
  <c r="O396" i="6"/>
  <c r="P396" i="6" s="1"/>
  <c r="K396" i="6"/>
  <c r="L396" i="6" s="1"/>
  <c r="O395" i="6"/>
  <c r="P395" i="6" s="1"/>
  <c r="K395" i="6"/>
  <c r="L395" i="6" s="1"/>
  <c r="O394" i="6"/>
  <c r="P394" i="6" s="1"/>
  <c r="K394" i="6"/>
  <c r="L394" i="6" s="1"/>
  <c r="O393" i="6"/>
  <c r="P393" i="6" s="1"/>
  <c r="L393" i="6"/>
  <c r="K393" i="6"/>
  <c r="O392" i="6"/>
  <c r="P392" i="6" s="1"/>
  <c r="K392" i="6"/>
  <c r="L392" i="6" s="1"/>
  <c r="O391" i="6"/>
  <c r="P391" i="6" s="1"/>
  <c r="K391" i="6"/>
  <c r="L391" i="6" s="1"/>
  <c r="O390" i="6"/>
  <c r="P390" i="6" s="1"/>
  <c r="K390" i="6"/>
  <c r="L390" i="6" s="1"/>
  <c r="P389" i="6"/>
  <c r="O389" i="6"/>
  <c r="K389" i="6"/>
  <c r="L389" i="6" s="1"/>
  <c r="O388" i="6"/>
  <c r="P388" i="6" s="1"/>
  <c r="K388" i="6"/>
  <c r="L388" i="6" s="1"/>
  <c r="P387" i="6"/>
  <c r="O387" i="6"/>
  <c r="K387" i="6"/>
  <c r="L387" i="6" s="1"/>
  <c r="O386" i="6"/>
  <c r="P386" i="6" s="1"/>
  <c r="L386" i="6"/>
  <c r="K386" i="6"/>
  <c r="O385" i="6"/>
  <c r="P385" i="6" s="1"/>
  <c r="L385" i="6"/>
  <c r="K385" i="6"/>
  <c r="O384" i="6"/>
  <c r="P384" i="6" s="1"/>
  <c r="L384" i="6"/>
  <c r="K384" i="6"/>
  <c r="O383" i="6"/>
  <c r="P383" i="6" s="1"/>
  <c r="L383" i="6"/>
  <c r="K383" i="6"/>
  <c r="O382" i="6"/>
  <c r="P382" i="6" s="1"/>
  <c r="L382" i="6"/>
  <c r="K382" i="6"/>
  <c r="O381" i="6"/>
  <c r="P381" i="6" s="1"/>
  <c r="L381" i="6"/>
  <c r="K381" i="6"/>
  <c r="O380" i="6"/>
  <c r="P380" i="6" s="1"/>
  <c r="K380" i="6"/>
  <c r="L380" i="6" s="1"/>
  <c r="M380" i="6" s="1"/>
  <c r="N380" i="6" s="1"/>
  <c r="S380" i="6" s="1"/>
  <c r="O379" i="6"/>
  <c r="P379" i="6" s="1"/>
  <c r="K379" i="6"/>
  <c r="L379" i="6" s="1"/>
  <c r="P378" i="6"/>
  <c r="O378" i="6"/>
  <c r="K378" i="6"/>
  <c r="L378" i="6" s="1"/>
  <c r="O377" i="6"/>
  <c r="P377" i="6" s="1"/>
  <c r="K377" i="6"/>
  <c r="L377" i="6" s="1"/>
  <c r="O376" i="6"/>
  <c r="P376" i="6" s="1"/>
  <c r="K376" i="6"/>
  <c r="L376" i="6" s="1"/>
  <c r="O375" i="6"/>
  <c r="P375" i="6" s="1"/>
  <c r="K375" i="6"/>
  <c r="L375" i="6" s="1"/>
  <c r="O374" i="6"/>
  <c r="P374" i="6" s="1"/>
  <c r="Q374" i="6" s="1"/>
  <c r="R374" i="6" s="1"/>
  <c r="K374" i="6"/>
  <c r="L374" i="6" s="1"/>
  <c r="O373" i="6"/>
  <c r="P373" i="6" s="1"/>
  <c r="L373" i="6"/>
  <c r="K373" i="6"/>
  <c r="O372" i="6"/>
  <c r="P372" i="6" s="1"/>
  <c r="K372" i="6"/>
  <c r="L372" i="6" s="1"/>
  <c r="O371" i="6"/>
  <c r="P371" i="6" s="1"/>
  <c r="K371" i="6"/>
  <c r="L371" i="6" s="1"/>
  <c r="O370" i="6"/>
  <c r="P370" i="6" s="1"/>
  <c r="K370" i="6"/>
  <c r="L370" i="6" s="1"/>
  <c r="O369" i="6"/>
  <c r="P369" i="6" s="1"/>
  <c r="L369" i="6"/>
  <c r="K369" i="6"/>
  <c r="P368" i="6"/>
  <c r="O368" i="6"/>
  <c r="K368" i="6"/>
  <c r="L368" i="6" s="1"/>
  <c r="O367" i="6"/>
  <c r="P367" i="6" s="1"/>
  <c r="K367" i="6"/>
  <c r="L367" i="6" s="1"/>
  <c r="O366" i="6"/>
  <c r="P366" i="6" s="1"/>
  <c r="K366" i="6"/>
  <c r="L366" i="6" s="1"/>
  <c r="O365" i="6"/>
  <c r="P365" i="6" s="1"/>
  <c r="K365" i="6"/>
  <c r="L365" i="6" s="1"/>
  <c r="O364" i="6"/>
  <c r="P364" i="6" s="1"/>
  <c r="K364" i="6"/>
  <c r="L364" i="6" s="1"/>
  <c r="O361" i="6"/>
  <c r="P361" i="6" s="1"/>
  <c r="K361" i="6"/>
  <c r="L361" i="6" s="1"/>
  <c r="P360" i="6"/>
  <c r="O360" i="6"/>
  <c r="K360" i="6"/>
  <c r="L360" i="6" s="1"/>
  <c r="O359" i="6"/>
  <c r="P359" i="6" s="1"/>
  <c r="K359" i="6"/>
  <c r="L359" i="6" s="1"/>
  <c r="O358" i="6"/>
  <c r="P358" i="6" s="1"/>
  <c r="K358" i="6"/>
  <c r="L358" i="6" s="1"/>
  <c r="O357" i="6"/>
  <c r="P357" i="6" s="1"/>
  <c r="K357" i="6"/>
  <c r="L357" i="6" s="1"/>
  <c r="O356" i="6"/>
  <c r="P356" i="6" s="1"/>
  <c r="Q356" i="6" s="1"/>
  <c r="R356" i="6" s="1"/>
  <c r="K356" i="6"/>
  <c r="L356" i="6" s="1"/>
  <c r="O355" i="6"/>
  <c r="P355" i="6" s="1"/>
  <c r="L355" i="6"/>
  <c r="K355" i="6"/>
  <c r="O354" i="6"/>
  <c r="P354" i="6" s="1"/>
  <c r="K354" i="6"/>
  <c r="L354" i="6" s="1"/>
  <c r="O353" i="6"/>
  <c r="P353" i="6" s="1"/>
  <c r="L353" i="6"/>
  <c r="K353" i="6"/>
  <c r="O352" i="6"/>
  <c r="P352" i="6" s="1"/>
  <c r="K352" i="6"/>
  <c r="L352" i="6" s="1"/>
  <c r="O351" i="6"/>
  <c r="P351" i="6" s="1"/>
  <c r="L351" i="6"/>
  <c r="K351" i="6"/>
  <c r="O350" i="6"/>
  <c r="P350" i="6" s="1"/>
  <c r="K350" i="6"/>
  <c r="L350" i="6" s="1"/>
  <c r="P349" i="6"/>
  <c r="O349" i="6"/>
  <c r="K349" i="6"/>
  <c r="L349" i="6" s="1"/>
  <c r="O348" i="6"/>
  <c r="P348" i="6" s="1"/>
  <c r="K348" i="6"/>
  <c r="L348" i="6" s="1"/>
  <c r="O347" i="6"/>
  <c r="P347" i="6" s="1"/>
  <c r="K347" i="6"/>
  <c r="L347" i="6" s="1"/>
  <c r="O346" i="6"/>
  <c r="P346" i="6" s="1"/>
  <c r="K346" i="6"/>
  <c r="L346" i="6" s="1"/>
  <c r="P345" i="6"/>
  <c r="O345" i="6"/>
  <c r="K345" i="6"/>
  <c r="L345" i="6" s="1"/>
  <c r="O344" i="6"/>
  <c r="P344" i="6" s="1"/>
  <c r="K344" i="6"/>
  <c r="L344" i="6" s="1"/>
  <c r="P343" i="6"/>
  <c r="O343" i="6"/>
  <c r="K343" i="6"/>
  <c r="L343" i="6" s="1"/>
  <c r="O342" i="6"/>
  <c r="P342" i="6" s="1"/>
  <c r="K342" i="6"/>
  <c r="L342" i="6" s="1"/>
  <c r="O341" i="6"/>
  <c r="P341" i="6" s="1"/>
  <c r="K341" i="6"/>
  <c r="L341" i="6" s="1"/>
  <c r="O340" i="6"/>
  <c r="P340" i="6" s="1"/>
  <c r="K340" i="6"/>
  <c r="L340" i="6" s="1"/>
  <c r="P339" i="6"/>
  <c r="O339" i="6"/>
  <c r="K339" i="6"/>
  <c r="L339" i="6" s="1"/>
  <c r="O338" i="6"/>
  <c r="P338" i="6" s="1"/>
  <c r="L338" i="6"/>
  <c r="K338" i="6"/>
  <c r="O337" i="6"/>
  <c r="P337" i="6" s="1"/>
  <c r="L337" i="6"/>
  <c r="K337" i="6"/>
  <c r="O336" i="6"/>
  <c r="P336" i="6" s="1"/>
  <c r="L336" i="6"/>
  <c r="K336" i="6"/>
  <c r="O335" i="6"/>
  <c r="P335" i="6" s="1"/>
  <c r="L335" i="6"/>
  <c r="K335" i="6"/>
  <c r="O334" i="6"/>
  <c r="P334" i="6" s="1"/>
  <c r="L334" i="6"/>
  <c r="K334" i="6"/>
  <c r="O333" i="6"/>
  <c r="P333" i="6" s="1"/>
  <c r="L333" i="6"/>
  <c r="M332" i="6" s="1"/>
  <c r="N332" i="6" s="1"/>
  <c r="S332" i="6" s="1"/>
  <c r="K333" i="6"/>
  <c r="O332" i="6"/>
  <c r="P332" i="6" s="1"/>
  <c r="L332" i="6"/>
  <c r="K332" i="6"/>
  <c r="O331" i="6"/>
  <c r="P331" i="6" s="1"/>
  <c r="L331" i="6"/>
  <c r="K331" i="6"/>
  <c r="O330" i="6"/>
  <c r="P330" i="6" s="1"/>
  <c r="K330" i="6"/>
  <c r="L330" i="6" s="1"/>
  <c r="O329" i="6"/>
  <c r="P329" i="6" s="1"/>
  <c r="L329" i="6"/>
  <c r="K329" i="6"/>
  <c r="O328" i="6"/>
  <c r="P328" i="6" s="1"/>
  <c r="Q328" i="6" s="1"/>
  <c r="R328" i="6" s="1"/>
  <c r="K328" i="6"/>
  <c r="L328" i="6" s="1"/>
  <c r="O325" i="6"/>
  <c r="P325" i="6" s="1"/>
  <c r="K325" i="6"/>
  <c r="L325" i="6" s="1"/>
  <c r="O324" i="6"/>
  <c r="P324" i="6" s="1"/>
  <c r="L324" i="6"/>
  <c r="K324" i="6"/>
  <c r="O323" i="6"/>
  <c r="P323" i="6" s="1"/>
  <c r="L323" i="6"/>
  <c r="K323" i="6"/>
  <c r="O322" i="6"/>
  <c r="P322" i="6" s="1"/>
  <c r="L322" i="6"/>
  <c r="K322" i="6"/>
  <c r="O321" i="6"/>
  <c r="P321" i="6" s="1"/>
  <c r="L321" i="6"/>
  <c r="K321" i="6"/>
  <c r="O320" i="6"/>
  <c r="P320" i="6" s="1"/>
  <c r="K320" i="6"/>
  <c r="L320" i="6" s="1"/>
  <c r="M320" i="6" s="1"/>
  <c r="N320" i="6" s="1"/>
  <c r="S320" i="6" s="1"/>
  <c r="P319" i="6"/>
  <c r="O319" i="6"/>
  <c r="K319" i="6"/>
  <c r="L319" i="6" s="1"/>
  <c r="O318" i="6"/>
  <c r="P318" i="6" s="1"/>
  <c r="K318" i="6"/>
  <c r="L318" i="6" s="1"/>
  <c r="P317" i="6"/>
  <c r="O317" i="6"/>
  <c r="K317" i="6"/>
  <c r="L317" i="6" s="1"/>
  <c r="O316" i="6"/>
  <c r="P316" i="6" s="1"/>
  <c r="K316" i="6"/>
  <c r="L316" i="6" s="1"/>
  <c r="P315" i="6"/>
  <c r="O315" i="6"/>
  <c r="K315" i="6"/>
  <c r="L315" i="6" s="1"/>
  <c r="P314" i="6"/>
  <c r="Q314" i="6" s="1"/>
  <c r="R314" i="6" s="1"/>
  <c r="O314" i="6"/>
  <c r="L314" i="6"/>
  <c r="K314" i="6"/>
  <c r="O313" i="6"/>
  <c r="P313" i="6" s="1"/>
  <c r="L313" i="6"/>
  <c r="K313" i="6"/>
  <c r="O312" i="6"/>
  <c r="P312" i="6" s="1"/>
  <c r="K312" i="6"/>
  <c r="L312" i="6" s="1"/>
  <c r="O311" i="6"/>
  <c r="P311" i="6" s="1"/>
  <c r="K311" i="6"/>
  <c r="L311" i="6" s="1"/>
  <c r="O310" i="6"/>
  <c r="P310" i="6" s="1"/>
  <c r="L310" i="6"/>
  <c r="K310" i="6"/>
  <c r="O309" i="6"/>
  <c r="P309" i="6" s="1"/>
  <c r="L309" i="6"/>
  <c r="K309" i="6"/>
  <c r="O308" i="6"/>
  <c r="P308" i="6" s="1"/>
  <c r="K308" i="6"/>
  <c r="L308" i="6" s="1"/>
  <c r="P307" i="6"/>
  <c r="O307" i="6"/>
  <c r="K307" i="6"/>
  <c r="L307" i="6" s="1"/>
  <c r="O306" i="6"/>
  <c r="P306" i="6" s="1"/>
  <c r="K306" i="6"/>
  <c r="L306" i="6" s="1"/>
  <c r="O305" i="6"/>
  <c r="P305" i="6" s="1"/>
  <c r="K305" i="6"/>
  <c r="L305" i="6" s="1"/>
  <c r="O304" i="6"/>
  <c r="P304" i="6" s="1"/>
  <c r="K304" i="6"/>
  <c r="L304" i="6" s="1"/>
  <c r="P303" i="6"/>
  <c r="O303" i="6"/>
  <c r="K303" i="6"/>
  <c r="L303" i="6" s="1"/>
  <c r="O302" i="6"/>
  <c r="P302" i="6" s="1"/>
  <c r="K302" i="6"/>
  <c r="L302" i="6" s="1"/>
  <c r="M302" i="6" s="1"/>
  <c r="N302" i="6" s="1"/>
  <c r="S302" i="6" s="1"/>
  <c r="O301" i="6"/>
  <c r="P301" i="6" s="1"/>
  <c r="L301" i="6"/>
  <c r="K301" i="6"/>
  <c r="O300" i="6"/>
  <c r="P300" i="6" s="1"/>
  <c r="K300" i="6"/>
  <c r="L300" i="6" s="1"/>
  <c r="O299" i="6"/>
  <c r="P299" i="6" s="1"/>
  <c r="L299" i="6"/>
  <c r="K299" i="6"/>
  <c r="O298" i="6"/>
  <c r="P298" i="6" s="1"/>
  <c r="K298" i="6"/>
  <c r="L298" i="6" s="1"/>
  <c r="O297" i="6"/>
  <c r="P297" i="6" s="1"/>
  <c r="L297" i="6"/>
  <c r="K297" i="6"/>
  <c r="O296" i="6"/>
  <c r="P296" i="6" s="1"/>
  <c r="K296" i="6"/>
  <c r="L296" i="6" s="1"/>
  <c r="O295" i="6"/>
  <c r="P295" i="6" s="1"/>
  <c r="K295" i="6"/>
  <c r="L295" i="6" s="1"/>
  <c r="P294" i="6"/>
  <c r="O294" i="6"/>
  <c r="K294" i="6"/>
  <c r="L294" i="6" s="1"/>
  <c r="O293" i="6"/>
  <c r="P293" i="6" s="1"/>
  <c r="K293" i="6"/>
  <c r="L293" i="6" s="1"/>
  <c r="P292" i="6"/>
  <c r="O292" i="6"/>
  <c r="L292" i="6"/>
  <c r="K292" i="6"/>
  <c r="O289" i="6"/>
  <c r="P289" i="6" s="1"/>
  <c r="L289" i="6"/>
  <c r="K289" i="6"/>
  <c r="O288" i="6"/>
  <c r="P288" i="6" s="1"/>
  <c r="L288" i="6"/>
  <c r="K288" i="6"/>
  <c r="O287" i="6"/>
  <c r="P287" i="6" s="1"/>
  <c r="L287" i="6"/>
  <c r="K287" i="6"/>
  <c r="O286" i="6"/>
  <c r="P286" i="6" s="1"/>
  <c r="L286" i="6"/>
  <c r="K286" i="6"/>
  <c r="O285" i="6"/>
  <c r="P285" i="6" s="1"/>
  <c r="L285" i="6"/>
  <c r="K285" i="6"/>
  <c r="P284" i="6"/>
  <c r="O284" i="6"/>
  <c r="K284" i="6"/>
  <c r="L284" i="6" s="1"/>
  <c r="M284" i="6" s="1"/>
  <c r="N284" i="6" s="1"/>
  <c r="S284" i="6" s="1"/>
  <c r="O283" i="6"/>
  <c r="P283" i="6" s="1"/>
  <c r="L283" i="6"/>
  <c r="K283" i="6"/>
  <c r="O282" i="6"/>
  <c r="P282" i="6" s="1"/>
  <c r="L282" i="6"/>
  <c r="K282" i="6"/>
  <c r="O281" i="6"/>
  <c r="P281" i="6" s="1"/>
  <c r="K281" i="6"/>
  <c r="L281" i="6" s="1"/>
  <c r="O280" i="6"/>
  <c r="P280" i="6" s="1"/>
  <c r="K280" i="6"/>
  <c r="L280" i="6" s="1"/>
  <c r="O279" i="6"/>
  <c r="P279" i="6" s="1"/>
  <c r="L279" i="6"/>
  <c r="K279" i="6"/>
  <c r="O278" i="6"/>
  <c r="P278" i="6" s="1"/>
  <c r="L278" i="6"/>
  <c r="K278" i="6"/>
  <c r="O277" i="6"/>
  <c r="P277" i="6" s="1"/>
  <c r="L277" i="6"/>
  <c r="K277" i="6"/>
  <c r="O276" i="6"/>
  <c r="P276" i="6" s="1"/>
  <c r="L276" i="6"/>
  <c r="K276" i="6"/>
  <c r="O275" i="6"/>
  <c r="P275" i="6" s="1"/>
  <c r="L275" i="6"/>
  <c r="K275" i="6"/>
  <c r="O274" i="6"/>
  <c r="P274" i="6" s="1"/>
  <c r="L274" i="6"/>
  <c r="K274" i="6"/>
  <c r="O273" i="6"/>
  <c r="P273" i="6" s="1"/>
  <c r="L273" i="6"/>
  <c r="K273" i="6"/>
  <c r="P272" i="6"/>
  <c r="O272" i="6"/>
  <c r="K272" i="6"/>
  <c r="L272" i="6" s="1"/>
  <c r="M272" i="6" s="1"/>
  <c r="N272" i="6" s="1"/>
  <c r="S272" i="6" s="1"/>
  <c r="O271" i="6"/>
  <c r="P271" i="6" s="1"/>
  <c r="K271" i="6"/>
  <c r="L271" i="6" s="1"/>
  <c r="O270" i="6"/>
  <c r="P270" i="6" s="1"/>
  <c r="L270" i="6"/>
  <c r="K270" i="6"/>
  <c r="O269" i="6"/>
  <c r="P269" i="6" s="1"/>
  <c r="L269" i="6"/>
  <c r="K269" i="6"/>
  <c r="O268" i="6"/>
  <c r="P268" i="6" s="1"/>
  <c r="K268" i="6"/>
  <c r="L268" i="6" s="1"/>
  <c r="O267" i="6"/>
  <c r="P267" i="6" s="1"/>
  <c r="K267" i="6"/>
  <c r="L267" i="6" s="1"/>
  <c r="O266" i="6"/>
  <c r="P266" i="6" s="1"/>
  <c r="K266" i="6"/>
  <c r="L266" i="6" s="1"/>
  <c r="P265" i="6"/>
  <c r="O265" i="6"/>
  <c r="K265" i="6"/>
  <c r="L265" i="6" s="1"/>
  <c r="P264" i="6"/>
  <c r="O264" i="6"/>
  <c r="K264" i="6"/>
  <c r="L264" i="6" s="1"/>
  <c r="O263" i="6"/>
  <c r="P263" i="6" s="1"/>
  <c r="K263" i="6"/>
  <c r="L263" i="6" s="1"/>
  <c r="O262" i="6"/>
  <c r="P262" i="6" s="1"/>
  <c r="K262" i="6"/>
  <c r="L262" i="6" s="1"/>
  <c r="P261" i="6"/>
  <c r="O261" i="6"/>
  <c r="K261" i="6"/>
  <c r="L261" i="6" s="1"/>
  <c r="P260" i="6"/>
  <c r="O260" i="6"/>
  <c r="K260" i="6"/>
  <c r="L260" i="6" s="1"/>
  <c r="O259" i="6"/>
  <c r="P259" i="6" s="1"/>
  <c r="K259" i="6"/>
  <c r="L259" i="6" s="1"/>
  <c r="O258" i="6"/>
  <c r="P258" i="6" s="1"/>
  <c r="K258" i="6"/>
  <c r="L258" i="6" s="1"/>
  <c r="P257" i="6"/>
  <c r="O257" i="6"/>
  <c r="K257" i="6"/>
  <c r="L257" i="6" s="1"/>
  <c r="P256" i="6"/>
  <c r="O256" i="6"/>
  <c r="K256" i="6"/>
  <c r="L256" i="6" s="1"/>
  <c r="M256" i="6" s="1"/>
  <c r="N256" i="6" s="1"/>
  <c r="S256" i="6" s="1"/>
  <c r="P253" i="6"/>
  <c r="O253" i="6"/>
  <c r="K253" i="6"/>
  <c r="L253" i="6" s="1"/>
  <c r="O252" i="6"/>
  <c r="P252" i="6" s="1"/>
  <c r="L252" i="6"/>
  <c r="K252" i="6"/>
  <c r="O251" i="6"/>
  <c r="P251" i="6" s="1"/>
  <c r="L251" i="6"/>
  <c r="K251" i="6"/>
  <c r="O250" i="6"/>
  <c r="P250" i="6" s="1"/>
  <c r="L250" i="6"/>
  <c r="K250" i="6"/>
  <c r="O249" i="6"/>
  <c r="P249" i="6" s="1"/>
  <c r="L249" i="6"/>
  <c r="K249" i="6"/>
  <c r="P248" i="6"/>
  <c r="O248" i="6"/>
  <c r="K248" i="6"/>
  <c r="L248" i="6" s="1"/>
  <c r="O247" i="6"/>
  <c r="P247" i="6" s="1"/>
  <c r="L247" i="6"/>
  <c r="K247" i="6"/>
  <c r="O246" i="6"/>
  <c r="P246" i="6" s="1"/>
  <c r="K246" i="6"/>
  <c r="L246" i="6" s="1"/>
  <c r="O245" i="6"/>
  <c r="P245" i="6" s="1"/>
  <c r="L245" i="6"/>
  <c r="K245" i="6"/>
  <c r="O244" i="6"/>
  <c r="P244" i="6" s="1"/>
  <c r="K244" i="6"/>
  <c r="L244" i="6" s="1"/>
  <c r="O243" i="6"/>
  <c r="P243" i="6" s="1"/>
  <c r="L243" i="6"/>
  <c r="K243" i="6"/>
  <c r="P242" i="6"/>
  <c r="O242" i="6"/>
  <c r="K242" i="6"/>
  <c r="L242" i="6" s="1"/>
  <c r="O241" i="6"/>
  <c r="P241" i="6" s="1"/>
  <c r="K241" i="6"/>
  <c r="L241" i="6" s="1"/>
  <c r="O240" i="6"/>
  <c r="P240" i="6" s="1"/>
  <c r="K240" i="6"/>
  <c r="L240" i="6" s="1"/>
  <c r="O239" i="6"/>
  <c r="P239" i="6" s="1"/>
  <c r="K239" i="6"/>
  <c r="L239" i="6" s="1"/>
  <c r="P238" i="6"/>
  <c r="O238" i="6"/>
  <c r="K238" i="6"/>
  <c r="L238" i="6" s="1"/>
  <c r="O237" i="6"/>
  <c r="P237" i="6" s="1"/>
  <c r="K237" i="6"/>
  <c r="L237" i="6" s="1"/>
  <c r="O236" i="6"/>
  <c r="P236" i="6" s="1"/>
  <c r="K236" i="6"/>
  <c r="L236" i="6" s="1"/>
  <c r="O235" i="6"/>
  <c r="P235" i="6" s="1"/>
  <c r="K235" i="6"/>
  <c r="L235" i="6" s="1"/>
  <c r="P234" i="6"/>
  <c r="O234" i="6"/>
  <c r="K234" i="6"/>
  <c r="L234" i="6" s="1"/>
  <c r="O233" i="6"/>
  <c r="P233" i="6" s="1"/>
  <c r="K233" i="6"/>
  <c r="L233" i="6" s="1"/>
  <c r="O232" i="6"/>
  <c r="P232" i="6" s="1"/>
  <c r="K232" i="6"/>
  <c r="L232" i="6" s="1"/>
  <c r="O231" i="6"/>
  <c r="P231" i="6" s="1"/>
  <c r="K231" i="6"/>
  <c r="L231" i="6" s="1"/>
  <c r="O230" i="6"/>
  <c r="P230" i="6" s="1"/>
  <c r="K230" i="6"/>
  <c r="L230" i="6" s="1"/>
  <c r="O229" i="6"/>
  <c r="P229" i="6" s="1"/>
  <c r="K229" i="6"/>
  <c r="L229" i="6" s="1"/>
  <c r="O228" i="6"/>
  <c r="P228" i="6" s="1"/>
  <c r="K228" i="6"/>
  <c r="L228" i="6" s="1"/>
  <c r="P227" i="6"/>
  <c r="O227" i="6"/>
  <c r="K227" i="6"/>
  <c r="L227" i="6" s="1"/>
  <c r="P226" i="6"/>
  <c r="O226" i="6"/>
  <c r="K226" i="6"/>
  <c r="L226" i="6" s="1"/>
  <c r="O225" i="6"/>
  <c r="P225" i="6" s="1"/>
  <c r="K225" i="6"/>
  <c r="L225" i="6" s="1"/>
  <c r="O224" i="6"/>
  <c r="P224" i="6" s="1"/>
  <c r="L224" i="6"/>
  <c r="M224" i="6" s="1"/>
  <c r="N224" i="6" s="1"/>
  <c r="S224" i="6" s="1"/>
  <c r="K224" i="6"/>
  <c r="O223" i="6"/>
  <c r="P223" i="6" s="1"/>
  <c r="K223" i="6"/>
  <c r="L223" i="6" s="1"/>
  <c r="O222" i="6"/>
  <c r="P222" i="6" s="1"/>
  <c r="L222" i="6"/>
  <c r="K222" i="6"/>
  <c r="O221" i="6"/>
  <c r="P221" i="6" s="1"/>
  <c r="K221" i="6"/>
  <c r="L221" i="6" s="1"/>
  <c r="P220" i="6"/>
  <c r="O220" i="6"/>
  <c r="K220" i="6"/>
  <c r="L220" i="6" s="1"/>
  <c r="P217" i="6"/>
  <c r="O217" i="6"/>
  <c r="K217" i="6"/>
  <c r="L217" i="6" s="1"/>
  <c r="O216" i="6"/>
  <c r="P216" i="6" s="1"/>
  <c r="L216" i="6"/>
  <c r="K216" i="6"/>
  <c r="O215" i="6"/>
  <c r="P215" i="6" s="1"/>
  <c r="L215" i="6"/>
  <c r="K215" i="6"/>
  <c r="O214" i="6"/>
  <c r="P214" i="6" s="1"/>
  <c r="L214" i="6"/>
  <c r="K214" i="6"/>
  <c r="O213" i="6"/>
  <c r="P213" i="6" s="1"/>
  <c r="L213" i="6"/>
  <c r="K213" i="6"/>
  <c r="O212" i="6"/>
  <c r="P212" i="6" s="1"/>
  <c r="K212" i="6"/>
  <c r="L212" i="6" s="1"/>
  <c r="M212" i="6" s="1"/>
  <c r="N212" i="6" s="1"/>
  <c r="S212" i="6" s="1"/>
  <c r="P211" i="6"/>
  <c r="O211" i="6"/>
  <c r="K211" i="6"/>
  <c r="L211" i="6" s="1"/>
  <c r="P210" i="6"/>
  <c r="O210" i="6"/>
  <c r="K210" i="6"/>
  <c r="L210" i="6" s="1"/>
  <c r="O209" i="6"/>
  <c r="P209" i="6" s="1"/>
  <c r="K209" i="6"/>
  <c r="L209" i="6" s="1"/>
  <c r="O208" i="6"/>
  <c r="P208" i="6" s="1"/>
  <c r="K208" i="6"/>
  <c r="L208" i="6" s="1"/>
  <c r="P207" i="6"/>
  <c r="O207" i="6"/>
  <c r="K207" i="6"/>
  <c r="L207" i="6" s="1"/>
  <c r="P206" i="6"/>
  <c r="O206" i="6"/>
  <c r="K206" i="6"/>
  <c r="L206" i="6" s="1"/>
  <c r="O205" i="6"/>
  <c r="P205" i="6" s="1"/>
  <c r="K205" i="6"/>
  <c r="L205" i="6" s="1"/>
  <c r="O204" i="6"/>
  <c r="P204" i="6" s="1"/>
  <c r="K204" i="6"/>
  <c r="L204" i="6" s="1"/>
  <c r="O203" i="6"/>
  <c r="P203" i="6" s="1"/>
  <c r="L203" i="6"/>
  <c r="K203" i="6"/>
  <c r="O202" i="6"/>
  <c r="P202" i="6" s="1"/>
  <c r="K202" i="6"/>
  <c r="L202" i="6" s="1"/>
  <c r="O201" i="6"/>
  <c r="P201" i="6" s="1"/>
  <c r="K201" i="6"/>
  <c r="L201" i="6" s="1"/>
  <c r="O200" i="6"/>
  <c r="P200" i="6" s="1"/>
  <c r="K200" i="6"/>
  <c r="L200" i="6" s="1"/>
  <c r="O199" i="6"/>
  <c r="P199" i="6" s="1"/>
  <c r="K199" i="6"/>
  <c r="L199" i="6" s="1"/>
  <c r="O198" i="6"/>
  <c r="P198" i="6" s="1"/>
  <c r="K198" i="6"/>
  <c r="L198" i="6" s="1"/>
  <c r="O197" i="6"/>
  <c r="P197" i="6" s="1"/>
  <c r="K197" i="6"/>
  <c r="L197" i="6" s="1"/>
  <c r="O196" i="6"/>
  <c r="P196" i="6" s="1"/>
  <c r="K196" i="6"/>
  <c r="L196" i="6" s="1"/>
  <c r="M194" i="6" s="1"/>
  <c r="N194" i="6" s="1"/>
  <c r="S194" i="6" s="1"/>
  <c r="O195" i="6"/>
  <c r="P195" i="6" s="1"/>
  <c r="K195" i="6"/>
  <c r="L195" i="6" s="1"/>
  <c r="O194" i="6"/>
  <c r="P194" i="6" s="1"/>
  <c r="Q194" i="6" s="1"/>
  <c r="R194" i="6" s="1"/>
  <c r="K194" i="6"/>
  <c r="L194" i="6" s="1"/>
  <c r="O193" i="6"/>
  <c r="P193" i="6" s="1"/>
  <c r="K193" i="6"/>
  <c r="L193" i="6" s="1"/>
  <c r="O192" i="6"/>
  <c r="P192" i="6" s="1"/>
  <c r="K192" i="6"/>
  <c r="L192" i="6" s="1"/>
  <c r="O191" i="6"/>
  <c r="P191" i="6" s="1"/>
  <c r="K191" i="6"/>
  <c r="L191" i="6" s="1"/>
  <c r="O190" i="6"/>
  <c r="P190" i="6" s="1"/>
  <c r="K190" i="6"/>
  <c r="L190" i="6" s="1"/>
  <c r="O189" i="6"/>
  <c r="P189" i="6" s="1"/>
  <c r="K189" i="6"/>
  <c r="L189" i="6" s="1"/>
  <c r="O188" i="6"/>
  <c r="P188" i="6" s="1"/>
  <c r="Q188" i="6" s="1"/>
  <c r="R188" i="6" s="1"/>
  <c r="K188" i="6"/>
  <c r="L188" i="6" s="1"/>
  <c r="O187" i="6"/>
  <c r="P187" i="6" s="1"/>
  <c r="K187" i="6"/>
  <c r="L187" i="6" s="1"/>
  <c r="O186" i="6"/>
  <c r="P186" i="6" s="1"/>
  <c r="K186" i="6"/>
  <c r="L186" i="6" s="1"/>
  <c r="O185" i="6"/>
  <c r="P185" i="6" s="1"/>
  <c r="K185" i="6"/>
  <c r="L185" i="6" s="1"/>
  <c r="M184" i="6" s="1"/>
  <c r="N184" i="6" s="1"/>
  <c r="S184" i="6" s="1"/>
  <c r="O184" i="6"/>
  <c r="P184" i="6" s="1"/>
  <c r="Q184" i="6" s="1"/>
  <c r="R184" i="6" s="1"/>
  <c r="K184" i="6"/>
  <c r="L184" i="6" s="1"/>
  <c r="O181" i="6"/>
  <c r="P181" i="6" s="1"/>
  <c r="K181" i="6"/>
  <c r="L181" i="6" s="1"/>
  <c r="O180" i="6"/>
  <c r="P180" i="6" s="1"/>
  <c r="K180" i="6"/>
  <c r="L180" i="6" s="1"/>
  <c r="O179" i="6"/>
  <c r="P179" i="6" s="1"/>
  <c r="K179" i="6"/>
  <c r="L179" i="6" s="1"/>
  <c r="O178" i="6"/>
  <c r="P178" i="6" s="1"/>
  <c r="K178" i="6"/>
  <c r="L178" i="6" s="1"/>
  <c r="O177" i="6"/>
  <c r="P177" i="6" s="1"/>
  <c r="K177" i="6"/>
  <c r="L177" i="6" s="1"/>
  <c r="Q176" i="6"/>
  <c r="R176" i="6" s="1"/>
  <c r="O176" i="6"/>
  <c r="P176" i="6" s="1"/>
  <c r="K176" i="6"/>
  <c r="L176" i="6" s="1"/>
  <c r="M176" i="6" s="1"/>
  <c r="N176" i="6" s="1"/>
  <c r="S176" i="6" s="1"/>
  <c r="O175" i="6"/>
  <c r="P175" i="6" s="1"/>
  <c r="K175" i="6"/>
  <c r="L175" i="6" s="1"/>
  <c r="O174" i="6"/>
  <c r="P174" i="6" s="1"/>
  <c r="K174" i="6"/>
  <c r="L174" i="6" s="1"/>
  <c r="O173" i="6"/>
  <c r="P173" i="6" s="1"/>
  <c r="K173" i="6"/>
  <c r="L173" i="6" s="1"/>
  <c r="O172" i="6"/>
  <c r="P172" i="6" s="1"/>
  <c r="K172" i="6"/>
  <c r="L172" i="6" s="1"/>
  <c r="O171" i="6"/>
  <c r="P171" i="6" s="1"/>
  <c r="K171" i="6"/>
  <c r="L171" i="6" s="1"/>
  <c r="O170" i="6"/>
  <c r="P170" i="6" s="1"/>
  <c r="Q170" i="6" s="1"/>
  <c r="R170" i="6" s="1"/>
  <c r="K170" i="6"/>
  <c r="L170" i="6" s="1"/>
  <c r="M170" i="6" s="1"/>
  <c r="N170" i="6" s="1"/>
  <c r="S170" i="6" s="1"/>
  <c r="O169" i="6"/>
  <c r="P169" i="6" s="1"/>
  <c r="K169" i="6"/>
  <c r="L169" i="6" s="1"/>
  <c r="O168" i="6"/>
  <c r="P168" i="6" s="1"/>
  <c r="K168" i="6"/>
  <c r="L168" i="6" s="1"/>
  <c r="O167" i="6"/>
  <c r="P167" i="6" s="1"/>
  <c r="K167" i="6"/>
  <c r="L167" i="6" s="1"/>
  <c r="O166" i="6"/>
  <c r="P166" i="6" s="1"/>
  <c r="K166" i="6"/>
  <c r="L166" i="6" s="1"/>
  <c r="O165" i="6"/>
  <c r="P165" i="6" s="1"/>
  <c r="K165" i="6"/>
  <c r="L165" i="6" s="1"/>
  <c r="Q164" i="6"/>
  <c r="R164" i="6" s="1"/>
  <c r="O164" i="6"/>
  <c r="P164" i="6" s="1"/>
  <c r="K164" i="6"/>
  <c r="L164" i="6" s="1"/>
  <c r="O163" i="6"/>
  <c r="P163" i="6" s="1"/>
  <c r="K163" i="6"/>
  <c r="L163" i="6" s="1"/>
  <c r="O162" i="6"/>
  <c r="P162" i="6" s="1"/>
  <c r="K162" i="6"/>
  <c r="L162" i="6" s="1"/>
  <c r="O161" i="6"/>
  <c r="P161" i="6" s="1"/>
  <c r="K161" i="6"/>
  <c r="L161" i="6" s="1"/>
  <c r="O160" i="6"/>
  <c r="P160" i="6" s="1"/>
  <c r="K160" i="6"/>
  <c r="L160" i="6" s="1"/>
  <c r="O159" i="6"/>
  <c r="P159" i="6" s="1"/>
  <c r="K159" i="6"/>
  <c r="L159" i="6" s="1"/>
  <c r="O158" i="6"/>
  <c r="P158" i="6" s="1"/>
  <c r="Q158" i="6" s="1"/>
  <c r="R158" i="6" s="1"/>
  <c r="K158" i="6"/>
  <c r="L158" i="6" s="1"/>
  <c r="M158" i="6" s="1"/>
  <c r="N158" i="6" s="1"/>
  <c r="S158" i="6" s="1"/>
  <c r="O157" i="6"/>
  <c r="P157" i="6" s="1"/>
  <c r="K157" i="6"/>
  <c r="L157" i="6" s="1"/>
  <c r="O156" i="6"/>
  <c r="P156" i="6" s="1"/>
  <c r="K156" i="6"/>
  <c r="L156" i="6" s="1"/>
  <c r="O155" i="6"/>
  <c r="P155" i="6" s="1"/>
  <c r="K155" i="6"/>
  <c r="L155" i="6" s="1"/>
  <c r="O154" i="6"/>
  <c r="P154" i="6" s="1"/>
  <c r="K154" i="6"/>
  <c r="L154" i="6" s="1"/>
  <c r="O153" i="6"/>
  <c r="P153" i="6" s="1"/>
  <c r="K153" i="6"/>
  <c r="L153" i="6" s="1"/>
  <c r="Q152" i="6"/>
  <c r="R152" i="6" s="1"/>
  <c r="O152" i="6"/>
  <c r="P152" i="6" s="1"/>
  <c r="K152" i="6"/>
  <c r="L152" i="6" s="1"/>
  <c r="O151" i="6"/>
  <c r="P151" i="6" s="1"/>
  <c r="K151" i="6"/>
  <c r="L151" i="6" s="1"/>
  <c r="O150" i="6"/>
  <c r="P150" i="6" s="1"/>
  <c r="K150" i="6"/>
  <c r="L150" i="6" s="1"/>
  <c r="O149" i="6"/>
  <c r="P149" i="6" s="1"/>
  <c r="K149" i="6"/>
  <c r="L149" i="6" s="1"/>
  <c r="O148" i="6"/>
  <c r="P148" i="6" s="1"/>
  <c r="K148" i="6"/>
  <c r="L148" i="6" s="1"/>
  <c r="O145" i="6"/>
  <c r="P145" i="6" s="1"/>
  <c r="K145" i="6"/>
  <c r="L145" i="6" s="1"/>
  <c r="O144" i="6"/>
  <c r="P144" i="6" s="1"/>
  <c r="K144" i="6"/>
  <c r="L144" i="6" s="1"/>
  <c r="O143" i="6"/>
  <c r="P143" i="6" s="1"/>
  <c r="K143" i="6"/>
  <c r="L143" i="6" s="1"/>
  <c r="O142" i="6"/>
  <c r="P142" i="6" s="1"/>
  <c r="K142" i="6"/>
  <c r="L142" i="6" s="1"/>
  <c r="O141" i="6"/>
  <c r="P141" i="6" s="1"/>
  <c r="K141" i="6"/>
  <c r="L141" i="6" s="1"/>
  <c r="O140" i="6"/>
  <c r="P140" i="6" s="1"/>
  <c r="Q140" i="6" s="1"/>
  <c r="R140" i="6" s="1"/>
  <c r="K140" i="6"/>
  <c r="L140" i="6" s="1"/>
  <c r="M140" i="6" s="1"/>
  <c r="N140" i="6" s="1"/>
  <c r="S140" i="6" s="1"/>
  <c r="O139" i="6"/>
  <c r="P139" i="6" s="1"/>
  <c r="K139" i="6"/>
  <c r="L139" i="6" s="1"/>
  <c r="O138" i="6"/>
  <c r="P138" i="6" s="1"/>
  <c r="K138" i="6"/>
  <c r="L138" i="6" s="1"/>
  <c r="O137" i="6"/>
  <c r="P137" i="6" s="1"/>
  <c r="K137" i="6"/>
  <c r="L137" i="6" s="1"/>
  <c r="O136" i="6"/>
  <c r="P136" i="6" s="1"/>
  <c r="K136" i="6"/>
  <c r="L136" i="6" s="1"/>
  <c r="O135" i="6"/>
  <c r="P135" i="6" s="1"/>
  <c r="K135" i="6"/>
  <c r="L135" i="6" s="1"/>
  <c r="O134" i="6"/>
  <c r="P134" i="6" s="1"/>
  <c r="Q134" i="6" s="1"/>
  <c r="R134" i="6" s="1"/>
  <c r="K134" i="6"/>
  <c r="L134" i="6" s="1"/>
  <c r="O133" i="6"/>
  <c r="P133" i="6" s="1"/>
  <c r="K133" i="6"/>
  <c r="L133" i="6" s="1"/>
  <c r="O132" i="6"/>
  <c r="P132" i="6" s="1"/>
  <c r="K132" i="6"/>
  <c r="L132" i="6" s="1"/>
  <c r="O131" i="6"/>
  <c r="P131" i="6" s="1"/>
  <c r="K131" i="6"/>
  <c r="L131" i="6" s="1"/>
  <c r="O130" i="6"/>
  <c r="P130" i="6" s="1"/>
  <c r="K130" i="6"/>
  <c r="L130" i="6" s="1"/>
  <c r="O129" i="6"/>
  <c r="P129" i="6" s="1"/>
  <c r="K129" i="6"/>
  <c r="L129" i="6" s="1"/>
  <c r="O128" i="6"/>
  <c r="P128" i="6" s="1"/>
  <c r="Q128" i="6" s="1"/>
  <c r="R128" i="6" s="1"/>
  <c r="K128" i="6"/>
  <c r="L128" i="6" s="1"/>
  <c r="O127" i="6"/>
  <c r="P127" i="6" s="1"/>
  <c r="K127" i="6"/>
  <c r="L127" i="6" s="1"/>
  <c r="O126" i="6"/>
  <c r="P126" i="6" s="1"/>
  <c r="K126" i="6"/>
  <c r="L126" i="6" s="1"/>
  <c r="O125" i="6"/>
  <c r="P125" i="6" s="1"/>
  <c r="K125" i="6"/>
  <c r="L125" i="6" s="1"/>
  <c r="O124" i="6"/>
  <c r="P124" i="6" s="1"/>
  <c r="K124" i="6"/>
  <c r="L124" i="6" s="1"/>
  <c r="O123" i="6"/>
  <c r="P123" i="6" s="1"/>
  <c r="K123" i="6"/>
  <c r="L123" i="6" s="1"/>
  <c r="M122" i="6" s="1"/>
  <c r="N122" i="6" s="1"/>
  <c r="S122" i="6" s="1"/>
  <c r="Q122" i="6"/>
  <c r="R122" i="6" s="1"/>
  <c r="O122" i="6"/>
  <c r="P122" i="6" s="1"/>
  <c r="K122" i="6"/>
  <c r="L122" i="6" s="1"/>
  <c r="O121" i="6"/>
  <c r="P121" i="6" s="1"/>
  <c r="K121" i="6"/>
  <c r="L121" i="6" s="1"/>
  <c r="O120" i="6"/>
  <c r="P120" i="6" s="1"/>
  <c r="K120" i="6"/>
  <c r="L120" i="6" s="1"/>
  <c r="O119" i="6"/>
  <c r="P119" i="6" s="1"/>
  <c r="K119" i="6"/>
  <c r="L119" i="6" s="1"/>
  <c r="O118" i="6"/>
  <c r="P118" i="6" s="1"/>
  <c r="K118" i="6"/>
  <c r="L118" i="6" s="1"/>
  <c r="O117" i="6"/>
  <c r="P117" i="6" s="1"/>
  <c r="K117" i="6"/>
  <c r="L117" i="6" s="1"/>
  <c r="O116" i="6"/>
  <c r="P116" i="6" s="1"/>
  <c r="K116" i="6"/>
  <c r="L116" i="6" s="1"/>
  <c r="O115" i="6"/>
  <c r="P115" i="6" s="1"/>
  <c r="K115" i="6"/>
  <c r="L115" i="6" s="1"/>
  <c r="O114" i="6"/>
  <c r="P114" i="6" s="1"/>
  <c r="K114" i="6"/>
  <c r="L114" i="6" s="1"/>
  <c r="O113" i="6"/>
  <c r="P113" i="6" s="1"/>
  <c r="Q112" i="6" s="1"/>
  <c r="R112" i="6" s="1"/>
  <c r="K113" i="6"/>
  <c r="L113" i="6" s="1"/>
  <c r="O112" i="6"/>
  <c r="P112" i="6" s="1"/>
  <c r="K112" i="6"/>
  <c r="L112" i="6" s="1"/>
  <c r="O109" i="6"/>
  <c r="P109" i="6" s="1"/>
  <c r="K109" i="6"/>
  <c r="L109" i="6" s="1"/>
  <c r="O108" i="6"/>
  <c r="P108" i="6" s="1"/>
  <c r="K108" i="6"/>
  <c r="L108" i="6" s="1"/>
  <c r="O107" i="6"/>
  <c r="P107" i="6" s="1"/>
  <c r="K107" i="6"/>
  <c r="L107" i="6" s="1"/>
  <c r="O106" i="6"/>
  <c r="P106" i="6" s="1"/>
  <c r="K106" i="6"/>
  <c r="L106" i="6" s="1"/>
  <c r="M104" i="6" s="1"/>
  <c r="N104" i="6" s="1"/>
  <c r="S104" i="6" s="1"/>
  <c r="O105" i="6"/>
  <c r="P105" i="6" s="1"/>
  <c r="K105" i="6"/>
  <c r="L105" i="6" s="1"/>
  <c r="Q104" i="6"/>
  <c r="R104" i="6" s="1"/>
  <c r="O104" i="6"/>
  <c r="P104" i="6" s="1"/>
  <c r="K104" i="6"/>
  <c r="L104" i="6" s="1"/>
  <c r="O103" i="6"/>
  <c r="P103" i="6" s="1"/>
  <c r="K103" i="6"/>
  <c r="L103" i="6" s="1"/>
  <c r="O102" i="6"/>
  <c r="P102" i="6" s="1"/>
  <c r="K102" i="6"/>
  <c r="L102" i="6" s="1"/>
  <c r="O101" i="6"/>
  <c r="P101" i="6" s="1"/>
  <c r="K101" i="6"/>
  <c r="L101" i="6" s="1"/>
  <c r="O100" i="6"/>
  <c r="P100" i="6" s="1"/>
  <c r="K100" i="6"/>
  <c r="L100" i="6" s="1"/>
  <c r="O99" i="6"/>
  <c r="P99" i="6" s="1"/>
  <c r="K99" i="6"/>
  <c r="L99" i="6" s="1"/>
  <c r="O98" i="6"/>
  <c r="P98" i="6" s="1"/>
  <c r="Q98" i="6" s="1"/>
  <c r="R98" i="6" s="1"/>
  <c r="K98" i="6"/>
  <c r="L98" i="6" s="1"/>
  <c r="O97" i="6"/>
  <c r="P97" i="6" s="1"/>
  <c r="K97" i="6"/>
  <c r="L97" i="6" s="1"/>
  <c r="O96" i="6"/>
  <c r="P96" i="6" s="1"/>
  <c r="K96" i="6"/>
  <c r="L96" i="6" s="1"/>
  <c r="O95" i="6"/>
  <c r="P95" i="6" s="1"/>
  <c r="K95" i="6"/>
  <c r="L95" i="6" s="1"/>
  <c r="O94" i="6"/>
  <c r="P94" i="6" s="1"/>
  <c r="K94" i="6"/>
  <c r="L94" i="6" s="1"/>
  <c r="P93" i="6"/>
  <c r="O93" i="6"/>
  <c r="K93" i="6"/>
  <c r="L93" i="6" s="1"/>
  <c r="O92" i="6"/>
  <c r="P92" i="6" s="1"/>
  <c r="K92" i="6"/>
  <c r="L92" i="6" s="1"/>
  <c r="O91" i="6"/>
  <c r="P91" i="6" s="1"/>
  <c r="K91" i="6"/>
  <c r="L91" i="6" s="1"/>
  <c r="O90" i="6"/>
  <c r="P90" i="6" s="1"/>
  <c r="Q86" i="6" s="1"/>
  <c r="R86" i="6" s="1"/>
  <c r="K90" i="6"/>
  <c r="L90" i="6" s="1"/>
  <c r="O89" i="6"/>
  <c r="P89" i="6" s="1"/>
  <c r="L89" i="6"/>
  <c r="K89" i="6"/>
  <c r="O88" i="6"/>
  <c r="P88" i="6" s="1"/>
  <c r="K88" i="6"/>
  <c r="L88" i="6" s="1"/>
  <c r="O87" i="6"/>
  <c r="P87" i="6" s="1"/>
  <c r="L87" i="6"/>
  <c r="K87" i="6"/>
  <c r="O86" i="6"/>
  <c r="P86" i="6" s="1"/>
  <c r="K86" i="6"/>
  <c r="L86" i="6" s="1"/>
  <c r="O85" i="6"/>
  <c r="P85" i="6" s="1"/>
  <c r="K85" i="6"/>
  <c r="L85" i="6" s="1"/>
  <c r="O84" i="6"/>
  <c r="P84" i="6" s="1"/>
  <c r="K84" i="6"/>
  <c r="L84" i="6" s="1"/>
  <c r="O83" i="6"/>
  <c r="P83" i="6" s="1"/>
  <c r="K83" i="6"/>
  <c r="L83" i="6" s="1"/>
  <c r="O82" i="6"/>
  <c r="P82" i="6" s="1"/>
  <c r="K82" i="6"/>
  <c r="L82" i="6" s="1"/>
  <c r="O81" i="6"/>
  <c r="P81" i="6" s="1"/>
  <c r="K81" i="6"/>
  <c r="L81" i="6" s="1"/>
  <c r="O80" i="6"/>
  <c r="P80" i="6" s="1"/>
  <c r="L80" i="6"/>
  <c r="K80" i="6"/>
  <c r="O79" i="6"/>
  <c r="P79" i="6" s="1"/>
  <c r="K79" i="6"/>
  <c r="L79" i="6" s="1"/>
  <c r="O78" i="6"/>
  <c r="P78" i="6" s="1"/>
  <c r="K78" i="6"/>
  <c r="L78" i="6" s="1"/>
  <c r="O77" i="6"/>
  <c r="P77" i="6" s="1"/>
  <c r="K77" i="6"/>
  <c r="L77" i="6" s="1"/>
  <c r="O76" i="6"/>
  <c r="P76" i="6" s="1"/>
  <c r="K76" i="6"/>
  <c r="L76" i="6" s="1"/>
  <c r="O73" i="6"/>
  <c r="P73" i="6" s="1"/>
  <c r="K73" i="6"/>
  <c r="L73" i="6" s="1"/>
  <c r="O72" i="6"/>
  <c r="P72" i="6" s="1"/>
  <c r="L72" i="6"/>
  <c r="K72" i="6"/>
  <c r="O71" i="6"/>
  <c r="P71" i="6" s="1"/>
  <c r="K71" i="6"/>
  <c r="L71" i="6" s="1"/>
  <c r="O70" i="6"/>
  <c r="P70" i="6" s="1"/>
  <c r="K70" i="6"/>
  <c r="L70" i="6" s="1"/>
  <c r="O69" i="6"/>
  <c r="P69" i="6" s="1"/>
  <c r="K69" i="6"/>
  <c r="L69" i="6" s="1"/>
  <c r="O68" i="6"/>
  <c r="P68" i="6" s="1"/>
  <c r="Q68" i="6" s="1"/>
  <c r="R68" i="6" s="1"/>
  <c r="K68" i="6"/>
  <c r="L68" i="6" s="1"/>
  <c r="O67" i="6"/>
  <c r="P67" i="6" s="1"/>
  <c r="K67" i="6"/>
  <c r="L67" i="6" s="1"/>
  <c r="O66" i="6"/>
  <c r="P66" i="6" s="1"/>
  <c r="K66" i="6"/>
  <c r="L66" i="6" s="1"/>
  <c r="O65" i="6"/>
  <c r="P65" i="6" s="1"/>
  <c r="K65" i="6"/>
  <c r="L65" i="6" s="1"/>
  <c r="O64" i="6"/>
  <c r="P64" i="6" s="1"/>
  <c r="K64" i="6"/>
  <c r="L64" i="6" s="1"/>
  <c r="P63" i="6"/>
  <c r="O63" i="6"/>
  <c r="K63" i="6"/>
  <c r="L63" i="6" s="1"/>
  <c r="O62" i="6"/>
  <c r="P62" i="6" s="1"/>
  <c r="K62" i="6"/>
  <c r="L62" i="6" s="1"/>
  <c r="O61" i="6"/>
  <c r="P61" i="6" s="1"/>
  <c r="L61" i="6"/>
  <c r="K61" i="6"/>
  <c r="O60" i="6"/>
  <c r="P60" i="6" s="1"/>
  <c r="K60" i="6"/>
  <c r="L60" i="6" s="1"/>
  <c r="O59" i="6"/>
  <c r="P59" i="6" s="1"/>
  <c r="K59" i="6"/>
  <c r="L59" i="6" s="1"/>
  <c r="O58" i="6"/>
  <c r="P58" i="6" s="1"/>
  <c r="K58" i="6"/>
  <c r="L58" i="6" s="1"/>
  <c r="O57" i="6"/>
  <c r="P57" i="6" s="1"/>
  <c r="L57" i="6"/>
  <c r="K57" i="6"/>
  <c r="O56" i="6"/>
  <c r="P56" i="6" s="1"/>
  <c r="K56" i="6"/>
  <c r="L56" i="6" s="1"/>
  <c r="O55" i="6"/>
  <c r="P55" i="6" s="1"/>
  <c r="K55" i="6"/>
  <c r="L55" i="6" s="1"/>
  <c r="O54" i="6"/>
  <c r="P54" i="6" s="1"/>
  <c r="K54" i="6"/>
  <c r="L54" i="6" s="1"/>
  <c r="O53" i="6"/>
  <c r="P53" i="6" s="1"/>
  <c r="K53" i="6"/>
  <c r="L53" i="6" s="1"/>
  <c r="O52" i="6"/>
  <c r="P52" i="6" s="1"/>
  <c r="K52" i="6"/>
  <c r="L52" i="6" s="1"/>
  <c r="O51" i="6"/>
  <c r="P51" i="6" s="1"/>
  <c r="K51" i="6"/>
  <c r="L51" i="6" s="1"/>
  <c r="O50" i="6"/>
  <c r="P50" i="6" s="1"/>
  <c r="K50" i="6"/>
  <c r="L50" i="6" s="1"/>
  <c r="O49" i="6"/>
  <c r="P49" i="6" s="1"/>
  <c r="K49" i="6"/>
  <c r="L49" i="6" s="1"/>
  <c r="O48" i="6"/>
  <c r="P48" i="6" s="1"/>
  <c r="K48" i="6"/>
  <c r="L48" i="6" s="1"/>
  <c r="O47" i="6"/>
  <c r="P47" i="6" s="1"/>
  <c r="K47" i="6"/>
  <c r="L47" i="6" s="1"/>
  <c r="O46" i="6"/>
  <c r="P46" i="6" s="1"/>
  <c r="K46" i="6"/>
  <c r="L46" i="6" s="1"/>
  <c r="O45" i="6"/>
  <c r="P45" i="6" s="1"/>
  <c r="K45" i="6"/>
  <c r="L45" i="6" s="1"/>
  <c r="O44" i="6"/>
  <c r="P44" i="6" s="1"/>
  <c r="Q44" i="6" s="1"/>
  <c r="R44" i="6" s="1"/>
  <c r="K44" i="6"/>
  <c r="L44" i="6" s="1"/>
  <c r="M44" i="6" s="1"/>
  <c r="N44" i="6" s="1"/>
  <c r="S44" i="6" s="1"/>
  <c r="O43" i="6"/>
  <c r="P43" i="6" s="1"/>
  <c r="K43" i="6"/>
  <c r="L43" i="6" s="1"/>
  <c r="O42" i="6"/>
  <c r="P42" i="6" s="1"/>
  <c r="K42" i="6"/>
  <c r="L42" i="6" s="1"/>
  <c r="O41" i="6"/>
  <c r="P41" i="6" s="1"/>
  <c r="K41" i="6"/>
  <c r="L41" i="6" s="1"/>
  <c r="O40" i="6"/>
  <c r="P40" i="6" s="1"/>
  <c r="Q40" i="6" s="1"/>
  <c r="R40" i="6" s="1"/>
  <c r="K40" i="6"/>
  <c r="L40" i="6" s="1"/>
  <c r="M40" i="6" s="1"/>
  <c r="N40" i="6" s="1"/>
  <c r="S40" i="6" s="1"/>
  <c r="O37" i="6"/>
  <c r="P37" i="6" s="1"/>
  <c r="K37" i="6"/>
  <c r="L37" i="6" s="1"/>
  <c r="O36" i="6"/>
  <c r="P36" i="6" s="1"/>
  <c r="K36" i="6"/>
  <c r="L36" i="6" s="1"/>
  <c r="O35" i="6"/>
  <c r="P35" i="6" s="1"/>
  <c r="K35" i="6"/>
  <c r="L35" i="6" s="1"/>
  <c r="O34" i="6"/>
  <c r="P34" i="6" s="1"/>
  <c r="K34" i="6"/>
  <c r="L34" i="6" s="1"/>
  <c r="O33" i="6"/>
  <c r="P33" i="6" s="1"/>
  <c r="K33" i="6"/>
  <c r="L33" i="6" s="1"/>
  <c r="O32" i="6"/>
  <c r="P32" i="6" s="1"/>
  <c r="Q32" i="6" s="1"/>
  <c r="R32" i="6" s="1"/>
  <c r="K32" i="6"/>
  <c r="L32" i="6" s="1"/>
  <c r="M32" i="6" s="1"/>
  <c r="N32" i="6" s="1"/>
  <c r="S32" i="6" s="1"/>
  <c r="O31" i="6"/>
  <c r="P31" i="6" s="1"/>
  <c r="K31" i="6"/>
  <c r="L31" i="6" s="1"/>
  <c r="O30" i="6"/>
  <c r="P30" i="6" s="1"/>
  <c r="K30" i="6"/>
  <c r="L30" i="6" s="1"/>
  <c r="O29" i="6"/>
  <c r="P29" i="6" s="1"/>
  <c r="K29" i="6"/>
  <c r="L29" i="6" s="1"/>
  <c r="O28" i="6"/>
  <c r="P28" i="6" s="1"/>
  <c r="K28" i="6"/>
  <c r="L28" i="6" s="1"/>
  <c r="O27" i="6"/>
  <c r="P27" i="6" s="1"/>
  <c r="K27" i="6"/>
  <c r="L27" i="6" s="1"/>
  <c r="O26" i="6"/>
  <c r="P26" i="6" s="1"/>
  <c r="Q26" i="6" s="1"/>
  <c r="R26" i="6" s="1"/>
  <c r="K26" i="6"/>
  <c r="L26" i="6" s="1"/>
  <c r="M26" i="6" s="1"/>
  <c r="N26" i="6" s="1"/>
  <c r="S26" i="6" s="1"/>
  <c r="O25" i="6"/>
  <c r="P25" i="6" s="1"/>
  <c r="K25" i="6"/>
  <c r="L25" i="6" s="1"/>
  <c r="O24" i="6"/>
  <c r="P24" i="6" s="1"/>
  <c r="K24" i="6"/>
  <c r="L24" i="6" s="1"/>
  <c r="O23" i="6"/>
  <c r="P23" i="6" s="1"/>
  <c r="K23" i="6"/>
  <c r="L23" i="6" s="1"/>
  <c r="O22" i="6"/>
  <c r="P22" i="6" s="1"/>
  <c r="K22" i="6"/>
  <c r="L22" i="6" s="1"/>
  <c r="O21" i="6"/>
  <c r="P21" i="6" s="1"/>
  <c r="K21" i="6"/>
  <c r="L21" i="6" s="1"/>
  <c r="O20" i="6"/>
  <c r="P20" i="6" s="1"/>
  <c r="Q20" i="6" s="1"/>
  <c r="R20" i="6" s="1"/>
  <c r="K20" i="6"/>
  <c r="L20" i="6" s="1"/>
  <c r="M20" i="6" s="1"/>
  <c r="N20" i="6" s="1"/>
  <c r="S20" i="6" s="1"/>
  <c r="O19" i="6"/>
  <c r="P19" i="6" s="1"/>
  <c r="K19" i="6"/>
  <c r="L19" i="6" s="1"/>
  <c r="O18" i="6"/>
  <c r="P18" i="6" s="1"/>
  <c r="K18" i="6"/>
  <c r="L18" i="6" s="1"/>
  <c r="O17" i="6"/>
  <c r="P17" i="6" s="1"/>
  <c r="K17" i="6"/>
  <c r="L17" i="6" s="1"/>
  <c r="O16" i="6"/>
  <c r="P16" i="6" s="1"/>
  <c r="K16" i="6"/>
  <c r="L16" i="6" s="1"/>
  <c r="O15" i="6"/>
  <c r="P15" i="6" s="1"/>
  <c r="K15" i="6"/>
  <c r="L15" i="6" s="1"/>
  <c r="O14" i="6"/>
  <c r="P14" i="6" s="1"/>
  <c r="Q14" i="6" s="1"/>
  <c r="R14" i="6" s="1"/>
  <c r="K14" i="6"/>
  <c r="L14" i="6" s="1"/>
  <c r="M14" i="6" s="1"/>
  <c r="N14" i="6" s="1"/>
  <c r="S14" i="6" s="1"/>
  <c r="O13" i="6"/>
  <c r="P13" i="6" s="1"/>
  <c r="K13" i="6"/>
  <c r="L13" i="6" s="1"/>
  <c r="O12" i="6"/>
  <c r="P12" i="6" s="1"/>
  <c r="K12" i="6"/>
  <c r="L12" i="6" s="1"/>
  <c r="O11" i="6"/>
  <c r="P11" i="6" s="1"/>
  <c r="K11" i="6"/>
  <c r="L11" i="6" s="1"/>
  <c r="O10" i="6"/>
  <c r="P10" i="6" s="1"/>
  <c r="K10" i="6"/>
  <c r="L10" i="6" s="1"/>
  <c r="O9" i="6"/>
  <c r="P9" i="6" s="1"/>
  <c r="K9" i="6"/>
  <c r="L9" i="6" s="1"/>
  <c r="O8" i="6"/>
  <c r="P8" i="6" s="1"/>
  <c r="Q8" i="6" s="1"/>
  <c r="R8" i="6" s="1"/>
  <c r="K8" i="6"/>
  <c r="L8" i="6" s="1"/>
  <c r="M8" i="6" s="1"/>
  <c r="N8" i="6" s="1"/>
  <c r="S8" i="6" s="1"/>
  <c r="O7" i="6"/>
  <c r="P7" i="6" s="1"/>
  <c r="K7" i="6"/>
  <c r="L7" i="6" s="1"/>
  <c r="O6" i="6"/>
  <c r="P6" i="6" s="1"/>
  <c r="K6" i="6"/>
  <c r="L6" i="6" s="1"/>
  <c r="O5" i="6"/>
  <c r="P5" i="6" s="1"/>
  <c r="K5" i="6"/>
  <c r="L5" i="6" s="1"/>
  <c r="O4" i="6"/>
  <c r="P4" i="6" s="1"/>
  <c r="Q4" i="6" s="1"/>
  <c r="R4" i="6" s="1"/>
  <c r="K4" i="6"/>
  <c r="L4" i="6" s="1"/>
  <c r="M4" i="6" s="1"/>
  <c r="N4" i="6" s="1"/>
  <c r="S4" i="6" s="1"/>
  <c r="P721" i="5"/>
  <c r="O721" i="5"/>
  <c r="K721" i="5"/>
  <c r="L721" i="5" s="1"/>
  <c r="O720" i="5"/>
  <c r="P720" i="5" s="1"/>
  <c r="L720" i="5"/>
  <c r="K720" i="5"/>
  <c r="O719" i="5"/>
  <c r="P719" i="5" s="1"/>
  <c r="L719" i="5"/>
  <c r="K719" i="5"/>
  <c r="O718" i="5"/>
  <c r="P718" i="5" s="1"/>
  <c r="L718" i="5"/>
  <c r="K718" i="5"/>
  <c r="O717" i="5"/>
  <c r="P717" i="5" s="1"/>
  <c r="L717" i="5"/>
  <c r="K717" i="5"/>
  <c r="O716" i="5"/>
  <c r="P716" i="5" s="1"/>
  <c r="L716" i="5"/>
  <c r="K716" i="5"/>
  <c r="O715" i="5"/>
  <c r="P715" i="5" s="1"/>
  <c r="L715" i="5"/>
  <c r="K715" i="5"/>
  <c r="O714" i="5"/>
  <c r="P714" i="5" s="1"/>
  <c r="L714" i="5"/>
  <c r="K714" i="5"/>
  <c r="O713" i="5"/>
  <c r="P713" i="5" s="1"/>
  <c r="L713" i="5"/>
  <c r="K713" i="5"/>
  <c r="O712" i="5"/>
  <c r="P712" i="5" s="1"/>
  <c r="L712" i="5"/>
  <c r="K712" i="5"/>
  <c r="O711" i="5"/>
  <c r="P711" i="5" s="1"/>
  <c r="L711" i="5"/>
  <c r="K711" i="5"/>
  <c r="P710" i="5"/>
  <c r="O710" i="5"/>
  <c r="L710" i="5"/>
  <c r="M710" i="5" s="1"/>
  <c r="N710" i="5" s="1"/>
  <c r="S710" i="5" s="1"/>
  <c r="K710" i="5"/>
  <c r="P709" i="5"/>
  <c r="O709" i="5"/>
  <c r="L709" i="5"/>
  <c r="K709" i="5"/>
  <c r="P708" i="5"/>
  <c r="O708" i="5"/>
  <c r="L708" i="5"/>
  <c r="K708" i="5"/>
  <c r="P707" i="5"/>
  <c r="O707" i="5"/>
  <c r="L707" i="5"/>
  <c r="K707" i="5"/>
  <c r="P706" i="5"/>
  <c r="O706" i="5"/>
  <c r="L706" i="5"/>
  <c r="K706" i="5"/>
  <c r="P705" i="5"/>
  <c r="O705" i="5"/>
  <c r="L705" i="5"/>
  <c r="K705" i="5"/>
  <c r="P704" i="5"/>
  <c r="O704" i="5"/>
  <c r="L704" i="5"/>
  <c r="M704" i="5" s="1"/>
  <c r="N704" i="5" s="1"/>
  <c r="S704" i="5" s="1"/>
  <c r="K704" i="5"/>
  <c r="P703" i="5"/>
  <c r="O703" i="5"/>
  <c r="L703" i="5"/>
  <c r="K703" i="5"/>
  <c r="P702" i="5"/>
  <c r="O702" i="5"/>
  <c r="L702" i="5"/>
  <c r="K702" i="5"/>
  <c r="P701" i="5"/>
  <c r="O701" i="5"/>
  <c r="L701" i="5"/>
  <c r="K701" i="5"/>
  <c r="P700" i="5"/>
  <c r="O700" i="5"/>
  <c r="L700" i="5"/>
  <c r="K700" i="5"/>
  <c r="P699" i="5"/>
  <c r="O699" i="5"/>
  <c r="L699" i="5"/>
  <c r="K699" i="5"/>
  <c r="O698" i="5"/>
  <c r="P698" i="5" s="1"/>
  <c r="Q698" i="5" s="1"/>
  <c r="R698" i="5" s="1"/>
  <c r="L698" i="5"/>
  <c r="K698" i="5"/>
  <c r="O697" i="5"/>
  <c r="P697" i="5" s="1"/>
  <c r="L697" i="5"/>
  <c r="K697" i="5"/>
  <c r="O696" i="5"/>
  <c r="P696" i="5" s="1"/>
  <c r="L696" i="5"/>
  <c r="K696" i="5"/>
  <c r="O695" i="5"/>
  <c r="P695" i="5" s="1"/>
  <c r="L695" i="5"/>
  <c r="K695" i="5"/>
  <c r="O694" i="5"/>
  <c r="P694" i="5" s="1"/>
  <c r="L694" i="5"/>
  <c r="K694" i="5"/>
  <c r="O693" i="5"/>
  <c r="P693" i="5" s="1"/>
  <c r="L693" i="5"/>
  <c r="K693" i="5"/>
  <c r="O692" i="5"/>
  <c r="P692" i="5" s="1"/>
  <c r="L692" i="5"/>
  <c r="M692" i="5" s="1"/>
  <c r="N692" i="5" s="1"/>
  <c r="S692" i="5" s="1"/>
  <c r="K692" i="5"/>
  <c r="O691" i="5"/>
  <c r="P691" i="5" s="1"/>
  <c r="L691" i="5"/>
  <c r="K691" i="5"/>
  <c r="O690" i="5"/>
  <c r="P690" i="5" s="1"/>
  <c r="L690" i="5"/>
  <c r="K690" i="5"/>
  <c r="O689" i="5"/>
  <c r="P689" i="5" s="1"/>
  <c r="Q688" i="5" s="1"/>
  <c r="R688" i="5" s="1"/>
  <c r="L689" i="5"/>
  <c r="K689" i="5"/>
  <c r="P688" i="5"/>
  <c r="O688" i="5"/>
  <c r="L688" i="5"/>
  <c r="M688" i="5" s="1"/>
  <c r="N688" i="5" s="1"/>
  <c r="S688" i="5" s="1"/>
  <c r="K688" i="5"/>
  <c r="O685" i="5"/>
  <c r="P685" i="5" s="1"/>
  <c r="K685" i="5"/>
  <c r="L685" i="5" s="1"/>
  <c r="O684" i="5"/>
  <c r="P684" i="5" s="1"/>
  <c r="L684" i="5"/>
  <c r="K684" i="5"/>
  <c r="O683" i="5"/>
  <c r="P683" i="5" s="1"/>
  <c r="L683" i="5"/>
  <c r="K683" i="5"/>
  <c r="O682" i="5"/>
  <c r="P682" i="5" s="1"/>
  <c r="L682" i="5"/>
  <c r="K682" i="5"/>
  <c r="O681" i="5"/>
  <c r="P681" i="5" s="1"/>
  <c r="L681" i="5"/>
  <c r="K681" i="5"/>
  <c r="O680" i="5"/>
  <c r="P680" i="5" s="1"/>
  <c r="Q680" i="5" s="1"/>
  <c r="R680" i="5" s="1"/>
  <c r="K680" i="5"/>
  <c r="L680" i="5" s="1"/>
  <c r="P679" i="5"/>
  <c r="O679" i="5"/>
  <c r="L679" i="5"/>
  <c r="K679" i="5"/>
  <c r="P678" i="5"/>
  <c r="O678" i="5"/>
  <c r="L678" i="5"/>
  <c r="K678" i="5"/>
  <c r="P677" i="5"/>
  <c r="O677" i="5"/>
  <c r="L677" i="5"/>
  <c r="K677" i="5"/>
  <c r="P676" i="5"/>
  <c r="O676" i="5"/>
  <c r="L676" i="5"/>
  <c r="K676" i="5"/>
  <c r="P675" i="5"/>
  <c r="O675" i="5"/>
  <c r="L675" i="5"/>
  <c r="K675" i="5"/>
  <c r="P674" i="5"/>
  <c r="Q674" i="5" s="1"/>
  <c r="R674" i="5" s="1"/>
  <c r="O674" i="5"/>
  <c r="L674" i="5"/>
  <c r="M674" i="5" s="1"/>
  <c r="N674" i="5" s="1"/>
  <c r="S674" i="5" s="1"/>
  <c r="U674" i="5" s="1"/>
  <c r="K674" i="5"/>
  <c r="P673" i="5"/>
  <c r="O673" i="5"/>
  <c r="L673" i="5"/>
  <c r="K673" i="5"/>
  <c r="P672" i="5"/>
  <c r="O672" i="5"/>
  <c r="L672" i="5"/>
  <c r="K672" i="5"/>
  <c r="P671" i="5"/>
  <c r="O671" i="5"/>
  <c r="L671" i="5"/>
  <c r="K671" i="5"/>
  <c r="P670" i="5"/>
  <c r="O670" i="5"/>
  <c r="L670" i="5"/>
  <c r="K670" i="5"/>
  <c r="P669" i="5"/>
  <c r="O669" i="5"/>
  <c r="L669" i="5"/>
  <c r="K669" i="5"/>
  <c r="P668" i="5"/>
  <c r="Q668" i="5" s="1"/>
  <c r="R668" i="5" s="1"/>
  <c r="O668" i="5"/>
  <c r="L668" i="5"/>
  <c r="M668" i="5" s="1"/>
  <c r="N668" i="5" s="1"/>
  <c r="S668" i="5" s="1"/>
  <c r="K668" i="5"/>
  <c r="P667" i="5"/>
  <c r="O667" i="5"/>
  <c r="L667" i="5"/>
  <c r="K667" i="5"/>
  <c r="P666" i="5"/>
  <c r="O666" i="5"/>
  <c r="L666" i="5"/>
  <c r="K666" i="5"/>
  <c r="P665" i="5"/>
  <c r="O665" i="5"/>
  <c r="L665" i="5"/>
  <c r="K665" i="5"/>
  <c r="P664" i="5"/>
  <c r="O664" i="5"/>
  <c r="L664" i="5"/>
  <c r="K664" i="5"/>
  <c r="P663" i="5"/>
  <c r="O663" i="5"/>
  <c r="L663" i="5"/>
  <c r="K663" i="5"/>
  <c r="P662" i="5"/>
  <c r="O662" i="5"/>
  <c r="L662" i="5"/>
  <c r="M662" i="5" s="1"/>
  <c r="N662" i="5" s="1"/>
  <c r="S662" i="5" s="1"/>
  <c r="K662" i="5"/>
  <c r="P661" i="5"/>
  <c r="O661" i="5"/>
  <c r="L661" i="5"/>
  <c r="K661" i="5"/>
  <c r="P660" i="5"/>
  <c r="O660" i="5"/>
  <c r="L660" i="5"/>
  <c r="K660" i="5"/>
  <c r="P659" i="5"/>
  <c r="O659" i="5"/>
  <c r="L659" i="5"/>
  <c r="K659" i="5"/>
  <c r="P658" i="5"/>
  <c r="O658" i="5"/>
  <c r="L658" i="5"/>
  <c r="K658" i="5"/>
  <c r="P657" i="5"/>
  <c r="O657" i="5"/>
  <c r="L657" i="5"/>
  <c r="M656" i="5" s="1"/>
  <c r="N656" i="5" s="1"/>
  <c r="S656" i="5" s="1"/>
  <c r="K657" i="5"/>
  <c r="P656" i="5"/>
  <c r="Q656" i="5" s="1"/>
  <c r="R656" i="5" s="1"/>
  <c r="O656" i="5"/>
  <c r="L656" i="5"/>
  <c r="K656" i="5"/>
  <c r="P655" i="5"/>
  <c r="O655" i="5"/>
  <c r="L655" i="5"/>
  <c r="K655" i="5"/>
  <c r="P654" i="5"/>
  <c r="O654" i="5"/>
  <c r="L654" i="5"/>
  <c r="K654" i="5"/>
  <c r="P653" i="5"/>
  <c r="O653" i="5"/>
  <c r="L653" i="5"/>
  <c r="K653" i="5"/>
  <c r="P652" i="5"/>
  <c r="Q652" i="5" s="1"/>
  <c r="R652" i="5" s="1"/>
  <c r="O652" i="5"/>
  <c r="L652" i="5"/>
  <c r="M652" i="5" s="1"/>
  <c r="N652" i="5" s="1"/>
  <c r="S652" i="5" s="1"/>
  <c r="U652" i="5" s="1"/>
  <c r="K652" i="5"/>
  <c r="O649" i="5"/>
  <c r="P649" i="5" s="1"/>
  <c r="L649" i="5"/>
  <c r="K649" i="5"/>
  <c r="P648" i="5"/>
  <c r="O648" i="5"/>
  <c r="L648" i="5"/>
  <c r="K648" i="5"/>
  <c r="P647" i="5"/>
  <c r="O647" i="5"/>
  <c r="L647" i="5"/>
  <c r="K647" i="5"/>
  <c r="P646" i="5"/>
  <c r="O646" i="5"/>
  <c r="L646" i="5"/>
  <c r="K646" i="5"/>
  <c r="P645" i="5"/>
  <c r="O645" i="5"/>
  <c r="L645" i="5"/>
  <c r="K645" i="5"/>
  <c r="P644" i="5"/>
  <c r="O644" i="5"/>
  <c r="L644" i="5"/>
  <c r="M644" i="5" s="1"/>
  <c r="N644" i="5" s="1"/>
  <c r="S644" i="5" s="1"/>
  <c r="K644" i="5"/>
  <c r="P643" i="5"/>
  <c r="O643" i="5"/>
  <c r="L643" i="5"/>
  <c r="K643" i="5"/>
  <c r="P642" i="5"/>
  <c r="O642" i="5"/>
  <c r="L642" i="5"/>
  <c r="K642" i="5"/>
  <c r="P641" i="5"/>
  <c r="O641" i="5"/>
  <c r="L641" i="5"/>
  <c r="K641" i="5"/>
  <c r="P640" i="5"/>
  <c r="O640" i="5"/>
  <c r="L640" i="5"/>
  <c r="K640" i="5"/>
  <c r="P639" i="5"/>
  <c r="O639" i="5"/>
  <c r="L639" i="5"/>
  <c r="K639" i="5"/>
  <c r="O638" i="5"/>
  <c r="P638" i="5" s="1"/>
  <c r="Q638" i="5" s="1"/>
  <c r="R638" i="5" s="1"/>
  <c r="K638" i="5"/>
  <c r="L638" i="5" s="1"/>
  <c r="P637" i="5"/>
  <c r="O637" i="5"/>
  <c r="L637" i="5"/>
  <c r="K637" i="5"/>
  <c r="P636" i="5"/>
  <c r="O636" i="5"/>
  <c r="L636" i="5"/>
  <c r="K636" i="5"/>
  <c r="P635" i="5"/>
  <c r="O635" i="5"/>
  <c r="L635" i="5"/>
  <c r="K635" i="5"/>
  <c r="P634" i="5"/>
  <c r="O634" i="5"/>
  <c r="L634" i="5"/>
  <c r="K634" i="5"/>
  <c r="P633" i="5"/>
  <c r="O633" i="5"/>
  <c r="L633" i="5"/>
  <c r="K633" i="5"/>
  <c r="P632" i="5"/>
  <c r="Q632" i="5" s="1"/>
  <c r="R632" i="5" s="1"/>
  <c r="O632" i="5"/>
  <c r="L632" i="5"/>
  <c r="M632" i="5" s="1"/>
  <c r="N632" i="5" s="1"/>
  <c r="S632" i="5" s="1"/>
  <c r="K632" i="5"/>
  <c r="P631" i="5"/>
  <c r="O631" i="5"/>
  <c r="L631" i="5"/>
  <c r="K631" i="5"/>
  <c r="P630" i="5"/>
  <c r="O630" i="5"/>
  <c r="L630" i="5"/>
  <c r="K630" i="5"/>
  <c r="P629" i="5"/>
  <c r="O629" i="5"/>
  <c r="L629" i="5"/>
  <c r="K629" i="5"/>
  <c r="P628" i="5"/>
  <c r="O628" i="5"/>
  <c r="L628" i="5"/>
  <c r="K628" i="5"/>
  <c r="P627" i="5"/>
  <c r="O627" i="5"/>
  <c r="L627" i="5"/>
  <c r="K627" i="5"/>
  <c r="O626" i="5"/>
  <c r="P626" i="5" s="1"/>
  <c r="Q626" i="5" s="1"/>
  <c r="R626" i="5" s="1"/>
  <c r="L626" i="5"/>
  <c r="M626" i="5" s="1"/>
  <c r="N626" i="5" s="1"/>
  <c r="S626" i="5" s="1"/>
  <c r="K626" i="5"/>
  <c r="O625" i="5"/>
  <c r="P625" i="5" s="1"/>
  <c r="L625" i="5"/>
  <c r="K625" i="5"/>
  <c r="O624" i="5"/>
  <c r="P624" i="5" s="1"/>
  <c r="L624" i="5"/>
  <c r="K624" i="5"/>
  <c r="O623" i="5"/>
  <c r="P623" i="5" s="1"/>
  <c r="L623" i="5"/>
  <c r="K623" i="5"/>
  <c r="O622" i="5"/>
  <c r="P622" i="5" s="1"/>
  <c r="L622" i="5"/>
  <c r="K622" i="5"/>
  <c r="O621" i="5"/>
  <c r="P621" i="5" s="1"/>
  <c r="L621" i="5"/>
  <c r="K621" i="5"/>
  <c r="O620" i="5"/>
  <c r="P620" i="5" s="1"/>
  <c r="L620" i="5"/>
  <c r="M620" i="5" s="1"/>
  <c r="N620" i="5" s="1"/>
  <c r="S620" i="5" s="1"/>
  <c r="K620" i="5"/>
  <c r="O619" i="5"/>
  <c r="P619" i="5" s="1"/>
  <c r="L619" i="5"/>
  <c r="K619" i="5"/>
  <c r="O618" i="5"/>
  <c r="P618" i="5" s="1"/>
  <c r="L618" i="5"/>
  <c r="K618" i="5"/>
  <c r="O617" i="5"/>
  <c r="P617" i="5" s="1"/>
  <c r="L617" i="5"/>
  <c r="K617" i="5"/>
  <c r="P616" i="5"/>
  <c r="O616" i="5"/>
  <c r="L616" i="5"/>
  <c r="K616" i="5"/>
  <c r="O613" i="5"/>
  <c r="P613" i="5" s="1"/>
  <c r="L613" i="5"/>
  <c r="K613" i="5"/>
  <c r="O612" i="5"/>
  <c r="P612" i="5" s="1"/>
  <c r="L612" i="5"/>
  <c r="K612" i="5"/>
  <c r="O611" i="5"/>
  <c r="P611" i="5" s="1"/>
  <c r="L611" i="5"/>
  <c r="K611" i="5"/>
  <c r="O610" i="5"/>
  <c r="P610" i="5" s="1"/>
  <c r="L610" i="5"/>
  <c r="K610" i="5"/>
  <c r="O609" i="5"/>
  <c r="P609" i="5" s="1"/>
  <c r="L609" i="5"/>
  <c r="K609" i="5"/>
  <c r="P608" i="5"/>
  <c r="O608" i="5"/>
  <c r="L608" i="5"/>
  <c r="M608" i="5" s="1"/>
  <c r="N608" i="5" s="1"/>
  <c r="S608" i="5" s="1"/>
  <c r="K608" i="5"/>
  <c r="P607" i="5"/>
  <c r="O607" i="5"/>
  <c r="L607" i="5"/>
  <c r="K607" i="5"/>
  <c r="P606" i="5"/>
  <c r="O606" i="5"/>
  <c r="L606" i="5"/>
  <c r="K606" i="5"/>
  <c r="P605" i="5"/>
  <c r="O605" i="5"/>
  <c r="L605" i="5"/>
  <c r="K605" i="5"/>
  <c r="P604" i="5"/>
  <c r="O604" i="5"/>
  <c r="L604" i="5"/>
  <c r="K604" i="5"/>
  <c r="P603" i="5"/>
  <c r="O603" i="5"/>
  <c r="L603" i="5"/>
  <c r="K603" i="5"/>
  <c r="P602" i="5"/>
  <c r="O602" i="5"/>
  <c r="L602" i="5"/>
  <c r="M602" i="5" s="1"/>
  <c r="N602" i="5" s="1"/>
  <c r="S602" i="5" s="1"/>
  <c r="K602" i="5"/>
  <c r="P601" i="5"/>
  <c r="O601" i="5"/>
  <c r="L601" i="5"/>
  <c r="K601" i="5"/>
  <c r="P600" i="5"/>
  <c r="O600" i="5"/>
  <c r="L600" i="5"/>
  <c r="K600" i="5"/>
  <c r="P599" i="5"/>
  <c r="O599" i="5"/>
  <c r="L599" i="5"/>
  <c r="K599" i="5"/>
  <c r="P598" i="5"/>
  <c r="O598" i="5"/>
  <c r="L598" i="5"/>
  <c r="K598" i="5"/>
  <c r="P597" i="5"/>
  <c r="O597" i="5"/>
  <c r="L597" i="5"/>
  <c r="K597" i="5"/>
  <c r="O596" i="5"/>
  <c r="P596" i="5" s="1"/>
  <c r="Q596" i="5" s="1"/>
  <c r="R596" i="5" s="1"/>
  <c r="K596" i="5"/>
  <c r="L596" i="5" s="1"/>
  <c r="P595" i="5"/>
  <c r="O595" i="5"/>
  <c r="K595" i="5"/>
  <c r="L595" i="5" s="1"/>
  <c r="P594" i="5"/>
  <c r="O594" i="5"/>
  <c r="K594" i="5"/>
  <c r="L594" i="5" s="1"/>
  <c r="O593" i="5"/>
  <c r="P593" i="5" s="1"/>
  <c r="K593" i="5"/>
  <c r="L593" i="5" s="1"/>
  <c r="O592" i="5"/>
  <c r="P592" i="5" s="1"/>
  <c r="K592" i="5"/>
  <c r="L592" i="5" s="1"/>
  <c r="P591" i="5"/>
  <c r="O591" i="5"/>
  <c r="K591" i="5"/>
  <c r="L591" i="5" s="1"/>
  <c r="P590" i="5"/>
  <c r="O590" i="5"/>
  <c r="K590" i="5"/>
  <c r="L590" i="5" s="1"/>
  <c r="O589" i="5"/>
  <c r="P589" i="5" s="1"/>
  <c r="K589" i="5"/>
  <c r="L589" i="5" s="1"/>
  <c r="O588" i="5"/>
  <c r="P588" i="5" s="1"/>
  <c r="K588" i="5"/>
  <c r="L588" i="5" s="1"/>
  <c r="P587" i="5"/>
  <c r="O587" i="5"/>
  <c r="K587" i="5"/>
  <c r="L587" i="5" s="1"/>
  <c r="P586" i="5"/>
  <c r="O586" i="5"/>
  <c r="K586" i="5"/>
  <c r="L586" i="5" s="1"/>
  <c r="O585" i="5"/>
  <c r="P585" i="5" s="1"/>
  <c r="K585" i="5"/>
  <c r="L585" i="5" s="1"/>
  <c r="P584" i="5"/>
  <c r="O584" i="5"/>
  <c r="K584" i="5"/>
  <c r="L584" i="5" s="1"/>
  <c r="O583" i="5"/>
  <c r="P583" i="5" s="1"/>
  <c r="L583" i="5"/>
  <c r="K583" i="5"/>
  <c r="O582" i="5"/>
  <c r="P582" i="5" s="1"/>
  <c r="L582" i="5"/>
  <c r="K582" i="5"/>
  <c r="O581" i="5"/>
  <c r="P581" i="5" s="1"/>
  <c r="L581" i="5"/>
  <c r="K581" i="5"/>
  <c r="O580" i="5"/>
  <c r="P580" i="5" s="1"/>
  <c r="L580" i="5"/>
  <c r="M580" i="5" s="1"/>
  <c r="N580" i="5" s="1"/>
  <c r="S580" i="5" s="1"/>
  <c r="K580" i="5"/>
  <c r="P577" i="5"/>
  <c r="O577" i="5"/>
  <c r="K577" i="5"/>
  <c r="L577" i="5" s="1"/>
  <c r="O576" i="5"/>
  <c r="P576" i="5" s="1"/>
  <c r="K576" i="5"/>
  <c r="L576" i="5" s="1"/>
  <c r="O575" i="5"/>
  <c r="P575" i="5" s="1"/>
  <c r="K575" i="5"/>
  <c r="L575" i="5" s="1"/>
  <c r="P574" i="5"/>
  <c r="O574" i="5"/>
  <c r="K574" i="5"/>
  <c r="L574" i="5" s="1"/>
  <c r="P573" i="5"/>
  <c r="O573" i="5"/>
  <c r="K573" i="5"/>
  <c r="L573" i="5" s="1"/>
  <c r="O572" i="5"/>
  <c r="P572" i="5" s="1"/>
  <c r="K572" i="5"/>
  <c r="L572" i="5" s="1"/>
  <c r="M572" i="5" s="1"/>
  <c r="N572" i="5" s="1"/>
  <c r="S572" i="5" s="1"/>
  <c r="P571" i="5"/>
  <c r="O571" i="5"/>
  <c r="K571" i="5"/>
  <c r="L571" i="5" s="1"/>
  <c r="P570" i="5"/>
  <c r="O570" i="5"/>
  <c r="K570" i="5"/>
  <c r="L570" i="5" s="1"/>
  <c r="O569" i="5"/>
  <c r="P569" i="5" s="1"/>
  <c r="K569" i="5"/>
  <c r="L569" i="5" s="1"/>
  <c r="O568" i="5"/>
  <c r="P568" i="5" s="1"/>
  <c r="Q566" i="5" s="1"/>
  <c r="R566" i="5" s="1"/>
  <c r="K568" i="5"/>
  <c r="L568" i="5" s="1"/>
  <c r="P567" i="5"/>
  <c r="O567" i="5"/>
  <c r="K567" i="5"/>
  <c r="L567" i="5" s="1"/>
  <c r="P566" i="5"/>
  <c r="O566" i="5"/>
  <c r="K566" i="5"/>
  <c r="L566" i="5" s="1"/>
  <c r="O565" i="5"/>
  <c r="P565" i="5" s="1"/>
  <c r="K565" i="5"/>
  <c r="L565" i="5" s="1"/>
  <c r="O564" i="5"/>
  <c r="P564" i="5" s="1"/>
  <c r="K564" i="5"/>
  <c r="L564" i="5" s="1"/>
  <c r="O563" i="5"/>
  <c r="P563" i="5" s="1"/>
  <c r="L563" i="5"/>
  <c r="K563" i="5"/>
  <c r="O562" i="5"/>
  <c r="P562" i="5" s="1"/>
  <c r="K562" i="5"/>
  <c r="L562" i="5" s="1"/>
  <c r="O561" i="5"/>
  <c r="P561" i="5" s="1"/>
  <c r="K561" i="5"/>
  <c r="L561" i="5" s="1"/>
  <c r="O560" i="5"/>
  <c r="P560" i="5" s="1"/>
  <c r="K560" i="5"/>
  <c r="L560" i="5" s="1"/>
  <c r="O559" i="5"/>
  <c r="P559" i="5" s="1"/>
  <c r="K559" i="5"/>
  <c r="L559" i="5" s="1"/>
  <c r="P558" i="5"/>
  <c r="O558" i="5"/>
  <c r="K558" i="5"/>
  <c r="L558" i="5" s="1"/>
  <c r="P557" i="5"/>
  <c r="O557" i="5"/>
  <c r="K557" i="5"/>
  <c r="L557" i="5" s="1"/>
  <c r="O556" i="5"/>
  <c r="P556" i="5" s="1"/>
  <c r="K556" i="5"/>
  <c r="L556" i="5" s="1"/>
  <c r="O555" i="5"/>
  <c r="P555" i="5" s="1"/>
  <c r="K555" i="5"/>
  <c r="L555" i="5" s="1"/>
  <c r="O554" i="5"/>
  <c r="P554" i="5" s="1"/>
  <c r="Q554" i="5" s="1"/>
  <c r="R554" i="5" s="1"/>
  <c r="K554" i="5"/>
  <c r="L554" i="5" s="1"/>
  <c r="O553" i="5"/>
  <c r="P553" i="5" s="1"/>
  <c r="K553" i="5"/>
  <c r="L553" i="5" s="1"/>
  <c r="P552" i="5"/>
  <c r="O552" i="5"/>
  <c r="K552" i="5"/>
  <c r="L552" i="5" s="1"/>
  <c r="P551" i="5"/>
  <c r="O551" i="5"/>
  <c r="K551" i="5"/>
  <c r="L551" i="5" s="1"/>
  <c r="O550" i="5"/>
  <c r="P550" i="5" s="1"/>
  <c r="K550" i="5"/>
  <c r="L550" i="5" s="1"/>
  <c r="O549" i="5"/>
  <c r="P549" i="5" s="1"/>
  <c r="K549" i="5"/>
  <c r="L549" i="5" s="1"/>
  <c r="O548" i="5"/>
  <c r="P548" i="5" s="1"/>
  <c r="K548" i="5"/>
  <c r="L548" i="5" s="1"/>
  <c r="O547" i="5"/>
  <c r="P547" i="5" s="1"/>
  <c r="K547" i="5"/>
  <c r="L547" i="5" s="1"/>
  <c r="O546" i="5"/>
  <c r="P546" i="5" s="1"/>
  <c r="K546" i="5"/>
  <c r="L546" i="5" s="1"/>
  <c r="P545" i="5"/>
  <c r="O545" i="5"/>
  <c r="K545" i="5"/>
  <c r="L545" i="5" s="1"/>
  <c r="P544" i="5"/>
  <c r="O544" i="5"/>
  <c r="L544" i="5"/>
  <c r="K544" i="5"/>
  <c r="O541" i="5"/>
  <c r="P541" i="5" s="1"/>
  <c r="L541" i="5"/>
  <c r="K541" i="5"/>
  <c r="O540" i="5"/>
  <c r="P540" i="5" s="1"/>
  <c r="L540" i="5"/>
  <c r="K540" i="5"/>
  <c r="O539" i="5"/>
  <c r="P539" i="5" s="1"/>
  <c r="L539" i="5"/>
  <c r="K539" i="5"/>
  <c r="O538" i="5"/>
  <c r="P538" i="5" s="1"/>
  <c r="L538" i="5"/>
  <c r="K538" i="5"/>
  <c r="O537" i="5"/>
  <c r="P537" i="5" s="1"/>
  <c r="L537" i="5"/>
  <c r="K537" i="5"/>
  <c r="P536" i="5"/>
  <c r="O536" i="5"/>
  <c r="L536" i="5"/>
  <c r="M536" i="5" s="1"/>
  <c r="N536" i="5" s="1"/>
  <c r="S536" i="5" s="1"/>
  <c r="K536" i="5"/>
  <c r="P535" i="5"/>
  <c r="O535" i="5"/>
  <c r="L535" i="5"/>
  <c r="K535" i="5"/>
  <c r="P534" i="5"/>
  <c r="O534" i="5"/>
  <c r="L534" i="5"/>
  <c r="K534" i="5"/>
  <c r="P533" i="5"/>
  <c r="O533" i="5"/>
  <c r="L533" i="5"/>
  <c r="K533" i="5"/>
  <c r="P532" i="5"/>
  <c r="O532" i="5"/>
  <c r="L532" i="5"/>
  <c r="K532" i="5"/>
  <c r="P531" i="5"/>
  <c r="O531" i="5"/>
  <c r="L531" i="5"/>
  <c r="K531" i="5"/>
  <c r="O530" i="5"/>
  <c r="P530" i="5" s="1"/>
  <c r="L530" i="5"/>
  <c r="K530" i="5"/>
  <c r="O529" i="5"/>
  <c r="P529" i="5" s="1"/>
  <c r="L529" i="5"/>
  <c r="K529" i="5"/>
  <c r="O528" i="5"/>
  <c r="P528" i="5" s="1"/>
  <c r="L528" i="5"/>
  <c r="K528" i="5"/>
  <c r="O527" i="5"/>
  <c r="P527" i="5" s="1"/>
  <c r="L527" i="5"/>
  <c r="K527" i="5"/>
  <c r="O526" i="5"/>
  <c r="P526" i="5" s="1"/>
  <c r="L526" i="5"/>
  <c r="K526" i="5"/>
  <c r="O525" i="5"/>
  <c r="P525" i="5" s="1"/>
  <c r="Q524" i="5" s="1"/>
  <c r="R524" i="5" s="1"/>
  <c r="L525" i="5"/>
  <c r="K525" i="5"/>
  <c r="P524" i="5"/>
  <c r="O524" i="5"/>
  <c r="K524" i="5"/>
  <c r="L524" i="5" s="1"/>
  <c r="M524" i="5" s="1"/>
  <c r="N524" i="5" s="1"/>
  <c r="S524" i="5" s="1"/>
  <c r="O523" i="5"/>
  <c r="P523" i="5" s="1"/>
  <c r="K523" i="5"/>
  <c r="L523" i="5" s="1"/>
  <c r="O522" i="5"/>
  <c r="P522" i="5" s="1"/>
  <c r="K522" i="5"/>
  <c r="L522" i="5" s="1"/>
  <c r="O521" i="5"/>
  <c r="P521" i="5" s="1"/>
  <c r="K521" i="5"/>
  <c r="L521" i="5" s="1"/>
  <c r="P520" i="5"/>
  <c r="O520" i="5"/>
  <c r="K520" i="5"/>
  <c r="L520" i="5" s="1"/>
  <c r="O519" i="5"/>
  <c r="P519" i="5" s="1"/>
  <c r="K519" i="5"/>
  <c r="L519" i="5" s="1"/>
  <c r="O518" i="5"/>
  <c r="P518" i="5" s="1"/>
  <c r="K518" i="5"/>
  <c r="L518" i="5" s="1"/>
  <c r="P517" i="5"/>
  <c r="O517" i="5"/>
  <c r="K517" i="5"/>
  <c r="L517" i="5" s="1"/>
  <c r="O516" i="5"/>
  <c r="P516" i="5" s="1"/>
  <c r="K516" i="5"/>
  <c r="L516" i="5" s="1"/>
  <c r="O515" i="5"/>
  <c r="P515" i="5" s="1"/>
  <c r="K515" i="5"/>
  <c r="L515" i="5" s="1"/>
  <c r="O514" i="5"/>
  <c r="P514" i="5" s="1"/>
  <c r="K514" i="5"/>
  <c r="L514" i="5" s="1"/>
  <c r="P513" i="5"/>
  <c r="O513" i="5"/>
  <c r="K513" i="5"/>
  <c r="L513" i="5" s="1"/>
  <c r="O512" i="5"/>
  <c r="P512" i="5" s="1"/>
  <c r="L512" i="5"/>
  <c r="K512" i="5"/>
  <c r="O511" i="5"/>
  <c r="P511" i="5" s="1"/>
  <c r="L511" i="5"/>
  <c r="K511" i="5"/>
  <c r="O510" i="5"/>
  <c r="P510" i="5" s="1"/>
  <c r="L510" i="5"/>
  <c r="K510" i="5"/>
  <c r="O509" i="5"/>
  <c r="P509" i="5" s="1"/>
  <c r="L509" i="5"/>
  <c r="K509" i="5"/>
  <c r="O508" i="5"/>
  <c r="P508" i="5" s="1"/>
  <c r="L508" i="5"/>
  <c r="K508" i="5"/>
  <c r="O505" i="5"/>
  <c r="P505" i="5" s="1"/>
  <c r="K505" i="5"/>
  <c r="L505" i="5" s="1"/>
  <c r="O504" i="5"/>
  <c r="P504" i="5" s="1"/>
  <c r="K504" i="5"/>
  <c r="L504" i="5" s="1"/>
  <c r="O503" i="5"/>
  <c r="P503" i="5" s="1"/>
  <c r="K503" i="5"/>
  <c r="L503" i="5" s="1"/>
  <c r="O502" i="5"/>
  <c r="P502" i="5" s="1"/>
  <c r="K502" i="5"/>
  <c r="L502" i="5" s="1"/>
  <c r="O501" i="5"/>
  <c r="P501" i="5" s="1"/>
  <c r="K501" i="5"/>
  <c r="L501" i="5" s="1"/>
  <c r="P500" i="5"/>
  <c r="O500" i="5"/>
  <c r="K500" i="5"/>
  <c r="L500" i="5" s="1"/>
  <c r="O499" i="5"/>
  <c r="P499" i="5" s="1"/>
  <c r="K499" i="5"/>
  <c r="L499" i="5" s="1"/>
  <c r="P498" i="5"/>
  <c r="O498" i="5"/>
  <c r="K498" i="5"/>
  <c r="L498" i="5" s="1"/>
  <c r="O497" i="5"/>
  <c r="P497" i="5" s="1"/>
  <c r="K497" i="5"/>
  <c r="L497" i="5" s="1"/>
  <c r="P496" i="5"/>
  <c r="O496" i="5"/>
  <c r="K496" i="5"/>
  <c r="L496" i="5" s="1"/>
  <c r="O495" i="5"/>
  <c r="P495" i="5" s="1"/>
  <c r="L495" i="5"/>
  <c r="K495" i="5"/>
  <c r="O494" i="5"/>
  <c r="P494" i="5" s="1"/>
  <c r="Q494" i="5" s="1"/>
  <c r="R494" i="5" s="1"/>
  <c r="K494" i="5"/>
  <c r="L494" i="5" s="1"/>
  <c r="P493" i="5"/>
  <c r="O493" i="5"/>
  <c r="K493" i="5"/>
  <c r="L493" i="5" s="1"/>
  <c r="O492" i="5"/>
  <c r="P492" i="5" s="1"/>
  <c r="K492" i="5"/>
  <c r="L492" i="5" s="1"/>
  <c r="P491" i="5"/>
  <c r="O491" i="5"/>
  <c r="K491" i="5"/>
  <c r="L491" i="5" s="1"/>
  <c r="O490" i="5"/>
  <c r="P490" i="5" s="1"/>
  <c r="K490" i="5"/>
  <c r="L490" i="5" s="1"/>
  <c r="P489" i="5"/>
  <c r="O489" i="5"/>
  <c r="K489" i="5"/>
  <c r="L489" i="5" s="1"/>
  <c r="O488" i="5"/>
  <c r="P488" i="5" s="1"/>
  <c r="K488" i="5"/>
  <c r="L488" i="5" s="1"/>
  <c r="O487" i="5"/>
  <c r="P487" i="5" s="1"/>
  <c r="K487" i="5"/>
  <c r="L487" i="5" s="1"/>
  <c r="P486" i="5"/>
  <c r="O486" i="5"/>
  <c r="K486" i="5"/>
  <c r="L486" i="5" s="1"/>
  <c r="O485" i="5"/>
  <c r="P485" i="5" s="1"/>
  <c r="K485" i="5"/>
  <c r="L485" i="5" s="1"/>
  <c r="P484" i="5"/>
  <c r="O484" i="5"/>
  <c r="K484" i="5"/>
  <c r="L484" i="5" s="1"/>
  <c r="O483" i="5"/>
  <c r="P483" i="5" s="1"/>
  <c r="K483" i="5"/>
  <c r="L483" i="5" s="1"/>
  <c r="O482" i="5"/>
  <c r="P482" i="5" s="1"/>
  <c r="K482" i="5"/>
  <c r="L482" i="5" s="1"/>
  <c r="P481" i="5"/>
  <c r="O481" i="5"/>
  <c r="K481" i="5"/>
  <c r="L481" i="5" s="1"/>
  <c r="O480" i="5"/>
  <c r="P480" i="5" s="1"/>
  <c r="K480" i="5"/>
  <c r="L480" i="5" s="1"/>
  <c r="P479" i="5"/>
  <c r="O479" i="5"/>
  <c r="K479" i="5"/>
  <c r="L479" i="5" s="1"/>
  <c r="O478" i="5"/>
  <c r="P478" i="5" s="1"/>
  <c r="K478" i="5"/>
  <c r="L478" i="5" s="1"/>
  <c r="P477" i="5"/>
  <c r="O477" i="5"/>
  <c r="K477" i="5"/>
  <c r="L477" i="5" s="1"/>
  <c r="O476" i="5"/>
  <c r="P476" i="5" s="1"/>
  <c r="K476" i="5"/>
  <c r="L476" i="5" s="1"/>
  <c r="O475" i="5"/>
  <c r="P475" i="5" s="1"/>
  <c r="K475" i="5"/>
  <c r="L475" i="5" s="1"/>
  <c r="P474" i="5"/>
  <c r="O474" i="5"/>
  <c r="K474" i="5"/>
  <c r="L474" i="5" s="1"/>
  <c r="O473" i="5"/>
  <c r="P473" i="5" s="1"/>
  <c r="K473" i="5"/>
  <c r="L473" i="5" s="1"/>
  <c r="P472" i="5"/>
  <c r="O472" i="5"/>
  <c r="L472" i="5"/>
  <c r="K472" i="5"/>
  <c r="O469" i="5"/>
  <c r="P469" i="5" s="1"/>
  <c r="L469" i="5"/>
  <c r="K469" i="5"/>
  <c r="O468" i="5"/>
  <c r="P468" i="5" s="1"/>
  <c r="L468" i="5"/>
  <c r="K468" i="5"/>
  <c r="O467" i="5"/>
  <c r="P467" i="5" s="1"/>
  <c r="L467" i="5"/>
  <c r="K467" i="5"/>
  <c r="O466" i="5"/>
  <c r="P466" i="5" s="1"/>
  <c r="L466" i="5"/>
  <c r="K466" i="5"/>
  <c r="O465" i="5"/>
  <c r="P465" i="5" s="1"/>
  <c r="L465" i="5"/>
  <c r="K465" i="5"/>
  <c r="O464" i="5"/>
  <c r="P464" i="5" s="1"/>
  <c r="K464" i="5"/>
  <c r="L464" i="5" s="1"/>
  <c r="M464" i="5" s="1"/>
  <c r="N464" i="5" s="1"/>
  <c r="S464" i="5" s="1"/>
  <c r="O463" i="5"/>
  <c r="P463" i="5" s="1"/>
  <c r="L463" i="5"/>
  <c r="K463" i="5"/>
  <c r="O462" i="5"/>
  <c r="P462" i="5" s="1"/>
  <c r="L462" i="5"/>
  <c r="K462" i="5"/>
  <c r="O461" i="5"/>
  <c r="P461" i="5" s="1"/>
  <c r="L461" i="5"/>
  <c r="K461" i="5"/>
  <c r="O460" i="5"/>
  <c r="P460" i="5" s="1"/>
  <c r="L460" i="5"/>
  <c r="K460" i="5"/>
  <c r="O459" i="5"/>
  <c r="P459" i="5" s="1"/>
  <c r="L459" i="5"/>
  <c r="K459" i="5"/>
  <c r="O458" i="5"/>
  <c r="P458" i="5" s="1"/>
  <c r="K458" i="5"/>
  <c r="L458" i="5" s="1"/>
  <c r="M458" i="5" s="1"/>
  <c r="N458" i="5" s="1"/>
  <c r="S458" i="5" s="1"/>
  <c r="O457" i="5"/>
  <c r="P457" i="5" s="1"/>
  <c r="K457" i="5"/>
  <c r="L457" i="5" s="1"/>
  <c r="O456" i="5"/>
  <c r="P456" i="5" s="1"/>
  <c r="K456" i="5"/>
  <c r="L456" i="5" s="1"/>
  <c r="P455" i="5"/>
  <c r="O455" i="5"/>
  <c r="K455" i="5"/>
  <c r="L455" i="5" s="1"/>
  <c r="P454" i="5"/>
  <c r="O454" i="5"/>
  <c r="K454" i="5"/>
  <c r="L454" i="5" s="1"/>
  <c r="O453" i="5"/>
  <c r="P453" i="5" s="1"/>
  <c r="K453" i="5"/>
  <c r="L453" i="5" s="1"/>
  <c r="O452" i="5"/>
  <c r="P452" i="5" s="1"/>
  <c r="L452" i="5"/>
  <c r="K452" i="5"/>
  <c r="O451" i="5"/>
  <c r="P451" i="5" s="1"/>
  <c r="L451" i="5"/>
  <c r="K451" i="5"/>
  <c r="O450" i="5"/>
  <c r="P450" i="5" s="1"/>
  <c r="L450" i="5"/>
  <c r="K450" i="5"/>
  <c r="O449" i="5"/>
  <c r="P449" i="5" s="1"/>
  <c r="L449" i="5"/>
  <c r="K449" i="5"/>
  <c r="O448" i="5"/>
  <c r="P448" i="5" s="1"/>
  <c r="L448" i="5"/>
  <c r="K448" i="5"/>
  <c r="O447" i="5"/>
  <c r="P447" i="5" s="1"/>
  <c r="L447" i="5"/>
  <c r="K447" i="5"/>
  <c r="O446" i="5"/>
  <c r="P446" i="5" s="1"/>
  <c r="K446" i="5"/>
  <c r="L446" i="5" s="1"/>
  <c r="M446" i="5" s="1"/>
  <c r="N446" i="5" s="1"/>
  <c r="S446" i="5" s="1"/>
  <c r="P445" i="5"/>
  <c r="O445" i="5"/>
  <c r="K445" i="5"/>
  <c r="L445" i="5" s="1"/>
  <c r="O444" i="5"/>
  <c r="P444" i="5" s="1"/>
  <c r="K444" i="5"/>
  <c r="L444" i="5" s="1"/>
  <c r="O443" i="5"/>
  <c r="P443" i="5" s="1"/>
  <c r="K443" i="5"/>
  <c r="L443" i="5" s="1"/>
  <c r="O442" i="5"/>
  <c r="P442" i="5" s="1"/>
  <c r="K442" i="5"/>
  <c r="L442" i="5" s="1"/>
  <c r="P441" i="5"/>
  <c r="O441" i="5"/>
  <c r="K441" i="5"/>
  <c r="L441" i="5" s="1"/>
  <c r="O440" i="5"/>
  <c r="P440" i="5" s="1"/>
  <c r="Q440" i="5" s="1"/>
  <c r="R440" i="5" s="1"/>
  <c r="K440" i="5"/>
  <c r="L440" i="5" s="1"/>
  <c r="O439" i="5"/>
  <c r="P439" i="5" s="1"/>
  <c r="K439" i="5"/>
  <c r="L439" i="5" s="1"/>
  <c r="O438" i="5"/>
  <c r="P438" i="5" s="1"/>
  <c r="L438" i="5"/>
  <c r="K438" i="5"/>
  <c r="O437" i="5"/>
  <c r="P437" i="5" s="1"/>
  <c r="L437" i="5"/>
  <c r="K437" i="5"/>
  <c r="O436" i="5"/>
  <c r="P436" i="5" s="1"/>
  <c r="K436" i="5"/>
  <c r="L436" i="5" s="1"/>
  <c r="O433" i="5"/>
  <c r="P433" i="5" s="1"/>
  <c r="K433" i="5"/>
  <c r="L433" i="5" s="1"/>
  <c r="P432" i="5"/>
  <c r="O432" i="5"/>
  <c r="K432" i="5"/>
  <c r="L432" i="5" s="1"/>
  <c r="O431" i="5"/>
  <c r="P431" i="5" s="1"/>
  <c r="K431" i="5"/>
  <c r="L431" i="5" s="1"/>
  <c r="O430" i="5"/>
  <c r="P430" i="5" s="1"/>
  <c r="K430" i="5"/>
  <c r="L430" i="5" s="1"/>
  <c r="P429" i="5"/>
  <c r="O429" i="5"/>
  <c r="K429" i="5"/>
  <c r="L429" i="5" s="1"/>
  <c r="O428" i="5"/>
  <c r="P428" i="5" s="1"/>
  <c r="K428" i="5"/>
  <c r="L428" i="5" s="1"/>
  <c r="O427" i="5"/>
  <c r="P427" i="5" s="1"/>
  <c r="K427" i="5"/>
  <c r="L427" i="5" s="1"/>
  <c r="P426" i="5"/>
  <c r="O426" i="5"/>
  <c r="K426" i="5"/>
  <c r="L426" i="5" s="1"/>
  <c r="P425" i="5"/>
  <c r="O425" i="5"/>
  <c r="K425" i="5"/>
  <c r="L425" i="5" s="1"/>
  <c r="O424" i="5"/>
  <c r="P424" i="5" s="1"/>
  <c r="K424" i="5"/>
  <c r="L424" i="5" s="1"/>
  <c r="O423" i="5"/>
  <c r="P423" i="5" s="1"/>
  <c r="K423" i="5"/>
  <c r="L423" i="5" s="1"/>
  <c r="P422" i="5"/>
  <c r="O422" i="5"/>
  <c r="L422" i="5"/>
  <c r="K422" i="5"/>
  <c r="P421" i="5"/>
  <c r="O421" i="5"/>
  <c r="L421" i="5"/>
  <c r="K421" i="5"/>
  <c r="P420" i="5"/>
  <c r="O420" i="5"/>
  <c r="L420" i="5"/>
  <c r="K420" i="5"/>
  <c r="P419" i="5"/>
  <c r="O419" i="5"/>
  <c r="L419" i="5"/>
  <c r="K419" i="5"/>
  <c r="P418" i="5"/>
  <c r="O418" i="5"/>
  <c r="L418" i="5"/>
  <c r="K418" i="5"/>
  <c r="P417" i="5"/>
  <c r="O417" i="5"/>
  <c r="L417" i="5"/>
  <c r="K417" i="5"/>
  <c r="O416" i="5"/>
  <c r="P416" i="5" s="1"/>
  <c r="Q416" i="5" s="1"/>
  <c r="R416" i="5" s="1"/>
  <c r="K416" i="5"/>
  <c r="L416" i="5" s="1"/>
  <c r="M416" i="5" s="1"/>
  <c r="N416" i="5" s="1"/>
  <c r="S416" i="5" s="1"/>
  <c r="O415" i="5"/>
  <c r="P415" i="5" s="1"/>
  <c r="K415" i="5"/>
  <c r="L415" i="5" s="1"/>
  <c r="O414" i="5"/>
  <c r="P414" i="5" s="1"/>
  <c r="K414" i="5"/>
  <c r="L414" i="5" s="1"/>
  <c r="P413" i="5"/>
  <c r="O413" i="5"/>
  <c r="K413" i="5"/>
  <c r="L413" i="5" s="1"/>
  <c r="P412" i="5"/>
  <c r="O412" i="5"/>
  <c r="K412" i="5"/>
  <c r="L412" i="5" s="1"/>
  <c r="O411" i="5"/>
  <c r="P411" i="5" s="1"/>
  <c r="K411" i="5"/>
  <c r="L411" i="5" s="1"/>
  <c r="O410" i="5"/>
  <c r="P410" i="5" s="1"/>
  <c r="K410" i="5"/>
  <c r="L410" i="5" s="1"/>
  <c r="P409" i="5"/>
  <c r="O409" i="5"/>
  <c r="K409" i="5"/>
  <c r="L409" i="5" s="1"/>
  <c r="P408" i="5"/>
  <c r="O408" i="5"/>
  <c r="K408" i="5"/>
  <c r="L408" i="5" s="1"/>
  <c r="O407" i="5"/>
  <c r="P407" i="5" s="1"/>
  <c r="K407" i="5"/>
  <c r="L407" i="5" s="1"/>
  <c r="O406" i="5"/>
  <c r="P406" i="5" s="1"/>
  <c r="K406" i="5"/>
  <c r="L406" i="5" s="1"/>
  <c r="P405" i="5"/>
  <c r="O405" i="5"/>
  <c r="K405" i="5"/>
  <c r="L405" i="5" s="1"/>
  <c r="O404" i="5"/>
  <c r="P404" i="5" s="1"/>
  <c r="K404" i="5"/>
  <c r="L404" i="5" s="1"/>
  <c r="O403" i="5"/>
  <c r="P403" i="5" s="1"/>
  <c r="K403" i="5"/>
  <c r="L403" i="5" s="1"/>
  <c r="P402" i="5"/>
  <c r="O402" i="5"/>
  <c r="K402" i="5"/>
  <c r="L402" i="5" s="1"/>
  <c r="P401" i="5"/>
  <c r="O401" i="5"/>
  <c r="K401" i="5"/>
  <c r="L401" i="5" s="1"/>
  <c r="P400" i="5"/>
  <c r="O400" i="5"/>
  <c r="L400" i="5"/>
  <c r="K400" i="5"/>
  <c r="O397" i="5"/>
  <c r="P397" i="5" s="1"/>
  <c r="K397" i="5"/>
  <c r="L397" i="5" s="1"/>
  <c r="O396" i="5"/>
  <c r="P396" i="5" s="1"/>
  <c r="L396" i="5"/>
  <c r="K396" i="5"/>
  <c r="O395" i="5"/>
  <c r="P395" i="5" s="1"/>
  <c r="L395" i="5"/>
  <c r="K395" i="5"/>
  <c r="O394" i="5"/>
  <c r="P394" i="5" s="1"/>
  <c r="L394" i="5"/>
  <c r="K394" i="5"/>
  <c r="O393" i="5"/>
  <c r="P393" i="5" s="1"/>
  <c r="L393" i="5"/>
  <c r="K393" i="5"/>
  <c r="P392" i="5"/>
  <c r="Q392" i="5" s="1"/>
  <c r="R392" i="5" s="1"/>
  <c r="O392" i="5"/>
  <c r="K392" i="5"/>
  <c r="L392" i="5" s="1"/>
  <c r="M392" i="5" s="1"/>
  <c r="N392" i="5" s="1"/>
  <c r="S392" i="5" s="1"/>
  <c r="O391" i="5"/>
  <c r="P391" i="5" s="1"/>
  <c r="L391" i="5"/>
  <c r="K391" i="5"/>
  <c r="O390" i="5"/>
  <c r="P390" i="5" s="1"/>
  <c r="K390" i="5"/>
  <c r="L390" i="5" s="1"/>
  <c r="O389" i="5"/>
  <c r="P389" i="5" s="1"/>
  <c r="K389" i="5"/>
  <c r="L389" i="5" s="1"/>
  <c r="O388" i="5"/>
  <c r="P388" i="5" s="1"/>
  <c r="L388" i="5"/>
  <c r="K388" i="5"/>
  <c r="O387" i="5"/>
  <c r="P387" i="5" s="1"/>
  <c r="L387" i="5"/>
  <c r="K387" i="5"/>
  <c r="O386" i="5"/>
  <c r="P386" i="5" s="1"/>
  <c r="L386" i="5"/>
  <c r="K386" i="5"/>
  <c r="P385" i="5"/>
  <c r="O385" i="5"/>
  <c r="L385" i="5"/>
  <c r="K385" i="5"/>
  <c r="P384" i="5"/>
  <c r="O384" i="5"/>
  <c r="L384" i="5"/>
  <c r="K384" i="5"/>
  <c r="P383" i="5"/>
  <c r="O383" i="5"/>
  <c r="L383" i="5"/>
  <c r="K383" i="5"/>
  <c r="P382" i="5"/>
  <c r="O382" i="5"/>
  <c r="L382" i="5"/>
  <c r="K382" i="5"/>
  <c r="P381" i="5"/>
  <c r="Q380" i="5" s="1"/>
  <c r="O381" i="5"/>
  <c r="L381" i="5"/>
  <c r="K381" i="5"/>
  <c r="R380" i="5"/>
  <c r="P380" i="5"/>
  <c r="O380" i="5"/>
  <c r="K380" i="5"/>
  <c r="L380" i="5" s="1"/>
  <c r="M380" i="5" s="1"/>
  <c r="N380" i="5" s="1"/>
  <c r="S380" i="5" s="1"/>
  <c r="U380" i="5" s="1"/>
  <c r="P379" i="5"/>
  <c r="O379" i="5"/>
  <c r="K379" i="5"/>
  <c r="L379" i="5" s="1"/>
  <c r="P378" i="5"/>
  <c r="O378" i="5"/>
  <c r="K378" i="5"/>
  <c r="L378" i="5" s="1"/>
  <c r="O377" i="5"/>
  <c r="P377" i="5" s="1"/>
  <c r="K377" i="5"/>
  <c r="L377" i="5" s="1"/>
  <c r="P376" i="5"/>
  <c r="O376" i="5"/>
  <c r="K376" i="5"/>
  <c r="L376" i="5" s="1"/>
  <c r="P375" i="5"/>
  <c r="O375" i="5"/>
  <c r="K375" i="5"/>
  <c r="L375" i="5" s="1"/>
  <c r="O374" i="5"/>
  <c r="P374" i="5" s="1"/>
  <c r="K374" i="5"/>
  <c r="L374" i="5" s="1"/>
  <c r="P373" i="5"/>
  <c r="O373" i="5"/>
  <c r="K373" i="5"/>
  <c r="L373" i="5" s="1"/>
  <c r="P372" i="5"/>
  <c r="O372" i="5"/>
  <c r="K372" i="5"/>
  <c r="L372" i="5" s="1"/>
  <c r="P371" i="5"/>
  <c r="O371" i="5"/>
  <c r="K371" i="5"/>
  <c r="L371" i="5" s="1"/>
  <c r="O370" i="5"/>
  <c r="P370" i="5" s="1"/>
  <c r="K370" i="5"/>
  <c r="L370" i="5" s="1"/>
  <c r="P369" i="5"/>
  <c r="O369" i="5"/>
  <c r="K369" i="5"/>
  <c r="L369" i="5" s="1"/>
  <c r="P368" i="5"/>
  <c r="O368" i="5"/>
  <c r="L368" i="5"/>
  <c r="K368" i="5"/>
  <c r="P367" i="5"/>
  <c r="O367" i="5"/>
  <c r="K367" i="5"/>
  <c r="L367" i="5" s="1"/>
  <c r="P366" i="5"/>
  <c r="O366" i="5"/>
  <c r="L366" i="5"/>
  <c r="K366" i="5"/>
  <c r="P365" i="5"/>
  <c r="O365" i="5"/>
  <c r="L365" i="5"/>
  <c r="K365" i="5"/>
  <c r="P364" i="5"/>
  <c r="Q364" i="5" s="1"/>
  <c r="R364" i="5" s="1"/>
  <c r="O364" i="5"/>
  <c r="K364" i="5"/>
  <c r="L364" i="5" s="1"/>
  <c r="O361" i="5"/>
  <c r="P361" i="5" s="1"/>
  <c r="K361" i="5"/>
  <c r="L361" i="5" s="1"/>
  <c r="O360" i="5"/>
  <c r="P360" i="5" s="1"/>
  <c r="L360" i="5"/>
  <c r="K360" i="5"/>
  <c r="O359" i="5"/>
  <c r="P359" i="5" s="1"/>
  <c r="K359" i="5"/>
  <c r="L359" i="5" s="1"/>
  <c r="O358" i="5"/>
  <c r="P358" i="5" s="1"/>
  <c r="L358" i="5"/>
  <c r="K358" i="5"/>
  <c r="O357" i="5"/>
  <c r="P357" i="5" s="1"/>
  <c r="K357" i="5"/>
  <c r="L357" i="5" s="1"/>
  <c r="P356" i="5"/>
  <c r="O356" i="5"/>
  <c r="K356" i="5"/>
  <c r="L356" i="5" s="1"/>
  <c r="P355" i="5"/>
  <c r="O355" i="5"/>
  <c r="K355" i="5"/>
  <c r="L355" i="5" s="1"/>
  <c r="P354" i="5"/>
  <c r="O354" i="5"/>
  <c r="K354" i="5"/>
  <c r="L354" i="5" s="1"/>
  <c r="O353" i="5"/>
  <c r="P353" i="5" s="1"/>
  <c r="K353" i="5"/>
  <c r="L353" i="5" s="1"/>
  <c r="O352" i="5"/>
  <c r="P352" i="5" s="1"/>
  <c r="K352" i="5"/>
  <c r="L352" i="5" s="1"/>
  <c r="O351" i="5"/>
  <c r="P351" i="5" s="1"/>
  <c r="K351" i="5"/>
  <c r="L351" i="5" s="1"/>
  <c r="O350" i="5"/>
  <c r="P350" i="5" s="1"/>
  <c r="Q350" i="5" s="1"/>
  <c r="R350" i="5" s="1"/>
  <c r="L350" i="5"/>
  <c r="K350" i="5"/>
  <c r="O349" i="5"/>
  <c r="P349" i="5" s="1"/>
  <c r="K349" i="5"/>
  <c r="L349" i="5" s="1"/>
  <c r="O348" i="5"/>
  <c r="P348" i="5" s="1"/>
  <c r="L348" i="5"/>
  <c r="K348" i="5"/>
  <c r="O347" i="5"/>
  <c r="P347" i="5" s="1"/>
  <c r="K347" i="5"/>
  <c r="L347" i="5" s="1"/>
  <c r="O346" i="5"/>
  <c r="P346" i="5" s="1"/>
  <c r="L346" i="5"/>
  <c r="K346" i="5"/>
  <c r="O345" i="5"/>
  <c r="P345" i="5" s="1"/>
  <c r="K345" i="5"/>
  <c r="L345" i="5" s="1"/>
  <c r="O344" i="5"/>
  <c r="P344" i="5" s="1"/>
  <c r="L344" i="5"/>
  <c r="K344" i="5"/>
  <c r="P343" i="5"/>
  <c r="O343" i="5"/>
  <c r="L343" i="5"/>
  <c r="K343" i="5"/>
  <c r="P342" i="5"/>
  <c r="O342" i="5"/>
  <c r="L342" i="5"/>
  <c r="K342" i="5"/>
  <c r="P341" i="5"/>
  <c r="O341" i="5"/>
  <c r="L341" i="5"/>
  <c r="K341" i="5"/>
  <c r="P340" i="5"/>
  <c r="O340" i="5"/>
  <c r="L340" i="5"/>
  <c r="K340" i="5"/>
  <c r="P339" i="5"/>
  <c r="Q338" i="5" s="1"/>
  <c r="R338" i="5" s="1"/>
  <c r="O339" i="5"/>
  <c r="L339" i="5"/>
  <c r="K339" i="5"/>
  <c r="P338" i="5"/>
  <c r="O338" i="5"/>
  <c r="K338" i="5"/>
  <c r="L338" i="5" s="1"/>
  <c r="M338" i="5" s="1"/>
  <c r="N338" i="5" s="1"/>
  <c r="S338" i="5" s="1"/>
  <c r="P337" i="5"/>
  <c r="O337" i="5"/>
  <c r="K337" i="5"/>
  <c r="L337" i="5" s="1"/>
  <c r="O336" i="5"/>
  <c r="P336" i="5" s="1"/>
  <c r="K336" i="5"/>
  <c r="L336" i="5" s="1"/>
  <c r="O335" i="5"/>
  <c r="P335" i="5" s="1"/>
  <c r="K335" i="5"/>
  <c r="L335" i="5" s="1"/>
  <c r="O334" i="5"/>
  <c r="P334" i="5" s="1"/>
  <c r="K334" i="5"/>
  <c r="L334" i="5" s="1"/>
  <c r="P333" i="5"/>
  <c r="O333" i="5"/>
  <c r="K333" i="5"/>
  <c r="L333" i="5" s="1"/>
  <c r="O332" i="5"/>
  <c r="P332" i="5" s="1"/>
  <c r="K332" i="5"/>
  <c r="L332" i="5" s="1"/>
  <c r="P331" i="5"/>
  <c r="O331" i="5"/>
  <c r="K331" i="5"/>
  <c r="L331" i="5" s="1"/>
  <c r="P330" i="5"/>
  <c r="O330" i="5"/>
  <c r="K330" i="5"/>
  <c r="L330" i="5" s="1"/>
  <c r="O329" i="5"/>
  <c r="P329" i="5" s="1"/>
  <c r="K329" i="5"/>
  <c r="L329" i="5" s="1"/>
  <c r="O328" i="5"/>
  <c r="P328" i="5" s="1"/>
  <c r="L328" i="5"/>
  <c r="K328" i="5"/>
  <c r="P325" i="5"/>
  <c r="O325" i="5"/>
  <c r="K325" i="5"/>
  <c r="L325" i="5" s="1"/>
  <c r="O324" i="5"/>
  <c r="P324" i="5" s="1"/>
  <c r="K324" i="5"/>
  <c r="L324" i="5" s="1"/>
  <c r="O323" i="5"/>
  <c r="P323" i="5" s="1"/>
  <c r="K323" i="5"/>
  <c r="L323" i="5" s="1"/>
  <c r="O322" i="5"/>
  <c r="P322" i="5" s="1"/>
  <c r="K322" i="5"/>
  <c r="L322" i="5" s="1"/>
  <c r="P321" i="5"/>
  <c r="O321" i="5"/>
  <c r="K321" i="5"/>
  <c r="L321" i="5" s="1"/>
  <c r="P320" i="5"/>
  <c r="O320" i="5"/>
  <c r="K320" i="5"/>
  <c r="L320" i="5" s="1"/>
  <c r="O319" i="5"/>
  <c r="P319" i="5" s="1"/>
  <c r="K319" i="5"/>
  <c r="L319" i="5" s="1"/>
  <c r="O318" i="5"/>
  <c r="P318" i="5" s="1"/>
  <c r="K318" i="5"/>
  <c r="L318" i="5" s="1"/>
  <c r="P317" i="5"/>
  <c r="O317" i="5"/>
  <c r="K317" i="5"/>
  <c r="L317" i="5" s="1"/>
  <c r="P316" i="5"/>
  <c r="O316" i="5"/>
  <c r="K316" i="5"/>
  <c r="L316" i="5" s="1"/>
  <c r="O315" i="5"/>
  <c r="P315" i="5" s="1"/>
  <c r="K315" i="5"/>
  <c r="L315" i="5" s="1"/>
  <c r="O314" i="5"/>
  <c r="P314" i="5" s="1"/>
  <c r="K314" i="5"/>
  <c r="L314" i="5" s="1"/>
  <c r="P313" i="5"/>
  <c r="O313" i="5"/>
  <c r="K313" i="5"/>
  <c r="L313" i="5" s="1"/>
  <c r="O312" i="5"/>
  <c r="P312" i="5" s="1"/>
  <c r="K312" i="5"/>
  <c r="L312" i="5" s="1"/>
  <c r="O311" i="5"/>
  <c r="P311" i="5" s="1"/>
  <c r="K311" i="5"/>
  <c r="L311" i="5" s="1"/>
  <c r="P310" i="5"/>
  <c r="O310" i="5"/>
  <c r="K310" i="5"/>
  <c r="L310" i="5" s="1"/>
  <c r="P309" i="5"/>
  <c r="O309" i="5"/>
  <c r="K309" i="5"/>
  <c r="L309" i="5" s="1"/>
  <c r="O308" i="5"/>
  <c r="P308" i="5" s="1"/>
  <c r="K308" i="5"/>
  <c r="L308" i="5" s="1"/>
  <c r="O307" i="5"/>
  <c r="P307" i="5" s="1"/>
  <c r="K307" i="5"/>
  <c r="L307" i="5" s="1"/>
  <c r="P306" i="5"/>
  <c r="O306" i="5"/>
  <c r="K306" i="5"/>
  <c r="L306" i="5" s="1"/>
  <c r="P305" i="5"/>
  <c r="O305" i="5"/>
  <c r="K305" i="5"/>
  <c r="L305" i="5" s="1"/>
  <c r="O304" i="5"/>
  <c r="P304" i="5" s="1"/>
  <c r="K304" i="5"/>
  <c r="L304" i="5" s="1"/>
  <c r="O303" i="5"/>
  <c r="P303" i="5" s="1"/>
  <c r="K303" i="5"/>
  <c r="L303" i="5" s="1"/>
  <c r="P302" i="5"/>
  <c r="O302" i="5"/>
  <c r="K302" i="5"/>
  <c r="L302" i="5" s="1"/>
  <c r="P301" i="5"/>
  <c r="O301" i="5"/>
  <c r="K301" i="5"/>
  <c r="L301" i="5" s="1"/>
  <c r="O300" i="5"/>
  <c r="P300" i="5" s="1"/>
  <c r="K300" i="5"/>
  <c r="L300" i="5" s="1"/>
  <c r="O299" i="5"/>
  <c r="P299" i="5" s="1"/>
  <c r="K299" i="5"/>
  <c r="L299" i="5" s="1"/>
  <c r="P298" i="5"/>
  <c r="O298" i="5"/>
  <c r="K298" i="5"/>
  <c r="L298" i="5" s="1"/>
  <c r="P297" i="5"/>
  <c r="O297" i="5"/>
  <c r="K297" i="5"/>
  <c r="L297" i="5" s="1"/>
  <c r="O296" i="5"/>
  <c r="P296" i="5" s="1"/>
  <c r="Q296" i="5" s="1"/>
  <c r="R296" i="5" s="1"/>
  <c r="L296" i="5"/>
  <c r="K296" i="5"/>
  <c r="O295" i="5"/>
  <c r="P295" i="5" s="1"/>
  <c r="K295" i="5"/>
  <c r="L295" i="5" s="1"/>
  <c r="O294" i="5"/>
  <c r="P294" i="5" s="1"/>
  <c r="K294" i="5"/>
  <c r="L294" i="5" s="1"/>
  <c r="O293" i="5"/>
  <c r="P293" i="5" s="1"/>
  <c r="K293" i="5"/>
  <c r="L293" i="5" s="1"/>
  <c r="P292" i="5"/>
  <c r="O292" i="5"/>
  <c r="K292" i="5"/>
  <c r="L292" i="5" s="1"/>
  <c r="O289" i="5"/>
  <c r="P289" i="5" s="1"/>
  <c r="L289" i="5"/>
  <c r="K289" i="5"/>
  <c r="O288" i="5"/>
  <c r="P288" i="5" s="1"/>
  <c r="K288" i="5"/>
  <c r="L288" i="5" s="1"/>
  <c r="O287" i="5"/>
  <c r="P287" i="5" s="1"/>
  <c r="K287" i="5"/>
  <c r="L287" i="5" s="1"/>
  <c r="O286" i="5"/>
  <c r="P286" i="5" s="1"/>
  <c r="K286" i="5"/>
  <c r="L286" i="5" s="1"/>
  <c r="O285" i="5"/>
  <c r="P285" i="5" s="1"/>
  <c r="L285" i="5"/>
  <c r="K285" i="5"/>
  <c r="O284" i="5"/>
  <c r="P284" i="5" s="1"/>
  <c r="L284" i="5"/>
  <c r="K284" i="5"/>
  <c r="P283" i="5"/>
  <c r="O283" i="5"/>
  <c r="L283" i="5"/>
  <c r="K283" i="5"/>
  <c r="P282" i="5"/>
  <c r="O282" i="5"/>
  <c r="L282" i="5"/>
  <c r="K282" i="5"/>
  <c r="P281" i="5"/>
  <c r="O281" i="5"/>
  <c r="L281" i="5"/>
  <c r="K281" i="5"/>
  <c r="P280" i="5"/>
  <c r="O280" i="5"/>
  <c r="L280" i="5"/>
  <c r="K280" i="5"/>
  <c r="P279" i="5"/>
  <c r="Q278" i="5" s="1"/>
  <c r="O279" i="5"/>
  <c r="L279" i="5"/>
  <c r="K279" i="5"/>
  <c r="R278" i="5"/>
  <c r="P278" i="5"/>
  <c r="O278" i="5"/>
  <c r="K278" i="5"/>
  <c r="L278" i="5" s="1"/>
  <c r="M278" i="5" s="1"/>
  <c r="N278" i="5" s="1"/>
  <c r="S278" i="5" s="1"/>
  <c r="P277" i="5"/>
  <c r="O277" i="5"/>
  <c r="K277" i="5"/>
  <c r="L277" i="5" s="1"/>
  <c r="O276" i="5"/>
  <c r="P276" i="5" s="1"/>
  <c r="K276" i="5"/>
  <c r="L276" i="5" s="1"/>
  <c r="P275" i="5"/>
  <c r="O275" i="5"/>
  <c r="K275" i="5"/>
  <c r="L275" i="5" s="1"/>
  <c r="P274" i="5"/>
  <c r="O274" i="5"/>
  <c r="K274" i="5"/>
  <c r="L274" i="5" s="1"/>
  <c r="P273" i="5"/>
  <c r="O273" i="5"/>
  <c r="K273" i="5"/>
  <c r="L273" i="5" s="1"/>
  <c r="O272" i="5"/>
  <c r="P272" i="5" s="1"/>
  <c r="K272" i="5"/>
  <c r="L272" i="5" s="1"/>
  <c r="P271" i="5"/>
  <c r="O271" i="5"/>
  <c r="K271" i="5"/>
  <c r="L271" i="5" s="1"/>
  <c r="P270" i="5"/>
  <c r="O270" i="5"/>
  <c r="K270" i="5"/>
  <c r="L270" i="5" s="1"/>
  <c r="O269" i="5"/>
  <c r="P269" i="5" s="1"/>
  <c r="K269" i="5"/>
  <c r="L269" i="5" s="1"/>
  <c r="P268" i="5"/>
  <c r="O268" i="5"/>
  <c r="K268" i="5"/>
  <c r="L268" i="5" s="1"/>
  <c r="P267" i="5"/>
  <c r="O267" i="5"/>
  <c r="K267" i="5"/>
  <c r="L267" i="5" s="1"/>
  <c r="P266" i="5"/>
  <c r="O266" i="5"/>
  <c r="L266" i="5"/>
  <c r="M266" i="5" s="1"/>
  <c r="N266" i="5" s="1"/>
  <c r="S266" i="5" s="1"/>
  <c r="K266" i="5"/>
  <c r="P265" i="5"/>
  <c r="O265" i="5"/>
  <c r="L265" i="5"/>
  <c r="K265" i="5"/>
  <c r="P264" i="5"/>
  <c r="O264" i="5"/>
  <c r="L264" i="5"/>
  <c r="K264" i="5"/>
  <c r="P263" i="5"/>
  <c r="O263" i="5"/>
  <c r="L263" i="5"/>
  <c r="K263" i="5"/>
  <c r="P262" i="5"/>
  <c r="O262" i="5"/>
  <c r="L262" i="5"/>
  <c r="K262" i="5"/>
  <c r="P261" i="5"/>
  <c r="O261" i="5"/>
  <c r="L261" i="5"/>
  <c r="K261" i="5"/>
  <c r="P260" i="5"/>
  <c r="Q260" i="5" s="1"/>
  <c r="R260" i="5" s="1"/>
  <c r="O260" i="5"/>
  <c r="L260" i="5"/>
  <c r="K260" i="5"/>
  <c r="P259" i="5"/>
  <c r="O259" i="5"/>
  <c r="L259" i="5"/>
  <c r="K259" i="5"/>
  <c r="P258" i="5"/>
  <c r="O258" i="5"/>
  <c r="L258" i="5"/>
  <c r="K258" i="5"/>
  <c r="P257" i="5"/>
  <c r="O257" i="5"/>
  <c r="L257" i="5"/>
  <c r="K257" i="5"/>
  <c r="P256" i="5"/>
  <c r="Q256" i="5" s="1"/>
  <c r="R256" i="5" s="1"/>
  <c r="O256" i="5"/>
  <c r="L256" i="5"/>
  <c r="M256" i="5" s="1"/>
  <c r="N256" i="5" s="1"/>
  <c r="S256" i="5" s="1"/>
  <c r="K256" i="5"/>
  <c r="O253" i="5"/>
  <c r="P253" i="5" s="1"/>
  <c r="K253" i="5"/>
  <c r="L253" i="5" s="1"/>
  <c r="O252" i="5"/>
  <c r="P252" i="5" s="1"/>
  <c r="K252" i="5"/>
  <c r="L252" i="5" s="1"/>
  <c r="P251" i="5"/>
  <c r="O251" i="5"/>
  <c r="K251" i="5"/>
  <c r="L251" i="5" s="1"/>
  <c r="O250" i="5"/>
  <c r="P250" i="5" s="1"/>
  <c r="K250" i="5"/>
  <c r="L250" i="5" s="1"/>
  <c r="P249" i="5"/>
  <c r="O249" i="5"/>
  <c r="K249" i="5"/>
  <c r="L249" i="5" s="1"/>
  <c r="O248" i="5"/>
  <c r="P248" i="5" s="1"/>
  <c r="K248" i="5"/>
  <c r="L248" i="5" s="1"/>
  <c r="M248" i="5" s="1"/>
  <c r="N248" i="5" s="1"/>
  <c r="S248" i="5" s="1"/>
  <c r="P247" i="5"/>
  <c r="O247" i="5"/>
  <c r="K247" i="5"/>
  <c r="L247" i="5" s="1"/>
  <c r="O246" i="5"/>
  <c r="P246" i="5" s="1"/>
  <c r="K246" i="5"/>
  <c r="L246" i="5" s="1"/>
  <c r="P245" i="5"/>
  <c r="O245" i="5"/>
  <c r="K245" i="5"/>
  <c r="L245" i="5" s="1"/>
  <c r="O244" i="5"/>
  <c r="P244" i="5" s="1"/>
  <c r="K244" i="5"/>
  <c r="L244" i="5" s="1"/>
  <c r="P243" i="5"/>
  <c r="O243" i="5"/>
  <c r="K243" i="5"/>
  <c r="L243" i="5" s="1"/>
  <c r="O242" i="5"/>
  <c r="P242" i="5" s="1"/>
  <c r="K242" i="5"/>
  <c r="L242" i="5" s="1"/>
  <c r="P241" i="5"/>
  <c r="O241" i="5"/>
  <c r="K241" i="5"/>
  <c r="L241" i="5" s="1"/>
  <c r="O240" i="5"/>
  <c r="P240" i="5" s="1"/>
  <c r="K240" i="5"/>
  <c r="L240" i="5" s="1"/>
  <c r="P239" i="5"/>
  <c r="O239" i="5"/>
  <c r="K239" i="5"/>
  <c r="L239" i="5" s="1"/>
  <c r="O238" i="5"/>
  <c r="P238" i="5" s="1"/>
  <c r="K238" i="5"/>
  <c r="L238" i="5" s="1"/>
  <c r="P237" i="5"/>
  <c r="O237" i="5"/>
  <c r="K237" i="5"/>
  <c r="L237" i="5" s="1"/>
  <c r="O236" i="5"/>
  <c r="P236" i="5" s="1"/>
  <c r="Q236" i="5" s="1"/>
  <c r="R236" i="5" s="1"/>
  <c r="K236" i="5"/>
  <c r="L236" i="5" s="1"/>
  <c r="O235" i="5"/>
  <c r="P235" i="5" s="1"/>
  <c r="K235" i="5"/>
  <c r="L235" i="5" s="1"/>
  <c r="O234" i="5"/>
  <c r="P234" i="5" s="1"/>
  <c r="K234" i="5"/>
  <c r="L234" i="5" s="1"/>
  <c r="O233" i="5"/>
  <c r="P233" i="5" s="1"/>
  <c r="L233" i="5"/>
  <c r="K233" i="5"/>
  <c r="O232" i="5"/>
  <c r="P232" i="5" s="1"/>
  <c r="K232" i="5"/>
  <c r="L232" i="5" s="1"/>
  <c r="O231" i="5"/>
  <c r="P231" i="5" s="1"/>
  <c r="K231" i="5"/>
  <c r="L231" i="5" s="1"/>
  <c r="O230" i="5"/>
  <c r="P230" i="5" s="1"/>
  <c r="K230" i="5"/>
  <c r="L230" i="5" s="1"/>
  <c r="P229" i="5"/>
  <c r="O229" i="5"/>
  <c r="K229" i="5"/>
  <c r="L229" i="5" s="1"/>
  <c r="O228" i="5"/>
  <c r="P228" i="5" s="1"/>
  <c r="K228" i="5"/>
  <c r="L228" i="5" s="1"/>
  <c r="P227" i="5"/>
  <c r="O227" i="5"/>
  <c r="K227" i="5"/>
  <c r="L227" i="5" s="1"/>
  <c r="O226" i="5"/>
  <c r="P226" i="5" s="1"/>
  <c r="K226" i="5"/>
  <c r="L226" i="5" s="1"/>
  <c r="P225" i="5"/>
  <c r="O225" i="5"/>
  <c r="K225" i="5"/>
  <c r="L225" i="5" s="1"/>
  <c r="P224" i="5"/>
  <c r="Q224" i="5" s="1"/>
  <c r="R224" i="5" s="1"/>
  <c r="O224" i="5"/>
  <c r="L224" i="5"/>
  <c r="M224" i="5" s="1"/>
  <c r="N224" i="5" s="1"/>
  <c r="S224" i="5" s="1"/>
  <c r="K224" i="5"/>
  <c r="O223" i="5"/>
  <c r="P223" i="5" s="1"/>
  <c r="K223" i="5"/>
  <c r="L223" i="5" s="1"/>
  <c r="O222" i="5"/>
  <c r="P222" i="5" s="1"/>
  <c r="K222" i="5"/>
  <c r="L222" i="5" s="1"/>
  <c r="O221" i="5"/>
  <c r="P221" i="5" s="1"/>
  <c r="K221" i="5"/>
  <c r="L221" i="5" s="1"/>
  <c r="O220" i="5"/>
  <c r="P220" i="5" s="1"/>
  <c r="K220" i="5"/>
  <c r="L220" i="5" s="1"/>
  <c r="M220" i="5" s="1"/>
  <c r="N220" i="5" s="1"/>
  <c r="S220" i="5" s="1"/>
  <c r="P217" i="5"/>
  <c r="O217" i="5"/>
  <c r="L217" i="5"/>
  <c r="K217" i="5"/>
  <c r="P216" i="5"/>
  <c r="O216" i="5"/>
  <c r="L216" i="5"/>
  <c r="K216" i="5"/>
  <c r="P215" i="5"/>
  <c r="O215" i="5"/>
  <c r="L215" i="5"/>
  <c r="K215" i="5"/>
  <c r="P214" i="5"/>
  <c r="O214" i="5"/>
  <c r="L214" i="5"/>
  <c r="K214" i="5"/>
  <c r="P213" i="5"/>
  <c r="O213" i="5"/>
  <c r="L213" i="5"/>
  <c r="K213" i="5"/>
  <c r="O212" i="5"/>
  <c r="P212" i="5" s="1"/>
  <c r="Q212" i="5" s="1"/>
  <c r="R212" i="5" s="1"/>
  <c r="K212" i="5"/>
  <c r="L212" i="5" s="1"/>
  <c r="O211" i="5"/>
  <c r="P211" i="5" s="1"/>
  <c r="K211" i="5"/>
  <c r="L211" i="5" s="1"/>
  <c r="O210" i="5"/>
  <c r="P210" i="5" s="1"/>
  <c r="K210" i="5"/>
  <c r="L210" i="5" s="1"/>
  <c r="P209" i="5"/>
  <c r="O209" i="5"/>
  <c r="K209" i="5"/>
  <c r="L209" i="5" s="1"/>
  <c r="O208" i="5"/>
  <c r="P208" i="5" s="1"/>
  <c r="K208" i="5"/>
  <c r="L208" i="5" s="1"/>
  <c r="P207" i="5"/>
  <c r="O207" i="5"/>
  <c r="K207" i="5"/>
  <c r="L207" i="5" s="1"/>
  <c r="O206" i="5"/>
  <c r="P206" i="5" s="1"/>
  <c r="K206" i="5"/>
  <c r="L206" i="5" s="1"/>
  <c r="P205" i="5"/>
  <c r="O205" i="5"/>
  <c r="K205" i="5"/>
  <c r="L205" i="5" s="1"/>
  <c r="O204" i="5"/>
  <c r="P204" i="5" s="1"/>
  <c r="K204" i="5"/>
  <c r="L204" i="5" s="1"/>
  <c r="P203" i="5"/>
  <c r="O203" i="5"/>
  <c r="K203" i="5"/>
  <c r="L203" i="5" s="1"/>
  <c r="O202" i="5"/>
  <c r="P202" i="5" s="1"/>
  <c r="K202" i="5"/>
  <c r="L202" i="5" s="1"/>
  <c r="P201" i="5"/>
  <c r="O201" i="5"/>
  <c r="K201" i="5"/>
  <c r="L201" i="5" s="1"/>
  <c r="O200" i="5"/>
  <c r="P200" i="5" s="1"/>
  <c r="K200" i="5"/>
  <c r="L200" i="5" s="1"/>
  <c r="P199" i="5"/>
  <c r="O199" i="5"/>
  <c r="K199" i="5"/>
  <c r="L199" i="5" s="1"/>
  <c r="O198" i="5"/>
  <c r="P198" i="5" s="1"/>
  <c r="K198" i="5"/>
  <c r="L198" i="5" s="1"/>
  <c r="P197" i="5"/>
  <c r="O197" i="5"/>
  <c r="K197" i="5"/>
  <c r="L197" i="5" s="1"/>
  <c r="O196" i="5"/>
  <c r="P196" i="5" s="1"/>
  <c r="K196" i="5"/>
  <c r="L196" i="5" s="1"/>
  <c r="P195" i="5"/>
  <c r="O195" i="5"/>
  <c r="K195" i="5"/>
  <c r="L195" i="5" s="1"/>
  <c r="O194" i="5"/>
  <c r="P194" i="5" s="1"/>
  <c r="Q194" i="5" s="1"/>
  <c r="R194" i="5" s="1"/>
  <c r="K194" i="5"/>
  <c r="L194" i="5" s="1"/>
  <c r="O193" i="5"/>
  <c r="P193" i="5" s="1"/>
  <c r="L193" i="5"/>
  <c r="K193" i="5"/>
  <c r="O192" i="5"/>
  <c r="P192" i="5" s="1"/>
  <c r="K192" i="5"/>
  <c r="L192" i="5" s="1"/>
  <c r="O191" i="5"/>
  <c r="P191" i="5" s="1"/>
  <c r="L191" i="5"/>
  <c r="K191" i="5"/>
  <c r="O190" i="5"/>
  <c r="P190" i="5" s="1"/>
  <c r="K190" i="5"/>
  <c r="L190" i="5" s="1"/>
  <c r="O189" i="5"/>
  <c r="P189" i="5" s="1"/>
  <c r="L189" i="5"/>
  <c r="K189" i="5"/>
  <c r="O188" i="5"/>
  <c r="P188" i="5" s="1"/>
  <c r="L188" i="5"/>
  <c r="K188" i="5"/>
  <c r="O187" i="5"/>
  <c r="P187" i="5" s="1"/>
  <c r="L187" i="5"/>
  <c r="K187" i="5"/>
  <c r="O186" i="5"/>
  <c r="P186" i="5" s="1"/>
  <c r="L186" i="5"/>
  <c r="K186" i="5"/>
  <c r="O185" i="5"/>
  <c r="P185" i="5" s="1"/>
  <c r="Q184" i="5" s="1"/>
  <c r="R184" i="5" s="1"/>
  <c r="L185" i="5"/>
  <c r="K185" i="5"/>
  <c r="P184" i="5"/>
  <c r="O184" i="5"/>
  <c r="L184" i="5"/>
  <c r="M184" i="5" s="1"/>
  <c r="N184" i="5" s="1"/>
  <c r="S184" i="5" s="1"/>
  <c r="K184" i="5"/>
  <c r="O181" i="5"/>
  <c r="P181" i="5" s="1"/>
  <c r="K181" i="5"/>
  <c r="L181" i="5" s="1"/>
  <c r="O180" i="5"/>
  <c r="P180" i="5" s="1"/>
  <c r="K180" i="5"/>
  <c r="L180" i="5" s="1"/>
  <c r="P179" i="5"/>
  <c r="O179" i="5"/>
  <c r="K179" i="5"/>
  <c r="L179" i="5" s="1"/>
  <c r="O178" i="5"/>
  <c r="P178" i="5" s="1"/>
  <c r="K178" i="5"/>
  <c r="L178" i="5" s="1"/>
  <c r="O177" i="5"/>
  <c r="P177" i="5" s="1"/>
  <c r="K177" i="5"/>
  <c r="L177" i="5" s="1"/>
  <c r="O176" i="5"/>
  <c r="P176" i="5" s="1"/>
  <c r="K176" i="5"/>
  <c r="L176" i="5" s="1"/>
  <c r="O175" i="5"/>
  <c r="P175" i="5" s="1"/>
  <c r="K175" i="5"/>
  <c r="L175" i="5" s="1"/>
  <c r="O174" i="5"/>
  <c r="P174" i="5" s="1"/>
  <c r="K174" i="5"/>
  <c r="L174" i="5" s="1"/>
  <c r="O173" i="5"/>
  <c r="P173" i="5" s="1"/>
  <c r="L173" i="5"/>
  <c r="K173" i="5"/>
  <c r="O172" i="5"/>
  <c r="P172" i="5" s="1"/>
  <c r="K172" i="5"/>
  <c r="L172" i="5" s="1"/>
  <c r="O171" i="5"/>
  <c r="P171" i="5" s="1"/>
  <c r="K171" i="5"/>
  <c r="L171" i="5" s="1"/>
  <c r="P170" i="5"/>
  <c r="O170" i="5"/>
  <c r="K170" i="5"/>
  <c r="L170" i="5" s="1"/>
  <c r="O169" i="5"/>
  <c r="P169" i="5" s="1"/>
  <c r="K169" i="5"/>
  <c r="L169" i="5" s="1"/>
  <c r="O168" i="5"/>
  <c r="P168" i="5" s="1"/>
  <c r="K168" i="5"/>
  <c r="L168" i="5" s="1"/>
  <c r="O167" i="5"/>
  <c r="P167" i="5" s="1"/>
  <c r="K167" i="5"/>
  <c r="L167" i="5" s="1"/>
  <c r="P166" i="5"/>
  <c r="O166" i="5"/>
  <c r="K166" i="5"/>
  <c r="L166" i="5" s="1"/>
  <c r="O165" i="5"/>
  <c r="P165" i="5" s="1"/>
  <c r="K165" i="5"/>
  <c r="L165" i="5" s="1"/>
  <c r="M164" i="5" s="1"/>
  <c r="N164" i="5" s="1"/>
  <c r="S164" i="5" s="1"/>
  <c r="P164" i="5"/>
  <c r="Q164" i="5" s="1"/>
  <c r="R164" i="5" s="1"/>
  <c r="O164" i="5"/>
  <c r="L164" i="5"/>
  <c r="K164" i="5"/>
  <c r="P163" i="5"/>
  <c r="O163" i="5"/>
  <c r="L163" i="5"/>
  <c r="K163" i="5"/>
  <c r="P162" i="5"/>
  <c r="O162" i="5"/>
  <c r="L162" i="5"/>
  <c r="K162" i="5"/>
  <c r="P161" i="5"/>
  <c r="O161" i="5"/>
  <c r="L161" i="5"/>
  <c r="K161" i="5"/>
  <c r="P160" i="5"/>
  <c r="O160" i="5"/>
  <c r="L160" i="5"/>
  <c r="K160" i="5"/>
  <c r="P159" i="5"/>
  <c r="O159" i="5"/>
  <c r="L159" i="5"/>
  <c r="K159" i="5"/>
  <c r="O158" i="5"/>
  <c r="P158" i="5" s="1"/>
  <c r="Q158" i="5" s="1"/>
  <c r="R158" i="5" s="1"/>
  <c r="L158" i="5"/>
  <c r="M158" i="5" s="1"/>
  <c r="N158" i="5" s="1"/>
  <c r="S158" i="5" s="1"/>
  <c r="K158" i="5"/>
  <c r="O157" i="5"/>
  <c r="P157" i="5" s="1"/>
  <c r="L157" i="5"/>
  <c r="K157" i="5"/>
  <c r="O156" i="5"/>
  <c r="P156" i="5" s="1"/>
  <c r="L156" i="5"/>
  <c r="K156" i="5"/>
  <c r="O155" i="5"/>
  <c r="P155" i="5" s="1"/>
  <c r="L155" i="5"/>
  <c r="K155" i="5"/>
  <c r="O154" i="5"/>
  <c r="P154" i="5" s="1"/>
  <c r="L154" i="5"/>
  <c r="K154" i="5"/>
  <c r="O153" i="5"/>
  <c r="P153" i="5" s="1"/>
  <c r="L153" i="5"/>
  <c r="K153" i="5"/>
  <c r="P152" i="5"/>
  <c r="O152" i="5"/>
  <c r="K152" i="5"/>
  <c r="L152" i="5" s="1"/>
  <c r="M152" i="5" s="1"/>
  <c r="N152" i="5" s="1"/>
  <c r="S152" i="5" s="1"/>
  <c r="O151" i="5"/>
  <c r="P151" i="5" s="1"/>
  <c r="K151" i="5"/>
  <c r="L151" i="5" s="1"/>
  <c r="O150" i="5"/>
  <c r="P150" i="5" s="1"/>
  <c r="K150" i="5"/>
  <c r="L150" i="5" s="1"/>
  <c r="O149" i="5"/>
  <c r="P149" i="5" s="1"/>
  <c r="K149" i="5"/>
  <c r="L149" i="5" s="1"/>
  <c r="P148" i="5"/>
  <c r="O148" i="5"/>
  <c r="K148" i="5"/>
  <c r="L148" i="5" s="1"/>
  <c r="O145" i="5"/>
  <c r="P145" i="5" s="1"/>
  <c r="K145" i="5"/>
  <c r="L145" i="5" s="1"/>
  <c r="P144" i="5"/>
  <c r="O144" i="5"/>
  <c r="K144" i="5"/>
  <c r="L144" i="5" s="1"/>
  <c r="O143" i="5"/>
  <c r="P143" i="5" s="1"/>
  <c r="K143" i="5"/>
  <c r="L143" i="5" s="1"/>
  <c r="O142" i="5"/>
  <c r="P142" i="5" s="1"/>
  <c r="K142" i="5"/>
  <c r="L142" i="5" s="1"/>
  <c r="O141" i="5"/>
  <c r="P141" i="5" s="1"/>
  <c r="K141" i="5"/>
  <c r="L141" i="5" s="1"/>
  <c r="O140" i="5"/>
  <c r="P140" i="5" s="1"/>
  <c r="Q140" i="5" s="1"/>
  <c r="R140" i="5" s="1"/>
  <c r="K140" i="5"/>
  <c r="L140" i="5" s="1"/>
  <c r="P139" i="5"/>
  <c r="O139" i="5"/>
  <c r="K139" i="5"/>
  <c r="L139" i="5" s="1"/>
  <c r="O138" i="5"/>
  <c r="P138" i="5" s="1"/>
  <c r="K138" i="5"/>
  <c r="L138" i="5" s="1"/>
  <c r="O137" i="5"/>
  <c r="P137" i="5" s="1"/>
  <c r="K137" i="5"/>
  <c r="L137" i="5" s="1"/>
  <c r="O136" i="5"/>
  <c r="P136" i="5" s="1"/>
  <c r="K136" i="5"/>
  <c r="L136" i="5" s="1"/>
  <c r="P135" i="5"/>
  <c r="O135" i="5"/>
  <c r="K135" i="5"/>
  <c r="L135" i="5" s="1"/>
  <c r="P134" i="5"/>
  <c r="Q134" i="5" s="1"/>
  <c r="R134" i="5" s="1"/>
  <c r="O134" i="5"/>
  <c r="K134" i="5"/>
  <c r="L134" i="5" s="1"/>
  <c r="O133" i="5"/>
  <c r="P133" i="5" s="1"/>
  <c r="K133" i="5"/>
  <c r="L133" i="5" s="1"/>
  <c r="O132" i="5"/>
  <c r="P132" i="5" s="1"/>
  <c r="L132" i="5"/>
  <c r="K132" i="5"/>
  <c r="O131" i="5"/>
  <c r="P131" i="5" s="1"/>
  <c r="L131" i="5"/>
  <c r="K131" i="5"/>
  <c r="O130" i="5"/>
  <c r="P130" i="5" s="1"/>
  <c r="K130" i="5"/>
  <c r="L130" i="5" s="1"/>
  <c r="O129" i="5"/>
  <c r="P129" i="5" s="1"/>
  <c r="K129" i="5"/>
  <c r="L129" i="5" s="1"/>
  <c r="O128" i="5"/>
  <c r="P128" i="5" s="1"/>
  <c r="Q128" i="5" s="1"/>
  <c r="R128" i="5" s="1"/>
  <c r="K128" i="5"/>
  <c r="L128" i="5" s="1"/>
  <c r="O127" i="5"/>
  <c r="P127" i="5" s="1"/>
  <c r="K127" i="5"/>
  <c r="L127" i="5" s="1"/>
  <c r="P126" i="5"/>
  <c r="O126" i="5"/>
  <c r="K126" i="5"/>
  <c r="L126" i="5" s="1"/>
  <c r="P125" i="5"/>
  <c r="O125" i="5"/>
  <c r="K125" i="5"/>
  <c r="L125" i="5" s="1"/>
  <c r="O124" i="5"/>
  <c r="P124" i="5" s="1"/>
  <c r="K124" i="5"/>
  <c r="L124" i="5" s="1"/>
  <c r="O123" i="5"/>
  <c r="P123" i="5" s="1"/>
  <c r="K123" i="5"/>
  <c r="L123" i="5" s="1"/>
  <c r="P122" i="5"/>
  <c r="O122" i="5"/>
  <c r="L122" i="5"/>
  <c r="K122" i="5"/>
  <c r="P121" i="5"/>
  <c r="O121" i="5"/>
  <c r="L121" i="5"/>
  <c r="K121" i="5"/>
  <c r="P120" i="5"/>
  <c r="O120" i="5"/>
  <c r="L120" i="5"/>
  <c r="K120" i="5"/>
  <c r="P119" i="5"/>
  <c r="O119" i="5"/>
  <c r="L119" i="5"/>
  <c r="K119" i="5"/>
  <c r="P118" i="5"/>
  <c r="O118" i="5"/>
  <c r="L118" i="5"/>
  <c r="K118" i="5"/>
  <c r="P117" i="5"/>
  <c r="O117" i="5"/>
  <c r="L117" i="5"/>
  <c r="K117" i="5"/>
  <c r="O116" i="5"/>
  <c r="P116" i="5" s="1"/>
  <c r="Q116" i="5" s="1"/>
  <c r="R116" i="5" s="1"/>
  <c r="K116" i="5"/>
  <c r="L116" i="5" s="1"/>
  <c r="O115" i="5"/>
  <c r="P115" i="5" s="1"/>
  <c r="K115" i="5"/>
  <c r="L115" i="5" s="1"/>
  <c r="O114" i="5"/>
  <c r="P114" i="5" s="1"/>
  <c r="K114" i="5"/>
  <c r="L114" i="5" s="1"/>
  <c r="P113" i="5"/>
  <c r="O113" i="5"/>
  <c r="K113" i="5"/>
  <c r="L113" i="5" s="1"/>
  <c r="P112" i="5"/>
  <c r="O112" i="5"/>
  <c r="L112" i="5"/>
  <c r="K112" i="5"/>
  <c r="O109" i="5"/>
  <c r="P109" i="5" s="1"/>
  <c r="K109" i="5"/>
  <c r="L109" i="5" s="1"/>
  <c r="O108" i="5"/>
  <c r="P108" i="5" s="1"/>
  <c r="K108" i="5"/>
  <c r="L108" i="5" s="1"/>
  <c r="P107" i="5"/>
  <c r="O107" i="5"/>
  <c r="L107" i="5"/>
  <c r="K107" i="5"/>
  <c r="P106" i="5"/>
  <c r="O106" i="5"/>
  <c r="L106" i="5"/>
  <c r="K106" i="5"/>
  <c r="P105" i="5"/>
  <c r="O105" i="5"/>
  <c r="L105" i="5"/>
  <c r="K105" i="5"/>
  <c r="O104" i="5"/>
  <c r="P104" i="5" s="1"/>
  <c r="K104" i="5"/>
  <c r="L104" i="5" s="1"/>
  <c r="M104" i="5" s="1"/>
  <c r="N104" i="5" s="1"/>
  <c r="S104" i="5" s="1"/>
  <c r="O103" i="5"/>
  <c r="P103" i="5" s="1"/>
  <c r="L103" i="5"/>
  <c r="K103" i="5"/>
  <c r="O102" i="5"/>
  <c r="P102" i="5" s="1"/>
  <c r="K102" i="5"/>
  <c r="L102" i="5" s="1"/>
  <c r="O101" i="5"/>
  <c r="P101" i="5" s="1"/>
  <c r="L101" i="5"/>
  <c r="K101" i="5"/>
  <c r="O100" i="5"/>
  <c r="P100" i="5" s="1"/>
  <c r="K100" i="5"/>
  <c r="L100" i="5" s="1"/>
  <c r="O99" i="5"/>
  <c r="P99" i="5" s="1"/>
  <c r="L99" i="5"/>
  <c r="K99" i="5"/>
  <c r="O98" i="5"/>
  <c r="P98" i="5" s="1"/>
  <c r="K98" i="5"/>
  <c r="L98" i="5" s="1"/>
  <c r="P97" i="5"/>
  <c r="O97" i="5"/>
  <c r="K97" i="5"/>
  <c r="L97" i="5" s="1"/>
  <c r="O96" i="5"/>
  <c r="P96" i="5" s="1"/>
  <c r="K96" i="5"/>
  <c r="L96" i="5" s="1"/>
  <c r="O95" i="5"/>
  <c r="P95" i="5" s="1"/>
  <c r="K95" i="5"/>
  <c r="L95" i="5" s="1"/>
  <c r="P94" i="5"/>
  <c r="O94" i="5"/>
  <c r="K94" i="5"/>
  <c r="L94" i="5" s="1"/>
  <c r="P93" i="5"/>
  <c r="O93" i="5"/>
  <c r="K93" i="5"/>
  <c r="L93" i="5" s="1"/>
  <c r="P92" i="5"/>
  <c r="Q92" i="5" s="1"/>
  <c r="R92" i="5" s="1"/>
  <c r="O92" i="5"/>
  <c r="K92" i="5"/>
  <c r="L92" i="5" s="1"/>
  <c r="O91" i="5"/>
  <c r="P91" i="5" s="1"/>
  <c r="L91" i="5"/>
  <c r="K91" i="5"/>
  <c r="O90" i="5"/>
  <c r="P90" i="5" s="1"/>
  <c r="K90" i="5"/>
  <c r="L90" i="5" s="1"/>
  <c r="O89" i="5"/>
  <c r="P89" i="5" s="1"/>
  <c r="L89" i="5"/>
  <c r="K89" i="5"/>
  <c r="O88" i="5"/>
  <c r="P88" i="5" s="1"/>
  <c r="K88" i="5"/>
  <c r="L88" i="5" s="1"/>
  <c r="O87" i="5"/>
  <c r="P87" i="5" s="1"/>
  <c r="L87" i="5"/>
  <c r="K87" i="5"/>
  <c r="P86" i="5"/>
  <c r="O86" i="5"/>
  <c r="K86" i="5"/>
  <c r="L86" i="5" s="1"/>
  <c r="O85" i="5"/>
  <c r="P85" i="5" s="1"/>
  <c r="K85" i="5"/>
  <c r="L85" i="5" s="1"/>
  <c r="O84" i="5"/>
  <c r="P84" i="5" s="1"/>
  <c r="K84" i="5"/>
  <c r="L84" i="5" s="1"/>
  <c r="P83" i="5"/>
  <c r="O83" i="5"/>
  <c r="K83" i="5"/>
  <c r="L83" i="5" s="1"/>
  <c r="P82" i="5"/>
  <c r="O82" i="5"/>
  <c r="K82" i="5"/>
  <c r="L82" i="5" s="1"/>
  <c r="O81" i="5"/>
  <c r="P81" i="5" s="1"/>
  <c r="K81" i="5"/>
  <c r="L81" i="5" s="1"/>
  <c r="O80" i="5"/>
  <c r="P80" i="5" s="1"/>
  <c r="L80" i="5"/>
  <c r="K80" i="5"/>
  <c r="O79" i="5"/>
  <c r="P79" i="5" s="1"/>
  <c r="L79" i="5"/>
  <c r="K79" i="5"/>
  <c r="O78" i="5"/>
  <c r="P78" i="5" s="1"/>
  <c r="L78" i="5"/>
  <c r="K78" i="5"/>
  <c r="O77" i="5"/>
  <c r="P77" i="5" s="1"/>
  <c r="L77" i="5"/>
  <c r="K77" i="5"/>
  <c r="O76" i="5"/>
  <c r="P76" i="5" s="1"/>
  <c r="K76" i="5"/>
  <c r="L76" i="5" s="1"/>
  <c r="M76" i="5" s="1"/>
  <c r="N76" i="5" s="1"/>
  <c r="S76" i="5" s="1"/>
  <c r="O73" i="5"/>
  <c r="P73" i="5" s="1"/>
  <c r="K73" i="5"/>
  <c r="L73" i="5" s="1"/>
  <c r="O72" i="5"/>
  <c r="P72" i="5" s="1"/>
  <c r="K72" i="5"/>
  <c r="L72" i="5" s="1"/>
  <c r="O71" i="5"/>
  <c r="P71" i="5" s="1"/>
  <c r="K71" i="5"/>
  <c r="L71" i="5" s="1"/>
  <c r="O70" i="5"/>
  <c r="P70" i="5" s="1"/>
  <c r="K70" i="5"/>
  <c r="L70" i="5" s="1"/>
  <c r="O69" i="5"/>
  <c r="P69" i="5" s="1"/>
  <c r="L69" i="5"/>
  <c r="K69" i="5"/>
  <c r="P68" i="5"/>
  <c r="O68" i="5"/>
  <c r="K68" i="5"/>
  <c r="L68" i="5" s="1"/>
  <c r="O67" i="5"/>
  <c r="P67" i="5" s="1"/>
  <c r="K67" i="5"/>
  <c r="L67" i="5" s="1"/>
  <c r="O66" i="5"/>
  <c r="P66" i="5" s="1"/>
  <c r="K66" i="5"/>
  <c r="L66" i="5" s="1"/>
  <c r="P65" i="5"/>
  <c r="O65" i="5"/>
  <c r="K65" i="5"/>
  <c r="L65" i="5" s="1"/>
  <c r="P64" i="5"/>
  <c r="O64" i="5"/>
  <c r="K64" i="5"/>
  <c r="L64" i="5" s="1"/>
  <c r="O63" i="5"/>
  <c r="P63" i="5" s="1"/>
  <c r="K63" i="5"/>
  <c r="L63" i="5" s="1"/>
  <c r="P62" i="5"/>
  <c r="O62" i="5"/>
  <c r="L62" i="5"/>
  <c r="K62" i="5"/>
  <c r="P61" i="5"/>
  <c r="O61" i="5"/>
  <c r="L61" i="5"/>
  <c r="K61" i="5"/>
  <c r="P60" i="5"/>
  <c r="O60" i="5"/>
  <c r="L60" i="5"/>
  <c r="K60" i="5"/>
  <c r="P59" i="5"/>
  <c r="O59" i="5"/>
  <c r="L59" i="5"/>
  <c r="K59" i="5"/>
  <c r="P58" i="5"/>
  <c r="O58" i="5"/>
  <c r="L58" i="5"/>
  <c r="K58" i="5"/>
  <c r="P57" i="5"/>
  <c r="O57" i="5"/>
  <c r="L57" i="5"/>
  <c r="K57" i="5"/>
  <c r="O56" i="5"/>
  <c r="P56" i="5" s="1"/>
  <c r="L56" i="5"/>
  <c r="M56" i="5" s="1"/>
  <c r="N56" i="5" s="1"/>
  <c r="S56" i="5" s="1"/>
  <c r="K56" i="5"/>
  <c r="O55" i="5"/>
  <c r="P55" i="5" s="1"/>
  <c r="L55" i="5"/>
  <c r="K55" i="5"/>
  <c r="O54" i="5"/>
  <c r="P54" i="5" s="1"/>
  <c r="L54" i="5"/>
  <c r="K54" i="5"/>
  <c r="O53" i="5"/>
  <c r="P53" i="5" s="1"/>
  <c r="L53" i="5"/>
  <c r="K53" i="5"/>
  <c r="O52" i="5"/>
  <c r="P52" i="5" s="1"/>
  <c r="L52" i="5"/>
  <c r="K52" i="5"/>
  <c r="O51" i="5"/>
  <c r="P51" i="5" s="1"/>
  <c r="L51" i="5"/>
  <c r="K51" i="5"/>
  <c r="O50" i="5"/>
  <c r="P50" i="5" s="1"/>
  <c r="K50" i="5"/>
  <c r="L50" i="5" s="1"/>
  <c r="M50" i="5" s="1"/>
  <c r="N50" i="5" s="1"/>
  <c r="S50" i="5" s="1"/>
  <c r="O49" i="5"/>
  <c r="P49" i="5" s="1"/>
  <c r="K49" i="5"/>
  <c r="L49" i="5" s="1"/>
  <c r="P48" i="5"/>
  <c r="O48" i="5"/>
  <c r="K48" i="5"/>
  <c r="L48" i="5" s="1"/>
  <c r="P47" i="5"/>
  <c r="O47" i="5"/>
  <c r="K47" i="5"/>
  <c r="L47" i="5" s="1"/>
  <c r="O46" i="5"/>
  <c r="P46" i="5" s="1"/>
  <c r="K46" i="5"/>
  <c r="L46" i="5" s="1"/>
  <c r="O45" i="5"/>
  <c r="P45" i="5" s="1"/>
  <c r="K45" i="5"/>
  <c r="L45" i="5" s="1"/>
  <c r="O44" i="5"/>
  <c r="P44" i="5" s="1"/>
  <c r="K44" i="5"/>
  <c r="L44" i="5" s="1"/>
  <c r="O43" i="5"/>
  <c r="P43" i="5" s="1"/>
  <c r="K43" i="5"/>
  <c r="L43" i="5" s="1"/>
  <c r="P42" i="5"/>
  <c r="O42" i="5"/>
  <c r="K42" i="5"/>
  <c r="L42" i="5" s="1"/>
  <c r="P41" i="5"/>
  <c r="O41" i="5"/>
  <c r="K41" i="5"/>
  <c r="L41" i="5" s="1"/>
  <c r="O40" i="5"/>
  <c r="P40" i="5" s="1"/>
  <c r="K40" i="5"/>
  <c r="L40" i="5" s="1"/>
  <c r="M40" i="5" s="1"/>
  <c r="N40" i="5" s="1"/>
  <c r="S40" i="5" s="1"/>
  <c r="O37" i="5"/>
  <c r="P37" i="5" s="1"/>
  <c r="K37" i="5"/>
  <c r="L37" i="5" s="1"/>
  <c r="O36" i="5"/>
  <c r="P36" i="5" s="1"/>
  <c r="K36" i="5"/>
  <c r="L36" i="5" s="1"/>
  <c r="O35" i="5"/>
  <c r="P35" i="5" s="1"/>
  <c r="K35" i="5"/>
  <c r="L35" i="5" s="1"/>
  <c r="P34" i="5"/>
  <c r="O34" i="5"/>
  <c r="K34" i="5"/>
  <c r="L34" i="5" s="1"/>
  <c r="O33" i="5"/>
  <c r="P33" i="5" s="1"/>
  <c r="K33" i="5"/>
  <c r="L33" i="5" s="1"/>
  <c r="O32" i="5"/>
  <c r="P32" i="5" s="1"/>
  <c r="L32" i="5"/>
  <c r="M32" i="5" s="1"/>
  <c r="N32" i="5" s="1"/>
  <c r="S32" i="5" s="1"/>
  <c r="K32" i="5"/>
  <c r="O31" i="5"/>
  <c r="P31" i="5" s="1"/>
  <c r="K31" i="5"/>
  <c r="L31" i="5" s="1"/>
  <c r="O30" i="5"/>
  <c r="P30" i="5" s="1"/>
  <c r="K30" i="5"/>
  <c r="L30" i="5" s="1"/>
  <c r="O29" i="5"/>
  <c r="P29" i="5" s="1"/>
  <c r="K29" i="5"/>
  <c r="L29" i="5" s="1"/>
  <c r="O28" i="5"/>
  <c r="P28" i="5" s="1"/>
  <c r="K28" i="5"/>
  <c r="L28" i="5" s="1"/>
  <c r="O27" i="5"/>
  <c r="P27" i="5" s="1"/>
  <c r="K27" i="5"/>
  <c r="L27" i="5" s="1"/>
  <c r="O26" i="5"/>
  <c r="P26" i="5" s="1"/>
  <c r="Q26" i="5" s="1"/>
  <c r="R26" i="5" s="1"/>
  <c r="K26" i="5"/>
  <c r="L26" i="5" s="1"/>
  <c r="P25" i="5"/>
  <c r="O25" i="5"/>
  <c r="K25" i="5"/>
  <c r="L25" i="5" s="1"/>
  <c r="O24" i="5"/>
  <c r="P24" i="5" s="1"/>
  <c r="K24" i="5"/>
  <c r="L24" i="5" s="1"/>
  <c r="O23" i="5"/>
  <c r="P23" i="5" s="1"/>
  <c r="K23" i="5"/>
  <c r="L23" i="5" s="1"/>
  <c r="O22" i="5"/>
  <c r="P22" i="5" s="1"/>
  <c r="K22" i="5"/>
  <c r="L22" i="5" s="1"/>
  <c r="P21" i="5"/>
  <c r="O21" i="5"/>
  <c r="K21" i="5"/>
  <c r="L21" i="5" s="1"/>
  <c r="O20" i="5"/>
  <c r="P20" i="5" s="1"/>
  <c r="K20" i="5"/>
  <c r="L20" i="5" s="1"/>
  <c r="M20" i="5" s="1"/>
  <c r="N20" i="5" s="1"/>
  <c r="S20" i="5" s="1"/>
  <c r="O19" i="5"/>
  <c r="P19" i="5" s="1"/>
  <c r="K19" i="5"/>
  <c r="L19" i="5" s="1"/>
  <c r="O18" i="5"/>
  <c r="P18" i="5" s="1"/>
  <c r="K18" i="5"/>
  <c r="L18" i="5" s="1"/>
  <c r="O17" i="5"/>
  <c r="P17" i="5" s="1"/>
  <c r="K17" i="5"/>
  <c r="L17" i="5" s="1"/>
  <c r="O16" i="5"/>
  <c r="P16" i="5" s="1"/>
  <c r="K16" i="5"/>
  <c r="L16" i="5" s="1"/>
  <c r="O15" i="5"/>
  <c r="P15" i="5" s="1"/>
  <c r="L15" i="5"/>
  <c r="K15" i="5"/>
  <c r="O14" i="5"/>
  <c r="P14" i="5" s="1"/>
  <c r="K14" i="5"/>
  <c r="L14" i="5" s="1"/>
  <c r="O13" i="5"/>
  <c r="P13" i="5" s="1"/>
  <c r="K13" i="5"/>
  <c r="L13" i="5" s="1"/>
  <c r="P12" i="5"/>
  <c r="O12" i="5"/>
  <c r="K12" i="5"/>
  <c r="L12" i="5" s="1"/>
  <c r="O11" i="5"/>
  <c r="P11" i="5" s="1"/>
  <c r="K11" i="5"/>
  <c r="L11" i="5" s="1"/>
  <c r="O10" i="5"/>
  <c r="P10" i="5" s="1"/>
  <c r="K10" i="5"/>
  <c r="L10" i="5" s="1"/>
  <c r="O9" i="5"/>
  <c r="P9" i="5" s="1"/>
  <c r="K9" i="5"/>
  <c r="L9" i="5" s="1"/>
  <c r="P8" i="5"/>
  <c r="O8" i="5"/>
  <c r="K8" i="5"/>
  <c r="L8" i="5" s="1"/>
  <c r="O7" i="5"/>
  <c r="P7" i="5" s="1"/>
  <c r="K7" i="5"/>
  <c r="L7" i="5" s="1"/>
  <c r="O6" i="5"/>
  <c r="P6" i="5" s="1"/>
  <c r="L6" i="5"/>
  <c r="K6" i="5"/>
  <c r="O5" i="5"/>
  <c r="P5" i="5" s="1"/>
  <c r="K5" i="5"/>
  <c r="L5" i="5" s="1"/>
  <c r="Q4" i="5"/>
  <c r="R4" i="5" s="1"/>
  <c r="O4" i="5"/>
  <c r="P4" i="5" s="1"/>
  <c r="K4" i="5"/>
  <c r="L4" i="5" s="1"/>
  <c r="O721" i="3"/>
  <c r="P721" i="3" s="1"/>
  <c r="K721" i="3"/>
  <c r="L721" i="3" s="1"/>
  <c r="O720" i="3"/>
  <c r="P720" i="3" s="1"/>
  <c r="K720" i="3"/>
  <c r="L720" i="3" s="1"/>
  <c r="O719" i="3"/>
  <c r="P719" i="3" s="1"/>
  <c r="K719" i="3"/>
  <c r="L719" i="3" s="1"/>
  <c r="O718" i="3"/>
  <c r="P718" i="3" s="1"/>
  <c r="K718" i="3"/>
  <c r="L718" i="3" s="1"/>
  <c r="O717" i="3"/>
  <c r="P717" i="3" s="1"/>
  <c r="K717" i="3"/>
  <c r="L717" i="3" s="1"/>
  <c r="O716" i="3"/>
  <c r="P716" i="3" s="1"/>
  <c r="K716" i="3"/>
  <c r="L716" i="3" s="1"/>
  <c r="O715" i="3"/>
  <c r="P715" i="3" s="1"/>
  <c r="K715" i="3"/>
  <c r="L715" i="3" s="1"/>
  <c r="O714" i="3"/>
  <c r="P714" i="3" s="1"/>
  <c r="K714" i="3"/>
  <c r="L714" i="3" s="1"/>
  <c r="O713" i="3"/>
  <c r="P713" i="3" s="1"/>
  <c r="K713" i="3"/>
  <c r="L713" i="3" s="1"/>
  <c r="O712" i="3"/>
  <c r="P712" i="3" s="1"/>
  <c r="K712" i="3"/>
  <c r="L712" i="3" s="1"/>
  <c r="O711" i="3"/>
  <c r="P711" i="3" s="1"/>
  <c r="K711" i="3"/>
  <c r="L711" i="3" s="1"/>
  <c r="O710" i="3"/>
  <c r="P710" i="3" s="1"/>
  <c r="K710" i="3"/>
  <c r="L710" i="3" s="1"/>
  <c r="O709" i="3"/>
  <c r="P709" i="3" s="1"/>
  <c r="K709" i="3"/>
  <c r="L709" i="3" s="1"/>
  <c r="P708" i="3"/>
  <c r="O708" i="3"/>
  <c r="K708" i="3"/>
  <c r="L708" i="3" s="1"/>
  <c r="O707" i="3"/>
  <c r="P707" i="3" s="1"/>
  <c r="K707" i="3"/>
  <c r="L707" i="3" s="1"/>
  <c r="O706" i="3"/>
  <c r="P706" i="3" s="1"/>
  <c r="K706" i="3"/>
  <c r="L706" i="3" s="1"/>
  <c r="O705" i="3"/>
  <c r="P705" i="3" s="1"/>
  <c r="K705" i="3"/>
  <c r="L705" i="3" s="1"/>
  <c r="O704" i="3"/>
  <c r="P704" i="3" s="1"/>
  <c r="K704" i="3"/>
  <c r="L704" i="3" s="1"/>
  <c r="O703" i="3"/>
  <c r="P703" i="3" s="1"/>
  <c r="K703" i="3"/>
  <c r="L703" i="3" s="1"/>
  <c r="O702" i="3"/>
  <c r="P702" i="3" s="1"/>
  <c r="K702" i="3"/>
  <c r="L702" i="3" s="1"/>
  <c r="O701" i="3"/>
  <c r="P701" i="3" s="1"/>
  <c r="K701" i="3"/>
  <c r="L701" i="3" s="1"/>
  <c r="O700" i="3"/>
  <c r="P700" i="3" s="1"/>
  <c r="K700" i="3"/>
  <c r="L700" i="3" s="1"/>
  <c r="O699" i="3"/>
  <c r="P699" i="3" s="1"/>
  <c r="K699" i="3"/>
  <c r="L699" i="3" s="1"/>
  <c r="O698" i="3"/>
  <c r="P698" i="3" s="1"/>
  <c r="K698" i="3"/>
  <c r="L698" i="3" s="1"/>
  <c r="P697" i="3"/>
  <c r="O697" i="3"/>
  <c r="K697" i="3"/>
  <c r="L697" i="3" s="1"/>
  <c r="O696" i="3"/>
  <c r="P696" i="3" s="1"/>
  <c r="K696" i="3"/>
  <c r="L696" i="3" s="1"/>
  <c r="O695" i="3"/>
  <c r="P695" i="3" s="1"/>
  <c r="K695" i="3"/>
  <c r="L695" i="3" s="1"/>
  <c r="O694" i="3"/>
  <c r="P694" i="3" s="1"/>
  <c r="K694" i="3"/>
  <c r="L694" i="3" s="1"/>
  <c r="O693" i="3"/>
  <c r="P693" i="3" s="1"/>
  <c r="K693" i="3"/>
  <c r="L693" i="3" s="1"/>
  <c r="O692" i="3"/>
  <c r="P692" i="3" s="1"/>
  <c r="K692" i="3"/>
  <c r="L692" i="3" s="1"/>
  <c r="O691" i="3"/>
  <c r="P691" i="3" s="1"/>
  <c r="K691" i="3"/>
  <c r="L691" i="3" s="1"/>
  <c r="O690" i="3"/>
  <c r="P690" i="3" s="1"/>
  <c r="K690" i="3"/>
  <c r="L690" i="3" s="1"/>
  <c r="O689" i="3"/>
  <c r="P689" i="3" s="1"/>
  <c r="K689" i="3"/>
  <c r="L689" i="3" s="1"/>
  <c r="O688" i="3"/>
  <c r="P688" i="3" s="1"/>
  <c r="K688" i="3"/>
  <c r="L688" i="3" s="1"/>
  <c r="O685" i="3"/>
  <c r="P685" i="3" s="1"/>
  <c r="K685" i="3"/>
  <c r="L685" i="3" s="1"/>
  <c r="O684" i="3"/>
  <c r="P684" i="3" s="1"/>
  <c r="K684" i="3"/>
  <c r="L684" i="3" s="1"/>
  <c r="O683" i="3"/>
  <c r="P683" i="3" s="1"/>
  <c r="K683" i="3"/>
  <c r="L683" i="3" s="1"/>
  <c r="O682" i="3"/>
  <c r="P682" i="3" s="1"/>
  <c r="K682" i="3"/>
  <c r="L682" i="3" s="1"/>
  <c r="O681" i="3"/>
  <c r="P681" i="3" s="1"/>
  <c r="K681" i="3"/>
  <c r="L681" i="3" s="1"/>
  <c r="O680" i="3"/>
  <c r="P680" i="3" s="1"/>
  <c r="K680" i="3"/>
  <c r="L680" i="3" s="1"/>
  <c r="O679" i="3"/>
  <c r="P679" i="3" s="1"/>
  <c r="K679" i="3"/>
  <c r="L679" i="3" s="1"/>
  <c r="O678" i="3"/>
  <c r="P678" i="3" s="1"/>
  <c r="K678" i="3"/>
  <c r="L678" i="3" s="1"/>
  <c r="O677" i="3"/>
  <c r="P677" i="3" s="1"/>
  <c r="K677" i="3"/>
  <c r="L677" i="3" s="1"/>
  <c r="O676" i="3"/>
  <c r="P676" i="3" s="1"/>
  <c r="K676" i="3"/>
  <c r="L676" i="3" s="1"/>
  <c r="O675" i="3"/>
  <c r="P675" i="3" s="1"/>
  <c r="K675" i="3"/>
  <c r="L675" i="3" s="1"/>
  <c r="O674" i="3"/>
  <c r="P674" i="3" s="1"/>
  <c r="K674" i="3"/>
  <c r="L674" i="3" s="1"/>
  <c r="O673" i="3"/>
  <c r="P673" i="3" s="1"/>
  <c r="K673" i="3"/>
  <c r="L673" i="3" s="1"/>
  <c r="O672" i="3"/>
  <c r="P672" i="3" s="1"/>
  <c r="K672" i="3"/>
  <c r="L672" i="3" s="1"/>
  <c r="O671" i="3"/>
  <c r="P671" i="3" s="1"/>
  <c r="K671" i="3"/>
  <c r="L671" i="3" s="1"/>
  <c r="O670" i="3"/>
  <c r="P670" i="3" s="1"/>
  <c r="K670" i="3"/>
  <c r="L670" i="3" s="1"/>
  <c r="O669" i="3"/>
  <c r="P669" i="3" s="1"/>
  <c r="K669" i="3"/>
  <c r="L669" i="3" s="1"/>
  <c r="O668" i="3"/>
  <c r="P668" i="3" s="1"/>
  <c r="K668" i="3"/>
  <c r="L668" i="3" s="1"/>
  <c r="O667" i="3"/>
  <c r="P667" i="3" s="1"/>
  <c r="K667" i="3"/>
  <c r="L667" i="3" s="1"/>
  <c r="O666" i="3"/>
  <c r="P666" i="3" s="1"/>
  <c r="K666" i="3"/>
  <c r="L666" i="3" s="1"/>
  <c r="O665" i="3"/>
  <c r="P665" i="3" s="1"/>
  <c r="K665" i="3"/>
  <c r="L665" i="3" s="1"/>
  <c r="O664" i="3"/>
  <c r="P664" i="3" s="1"/>
  <c r="K664" i="3"/>
  <c r="L664" i="3" s="1"/>
  <c r="O663" i="3"/>
  <c r="P663" i="3" s="1"/>
  <c r="K663" i="3"/>
  <c r="L663" i="3" s="1"/>
  <c r="O662" i="3"/>
  <c r="P662" i="3" s="1"/>
  <c r="K662" i="3"/>
  <c r="L662" i="3" s="1"/>
  <c r="O661" i="3"/>
  <c r="P661" i="3" s="1"/>
  <c r="K661" i="3"/>
  <c r="L661" i="3" s="1"/>
  <c r="O660" i="3"/>
  <c r="P660" i="3" s="1"/>
  <c r="K660" i="3"/>
  <c r="L660" i="3" s="1"/>
  <c r="O659" i="3"/>
  <c r="P659" i="3" s="1"/>
  <c r="K659" i="3"/>
  <c r="L659" i="3" s="1"/>
  <c r="O658" i="3"/>
  <c r="P658" i="3" s="1"/>
  <c r="K658" i="3"/>
  <c r="L658" i="3" s="1"/>
  <c r="O657" i="3"/>
  <c r="P657" i="3" s="1"/>
  <c r="K657" i="3"/>
  <c r="L657" i="3" s="1"/>
  <c r="O656" i="3"/>
  <c r="P656" i="3" s="1"/>
  <c r="K656" i="3"/>
  <c r="L656" i="3" s="1"/>
  <c r="O655" i="3"/>
  <c r="P655" i="3" s="1"/>
  <c r="K655" i="3"/>
  <c r="L655" i="3" s="1"/>
  <c r="O654" i="3"/>
  <c r="P654" i="3" s="1"/>
  <c r="K654" i="3"/>
  <c r="L654" i="3" s="1"/>
  <c r="O653" i="3"/>
  <c r="P653" i="3" s="1"/>
  <c r="K653" i="3"/>
  <c r="L653" i="3" s="1"/>
  <c r="O652" i="3"/>
  <c r="P652" i="3" s="1"/>
  <c r="K652" i="3"/>
  <c r="L652" i="3" s="1"/>
  <c r="O649" i="3"/>
  <c r="P649" i="3" s="1"/>
  <c r="K649" i="3"/>
  <c r="L649" i="3" s="1"/>
  <c r="O648" i="3"/>
  <c r="P648" i="3" s="1"/>
  <c r="K648" i="3"/>
  <c r="L648" i="3" s="1"/>
  <c r="O647" i="3"/>
  <c r="P647" i="3" s="1"/>
  <c r="K647" i="3"/>
  <c r="L647" i="3" s="1"/>
  <c r="O646" i="3"/>
  <c r="P646" i="3" s="1"/>
  <c r="K646" i="3"/>
  <c r="L646" i="3" s="1"/>
  <c r="O645" i="3"/>
  <c r="P645" i="3" s="1"/>
  <c r="K645" i="3"/>
  <c r="L645" i="3" s="1"/>
  <c r="O644" i="3"/>
  <c r="P644" i="3" s="1"/>
  <c r="K644" i="3"/>
  <c r="L644" i="3" s="1"/>
  <c r="O643" i="3"/>
  <c r="P643" i="3" s="1"/>
  <c r="K643" i="3"/>
  <c r="L643" i="3" s="1"/>
  <c r="O642" i="3"/>
  <c r="P642" i="3" s="1"/>
  <c r="K642" i="3"/>
  <c r="L642" i="3" s="1"/>
  <c r="O641" i="3"/>
  <c r="P641" i="3" s="1"/>
  <c r="K641" i="3"/>
  <c r="L641" i="3" s="1"/>
  <c r="O640" i="3"/>
  <c r="P640" i="3" s="1"/>
  <c r="K640" i="3"/>
  <c r="L640" i="3" s="1"/>
  <c r="O639" i="3"/>
  <c r="P639" i="3" s="1"/>
  <c r="K639" i="3"/>
  <c r="L639" i="3" s="1"/>
  <c r="O638" i="3"/>
  <c r="P638" i="3" s="1"/>
  <c r="K638" i="3"/>
  <c r="L638" i="3" s="1"/>
  <c r="O637" i="3"/>
  <c r="P637" i="3" s="1"/>
  <c r="K637" i="3"/>
  <c r="L637" i="3" s="1"/>
  <c r="O636" i="3"/>
  <c r="P636" i="3" s="1"/>
  <c r="K636" i="3"/>
  <c r="L636" i="3" s="1"/>
  <c r="O635" i="3"/>
  <c r="P635" i="3" s="1"/>
  <c r="K635" i="3"/>
  <c r="L635" i="3" s="1"/>
  <c r="O634" i="3"/>
  <c r="P634" i="3" s="1"/>
  <c r="K634" i="3"/>
  <c r="L634" i="3" s="1"/>
  <c r="O633" i="3"/>
  <c r="P633" i="3" s="1"/>
  <c r="K633" i="3"/>
  <c r="L633" i="3" s="1"/>
  <c r="O632" i="3"/>
  <c r="P632" i="3" s="1"/>
  <c r="K632" i="3"/>
  <c r="L632" i="3" s="1"/>
  <c r="O631" i="3"/>
  <c r="P631" i="3" s="1"/>
  <c r="K631" i="3"/>
  <c r="L631" i="3" s="1"/>
  <c r="O630" i="3"/>
  <c r="P630" i="3" s="1"/>
  <c r="K630" i="3"/>
  <c r="L630" i="3" s="1"/>
  <c r="O629" i="3"/>
  <c r="P629" i="3" s="1"/>
  <c r="K629" i="3"/>
  <c r="L629" i="3" s="1"/>
  <c r="O628" i="3"/>
  <c r="P628" i="3" s="1"/>
  <c r="K628" i="3"/>
  <c r="L628" i="3" s="1"/>
  <c r="O627" i="3"/>
  <c r="P627" i="3" s="1"/>
  <c r="K627" i="3"/>
  <c r="L627" i="3" s="1"/>
  <c r="O626" i="3"/>
  <c r="P626" i="3" s="1"/>
  <c r="K626" i="3"/>
  <c r="L626" i="3" s="1"/>
  <c r="O625" i="3"/>
  <c r="P625" i="3" s="1"/>
  <c r="K625" i="3"/>
  <c r="L625" i="3" s="1"/>
  <c r="O624" i="3"/>
  <c r="P624" i="3" s="1"/>
  <c r="K624" i="3"/>
  <c r="L624" i="3" s="1"/>
  <c r="O623" i="3"/>
  <c r="P623" i="3" s="1"/>
  <c r="K623" i="3"/>
  <c r="L623" i="3" s="1"/>
  <c r="O622" i="3"/>
  <c r="P622" i="3" s="1"/>
  <c r="K622" i="3"/>
  <c r="L622" i="3" s="1"/>
  <c r="O621" i="3"/>
  <c r="P621" i="3" s="1"/>
  <c r="K621" i="3"/>
  <c r="L621" i="3" s="1"/>
  <c r="O620" i="3"/>
  <c r="P620" i="3" s="1"/>
  <c r="K620" i="3"/>
  <c r="L620" i="3" s="1"/>
  <c r="O619" i="3"/>
  <c r="P619" i="3" s="1"/>
  <c r="K619" i="3"/>
  <c r="L619" i="3" s="1"/>
  <c r="O618" i="3"/>
  <c r="P618" i="3" s="1"/>
  <c r="K618" i="3"/>
  <c r="L618" i="3" s="1"/>
  <c r="O617" i="3"/>
  <c r="P617" i="3" s="1"/>
  <c r="K617" i="3"/>
  <c r="L617" i="3" s="1"/>
  <c r="O616" i="3"/>
  <c r="P616" i="3" s="1"/>
  <c r="K616" i="3"/>
  <c r="L616" i="3" s="1"/>
  <c r="O613" i="3"/>
  <c r="P613" i="3" s="1"/>
  <c r="K613" i="3"/>
  <c r="L613" i="3" s="1"/>
  <c r="O612" i="3"/>
  <c r="P612" i="3" s="1"/>
  <c r="K612" i="3"/>
  <c r="L612" i="3" s="1"/>
  <c r="O611" i="3"/>
  <c r="P611" i="3" s="1"/>
  <c r="K611" i="3"/>
  <c r="L611" i="3" s="1"/>
  <c r="O610" i="3"/>
  <c r="P610" i="3" s="1"/>
  <c r="K610" i="3"/>
  <c r="L610" i="3" s="1"/>
  <c r="O609" i="3"/>
  <c r="P609" i="3" s="1"/>
  <c r="K609" i="3"/>
  <c r="L609" i="3" s="1"/>
  <c r="O608" i="3"/>
  <c r="P608" i="3" s="1"/>
  <c r="K608" i="3"/>
  <c r="L608" i="3" s="1"/>
  <c r="O607" i="3"/>
  <c r="P607" i="3" s="1"/>
  <c r="K607" i="3"/>
  <c r="L607" i="3" s="1"/>
  <c r="O606" i="3"/>
  <c r="P606" i="3" s="1"/>
  <c r="K606" i="3"/>
  <c r="L606" i="3" s="1"/>
  <c r="O605" i="3"/>
  <c r="P605" i="3" s="1"/>
  <c r="K605" i="3"/>
  <c r="L605" i="3" s="1"/>
  <c r="O604" i="3"/>
  <c r="P604" i="3" s="1"/>
  <c r="K604" i="3"/>
  <c r="L604" i="3" s="1"/>
  <c r="O603" i="3"/>
  <c r="P603" i="3" s="1"/>
  <c r="K603" i="3"/>
  <c r="L603" i="3" s="1"/>
  <c r="O602" i="3"/>
  <c r="P602" i="3" s="1"/>
  <c r="K602" i="3"/>
  <c r="L602" i="3" s="1"/>
  <c r="O601" i="3"/>
  <c r="P601" i="3" s="1"/>
  <c r="K601" i="3"/>
  <c r="L601" i="3" s="1"/>
  <c r="O600" i="3"/>
  <c r="P600" i="3" s="1"/>
  <c r="K600" i="3"/>
  <c r="L600" i="3" s="1"/>
  <c r="O599" i="3"/>
  <c r="P599" i="3" s="1"/>
  <c r="K599" i="3"/>
  <c r="L599" i="3" s="1"/>
  <c r="O598" i="3"/>
  <c r="P598" i="3" s="1"/>
  <c r="K598" i="3"/>
  <c r="L598" i="3" s="1"/>
  <c r="O597" i="3"/>
  <c r="P597" i="3" s="1"/>
  <c r="K597" i="3"/>
  <c r="L597" i="3" s="1"/>
  <c r="O596" i="3"/>
  <c r="P596" i="3" s="1"/>
  <c r="K596" i="3"/>
  <c r="L596" i="3" s="1"/>
  <c r="O595" i="3"/>
  <c r="P595" i="3" s="1"/>
  <c r="K595" i="3"/>
  <c r="L595" i="3" s="1"/>
  <c r="O594" i="3"/>
  <c r="P594" i="3" s="1"/>
  <c r="K594" i="3"/>
  <c r="L594" i="3" s="1"/>
  <c r="O593" i="3"/>
  <c r="P593" i="3" s="1"/>
  <c r="K593" i="3"/>
  <c r="L593" i="3" s="1"/>
  <c r="O592" i="3"/>
  <c r="P592" i="3" s="1"/>
  <c r="K592" i="3"/>
  <c r="L592" i="3" s="1"/>
  <c r="O591" i="3"/>
  <c r="P591" i="3" s="1"/>
  <c r="K591" i="3"/>
  <c r="L591" i="3" s="1"/>
  <c r="O590" i="3"/>
  <c r="P590" i="3" s="1"/>
  <c r="K590" i="3"/>
  <c r="L590" i="3" s="1"/>
  <c r="O589" i="3"/>
  <c r="P589" i="3" s="1"/>
  <c r="K589" i="3"/>
  <c r="L589" i="3" s="1"/>
  <c r="O588" i="3"/>
  <c r="P588" i="3" s="1"/>
  <c r="K588" i="3"/>
  <c r="L588" i="3" s="1"/>
  <c r="O587" i="3"/>
  <c r="P587" i="3" s="1"/>
  <c r="K587" i="3"/>
  <c r="L587" i="3" s="1"/>
  <c r="O586" i="3"/>
  <c r="P586" i="3" s="1"/>
  <c r="K586" i="3"/>
  <c r="L586" i="3" s="1"/>
  <c r="O585" i="3"/>
  <c r="P585" i="3" s="1"/>
  <c r="K585" i="3"/>
  <c r="L585" i="3" s="1"/>
  <c r="O584" i="3"/>
  <c r="P584" i="3" s="1"/>
  <c r="K584" i="3"/>
  <c r="L584" i="3" s="1"/>
  <c r="O583" i="3"/>
  <c r="P583" i="3" s="1"/>
  <c r="K583" i="3"/>
  <c r="L583" i="3" s="1"/>
  <c r="O582" i="3"/>
  <c r="P582" i="3" s="1"/>
  <c r="K582" i="3"/>
  <c r="L582" i="3" s="1"/>
  <c r="O581" i="3"/>
  <c r="P581" i="3" s="1"/>
  <c r="K581" i="3"/>
  <c r="L581" i="3" s="1"/>
  <c r="O580" i="3"/>
  <c r="P580" i="3" s="1"/>
  <c r="K580" i="3"/>
  <c r="L580" i="3" s="1"/>
  <c r="O577" i="3"/>
  <c r="P577" i="3" s="1"/>
  <c r="K577" i="3"/>
  <c r="L577" i="3" s="1"/>
  <c r="O576" i="3"/>
  <c r="P576" i="3" s="1"/>
  <c r="K576" i="3"/>
  <c r="L576" i="3" s="1"/>
  <c r="O575" i="3"/>
  <c r="P575" i="3" s="1"/>
  <c r="K575" i="3"/>
  <c r="L575" i="3" s="1"/>
  <c r="O574" i="3"/>
  <c r="P574" i="3" s="1"/>
  <c r="K574" i="3"/>
  <c r="L574" i="3" s="1"/>
  <c r="O573" i="3"/>
  <c r="P573" i="3" s="1"/>
  <c r="K573" i="3"/>
  <c r="L573" i="3" s="1"/>
  <c r="O572" i="3"/>
  <c r="P572" i="3" s="1"/>
  <c r="K572" i="3"/>
  <c r="L572" i="3" s="1"/>
  <c r="O571" i="3"/>
  <c r="P571" i="3" s="1"/>
  <c r="K571" i="3"/>
  <c r="L571" i="3" s="1"/>
  <c r="O570" i="3"/>
  <c r="P570" i="3" s="1"/>
  <c r="K570" i="3"/>
  <c r="L570" i="3" s="1"/>
  <c r="O569" i="3"/>
  <c r="P569" i="3" s="1"/>
  <c r="K569" i="3"/>
  <c r="L569" i="3" s="1"/>
  <c r="O568" i="3"/>
  <c r="P568" i="3" s="1"/>
  <c r="K568" i="3"/>
  <c r="L568" i="3" s="1"/>
  <c r="O567" i="3"/>
  <c r="P567" i="3" s="1"/>
  <c r="K567" i="3"/>
  <c r="L567" i="3" s="1"/>
  <c r="O566" i="3"/>
  <c r="P566" i="3" s="1"/>
  <c r="K566" i="3"/>
  <c r="L566" i="3" s="1"/>
  <c r="O565" i="3"/>
  <c r="P565" i="3" s="1"/>
  <c r="K565" i="3"/>
  <c r="L565" i="3" s="1"/>
  <c r="O564" i="3"/>
  <c r="P564" i="3" s="1"/>
  <c r="K564" i="3"/>
  <c r="L564" i="3" s="1"/>
  <c r="O563" i="3"/>
  <c r="P563" i="3" s="1"/>
  <c r="K563" i="3"/>
  <c r="L563" i="3" s="1"/>
  <c r="O562" i="3"/>
  <c r="P562" i="3" s="1"/>
  <c r="K562" i="3"/>
  <c r="L562" i="3" s="1"/>
  <c r="O561" i="3"/>
  <c r="P561" i="3" s="1"/>
  <c r="K561" i="3"/>
  <c r="L561" i="3" s="1"/>
  <c r="O560" i="3"/>
  <c r="P560" i="3" s="1"/>
  <c r="K560" i="3"/>
  <c r="L560" i="3" s="1"/>
  <c r="O559" i="3"/>
  <c r="P559" i="3" s="1"/>
  <c r="K559" i="3"/>
  <c r="L559" i="3" s="1"/>
  <c r="O558" i="3"/>
  <c r="P558" i="3" s="1"/>
  <c r="K558" i="3"/>
  <c r="L558" i="3" s="1"/>
  <c r="O557" i="3"/>
  <c r="P557" i="3" s="1"/>
  <c r="K557" i="3"/>
  <c r="L557" i="3" s="1"/>
  <c r="O556" i="3"/>
  <c r="P556" i="3" s="1"/>
  <c r="K556" i="3"/>
  <c r="L556" i="3" s="1"/>
  <c r="O555" i="3"/>
  <c r="P555" i="3" s="1"/>
  <c r="K555" i="3"/>
  <c r="L555" i="3" s="1"/>
  <c r="O554" i="3"/>
  <c r="P554" i="3" s="1"/>
  <c r="K554" i="3"/>
  <c r="L554" i="3" s="1"/>
  <c r="O553" i="3"/>
  <c r="P553" i="3" s="1"/>
  <c r="K553" i="3"/>
  <c r="L553" i="3" s="1"/>
  <c r="O552" i="3"/>
  <c r="P552" i="3" s="1"/>
  <c r="K552" i="3"/>
  <c r="L552" i="3" s="1"/>
  <c r="O551" i="3"/>
  <c r="P551" i="3" s="1"/>
  <c r="K551" i="3"/>
  <c r="L551" i="3" s="1"/>
  <c r="O550" i="3"/>
  <c r="P550" i="3" s="1"/>
  <c r="K550" i="3"/>
  <c r="L550" i="3" s="1"/>
  <c r="O549" i="3"/>
  <c r="P549" i="3" s="1"/>
  <c r="K549" i="3"/>
  <c r="L549" i="3" s="1"/>
  <c r="O548" i="3"/>
  <c r="P548" i="3" s="1"/>
  <c r="K548" i="3"/>
  <c r="L548" i="3" s="1"/>
  <c r="O547" i="3"/>
  <c r="P547" i="3" s="1"/>
  <c r="K547" i="3"/>
  <c r="L547" i="3" s="1"/>
  <c r="O546" i="3"/>
  <c r="P546" i="3" s="1"/>
  <c r="K546" i="3"/>
  <c r="L546" i="3" s="1"/>
  <c r="O545" i="3"/>
  <c r="P545" i="3" s="1"/>
  <c r="K545" i="3"/>
  <c r="L545" i="3" s="1"/>
  <c r="O544" i="3"/>
  <c r="P544" i="3" s="1"/>
  <c r="K544" i="3"/>
  <c r="L544" i="3" s="1"/>
  <c r="O541" i="3"/>
  <c r="P541" i="3" s="1"/>
  <c r="K541" i="3"/>
  <c r="L541" i="3" s="1"/>
  <c r="O540" i="3"/>
  <c r="P540" i="3" s="1"/>
  <c r="K540" i="3"/>
  <c r="L540" i="3" s="1"/>
  <c r="O539" i="3"/>
  <c r="P539" i="3" s="1"/>
  <c r="K539" i="3"/>
  <c r="L539" i="3" s="1"/>
  <c r="O538" i="3"/>
  <c r="P538" i="3" s="1"/>
  <c r="K538" i="3"/>
  <c r="L538" i="3" s="1"/>
  <c r="O537" i="3"/>
  <c r="P537" i="3" s="1"/>
  <c r="K537" i="3"/>
  <c r="L537" i="3" s="1"/>
  <c r="O536" i="3"/>
  <c r="P536" i="3" s="1"/>
  <c r="K536" i="3"/>
  <c r="L536" i="3" s="1"/>
  <c r="O535" i="3"/>
  <c r="P535" i="3" s="1"/>
  <c r="K535" i="3"/>
  <c r="L535" i="3" s="1"/>
  <c r="O534" i="3"/>
  <c r="P534" i="3" s="1"/>
  <c r="K534" i="3"/>
  <c r="L534" i="3" s="1"/>
  <c r="O533" i="3"/>
  <c r="P533" i="3" s="1"/>
  <c r="K533" i="3"/>
  <c r="L533" i="3" s="1"/>
  <c r="O532" i="3"/>
  <c r="P532" i="3" s="1"/>
  <c r="K532" i="3"/>
  <c r="L532" i="3" s="1"/>
  <c r="O531" i="3"/>
  <c r="P531" i="3" s="1"/>
  <c r="K531" i="3"/>
  <c r="L531" i="3" s="1"/>
  <c r="O530" i="3"/>
  <c r="P530" i="3" s="1"/>
  <c r="K530" i="3"/>
  <c r="L530" i="3" s="1"/>
  <c r="O529" i="3"/>
  <c r="P529" i="3" s="1"/>
  <c r="K529" i="3"/>
  <c r="L529" i="3" s="1"/>
  <c r="O528" i="3"/>
  <c r="P528" i="3" s="1"/>
  <c r="K528" i="3"/>
  <c r="L528" i="3" s="1"/>
  <c r="P527" i="3"/>
  <c r="O527" i="3"/>
  <c r="K527" i="3"/>
  <c r="L527" i="3" s="1"/>
  <c r="O526" i="3"/>
  <c r="P526" i="3" s="1"/>
  <c r="K526" i="3"/>
  <c r="L526" i="3" s="1"/>
  <c r="O525" i="3"/>
  <c r="P525" i="3" s="1"/>
  <c r="K525" i="3"/>
  <c r="L525" i="3" s="1"/>
  <c r="O524" i="3"/>
  <c r="P524" i="3" s="1"/>
  <c r="K524" i="3"/>
  <c r="L524" i="3" s="1"/>
  <c r="O523" i="3"/>
  <c r="P523" i="3" s="1"/>
  <c r="K523" i="3"/>
  <c r="L523" i="3" s="1"/>
  <c r="O522" i="3"/>
  <c r="P522" i="3" s="1"/>
  <c r="K522" i="3"/>
  <c r="L522" i="3" s="1"/>
  <c r="O521" i="3"/>
  <c r="P521" i="3" s="1"/>
  <c r="K521" i="3"/>
  <c r="L521" i="3" s="1"/>
  <c r="O520" i="3"/>
  <c r="P520" i="3" s="1"/>
  <c r="K520" i="3"/>
  <c r="L520" i="3" s="1"/>
  <c r="O519" i="3"/>
  <c r="P519" i="3" s="1"/>
  <c r="K519" i="3"/>
  <c r="L519" i="3" s="1"/>
  <c r="P518" i="3"/>
  <c r="O518" i="3"/>
  <c r="K518" i="3"/>
  <c r="L518" i="3" s="1"/>
  <c r="O517" i="3"/>
  <c r="P517" i="3" s="1"/>
  <c r="K517" i="3"/>
  <c r="L517" i="3" s="1"/>
  <c r="O516" i="3"/>
  <c r="P516" i="3" s="1"/>
  <c r="K516" i="3"/>
  <c r="L516" i="3" s="1"/>
  <c r="O515" i="3"/>
  <c r="P515" i="3" s="1"/>
  <c r="K515" i="3"/>
  <c r="L515" i="3" s="1"/>
  <c r="O514" i="3"/>
  <c r="P514" i="3" s="1"/>
  <c r="K514" i="3"/>
  <c r="L514" i="3" s="1"/>
  <c r="O513" i="3"/>
  <c r="P513" i="3" s="1"/>
  <c r="K513" i="3"/>
  <c r="L513" i="3" s="1"/>
  <c r="O512" i="3"/>
  <c r="P512" i="3" s="1"/>
  <c r="K512" i="3"/>
  <c r="L512" i="3" s="1"/>
  <c r="O511" i="3"/>
  <c r="P511" i="3" s="1"/>
  <c r="K511" i="3"/>
  <c r="L511" i="3" s="1"/>
  <c r="O510" i="3"/>
  <c r="P510" i="3" s="1"/>
  <c r="K510" i="3"/>
  <c r="L510" i="3" s="1"/>
  <c r="O509" i="3"/>
  <c r="P509" i="3" s="1"/>
  <c r="K509" i="3"/>
  <c r="L509" i="3" s="1"/>
  <c r="O508" i="3"/>
  <c r="P508" i="3" s="1"/>
  <c r="K508" i="3"/>
  <c r="L508" i="3" s="1"/>
  <c r="O505" i="3"/>
  <c r="P505" i="3" s="1"/>
  <c r="K505" i="3"/>
  <c r="L505" i="3" s="1"/>
  <c r="O504" i="3"/>
  <c r="P504" i="3" s="1"/>
  <c r="K504" i="3"/>
  <c r="L504" i="3" s="1"/>
  <c r="O503" i="3"/>
  <c r="P503" i="3" s="1"/>
  <c r="K503" i="3"/>
  <c r="L503" i="3" s="1"/>
  <c r="O502" i="3"/>
  <c r="P502" i="3" s="1"/>
  <c r="K502" i="3"/>
  <c r="L502" i="3" s="1"/>
  <c r="O501" i="3"/>
  <c r="P501" i="3" s="1"/>
  <c r="K501" i="3"/>
  <c r="L501" i="3" s="1"/>
  <c r="O500" i="3"/>
  <c r="P500" i="3" s="1"/>
  <c r="K500" i="3"/>
  <c r="L500" i="3" s="1"/>
  <c r="O499" i="3"/>
  <c r="P499" i="3" s="1"/>
  <c r="K499" i="3"/>
  <c r="L499" i="3" s="1"/>
  <c r="O498" i="3"/>
  <c r="P498" i="3" s="1"/>
  <c r="K498" i="3"/>
  <c r="L498" i="3" s="1"/>
  <c r="O497" i="3"/>
  <c r="P497" i="3" s="1"/>
  <c r="K497" i="3"/>
  <c r="L497" i="3" s="1"/>
  <c r="O496" i="3"/>
  <c r="P496" i="3" s="1"/>
  <c r="K496" i="3"/>
  <c r="L496" i="3" s="1"/>
  <c r="O495" i="3"/>
  <c r="P495" i="3" s="1"/>
  <c r="K495" i="3"/>
  <c r="L495" i="3" s="1"/>
  <c r="O494" i="3"/>
  <c r="P494" i="3" s="1"/>
  <c r="K494" i="3"/>
  <c r="L494" i="3" s="1"/>
  <c r="O493" i="3"/>
  <c r="P493" i="3" s="1"/>
  <c r="K493" i="3"/>
  <c r="L493" i="3" s="1"/>
  <c r="O492" i="3"/>
  <c r="P492" i="3" s="1"/>
  <c r="K492" i="3"/>
  <c r="L492" i="3" s="1"/>
  <c r="O491" i="3"/>
  <c r="P491" i="3" s="1"/>
  <c r="K491" i="3"/>
  <c r="L491" i="3" s="1"/>
  <c r="O490" i="3"/>
  <c r="P490" i="3" s="1"/>
  <c r="K490" i="3"/>
  <c r="L490" i="3" s="1"/>
  <c r="O489" i="3"/>
  <c r="P489" i="3" s="1"/>
  <c r="K489" i="3"/>
  <c r="L489" i="3" s="1"/>
  <c r="P488" i="3"/>
  <c r="O488" i="3"/>
  <c r="K488" i="3"/>
  <c r="L488" i="3" s="1"/>
  <c r="O487" i="3"/>
  <c r="P487" i="3" s="1"/>
  <c r="K487" i="3"/>
  <c r="L487" i="3" s="1"/>
  <c r="O486" i="3"/>
  <c r="P486" i="3" s="1"/>
  <c r="K486" i="3"/>
  <c r="L486" i="3" s="1"/>
  <c r="O485" i="3"/>
  <c r="P485" i="3" s="1"/>
  <c r="K485" i="3"/>
  <c r="L485" i="3" s="1"/>
  <c r="O484" i="3"/>
  <c r="P484" i="3" s="1"/>
  <c r="K484" i="3"/>
  <c r="L484" i="3" s="1"/>
  <c r="O483" i="3"/>
  <c r="P483" i="3" s="1"/>
  <c r="K483" i="3"/>
  <c r="L483" i="3" s="1"/>
  <c r="O482" i="3"/>
  <c r="P482" i="3" s="1"/>
  <c r="K482" i="3"/>
  <c r="L482" i="3" s="1"/>
  <c r="O481" i="3"/>
  <c r="P481" i="3" s="1"/>
  <c r="K481" i="3"/>
  <c r="L481" i="3" s="1"/>
  <c r="O480" i="3"/>
  <c r="P480" i="3" s="1"/>
  <c r="K480" i="3"/>
  <c r="L480" i="3" s="1"/>
  <c r="O479" i="3"/>
  <c r="P479" i="3" s="1"/>
  <c r="K479" i="3"/>
  <c r="L479" i="3" s="1"/>
  <c r="O478" i="3"/>
  <c r="P478" i="3" s="1"/>
  <c r="K478" i="3"/>
  <c r="L478" i="3" s="1"/>
  <c r="O477" i="3"/>
  <c r="P477" i="3" s="1"/>
  <c r="K477" i="3"/>
  <c r="L477" i="3" s="1"/>
  <c r="O476" i="3"/>
  <c r="P476" i="3" s="1"/>
  <c r="K476" i="3"/>
  <c r="L476" i="3" s="1"/>
  <c r="O475" i="3"/>
  <c r="P475" i="3" s="1"/>
  <c r="K475" i="3"/>
  <c r="L475" i="3" s="1"/>
  <c r="O474" i="3"/>
  <c r="P474" i="3" s="1"/>
  <c r="K474" i="3"/>
  <c r="L474" i="3" s="1"/>
  <c r="O473" i="3"/>
  <c r="P473" i="3" s="1"/>
  <c r="K473" i="3"/>
  <c r="L473" i="3" s="1"/>
  <c r="O472" i="3"/>
  <c r="P472" i="3" s="1"/>
  <c r="K472" i="3"/>
  <c r="L472" i="3" s="1"/>
  <c r="O469" i="3"/>
  <c r="P469" i="3" s="1"/>
  <c r="K469" i="3"/>
  <c r="L469" i="3" s="1"/>
  <c r="O468" i="3"/>
  <c r="P468" i="3" s="1"/>
  <c r="K468" i="3"/>
  <c r="L468" i="3" s="1"/>
  <c r="O467" i="3"/>
  <c r="P467" i="3" s="1"/>
  <c r="K467" i="3"/>
  <c r="L467" i="3" s="1"/>
  <c r="O466" i="3"/>
  <c r="P466" i="3" s="1"/>
  <c r="K466" i="3"/>
  <c r="L466" i="3" s="1"/>
  <c r="O465" i="3"/>
  <c r="P465" i="3" s="1"/>
  <c r="K465" i="3"/>
  <c r="L465" i="3" s="1"/>
  <c r="O464" i="3"/>
  <c r="P464" i="3" s="1"/>
  <c r="K464" i="3"/>
  <c r="L464" i="3" s="1"/>
  <c r="O463" i="3"/>
  <c r="P463" i="3" s="1"/>
  <c r="K463" i="3"/>
  <c r="L463" i="3" s="1"/>
  <c r="O462" i="3"/>
  <c r="P462" i="3" s="1"/>
  <c r="K462" i="3"/>
  <c r="L462" i="3" s="1"/>
  <c r="O461" i="3"/>
  <c r="P461" i="3" s="1"/>
  <c r="K461" i="3"/>
  <c r="L461" i="3" s="1"/>
  <c r="O460" i="3"/>
  <c r="P460" i="3" s="1"/>
  <c r="K460" i="3"/>
  <c r="L460" i="3" s="1"/>
  <c r="O459" i="3"/>
  <c r="P459" i="3" s="1"/>
  <c r="L459" i="3"/>
  <c r="K459" i="3"/>
  <c r="O458" i="3"/>
  <c r="P458" i="3" s="1"/>
  <c r="K458" i="3"/>
  <c r="L458" i="3" s="1"/>
  <c r="O457" i="3"/>
  <c r="P457" i="3" s="1"/>
  <c r="K457" i="3"/>
  <c r="L457" i="3" s="1"/>
  <c r="O456" i="3"/>
  <c r="P456" i="3" s="1"/>
  <c r="K456" i="3"/>
  <c r="L456" i="3" s="1"/>
  <c r="P455" i="3"/>
  <c r="O455" i="3"/>
  <c r="K455" i="3"/>
  <c r="L455" i="3" s="1"/>
  <c r="P454" i="3"/>
  <c r="O454" i="3"/>
  <c r="K454" i="3"/>
  <c r="L454" i="3" s="1"/>
  <c r="P453" i="3"/>
  <c r="O453" i="3"/>
  <c r="K453" i="3"/>
  <c r="L453" i="3" s="1"/>
  <c r="O452" i="3"/>
  <c r="P452" i="3" s="1"/>
  <c r="K452" i="3"/>
  <c r="L452" i="3" s="1"/>
  <c r="O451" i="3"/>
  <c r="P451" i="3" s="1"/>
  <c r="K451" i="3"/>
  <c r="L451" i="3" s="1"/>
  <c r="O450" i="3"/>
  <c r="P450" i="3" s="1"/>
  <c r="K450" i="3"/>
  <c r="L450" i="3" s="1"/>
  <c r="O449" i="3"/>
  <c r="P449" i="3" s="1"/>
  <c r="K449" i="3"/>
  <c r="L449" i="3" s="1"/>
  <c r="O448" i="3"/>
  <c r="P448" i="3" s="1"/>
  <c r="K448" i="3"/>
  <c r="L448" i="3" s="1"/>
  <c r="O447" i="3"/>
  <c r="P447" i="3" s="1"/>
  <c r="K447" i="3"/>
  <c r="L447" i="3" s="1"/>
  <c r="O446" i="3"/>
  <c r="P446" i="3" s="1"/>
  <c r="K446" i="3"/>
  <c r="L446" i="3" s="1"/>
  <c r="O445" i="3"/>
  <c r="P445" i="3" s="1"/>
  <c r="K445" i="3"/>
  <c r="L445" i="3" s="1"/>
  <c r="O444" i="3"/>
  <c r="P444" i="3" s="1"/>
  <c r="K444" i="3"/>
  <c r="L444" i="3" s="1"/>
  <c r="O443" i="3"/>
  <c r="P443" i="3" s="1"/>
  <c r="K443" i="3"/>
  <c r="L443" i="3" s="1"/>
  <c r="O442" i="3"/>
  <c r="P442" i="3" s="1"/>
  <c r="K442" i="3"/>
  <c r="L442" i="3" s="1"/>
  <c r="O441" i="3"/>
  <c r="P441" i="3" s="1"/>
  <c r="K441" i="3"/>
  <c r="L441" i="3" s="1"/>
  <c r="O440" i="3"/>
  <c r="P440" i="3" s="1"/>
  <c r="K440" i="3"/>
  <c r="L440" i="3" s="1"/>
  <c r="O439" i="3"/>
  <c r="P439" i="3" s="1"/>
  <c r="K439" i="3"/>
  <c r="L439" i="3" s="1"/>
  <c r="P438" i="3"/>
  <c r="O438" i="3"/>
  <c r="K438" i="3"/>
  <c r="L438" i="3" s="1"/>
  <c r="O437" i="3"/>
  <c r="P437" i="3" s="1"/>
  <c r="K437" i="3"/>
  <c r="L437" i="3" s="1"/>
  <c r="O436" i="3"/>
  <c r="P436" i="3" s="1"/>
  <c r="K436" i="3"/>
  <c r="L436" i="3" s="1"/>
  <c r="O433" i="3"/>
  <c r="P433" i="3" s="1"/>
  <c r="K433" i="3"/>
  <c r="L433" i="3" s="1"/>
  <c r="O432" i="3"/>
  <c r="P432" i="3" s="1"/>
  <c r="K432" i="3"/>
  <c r="L432" i="3" s="1"/>
  <c r="O431" i="3"/>
  <c r="P431" i="3" s="1"/>
  <c r="K431" i="3"/>
  <c r="L431" i="3" s="1"/>
  <c r="O430" i="3"/>
  <c r="P430" i="3" s="1"/>
  <c r="K430" i="3"/>
  <c r="L430" i="3" s="1"/>
  <c r="O429" i="3"/>
  <c r="P429" i="3" s="1"/>
  <c r="K429" i="3"/>
  <c r="L429" i="3" s="1"/>
  <c r="O428" i="3"/>
  <c r="P428" i="3" s="1"/>
  <c r="K428" i="3"/>
  <c r="L428" i="3" s="1"/>
  <c r="O427" i="3"/>
  <c r="P427" i="3" s="1"/>
  <c r="K427" i="3"/>
  <c r="L427" i="3" s="1"/>
  <c r="O426" i="3"/>
  <c r="P426" i="3" s="1"/>
  <c r="K426" i="3"/>
  <c r="L426" i="3" s="1"/>
  <c r="O425" i="3"/>
  <c r="P425" i="3" s="1"/>
  <c r="K425" i="3"/>
  <c r="L425" i="3" s="1"/>
  <c r="O424" i="3"/>
  <c r="P424" i="3" s="1"/>
  <c r="K424" i="3"/>
  <c r="L424" i="3" s="1"/>
  <c r="O423" i="3"/>
  <c r="P423" i="3" s="1"/>
  <c r="K423" i="3"/>
  <c r="L423" i="3" s="1"/>
  <c r="O422" i="3"/>
  <c r="P422" i="3" s="1"/>
  <c r="K422" i="3"/>
  <c r="L422" i="3" s="1"/>
  <c r="O421" i="3"/>
  <c r="P421" i="3" s="1"/>
  <c r="K421" i="3"/>
  <c r="L421" i="3" s="1"/>
  <c r="O420" i="3"/>
  <c r="P420" i="3" s="1"/>
  <c r="K420" i="3"/>
  <c r="L420" i="3" s="1"/>
  <c r="O419" i="3"/>
  <c r="P419" i="3" s="1"/>
  <c r="K419" i="3"/>
  <c r="L419" i="3" s="1"/>
  <c r="O418" i="3"/>
  <c r="P418" i="3" s="1"/>
  <c r="K418" i="3"/>
  <c r="L418" i="3" s="1"/>
  <c r="O417" i="3"/>
  <c r="P417" i="3" s="1"/>
  <c r="K417" i="3"/>
  <c r="L417" i="3" s="1"/>
  <c r="O416" i="3"/>
  <c r="P416" i="3" s="1"/>
  <c r="K416" i="3"/>
  <c r="L416" i="3" s="1"/>
  <c r="O415" i="3"/>
  <c r="P415" i="3" s="1"/>
  <c r="K415" i="3"/>
  <c r="L415" i="3" s="1"/>
  <c r="O414" i="3"/>
  <c r="P414" i="3" s="1"/>
  <c r="K414" i="3"/>
  <c r="L414" i="3" s="1"/>
  <c r="O413" i="3"/>
  <c r="P413" i="3" s="1"/>
  <c r="K413" i="3"/>
  <c r="L413" i="3" s="1"/>
  <c r="O412" i="3"/>
  <c r="P412" i="3" s="1"/>
  <c r="K412" i="3"/>
  <c r="L412" i="3" s="1"/>
  <c r="O411" i="3"/>
  <c r="P411" i="3" s="1"/>
  <c r="K411" i="3"/>
  <c r="L411" i="3" s="1"/>
  <c r="O410" i="3"/>
  <c r="P410" i="3" s="1"/>
  <c r="K410" i="3"/>
  <c r="L410" i="3" s="1"/>
  <c r="O409" i="3"/>
  <c r="P409" i="3" s="1"/>
  <c r="K409" i="3"/>
  <c r="L409" i="3" s="1"/>
  <c r="O408" i="3"/>
  <c r="P408" i="3" s="1"/>
  <c r="K408" i="3"/>
  <c r="L408" i="3" s="1"/>
  <c r="O407" i="3"/>
  <c r="P407" i="3" s="1"/>
  <c r="K407" i="3"/>
  <c r="L407" i="3" s="1"/>
  <c r="O406" i="3"/>
  <c r="P406" i="3" s="1"/>
  <c r="K406" i="3"/>
  <c r="L406" i="3" s="1"/>
  <c r="O405" i="3"/>
  <c r="P405" i="3" s="1"/>
  <c r="K405" i="3"/>
  <c r="L405" i="3" s="1"/>
  <c r="O404" i="3"/>
  <c r="P404" i="3" s="1"/>
  <c r="K404" i="3"/>
  <c r="L404" i="3" s="1"/>
  <c r="O403" i="3"/>
  <c r="P403" i="3" s="1"/>
  <c r="K403" i="3"/>
  <c r="L403" i="3" s="1"/>
  <c r="O402" i="3"/>
  <c r="P402" i="3" s="1"/>
  <c r="K402" i="3"/>
  <c r="L402" i="3" s="1"/>
  <c r="O401" i="3"/>
  <c r="P401" i="3" s="1"/>
  <c r="K401" i="3"/>
  <c r="L401" i="3" s="1"/>
  <c r="O400" i="3"/>
  <c r="P400" i="3" s="1"/>
  <c r="K400" i="3"/>
  <c r="L400" i="3" s="1"/>
  <c r="O397" i="3"/>
  <c r="P397" i="3" s="1"/>
  <c r="K397" i="3"/>
  <c r="L397" i="3" s="1"/>
  <c r="O396" i="3"/>
  <c r="P396" i="3" s="1"/>
  <c r="K396" i="3"/>
  <c r="L396" i="3" s="1"/>
  <c r="O395" i="3"/>
  <c r="P395" i="3" s="1"/>
  <c r="K395" i="3"/>
  <c r="L395" i="3" s="1"/>
  <c r="O394" i="3"/>
  <c r="P394" i="3" s="1"/>
  <c r="K394" i="3"/>
  <c r="L394" i="3" s="1"/>
  <c r="O393" i="3"/>
  <c r="P393" i="3" s="1"/>
  <c r="K393" i="3"/>
  <c r="L393" i="3" s="1"/>
  <c r="O392" i="3"/>
  <c r="P392" i="3" s="1"/>
  <c r="K392" i="3"/>
  <c r="L392" i="3" s="1"/>
  <c r="O391" i="3"/>
  <c r="P391" i="3" s="1"/>
  <c r="K391" i="3"/>
  <c r="L391" i="3" s="1"/>
  <c r="O390" i="3"/>
  <c r="P390" i="3" s="1"/>
  <c r="K390" i="3"/>
  <c r="L390" i="3" s="1"/>
  <c r="O389" i="3"/>
  <c r="P389" i="3" s="1"/>
  <c r="K389" i="3"/>
  <c r="L389" i="3" s="1"/>
  <c r="O388" i="3"/>
  <c r="P388" i="3" s="1"/>
  <c r="K388" i="3"/>
  <c r="L388" i="3" s="1"/>
  <c r="O387" i="3"/>
  <c r="P387" i="3" s="1"/>
  <c r="K387" i="3"/>
  <c r="L387" i="3" s="1"/>
  <c r="O386" i="3"/>
  <c r="P386" i="3" s="1"/>
  <c r="K386" i="3"/>
  <c r="L386" i="3" s="1"/>
  <c r="O385" i="3"/>
  <c r="P385" i="3" s="1"/>
  <c r="K385" i="3"/>
  <c r="L385" i="3" s="1"/>
  <c r="P384" i="3"/>
  <c r="O384" i="3"/>
  <c r="K384" i="3"/>
  <c r="L384" i="3" s="1"/>
  <c r="P383" i="3"/>
  <c r="O383" i="3"/>
  <c r="K383" i="3"/>
  <c r="L383" i="3" s="1"/>
  <c r="O382" i="3"/>
  <c r="P382" i="3" s="1"/>
  <c r="K382" i="3"/>
  <c r="L382" i="3" s="1"/>
  <c r="O381" i="3"/>
  <c r="P381" i="3" s="1"/>
  <c r="K381" i="3"/>
  <c r="L381" i="3" s="1"/>
  <c r="O380" i="3"/>
  <c r="P380" i="3" s="1"/>
  <c r="K380" i="3"/>
  <c r="L380" i="3" s="1"/>
  <c r="O379" i="3"/>
  <c r="P379" i="3" s="1"/>
  <c r="K379" i="3"/>
  <c r="L379" i="3" s="1"/>
  <c r="O378" i="3"/>
  <c r="P378" i="3" s="1"/>
  <c r="K378" i="3"/>
  <c r="L378" i="3" s="1"/>
  <c r="O377" i="3"/>
  <c r="P377" i="3" s="1"/>
  <c r="K377" i="3"/>
  <c r="L377" i="3" s="1"/>
  <c r="O376" i="3"/>
  <c r="P376" i="3" s="1"/>
  <c r="K376" i="3"/>
  <c r="L376" i="3" s="1"/>
  <c r="O375" i="3"/>
  <c r="P375" i="3" s="1"/>
  <c r="L375" i="3"/>
  <c r="K375" i="3"/>
  <c r="O374" i="3"/>
  <c r="P374" i="3" s="1"/>
  <c r="K374" i="3"/>
  <c r="L374" i="3" s="1"/>
  <c r="O373" i="3"/>
  <c r="P373" i="3" s="1"/>
  <c r="K373" i="3"/>
  <c r="L373" i="3" s="1"/>
  <c r="O372" i="3"/>
  <c r="P372" i="3" s="1"/>
  <c r="K372" i="3"/>
  <c r="L372" i="3" s="1"/>
  <c r="O371" i="3"/>
  <c r="P371" i="3" s="1"/>
  <c r="K371" i="3"/>
  <c r="L371" i="3" s="1"/>
  <c r="O370" i="3"/>
  <c r="P370" i="3" s="1"/>
  <c r="K370" i="3"/>
  <c r="L370" i="3" s="1"/>
  <c r="O369" i="3"/>
  <c r="P369" i="3" s="1"/>
  <c r="K369" i="3"/>
  <c r="L369" i="3" s="1"/>
  <c r="O368" i="3"/>
  <c r="P368" i="3" s="1"/>
  <c r="K368" i="3"/>
  <c r="L368" i="3" s="1"/>
  <c r="O367" i="3"/>
  <c r="P367" i="3" s="1"/>
  <c r="K367" i="3"/>
  <c r="L367" i="3" s="1"/>
  <c r="O366" i="3"/>
  <c r="P366" i="3" s="1"/>
  <c r="K366" i="3"/>
  <c r="L366" i="3" s="1"/>
  <c r="O365" i="3"/>
  <c r="P365" i="3" s="1"/>
  <c r="K365" i="3"/>
  <c r="L365" i="3" s="1"/>
  <c r="O364" i="3"/>
  <c r="P364" i="3" s="1"/>
  <c r="K364" i="3"/>
  <c r="L364" i="3" s="1"/>
  <c r="O361" i="3"/>
  <c r="P361" i="3" s="1"/>
  <c r="K361" i="3"/>
  <c r="L361" i="3" s="1"/>
  <c r="O360" i="3"/>
  <c r="P360" i="3" s="1"/>
  <c r="K360" i="3"/>
  <c r="L360" i="3" s="1"/>
  <c r="O359" i="3"/>
  <c r="P359" i="3" s="1"/>
  <c r="K359" i="3"/>
  <c r="L359" i="3" s="1"/>
  <c r="O358" i="3"/>
  <c r="P358" i="3" s="1"/>
  <c r="K358" i="3"/>
  <c r="L358" i="3" s="1"/>
  <c r="O357" i="3"/>
  <c r="P357" i="3" s="1"/>
  <c r="K357" i="3"/>
  <c r="L357" i="3" s="1"/>
  <c r="O356" i="3"/>
  <c r="P356" i="3" s="1"/>
  <c r="K356" i="3"/>
  <c r="L356" i="3" s="1"/>
  <c r="O355" i="3"/>
  <c r="P355" i="3" s="1"/>
  <c r="K355" i="3"/>
  <c r="L355" i="3" s="1"/>
  <c r="O354" i="3"/>
  <c r="P354" i="3" s="1"/>
  <c r="K354" i="3"/>
  <c r="L354" i="3" s="1"/>
  <c r="O353" i="3"/>
  <c r="P353" i="3" s="1"/>
  <c r="K353" i="3"/>
  <c r="L353" i="3" s="1"/>
  <c r="O352" i="3"/>
  <c r="P352" i="3" s="1"/>
  <c r="K352" i="3"/>
  <c r="L352" i="3" s="1"/>
  <c r="O351" i="3"/>
  <c r="P351" i="3" s="1"/>
  <c r="K351" i="3"/>
  <c r="L351" i="3" s="1"/>
  <c r="O350" i="3"/>
  <c r="P350" i="3" s="1"/>
  <c r="K350" i="3"/>
  <c r="L350" i="3" s="1"/>
  <c r="O349" i="3"/>
  <c r="P349" i="3" s="1"/>
  <c r="K349" i="3"/>
  <c r="L349" i="3" s="1"/>
  <c r="O348" i="3"/>
  <c r="P348" i="3" s="1"/>
  <c r="K348" i="3"/>
  <c r="L348" i="3" s="1"/>
  <c r="O347" i="3"/>
  <c r="P347" i="3" s="1"/>
  <c r="K347" i="3"/>
  <c r="L347" i="3" s="1"/>
  <c r="O346" i="3"/>
  <c r="P346" i="3" s="1"/>
  <c r="K346" i="3"/>
  <c r="L346" i="3" s="1"/>
  <c r="O345" i="3"/>
  <c r="P345" i="3" s="1"/>
  <c r="K345" i="3"/>
  <c r="L345" i="3" s="1"/>
  <c r="O344" i="3"/>
  <c r="P344" i="3" s="1"/>
  <c r="K344" i="3"/>
  <c r="L344" i="3" s="1"/>
  <c r="O343" i="3"/>
  <c r="P343" i="3" s="1"/>
  <c r="L343" i="3"/>
  <c r="K343" i="3"/>
  <c r="O342" i="3"/>
  <c r="P342" i="3" s="1"/>
  <c r="K342" i="3"/>
  <c r="L342" i="3" s="1"/>
  <c r="O341" i="3"/>
  <c r="P341" i="3" s="1"/>
  <c r="K341" i="3"/>
  <c r="L341" i="3" s="1"/>
  <c r="O340" i="3"/>
  <c r="P340" i="3" s="1"/>
  <c r="K340" i="3"/>
  <c r="L340" i="3" s="1"/>
  <c r="O339" i="3"/>
  <c r="P339" i="3" s="1"/>
  <c r="K339" i="3"/>
  <c r="L339" i="3" s="1"/>
  <c r="O338" i="3"/>
  <c r="P338" i="3" s="1"/>
  <c r="K338" i="3"/>
  <c r="L338" i="3" s="1"/>
  <c r="O337" i="3"/>
  <c r="P337" i="3" s="1"/>
  <c r="K337" i="3"/>
  <c r="L337" i="3" s="1"/>
  <c r="O336" i="3"/>
  <c r="P336" i="3" s="1"/>
  <c r="K336" i="3"/>
  <c r="L336" i="3" s="1"/>
  <c r="O335" i="3"/>
  <c r="P335" i="3" s="1"/>
  <c r="K335" i="3"/>
  <c r="L335" i="3" s="1"/>
  <c r="O334" i="3"/>
  <c r="P334" i="3" s="1"/>
  <c r="K334" i="3"/>
  <c r="L334" i="3" s="1"/>
  <c r="O333" i="3"/>
  <c r="P333" i="3" s="1"/>
  <c r="K333" i="3"/>
  <c r="L333" i="3" s="1"/>
  <c r="O332" i="3"/>
  <c r="P332" i="3" s="1"/>
  <c r="K332" i="3"/>
  <c r="L332" i="3" s="1"/>
  <c r="O331" i="3"/>
  <c r="P331" i="3" s="1"/>
  <c r="L331" i="3"/>
  <c r="K331" i="3"/>
  <c r="O330" i="3"/>
  <c r="P330" i="3" s="1"/>
  <c r="L330" i="3"/>
  <c r="K330" i="3"/>
  <c r="P329" i="3"/>
  <c r="O329" i="3"/>
  <c r="K329" i="3"/>
  <c r="L329" i="3" s="1"/>
  <c r="O328" i="3"/>
  <c r="P328" i="3" s="1"/>
  <c r="K328" i="3"/>
  <c r="L328" i="3" s="1"/>
  <c r="O325" i="3"/>
  <c r="P325" i="3" s="1"/>
  <c r="K325" i="3"/>
  <c r="L325" i="3" s="1"/>
  <c r="O324" i="3"/>
  <c r="P324" i="3" s="1"/>
  <c r="K324" i="3"/>
  <c r="L324" i="3" s="1"/>
  <c r="O323" i="3"/>
  <c r="P323" i="3" s="1"/>
  <c r="K323" i="3"/>
  <c r="L323" i="3" s="1"/>
  <c r="O322" i="3"/>
  <c r="P322" i="3" s="1"/>
  <c r="K322" i="3"/>
  <c r="L322" i="3" s="1"/>
  <c r="O321" i="3"/>
  <c r="P321" i="3" s="1"/>
  <c r="K321" i="3"/>
  <c r="L321" i="3" s="1"/>
  <c r="O320" i="3"/>
  <c r="P320" i="3" s="1"/>
  <c r="K320" i="3"/>
  <c r="L320" i="3" s="1"/>
  <c r="O319" i="3"/>
  <c r="P319" i="3" s="1"/>
  <c r="K319" i="3"/>
  <c r="L319" i="3" s="1"/>
  <c r="O318" i="3"/>
  <c r="P318" i="3" s="1"/>
  <c r="K318" i="3"/>
  <c r="L318" i="3" s="1"/>
  <c r="O317" i="3"/>
  <c r="P317" i="3" s="1"/>
  <c r="K317" i="3"/>
  <c r="L317" i="3" s="1"/>
  <c r="O316" i="3"/>
  <c r="P316" i="3" s="1"/>
  <c r="K316" i="3"/>
  <c r="L316" i="3" s="1"/>
  <c r="O315" i="3"/>
  <c r="P315" i="3" s="1"/>
  <c r="K315" i="3"/>
  <c r="L315" i="3" s="1"/>
  <c r="O314" i="3"/>
  <c r="P314" i="3" s="1"/>
  <c r="K314" i="3"/>
  <c r="L314" i="3" s="1"/>
  <c r="O313" i="3"/>
  <c r="P313" i="3" s="1"/>
  <c r="K313" i="3"/>
  <c r="L313" i="3" s="1"/>
  <c r="O312" i="3"/>
  <c r="P312" i="3" s="1"/>
  <c r="K312" i="3"/>
  <c r="L312" i="3" s="1"/>
  <c r="O311" i="3"/>
  <c r="P311" i="3" s="1"/>
  <c r="K311" i="3"/>
  <c r="L311" i="3" s="1"/>
  <c r="O310" i="3"/>
  <c r="P310" i="3" s="1"/>
  <c r="K310" i="3"/>
  <c r="L310" i="3" s="1"/>
  <c r="O309" i="3"/>
  <c r="P309" i="3" s="1"/>
  <c r="K309" i="3"/>
  <c r="L309" i="3" s="1"/>
  <c r="O308" i="3"/>
  <c r="P308" i="3" s="1"/>
  <c r="K308" i="3"/>
  <c r="L308" i="3" s="1"/>
  <c r="O307" i="3"/>
  <c r="P307" i="3" s="1"/>
  <c r="K307" i="3"/>
  <c r="L307" i="3" s="1"/>
  <c r="O306" i="3"/>
  <c r="P306" i="3" s="1"/>
  <c r="K306" i="3"/>
  <c r="L306" i="3" s="1"/>
  <c r="O305" i="3"/>
  <c r="P305" i="3" s="1"/>
  <c r="L305" i="3"/>
  <c r="K305" i="3"/>
  <c r="O304" i="3"/>
  <c r="P304" i="3" s="1"/>
  <c r="K304" i="3"/>
  <c r="L304" i="3" s="1"/>
  <c r="O303" i="3"/>
  <c r="P303" i="3" s="1"/>
  <c r="K303" i="3"/>
  <c r="L303" i="3" s="1"/>
  <c r="P302" i="3"/>
  <c r="O302" i="3"/>
  <c r="K302" i="3"/>
  <c r="L302" i="3" s="1"/>
  <c r="O301" i="3"/>
  <c r="P301" i="3" s="1"/>
  <c r="K301" i="3"/>
  <c r="L301" i="3" s="1"/>
  <c r="O300" i="3"/>
  <c r="P300" i="3" s="1"/>
  <c r="K300" i="3"/>
  <c r="L300" i="3" s="1"/>
  <c r="O299" i="3"/>
  <c r="P299" i="3" s="1"/>
  <c r="K299" i="3"/>
  <c r="L299" i="3" s="1"/>
  <c r="P298" i="3"/>
  <c r="O298" i="3"/>
  <c r="K298" i="3"/>
  <c r="L298" i="3" s="1"/>
  <c r="P297" i="3"/>
  <c r="O297" i="3"/>
  <c r="K297" i="3"/>
  <c r="L297" i="3" s="1"/>
  <c r="O296" i="3"/>
  <c r="P296" i="3" s="1"/>
  <c r="K296" i="3"/>
  <c r="L296" i="3" s="1"/>
  <c r="O295" i="3"/>
  <c r="P295" i="3" s="1"/>
  <c r="K295" i="3"/>
  <c r="L295" i="3" s="1"/>
  <c r="O294" i="3"/>
  <c r="P294" i="3" s="1"/>
  <c r="K294" i="3"/>
  <c r="L294" i="3" s="1"/>
  <c r="P293" i="3"/>
  <c r="O293" i="3"/>
  <c r="K293" i="3"/>
  <c r="L293" i="3" s="1"/>
  <c r="O292" i="3"/>
  <c r="P292" i="3" s="1"/>
  <c r="K292" i="3"/>
  <c r="L292" i="3" s="1"/>
  <c r="O289" i="3"/>
  <c r="P289" i="3" s="1"/>
  <c r="K289" i="3"/>
  <c r="L289" i="3" s="1"/>
  <c r="O288" i="3"/>
  <c r="P288" i="3" s="1"/>
  <c r="K288" i="3"/>
  <c r="L288" i="3" s="1"/>
  <c r="O287" i="3"/>
  <c r="P287" i="3" s="1"/>
  <c r="K287" i="3"/>
  <c r="L287" i="3" s="1"/>
  <c r="O286" i="3"/>
  <c r="P286" i="3" s="1"/>
  <c r="K286" i="3"/>
  <c r="L286" i="3" s="1"/>
  <c r="O285" i="3"/>
  <c r="P285" i="3" s="1"/>
  <c r="K285" i="3"/>
  <c r="L285" i="3" s="1"/>
  <c r="O284" i="3"/>
  <c r="P284" i="3" s="1"/>
  <c r="K284" i="3"/>
  <c r="L284" i="3" s="1"/>
  <c r="O283" i="3"/>
  <c r="P283" i="3" s="1"/>
  <c r="K283" i="3"/>
  <c r="L283" i="3" s="1"/>
  <c r="O282" i="3"/>
  <c r="P282" i="3" s="1"/>
  <c r="K282" i="3"/>
  <c r="L282" i="3" s="1"/>
  <c r="O281" i="3"/>
  <c r="P281" i="3" s="1"/>
  <c r="K281" i="3"/>
  <c r="L281" i="3" s="1"/>
  <c r="O280" i="3"/>
  <c r="P280" i="3" s="1"/>
  <c r="K280" i="3"/>
  <c r="L280" i="3" s="1"/>
  <c r="O279" i="3"/>
  <c r="P279" i="3" s="1"/>
  <c r="K279" i="3"/>
  <c r="L279" i="3" s="1"/>
  <c r="O278" i="3"/>
  <c r="P278" i="3" s="1"/>
  <c r="K278" i="3"/>
  <c r="L278" i="3" s="1"/>
  <c r="O277" i="3"/>
  <c r="P277" i="3" s="1"/>
  <c r="K277" i="3"/>
  <c r="L277" i="3" s="1"/>
  <c r="O276" i="3"/>
  <c r="P276" i="3" s="1"/>
  <c r="K276" i="3"/>
  <c r="L276" i="3" s="1"/>
  <c r="O275" i="3"/>
  <c r="P275" i="3" s="1"/>
  <c r="K275" i="3"/>
  <c r="L275" i="3" s="1"/>
  <c r="O274" i="3"/>
  <c r="P274" i="3" s="1"/>
  <c r="K274" i="3"/>
  <c r="L274" i="3" s="1"/>
  <c r="O273" i="3"/>
  <c r="P273" i="3" s="1"/>
  <c r="K273" i="3"/>
  <c r="L273" i="3" s="1"/>
  <c r="O272" i="3"/>
  <c r="P272" i="3" s="1"/>
  <c r="K272" i="3"/>
  <c r="L272" i="3" s="1"/>
  <c r="O271" i="3"/>
  <c r="P271" i="3" s="1"/>
  <c r="L271" i="3"/>
  <c r="K271" i="3"/>
  <c r="O270" i="3"/>
  <c r="P270" i="3" s="1"/>
  <c r="K270" i="3"/>
  <c r="L270" i="3" s="1"/>
  <c r="O269" i="3"/>
  <c r="P269" i="3" s="1"/>
  <c r="K269" i="3"/>
  <c r="L269" i="3" s="1"/>
  <c r="O268" i="3"/>
  <c r="P268" i="3" s="1"/>
  <c r="K268" i="3"/>
  <c r="L268" i="3" s="1"/>
  <c r="P267" i="3"/>
  <c r="O267" i="3"/>
  <c r="L267" i="3"/>
  <c r="K267" i="3"/>
  <c r="O266" i="3"/>
  <c r="P266" i="3" s="1"/>
  <c r="K266" i="3"/>
  <c r="L266" i="3" s="1"/>
  <c r="O265" i="3"/>
  <c r="P265" i="3" s="1"/>
  <c r="K265" i="3"/>
  <c r="L265" i="3" s="1"/>
  <c r="O264" i="3"/>
  <c r="P264" i="3" s="1"/>
  <c r="K264" i="3"/>
  <c r="L264" i="3" s="1"/>
  <c r="P263" i="3"/>
  <c r="O263" i="3"/>
  <c r="K263" i="3"/>
  <c r="L263" i="3" s="1"/>
  <c r="O262" i="3"/>
  <c r="P262" i="3" s="1"/>
  <c r="K262" i="3"/>
  <c r="L262" i="3" s="1"/>
  <c r="O261" i="3"/>
  <c r="P261" i="3" s="1"/>
  <c r="K261" i="3"/>
  <c r="L261" i="3" s="1"/>
  <c r="O260" i="3"/>
  <c r="P260" i="3" s="1"/>
  <c r="K260" i="3"/>
  <c r="L260" i="3" s="1"/>
  <c r="O259" i="3"/>
  <c r="P259" i="3" s="1"/>
  <c r="K259" i="3"/>
  <c r="L259" i="3" s="1"/>
  <c r="O258" i="3"/>
  <c r="P258" i="3" s="1"/>
  <c r="K258" i="3"/>
  <c r="L258" i="3" s="1"/>
  <c r="O257" i="3"/>
  <c r="P257" i="3" s="1"/>
  <c r="K257" i="3"/>
  <c r="L257" i="3" s="1"/>
  <c r="O256" i="3"/>
  <c r="P256" i="3" s="1"/>
  <c r="K256" i="3"/>
  <c r="L256" i="3" s="1"/>
  <c r="O253" i="3"/>
  <c r="P253" i="3" s="1"/>
  <c r="K253" i="3"/>
  <c r="L253" i="3" s="1"/>
  <c r="O252" i="3"/>
  <c r="P252" i="3" s="1"/>
  <c r="K252" i="3"/>
  <c r="L252" i="3" s="1"/>
  <c r="O251" i="3"/>
  <c r="P251" i="3" s="1"/>
  <c r="K251" i="3"/>
  <c r="L251" i="3" s="1"/>
  <c r="O250" i="3"/>
  <c r="P250" i="3" s="1"/>
  <c r="K250" i="3"/>
  <c r="L250" i="3" s="1"/>
  <c r="O249" i="3"/>
  <c r="P249" i="3" s="1"/>
  <c r="K249" i="3"/>
  <c r="L249" i="3" s="1"/>
  <c r="O248" i="3"/>
  <c r="P248" i="3" s="1"/>
  <c r="K248" i="3"/>
  <c r="L248" i="3" s="1"/>
  <c r="O247" i="3"/>
  <c r="P247" i="3" s="1"/>
  <c r="K247" i="3"/>
  <c r="L247" i="3" s="1"/>
  <c r="O246" i="3"/>
  <c r="P246" i="3" s="1"/>
  <c r="K246" i="3"/>
  <c r="L246" i="3" s="1"/>
  <c r="O245" i="3"/>
  <c r="P245" i="3" s="1"/>
  <c r="K245" i="3"/>
  <c r="L245" i="3" s="1"/>
  <c r="O244" i="3"/>
  <c r="P244" i="3" s="1"/>
  <c r="K244" i="3"/>
  <c r="L244" i="3" s="1"/>
  <c r="O243" i="3"/>
  <c r="P243" i="3" s="1"/>
  <c r="K243" i="3"/>
  <c r="L243" i="3" s="1"/>
  <c r="O242" i="3"/>
  <c r="P242" i="3" s="1"/>
  <c r="K242" i="3"/>
  <c r="L242" i="3" s="1"/>
  <c r="O241" i="3"/>
  <c r="P241" i="3" s="1"/>
  <c r="K241" i="3"/>
  <c r="L241" i="3" s="1"/>
  <c r="O240" i="3"/>
  <c r="P240" i="3" s="1"/>
  <c r="K240" i="3"/>
  <c r="L240" i="3" s="1"/>
  <c r="O239" i="3"/>
  <c r="P239" i="3" s="1"/>
  <c r="K239" i="3"/>
  <c r="L239" i="3" s="1"/>
  <c r="O238" i="3"/>
  <c r="P238" i="3" s="1"/>
  <c r="K238" i="3"/>
  <c r="L238" i="3" s="1"/>
  <c r="O237" i="3"/>
  <c r="P237" i="3" s="1"/>
  <c r="K237" i="3"/>
  <c r="L237" i="3" s="1"/>
  <c r="O236" i="3"/>
  <c r="P236" i="3" s="1"/>
  <c r="K236" i="3"/>
  <c r="L236" i="3" s="1"/>
  <c r="O235" i="3"/>
  <c r="P235" i="3" s="1"/>
  <c r="K235" i="3"/>
  <c r="L235" i="3" s="1"/>
  <c r="O234" i="3"/>
  <c r="P234" i="3" s="1"/>
  <c r="K234" i="3"/>
  <c r="L234" i="3" s="1"/>
  <c r="O233" i="3"/>
  <c r="P233" i="3" s="1"/>
  <c r="K233" i="3"/>
  <c r="L233" i="3" s="1"/>
  <c r="O232" i="3"/>
  <c r="P232" i="3" s="1"/>
  <c r="K232" i="3"/>
  <c r="L232" i="3" s="1"/>
  <c r="O231" i="3"/>
  <c r="P231" i="3" s="1"/>
  <c r="K231" i="3"/>
  <c r="L231" i="3" s="1"/>
  <c r="O230" i="3"/>
  <c r="P230" i="3" s="1"/>
  <c r="K230" i="3"/>
  <c r="L230" i="3" s="1"/>
  <c r="O229" i="3"/>
  <c r="P229" i="3" s="1"/>
  <c r="K229" i="3"/>
  <c r="L229" i="3" s="1"/>
  <c r="O228" i="3"/>
  <c r="P228" i="3" s="1"/>
  <c r="K228" i="3"/>
  <c r="L228" i="3" s="1"/>
  <c r="O227" i="3"/>
  <c r="P227" i="3" s="1"/>
  <c r="K227" i="3"/>
  <c r="L227" i="3" s="1"/>
  <c r="O226" i="3"/>
  <c r="P226" i="3" s="1"/>
  <c r="K226" i="3"/>
  <c r="L226" i="3" s="1"/>
  <c r="O225" i="3"/>
  <c r="P225" i="3" s="1"/>
  <c r="K225" i="3"/>
  <c r="L225" i="3" s="1"/>
  <c r="O224" i="3"/>
  <c r="P224" i="3" s="1"/>
  <c r="K224" i="3"/>
  <c r="L224" i="3" s="1"/>
  <c r="O223" i="3"/>
  <c r="P223" i="3" s="1"/>
  <c r="K223" i="3"/>
  <c r="L223" i="3" s="1"/>
  <c r="O222" i="3"/>
  <c r="P222" i="3" s="1"/>
  <c r="K222" i="3"/>
  <c r="L222" i="3" s="1"/>
  <c r="O221" i="3"/>
  <c r="P221" i="3" s="1"/>
  <c r="K221" i="3"/>
  <c r="L221" i="3" s="1"/>
  <c r="O220" i="3"/>
  <c r="P220" i="3" s="1"/>
  <c r="K220" i="3"/>
  <c r="L220" i="3" s="1"/>
  <c r="O217" i="3"/>
  <c r="P217" i="3" s="1"/>
  <c r="K217" i="3"/>
  <c r="L217" i="3" s="1"/>
  <c r="O216" i="3"/>
  <c r="P216" i="3" s="1"/>
  <c r="K216" i="3"/>
  <c r="L216" i="3" s="1"/>
  <c r="O215" i="3"/>
  <c r="P215" i="3" s="1"/>
  <c r="K215" i="3"/>
  <c r="L215" i="3" s="1"/>
  <c r="O214" i="3"/>
  <c r="P214" i="3" s="1"/>
  <c r="K214" i="3"/>
  <c r="L214" i="3" s="1"/>
  <c r="O213" i="3"/>
  <c r="P213" i="3" s="1"/>
  <c r="K213" i="3"/>
  <c r="L213" i="3" s="1"/>
  <c r="O212" i="3"/>
  <c r="P212" i="3" s="1"/>
  <c r="K212" i="3"/>
  <c r="L212" i="3" s="1"/>
  <c r="O211" i="3"/>
  <c r="P211" i="3" s="1"/>
  <c r="K211" i="3"/>
  <c r="L211" i="3" s="1"/>
  <c r="O210" i="3"/>
  <c r="P210" i="3" s="1"/>
  <c r="K210" i="3"/>
  <c r="L210" i="3" s="1"/>
  <c r="O209" i="3"/>
  <c r="P209" i="3" s="1"/>
  <c r="K209" i="3"/>
  <c r="L209" i="3" s="1"/>
  <c r="O208" i="3"/>
  <c r="P208" i="3" s="1"/>
  <c r="K208" i="3"/>
  <c r="L208" i="3" s="1"/>
  <c r="P207" i="3"/>
  <c r="O207" i="3"/>
  <c r="K207" i="3"/>
  <c r="L207" i="3" s="1"/>
  <c r="O206" i="3"/>
  <c r="P206" i="3" s="1"/>
  <c r="Q206" i="3" s="1"/>
  <c r="R206" i="3" s="1"/>
  <c r="K206" i="3"/>
  <c r="L206" i="3" s="1"/>
  <c r="O205" i="3"/>
  <c r="P205" i="3" s="1"/>
  <c r="K205" i="3"/>
  <c r="L205" i="3" s="1"/>
  <c r="O204" i="3"/>
  <c r="P204" i="3" s="1"/>
  <c r="K204" i="3"/>
  <c r="L204" i="3" s="1"/>
  <c r="O203" i="3"/>
  <c r="P203" i="3" s="1"/>
  <c r="K203" i="3"/>
  <c r="L203" i="3" s="1"/>
  <c r="O202" i="3"/>
  <c r="P202" i="3" s="1"/>
  <c r="K202" i="3"/>
  <c r="L202" i="3" s="1"/>
  <c r="O201" i="3"/>
  <c r="P201" i="3" s="1"/>
  <c r="K201" i="3"/>
  <c r="L201" i="3" s="1"/>
  <c r="O200" i="3"/>
  <c r="P200" i="3" s="1"/>
  <c r="K200" i="3"/>
  <c r="L200" i="3" s="1"/>
  <c r="O199" i="3"/>
  <c r="P199" i="3" s="1"/>
  <c r="K199" i="3"/>
  <c r="L199" i="3" s="1"/>
  <c r="O198" i="3"/>
  <c r="P198" i="3" s="1"/>
  <c r="K198" i="3"/>
  <c r="L198" i="3" s="1"/>
  <c r="O197" i="3"/>
  <c r="P197" i="3" s="1"/>
  <c r="K197" i="3"/>
  <c r="L197" i="3" s="1"/>
  <c r="O196" i="3"/>
  <c r="P196" i="3" s="1"/>
  <c r="K196" i="3"/>
  <c r="L196" i="3" s="1"/>
  <c r="O195" i="3"/>
  <c r="P195" i="3" s="1"/>
  <c r="K195" i="3"/>
  <c r="L195" i="3" s="1"/>
  <c r="O194" i="3"/>
  <c r="P194" i="3" s="1"/>
  <c r="K194" i="3"/>
  <c r="L194" i="3" s="1"/>
  <c r="O193" i="3"/>
  <c r="P193" i="3" s="1"/>
  <c r="K193" i="3"/>
  <c r="L193" i="3" s="1"/>
  <c r="O192" i="3"/>
  <c r="P192" i="3" s="1"/>
  <c r="K192" i="3"/>
  <c r="L192" i="3" s="1"/>
  <c r="O191" i="3"/>
  <c r="P191" i="3" s="1"/>
  <c r="K191" i="3"/>
  <c r="L191" i="3" s="1"/>
  <c r="O190" i="3"/>
  <c r="P190" i="3" s="1"/>
  <c r="K190" i="3"/>
  <c r="L190" i="3" s="1"/>
  <c r="O189" i="3"/>
  <c r="P189" i="3" s="1"/>
  <c r="K189" i="3"/>
  <c r="L189" i="3" s="1"/>
  <c r="O188" i="3"/>
  <c r="P188" i="3" s="1"/>
  <c r="K188" i="3"/>
  <c r="L188" i="3" s="1"/>
  <c r="O187" i="3"/>
  <c r="P187" i="3" s="1"/>
  <c r="K187" i="3"/>
  <c r="L187" i="3" s="1"/>
  <c r="O186" i="3"/>
  <c r="P186" i="3" s="1"/>
  <c r="K186" i="3"/>
  <c r="L186" i="3" s="1"/>
  <c r="O185" i="3"/>
  <c r="P185" i="3" s="1"/>
  <c r="K185" i="3"/>
  <c r="L185" i="3" s="1"/>
  <c r="O184" i="3"/>
  <c r="P184" i="3" s="1"/>
  <c r="K184" i="3"/>
  <c r="L184" i="3" s="1"/>
  <c r="O181" i="3"/>
  <c r="P181" i="3" s="1"/>
  <c r="K181" i="3"/>
  <c r="L181" i="3" s="1"/>
  <c r="O180" i="3"/>
  <c r="P180" i="3" s="1"/>
  <c r="K180" i="3"/>
  <c r="L180" i="3" s="1"/>
  <c r="O179" i="3"/>
  <c r="P179" i="3" s="1"/>
  <c r="K179" i="3"/>
  <c r="L179" i="3" s="1"/>
  <c r="O178" i="3"/>
  <c r="P178" i="3" s="1"/>
  <c r="K178" i="3"/>
  <c r="L178" i="3" s="1"/>
  <c r="O177" i="3"/>
  <c r="P177" i="3" s="1"/>
  <c r="K177" i="3"/>
  <c r="L177" i="3" s="1"/>
  <c r="O176" i="3"/>
  <c r="P176" i="3" s="1"/>
  <c r="K176" i="3"/>
  <c r="L176" i="3" s="1"/>
  <c r="O175" i="3"/>
  <c r="P175" i="3" s="1"/>
  <c r="K175" i="3"/>
  <c r="L175" i="3" s="1"/>
  <c r="O174" i="3"/>
  <c r="P174" i="3" s="1"/>
  <c r="K174" i="3"/>
  <c r="L174" i="3" s="1"/>
  <c r="O173" i="3"/>
  <c r="P173" i="3" s="1"/>
  <c r="K173" i="3"/>
  <c r="L173" i="3" s="1"/>
  <c r="O172" i="3"/>
  <c r="P172" i="3" s="1"/>
  <c r="K172" i="3"/>
  <c r="L172" i="3" s="1"/>
  <c r="O171" i="3"/>
  <c r="P171" i="3" s="1"/>
  <c r="K171" i="3"/>
  <c r="L171" i="3" s="1"/>
  <c r="O170" i="3"/>
  <c r="P170" i="3" s="1"/>
  <c r="K170" i="3"/>
  <c r="L170" i="3" s="1"/>
  <c r="O169" i="3"/>
  <c r="P169" i="3" s="1"/>
  <c r="K169" i="3"/>
  <c r="L169" i="3" s="1"/>
  <c r="O168" i="3"/>
  <c r="P168" i="3" s="1"/>
  <c r="K168" i="3"/>
  <c r="L168" i="3" s="1"/>
  <c r="O167" i="3"/>
  <c r="P167" i="3" s="1"/>
  <c r="K167" i="3"/>
  <c r="L167" i="3" s="1"/>
  <c r="O166" i="3"/>
  <c r="P166" i="3" s="1"/>
  <c r="K166" i="3"/>
  <c r="L166" i="3" s="1"/>
  <c r="O165" i="3"/>
  <c r="P165" i="3" s="1"/>
  <c r="K165" i="3"/>
  <c r="L165" i="3" s="1"/>
  <c r="O164" i="3"/>
  <c r="P164" i="3" s="1"/>
  <c r="K164" i="3"/>
  <c r="L164" i="3" s="1"/>
  <c r="O163" i="3"/>
  <c r="P163" i="3" s="1"/>
  <c r="K163" i="3"/>
  <c r="L163" i="3" s="1"/>
  <c r="O162" i="3"/>
  <c r="P162" i="3" s="1"/>
  <c r="K162" i="3"/>
  <c r="L162" i="3" s="1"/>
  <c r="O161" i="3"/>
  <c r="P161" i="3" s="1"/>
  <c r="K161" i="3"/>
  <c r="L161" i="3" s="1"/>
  <c r="O160" i="3"/>
  <c r="P160" i="3" s="1"/>
  <c r="K160" i="3"/>
  <c r="L160" i="3" s="1"/>
  <c r="O159" i="3"/>
  <c r="P159" i="3" s="1"/>
  <c r="K159" i="3"/>
  <c r="L159" i="3" s="1"/>
  <c r="O158" i="3"/>
  <c r="P158" i="3" s="1"/>
  <c r="K158" i="3"/>
  <c r="L158" i="3" s="1"/>
  <c r="O157" i="3"/>
  <c r="P157" i="3" s="1"/>
  <c r="K157" i="3"/>
  <c r="L157" i="3" s="1"/>
  <c r="O156" i="3"/>
  <c r="P156" i="3" s="1"/>
  <c r="K156" i="3"/>
  <c r="L156" i="3" s="1"/>
  <c r="O155" i="3"/>
  <c r="P155" i="3" s="1"/>
  <c r="K155" i="3"/>
  <c r="L155" i="3" s="1"/>
  <c r="O154" i="3"/>
  <c r="P154" i="3" s="1"/>
  <c r="K154" i="3"/>
  <c r="L154" i="3" s="1"/>
  <c r="O153" i="3"/>
  <c r="P153" i="3" s="1"/>
  <c r="K153" i="3"/>
  <c r="L153" i="3" s="1"/>
  <c r="O152" i="3"/>
  <c r="P152" i="3" s="1"/>
  <c r="K152" i="3"/>
  <c r="L152" i="3" s="1"/>
  <c r="O151" i="3"/>
  <c r="P151" i="3" s="1"/>
  <c r="K151" i="3"/>
  <c r="L151" i="3" s="1"/>
  <c r="O150" i="3"/>
  <c r="P150" i="3" s="1"/>
  <c r="K150" i="3"/>
  <c r="L150" i="3" s="1"/>
  <c r="O149" i="3"/>
  <c r="P149" i="3" s="1"/>
  <c r="K149" i="3"/>
  <c r="L149" i="3" s="1"/>
  <c r="O148" i="3"/>
  <c r="P148" i="3" s="1"/>
  <c r="K148" i="3"/>
  <c r="L148" i="3" s="1"/>
  <c r="O145" i="3"/>
  <c r="P145" i="3" s="1"/>
  <c r="K145" i="3"/>
  <c r="L145" i="3" s="1"/>
  <c r="O144" i="3"/>
  <c r="P144" i="3" s="1"/>
  <c r="K144" i="3"/>
  <c r="L144" i="3" s="1"/>
  <c r="O143" i="3"/>
  <c r="P143" i="3" s="1"/>
  <c r="K143" i="3"/>
  <c r="L143" i="3" s="1"/>
  <c r="O142" i="3"/>
  <c r="P142" i="3" s="1"/>
  <c r="K142" i="3"/>
  <c r="L142" i="3" s="1"/>
  <c r="O141" i="3"/>
  <c r="P141" i="3" s="1"/>
  <c r="K141" i="3"/>
  <c r="L141" i="3" s="1"/>
  <c r="O140" i="3"/>
  <c r="P140" i="3" s="1"/>
  <c r="K140" i="3"/>
  <c r="L140" i="3" s="1"/>
  <c r="O139" i="3"/>
  <c r="P139" i="3" s="1"/>
  <c r="K139" i="3"/>
  <c r="L139" i="3" s="1"/>
  <c r="O138" i="3"/>
  <c r="P138" i="3" s="1"/>
  <c r="K138" i="3"/>
  <c r="L138" i="3" s="1"/>
  <c r="O137" i="3"/>
  <c r="P137" i="3" s="1"/>
  <c r="K137" i="3"/>
  <c r="L137" i="3" s="1"/>
  <c r="O136" i="3"/>
  <c r="P136" i="3" s="1"/>
  <c r="K136" i="3"/>
  <c r="L136" i="3" s="1"/>
  <c r="O135" i="3"/>
  <c r="P135" i="3" s="1"/>
  <c r="L135" i="3"/>
  <c r="K135" i="3"/>
  <c r="O134" i="3"/>
  <c r="P134" i="3" s="1"/>
  <c r="K134" i="3"/>
  <c r="L134" i="3" s="1"/>
  <c r="O133" i="3"/>
  <c r="P133" i="3" s="1"/>
  <c r="K133" i="3"/>
  <c r="L133" i="3" s="1"/>
  <c r="O132" i="3"/>
  <c r="P132" i="3" s="1"/>
  <c r="K132" i="3"/>
  <c r="L132" i="3" s="1"/>
  <c r="O131" i="3"/>
  <c r="P131" i="3" s="1"/>
  <c r="K131" i="3"/>
  <c r="L131" i="3" s="1"/>
  <c r="O130" i="3"/>
  <c r="P130" i="3" s="1"/>
  <c r="K130" i="3"/>
  <c r="L130" i="3" s="1"/>
  <c r="O129" i="3"/>
  <c r="P129" i="3" s="1"/>
  <c r="K129" i="3"/>
  <c r="L129" i="3" s="1"/>
  <c r="O128" i="3"/>
  <c r="P128" i="3" s="1"/>
  <c r="K128" i="3"/>
  <c r="L128" i="3" s="1"/>
  <c r="O127" i="3"/>
  <c r="P127" i="3" s="1"/>
  <c r="K127" i="3"/>
  <c r="L127" i="3" s="1"/>
  <c r="O126" i="3"/>
  <c r="P126" i="3" s="1"/>
  <c r="K126" i="3"/>
  <c r="L126" i="3" s="1"/>
  <c r="O125" i="3"/>
  <c r="P125" i="3" s="1"/>
  <c r="K125" i="3"/>
  <c r="L125" i="3" s="1"/>
  <c r="O124" i="3"/>
  <c r="P124" i="3" s="1"/>
  <c r="K124" i="3"/>
  <c r="L124" i="3" s="1"/>
  <c r="O123" i="3"/>
  <c r="P123" i="3" s="1"/>
  <c r="K123" i="3"/>
  <c r="L123" i="3" s="1"/>
  <c r="O122" i="3"/>
  <c r="P122" i="3" s="1"/>
  <c r="K122" i="3"/>
  <c r="L122" i="3" s="1"/>
  <c r="O121" i="3"/>
  <c r="P121" i="3" s="1"/>
  <c r="K121" i="3"/>
  <c r="L121" i="3" s="1"/>
  <c r="O120" i="3"/>
  <c r="P120" i="3" s="1"/>
  <c r="K120" i="3"/>
  <c r="L120" i="3" s="1"/>
  <c r="O119" i="3"/>
  <c r="P119" i="3" s="1"/>
  <c r="K119" i="3"/>
  <c r="L119" i="3" s="1"/>
  <c r="O118" i="3"/>
  <c r="P118" i="3" s="1"/>
  <c r="K118" i="3"/>
  <c r="L118" i="3" s="1"/>
  <c r="O117" i="3"/>
  <c r="P117" i="3" s="1"/>
  <c r="K117" i="3"/>
  <c r="L117" i="3" s="1"/>
  <c r="O116" i="3"/>
  <c r="P116" i="3" s="1"/>
  <c r="K116" i="3"/>
  <c r="L116" i="3" s="1"/>
  <c r="O115" i="3"/>
  <c r="P115" i="3" s="1"/>
  <c r="K115" i="3"/>
  <c r="L115" i="3" s="1"/>
  <c r="O114" i="3"/>
  <c r="P114" i="3" s="1"/>
  <c r="K114" i="3"/>
  <c r="L114" i="3" s="1"/>
  <c r="O113" i="3"/>
  <c r="P113" i="3" s="1"/>
  <c r="K113" i="3"/>
  <c r="L113" i="3" s="1"/>
  <c r="O112" i="3"/>
  <c r="P112" i="3" s="1"/>
  <c r="K112" i="3"/>
  <c r="L112" i="3" s="1"/>
  <c r="O109" i="3"/>
  <c r="P109" i="3" s="1"/>
  <c r="K109" i="3"/>
  <c r="L109" i="3" s="1"/>
  <c r="O108" i="3"/>
  <c r="P108" i="3" s="1"/>
  <c r="K108" i="3"/>
  <c r="L108" i="3" s="1"/>
  <c r="O107" i="3"/>
  <c r="P107" i="3" s="1"/>
  <c r="K107" i="3"/>
  <c r="L107" i="3" s="1"/>
  <c r="O106" i="3"/>
  <c r="P106" i="3" s="1"/>
  <c r="K106" i="3"/>
  <c r="L106" i="3" s="1"/>
  <c r="O105" i="3"/>
  <c r="P105" i="3" s="1"/>
  <c r="K105" i="3"/>
  <c r="L105" i="3" s="1"/>
  <c r="O104" i="3"/>
  <c r="P104" i="3" s="1"/>
  <c r="K104" i="3"/>
  <c r="L104" i="3" s="1"/>
  <c r="O103" i="3"/>
  <c r="P103" i="3" s="1"/>
  <c r="K103" i="3"/>
  <c r="L103" i="3" s="1"/>
  <c r="O102" i="3"/>
  <c r="P102" i="3" s="1"/>
  <c r="K102" i="3"/>
  <c r="L102" i="3" s="1"/>
  <c r="O101" i="3"/>
  <c r="P101" i="3" s="1"/>
  <c r="K101" i="3"/>
  <c r="L101" i="3" s="1"/>
  <c r="O100" i="3"/>
  <c r="P100" i="3" s="1"/>
  <c r="K100" i="3"/>
  <c r="L100" i="3" s="1"/>
  <c r="O99" i="3"/>
  <c r="P99" i="3" s="1"/>
  <c r="K99" i="3"/>
  <c r="L99" i="3" s="1"/>
  <c r="O98" i="3"/>
  <c r="P98" i="3" s="1"/>
  <c r="K98" i="3"/>
  <c r="L98" i="3" s="1"/>
  <c r="O97" i="3"/>
  <c r="P97" i="3" s="1"/>
  <c r="K97" i="3"/>
  <c r="L97" i="3" s="1"/>
  <c r="O96" i="3"/>
  <c r="P96" i="3" s="1"/>
  <c r="K96" i="3"/>
  <c r="L96" i="3" s="1"/>
  <c r="O95" i="3"/>
  <c r="P95" i="3" s="1"/>
  <c r="K95" i="3"/>
  <c r="L95" i="3" s="1"/>
  <c r="O94" i="3"/>
  <c r="P94" i="3" s="1"/>
  <c r="K94" i="3"/>
  <c r="L94" i="3" s="1"/>
  <c r="O93" i="3"/>
  <c r="P93" i="3" s="1"/>
  <c r="K93" i="3"/>
  <c r="L93" i="3" s="1"/>
  <c r="O92" i="3"/>
  <c r="P92" i="3" s="1"/>
  <c r="K92" i="3"/>
  <c r="L92" i="3" s="1"/>
  <c r="O91" i="3"/>
  <c r="P91" i="3" s="1"/>
  <c r="K91" i="3"/>
  <c r="L91" i="3" s="1"/>
  <c r="O90" i="3"/>
  <c r="P90" i="3" s="1"/>
  <c r="K90" i="3"/>
  <c r="L90" i="3" s="1"/>
  <c r="O89" i="3"/>
  <c r="P89" i="3" s="1"/>
  <c r="K89" i="3"/>
  <c r="L89" i="3" s="1"/>
  <c r="O88" i="3"/>
  <c r="P88" i="3" s="1"/>
  <c r="K88" i="3"/>
  <c r="L88" i="3" s="1"/>
  <c r="O87" i="3"/>
  <c r="P87" i="3" s="1"/>
  <c r="K87" i="3"/>
  <c r="L87" i="3" s="1"/>
  <c r="O86" i="3"/>
  <c r="P86" i="3" s="1"/>
  <c r="K86" i="3"/>
  <c r="L86" i="3" s="1"/>
  <c r="O85" i="3"/>
  <c r="P85" i="3" s="1"/>
  <c r="K85" i="3"/>
  <c r="L85" i="3" s="1"/>
  <c r="O84" i="3"/>
  <c r="P84" i="3" s="1"/>
  <c r="K84" i="3"/>
  <c r="L84" i="3" s="1"/>
  <c r="O83" i="3"/>
  <c r="P83" i="3" s="1"/>
  <c r="K83" i="3"/>
  <c r="L83" i="3" s="1"/>
  <c r="O82" i="3"/>
  <c r="P82" i="3" s="1"/>
  <c r="K82" i="3"/>
  <c r="L82" i="3" s="1"/>
  <c r="O81" i="3"/>
  <c r="P81" i="3" s="1"/>
  <c r="K81" i="3"/>
  <c r="L81" i="3" s="1"/>
  <c r="O80" i="3"/>
  <c r="P80" i="3" s="1"/>
  <c r="K80" i="3"/>
  <c r="L80" i="3" s="1"/>
  <c r="O79" i="3"/>
  <c r="P79" i="3" s="1"/>
  <c r="K79" i="3"/>
  <c r="L79" i="3" s="1"/>
  <c r="O78" i="3"/>
  <c r="P78" i="3" s="1"/>
  <c r="K78" i="3"/>
  <c r="L78" i="3" s="1"/>
  <c r="O77" i="3"/>
  <c r="P77" i="3" s="1"/>
  <c r="K77" i="3"/>
  <c r="L77" i="3" s="1"/>
  <c r="O76" i="3"/>
  <c r="P76" i="3" s="1"/>
  <c r="K76" i="3"/>
  <c r="L76" i="3" s="1"/>
  <c r="O73" i="3"/>
  <c r="P73" i="3" s="1"/>
  <c r="K73" i="3"/>
  <c r="L73" i="3" s="1"/>
  <c r="O72" i="3"/>
  <c r="P72" i="3" s="1"/>
  <c r="K72" i="3"/>
  <c r="L72" i="3" s="1"/>
  <c r="O71" i="3"/>
  <c r="P71" i="3" s="1"/>
  <c r="K71" i="3"/>
  <c r="L71" i="3" s="1"/>
  <c r="O70" i="3"/>
  <c r="P70" i="3" s="1"/>
  <c r="K70" i="3"/>
  <c r="L70" i="3" s="1"/>
  <c r="O69" i="3"/>
  <c r="P69" i="3" s="1"/>
  <c r="K69" i="3"/>
  <c r="L69" i="3" s="1"/>
  <c r="O68" i="3"/>
  <c r="P68" i="3" s="1"/>
  <c r="K68" i="3"/>
  <c r="L68" i="3" s="1"/>
  <c r="O67" i="3"/>
  <c r="P67" i="3" s="1"/>
  <c r="K67" i="3"/>
  <c r="L67" i="3" s="1"/>
  <c r="P66" i="3"/>
  <c r="O66" i="3"/>
  <c r="K66" i="3"/>
  <c r="L66" i="3" s="1"/>
  <c r="O65" i="3"/>
  <c r="P65" i="3" s="1"/>
  <c r="K65" i="3"/>
  <c r="L65" i="3" s="1"/>
  <c r="O64" i="3"/>
  <c r="P64" i="3" s="1"/>
  <c r="K64" i="3"/>
  <c r="L64" i="3" s="1"/>
  <c r="O63" i="3"/>
  <c r="P63" i="3" s="1"/>
  <c r="K63" i="3"/>
  <c r="L63" i="3" s="1"/>
  <c r="O62" i="3"/>
  <c r="P62" i="3" s="1"/>
  <c r="K62" i="3"/>
  <c r="L62" i="3" s="1"/>
  <c r="O61" i="3"/>
  <c r="P61" i="3" s="1"/>
  <c r="K61" i="3"/>
  <c r="L61" i="3" s="1"/>
  <c r="O60" i="3"/>
  <c r="P60" i="3" s="1"/>
  <c r="K60" i="3"/>
  <c r="L60" i="3" s="1"/>
  <c r="O59" i="3"/>
  <c r="P59" i="3" s="1"/>
  <c r="K59" i="3"/>
  <c r="L59" i="3" s="1"/>
  <c r="O58" i="3"/>
  <c r="P58" i="3" s="1"/>
  <c r="K58" i="3"/>
  <c r="L58" i="3" s="1"/>
  <c r="O57" i="3"/>
  <c r="P57" i="3" s="1"/>
  <c r="K57" i="3"/>
  <c r="L57" i="3" s="1"/>
  <c r="O56" i="3"/>
  <c r="P56" i="3" s="1"/>
  <c r="K56" i="3"/>
  <c r="L56" i="3" s="1"/>
  <c r="O55" i="3"/>
  <c r="P55" i="3" s="1"/>
  <c r="K55" i="3"/>
  <c r="L55" i="3" s="1"/>
  <c r="O54" i="3"/>
  <c r="P54" i="3" s="1"/>
  <c r="K54" i="3"/>
  <c r="L54" i="3" s="1"/>
  <c r="O53" i="3"/>
  <c r="P53" i="3" s="1"/>
  <c r="K53" i="3"/>
  <c r="L53" i="3" s="1"/>
  <c r="O52" i="3"/>
  <c r="P52" i="3" s="1"/>
  <c r="K52" i="3"/>
  <c r="L52" i="3" s="1"/>
  <c r="O51" i="3"/>
  <c r="P51" i="3" s="1"/>
  <c r="K51" i="3"/>
  <c r="L51" i="3" s="1"/>
  <c r="O50" i="3"/>
  <c r="P50" i="3" s="1"/>
  <c r="K50" i="3"/>
  <c r="L50" i="3" s="1"/>
  <c r="O49" i="3"/>
  <c r="P49" i="3" s="1"/>
  <c r="K49" i="3"/>
  <c r="L49" i="3" s="1"/>
  <c r="O48" i="3"/>
  <c r="P48" i="3" s="1"/>
  <c r="K48" i="3"/>
  <c r="L48" i="3" s="1"/>
  <c r="O47" i="3"/>
  <c r="P47" i="3" s="1"/>
  <c r="K47" i="3"/>
  <c r="L47" i="3" s="1"/>
  <c r="O46" i="3"/>
  <c r="P46" i="3" s="1"/>
  <c r="K46" i="3"/>
  <c r="L46" i="3" s="1"/>
  <c r="O45" i="3"/>
  <c r="P45" i="3" s="1"/>
  <c r="K45" i="3"/>
  <c r="L45" i="3" s="1"/>
  <c r="O44" i="3"/>
  <c r="P44" i="3" s="1"/>
  <c r="K44" i="3"/>
  <c r="L44" i="3" s="1"/>
  <c r="O43" i="3"/>
  <c r="P43" i="3" s="1"/>
  <c r="K43" i="3"/>
  <c r="L43" i="3" s="1"/>
  <c r="O42" i="3"/>
  <c r="P42" i="3" s="1"/>
  <c r="K42" i="3"/>
  <c r="L42" i="3" s="1"/>
  <c r="O41" i="3"/>
  <c r="P41" i="3" s="1"/>
  <c r="K41" i="3"/>
  <c r="L41" i="3" s="1"/>
  <c r="O40" i="3"/>
  <c r="P40" i="3" s="1"/>
  <c r="K40" i="3"/>
  <c r="L40" i="3" s="1"/>
  <c r="Q616" i="3" l="1"/>
  <c r="R616" i="3" s="1"/>
  <c r="Q596" i="3"/>
  <c r="R596" i="3" s="1"/>
  <c r="Q482" i="3"/>
  <c r="R482" i="3" s="1"/>
  <c r="Q422" i="3"/>
  <c r="R422" i="3" s="1"/>
  <c r="Q392" i="3"/>
  <c r="R392" i="3" s="1"/>
  <c r="Q364" i="3"/>
  <c r="R364" i="3" s="1"/>
  <c r="Q256" i="3"/>
  <c r="R256" i="3" s="1"/>
  <c r="Q98" i="3"/>
  <c r="R98" i="3" s="1"/>
  <c r="M302" i="3"/>
  <c r="N302" i="3" s="1"/>
  <c r="S302" i="3" s="1"/>
  <c r="M256" i="3"/>
  <c r="N256" i="3" s="1"/>
  <c r="S256" i="3" s="1"/>
  <c r="M242" i="3"/>
  <c r="N242" i="3" s="1"/>
  <c r="S242" i="3" s="1"/>
  <c r="M220" i="3"/>
  <c r="N220" i="3" s="1"/>
  <c r="S220" i="3" s="1"/>
  <c r="M716" i="3"/>
  <c r="N716" i="3" s="1"/>
  <c r="S716" i="3" s="1"/>
  <c r="Q472" i="3"/>
  <c r="R472" i="3" s="1"/>
  <c r="M422" i="3"/>
  <c r="N422" i="3" s="1"/>
  <c r="S422" i="3" s="1"/>
  <c r="Q386" i="3"/>
  <c r="R386" i="3" s="1"/>
  <c r="M380" i="3"/>
  <c r="N380" i="3" s="1"/>
  <c r="S380" i="3" s="1"/>
  <c r="M344" i="3"/>
  <c r="N344" i="3" s="1"/>
  <c r="S344" i="3" s="1"/>
  <c r="M332" i="3"/>
  <c r="N332" i="3" s="1"/>
  <c r="S332" i="3" s="1"/>
  <c r="M338" i="3"/>
  <c r="N338" i="3" s="1"/>
  <c r="S338" i="3" s="1"/>
  <c r="M328" i="3"/>
  <c r="N328" i="3" s="1"/>
  <c r="S328" i="3" s="1"/>
  <c r="Q332" i="3"/>
  <c r="R332" i="3" s="1"/>
  <c r="Q296" i="3"/>
  <c r="R296" i="3" s="1"/>
  <c r="M314" i="3"/>
  <c r="N314" i="3" s="1"/>
  <c r="S314" i="3" s="1"/>
  <c r="Q292" i="3"/>
  <c r="R292" i="3" s="1"/>
  <c r="M292" i="3"/>
  <c r="N292" i="3" s="1"/>
  <c r="S292" i="3" s="1"/>
  <c r="U292" i="3" s="1"/>
  <c r="M296" i="3"/>
  <c r="N296" i="3" s="1"/>
  <c r="S296" i="3" s="1"/>
  <c r="M308" i="3"/>
  <c r="N308" i="3" s="1"/>
  <c r="S308" i="3" s="1"/>
  <c r="M320" i="3"/>
  <c r="N320" i="3" s="1"/>
  <c r="S320" i="3" s="1"/>
  <c r="Q302" i="3"/>
  <c r="R302" i="3" s="1"/>
  <c r="Q314" i="3"/>
  <c r="R314" i="3" s="1"/>
  <c r="M284" i="3"/>
  <c r="N284" i="3" s="1"/>
  <c r="S284" i="3" s="1"/>
  <c r="M278" i="3"/>
  <c r="N278" i="3" s="1"/>
  <c r="S278" i="3" s="1"/>
  <c r="M266" i="3"/>
  <c r="N266" i="3" s="1"/>
  <c r="S266" i="3" s="1"/>
  <c r="M272" i="3"/>
  <c r="N272" i="3" s="1"/>
  <c r="S272" i="3" s="1"/>
  <c r="M260" i="3"/>
  <c r="N260" i="3" s="1"/>
  <c r="S260" i="3" s="1"/>
  <c r="Q266" i="3"/>
  <c r="R266" i="3" s="1"/>
  <c r="Q272" i="3"/>
  <c r="R272" i="3" s="1"/>
  <c r="U272" i="3" s="1"/>
  <c r="Q260" i="3"/>
  <c r="R260" i="3" s="1"/>
  <c r="M236" i="3"/>
  <c r="N236" i="3" s="1"/>
  <c r="S236" i="3" s="1"/>
  <c r="M224" i="3"/>
  <c r="N224" i="3" s="1"/>
  <c r="S224" i="3" s="1"/>
  <c r="M230" i="3"/>
  <c r="N230" i="3" s="1"/>
  <c r="S230" i="3" s="1"/>
  <c r="M248" i="3"/>
  <c r="N248" i="3" s="1"/>
  <c r="S248" i="3" s="1"/>
  <c r="M112" i="3"/>
  <c r="N112" i="3" s="1"/>
  <c r="S112" i="3" s="1"/>
  <c r="M134" i="3"/>
  <c r="N134" i="3" s="1"/>
  <c r="S134" i="3" s="1"/>
  <c r="Q92" i="3"/>
  <c r="R92" i="3" s="1"/>
  <c r="Q80" i="3"/>
  <c r="R80" i="3" s="1"/>
  <c r="Q104" i="3"/>
  <c r="R104" i="3" s="1"/>
  <c r="Q652" i="8"/>
  <c r="R652" i="8" s="1"/>
  <c r="Q656" i="8"/>
  <c r="R656" i="8" s="1"/>
  <c r="M668" i="8"/>
  <c r="N668" i="8" s="1"/>
  <c r="S668" i="8" s="1"/>
  <c r="M656" i="8"/>
  <c r="N656" i="8" s="1"/>
  <c r="S656" i="8" s="1"/>
  <c r="M674" i="8"/>
  <c r="N674" i="8" s="1"/>
  <c r="S674" i="8" s="1"/>
  <c r="U674" i="8" s="1"/>
  <c r="M680" i="8"/>
  <c r="N680" i="8" s="1"/>
  <c r="S680" i="8" s="1"/>
  <c r="Q632" i="8"/>
  <c r="R632" i="8" s="1"/>
  <c r="Q620" i="8"/>
  <c r="R620" i="8" s="1"/>
  <c r="Q616" i="8"/>
  <c r="R616" i="8" s="1"/>
  <c r="U616" i="8" s="1"/>
  <c r="Q644" i="8"/>
  <c r="R644" i="8" s="1"/>
  <c r="Q626" i="8"/>
  <c r="R626" i="8" s="1"/>
  <c r="M626" i="8"/>
  <c r="N626" i="8" s="1"/>
  <c r="S626" i="8" s="1"/>
  <c r="U626" i="8" s="1"/>
  <c r="M620" i="8"/>
  <c r="N620" i="8" s="1"/>
  <c r="S620" i="8" s="1"/>
  <c r="M632" i="8"/>
  <c r="N632" i="8" s="1"/>
  <c r="S632" i="8" s="1"/>
  <c r="U632" i="8" s="1"/>
  <c r="M616" i="8"/>
  <c r="N616" i="8" s="1"/>
  <c r="S616" i="8" s="1"/>
  <c r="Q584" i="8"/>
  <c r="R584" i="8" s="1"/>
  <c r="Q608" i="8"/>
  <c r="R608" i="8" s="1"/>
  <c r="M608" i="8"/>
  <c r="N608" i="8" s="1"/>
  <c r="S608" i="8" s="1"/>
  <c r="M584" i="8"/>
  <c r="N584" i="8" s="1"/>
  <c r="S584" i="8" s="1"/>
  <c r="U584" i="8" s="1"/>
  <c r="M580" i="8"/>
  <c r="N580" i="8" s="1"/>
  <c r="S580" i="8" s="1"/>
  <c r="Q566" i="8"/>
  <c r="R566" i="8" s="1"/>
  <c r="Q548" i="8"/>
  <c r="R548" i="8" s="1"/>
  <c r="Q554" i="8"/>
  <c r="R554" i="8" s="1"/>
  <c r="M560" i="8"/>
  <c r="N560" i="8" s="1"/>
  <c r="S560" i="8" s="1"/>
  <c r="M554" i="8"/>
  <c r="N554" i="8" s="1"/>
  <c r="S554" i="8" s="1"/>
  <c r="Q524" i="8"/>
  <c r="R524" i="8" s="1"/>
  <c r="Q508" i="8"/>
  <c r="R508" i="8" s="1"/>
  <c r="M518" i="8"/>
  <c r="N518" i="8" s="1"/>
  <c r="S518" i="8" s="1"/>
  <c r="M508" i="8"/>
  <c r="N508" i="8" s="1"/>
  <c r="S508" i="8" s="1"/>
  <c r="M536" i="8"/>
  <c r="N536" i="8" s="1"/>
  <c r="S536" i="8" s="1"/>
  <c r="Q472" i="8"/>
  <c r="R472" i="8" s="1"/>
  <c r="Q476" i="8"/>
  <c r="R476" i="8" s="1"/>
  <c r="Q488" i="8"/>
  <c r="R488" i="8" s="1"/>
  <c r="M476" i="8"/>
  <c r="N476" i="8" s="1"/>
  <c r="S476" i="8" s="1"/>
  <c r="M488" i="8"/>
  <c r="N488" i="8" s="1"/>
  <c r="S488" i="8" s="1"/>
  <c r="U488" i="8" s="1"/>
  <c r="M494" i="8"/>
  <c r="N494" i="8" s="1"/>
  <c r="S494" i="8" s="1"/>
  <c r="U452" i="8"/>
  <c r="Q452" i="8"/>
  <c r="R452" i="8" s="1"/>
  <c r="M458" i="8"/>
  <c r="N458" i="8" s="1"/>
  <c r="S458" i="8" s="1"/>
  <c r="U458" i="8" s="1"/>
  <c r="Q416" i="8"/>
  <c r="R416" i="8" s="1"/>
  <c r="Q422" i="8"/>
  <c r="R422" i="8" s="1"/>
  <c r="M400" i="8"/>
  <c r="N400" i="8" s="1"/>
  <c r="S400" i="8" s="1"/>
  <c r="M404" i="8"/>
  <c r="N404" i="8" s="1"/>
  <c r="S404" i="8" s="1"/>
  <c r="U404" i="8" s="1"/>
  <c r="M428" i="8"/>
  <c r="N428" i="8" s="1"/>
  <c r="S428" i="8" s="1"/>
  <c r="U428" i="8" s="1"/>
  <c r="Q368" i="8"/>
  <c r="R368" i="8" s="1"/>
  <c r="U368" i="8" s="1"/>
  <c r="Q392" i="8"/>
  <c r="R392" i="8" s="1"/>
  <c r="Q380" i="8"/>
  <c r="R380" i="8" s="1"/>
  <c r="M374" i="8"/>
  <c r="N374" i="8" s="1"/>
  <c r="S374" i="8" s="1"/>
  <c r="M364" i="8"/>
  <c r="N364" i="8" s="1"/>
  <c r="S364" i="8" s="1"/>
  <c r="M380" i="8"/>
  <c r="N380" i="8" s="1"/>
  <c r="S380" i="8" s="1"/>
  <c r="Q328" i="8"/>
  <c r="R328" i="8" s="1"/>
  <c r="Q338" i="8"/>
  <c r="R338" i="8" s="1"/>
  <c r="U338" i="8" s="1"/>
  <c r="Q350" i="8"/>
  <c r="R350" i="8" s="1"/>
  <c r="M328" i="8"/>
  <c r="N328" i="8" s="1"/>
  <c r="S328" i="8" s="1"/>
  <c r="U328" i="8" s="1"/>
  <c r="M350" i="8"/>
  <c r="N350" i="8" s="1"/>
  <c r="S350" i="8" s="1"/>
  <c r="U350" i="8" s="1"/>
  <c r="U296" i="8"/>
  <c r="Q292" i="8"/>
  <c r="R292" i="8" s="1"/>
  <c r="Q302" i="8"/>
  <c r="R302" i="8" s="1"/>
  <c r="Q308" i="8"/>
  <c r="R308" i="8" s="1"/>
  <c r="M314" i="8"/>
  <c r="N314" i="8" s="1"/>
  <c r="S314" i="8" s="1"/>
  <c r="M320" i="8"/>
  <c r="N320" i="8" s="1"/>
  <c r="S320" i="8" s="1"/>
  <c r="Q266" i="8"/>
  <c r="R266" i="8" s="1"/>
  <c r="Q272" i="8"/>
  <c r="R272" i="8" s="1"/>
  <c r="Q278" i="8"/>
  <c r="R278" i="8" s="1"/>
  <c r="M260" i="8"/>
  <c r="N260" i="8" s="1"/>
  <c r="S260" i="8" s="1"/>
  <c r="M272" i="8"/>
  <c r="N272" i="8" s="1"/>
  <c r="S272" i="8" s="1"/>
  <c r="M266" i="8"/>
  <c r="N266" i="8" s="1"/>
  <c r="S266" i="8" s="1"/>
  <c r="M230" i="8"/>
  <c r="N230" i="8" s="1"/>
  <c r="S230" i="8" s="1"/>
  <c r="M200" i="8"/>
  <c r="N200" i="8" s="1"/>
  <c r="S200" i="8" s="1"/>
  <c r="M206" i="8"/>
  <c r="N206" i="8" s="1"/>
  <c r="S206" i="8" s="1"/>
  <c r="Q164" i="8"/>
  <c r="R164" i="8" s="1"/>
  <c r="U164" i="8" s="1"/>
  <c r="Q176" i="8"/>
  <c r="R176" i="8" s="1"/>
  <c r="Q112" i="8"/>
  <c r="R112" i="8" s="1"/>
  <c r="Q116" i="8"/>
  <c r="R116" i="8" s="1"/>
  <c r="Q122" i="8"/>
  <c r="R122" i="8" s="1"/>
  <c r="Q134" i="8"/>
  <c r="R134" i="8" s="1"/>
  <c r="U134" i="8" s="1"/>
  <c r="Q140" i="8"/>
  <c r="R140" i="8" s="1"/>
  <c r="M112" i="8"/>
  <c r="N112" i="8" s="1"/>
  <c r="S112" i="8" s="1"/>
  <c r="M116" i="8"/>
  <c r="N116" i="8" s="1"/>
  <c r="S116" i="8" s="1"/>
  <c r="M134" i="8"/>
  <c r="N134" i="8" s="1"/>
  <c r="S134" i="8" s="1"/>
  <c r="M128" i="8"/>
  <c r="N128" i="8" s="1"/>
  <c r="S128" i="8" s="1"/>
  <c r="Q104" i="8"/>
  <c r="R104" i="8" s="1"/>
  <c r="Q98" i="8"/>
  <c r="R98" i="8" s="1"/>
  <c r="Q76" i="8"/>
  <c r="R76" i="8" s="1"/>
  <c r="Q80" i="8"/>
  <c r="R80" i="8" s="1"/>
  <c r="U80" i="8" s="1"/>
  <c r="M92" i="8"/>
  <c r="N92" i="8" s="1"/>
  <c r="S92" i="8" s="1"/>
  <c r="M76" i="8"/>
  <c r="N76" i="8" s="1"/>
  <c r="S76" i="8" s="1"/>
  <c r="M86" i="8"/>
  <c r="N86" i="8" s="1"/>
  <c r="S86" i="8" s="1"/>
  <c r="Q50" i="8"/>
  <c r="R50" i="8" s="1"/>
  <c r="Q40" i="8"/>
  <c r="R40" i="8" s="1"/>
  <c r="Q44" i="8"/>
  <c r="R44" i="8" s="1"/>
  <c r="Q56" i="8"/>
  <c r="R56" i="8" s="1"/>
  <c r="Q62" i="8"/>
  <c r="R62" i="8" s="1"/>
  <c r="M50" i="8"/>
  <c r="N50" i="8" s="1"/>
  <c r="S50" i="8" s="1"/>
  <c r="M62" i="8"/>
  <c r="N62" i="8" s="1"/>
  <c r="S62" i="8" s="1"/>
  <c r="Q32" i="8"/>
  <c r="R32" i="8" s="1"/>
  <c r="U32" i="8" s="1"/>
  <c r="Q4" i="8"/>
  <c r="R4" i="8" s="1"/>
  <c r="Q8" i="8"/>
  <c r="R8" i="8" s="1"/>
  <c r="Q20" i="8"/>
  <c r="R20" i="8" s="1"/>
  <c r="Q14" i="8"/>
  <c r="R14" i="8" s="1"/>
  <c r="Q26" i="8"/>
  <c r="R26" i="8" s="1"/>
  <c r="M4" i="8"/>
  <c r="N4" i="8" s="1"/>
  <c r="S4" i="8" s="1"/>
  <c r="M8" i="8"/>
  <c r="N8" i="8" s="1"/>
  <c r="S8" i="8" s="1"/>
  <c r="M20" i="8"/>
  <c r="N20" i="8" s="1"/>
  <c r="S20" i="8" s="1"/>
  <c r="M32" i="8"/>
  <c r="N32" i="8" s="1"/>
  <c r="S32" i="8" s="1"/>
  <c r="Q710" i="7"/>
  <c r="R710" i="7" s="1"/>
  <c r="U710" i="7" s="1"/>
  <c r="Q716" i="7"/>
  <c r="R716" i="7" s="1"/>
  <c r="U716" i="7" s="1"/>
  <c r="Q668" i="7"/>
  <c r="R668" i="7" s="1"/>
  <c r="M656" i="7"/>
  <c r="N656" i="7" s="1"/>
  <c r="S656" i="7" s="1"/>
  <c r="M680" i="7"/>
  <c r="N680" i="7" s="1"/>
  <c r="S680" i="7" s="1"/>
  <c r="Q638" i="7"/>
  <c r="R638" i="7" s="1"/>
  <c r="Q644" i="7"/>
  <c r="R644" i="7" s="1"/>
  <c r="M602" i="7"/>
  <c r="N602" i="7" s="1"/>
  <c r="S602" i="7" s="1"/>
  <c r="M544" i="7"/>
  <c r="N544" i="7" s="1"/>
  <c r="S544" i="7" s="1"/>
  <c r="M566" i="7"/>
  <c r="N566" i="7" s="1"/>
  <c r="S566" i="7" s="1"/>
  <c r="M446" i="7"/>
  <c r="N446" i="7" s="1"/>
  <c r="S446" i="7" s="1"/>
  <c r="Q364" i="7"/>
  <c r="R364" i="7" s="1"/>
  <c r="Q356" i="7"/>
  <c r="R356" i="7" s="1"/>
  <c r="M332" i="7"/>
  <c r="N332" i="7" s="1"/>
  <c r="S332" i="7" s="1"/>
  <c r="Q296" i="7"/>
  <c r="R296" i="7" s="1"/>
  <c r="M56" i="7"/>
  <c r="N56" i="7" s="1"/>
  <c r="S56" i="7" s="1"/>
  <c r="Q4" i="7"/>
  <c r="R4" i="7" s="1"/>
  <c r="M4" i="7"/>
  <c r="N4" i="7" s="1"/>
  <c r="S4" i="7" s="1"/>
  <c r="M8" i="7"/>
  <c r="N8" i="7" s="1"/>
  <c r="S8" i="7" s="1"/>
  <c r="M20" i="7"/>
  <c r="N20" i="7" s="1"/>
  <c r="S20" i="7" s="1"/>
  <c r="M26" i="7"/>
  <c r="N26" i="7" s="1"/>
  <c r="S26" i="7" s="1"/>
  <c r="M704" i="7"/>
  <c r="N704" i="7" s="1"/>
  <c r="S704" i="7" s="1"/>
  <c r="U704" i="7" s="1"/>
  <c r="M716" i="7"/>
  <c r="N716" i="7" s="1"/>
  <c r="S716" i="7" s="1"/>
  <c r="M688" i="7"/>
  <c r="N688" i="7" s="1"/>
  <c r="S688" i="7" s="1"/>
  <c r="Q704" i="7"/>
  <c r="R704" i="7" s="1"/>
  <c r="Q680" i="7"/>
  <c r="R680" i="7" s="1"/>
  <c r="M652" i="7"/>
  <c r="N652" i="7" s="1"/>
  <c r="S652" i="7" s="1"/>
  <c r="Q626" i="7"/>
  <c r="R626" i="7" s="1"/>
  <c r="Q632" i="7"/>
  <c r="R632" i="7" s="1"/>
  <c r="M638" i="7"/>
  <c r="N638" i="7" s="1"/>
  <c r="S638" i="7" s="1"/>
  <c r="M644" i="7"/>
  <c r="N644" i="7" s="1"/>
  <c r="S644" i="7" s="1"/>
  <c r="U644" i="7" s="1"/>
  <c r="M608" i="7"/>
  <c r="N608" i="7" s="1"/>
  <c r="S608" i="7" s="1"/>
  <c r="Q608" i="7"/>
  <c r="R608" i="7" s="1"/>
  <c r="Q590" i="7"/>
  <c r="R590" i="7" s="1"/>
  <c r="M508" i="7"/>
  <c r="N508" i="7" s="1"/>
  <c r="S508" i="7" s="1"/>
  <c r="U508" i="7" s="1"/>
  <c r="M512" i="7"/>
  <c r="N512" i="7" s="1"/>
  <c r="S512" i="7" s="1"/>
  <c r="Q530" i="7"/>
  <c r="R530" i="7" s="1"/>
  <c r="M482" i="7"/>
  <c r="N482" i="7" s="1"/>
  <c r="S482" i="7" s="1"/>
  <c r="M488" i="7"/>
  <c r="N488" i="7" s="1"/>
  <c r="S488" i="7" s="1"/>
  <c r="U488" i="7" s="1"/>
  <c r="Q476" i="7"/>
  <c r="R476" i="7" s="1"/>
  <c r="M436" i="7"/>
  <c r="N436" i="7" s="1"/>
  <c r="S436" i="7" s="1"/>
  <c r="M428" i="7"/>
  <c r="N428" i="7" s="1"/>
  <c r="S428" i="7" s="1"/>
  <c r="M374" i="7"/>
  <c r="N374" i="7" s="1"/>
  <c r="S374" i="7" s="1"/>
  <c r="M386" i="7"/>
  <c r="N386" i="7" s="1"/>
  <c r="S386" i="7" s="1"/>
  <c r="U386" i="7" s="1"/>
  <c r="Q332" i="7"/>
  <c r="R332" i="7" s="1"/>
  <c r="Q344" i="7"/>
  <c r="R344" i="7" s="1"/>
  <c r="M308" i="7"/>
  <c r="N308" i="7" s="1"/>
  <c r="S308" i="7" s="1"/>
  <c r="M292" i="7"/>
  <c r="N292" i="7" s="1"/>
  <c r="S292" i="7" s="1"/>
  <c r="U292" i="7" s="1"/>
  <c r="Q256" i="7"/>
  <c r="R256" i="7" s="1"/>
  <c r="U256" i="7" s="1"/>
  <c r="Q260" i="7"/>
  <c r="R260" i="7" s="1"/>
  <c r="Q266" i="7"/>
  <c r="R266" i="7" s="1"/>
  <c r="M284" i="7"/>
  <c r="N284" i="7" s="1"/>
  <c r="S284" i="7" s="1"/>
  <c r="M248" i="7"/>
  <c r="N248" i="7" s="1"/>
  <c r="S248" i="7" s="1"/>
  <c r="M230" i="7"/>
  <c r="N230" i="7" s="1"/>
  <c r="S230" i="7" s="1"/>
  <c r="Q236" i="7"/>
  <c r="R236" i="7" s="1"/>
  <c r="M200" i="7"/>
  <c r="N200" i="7" s="1"/>
  <c r="S200" i="7" s="1"/>
  <c r="Q152" i="7"/>
  <c r="R152" i="7" s="1"/>
  <c r="M92" i="7"/>
  <c r="N92" i="7" s="1"/>
  <c r="S92" i="7" s="1"/>
  <c r="Q92" i="7"/>
  <c r="R92" i="7" s="1"/>
  <c r="U92" i="7" s="1"/>
  <c r="Q76" i="7"/>
  <c r="R76" i="7" s="1"/>
  <c r="M44" i="7"/>
  <c r="N44" i="7" s="1"/>
  <c r="S44" i="7" s="1"/>
  <c r="Q68" i="7"/>
  <c r="R68" i="7" s="1"/>
  <c r="Q20" i="7"/>
  <c r="R20" i="7" s="1"/>
  <c r="U20" i="7" s="1"/>
  <c r="Q14" i="7"/>
  <c r="R14" i="7" s="1"/>
  <c r="Q26" i="7"/>
  <c r="R26" i="7" s="1"/>
  <c r="Q688" i="7"/>
  <c r="R688" i="7" s="1"/>
  <c r="Q692" i="7"/>
  <c r="R692" i="7" s="1"/>
  <c r="Q656" i="7"/>
  <c r="R656" i="7" s="1"/>
  <c r="Q674" i="7"/>
  <c r="R674" i="7" s="1"/>
  <c r="Q652" i="7"/>
  <c r="R652" i="7" s="1"/>
  <c r="U652" i="7" s="1"/>
  <c r="Q662" i="7"/>
  <c r="R662" i="7" s="1"/>
  <c r="U626" i="7"/>
  <c r="Q620" i="7"/>
  <c r="R620" i="7" s="1"/>
  <c r="U638" i="7"/>
  <c r="M616" i="7"/>
  <c r="N616" i="7" s="1"/>
  <c r="S616" i="7" s="1"/>
  <c r="U616" i="7" s="1"/>
  <c r="M620" i="7"/>
  <c r="N620" i="7" s="1"/>
  <c r="S620" i="7" s="1"/>
  <c r="U620" i="7" s="1"/>
  <c r="M632" i="7"/>
  <c r="N632" i="7" s="1"/>
  <c r="S632" i="7" s="1"/>
  <c r="M596" i="7"/>
  <c r="N596" i="7" s="1"/>
  <c r="S596" i="7" s="1"/>
  <c r="Q560" i="7"/>
  <c r="R560" i="7" s="1"/>
  <c r="Q572" i="7"/>
  <c r="R572" i="7" s="1"/>
  <c r="M560" i="7"/>
  <c r="N560" i="7" s="1"/>
  <c r="S560" i="7" s="1"/>
  <c r="M548" i="7"/>
  <c r="N548" i="7" s="1"/>
  <c r="S548" i="7" s="1"/>
  <c r="M554" i="7"/>
  <c r="N554" i="7" s="1"/>
  <c r="S554" i="7" s="1"/>
  <c r="Q508" i="7"/>
  <c r="R508" i="7" s="1"/>
  <c r="Q512" i="7"/>
  <c r="R512" i="7" s="1"/>
  <c r="Q536" i="7"/>
  <c r="R536" i="7" s="1"/>
  <c r="Q524" i="7"/>
  <c r="R524" i="7" s="1"/>
  <c r="M536" i="7"/>
  <c r="N536" i="7" s="1"/>
  <c r="S536" i="7" s="1"/>
  <c r="Q494" i="7"/>
  <c r="R494" i="7" s="1"/>
  <c r="Q500" i="7"/>
  <c r="R500" i="7" s="1"/>
  <c r="Q482" i="7"/>
  <c r="R482" i="7" s="1"/>
  <c r="M500" i="7"/>
  <c r="N500" i="7" s="1"/>
  <c r="S500" i="7" s="1"/>
  <c r="M494" i="7"/>
  <c r="N494" i="7" s="1"/>
  <c r="S494" i="7" s="1"/>
  <c r="U494" i="7" s="1"/>
  <c r="Q458" i="7"/>
  <c r="R458" i="7" s="1"/>
  <c r="U458" i="7" s="1"/>
  <c r="Q452" i="7"/>
  <c r="R452" i="7" s="1"/>
  <c r="Q428" i="7"/>
  <c r="R428" i="7" s="1"/>
  <c r="Q410" i="7"/>
  <c r="R410" i="7" s="1"/>
  <c r="M410" i="7"/>
  <c r="N410" i="7" s="1"/>
  <c r="S410" i="7" s="1"/>
  <c r="M400" i="7"/>
  <c r="N400" i="7" s="1"/>
  <c r="S400" i="7" s="1"/>
  <c r="U400" i="7" s="1"/>
  <c r="M422" i="7"/>
  <c r="N422" i="7" s="1"/>
  <c r="S422" i="7" s="1"/>
  <c r="Q386" i="7"/>
  <c r="R386" i="7" s="1"/>
  <c r="M392" i="7"/>
  <c r="N392" i="7" s="1"/>
  <c r="S392" i="7" s="1"/>
  <c r="M344" i="7"/>
  <c r="N344" i="7" s="1"/>
  <c r="S344" i="7" s="1"/>
  <c r="M350" i="7"/>
  <c r="N350" i="7" s="1"/>
  <c r="S350" i="7" s="1"/>
  <c r="Q292" i="7"/>
  <c r="R292" i="7" s="1"/>
  <c r="Q302" i="7"/>
  <c r="R302" i="7" s="1"/>
  <c r="U302" i="7" s="1"/>
  <c r="Q308" i="7"/>
  <c r="R308" i="7" s="1"/>
  <c r="U308" i="7" s="1"/>
  <c r="Q314" i="7"/>
  <c r="R314" i="7" s="1"/>
  <c r="U314" i="7" s="1"/>
  <c r="M296" i="7"/>
  <c r="N296" i="7" s="1"/>
  <c r="S296" i="7" s="1"/>
  <c r="Q272" i="7"/>
  <c r="R272" i="7" s="1"/>
  <c r="Q278" i="7"/>
  <c r="R278" i="7" s="1"/>
  <c r="U278" i="7" s="1"/>
  <c r="Q284" i="7"/>
  <c r="R284" i="7" s="1"/>
  <c r="U284" i="7" s="1"/>
  <c r="U260" i="7"/>
  <c r="M266" i="7"/>
  <c r="N266" i="7" s="1"/>
  <c r="S266" i="7" s="1"/>
  <c r="U266" i="7" s="1"/>
  <c r="Q242" i="7"/>
  <c r="R242" i="7" s="1"/>
  <c r="Q248" i="7"/>
  <c r="R248" i="7" s="1"/>
  <c r="Q224" i="7"/>
  <c r="R224" i="7" s="1"/>
  <c r="M220" i="7"/>
  <c r="N220" i="7" s="1"/>
  <c r="S220" i="7" s="1"/>
  <c r="Q184" i="7"/>
  <c r="R184" i="7" s="1"/>
  <c r="Q194" i="7"/>
  <c r="R194" i="7" s="1"/>
  <c r="Q200" i="7"/>
  <c r="R200" i="7" s="1"/>
  <c r="Q206" i="7"/>
  <c r="R206" i="7" s="1"/>
  <c r="Q212" i="7"/>
  <c r="R212" i="7" s="1"/>
  <c r="U212" i="7" s="1"/>
  <c r="Q188" i="7"/>
  <c r="R188" i="7" s="1"/>
  <c r="M212" i="7"/>
  <c r="N212" i="7" s="1"/>
  <c r="S212" i="7" s="1"/>
  <c r="Q176" i="7"/>
  <c r="R176" i="7" s="1"/>
  <c r="M176" i="7"/>
  <c r="N176" i="7" s="1"/>
  <c r="S176" i="7" s="1"/>
  <c r="M158" i="7"/>
  <c r="N158" i="7" s="1"/>
  <c r="S158" i="7" s="1"/>
  <c r="M148" i="7"/>
  <c r="N148" i="7" s="1"/>
  <c r="S148" i="7" s="1"/>
  <c r="M170" i="7"/>
  <c r="N170" i="7" s="1"/>
  <c r="S170" i="7" s="1"/>
  <c r="Q112" i="7"/>
  <c r="R112" i="7" s="1"/>
  <c r="Q122" i="7"/>
  <c r="R122" i="7" s="1"/>
  <c r="Q134" i="7"/>
  <c r="R134" i="7" s="1"/>
  <c r="M116" i="7"/>
  <c r="N116" i="7" s="1"/>
  <c r="S116" i="7" s="1"/>
  <c r="M112" i="7"/>
  <c r="N112" i="7" s="1"/>
  <c r="S112" i="7" s="1"/>
  <c r="U112" i="7" s="1"/>
  <c r="M128" i="7"/>
  <c r="N128" i="7" s="1"/>
  <c r="S128" i="7" s="1"/>
  <c r="M140" i="7"/>
  <c r="N140" i="7" s="1"/>
  <c r="S140" i="7" s="1"/>
  <c r="Q80" i="7"/>
  <c r="R80" i="7" s="1"/>
  <c r="Q98" i="7"/>
  <c r="R98" i="7" s="1"/>
  <c r="Q86" i="7"/>
  <c r="R86" i="7" s="1"/>
  <c r="Q104" i="7"/>
  <c r="R104" i="7" s="1"/>
  <c r="M76" i="7"/>
  <c r="N76" i="7" s="1"/>
  <c r="S76" i="7" s="1"/>
  <c r="U76" i="7" s="1"/>
  <c r="M104" i="7"/>
  <c r="N104" i="7" s="1"/>
  <c r="S104" i="7" s="1"/>
  <c r="M80" i="7"/>
  <c r="N80" i="7" s="1"/>
  <c r="S80" i="7" s="1"/>
  <c r="M98" i="7"/>
  <c r="N98" i="7" s="1"/>
  <c r="S98" i="7" s="1"/>
  <c r="M86" i="7"/>
  <c r="N86" i="7" s="1"/>
  <c r="S86" i="7" s="1"/>
  <c r="Q44" i="7"/>
  <c r="R44" i="7" s="1"/>
  <c r="Q62" i="7"/>
  <c r="R62" i="7" s="1"/>
  <c r="Q50" i="7"/>
  <c r="R50" i="7" s="1"/>
  <c r="Q40" i="7"/>
  <c r="R40" i="7" s="1"/>
  <c r="U40" i="7" s="1"/>
  <c r="Q56" i="7"/>
  <c r="R56" i="7" s="1"/>
  <c r="U56" i="7" s="1"/>
  <c r="U44" i="7"/>
  <c r="M50" i="7"/>
  <c r="N50" i="7" s="1"/>
  <c r="S50" i="7" s="1"/>
  <c r="M62" i="7"/>
  <c r="N62" i="7" s="1"/>
  <c r="S62" i="7" s="1"/>
  <c r="M68" i="7"/>
  <c r="N68" i="7" s="1"/>
  <c r="S68" i="7" s="1"/>
  <c r="U68" i="7" s="1"/>
  <c r="Q32" i="7"/>
  <c r="R32" i="7" s="1"/>
  <c r="M14" i="7"/>
  <c r="N14" i="7" s="1"/>
  <c r="S14" i="7" s="1"/>
  <c r="M32" i="7"/>
  <c r="N32" i="7" s="1"/>
  <c r="S32" i="7" s="1"/>
  <c r="U32" i="7" s="1"/>
  <c r="Q704" i="6"/>
  <c r="R704" i="6" s="1"/>
  <c r="M710" i="6"/>
  <c r="N710" i="6" s="1"/>
  <c r="S710" i="6" s="1"/>
  <c r="U710" i="6" s="1"/>
  <c r="M716" i="6"/>
  <c r="N716" i="6" s="1"/>
  <c r="S716" i="6" s="1"/>
  <c r="U716" i="6" s="1"/>
  <c r="Q652" i="6"/>
  <c r="R652" i="6" s="1"/>
  <c r="Q674" i="6"/>
  <c r="R674" i="6" s="1"/>
  <c r="Q680" i="6"/>
  <c r="R680" i="6" s="1"/>
  <c r="U680" i="6" s="1"/>
  <c r="M652" i="6"/>
  <c r="N652" i="6" s="1"/>
  <c r="S652" i="6" s="1"/>
  <c r="U652" i="6" s="1"/>
  <c r="M662" i="6"/>
  <c r="N662" i="6" s="1"/>
  <c r="S662" i="6" s="1"/>
  <c r="Q620" i="6"/>
  <c r="R620" i="6" s="1"/>
  <c r="Q626" i="6"/>
  <c r="R626" i="6" s="1"/>
  <c r="U632" i="6"/>
  <c r="U638" i="6"/>
  <c r="U644" i="6"/>
  <c r="Q638" i="6"/>
  <c r="R638" i="6" s="1"/>
  <c r="Q644" i="6"/>
  <c r="R644" i="6" s="1"/>
  <c r="M626" i="6"/>
  <c r="N626" i="6" s="1"/>
  <c r="S626" i="6" s="1"/>
  <c r="U626" i="6" s="1"/>
  <c r="U580" i="6"/>
  <c r="Q584" i="6"/>
  <c r="R584" i="6" s="1"/>
  <c r="U584" i="6" s="1"/>
  <c r="Q596" i="6"/>
  <c r="R596" i="6" s="1"/>
  <c r="Q544" i="6"/>
  <c r="R544" i="6" s="1"/>
  <c r="U544" i="6" s="1"/>
  <c r="M566" i="6"/>
  <c r="N566" i="6" s="1"/>
  <c r="S566" i="6" s="1"/>
  <c r="M544" i="6"/>
  <c r="N544" i="6" s="1"/>
  <c r="S544" i="6" s="1"/>
  <c r="M572" i="6"/>
  <c r="N572" i="6" s="1"/>
  <c r="S572" i="6" s="1"/>
  <c r="Q530" i="6"/>
  <c r="R530" i="6" s="1"/>
  <c r="Q508" i="6"/>
  <c r="R508" i="6" s="1"/>
  <c r="Q518" i="6"/>
  <c r="R518" i="6" s="1"/>
  <c r="U524" i="6"/>
  <c r="M512" i="6"/>
  <c r="N512" i="6" s="1"/>
  <c r="S512" i="6" s="1"/>
  <c r="M536" i="6"/>
  <c r="N536" i="6" s="1"/>
  <c r="S536" i="6" s="1"/>
  <c r="Q500" i="6"/>
  <c r="R500" i="6" s="1"/>
  <c r="Q482" i="6"/>
  <c r="R482" i="6" s="1"/>
  <c r="M482" i="6"/>
  <c r="N482" i="6" s="1"/>
  <c r="S482" i="6" s="1"/>
  <c r="M500" i="6"/>
  <c r="N500" i="6" s="1"/>
  <c r="S500" i="6" s="1"/>
  <c r="M476" i="6"/>
  <c r="N476" i="6" s="1"/>
  <c r="S476" i="6" s="1"/>
  <c r="U476" i="6" s="1"/>
  <c r="M494" i="6"/>
  <c r="N494" i="6" s="1"/>
  <c r="S494" i="6" s="1"/>
  <c r="M472" i="6"/>
  <c r="N472" i="6" s="1"/>
  <c r="S472" i="6" s="1"/>
  <c r="Q458" i="6"/>
  <c r="R458" i="6" s="1"/>
  <c r="Q440" i="6"/>
  <c r="R440" i="6" s="1"/>
  <c r="U440" i="6" s="1"/>
  <c r="Q464" i="6"/>
  <c r="R464" i="6" s="1"/>
  <c r="M458" i="6"/>
  <c r="N458" i="6" s="1"/>
  <c r="S458" i="6" s="1"/>
  <c r="U458" i="6" s="1"/>
  <c r="M452" i="6"/>
  <c r="N452" i="6" s="1"/>
  <c r="S452" i="6" s="1"/>
  <c r="Q404" i="6"/>
  <c r="R404" i="6" s="1"/>
  <c r="Q400" i="6"/>
  <c r="R400" i="6" s="1"/>
  <c r="Q422" i="6"/>
  <c r="R422" i="6" s="1"/>
  <c r="U416" i="6"/>
  <c r="M410" i="6"/>
  <c r="N410" i="6" s="1"/>
  <c r="S410" i="6" s="1"/>
  <c r="M400" i="6"/>
  <c r="N400" i="6" s="1"/>
  <c r="S400" i="6" s="1"/>
  <c r="U400" i="6" s="1"/>
  <c r="Q364" i="6"/>
  <c r="R364" i="6" s="1"/>
  <c r="Q386" i="6"/>
  <c r="R386" i="6" s="1"/>
  <c r="Q380" i="6"/>
  <c r="R380" i="6" s="1"/>
  <c r="M374" i="6"/>
  <c r="N374" i="6" s="1"/>
  <c r="S374" i="6" s="1"/>
  <c r="U374" i="6" s="1"/>
  <c r="M392" i="6"/>
  <c r="N392" i="6" s="1"/>
  <c r="S392" i="6" s="1"/>
  <c r="M364" i="6"/>
  <c r="N364" i="6" s="1"/>
  <c r="S364" i="6" s="1"/>
  <c r="U364" i="6" s="1"/>
  <c r="M368" i="6"/>
  <c r="N368" i="6" s="1"/>
  <c r="S368" i="6" s="1"/>
  <c r="Q332" i="6"/>
  <c r="R332" i="6" s="1"/>
  <c r="Q344" i="6"/>
  <c r="R344" i="6" s="1"/>
  <c r="U332" i="6"/>
  <c r="M356" i="6"/>
  <c r="N356" i="6" s="1"/>
  <c r="S356" i="6" s="1"/>
  <c r="U356" i="6" s="1"/>
  <c r="M338" i="6"/>
  <c r="N338" i="6" s="1"/>
  <c r="S338" i="6" s="1"/>
  <c r="M328" i="6"/>
  <c r="N328" i="6" s="1"/>
  <c r="S328" i="6" s="1"/>
  <c r="U328" i="6" s="1"/>
  <c r="M344" i="6"/>
  <c r="N344" i="6" s="1"/>
  <c r="S344" i="6" s="1"/>
  <c r="U344" i="6" s="1"/>
  <c r="M350" i="6"/>
  <c r="N350" i="6" s="1"/>
  <c r="S350" i="6" s="1"/>
  <c r="Q292" i="6"/>
  <c r="R292" i="6" s="1"/>
  <c r="Q302" i="6"/>
  <c r="R302" i="6" s="1"/>
  <c r="U302" i="6" s="1"/>
  <c r="Q320" i="6"/>
  <c r="R320" i="6" s="1"/>
  <c r="U320" i="6" s="1"/>
  <c r="M314" i="6"/>
  <c r="N314" i="6" s="1"/>
  <c r="S314" i="6" s="1"/>
  <c r="U314" i="6" s="1"/>
  <c r="M292" i="6"/>
  <c r="N292" i="6" s="1"/>
  <c r="S292" i="6" s="1"/>
  <c r="M308" i="6"/>
  <c r="N308" i="6" s="1"/>
  <c r="S308" i="6" s="1"/>
  <c r="Q272" i="6"/>
  <c r="R272" i="6" s="1"/>
  <c r="Q284" i="6"/>
  <c r="R284" i="6" s="1"/>
  <c r="U284" i="6" s="1"/>
  <c r="U272" i="6"/>
  <c r="Q256" i="6"/>
  <c r="R256" i="6" s="1"/>
  <c r="U256" i="6" s="1"/>
  <c r="M266" i="6"/>
  <c r="N266" i="6" s="1"/>
  <c r="S266" i="6" s="1"/>
  <c r="M278" i="6"/>
  <c r="N278" i="6" s="1"/>
  <c r="S278" i="6" s="1"/>
  <c r="Q224" i="6"/>
  <c r="R224" i="6" s="1"/>
  <c r="Q248" i="6"/>
  <c r="R248" i="6" s="1"/>
  <c r="Q236" i="6"/>
  <c r="R236" i="6" s="1"/>
  <c r="U224" i="6"/>
  <c r="Q230" i="6"/>
  <c r="R230" i="6" s="1"/>
  <c r="M230" i="6"/>
  <c r="N230" i="6" s="1"/>
  <c r="S230" i="6" s="1"/>
  <c r="U230" i="6" s="1"/>
  <c r="M220" i="6"/>
  <c r="N220" i="6" s="1"/>
  <c r="S220" i="6" s="1"/>
  <c r="M242" i="6"/>
  <c r="N242" i="6" s="1"/>
  <c r="S242" i="6" s="1"/>
  <c r="M248" i="6"/>
  <c r="N248" i="6" s="1"/>
  <c r="S248" i="6" s="1"/>
  <c r="U194" i="6"/>
  <c r="U184" i="6"/>
  <c r="Q200" i="6"/>
  <c r="R200" i="6" s="1"/>
  <c r="Q206" i="6"/>
  <c r="R206" i="6" s="1"/>
  <c r="M206" i="6"/>
  <c r="N206" i="6" s="1"/>
  <c r="S206" i="6" s="1"/>
  <c r="M188" i="6"/>
  <c r="N188" i="6" s="1"/>
  <c r="S188" i="6" s="1"/>
  <c r="U188" i="6" s="1"/>
  <c r="M200" i="6"/>
  <c r="N200" i="6" s="1"/>
  <c r="S200" i="6" s="1"/>
  <c r="Q148" i="6"/>
  <c r="R148" i="6" s="1"/>
  <c r="U158" i="6"/>
  <c r="U176" i="6"/>
  <c r="M152" i="6"/>
  <c r="N152" i="6" s="1"/>
  <c r="S152" i="6" s="1"/>
  <c r="U152" i="6" s="1"/>
  <c r="M164" i="6"/>
  <c r="N164" i="6" s="1"/>
  <c r="S164" i="6" s="1"/>
  <c r="U164" i="6" s="1"/>
  <c r="M148" i="6"/>
  <c r="N148" i="6" s="1"/>
  <c r="S148" i="6" s="1"/>
  <c r="U122" i="6"/>
  <c r="Q116" i="6"/>
  <c r="R116" i="6" s="1"/>
  <c r="M112" i="6"/>
  <c r="N112" i="6" s="1"/>
  <c r="S112" i="6" s="1"/>
  <c r="U112" i="6" s="1"/>
  <c r="M116" i="6"/>
  <c r="N116" i="6" s="1"/>
  <c r="S116" i="6" s="1"/>
  <c r="M128" i="6"/>
  <c r="N128" i="6" s="1"/>
  <c r="S128" i="6" s="1"/>
  <c r="U128" i="6" s="1"/>
  <c r="M134" i="6"/>
  <c r="N134" i="6" s="1"/>
  <c r="S134" i="6" s="1"/>
  <c r="U134" i="6" s="1"/>
  <c r="U104" i="6"/>
  <c r="Q76" i="6"/>
  <c r="R76" i="6" s="1"/>
  <c r="M98" i="6"/>
  <c r="N98" i="6" s="1"/>
  <c r="S98" i="6" s="1"/>
  <c r="U98" i="6" s="1"/>
  <c r="M76" i="6"/>
  <c r="N76" i="6" s="1"/>
  <c r="S76" i="6" s="1"/>
  <c r="M80" i="6"/>
  <c r="N80" i="6" s="1"/>
  <c r="S80" i="6" s="1"/>
  <c r="M92" i="6"/>
  <c r="N92" i="6" s="1"/>
  <c r="S92" i="6" s="1"/>
  <c r="Q50" i="6"/>
  <c r="R50" i="6" s="1"/>
  <c r="U50" i="6" s="1"/>
  <c r="Q56" i="6"/>
  <c r="R56" i="6" s="1"/>
  <c r="M50" i="6"/>
  <c r="N50" i="6" s="1"/>
  <c r="S50" i="6" s="1"/>
  <c r="M62" i="6"/>
  <c r="N62" i="6" s="1"/>
  <c r="S62" i="6" s="1"/>
  <c r="Q692" i="5"/>
  <c r="R692" i="5" s="1"/>
  <c r="U692" i="5" s="1"/>
  <c r="Q716" i="5"/>
  <c r="R716" i="5" s="1"/>
  <c r="Q710" i="5"/>
  <c r="R710" i="5" s="1"/>
  <c r="U688" i="5"/>
  <c r="U710" i="5"/>
  <c r="M698" i="5"/>
  <c r="N698" i="5" s="1"/>
  <c r="S698" i="5" s="1"/>
  <c r="U698" i="5" s="1"/>
  <c r="M716" i="5"/>
  <c r="N716" i="5" s="1"/>
  <c r="S716" i="5" s="1"/>
  <c r="U656" i="5"/>
  <c r="U668" i="5"/>
  <c r="M680" i="5"/>
  <c r="N680" i="5" s="1"/>
  <c r="S680" i="5" s="1"/>
  <c r="U680" i="5" s="1"/>
  <c r="Q616" i="5"/>
  <c r="R616" i="5" s="1"/>
  <c r="U626" i="5"/>
  <c r="U632" i="5"/>
  <c r="M616" i="5"/>
  <c r="N616" i="5" s="1"/>
  <c r="S616" i="5" s="1"/>
  <c r="M638" i="5"/>
  <c r="N638" i="5" s="1"/>
  <c r="S638" i="5" s="1"/>
  <c r="U638" i="5" s="1"/>
  <c r="Q584" i="5"/>
  <c r="R584" i="5" s="1"/>
  <c r="Q608" i="5"/>
  <c r="R608" i="5" s="1"/>
  <c r="U608" i="5" s="1"/>
  <c r="Q590" i="5"/>
  <c r="R590" i="5" s="1"/>
  <c r="M584" i="5"/>
  <c r="N584" i="5" s="1"/>
  <c r="S584" i="5" s="1"/>
  <c r="U584" i="5" s="1"/>
  <c r="M590" i="5"/>
  <c r="N590" i="5" s="1"/>
  <c r="S590" i="5" s="1"/>
  <c r="M596" i="5"/>
  <c r="N596" i="5" s="1"/>
  <c r="S596" i="5" s="1"/>
  <c r="U596" i="5" s="1"/>
  <c r="Q572" i="5"/>
  <c r="R572" i="5" s="1"/>
  <c r="Q544" i="5"/>
  <c r="R544" i="5" s="1"/>
  <c r="Q548" i="5"/>
  <c r="R548" i="5" s="1"/>
  <c r="M544" i="5"/>
  <c r="N544" i="5" s="1"/>
  <c r="S544" i="5" s="1"/>
  <c r="U544" i="5" s="1"/>
  <c r="M566" i="5"/>
  <c r="N566" i="5" s="1"/>
  <c r="S566" i="5" s="1"/>
  <c r="M548" i="5"/>
  <c r="N548" i="5" s="1"/>
  <c r="S548" i="5" s="1"/>
  <c r="M560" i="5"/>
  <c r="N560" i="5" s="1"/>
  <c r="S560" i="5" s="1"/>
  <c r="Q508" i="5"/>
  <c r="R508" i="5" s="1"/>
  <c r="Q536" i="5"/>
  <c r="R536" i="5" s="1"/>
  <c r="U536" i="5" s="1"/>
  <c r="Q518" i="5"/>
  <c r="R518" i="5" s="1"/>
  <c r="U524" i="5"/>
  <c r="M518" i="5"/>
  <c r="N518" i="5" s="1"/>
  <c r="S518" i="5" s="1"/>
  <c r="M530" i="5"/>
  <c r="N530" i="5" s="1"/>
  <c r="S530" i="5" s="1"/>
  <c r="Q482" i="5"/>
  <c r="R482" i="5" s="1"/>
  <c r="Q488" i="5"/>
  <c r="R488" i="5" s="1"/>
  <c r="M488" i="5"/>
  <c r="N488" i="5" s="1"/>
  <c r="S488" i="5" s="1"/>
  <c r="M482" i="5"/>
  <c r="N482" i="5" s="1"/>
  <c r="S482" i="5" s="1"/>
  <c r="M476" i="5"/>
  <c r="N476" i="5" s="1"/>
  <c r="S476" i="5" s="1"/>
  <c r="M494" i="5"/>
  <c r="N494" i="5" s="1"/>
  <c r="S494" i="5" s="1"/>
  <c r="U494" i="5" s="1"/>
  <c r="Q464" i="5"/>
  <c r="R464" i="5" s="1"/>
  <c r="Q458" i="5"/>
  <c r="R458" i="5" s="1"/>
  <c r="U458" i="5" s="1"/>
  <c r="M436" i="5"/>
  <c r="N436" i="5" s="1"/>
  <c r="S436" i="5" s="1"/>
  <c r="Q422" i="5"/>
  <c r="R422" i="5" s="1"/>
  <c r="U416" i="5"/>
  <c r="Q400" i="5"/>
  <c r="R400" i="5" s="1"/>
  <c r="Q404" i="5"/>
  <c r="R404" i="5" s="1"/>
  <c r="Q428" i="5"/>
  <c r="R428" i="5" s="1"/>
  <c r="M422" i="5"/>
  <c r="N422" i="5" s="1"/>
  <c r="S422" i="5" s="1"/>
  <c r="M400" i="5"/>
  <c r="N400" i="5" s="1"/>
  <c r="S400" i="5" s="1"/>
  <c r="U422" i="5"/>
  <c r="M374" i="5"/>
  <c r="N374" i="5" s="1"/>
  <c r="S374" i="5" s="1"/>
  <c r="M364" i="5"/>
  <c r="N364" i="5" s="1"/>
  <c r="S364" i="5" s="1"/>
  <c r="M386" i="5"/>
  <c r="N386" i="5" s="1"/>
  <c r="S386" i="5" s="1"/>
  <c r="U338" i="5"/>
  <c r="M350" i="5"/>
  <c r="N350" i="5" s="1"/>
  <c r="S350" i="5" s="1"/>
  <c r="U350" i="5" s="1"/>
  <c r="M332" i="5"/>
  <c r="N332" i="5" s="1"/>
  <c r="S332" i="5" s="1"/>
  <c r="M344" i="5"/>
  <c r="N344" i="5" s="1"/>
  <c r="S344" i="5" s="1"/>
  <c r="Q320" i="5"/>
  <c r="R320" i="5" s="1"/>
  <c r="Q302" i="5"/>
  <c r="R302" i="5" s="1"/>
  <c r="M320" i="5"/>
  <c r="N320" i="5" s="1"/>
  <c r="S320" i="5" s="1"/>
  <c r="M314" i="5"/>
  <c r="N314" i="5" s="1"/>
  <c r="S314" i="5" s="1"/>
  <c r="M302" i="5"/>
  <c r="N302" i="5" s="1"/>
  <c r="S302" i="5" s="1"/>
  <c r="Q272" i="5"/>
  <c r="R272" i="5" s="1"/>
  <c r="M284" i="5"/>
  <c r="N284" i="5" s="1"/>
  <c r="S284" i="5" s="1"/>
  <c r="M272" i="5"/>
  <c r="N272" i="5" s="1"/>
  <c r="S272" i="5" s="1"/>
  <c r="Q242" i="5"/>
  <c r="R242" i="5" s="1"/>
  <c r="U224" i="5"/>
  <c r="M236" i="5"/>
  <c r="N236" i="5" s="1"/>
  <c r="S236" i="5" s="1"/>
  <c r="U236" i="5" s="1"/>
  <c r="Q200" i="5"/>
  <c r="R200" i="5" s="1"/>
  <c r="U184" i="5"/>
  <c r="M194" i="5"/>
  <c r="N194" i="5" s="1"/>
  <c r="S194" i="5" s="1"/>
  <c r="U194" i="5" s="1"/>
  <c r="M212" i="5"/>
  <c r="N212" i="5" s="1"/>
  <c r="S212" i="5" s="1"/>
  <c r="Q152" i="5"/>
  <c r="R152" i="5" s="1"/>
  <c r="Q176" i="5"/>
  <c r="R176" i="5" s="1"/>
  <c r="Q148" i="5"/>
  <c r="R148" i="5" s="1"/>
  <c r="U152" i="5"/>
  <c r="U158" i="5"/>
  <c r="U164" i="5"/>
  <c r="M148" i="5"/>
  <c r="N148" i="5" s="1"/>
  <c r="S148" i="5" s="1"/>
  <c r="U148" i="5"/>
  <c r="Q112" i="5"/>
  <c r="R112" i="5" s="1"/>
  <c r="U112" i="5" s="1"/>
  <c r="Q122" i="5"/>
  <c r="R122" i="5" s="1"/>
  <c r="M112" i="5"/>
  <c r="N112" i="5" s="1"/>
  <c r="S112" i="5" s="1"/>
  <c r="M134" i="5"/>
  <c r="N134" i="5" s="1"/>
  <c r="S134" i="5" s="1"/>
  <c r="U134" i="5" s="1"/>
  <c r="M140" i="5"/>
  <c r="N140" i="5" s="1"/>
  <c r="S140" i="5" s="1"/>
  <c r="U140" i="5" s="1"/>
  <c r="M128" i="5"/>
  <c r="N128" i="5" s="1"/>
  <c r="S128" i="5" s="1"/>
  <c r="U128" i="5" s="1"/>
  <c r="Q104" i="5"/>
  <c r="R104" i="5" s="1"/>
  <c r="M98" i="5"/>
  <c r="N98" i="5" s="1"/>
  <c r="S98" i="5" s="1"/>
  <c r="M92" i="5"/>
  <c r="N92" i="5" s="1"/>
  <c r="S92" i="5" s="1"/>
  <c r="M86" i="5"/>
  <c r="N86" i="5" s="1"/>
  <c r="S86" i="5" s="1"/>
  <c r="Q62" i="5"/>
  <c r="R62" i="5" s="1"/>
  <c r="Q50" i="5"/>
  <c r="R50" i="5" s="1"/>
  <c r="Q40" i="5"/>
  <c r="R40" i="5" s="1"/>
  <c r="U40" i="5" s="1"/>
  <c r="Q44" i="5"/>
  <c r="R44" i="5" s="1"/>
  <c r="U50" i="5"/>
  <c r="M44" i="5"/>
  <c r="N44" i="5" s="1"/>
  <c r="S44" i="5" s="1"/>
  <c r="M68" i="5"/>
  <c r="N68" i="5" s="1"/>
  <c r="S68" i="5" s="1"/>
  <c r="Q20" i="5"/>
  <c r="R20" i="5" s="1"/>
  <c r="U20" i="5" s="1"/>
  <c r="U32" i="5"/>
  <c r="Q32" i="5"/>
  <c r="R32" i="5" s="1"/>
  <c r="Q14" i="5"/>
  <c r="R14" i="5" s="1"/>
  <c r="U14" i="5" s="1"/>
  <c r="M8" i="5"/>
  <c r="N8" i="5" s="1"/>
  <c r="S8" i="5" s="1"/>
  <c r="M14" i="5"/>
  <c r="N14" i="5" s="1"/>
  <c r="S14" i="5" s="1"/>
  <c r="Q404" i="3"/>
  <c r="R404" i="3" s="1"/>
  <c r="Q410" i="3"/>
  <c r="R410" i="3" s="1"/>
  <c r="M400" i="3"/>
  <c r="N400" i="3" s="1"/>
  <c r="S400" i="3" s="1"/>
  <c r="M410" i="3"/>
  <c r="N410" i="3" s="1"/>
  <c r="S410" i="3" s="1"/>
  <c r="M416" i="3"/>
  <c r="N416" i="3" s="1"/>
  <c r="S416" i="3" s="1"/>
  <c r="Q626" i="3"/>
  <c r="R626" i="3" s="1"/>
  <c r="M620" i="3"/>
  <c r="N620" i="3" s="1"/>
  <c r="S620" i="3" s="1"/>
  <c r="Q554" i="3"/>
  <c r="R554" i="3" s="1"/>
  <c r="M508" i="3"/>
  <c r="N508" i="3" s="1"/>
  <c r="S508" i="3" s="1"/>
  <c r="Q494" i="3"/>
  <c r="R494" i="3" s="1"/>
  <c r="Q476" i="3"/>
  <c r="R476" i="3" s="1"/>
  <c r="Q452" i="3"/>
  <c r="R452" i="3" s="1"/>
  <c r="Q440" i="3"/>
  <c r="R440" i="3" s="1"/>
  <c r="Q436" i="3"/>
  <c r="R436" i="3" s="1"/>
  <c r="Q458" i="3"/>
  <c r="R458" i="3" s="1"/>
  <c r="Q464" i="3"/>
  <c r="R464" i="3" s="1"/>
  <c r="M458" i="3"/>
  <c r="N458" i="3" s="1"/>
  <c r="S458" i="3" s="1"/>
  <c r="Q380" i="3"/>
  <c r="R380" i="3" s="1"/>
  <c r="U380" i="3" s="1"/>
  <c r="Q344" i="3"/>
  <c r="R344" i="3" s="1"/>
  <c r="U344" i="3" s="1"/>
  <c r="Q338" i="3"/>
  <c r="R338" i="3" s="1"/>
  <c r="U338" i="3" s="1"/>
  <c r="Q350" i="3"/>
  <c r="R350" i="3" s="1"/>
  <c r="Q328" i="3"/>
  <c r="R328" i="3" s="1"/>
  <c r="U328" i="3" s="1"/>
  <c r="Q320" i="3"/>
  <c r="R320" i="3" s="1"/>
  <c r="U320" i="3" s="1"/>
  <c r="Q308" i="3"/>
  <c r="R308" i="3" s="1"/>
  <c r="Q278" i="3"/>
  <c r="R278" i="3" s="1"/>
  <c r="U278" i="3" s="1"/>
  <c r="Q284" i="3"/>
  <c r="R284" i="3" s="1"/>
  <c r="Q230" i="3"/>
  <c r="R230" i="3" s="1"/>
  <c r="Q242" i="3"/>
  <c r="R242" i="3" s="1"/>
  <c r="Q220" i="3"/>
  <c r="R220" i="3" s="1"/>
  <c r="U220" i="3" s="1"/>
  <c r="Q224" i="3"/>
  <c r="R224" i="3" s="1"/>
  <c r="Q236" i="3"/>
  <c r="R236" i="3" s="1"/>
  <c r="Q248" i="3"/>
  <c r="R248" i="3" s="1"/>
  <c r="M184" i="3"/>
  <c r="N184" i="3" s="1"/>
  <c r="S184" i="3" s="1"/>
  <c r="M194" i="3"/>
  <c r="N194" i="3" s="1"/>
  <c r="S194" i="3" s="1"/>
  <c r="Q164" i="3"/>
  <c r="R164" i="3" s="1"/>
  <c r="Q112" i="3"/>
  <c r="R112" i="3" s="1"/>
  <c r="Q134" i="3"/>
  <c r="R134" i="3" s="1"/>
  <c r="U134" i="3" s="1"/>
  <c r="M80" i="3"/>
  <c r="N80" i="3" s="1"/>
  <c r="S80" i="3" s="1"/>
  <c r="M86" i="3"/>
  <c r="N86" i="3" s="1"/>
  <c r="S86" i="3" s="1"/>
  <c r="U86" i="3" s="1"/>
  <c r="M92" i="3"/>
  <c r="N92" i="3" s="1"/>
  <c r="S92" i="3" s="1"/>
  <c r="U92" i="3" s="1"/>
  <c r="M76" i="3"/>
  <c r="N76" i="3" s="1"/>
  <c r="S76" i="3" s="1"/>
  <c r="M98" i="3"/>
  <c r="N98" i="3" s="1"/>
  <c r="S98" i="3" s="1"/>
  <c r="U98" i="3" s="1"/>
  <c r="Q62" i="3"/>
  <c r="R62" i="3" s="1"/>
  <c r="M40" i="3"/>
  <c r="N40" i="3" s="1"/>
  <c r="S40" i="3" s="1"/>
  <c r="U152" i="8"/>
  <c r="U4" i="8"/>
  <c r="U8" i="8"/>
  <c r="U14" i="8"/>
  <c r="U20" i="8"/>
  <c r="U26" i="8"/>
  <c r="U40" i="8"/>
  <c r="U44" i="8"/>
  <c r="U50" i="8"/>
  <c r="U56" i="8"/>
  <c r="U62" i="8"/>
  <c r="U92" i="8"/>
  <c r="M104" i="8"/>
  <c r="N104" i="8" s="1"/>
  <c r="S104" i="8" s="1"/>
  <c r="U104" i="8" s="1"/>
  <c r="U112" i="8"/>
  <c r="M122" i="8"/>
  <c r="N122" i="8" s="1"/>
  <c r="S122" i="8" s="1"/>
  <c r="U122" i="8" s="1"/>
  <c r="U176" i="8"/>
  <c r="U98" i="8"/>
  <c r="U116" i="8"/>
  <c r="M148" i="8"/>
  <c r="N148" i="8" s="1"/>
  <c r="S148" i="8" s="1"/>
  <c r="M158" i="8"/>
  <c r="N158" i="8" s="1"/>
  <c r="S158" i="8" s="1"/>
  <c r="Q170" i="8"/>
  <c r="R170" i="8" s="1"/>
  <c r="Q188" i="8"/>
  <c r="R188" i="8" s="1"/>
  <c r="Q194" i="8"/>
  <c r="R194" i="8" s="1"/>
  <c r="M212" i="8"/>
  <c r="N212" i="8" s="1"/>
  <c r="S212" i="8" s="1"/>
  <c r="M220" i="8"/>
  <c r="N220" i="8" s="1"/>
  <c r="S220" i="8" s="1"/>
  <c r="Q224" i="8"/>
  <c r="R224" i="8" s="1"/>
  <c r="M242" i="8"/>
  <c r="N242" i="8" s="1"/>
  <c r="S242" i="8" s="1"/>
  <c r="M248" i="8"/>
  <c r="N248" i="8" s="1"/>
  <c r="S248" i="8" s="1"/>
  <c r="M256" i="8"/>
  <c r="N256" i="8" s="1"/>
  <c r="S256" i="8" s="1"/>
  <c r="U272" i="8"/>
  <c r="Q68" i="8"/>
  <c r="R68" i="8" s="1"/>
  <c r="U68" i="8" s="1"/>
  <c r="Q148" i="8"/>
  <c r="R148" i="8" s="1"/>
  <c r="Q158" i="8"/>
  <c r="R158" i="8" s="1"/>
  <c r="M170" i="8"/>
  <c r="N170" i="8" s="1"/>
  <c r="S170" i="8" s="1"/>
  <c r="M188" i="8"/>
  <c r="N188" i="8" s="1"/>
  <c r="S188" i="8" s="1"/>
  <c r="M194" i="8"/>
  <c r="N194" i="8" s="1"/>
  <c r="S194" i="8" s="1"/>
  <c r="U194" i="8" s="1"/>
  <c r="Q212" i="8"/>
  <c r="R212" i="8" s="1"/>
  <c r="Q220" i="8"/>
  <c r="R220" i="8" s="1"/>
  <c r="M224" i="8"/>
  <c r="N224" i="8" s="1"/>
  <c r="S224" i="8" s="1"/>
  <c r="Q242" i="8"/>
  <c r="R242" i="8" s="1"/>
  <c r="Q248" i="8"/>
  <c r="R248" i="8" s="1"/>
  <c r="Q256" i="8"/>
  <c r="R256" i="8" s="1"/>
  <c r="U380" i="8"/>
  <c r="Q86" i="8"/>
  <c r="R86" i="8" s="1"/>
  <c r="Q128" i="8"/>
  <c r="R128" i="8" s="1"/>
  <c r="M140" i="8"/>
  <c r="N140" i="8" s="1"/>
  <c r="S140" i="8" s="1"/>
  <c r="U140" i="8" s="1"/>
  <c r="Q184" i="8"/>
  <c r="R184" i="8" s="1"/>
  <c r="U184" i="8" s="1"/>
  <c r="Q200" i="8"/>
  <c r="R200" i="8" s="1"/>
  <c r="U200" i="8" s="1"/>
  <c r="Q206" i="8"/>
  <c r="R206" i="8" s="1"/>
  <c r="Q230" i="8"/>
  <c r="R230" i="8" s="1"/>
  <c r="Q236" i="8"/>
  <c r="R236" i="8" s="1"/>
  <c r="U236" i="8" s="1"/>
  <c r="Q260" i="8"/>
  <c r="R260" i="8" s="1"/>
  <c r="U260" i="8" s="1"/>
  <c r="M278" i="8"/>
  <c r="N278" i="8" s="1"/>
  <c r="S278" i="8" s="1"/>
  <c r="U278" i="8" s="1"/>
  <c r="U308" i="8"/>
  <c r="U320" i="8"/>
  <c r="M292" i="8"/>
  <c r="N292" i="8" s="1"/>
  <c r="S292" i="8" s="1"/>
  <c r="U292" i="8" s="1"/>
  <c r="M302" i="8"/>
  <c r="N302" i="8" s="1"/>
  <c r="S302" i="8" s="1"/>
  <c r="U302" i="8" s="1"/>
  <c r="Q314" i="8"/>
  <c r="R314" i="8" s="1"/>
  <c r="U314" i="8" s="1"/>
  <c r="Q364" i="8"/>
  <c r="R364" i="8" s="1"/>
  <c r="U364" i="8" s="1"/>
  <c r="Q374" i="8"/>
  <c r="R374" i="8" s="1"/>
  <c r="U374" i="8" s="1"/>
  <c r="M410" i="8"/>
  <c r="N410" i="8" s="1"/>
  <c r="S410" i="8" s="1"/>
  <c r="Q482" i="8"/>
  <c r="R482" i="8" s="1"/>
  <c r="Q284" i="8"/>
  <c r="R284" i="8" s="1"/>
  <c r="M332" i="8"/>
  <c r="N332" i="8" s="1"/>
  <c r="S332" i="8" s="1"/>
  <c r="Q344" i="8"/>
  <c r="R344" i="8" s="1"/>
  <c r="M356" i="8"/>
  <c r="N356" i="8" s="1"/>
  <c r="S356" i="8" s="1"/>
  <c r="M386" i="8"/>
  <c r="N386" i="8" s="1"/>
  <c r="S386" i="8" s="1"/>
  <c r="Q400" i="8"/>
  <c r="R400" i="8" s="1"/>
  <c r="U400" i="8" s="1"/>
  <c r="M416" i="8"/>
  <c r="N416" i="8" s="1"/>
  <c r="S416" i="8" s="1"/>
  <c r="U416" i="8" s="1"/>
  <c r="Q440" i="8"/>
  <c r="R440" i="8" s="1"/>
  <c r="M446" i="8"/>
  <c r="N446" i="8" s="1"/>
  <c r="S446" i="8" s="1"/>
  <c r="U446" i="8" s="1"/>
  <c r="U392" i="8"/>
  <c r="M284" i="8"/>
  <c r="N284" i="8" s="1"/>
  <c r="S284" i="8" s="1"/>
  <c r="U284" i="8" s="1"/>
  <c r="Q332" i="8"/>
  <c r="R332" i="8" s="1"/>
  <c r="M344" i="8"/>
  <c r="N344" i="8" s="1"/>
  <c r="S344" i="8" s="1"/>
  <c r="U344" i="8" s="1"/>
  <c r="Q356" i="8"/>
  <c r="R356" i="8" s="1"/>
  <c r="Q386" i="8"/>
  <c r="R386" i="8" s="1"/>
  <c r="M436" i="8"/>
  <c r="N436" i="8" s="1"/>
  <c r="S436" i="8" s="1"/>
  <c r="U436" i="8" s="1"/>
  <c r="M440" i="8"/>
  <c r="N440" i="8" s="1"/>
  <c r="S440" i="8" s="1"/>
  <c r="M500" i="8"/>
  <c r="N500" i="8" s="1"/>
  <c r="S500" i="8" s="1"/>
  <c r="U500" i="8" s="1"/>
  <c r="M530" i="8"/>
  <c r="N530" i="8" s="1"/>
  <c r="S530" i="8" s="1"/>
  <c r="U530" i="8" s="1"/>
  <c r="M512" i="8"/>
  <c r="N512" i="8" s="1"/>
  <c r="S512" i="8" s="1"/>
  <c r="U512" i="8" s="1"/>
  <c r="Q518" i="8"/>
  <c r="R518" i="8" s="1"/>
  <c r="Q544" i="8"/>
  <c r="R544" i="8" s="1"/>
  <c r="U544" i="8" s="1"/>
  <c r="M548" i="8"/>
  <c r="N548" i="8" s="1"/>
  <c r="S548" i="8" s="1"/>
  <c r="U548" i="8" s="1"/>
  <c r="Q410" i="8"/>
  <c r="R410" i="8" s="1"/>
  <c r="M422" i="8"/>
  <c r="N422" i="8" s="1"/>
  <c r="S422" i="8" s="1"/>
  <c r="M472" i="8"/>
  <c r="N472" i="8" s="1"/>
  <c r="S472" i="8" s="1"/>
  <c r="U472" i="8" s="1"/>
  <c r="M482" i="8"/>
  <c r="N482" i="8" s="1"/>
  <c r="S482" i="8" s="1"/>
  <c r="Q494" i="8"/>
  <c r="R494" i="8" s="1"/>
  <c r="U494" i="8" s="1"/>
  <c r="M524" i="8"/>
  <c r="N524" i="8" s="1"/>
  <c r="S524" i="8" s="1"/>
  <c r="U524" i="8" s="1"/>
  <c r="U536" i="8"/>
  <c r="Q464" i="8"/>
  <c r="R464" i="8" s="1"/>
  <c r="U464" i="8" s="1"/>
  <c r="M590" i="8"/>
  <c r="N590" i="8" s="1"/>
  <c r="S590" i="8" s="1"/>
  <c r="U596" i="8"/>
  <c r="Q602" i="8"/>
  <c r="R602" i="8" s="1"/>
  <c r="U620" i="8"/>
  <c r="Q536" i="8"/>
  <c r="R536" i="8" s="1"/>
  <c r="U566" i="8"/>
  <c r="Q572" i="8"/>
  <c r="R572" i="8" s="1"/>
  <c r="U638" i="8"/>
  <c r="U692" i="8"/>
  <c r="Q580" i="8"/>
  <c r="R580" i="8" s="1"/>
  <c r="U580" i="8" s="1"/>
  <c r="Q590" i="8"/>
  <c r="R590" i="8" s="1"/>
  <c r="M602" i="8"/>
  <c r="N602" i="8" s="1"/>
  <c r="S602" i="8" s="1"/>
  <c r="M644" i="8"/>
  <c r="N644" i="8" s="1"/>
  <c r="S644" i="8" s="1"/>
  <c r="U644" i="8" s="1"/>
  <c r="M662" i="8"/>
  <c r="N662" i="8" s="1"/>
  <c r="S662" i="8" s="1"/>
  <c r="U662" i="8" s="1"/>
  <c r="Q560" i="8"/>
  <c r="R560" i="8" s="1"/>
  <c r="U560" i="8" s="1"/>
  <c r="M572" i="8"/>
  <c r="N572" i="8" s="1"/>
  <c r="S572" i="8" s="1"/>
  <c r="U652" i="8"/>
  <c r="Q680" i="8"/>
  <c r="R680" i="8" s="1"/>
  <c r="U680" i="8" s="1"/>
  <c r="M698" i="8"/>
  <c r="N698" i="8" s="1"/>
  <c r="S698" i="8" s="1"/>
  <c r="M704" i="8"/>
  <c r="N704" i="8" s="1"/>
  <c r="S704" i="8" s="1"/>
  <c r="U704" i="8" s="1"/>
  <c r="M710" i="8"/>
  <c r="N710" i="8" s="1"/>
  <c r="S710" i="8" s="1"/>
  <c r="M716" i="8"/>
  <c r="N716" i="8" s="1"/>
  <c r="S716" i="8" s="1"/>
  <c r="Q638" i="8"/>
  <c r="R638" i="8" s="1"/>
  <c r="Q668" i="8"/>
  <c r="R668" i="8" s="1"/>
  <c r="M688" i="8"/>
  <c r="N688" i="8" s="1"/>
  <c r="S688" i="8" s="1"/>
  <c r="U688" i="8" s="1"/>
  <c r="Q698" i="8"/>
  <c r="R698" i="8" s="1"/>
  <c r="Q704" i="8"/>
  <c r="R704" i="8" s="1"/>
  <c r="Q710" i="8"/>
  <c r="R710" i="8" s="1"/>
  <c r="Q716" i="8"/>
  <c r="R716" i="8" s="1"/>
  <c r="U656" i="8"/>
  <c r="M122" i="7"/>
  <c r="N122" i="7" s="1"/>
  <c r="S122" i="7" s="1"/>
  <c r="U122" i="7" s="1"/>
  <c r="M134" i="7"/>
  <c r="N134" i="7" s="1"/>
  <c r="S134" i="7" s="1"/>
  <c r="U134" i="7" s="1"/>
  <c r="Q148" i="7"/>
  <c r="R148" i="7" s="1"/>
  <c r="U148" i="7" s="1"/>
  <c r="U248" i="7"/>
  <c r="Q116" i="7"/>
  <c r="R116" i="7" s="1"/>
  <c r="Q158" i="7"/>
  <c r="R158" i="7" s="1"/>
  <c r="U158" i="7" s="1"/>
  <c r="M184" i="7"/>
  <c r="N184" i="7" s="1"/>
  <c r="S184" i="7" s="1"/>
  <c r="U184" i="7" s="1"/>
  <c r="M194" i="7"/>
  <c r="N194" i="7" s="1"/>
  <c r="S194" i="7" s="1"/>
  <c r="M206" i="7"/>
  <c r="N206" i="7" s="1"/>
  <c r="S206" i="7" s="1"/>
  <c r="U206" i="7" s="1"/>
  <c r="Q230" i="7"/>
  <c r="R230" i="7" s="1"/>
  <c r="U230" i="7" s="1"/>
  <c r="U4" i="7"/>
  <c r="U8" i="7"/>
  <c r="Q128" i="7"/>
  <c r="R128" i="7" s="1"/>
  <c r="Q140" i="7"/>
  <c r="R140" i="7" s="1"/>
  <c r="M152" i="7"/>
  <c r="N152" i="7" s="1"/>
  <c r="S152" i="7" s="1"/>
  <c r="M164" i="7"/>
  <c r="N164" i="7" s="1"/>
  <c r="S164" i="7" s="1"/>
  <c r="U164" i="7" s="1"/>
  <c r="Q170" i="7"/>
  <c r="R170" i="7" s="1"/>
  <c r="U188" i="7"/>
  <c r="Q220" i="7"/>
  <c r="R220" i="7" s="1"/>
  <c r="M224" i="7"/>
  <c r="N224" i="7" s="1"/>
  <c r="S224" i="7" s="1"/>
  <c r="U224" i="7" s="1"/>
  <c r="M236" i="7"/>
  <c r="N236" i="7" s="1"/>
  <c r="S236" i="7" s="1"/>
  <c r="U242" i="7"/>
  <c r="U272" i="7"/>
  <c r="U332" i="7"/>
  <c r="M320" i="7"/>
  <c r="N320" i="7" s="1"/>
  <c r="S320" i="7" s="1"/>
  <c r="M338" i="7"/>
  <c r="N338" i="7" s="1"/>
  <c r="S338" i="7" s="1"/>
  <c r="Q350" i="7"/>
  <c r="R350" i="7" s="1"/>
  <c r="U350" i="7" s="1"/>
  <c r="M368" i="7"/>
  <c r="N368" i="7" s="1"/>
  <c r="S368" i="7" s="1"/>
  <c r="M404" i="7"/>
  <c r="N404" i="7" s="1"/>
  <c r="S404" i="7" s="1"/>
  <c r="Q320" i="7"/>
  <c r="R320" i="7" s="1"/>
  <c r="M328" i="7"/>
  <c r="N328" i="7" s="1"/>
  <c r="S328" i="7" s="1"/>
  <c r="Q338" i="7"/>
  <c r="R338" i="7" s="1"/>
  <c r="M356" i="7"/>
  <c r="N356" i="7" s="1"/>
  <c r="S356" i="7" s="1"/>
  <c r="U356" i="7" s="1"/>
  <c r="M364" i="7"/>
  <c r="N364" i="7" s="1"/>
  <c r="S364" i="7" s="1"/>
  <c r="U364" i="7" s="1"/>
  <c r="M380" i="7"/>
  <c r="N380" i="7" s="1"/>
  <c r="S380" i="7" s="1"/>
  <c r="Q400" i="7"/>
  <c r="R400" i="7" s="1"/>
  <c r="M416" i="7"/>
  <c r="N416" i="7" s="1"/>
  <c r="S416" i="7" s="1"/>
  <c r="U428" i="7"/>
  <c r="Q328" i="7"/>
  <c r="R328" i="7" s="1"/>
  <c r="Q368" i="7"/>
  <c r="R368" i="7" s="1"/>
  <c r="Q374" i="7"/>
  <c r="R374" i="7" s="1"/>
  <c r="U374" i="7" s="1"/>
  <c r="Q380" i="7"/>
  <c r="R380" i="7" s="1"/>
  <c r="Q440" i="7"/>
  <c r="R440" i="7" s="1"/>
  <c r="Q518" i="7"/>
  <c r="R518" i="7" s="1"/>
  <c r="U518" i="7" s="1"/>
  <c r="Q392" i="7"/>
  <c r="R392" i="7" s="1"/>
  <c r="U392" i="7" s="1"/>
  <c r="Q404" i="7"/>
  <c r="R404" i="7" s="1"/>
  <c r="Q446" i="7"/>
  <c r="R446" i="7" s="1"/>
  <c r="U446" i="7" s="1"/>
  <c r="M464" i="7"/>
  <c r="N464" i="7" s="1"/>
  <c r="S464" i="7" s="1"/>
  <c r="M530" i="7"/>
  <c r="N530" i="7" s="1"/>
  <c r="S530" i="7" s="1"/>
  <c r="U530" i="7" s="1"/>
  <c r="Q416" i="7"/>
  <c r="R416" i="7" s="1"/>
  <c r="Q422" i="7"/>
  <c r="R422" i="7" s="1"/>
  <c r="U422" i="7" s="1"/>
  <c r="Q436" i="7"/>
  <c r="R436" i="7" s="1"/>
  <c r="U436" i="7" s="1"/>
  <c r="M440" i="7"/>
  <c r="N440" i="7" s="1"/>
  <c r="S440" i="7" s="1"/>
  <c r="Q472" i="7"/>
  <c r="R472" i="7" s="1"/>
  <c r="M476" i="7"/>
  <c r="N476" i="7" s="1"/>
  <c r="S476" i="7" s="1"/>
  <c r="U476" i="7" s="1"/>
  <c r="M572" i="7"/>
  <c r="N572" i="7" s="1"/>
  <c r="S572" i="7" s="1"/>
  <c r="Q584" i="7"/>
  <c r="R584" i="7" s="1"/>
  <c r="Q596" i="7"/>
  <c r="R596" i="7" s="1"/>
  <c r="U596" i="7" s="1"/>
  <c r="M472" i="7"/>
  <c r="N472" i="7" s="1"/>
  <c r="S472" i="7" s="1"/>
  <c r="Q544" i="7"/>
  <c r="R544" i="7" s="1"/>
  <c r="U544" i="7" s="1"/>
  <c r="Q548" i="7"/>
  <c r="R548" i="7" s="1"/>
  <c r="U548" i="7" s="1"/>
  <c r="Q554" i="7"/>
  <c r="R554" i="7" s="1"/>
  <c r="Q580" i="7"/>
  <c r="R580" i="7" s="1"/>
  <c r="M590" i="7"/>
  <c r="N590" i="7" s="1"/>
  <c r="S590" i="7" s="1"/>
  <c r="U590" i="7" s="1"/>
  <c r="Q602" i="7"/>
  <c r="R602" i="7" s="1"/>
  <c r="U608" i="7"/>
  <c r="M452" i="7"/>
  <c r="N452" i="7" s="1"/>
  <c r="S452" i="7" s="1"/>
  <c r="Q464" i="7"/>
  <c r="R464" i="7" s="1"/>
  <c r="M524" i="7"/>
  <c r="N524" i="7" s="1"/>
  <c r="S524" i="7" s="1"/>
  <c r="U524" i="7" s="1"/>
  <c r="Q566" i="7"/>
  <c r="R566" i="7" s="1"/>
  <c r="U566" i="7" s="1"/>
  <c r="M580" i="7"/>
  <c r="N580" i="7" s="1"/>
  <c r="S580" i="7" s="1"/>
  <c r="M584" i="7"/>
  <c r="N584" i="7" s="1"/>
  <c r="S584" i="7" s="1"/>
  <c r="M662" i="7"/>
  <c r="N662" i="7" s="1"/>
  <c r="S662" i="7" s="1"/>
  <c r="M674" i="7"/>
  <c r="N674" i="7" s="1"/>
  <c r="S674" i="7" s="1"/>
  <c r="Q698" i="7"/>
  <c r="R698" i="7" s="1"/>
  <c r="U698" i="7" s="1"/>
  <c r="M668" i="7"/>
  <c r="N668" i="7" s="1"/>
  <c r="S668" i="7" s="1"/>
  <c r="M692" i="7"/>
  <c r="N692" i="7" s="1"/>
  <c r="S692" i="7" s="1"/>
  <c r="U692" i="7" s="1"/>
  <c r="U80" i="6"/>
  <c r="M56" i="6"/>
  <c r="N56" i="6" s="1"/>
  <c r="S56" i="6" s="1"/>
  <c r="U56" i="6" s="1"/>
  <c r="Q80" i="6"/>
  <c r="R80" i="6" s="1"/>
  <c r="U92" i="6"/>
  <c r="U140" i="6"/>
  <c r="U148" i="6"/>
  <c r="Q62" i="6"/>
  <c r="R62" i="6" s="1"/>
  <c r="U62" i="6" s="1"/>
  <c r="M68" i="6"/>
  <c r="N68" i="6" s="1"/>
  <c r="S68" i="6" s="1"/>
  <c r="U68" i="6" s="1"/>
  <c r="M86" i="6"/>
  <c r="N86" i="6" s="1"/>
  <c r="S86" i="6" s="1"/>
  <c r="U86" i="6" s="1"/>
  <c r="U4" i="6"/>
  <c r="U8" i="6"/>
  <c r="U14" i="6"/>
  <c r="U20" i="6"/>
  <c r="U26" i="6"/>
  <c r="U32" i="6"/>
  <c r="U40" i="6"/>
  <c r="U44" i="6"/>
  <c r="Q92" i="6"/>
  <c r="R92" i="6" s="1"/>
  <c r="U116" i="6"/>
  <c r="U170" i="6"/>
  <c r="U200" i="6"/>
  <c r="U692" i="6"/>
  <c r="Q212" i="6"/>
  <c r="R212" i="6" s="1"/>
  <c r="U212" i="6" s="1"/>
  <c r="Q266" i="6"/>
  <c r="R266" i="6" s="1"/>
  <c r="U266" i="6" s="1"/>
  <c r="Q242" i="6"/>
  <c r="R242" i="6" s="1"/>
  <c r="Q296" i="6"/>
  <c r="R296" i="6" s="1"/>
  <c r="Q220" i="6"/>
  <c r="R220" i="6" s="1"/>
  <c r="U220" i="6" s="1"/>
  <c r="M236" i="6"/>
  <c r="N236" i="6" s="1"/>
  <c r="S236" i="6" s="1"/>
  <c r="U236" i="6" s="1"/>
  <c r="Q350" i="6"/>
  <c r="R350" i="6" s="1"/>
  <c r="U350" i="6" s="1"/>
  <c r="U436" i="6"/>
  <c r="U482" i="6"/>
  <c r="M488" i="6"/>
  <c r="N488" i="6" s="1"/>
  <c r="S488" i="6" s="1"/>
  <c r="U488" i="6" s="1"/>
  <c r="U500" i="6"/>
  <c r="U518" i="6"/>
  <c r="M554" i="6"/>
  <c r="N554" i="6" s="1"/>
  <c r="S554" i="6" s="1"/>
  <c r="U554" i="6" s="1"/>
  <c r="M560" i="6"/>
  <c r="N560" i="6" s="1"/>
  <c r="S560" i="6" s="1"/>
  <c r="Q566" i="6"/>
  <c r="R566" i="6" s="1"/>
  <c r="U566" i="6" s="1"/>
  <c r="Q572" i="6"/>
  <c r="R572" i="6" s="1"/>
  <c r="U572" i="6" s="1"/>
  <c r="Q260" i="6"/>
  <c r="R260" i="6" s="1"/>
  <c r="Q278" i="6"/>
  <c r="R278" i="6" s="1"/>
  <c r="U278" i="6" s="1"/>
  <c r="M296" i="6"/>
  <c r="N296" i="6" s="1"/>
  <c r="S296" i="6" s="1"/>
  <c r="M404" i="6"/>
  <c r="N404" i="6" s="1"/>
  <c r="S404" i="6" s="1"/>
  <c r="M446" i="6"/>
  <c r="N446" i="6" s="1"/>
  <c r="S446" i="6" s="1"/>
  <c r="U446" i="6" s="1"/>
  <c r="M530" i="6"/>
  <c r="N530" i="6" s="1"/>
  <c r="S530" i="6" s="1"/>
  <c r="U530" i="6" s="1"/>
  <c r="U548" i="6"/>
  <c r="Q590" i="6"/>
  <c r="R590" i="6" s="1"/>
  <c r="U590" i="6" s="1"/>
  <c r="M620" i="6"/>
  <c r="N620" i="6" s="1"/>
  <c r="S620" i="6" s="1"/>
  <c r="U656" i="6"/>
  <c r="M260" i="6"/>
  <c r="N260" i="6" s="1"/>
  <c r="S260" i="6" s="1"/>
  <c r="Q308" i="6"/>
  <c r="R308" i="6" s="1"/>
  <c r="Q338" i="6"/>
  <c r="R338" i="6" s="1"/>
  <c r="Q368" i="6"/>
  <c r="R368" i="6" s="1"/>
  <c r="U380" i="6"/>
  <c r="M386" i="6"/>
  <c r="N386" i="6" s="1"/>
  <c r="S386" i="6" s="1"/>
  <c r="U386" i="6" s="1"/>
  <c r="U422" i="6"/>
  <c r="M428" i="6"/>
  <c r="N428" i="6" s="1"/>
  <c r="S428" i="6" s="1"/>
  <c r="U428" i="6" s="1"/>
  <c r="U464" i="6"/>
  <c r="M508" i="6"/>
  <c r="N508" i="6" s="1"/>
  <c r="S508" i="6" s="1"/>
  <c r="Q548" i="6"/>
  <c r="R548" i="6" s="1"/>
  <c r="M596" i="6"/>
  <c r="N596" i="6" s="1"/>
  <c r="S596" i="6" s="1"/>
  <c r="U596" i="6" s="1"/>
  <c r="M704" i="6"/>
  <c r="N704" i="6" s="1"/>
  <c r="S704" i="6" s="1"/>
  <c r="U704" i="6" s="1"/>
  <c r="M616" i="6"/>
  <c r="N616" i="6" s="1"/>
  <c r="S616" i="6" s="1"/>
  <c r="U616" i="6" s="1"/>
  <c r="Q392" i="6"/>
  <c r="R392" i="6" s="1"/>
  <c r="U392" i="6" s="1"/>
  <c r="Q410" i="6"/>
  <c r="R410" i="6" s="1"/>
  <c r="U410" i="6" s="1"/>
  <c r="Q452" i="6"/>
  <c r="R452" i="6" s="1"/>
  <c r="U452" i="6" s="1"/>
  <c r="Q472" i="6"/>
  <c r="R472" i="6" s="1"/>
  <c r="U472" i="6" s="1"/>
  <c r="Q494" i="6"/>
  <c r="R494" i="6" s="1"/>
  <c r="Q512" i="6"/>
  <c r="R512" i="6" s="1"/>
  <c r="U512" i="6" s="1"/>
  <c r="Q536" i="6"/>
  <c r="R536" i="6" s="1"/>
  <c r="U536" i="6" s="1"/>
  <c r="Q560" i="6"/>
  <c r="R560" i="6" s="1"/>
  <c r="M608" i="6"/>
  <c r="N608" i="6" s="1"/>
  <c r="S608" i="6" s="1"/>
  <c r="U608" i="6" s="1"/>
  <c r="M674" i="6"/>
  <c r="N674" i="6" s="1"/>
  <c r="S674" i="6" s="1"/>
  <c r="U674" i="6" s="1"/>
  <c r="M668" i="6"/>
  <c r="N668" i="6" s="1"/>
  <c r="S668" i="6" s="1"/>
  <c r="Q688" i="6"/>
  <c r="R688" i="6" s="1"/>
  <c r="U688" i="6" s="1"/>
  <c r="Q692" i="6"/>
  <c r="R692" i="6" s="1"/>
  <c r="Q698" i="6"/>
  <c r="R698" i="6" s="1"/>
  <c r="U698" i="6" s="1"/>
  <c r="Q656" i="6"/>
  <c r="R656" i="6" s="1"/>
  <c r="Q662" i="6"/>
  <c r="R662" i="6" s="1"/>
  <c r="U662" i="6" s="1"/>
  <c r="Q668" i="6"/>
  <c r="R668" i="6" s="1"/>
  <c r="U86" i="5"/>
  <c r="U92" i="5"/>
  <c r="U104" i="5"/>
  <c r="M4" i="5"/>
  <c r="N4" i="5" s="1"/>
  <c r="S4" i="5" s="1"/>
  <c r="U4" i="5" s="1"/>
  <c r="M26" i="5"/>
  <c r="N26" i="5" s="1"/>
  <c r="S26" i="5" s="1"/>
  <c r="U26" i="5" s="1"/>
  <c r="U56" i="5"/>
  <c r="M62" i="5"/>
  <c r="N62" i="5" s="1"/>
  <c r="S62" i="5" s="1"/>
  <c r="U62" i="5" s="1"/>
  <c r="U212" i="5"/>
  <c r="Q8" i="5"/>
  <c r="R8" i="5" s="1"/>
  <c r="M122" i="5"/>
  <c r="N122" i="5" s="1"/>
  <c r="S122" i="5" s="1"/>
  <c r="M176" i="5"/>
  <c r="N176" i="5" s="1"/>
  <c r="S176" i="5" s="1"/>
  <c r="U176" i="5" s="1"/>
  <c r="U256" i="5"/>
  <c r="M206" i="5"/>
  <c r="N206" i="5" s="1"/>
  <c r="S206" i="5" s="1"/>
  <c r="Q368" i="5"/>
  <c r="R368" i="5" s="1"/>
  <c r="Q68" i="5"/>
  <c r="R68" i="5" s="1"/>
  <c r="U68" i="5" s="1"/>
  <c r="Q308" i="5"/>
  <c r="R308" i="5" s="1"/>
  <c r="U392" i="5"/>
  <c r="M554" i="5"/>
  <c r="N554" i="5" s="1"/>
  <c r="S554" i="5" s="1"/>
  <c r="U554" i="5" s="1"/>
  <c r="U566" i="5"/>
  <c r="Q80" i="5"/>
  <c r="R80" i="5" s="1"/>
  <c r="Q98" i="5"/>
  <c r="R98" i="5" s="1"/>
  <c r="U98" i="5" s="1"/>
  <c r="M116" i="5"/>
  <c r="N116" i="5" s="1"/>
  <c r="S116" i="5" s="1"/>
  <c r="U116" i="5" s="1"/>
  <c r="Q206" i="5"/>
  <c r="R206" i="5" s="1"/>
  <c r="Q248" i="5"/>
  <c r="R248" i="5" s="1"/>
  <c r="U248" i="5" s="1"/>
  <c r="Q266" i="5"/>
  <c r="R266" i="5" s="1"/>
  <c r="U266" i="5" s="1"/>
  <c r="U278" i="5"/>
  <c r="U364" i="5"/>
  <c r="M368" i="5"/>
  <c r="N368" i="5" s="1"/>
  <c r="S368" i="5" s="1"/>
  <c r="Q374" i="5"/>
  <c r="R374" i="5" s="1"/>
  <c r="U374" i="5" s="1"/>
  <c r="Q386" i="5"/>
  <c r="R386" i="5" s="1"/>
  <c r="U386" i="5" s="1"/>
  <c r="Q436" i="5"/>
  <c r="R436" i="5" s="1"/>
  <c r="U436" i="5" s="1"/>
  <c r="Q446" i="5"/>
  <c r="R446" i="5" s="1"/>
  <c r="U446" i="5" s="1"/>
  <c r="U464" i="5"/>
  <c r="Q476" i="5"/>
  <c r="R476" i="5" s="1"/>
  <c r="U476" i="5" s="1"/>
  <c r="Q56" i="5"/>
  <c r="R56" i="5" s="1"/>
  <c r="M170" i="5"/>
  <c r="N170" i="5" s="1"/>
  <c r="S170" i="5" s="1"/>
  <c r="Q284" i="5"/>
  <c r="R284" i="5" s="1"/>
  <c r="U284" i="5" s="1"/>
  <c r="M296" i="5"/>
  <c r="N296" i="5" s="1"/>
  <c r="S296" i="5" s="1"/>
  <c r="U296" i="5" s="1"/>
  <c r="M328" i="5"/>
  <c r="N328" i="5" s="1"/>
  <c r="S328" i="5" s="1"/>
  <c r="U400" i="5"/>
  <c r="M440" i="5"/>
  <c r="N440" i="5" s="1"/>
  <c r="S440" i="5" s="1"/>
  <c r="U440" i="5" s="1"/>
  <c r="M512" i="5"/>
  <c r="N512" i="5" s="1"/>
  <c r="S512" i="5" s="1"/>
  <c r="Q76" i="5"/>
  <c r="R76" i="5" s="1"/>
  <c r="U76" i="5" s="1"/>
  <c r="M80" i="5"/>
  <c r="N80" i="5" s="1"/>
  <c r="S80" i="5" s="1"/>
  <c r="U80" i="5" s="1"/>
  <c r="Q86" i="5"/>
  <c r="R86" i="5" s="1"/>
  <c r="M188" i="5"/>
  <c r="N188" i="5" s="1"/>
  <c r="S188" i="5" s="1"/>
  <c r="M200" i="5"/>
  <c r="N200" i="5" s="1"/>
  <c r="S200" i="5" s="1"/>
  <c r="U200" i="5" s="1"/>
  <c r="Q220" i="5"/>
  <c r="R220" i="5" s="1"/>
  <c r="U220" i="5" s="1"/>
  <c r="M230" i="5"/>
  <c r="N230" i="5" s="1"/>
  <c r="S230" i="5" s="1"/>
  <c r="U230" i="5" s="1"/>
  <c r="M242" i="5"/>
  <c r="N242" i="5" s="1"/>
  <c r="S242" i="5" s="1"/>
  <c r="U242" i="5" s="1"/>
  <c r="M260" i="5"/>
  <c r="N260" i="5" s="1"/>
  <c r="S260" i="5" s="1"/>
  <c r="U260" i="5" s="1"/>
  <c r="M292" i="5"/>
  <c r="N292" i="5" s="1"/>
  <c r="S292" i="5" s="1"/>
  <c r="U302" i="5"/>
  <c r="M308" i="5"/>
  <c r="N308" i="5" s="1"/>
  <c r="S308" i="5" s="1"/>
  <c r="U308" i="5" s="1"/>
  <c r="Q314" i="5"/>
  <c r="R314" i="5" s="1"/>
  <c r="Q328" i="5"/>
  <c r="R328" i="5" s="1"/>
  <c r="Q332" i="5"/>
  <c r="R332" i="5" s="1"/>
  <c r="U332" i="5" s="1"/>
  <c r="Q344" i="5"/>
  <c r="R344" i="5" s="1"/>
  <c r="M356" i="5"/>
  <c r="N356" i="5" s="1"/>
  <c r="S356" i="5" s="1"/>
  <c r="Q410" i="5"/>
  <c r="R410" i="5" s="1"/>
  <c r="M472" i="5"/>
  <c r="N472" i="5" s="1"/>
  <c r="S472" i="5" s="1"/>
  <c r="U472" i="5" s="1"/>
  <c r="U518" i="5"/>
  <c r="M410" i="5"/>
  <c r="N410" i="5" s="1"/>
  <c r="S410" i="5" s="1"/>
  <c r="Q452" i="5"/>
  <c r="R452" i="5" s="1"/>
  <c r="M500" i="5"/>
  <c r="N500" i="5" s="1"/>
  <c r="S500" i="5" s="1"/>
  <c r="M428" i="5"/>
  <c r="N428" i="5" s="1"/>
  <c r="S428" i="5" s="1"/>
  <c r="U428" i="5" s="1"/>
  <c r="M452" i="5"/>
  <c r="N452" i="5" s="1"/>
  <c r="S452" i="5" s="1"/>
  <c r="Q512" i="5"/>
  <c r="R512" i="5" s="1"/>
  <c r="Q530" i="5"/>
  <c r="R530" i="5" s="1"/>
  <c r="U530" i="5" s="1"/>
  <c r="Q170" i="5"/>
  <c r="R170" i="5" s="1"/>
  <c r="Q188" i="5"/>
  <c r="R188" i="5" s="1"/>
  <c r="Q230" i="5"/>
  <c r="R230" i="5" s="1"/>
  <c r="Q292" i="5"/>
  <c r="R292" i="5" s="1"/>
  <c r="Q356" i="5"/>
  <c r="R356" i="5" s="1"/>
  <c r="M404" i="5"/>
  <c r="N404" i="5" s="1"/>
  <c r="S404" i="5" s="1"/>
  <c r="Q472" i="5"/>
  <c r="R472" i="5" s="1"/>
  <c r="M508" i="5"/>
  <c r="N508" i="5" s="1"/>
  <c r="S508" i="5" s="1"/>
  <c r="U508" i="5" s="1"/>
  <c r="U548" i="5"/>
  <c r="U572" i="5"/>
  <c r="Q500" i="5"/>
  <c r="R500" i="5" s="1"/>
  <c r="Q560" i="5"/>
  <c r="R560" i="5" s="1"/>
  <c r="Q580" i="5"/>
  <c r="R580" i="5" s="1"/>
  <c r="U580" i="5" s="1"/>
  <c r="Q602" i="5"/>
  <c r="R602" i="5" s="1"/>
  <c r="U602" i="5" s="1"/>
  <c r="Q620" i="5"/>
  <c r="R620" i="5" s="1"/>
  <c r="U620" i="5" s="1"/>
  <c r="Q644" i="5"/>
  <c r="R644" i="5" s="1"/>
  <c r="U644" i="5" s="1"/>
  <c r="Q662" i="5"/>
  <c r="R662" i="5" s="1"/>
  <c r="U662" i="5" s="1"/>
  <c r="U686" i="5" s="1"/>
  <c r="S686" i="5" s="1"/>
  <c r="Q704" i="5"/>
  <c r="R704" i="5" s="1"/>
  <c r="U704" i="5" s="1"/>
  <c r="Q122" i="3"/>
  <c r="R122" i="3" s="1"/>
  <c r="Q40" i="3"/>
  <c r="R40" i="3" s="1"/>
  <c r="Q152" i="3"/>
  <c r="R152" i="3" s="1"/>
  <c r="Q194" i="3"/>
  <c r="R194" i="3" s="1"/>
  <c r="Q176" i="3"/>
  <c r="R176" i="3" s="1"/>
  <c r="Q50" i="3"/>
  <c r="R50" i="3" s="1"/>
  <c r="M152" i="3"/>
  <c r="N152" i="3" s="1"/>
  <c r="S152" i="3" s="1"/>
  <c r="Q184" i="3"/>
  <c r="R184" i="3" s="1"/>
  <c r="U184" i="3" s="1"/>
  <c r="Q86" i="3"/>
  <c r="R86" i="3" s="1"/>
  <c r="M164" i="3"/>
  <c r="N164" i="3" s="1"/>
  <c r="S164" i="3" s="1"/>
  <c r="M170" i="3"/>
  <c r="N170" i="3" s="1"/>
  <c r="S170" i="3" s="1"/>
  <c r="M44" i="3"/>
  <c r="N44" i="3" s="1"/>
  <c r="S44" i="3" s="1"/>
  <c r="M56" i="3"/>
  <c r="N56" i="3" s="1"/>
  <c r="S56" i="3" s="1"/>
  <c r="M128" i="3"/>
  <c r="N128" i="3" s="1"/>
  <c r="S128" i="3" s="1"/>
  <c r="M176" i="3"/>
  <c r="N176" i="3" s="1"/>
  <c r="S176" i="3" s="1"/>
  <c r="M200" i="3"/>
  <c r="N200" i="3" s="1"/>
  <c r="S200" i="3" s="1"/>
  <c r="Q356" i="3"/>
  <c r="R356" i="3" s="1"/>
  <c r="M364" i="3"/>
  <c r="N364" i="3" s="1"/>
  <c r="S364" i="3" s="1"/>
  <c r="U364" i="3" s="1"/>
  <c r="M374" i="3"/>
  <c r="N374" i="3" s="1"/>
  <c r="S374" i="3" s="1"/>
  <c r="M548" i="3"/>
  <c r="N548" i="3" s="1"/>
  <c r="S548" i="3" s="1"/>
  <c r="Q566" i="3"/>
  <c r="R566" i="3" s="1"/>
  <c r="Q584" i="3"/>
  <c r="R584" i="3" s="1"/>
  <c r="M602" i="3"/>
  <c r="N602" i="3" s="1"/>
  <c r="S602" i="3" s="1"/>
  <c r="M704" i="3"/>
  <c r="N704" i="3" s="1"/>
  <c r="S704" i="3" s="1"/>
  <c r="M68" i="3"/>
  <c r="N68" i="3" s="1"/>
  <c r="S68" i="3" s="1"/>
  <c r="M140" i="3"/>
  <c r="N140" i="3" s="1"/>
  <c r="S140" i="3" s="1"/>
  <c r="M158" i="3"/>
  <c r="N158" i="3" s="1"/>
  <c r="S158" i="3" s="1"/>
  <c r="Q200" i="3"/>
  <c r="R200" i="3" s="1"/>
  <c r="M206" i="3"/>
  <c r="N206" i="3" s="1"/>
  <c r="S206" i="3" s="1"/>
  <c r="U206" i="3" s="1"/>
  <c r="U242" i="3"/>
  <c r="U248" i="3"/>
  <c r="U256" i="3"/>
  <c r="U260" i="3"/>
  <c r="U266" i="3"/>
  <c r="M350" i="3"/>
  <c r="N350" i="3" s="1"/>
  <c r="S350" i="3" s="1"/>
  <c r="Q368" i="3"/>
  <c r="R368" i="3" s="1"/>
  <c r="Q704" i="3"/>
  <c r="R704" i="3" s="1"/>
  <c r="M148" i="3"/>
  <c r="N148" i="3" s="1"/>
  <c r="S148" i="3" s="1"/>
  <c r="M116" i="3"/>
  <c r="N116" i="3" s="1"/>
  <c r="S116" i="3" s="1"/>
  <c r="Q116" i="3"/>
  <c r="R116" i="3" s="1"/>
  <c r="Q140" i="3"/>
  <c r="R140" i="3" s="1"/>
  <c r="M188" i="3"/>
  <c r="N188" i="3" s="1"/>
  <c r="S188" i="3" s="1"/>
  <c r="M212" i="3"/>
  <c r="N212" i="3" s="1"/>
  <c r="S212" i="3" s="1"/>
  <c r="M356" i="3"/>
  <c r="N356" i="3" s="1"/>
  <c r="S356" i="3" s="1"/>
  <c r="M452" i="3"/>
  <c r="N452" i="3" s="1"/>
  <c r="S452" i="3" s="1"/>
  <c r="U452" i="3" s="1"/>
  <c r="Q692" i="3"/>
  <c r="R692" i="3" s="1"/>
  <c r="Q374" i="3"/>
  <c r="R374" i="3" s="1"/>
  <c r="M446" i="3"/>
  <c r="N446" i="3" s="1"/>
  <c r="S446" i="3" s="1"/>
  <c r="M488" i="3"/>
  <c r="N488" i="3" s="1"/>
  <c r="S488" i="3" s="1"/>
  <c r="M512" i="3"/>
  <c r="N512" i="3" s="1"/>
  <c r="S512" i="3" s="1"/>
  <c r="M518" i="3"/>
  <c r="N518" i="3" s="1"/>
  <c r="S518" i="3" s="1"/>
  <c r="M560" i="3"/>
  <c r="N560" i="3" s="1"/>
  <c r="S560" i="3" s="1"/>
  <c r="M584" i="3"/>
  <c r="N584" i="3" s="1"/>
  <c r="S584" i="3" s="1"/>
  <c r="M632" i="3"/>
  <c r="N632" i="3" s="1"/>
  <c r="S632" i="3" s="1"/>
  <c r="M368" i="3"/>
  <c r="N368" i="3" s="1"/>
  <c r="S368" i="3" s="1"/>
  <c r="U368" i="3" s="1"/>
  <c r="M392" i="3"/>
  <c r="N392" i="3" s="1"/>
  <c r="S392" i="3" s="1"/>
  <c r="U392" i="3" s="1"/>
  <c r="Q400" i="3"/>
  <c r="R400" i="3" s="1"/>
  <c r="Q428" i="3"/>
  <c r="R428" i="3" s="1"/>
  <c r="M436" i="3"/>
  <c r="N436" i="3" s="1"/>
  <c r="S436" i="3" s="1"/>
  <c r="U436" i="3" s="1"/>
  <c r="M440" i="3"/>
  <c r="N440" i="3" s="1"/>
  <c r="S440" i="3" s="1"/>
  <c r="U440" i="3" s="1"/>
  <c r="M472" i="3"/>
  <c r="N472" i="3" s="1"/>
  <c r="S472" i="3" s="1"/>
  <c r="M476" i="3"/>
  <c r="N476" i="3" s="1"/>
  <c r="S476" i="3" s="1"/>
  <c r="M482" i="3"/>
  <c r="N482" i="3" s="1"/>
  <c r="S482" i="3" s="1"/>
  <c r="U482" i="3" s="1"/>
  <c r="M500" i="3"/>
  <c r="N500" i="3" s="1"/>
  <c r="S500" i="3" s="1"/>
  <c r="Q512" i="3"/>
  <c r="R512" i="3" s="1"/>
  <c r="M530" i="3"/>
  <c r="N530" i="3" s="1"/>
  <c r="S530" i="3" s="1"/>
  <c r="M566" i="3"/>
  <c r="N566" i="3" s="1"/>
  <c r="S566" i="3" s="1"/>
  <c r="M572" i="3"/>
  <c r="N572" i="3" s="1"/>
  <c r="S572" i="3" s="1"/>
  <c r="M596" i="3"/>
  <c r="N596" i="3" s="1"/>
  <c r="S596" i="3" s="1"/>
  <c r="U596" i="3" s="1"/>
  <c r="M656" i="3"/>
  <c r="N656" i="3" s="1"/>
  <c r="S656" i="3" s="1"/>
  <c r="M662" i="3"/>
  <c r="N662" i="3" s="1"/>
  <c r="S662" i="3" s="1"/>
  <c r="M668" i="3"/>
  <c r="N668" i="3" s="1"/>
  <c r="S668" i="3" s="1"/>
  <c r="M674" i="3"/>
  <c r="N674" i="3" s="1"/>
  <c r="S674" i="3" s="1"/>
  <c r="M680" i="3"/>
  <c r="N680" i="3" s="1"/>
  <c r="S680" i="3" s="1"/>
  <c r="M688" i="3"/>
  <c r="N688" i="3" s="1"/>
  <c r="S688" i="3" s="1"/>
  <c r="U410" i="3"/>
  <c r="Q536" i="3"/>
  <c r="R536" i="3" s="1"/>
  <c r="M580" i="3"/>
  <c r="N580" i="3" s="1"/>
  <c r="S580" i="3" s="1"/>
  <c r="M692" i="3"/>
  <c r="N692" i="3" s="1"/>
  <c r="S692" i="3" s="1"/>
  <c r="Q716" i="3"/>
  <c r="R716" i="3" s="1"/>
  <c r="U716" i="3" s="1"/>
  <c r="M652" i="3"/>
  <c r="N652" i="3" s="1"/>
  <c r="S652" i="3" s="1"/>
  <c r="Q652" i="3"/>
  <c r="R652" i="3" s="1"/>
  <c r="Q656" i="3"/>
  <c r="R656" i="3" s="1"/>
  <c r="Q662" i="3"/>
  <c r="R662" i="3" s="1"/>
  <c r="Q668" i="3"/>
  <c r="R668" i="3" s="1"/>
  <c r="Q674" i="3"/>
  <c r="R674" i="3" s="1"/>
  <c r="Q680" i="3"/>
  <c r="R680" i="3" s="1"/>
  <c r="Q688" i="3"/>
  <c r="R688" i="3" s="1"/>
  <c r="M698" i="3"/>
  <c r="N698" i="3" s="1"/>
  <c r="S698" i="3" s="1"/>
  <c r="Q710" i="3"/>
  <c r="R710" i="3" s="1"/>
  <c r="Q698" i="3"/>
  <c r="R698" i="3" s="1"/>
  <c r="M710" i="3"/>
  <c r="N710" i="3" s="1"/>
  <c r="S710" i="3" s="1"/>
  <c r="Q500" i="3"/>
  <c r="R500" i="3" s="1"/>
  <c r="M494" i="3"/>
  <c r="N494" i="3" s="1"/>
  <c r="S494" i="3" s="1"/>
  <c r="U494" i="3" s="1"/>
  <c r="M464" i="3"/>
  <c r="N464" i="3" s="1"/>
  <c r="S464" i="3" s="1"/>
  <c r="Q508" i="3"/>
  <c r="R508" i="3" s="1"/>
  <c r="Q446" i="3"/>
  <c r="R446" i="3" s="1"/>
  <c r="Q488" i="3"/>
  <c r="R488" i="3" s="1"/>
  <c r="Q524" i="3"/>
  <c r="R524" i="3" s="1"/>
  <c r="Q544" i="3"/>
  <c r="R544" i="3" s="1"/>
  <c r="Q548" i="3"/>
  <c r="R548" i="3" s="1"/>
  <c r="Q572" i="3"/>
  <c r="R572" i="3" s="1"/>
  <c r="M608" i="3"/>
  <c r="N608" i="3" s="1"/>
  <c r="S608" i="3" s="1"/>
  <c r="Q638" i="3"/>
  <c r="R638" i="3" s="1"/>
  <c r="Q518" i="3"/>
  <c r="R518" i="3" s="1"/>
  <c r="M536" i="3"/>
  <c r="N536" i="3" s="1"/>
  <c r="S536" i="3" s="1"/>
  <c r="M554" i="3"/>
  <c r="N554" i="3" s="1"/>
  <c r="S554" i="3" s="1"/>
  <c r="U554" i="3" s="1"/>
  <c r="Q560" i="3"/>
  <c r="R560" i="3" s="1"/>
  <c r="Q580" i="3"/>
  <c r="R580" i="3" s="1"/>
  <c r="M590" i="3"/>
  <c r="N590" i="3" s="1"/>
  <c r="S590" i="3" s="1"/>
  <c r="Q608" i="3"/>
  <c r="R608" i="3" s="1"/>
  <c r="Q620" i="3"/>
  <c r="R620" i="3" s="1"/>
  <c r="M644" i="3"/>
  <c r="N644" i="3" s="1"/>
  <c r="S644" i="3" s="1"/>
  <c r="M524" i="3"/>
  <c r="N524" i="3" s="1"/>
  <c r="S524" i="3" s="1"/>
  <c r="Q530" i="3"/>
  <c r="R530" i="3" s="1"/>
  <c r="M544" i="3"/>
  <c r="N544" i="3" s="1"/>
  <c r="S544" i="3" s="1"/>
  <c r="Q590" i="3"/>
  <c r="R590" i="3" s="1"/>
  <c r="Q602" i="3"/>
  <c r="R602" i="3" s="1"/>
  <c r="M616" i="3"/>
  <c r="N616" i="3" s="1"/>
  <c r="S616" i="3" s="1"/>
  <c r="U616" i="3" s="1"/>
  <c r="M626" i="3"/>
  <c r="N626" i="3" s="1"/>
  <c r="S626" i="3" s="1"/>
  <c r="Q632" i="3"/>
  <c r="R632" i="3" s="1"/>
  <c r="M638" i="3"/>
  <c r="N638" i="3" s="1"/>
  <c r="S638" i="3" s="1"/>
  <c r="Q644" i="3"/>
  <c r="R644" i="3" s="1"/>
  <c r="U296" i="3"/>
  <c r="U302" i="3"/>
  <c r="U308" i="3"/>
  <c r="U314" i="3"/>
  <c r="M404" i="3"/>
  <c r="N404" i="3" s="1"/>
  <c r="S404" i="3" s="1"/>
  <c r="Q416" i="3"/>
  <c r="R416" i="3" s="1"/>
  <c r="U422" i="3"/>
  <c r="M386" i="3"/>
  <c r="N386" i="3" s="1"/>
  <c r="S386" i="3" s="1"/>
  <c r="U386" i="3" s="1"/>
  <c r="M428" i="3"/>
  <c r="N428" i="3" s="1"/>
  <c r="S428" i="3" s="1"/>
  <c r="M122" i="3"/>
  <c r="N122" i="3" s="1"/>
  <c r="S122" i="3" s="1"/>
  <c r="U122" i="3" s="1"/>
  <c r="Q188" i="3"/>
  <c r="R188" i="3" s="1"/>
  <c r="Q170" i="3"/>
  <c r="R170" i="3" s="1"/>
  <c r="Q128" i="3"/>
  <c r="R128" i="3" s="1"/>
  <c r="Q148" i="3"/>
  <c r="R148" i="3" s="1"/>
  <c r="U148" i="3" s="1"/>
  <c r="Q158" i="3"/>
  <c r="R158" i="3" s="1"/>
  <c r="Q212" i="3"/>
  <c r="R212" i="3" s="1"/>
  <c r="M104" i="3"/>
  <c r="N104" i="3" s="1"/>
  <c r="S104" i="3" s="1"/>
  <c r="U104" i="3" s="1"/>
  <c r="Q76" i="3"/>
  <c r="R76" i="3" s="1"/>
  <c r="Q44" i="3"/>
  <c r="R44" i="3" s="1"/>
  <c r="Q56" i="3"/>
  <c r="R56" i="3" s="1"/>
  <c r="M50" i="3"/>
  <c r="N50" i="3" s="1"/>
  <c r="S50" i="3" s="1"/>
  <c r="M62" i="3"/>
  <c r="N62" i="3" s="1"/>
  <c r="S62" i="3" s="1"/>
  <c r="U62" i="3" s="1"/>
  <c r="Q68" i="3"/>
  <c r="R68" i="3" s="1"/>
  <c r="O37" i="3"/>
  <c r="P37" i="3" s="1"/>
  <c r="K37" i="3"/>
  <c r="L37" i="3" s="1"/>
  <c r="O36" i="3"/>
  <c r="P36" i="3" s="1"/>
  <c r="K36" i="3"/>
  <c r="L36" i="3" s="1"/>
  <c r="O35" i="3"/>
  <c r="P35" i="3" s="1"/>
  <c r="K35" i="3"/>
  <c r="L35" i="3" s="1"/>
  <c r="O34" i="3"/>
  <c r="P34" i="3" s="1"/>
  <c r="K34" i="3"/>
  <c r="L34" i="3" s="1"/>
  <c r="O33" i="3"/>
  <c r="P33" i="3" s="1"/>
  <c r="K33" i="3"/>
  <c r="L33" i="3" s="1"/>
  <c r="O32" i="3"/>
  <c r="P32" i="3" s="1"/>
  <c r="K32" i="3"/>
  <c r="L32" i="3" s="1"/>
  <c r="O31" i="3"/>
  <c r="P31" i="3" s="1"/>
  <c r="K31" i="3"/>
  <c r="L31" i="3" s="1"/>
  <c r="O30" i="3"/>
  <c r="P30" i="3" s="1"/>
  <c r="K30" i="3"/>
  <c r="L30" i="3" s="1"/>
  <c r="O29" i="3"/>
  <c r="P29" i="3" s="1"/>
  <c r="K29" i="3"/>
  <c r="L29" i="3" s="1"/>
  <c r="O28" i="3"/>
  <c r="P28" i="3" s="1"/>
  <c r="K28" i="3"/>
  <c r="L28" i="3" s="1"/>
  <c r="O27" i="3"/>
  <c r="P27" i="3" s="1"/>
  <c r="K27" i="3"/>
  <c r="L27" i="3" s="1"/>
  <c r="O26" i="3"/>
  <c r="P26" i="3" s="1"/>
  <c r="K26" i="3"/>
  <c r="L26" i="3" s="1"/>
  <c r="O25" i="3"/>
  <c r="P25" i="3" s="1"/>
  <c r="K25" i="3"/>
  <c r="L25" i="3" s="1"/>
  <c r="O24" i="3"/>
  <c r="P24" i="3" s="1"/>
  <c r="K24" i="3"/>
  <c r="L24" i="3" s="1"/>
  <c r="O23" i="3"/>
  <c r="P23" i="3" s="1"/>
  <c r="K23" i="3"/>
  <c r="L23" i="3" s="1"/>
  <c r="O22" i="3"/>
  <c r="P22" i="3" s="1"/>
  <c r="K22" i="3"/>
  <c r="L22" i="3" s="1"/>
  <c r="O21" i="3"/>
  <c r="P21" i="3" s="1"/>
  <c r="K21" i="3"/>
  <c r="L21" i="3" s="1"/>
  <c r="O20" i="3"/>
  <c r="P20" i="3" s="1"/>
  <c r="K20" i="3"/>
  <c r="L20" i="3" s="1"/>
  <c r="O19" i="3"/>
  <c r="P19" i="3" s="1"/>
  <c r="K19" i="3"/>
  <c r="L19" i="3" s="1"/>
  <c r="O18" i="3"/>
  <c r="P18" i="3" s="1"/>
  <c r="K18" i="3"/>
  <c r="L18" i="3" s="1"/>
  <c r="O17" i="3"/>
  <c r="P17" i="3" s="1"/>
  <c r="K17" i="3"/>
  <c r="L17" i="3" s="1"/>
  <c r="O16" i="3"/>
  <c r="P16" i="3" s="1"/>
  <c r="K16" i="3"/>
  <c r="L16" i="3" s="1"/>
  <c r="O15" i="3"/>
  <c r="P15" i="3" s="1"/>
  <c r="K15" i="3"/>
  <c r="L15" i="3" s="1"/>
  <c r="O14" i="3"/>
  <c r="K14" i="3"/>
  <c r="L14" i="3" s="1"/>
  <c r="O13" i="3"/>
  <c r="P13" i="3" s="1"/>
  <c r="K13" i="3"/>
  <c r="L13" i="3" s="1"/>
  <c r="O12" i="3"/>
  <c r="P12" i="3" s="1"/>
  <c r="K12" i="3"/>
  <c r="L12" i="3" s="1"/>
  <c r="O11" i="3"/>
  <c r="P11" i="3" s="1"/>
  <c r="K11" i="3"/>
  <c r="L11" i="3" s="1"/>
  <c r="O10" i="3"/>
  <c r="P10" i="3" s="1"/>
  <c r="K10" i="3"/>
  <c r="L10" i="3" s="1"/>
  <c r="O9" i="3"/>
  <c r="P9" i="3" s="1"/>
  <c r="K9" i="3"/>
  <c r="L9" i="3" s="1"/>
  <c r="O8" i="3"/>
  <c r="P8" i="3" s="1"/>
  <c r="K8" i="3"/>
  <c r="L8" i="3" s="1"/>
  <c r="O7" i="3"/>
  <c r="P7" i="3" s="1"/>
  <c r="K7" i="3"/>
  <c r="L7" i="3" s="1"/>
  <c r="O6" i="3"/>
  <c r="P6" i="3" s="1"/>
  <c r="K6" i="3"/>
  <c r="L6" i="3" s="1"/>
  <c r="O5" i="3"/>
  <c r="P5" i="3" s="1"/>
  <c r="K5" i="3"/>
  <c r="L5" i="3" s="1"/>
  <c r="O4" i="3"/>
  <c r="P4" i="3" s="1"/>
  <c r="K4" i="3"/>
  <c r="L4" i="3" s="1"/>
  <c r="U584" i="3" l="1"/>
  <c r="U512" i="3"/>
  <c r="U428" i="3"/>
  <c r="U332" i="3"/>
  <c r="U230" i="3"/>
  <c r="U164" i="3"/>
  <c r="U40" i="3"/>
  <c r="U416" i="3"/>
  <c r="U284" i="3"/>
  <c r="U488" i="3"/>
  <c r="U236" i="3"/>
  <c r="U212" i="3"/>
  <c r="U194" i="3"/>
  <c r="U170" i="3"/>
  <c r="U152" i="3"/>
  <c r="U128" i="3"/>
  <c r="U76" i="3"/>
  <c r="U68" i="3"/>
  <c r="U652" i="3"/>
  <c r="U662" i="3"/>
  <c r="U620" i="3"/>
  <c r="U632" i="3"/>
  <c r="U626" i="3"/>
  <c r="U602" i="3"/>
  <c r="U548" i="3"/>
  <c r="U560" i="3"/>
  <c r="U518" i="3"/>
  <c r="U530" i="3"/>
  <c r="U476" i="3"/>
  <c r="U472" i="3"/>
  <c r="U446" i="3"/>
  <c r="U458" i="3"/>
  <c r="U464" i="3"/>
  <c r="U404" i="3"/>
  <c r="U374" i="3"/>
  <c r="U398" i="3" s="1"/>
  <c r="S398" i="3" s="1"/>
  <c r="U350" i="3"/>
  <c r="U224" i="3"/>
  <c r="U200" i="3"/>
  <c r="U176" i="3"/>
  <c r="U112" i="3"/>
  <c r="U80" i="3"/>
  <c r="U44" i="3"/>
  <c r="U716" i="8"/>
  <c r="U710" i="8"/>
  <c r="U668" i="8"/>
  <c r="U650" i="8"/>
  <c r="S650" i="8" s="1"/>
  <c r="U608" i="8"/>
  <c r="U602" i="8"/>
  <c r="U572" i="8"/>
  <c r="U554" i="8"/>
  <c r="U578" i="8" s="1"/>
  <c r="S578" i="8" s="1"/>
  <c r="U508" i="8"/>
  <c r="U542" i="8" s="1"/>
  <c r="S542" i="8" s="1"/>
  <c r="U518" i="8"/>
  <c r="U476" i="8"/>
  <c r="U482" i="8"/>
  <c r="U422" i="8"/>
  <c r="U266" i="8"/>
  <c r="U230" i="8"/>
  <c r="U206" i="8"/>
  <c r="U170" i="8"/>
  <c r="U128" i="8"/>
  <c r="U146" i="8" s="1"/>
  <c r="S146" i="8" s="1"/>
  <c r="U76" i="8"/>
  <c r="U86" i="8"/>
  <c r="U110" i="8" s="1"/>
  <c r="S110" i="8" s="1"/>
  <c r="U688" i="7"/>
  <c r="U662" i="7"/>
  <c r="U668" i="7"/>
  <c r="U680" i="7"/>
  <c r="U656" i="7"/>
  <c r="U632" i="7"/>
  <c r="U580" i="7"/>
  <c r="U602" i="7"/>
  <c r="U554" i="7"/>
  <c r="U536" i="7"/>
  <c r="U452" i="7"/>
  <c r="U344" i="7"/>
  <c r="U296" i="7"/>
  <c r="U236" i="7"/>
  <c r="U220" i="7"/>
  <c r="U254" i="7" s="1"/>
  <c r="S254" i="7" s="1"/>
  <c r="U200" i="7"/>
  <c r="U152" i="7"/>
  <c r="U170" i="7"/>
  <c r="U128" i="7"/>
  <c r="U14" i="7"/>
  <c r="U26" i="7"/>
  <c r="U650" i="7"/>
  <c r="S650" i="7" s="1"/>
  <c r="U572" i="7"/>
  <c r="U560" i="7"/>
  <c r="U512" i="7"/>
  <c r="U482" i="7"/>
  <c r="U410" i="7"/>
  <c r="U320" i="7"/>
  <c r="U194" i="7"/>
  <c r="U218" i="7" s="1"/>
  <c r="S218" i="7" s="1"/>
  <c r="U80" i="7"/>
  <c r="U104" i="7"/>
  <c r="U674" i="7"/>
  <c r="U584" i="7"/>
  <c r="U542" i="7"/>
  <c r="S542" i="7" s="1"/>
  <c r="U472" i="7"/>
  <c r="U500" i="7"/>
  <c r="U464" i="7"/>
  <c r="U328" i="7"/>
  <c r="U290" i="7"/>
  <c r="S290" i="7" s="1"/>
  <c r="U176" i="7"/>
  <c r="U182" i="7" s="1"/>
  <c r="S182" i="7" s="1"/>
  <c r="U140" i="7"/>
  <c r="U116" i="7"/>
  <c r="U98" i="7"/>
  <c r="U110" i="7" s="1"/>
  <c r="S110" i="7" s="1"/>
  <c r="U86" i="7"/>
  <c r="U50" i="7"/>
  <c r="U62" i="7"/>
  <c r="U38" i="7"/>
  <c r="S38" i="7" s="1"/>
  <c r="U668" i="6"/>
  <c r="U650" i="6"/>
  <c r="S650" i="6" s="1"/>
  <c r="U620" i="6"/>
  <c r="U614" i="6"/>
  <c r="S614" i="6" s="1"/>
  <c r="U508" i="6"/>
  <c r="U494" i="6"/>
  <c r="U506" i="6" s="1"/>
  <c r="S506" i="6" s="1"/>
  <c r="U404" i="6"/>
  <c r="U434" i="6"/>
  <c r="S434" i="6" s="1"/>
  <c r="U368" i="6"/>
  <c r="U398" i="6" s="1"/>
  <c r="S398" i="6" s="1"/>
  <c r="U338" i="6"/>
  <c r="U292" i="6"/>
  <c r="U308" i="6"/>
  <c r="U260" i="6"/>
  <c r="U290" i="6"/>
  <c r="S290" i="6" s="1"/>
  <c r="U242" i="6"/>
  <c r="U248" i="6"/>
  <c r="U254" i="6"/>
  <c r="S254" i="6" s="1"/>
  <c r="U206" i="6"/>
  <c r="U218" i="6" s="1"/>
  <c r="S218" i="6" s="1"/>
  <c r="U182" i="6"/>
  <c r="S182" i="6" s="1"/>
  <c r="U146" i="6"/>
  <c r="S146" i="6" s="1"/>
  <c r="U76" i="6"/>
  <c r="U110" i="6"/>
  <c r="S110" i="6" s="1"/>
  <c r="U716" i="5"/>
  <c r="U722" i="5" s="1"/>
  <c r="S722" i="5" s="1"/>
  <c r="U616" i="5"/>
  <c r="U590" i="5"/>
  <c r="U614" i="5" s="1"/>
  <c r="S614" i="5" s="1"/>
  <c r="U578" i="5"/>
  <c r="S578" i="5" s="1"/>
  <c r="U560" i="5"/>
  <c r="U482" i="5"/>
  <c r="U488" i="5"/>
  <c r="U452" i="5"/>
  <c r="U470" i="5"/>
  <c r="S470" i="5" s="1"/>
  <c r="U404" i="5"/>
  <c r="U434" i="5" s="1"/>
  <c r="S434" i="5" s="1"/>
  <c r="U410" i="5"/>
  <c r="U368" i="5"/>
  <c r="U344" i="5"/>
  <c r="U320" i="5"/>
  <c r="U314" i="5"/>
  <c r="U272" i="5"/>
  <c r="U254" i="5"/>
  <c r="S254" i="5" s="1"/>
  <c r="U122" i="5"/>
  <c r="U146" i="5"/>
  <c r="S146" i="5" s="1"/>
  <c r="U44" i="5"/>
  <c r="U74" i="5"/>
  <c r="S74" i="5" s="1"/>
  <c r="U8" i="5"/>
  <c r="U38" i="5" s="1"/>
  <c r="S38" i="5" s="1"/>
  <c r="U400" i="3"/>
  <c r="U704" i="3"/>
  <c r="U692" i="3"/>
  <c r="U688" i="3"/>
  <c r="U680" i="3"/>
  <c r="U656" i="3"/>
  <c r="U638" i="3"/>
  <c r="U580" i="3"/>
  <c r="U572" i="3"/>
  <c r="U524" i="3"/>
  <c r="U536" i="3"/>
  <c r="U508" i="3"/>
  <c r="U500" i="3"/>
  <c r="U356" i="3"/>
  <c r="U362" i="3" s="1"/>
  <c r="S362" i="3" s="1"/>
  <c r="U188" i="3"/>
  <c r="U158" i="3"/>
  <c r="U116" i="3"/>
  <c r="U50" i="3"/>
  <c r="U506" i="8"/>
  <c r="S506" i="8" s="1"/>
  <c r="U356" i="8"/>
  <c r="U248" i="8"/>
  <c r="U212" i="8"/>
  <c r="U158" i="8"/>
  <c r="U74" i="8"/>
  <c r="S74" i="8" s="1"/>
  <c r="U698" i="8"/>
  <c r="U686" i="8"/>
  <c r="S686" i="8" s="1"/>
  <c r="U590" i="8"/>
  <c r="U614" i="8" s="1"/>
  <c r="S614" i="8" s="1"/>
  <c r="U440" i="8"/>
  <c r="U470" i="8" s="1"/>
  <c r="S470" i="8" s="1"/>
  <c r="U224" i="8"/>
  <c r="U188" i="8"/>
  <c r="U218" i="8" s="1"/>
  <c r="S218" i="8" s="1"/>
  <c r="U242" i="8"/>
  <c r="U148" i="8"/>
  <c r="U182" i="8" s="1"/>
  <c r="S182" i="8" s="1"/>
  <c r="U332" i="8"/>
  <c r="U362" i="8" s="1"/>
  <c r="S362" i="8" s="1"/>
  <c r="U410" i="8"/>
  <c r="U434" i="8" s="1"/>
  <c r="S434" i="8" s="1"/>
  <c r="U38" i="8"/>
  <c r="S38" i="8" s="1"/>
  <c r="U386" i="8"/>
  <c r="U398" i="8" s="1"/>
  <c r="S398" i="8" s="1"/>
  <c r="U326" i="8"/>
  <c r="S326" i="8" s="1"/>
  <c r="U256" i="8"/>
  <c r="U220" i="8"/>
  <c r="U380" i="7"/>
  <c r="U368" i="7"/>
  <c r="U416" i="7"/>
  <c r="U722" i="7"/>
  <c r="S722" i="7" s="1"/>
  <c r="U440" i="7"/>
  <c r="U404" i="7"/>
  <c r="U338" i="7"/>
  <c r="U722" i="6"/>
  <c r="S722" i="6" s="1"/>
  <c r="U686" i="6"/>
  <c r="S686" i="6" s="1"/>
  <c r="U74" i="6"/>
  <c r="S74" i="6" s="1"/>
  <c r="U296" i="6"/>
  <c r="U470" i="6"/>
  <c r="S470" i="6" s="1"/>
  <c r="U542" i="6"/>
  <c r="S542" i="6" s="1"/>
  <c r="U38" i="6"/>
  <c r="S38" i="6" s="1"/>
  <c r="U560" i="6"/>
  <c r="U578" i="6" s="1"/>
  <c r="S578" i="6" s="1"/>
  <c r="U362" i="6"/>
  <c r="S362" i="6" s="1"/>
  <c r="U650" i="5"/>
  <c r="S650" i="5" s="1"/>
  <c r="U110" i="5"/>
  <c r="S110" i="5" s="1"/>
  <c r="U500" i="5"/>
  <c r="U292" i="5"/>
  <c r="U328" i="5"/>
  <c r="U188" i="5"/>
  <c r="U398" i="5"/>
  <c r="S398" i="5" s="1"/>
  <c r="U206" i="5"/>
  <c r="U170" i="5"/>
  <c r="U182" i="5" s="1"/>
  <c r="S182" i="5" s="1"/>
  <c r="U356" i="5"/>
  <c r="U512" i="5"/>
  <c r="U542" i="5" s="1"/>
  <c r="S542" i="5" s="1"/>
  <c r="U290" i="5"/>
  <c r="S290" i="5" s="1"/>
  <c r="U56" i="3"/>
  <c r="U290" i="3"/>
  <c r="S290" i="3" s="1"/>
  <c r="U698" i="3"/>
  <c r="U674" i="3"/>
  <c r="U566" i="3"/>
  <c r="U140" i="3"/>
  <c r="U710" i="3"/>
  <c r="U668" i="3"/>
  <c r="U590" i="3"/>
  <c r="U608" i="3"/>
  <c r="U644" i="3"/>
  <c r="U544" i="3"/>
  <c r="U326" i="3"/>
  <c r="S326" i="3" s="1"/>
  <c r="P14" i="3"/>
  <c r="Q14" i="3" s="1"/>
  <c r="R14" i="3" s="1"/>
  <c r="Q8" i="3"/>
  <c r="R8" i="3" s="1"/>
  <c r="Q20" i="3"/>
  <c r="R20" i="3" s="1"/>
  <c r="Q32" i="3"/>
  <c r="R32" i="3" s="1"/>
  <c r="M8" i="3"/>
  <c r="N8" i="3" s="1"/>
  <c r="S8" i="3" s="1"/>
  <c r="M14" i="3"/>
  <c r="N14" i="3" s="1"/>
  <c r="S14" i="3" s="1"/>
  <c r="M4" i="3"/>
  <c r="N4" i="3" s="1"/>
  <c r="S4" i="3" s="1"/>
  <c r="M20" i="3"/>
  <c r="N20" i="3" s="1"/>
  <c r="S20" i="3" s="1"/>
  <c r="M26" i="3"/>
  <c r="N26" i="3" s="1"/>
  <c r="S26" i="3" s="1"/>
  <c r="M32" i="3"/>
  <c r="N32" i="3" s="1"/>
  <c r="S32" i="3" s="1"/>
  <c r="Q26" i="3"/>
  <c r="R26" i="3" s="1"/>
  <c r="Q4" i="3"/>
  <c r="R4" i="3" s="1"/>
  <c r="U254" i="3" l="1"/>
  <c r="S254" i="3" s="1"/>
  <c r="U218" i="3"/>
  <c r="S218" i="3" s="1"/>
  <c r="U182" i="3"/>
  <c r="S182" i="3" s="1"/>
  <c r="U110" i="3"/>
  <c r="S110" i="3" s="1"/>
  <c r="U542" i="3"/>
  <c r="S542" i="3" s="1"/>
  <c r="U434" i="3"/>
  <c r="S434" i="3" s="1"/>
  <c r="U470" i="3"/>
  <c r="S470" i="3" s="1"/>
  <c r="U686" i="3"/>
  <c r="S686" i="3" s="1"/>
  <c r="U506" i="3"/>
  <c r="S506" i="3" s="1"/>
  <c r="U146" i="3"/>
  <c r="S146" i="3" s="1"/>
  <c r="U74" i="3"/>
  <c r="S74" i="3" s="1"/>
  <c r="U722" i="8"/>
  <c r="S722" i="8" s="1"/>
  <c r="U290" i="8"/>
  <c r="S290" i="8" s="1"/>
  <c r="U686" i="7"/>
  <c r="S686" i="7" s="1"/>
  <c r="U614" i="7"/>
  <c r="S614" i="7" s="1"/>
  <c r="U578" i="7"/>
  <c r="S578" i="7" s="1"/>
  <c r="U506" i="7"/>
  <c r="S506" i="7" s="1"/>
  <c r="U470" i="7"/>
  <c r="S470" i="7" s="1"/>
  <c r="U434" i="7"/>
  <c r="S434" i="7" s="1"/>
  <c r="U398" i="7"/>
  <c r="S398" i="7" s="1"/>
  <c r="U326" i="7"/>
  <c r="S326" i="7" s="1"/>
  <c r="U362" i="7"/>
  <c r="S362" i="7" s="1"/>
  <c r="U146" i="7"/>
  <c r="S146" i="7" s="1"/>
  <c r="U74" i="7"/>
  <c r="S74" i="7" s="1"/>
  <c r="U326" i="6"/>
  <c r="S326" i="6" s="1"/>
  <c r="U506" i="5"/>
  <c r="S506" i="5" s="1"/>
  <c r="U362" i="5"/>
  <c r="S362" i="5" s="1"/>
  <c r="U326" i="5"/>
  <c r="S326" i="5" s="1"/>
  <c r="U722" i="3"/>
  <c r="S722" i="3" s="1"/>
  <c r="U650" i="3"/>
  <c r="S650" i="3" s="1"/>
  <c r="U614" i="3"/>
  <c r="S614" i="3" s="1"/>
  <c r="U254" i="8"/>
  <c r="S254" i="8" s="1"/>
  <c r="U218" i="5"/>
  <c r="S218" i="5" s="1"/>
  <c r="U578" i="3"/>
  <c r="S578" i="3" s="1"/>
  <c r="U26" i="3"/>
  <c r="U14" i="3"/>
  <c r="U4" i="3"/>
  <c r="U32" i="3"/>
  <c r="U8" i="3"/>
  <c r="U20" i="3"/>
  <c r="U38" i="3" l="1"/>
  <c r="S38" i="3" s="1"/>
  <c r="B8" i="4" l="1"/>
</calcChain>
</file>

<file path=xl/sharedStrings.xml><?xml version="1.0" encoding="utf-8"?>
<sst xmlns="http://schemas.openxmlformats.org/spreadsheetml/2006/main" count="315" uniqueCount="132">
  <si>
    <t>Fi, Гц</t>
  </si>
  <si>
    <t>DeltaFp, Гц</t>
  </si>
  <si>
    <t>d, м</t>
  </si>
  <si>
    <t>DF</t>
  </si>
  <si>
    <t>M</t>
  </si>
  <si>
    <t>L, дБ</t>
  </si>
  <si>
    <t>fj, Гц</t>
  </si>
  <si>
    <t>Rij, дБ</t>
  </si>
  <si>
    <t>Uij' дБмкВ</t>
  </si>
  <si>
    <t>Sj', дБмкВ</t>
  </si>
  <si>
    <t>Промеж. Расчет K</t>
  </si>
  <si>
    <t>Сумма для K</t>
  </si>
  <si>
    <t>Ki, дБ</t>
  </si>
  <si>
    <t>Sj, дБ</t>
  </si>
  <si>
    <t>Промеж. Расчет S</t>
  </si>
  <si>
    <t>Сумм для S</t>
  </si>
  <si>
    <t>Si, дБ</t>
  </si>
  <si>
    <t>Ui, дБ</t>
  </si>
  <si>
    <t>Bi</t>
  </si>
  <si>
    <t>Для расч. 
Дельты</t>
  </si>
  <si>
    <t>Величина отношения сигнал/помеха</t>
  </si>
  <si>
    <t>Rизм</t>
  </si>
  <si>
    <t>Rтс</t>
  </si>
  <si>
    <t>H</t>
  </si>
  <si>
    <t>Параметр</t>
  </si>
  <si>
    <t>Значение</t>
  </si>
  <si>
    <t>Примечание</t>
  </si>
  <si>
    <t>R, Mom</t>
  </si>
  <si>
    <t>delta</t>
  </si>
  <si>
    <t>rmax</t>
  </si>
  <si>
    <t>Kzt</t>
  </si>
  <si>
    <t>Uij, дБ</t>
  </si>
  <si>
    <t>СП № 3648, LAN, зел. пара, режим ВКЛ</t>
  </si>
  <si>
    <t>СП № 3649, LAN, зел. пара, режим ВКЛ</t>
  </si>
  <si>
    <t>СП № 3651, LAN, зел. пара, режим ВКЛ</t>
  </si>
  <si>
    <t>СП № 3652, LAN, зел. пара, режим ВКЛ</t>
  </si>
  <si>
    <t>СП № 3653, LAN, зел. пара, режим ВКЛ</t>
  </si>
  <si>
    <t>СП № 3654, LAN, зел. пара, режим ВКЛ</t>
  </si>
  <si>
    <t>СП № 3655, LAN, зел. пара, режим ВКЛ</t>
  </si>
  <si>
    <t>СП № 3656, LAN, зел. пара, режим ВКЛ</t>
  </si>
  <si>
    <t>СП № 3657, LAN, зел. пара, режим ВКЛ</t>
  </si>
  <si>
    <t>СП № 3658, LAN, зел. пара, режим ВКЛ</t>
  </si>
  <si>
    <t>СП № 3659, LAN, зел. пара, режим ВКЛ</t>
  </si>
  <si>
    <t>СП № 3660, LAN, зел. пара, режим ВКЛ</t>
  </si>
  <si>
    <t>СП № 3661, LAN, зел. пара, режим ВКЛ</t>
  </si>
  <si>
    <t>СП № 3662, LAN, зел. пара, режим ВКЛ</t>
  </si>
  <si>
    <t>СП № 3663, LAN, зел. пара, режим ВКЛ</t>
  </si>
  <si>
    <t>СП № 3664, LAN, зел. пара, режим ВКЛ</t>
  </si>
  <si>
    <t>СП № 3665, LAN, зел. пара, режим ВКЛ</t>
  </si>
  <si>
    <t>СП № 3666, LAN, зел. пара, режим ВКЛ</t>
  </si>
  <si>
    <t>СП № 3667, LAN, зел. пара, режим ВКЛ</t>
  </si>
  <si>
    <t>СП № 3668, LAN, зел. пара, режим ВКЛ</t>
  </si>
  <si>
    <t>СП № 3648, LAN, кор. пара, режим ВКЛ</t>
  </si>
  <si>
    <t>СП № 3649, LAN, кор. пара, режим ВКЛ</t>
  </si>
  <si>
    <t>СП № 3651, LAN, кор. пара, режим ВКЛ</t>
  </si>
  <si>
    <t>СП № 3652, LAN, кор. пара, режим ВКЛ</t>
  </si>
  <si>
    <t>СП № 3653, LAN, кор. пара, режим ВКЛ</t>
  </si>
  <si>
    <t>СП № 3654, LAN, кор. пара, режим ВКЛ</t>
  </si>
  <si>
    <t>СП № 3655, LAN, кор. пара, режим ВКЛ</t>
  </si>
  <si>
    <t>СП № 3656, LAN, кор. пара, режим ВКЛ</t>
  </si>
  <si>
    <t>СП № 3657, LAN, кор. пара, режим ВКЛ</t>
  </si>
  <si>
    <t>СП № 3658, LAN, кор. пара, режим ВКЛ</t>
  </si>
  <si>
    <t>СП № 3659, LAN, кор. пара, режим ВКЛ</t>
  </si>
  <si>
    <t>СП № 3660, LAN, кор. пара, режим ВКЛ</t>
  </si>
  <si>
    <t>СП № 3661, LAN, кор. пара, режим ВКЛ</t>
  </si>
  <si>
    <t>СП № 3662, LAN, кор. пара, режим ВКЛ</t>
  </si>
  <si>
    <t>СП № 3663, LAN, кор. пара, режим ВКЛ</t>
  </si>
  <si>
    <t>СП № 3664, LAN, кор. пара, режим ВКЛ</t>
  </si>
  <si>
    <t>СП № 3665, LAN, кор. пара, режим ВКЛ</t>
  </si>
  <si>
    <t>СП № 3666, LAN, кор. пара, режим ВКЛ</t>
  </si>
  <si>
    <t>СП № 3667, LAN, кор. пара, режим ВКЛ</t>
  </si>
  <si>
    <t>СП № 3668, LAN, кор. пара, режим ВКЛ</t>
  </si>
  <si>
    <t>СП № 3648, LAN, оранж. пара, режим ВКЛ</t>
  </si>
  <si>
    <t>СП № 3649, LAN, оранж. пара, режим ВКЛ</t>
  </si>
  <si>
    <t>СП № 3651, LAN, оранж. пара, режим ВКЛ</t>
  </si>
  <si>
    <t>СП № 3652, LAN, оранж. пара, режим ВКЛ</t>
  </si>
  <si>
    <t>СП № 3653, LAN, оранж. пара, режим ВКЛ</t>
  </si>
  <si>
    <t>СП № 3654, LAN, оранж. пара, режим ВКЛ</t>
  </si>
  <si>
    <t>СП № 3655, LAN, оранж. пара, режим ВКЛ</t>
  </si>
  <si>
    <t>СП № 3656, LAN, оранж. пара, режим ВКЛ</t>
  </si>
  <si>
    <t>СП № 3657, LAN, оранж. пара, режим ВКЛ</t>
  </si>
  <si>
    <t>СП № 3658, LAN, оранж. пара, режим ВКЛ</t>
  </si>
  <si>
    <t>СП № 3659, LAN, оранж. пара, режим ВКЛ</t>
  </si>
  <si>
    <t>СП № 3660, LAN, оранж. пара, режим ВКЛ</t>
  </si>
  <si>
    <t>СП № 3661, LAN, оранж. пара, режим ВКЛ</t>
  </si>
  <si>
    <t>СП № 3662, LAN, оранж. пара, режим ВКЛ</t>
  </si>
  <si>
    <t>СП № 3663, LAN, оранж. пара, режим ВКЛ</t>
  </si>
  <si>
    <t>СП № 3664, LAN, оранж. пара, режим ВКЛ</t>
  </si>
  <si>
    <t>СП № 3665, LAN, оранж. пара, режим ВКЛ</t>
  </si>
  <si>
    <t>СП № 3666, LAN, оранж. пара, режим ВКЛ</t>
  </si>
  <si>
    <t>СП № 3667, LAN, оранж. пара, режим ВКЛ</t>
  </si>
  <si>
    <t>СП № 3668, LAN, оранж. пара, режим ВКЛ</t>
  </si>
  <si>
    <t>СП № 3648, LAN, син. пара, режим ВКЛ</t>
  </si>
  <si>
    <t>СП № 3649, LAN, син. пара, режим ВКЛ</t>
  </si>
  <si>
    <t>СП № 3651, LAN, син. пара, режим ВКЛ</t>
  </si>
  <si>
    <t>СП № 3652, LAN, син. пара, режим ВКЛ</t>
  </si>
  <si>
    <t>СП № 3653, LAN, син. пара, режим ВКЛ</t>
  </si>
  <si>
    <t>СП № 3654, LAN, син. пара, режим ВКЛ</t>
  </si>
  <si>
    <t>СП № 3655, LAN, син. пара, режим ВКЛ</t>
  </si>
  <si>
    <t>СП № 3656, LAN, син. пара, режим ВКЛ</t>
  </si>
  <si>
    <t>СП № 3657, LAN, син. пара, режим ВКЛ</t>
  </si>
  <si>
    <t>СП № 3658, LAN, син. пара, режим ВКЛ</t>
  </si>
  <si>
    <t>СП № 3659, LAN, син. пара, режим ВКЛ</t>
  </si>
  <si>
    <t>СП № 3660, LAN, син. пара, режим ВКЛ</t>
  </si>
  <si>
    <t>СП № 3661, LAN, син. пара, режим ВКЛ</t>
  </si>
  <si>
    <t>СП № 3662, LAN, син. пара, режим ВКЛ</t>
  </si>
  <si>
    <t>СП № 3663, LAN, син. пара, режим ВКЛ</t>
  </si>
  <si>
    <t>СП № 3664, LAN, син. пара, режим ВКЛ</t>
  </si>
  <si>
    <t>СП № 3665, LAN, син. пара, режим ВКЛ</t>
  </si>
  <si>
    <t>СП № 3666, LAN, син. пара, режим ВКЛ</t>
  </si>
  <si>
    <t>СП № 3667, LAN, син. пара, режим ВКЛ</t>
  </si>
  <si>
    <t>СП № 3668, LAN, син. пара, режим ВКЛ</t>
  </si>
  <si>
    <t>СП № 3648, Питание, режим ВКЛ</t>
  </si>
  <si>
    <t>СП № 3649, Питание, режим ВКЛ</t>
  </si>
  <si>
    <t>СП № 3651, Питание, режим ВКЛ</t>
  </si>
  <si>
    <t>СП № 3652, Питание, режим ВКЛ</t>
  </si>
  <si>
    <t>СП № 3653, Питание, режим ВКЛ</t>
  </si>
  <si>
    <t>СП № 3654, Питание, режим ВКЛ</t>
  </si>
  <si>
    <t>СП № 3655, Питание, режим ВКЛ</t>
  </si>
  <si>
    <t>СП № 3656, Питание, режим ВКЛ</t>
  </si>
  <si>
    <t>СП № 3657, Питание, режим ВКЛ</t>
  </si>
  <si>
    <t>СП № 3658, Питание, режим ВКЛ</t>
  </si>
  <si>
    <t>СП № 3659, Питание, режим ВКЛ</t>
  </si>
  <si>
    <t>СП № 3660, Питание, режим ВКЛ</t>
  </si>
  <si>
    <t>СП № 3661, Питание, режим ВКЛ</t>
  </si>
  <si>
    <t>СП № 3662, Питание, режим ВКЛ</t>
  </si>
  <si>
    <t>СП № 3663, Питание, режим ВКЛ</t>
  </si>
  <si>
    <t>СП № 3664, Питание, режим ВКЛ</t>
  </si>
  <si>
    <t>СП № 3665, Питание, режим ВКЛ</t>
  </si>
  <si>
    <t>СП № 3666, Питание, режим ВКЛ</t>
  </si>
  <si>
    <t>СП № 3667, Питание, режим ВКЛ</t>
  </si>
  <si>
    <t>СП № 3668, Питание, режим ВКЛ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</si>
</sst>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1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" fontId="1" fillId="0" borderId="1" xfId="0" applyNumberFormat="1" applyFont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1" fontId="0" fillId="0" borderId="1" xfId="0" applyNumberFormat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1" fontId="0" fillId="0" borderId="0" xfId="0" applyNumberFormat="1" applyFont="1" applyAlignment="1">
      <alignment vertical="center"/>
    </xf>
    <xf numFmtId="0" fontId="0" fillId="0" borderId="0" xfId="0" applyFont="1"/>
    <xf numFmtId="165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1" fontId="0" fillId="0" borderId="4" xfId="0" applyNumberFormat="1" applyBorder="1" applyAlignment="1">
      <alignment horizontal="center" vertical="center"/>
    </xf>
    <xf numFmtId="11" fontId="0" fillId="0" borderId="5" xfId="0" applyNumberFormat="1" applyBorder="1" applyAlignment="1">
      <alignment horizontal="center" vertical="center"/>
    </xf>
    <xf numFmtId="11" fontId="0" fillId="0" borderId="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U722"/>
  <sheetViews>
    <sheetView tabSelected="1" zoomScaleNormal="100" workbookViewId="0">
      <pane ySplit="1" topLeftCell="A2" activePane="bottomLeft" state="frozen"/>
      <selection pane="bottomLeft" activeCell="I10" sqref="I10"/>
    </sheetView>
  </sheetViews>
  <sheetFormatPr defaultRowHeight="15" x14ac:dyDescent="0.25"/>
  <cols>
    <col min="1" max="1" width="9.140625" style="16"/>
    <col min="2" max="5" width="9.140625" style="16" customWidth="1"/>
    <col min="6" max="8" width="9.140625" style="16"/>
    <col min="9" max="10" width="9.140625" style="16" customWidth="1"/>
    <col min="11" max="11" width="9.140625" style="16"/>
    <col min="12" max="13" width="9.140625" style="16" customWidth="1"/>
    <col min="14" max="15" width="9.140625" style="16"/>
    <col min="16" max="17" width="9.140625" style="16" customWidth="1"/>
    <col min="18" max="19" width="9.140625" style="16"/>
    <col min="20" max="21" width="9.140625" style="16" customWidth="1"/>
  </cols>
  <sheetData>
    <row r="1" spans="1:21" ht="45" x14ac:dyDescent="0.25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3" t="s">
        <v>5</v>
      </c>
      <c r="G1" s="13" t="s">
        <v>6</v>
      </c>
      <c r="H1" s="13" t="s">
        <v>7</v>
      </c>
      <c r="I1" s="15" t="s">
        <v>8</v>
      </c>
      <c r="J1" s="15" t="s">
        <v>9</v>
      </c>
      <c r="K1" s="13" t="s">
        <v>31</v>
      </c>
      <c r="L1" s="14" t="s">
        <v>10</v>
      </c>
      <c r="M1" s="14" t="s">
        <v>11</v>
      </c>
      <c r="N1" s="13" t="s">
        <v>12</v>
      </c>
      <c r="O1" s="13" t="s">
        <v>13</v>
      </c>
      <c r="P1" s="14" t="s">
        <v>14</v>
      </c>
      <c r="Q1" s="14" t="s">
        <v>15</v>
      </c>
      <c r="R1" s="13" t="s">
        <v>16</v>
      </c>
      <c r="S1" s="13" t="s">
        <v>17</v>
      </c>
      <c r="T1" s="14" t="s">
        <v>18</v>
      </c>
      <c r="U1" s="14" t="s">
        <v>19</v>
      </c>
    </row>
    <row r="2" spans="1:21" x14ac:dyDescent="0.25">
      <c r="A2" s="3">
        <v>1</v>
      </c>
      <c r="B2" s="4"/>
      <c r="C2" s="4"/>
      <c r="D2" s="4"/>
      <c r="E2" s="4"/>
      <c r="F2" s="3">
        <v>2</v>
      </c>
      <c r="G2" s="3">
        <v>3</v>
      </c>
      <c r="H2" s="3">
        <v>4</v>
      </c>
      <c r="I2" s="5"/>
      <c r="J2" s="6"/>
      <c r="K2" s="3">
        <v>5</v>
      </c>
      <c r="L2" s="4"/>
      <c r="M2" s="5"/>
      <c r="N2" s="3">
        <v>6</v>
      </c>
      <c r="O2" s="3">
        <v>7</v>
      </c>
      <c r="P2" s="4"/>
      <c r="Q2" s="5"/>
      <c r="R2" s="7">
        <v>8</v>
      </c>
      <c r="S2" s="7">
        <v>9</v>
      </c>
      <c r="T2" s="4"/>
      <c r="U2" s="4"/>
    </row>
    <row r="3" spans="1:21" x14ac:dyDescent="0.25">
      <c r="A3" s="27" t="s">
        <v>32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9"/>
    </row>
    <row r="4" spans="1:21" x14ac:dyDescent="0.25">
      <c r="A4" s="24">
        <v>250</v>
      </c>
      <c r="B4" s="24">
        <v>3</v>
      </c>
      <c r="C4" s="17">
        <v>0.5</v>
      </c>
      <c r="D4" s="24">
        <v>38</v>
      </c>
      <c r="E4" s="24">
        <v>4</v>
      </c>
      <c r="F4" s="25">
        <v>84</v>
      </c>
      <c r="G4" s="1">
        <v>175</v>
      </c>
      <c r="H4" s="2">
        <v>84.8</v>
      </c>
      <c r="I4" s="2">
        <v>-8.2999999999999989</v>
      </c>
      <c r="J4" s="2">
        <v>-8.6</v>
      </c>
      <c r="K4" s="2">
        <f>I4</f>
        <v>-8.2999999999999989</v>
      </c>
      <c r="L4" s="8">
        <f>10^((K4-H4)/10)</f>
        <v>4.8977881936844621E-10</v>
      </c>
      <c r="M4" s="26">
        <f>SUM(L4:L7)</f>
        <v>8.001383981730221E-10</v>
      </c>
      <c r="N4" s="17">
        <f>10*LOG10(M4/E4)</f>
        <v>-96.988948788805359</v>
      </c>
      <c r="O4" s="9">
        <f>J4</f>
        <v>-8.6</v>
      </c>
      <c r="P4" s="8">
        <f>D4/B4*10^(O4/10)</f>
        <v>1.7484867351636535</v>
      </c>
      <c r="Q4" s="26">
        <f>SUM(P4:P7)</f>
        <v>6.3424348265516777</v>
      </c>
      <c r="R4" s="17">
        <f>10*LOG10(Q4)</f>
        <v>8.0225601320328384</v>
      </c>
      <c r="S4" s="18">
        <f>F4+N4-Kzt-H</f>
        <v>-12.988948788805359</v>
      </c>
      <c r="T4" s="17">
        <v>0.2</v>
      </c>
      <c r="U4" s="21">
        <f>T4*10^((S4-R4)/10)</f>
        <v>1.5844520603401813E-3</v>
      </c>
    </row>
    <row r="5" spans="1:21" x14ac:dyDescent="0.25">
      <c r="A5" s="24"/>
      <c r="B5" s="24"/>
      <c r="C5" s="17"/>
      <c r="D5" s="24"/>
      <c r="E5" s="24"/>
      <c r="F5" s="25"/>
      <c r="G5" s="1">
        <v>225</v>
      </c>
      <c r="H5" s="2">
        <v>90</v>
      </c>
      <c r="I5" s="2">
        <v>-8.6</v>
      </c>
      <c r="J5" s="2">
        <v>-9.6999999999999993</v>
      </c>
      <c r="K5" s="2">
        <f t="shared" ref="K5:K37" si="0">I5</f>
        <v>-8.6</v>
      </c>
      <c r="L5" s="8">
        <f t="shared" ref="L5:L37" si="1">10^((K5-H5)/10)</f>
        <v>1.3803842646028825E-10</v>
      </c>
      <c r="M5" s="26"/>
      <c r="N5" s="17"/>
      <c r="O5" s="9">
        <f t="shared" ref="O5:O37" si="2">J5</f>
        <v>-9.6999999999999993</v>
      </c>
      <c r="P5" s="8">
        <f>D4/B4*10^(O5/10)</f>
        <v>1.3572577866343014</v>
      </c>
      <c r="Q5" s="26"/>
      <c r="R5" s="17"/>
      <c r="S5" s="19"/>
      <c r="T5" s="17"/>
      <c r="U5" s="22"/>
    </row>
    <row r="6" spans="1:21" x14ac:dyDescent="0.25">
      <c r="A6" s="24"/>
      <c r="B6" s="24"/>
      <c r="C6" s="17"/>
      <c r="D6" s="24"/>
      <c r="E6" s="24"/>
      <c r="F6" s="25"/>
      <c r="G6" s="1">
        <v>275</v>
      </c>
      <c r="H6" s="2">
        <v>92.2</v>
      </c>
      <c r="I6" s="2">
        <v>-7.6</v>
      </c>
      <c r="J6" s="2">
        <v>-8.6</v>
      </c>
      <c r="K6" s="2">
        <f t="shared" si="0"/>
        <v>-7.6</v>
      </c>
      <c r="L6" s="8">
        <f t="shared" si="1"/>
        <v>1.0471285480508951E-10</v>
      </c>
      <c r="M6" s="26"/>
      <c r="N6" s="17"/>
      <c r="O6" s="9">
        <f t="shared" si="2"/>
        <v>-8.6</v>
      </c>
      <c r="P6" s="8">
        <f>D4/B4*10^(O6/10)</f>
        <v>1.7484867351636535</v>
      </c>
      <c r="Q6" s="26"/>
      <c r="R6" s="17"/>
      <c r="S6" s="19"/>
      <c r="T6" s="17"/>
      <c r="U6" s="22"/>
    </row>
    <row r="7" spans="1:21" x14ac:dyDescent="0.25">
      <c r="A7" s="24"/>
      <c r="B7" s="24"/>
      <c r="C7" s="17"/>
      <c r="D7" s="24"/>
      <c r="E7" s="24"/>
      <c r="F7" s="25"/>
      <c r="G7" s="1">
        <v>325</v>
      </c>
      <c r="H7" s="2">
        <v>93.3</v>
      </c>
      <c r="I7" s="2">
        <v>-8.4</v>
      </c>
      <c r="J7" s="2">
        <v>-9.3000000000000007</v>
      </c>
      <c r="K7" s="2">
        <f t="shared" si="0"/>
        <v>-8.4</v>
      </c>
      <c r="L7" s="8">
        <f>10^((K7-H7)/10)</f>
        <v>6.7608297539198024E-11</v>
      </c>
      <c r="M7" s="26"/>
      <c r="N7" s="17"/>
      <c r="O7" s="9">
        <f t="shared" si="2"/>
        <v>-9.3000000000000007</v>
      </c>
      <c r="P7" s="8">
        <f>D4/B4*10^(O7/10)</f>
        <v>1.4882035695900702</v>
      </c>
      <c r="Q7" s="26"/>
      <c r="R7" s="17"/>
      <c r="S7" s="20"/>
      <c r="T7" s="17"/>
      <c r="U7" s="23"/>
    </row>
    <row r="8" spans="1:21" x14ac:dyDescent="0.25">
      <c r="A8" s="24">
        <v>500</v>
      </c>
      <c r="B8" s="24">
        <v>3</v>
      </c>
      <c r="C8" s="17">
        <v>0.5</v>
      </c>
      <c r="D8" s="24">
        <v>59</v>
      </c>
      <c r="E8" s="24">
        <v>6</v>
      </c>
      <c r="F8" s="25">
        <v>84</v>
      </c>
      <c r="G8" s="1">
        <v>375</v>
      </c>
      <c r="H8" s="2">
        <v>91.9</v>
      </c>
      <c r="I8" s="2">
        <v>-7.7</v>
      </c>
      <c r="J8" s="2">
        <v>-8.9</v>
      </c>
      <c r="K8" s="2">
        <f t="shared" si="0"/>
        <v>-7.7</v>
      </c>
      <c r="L8" s="8">
        <f t="shared" si="1"/>
        <v>1.0964781961431802E-10</v>
      </c>
      <c r="M8" s="26">
        <f>SUM(L8:L13)</f>
        <v>9.6357872790197593E-10</v>
      </c>
      <c r="N8" s="17">
        <f>10*LOG10(M8/E8)</f>
        <v>-97.942640464969003</v>
      </c>
      <c r="O8" s="9">
        <f t="shared" si="2"/>
        <v>-8.9</v>
      </c>
      <c r="P8" s="8">
        <f>D8/B8*10^(O8/10)</f>
        <v>2.5335574516631629</v>
      </c>
      <c r="Q8" s="26">
        <f>SUM(P8:P13)</f>
        <v>15.981113545421859</v>
      </c>
      <c r="R8" s="17">
        <f>10*LOG10(Q8)</f>
        <v>12.036070371671526</v>
      </c>
      <c r="S8" s="18">
        <f>F8+N8-Kzt-H</f>
        <v>-13.942640464969003</v>
      </c>
      <c r="T8" s="17">
        <v>0.5</v>
      </c>
      <c r="U8" s="21">
        <f>T8*10^((S8-R8)/10)</f>
        <v>1.262114977902366E-3</v>
      </c>
    </row>
    <row r="9" spans="1:21" x14ac:dyDescent="0.25">
      <c r="A9" s="24"/>
      <c r="B9" s="24"/>
      <c r="C9" s="17"/>
      <c r="D9" s="24"/>
      <c r="E9" s="24"/>
      <c r="F9" s="25"/>
      <c r="G9" s="1">
        <v>425</v>
      </c>
      <c r="H9" s="2">
        <v>88.1</v>
      </c>
      <c r="I9" s="2">
        <v>-7.5</v>
      </c>
      <c r="J9" s="2">
        <v>-8.3000000000000007</v>
      </c>
      <c r="K9" s="2">
        <f t="shared" si="0"/>
        <v>-7.5</v>
      </c>
      <c r="L9" s="8">
        <f t="shared" si="1"/>
        <v>2.754228703338173E-10</v>
      </c>
      <c r="M9" s="26"/>
      <c r="N9" s="17"/>
      <c r="O9" s="9">
        <f t="shared" si="2"/>
        <v>-8.3000000000000007</v>
      </c>
      <c r="P9" s="8">
        <f>D8/B8*10^(O9/10)</f>
        <v>2.9089131633974743</v>
      </c>
      <c r="Q9" s="26"/>
      <c r="R9" s="17"/>
      <c r="S9" s="19"/>
      <c r="T9" s="17"/>
      <c r="U9" s="22"/>
    </row>
    <row r="10" spans="1:21" x14ac:dyDescent="0.25">
      <c r="A10" s="24"/>
      <c r="B10" s="24"/>
      <c r="C10" s="17"/>
      <c r="D10" s="24"/>
      <c r="E10" s="24"/>
      <c r="F10" s="25"/>
      <c r="G10" s="1">
        <v>475</v>
      </c>
      <c r="H10" s="2">
        <v>90</v>
      </c>
      <c r="I10" s="2">
        <v>-6.2</v>
      </c>
      <c r="J10" s="2">
        <v>-9.1</v>
      </c>
      <c r="K10" s="2">
        <f t="shared" si="0"/>
        <v>-6.2</v>
      </c>
      <c r="L10" s="8">
        <f>10^((K10-H10)/10)</f>
        <v>2.3988329190194809E-10</v>
      </c>
      <c r="M10" s="26"/>
      <c r="N10" s="17"/>
      <c r="O10" s="9">
        <f t="shared" si="2"/>
        <v>-9.1</v>
      </c>
      <c r="P10" s="8">
        <f>D8/B8*10^(O10/10)</f>
        <v>2.4195285825976836</v>
      </c>
      <c r="Q10" s="26"/>
      <c r="R10" s="17"/>
      <c r="S10" s="19"/>
      <c r="T10" s="17"/>
      <c r="U10" s="22"/>
    </row>
    <row r="11" spans="1:21" x14ac:dyDescent="0.25">
      <c r="A11" s="24"/>
      <c r="B11" s="24"/>
      <c r="C11" s="17"/>
      <c r="D11" s="24"/>
      <c r="E11" s="24"/>
      <c r="F11" s="25"/>
      <c r="G11" s="1">
        <v>575</v>
      </c>
      <c r="H11" s="2">
        <v>97</v>
      </c>
      <c r="I11" s="2">
        <v>-6.3</v>
      </c>
      <c r="J11" s="2">
        <v>-8.5</v>
      </c>
      <c r="K11" s="2">
        <f t="shared" si="0"/>
        <v>-6.3</v>
      </c>
      <c r="L11" s="8">
        <f t="shared" si="1"/>
        <v>4.6773514128719782E-11</v>
      </c>
      <c r="M11" s="26"/>
      <c r="N11" s="17"/>
      <c r="O11" s="9">
        <f t="shared" si="2"/>
        <v>-8.5</v>
      </c>
      <c r="P11" s="8">
        <f>D8/B8*10^(O11/10)</f>
        <v>2.7779905044247499</v>
      </c>
      <c r="Q11" s="26"/>
      <c r="R11" s="17"/>
      <c r="S11" s="19"/>
      <c r="T11" s="17"/>
      <c r="U11" s="22"/>
    </row>
    <row r="12" spans="1:21" x14ac:dyDescent="0.25">
      <c r="A12" s="24"/>
      <c r="B12" s="24"/>
      <c r="C12" s="17"/>
      <c r="D12" s="24"/>
      <c r="E12" s="24"/>
      <c r="F12" s="25"/>
      <c r="G12" s="1">
        <v>625</v>
      </c>
      <c r="H12" s="2">
        <v>92</v>
      </c>
      <c r="I12" s="2">
        <v>-5.8</v>
      </c>
      <c r="J12" s="2">
        <v>-9.1999999999999993</v>
      </c>
      <c r="K12" s="2">
        <f t="shared" si="0"/>
        <v>-5.8</v>
      </c>
      <c r="L12" s="8">
        <f t="shared" si="1"/>
        <v>1.6595869074375624E-10</v>
      </c>
      <c r="M12" s="26"/>
      <c r="N12" s="17"/>
      <c r="O12" s="9">
        <f t="shared" si="2"/>
        <v>-9.1999999999999993</v>
      </c>
      <c r="P12" s="8">
        <f>D8/B8*10^(O12/10)</f>
        <v>2.364453388080912</v>
      </c>
      <c r="Q12" s="26"/>
      <c r="R12" s="17"/>
      <c r="S12" s="19"/>
      <c r="T12" s="17"/>
      <c r="U12" s="22"/>
    </row>
    <row r="13" spans="1:21" x14ac:dyDescent="0.25">
      <c r="A13" s="24"/>
      <c r="B13" s="24"/>
      <c r="C13" s="17"/>
      <c r="D13" s="24"/>
      <c r="E13" s="24"/>
      <c r="F13" s="25"/>
      <c r="G13" s="1">
        <v>675</v>
      </c>
      <c r="H13" s="2">
        <v>94.5</v>
      </c>
      <c r="I13" s="2">
        <v>-4.5</v>
      </c>
      <c r="J13" s="2">
        <v>-8.1999999999999993</v>
      </c>
      <c r="K13" s="2">
        <f t="shared" si="0"/>
        <v>-4.5</v>
      </c>
      <c r="L13" s="8">
        <f t="shared" si="1"/>
        <v>1.2589254117941656E-10</v>
      </c>
      <c r="M13" s="26"/>
      <c r="N13" s="17"/>
      <c r="O13" s="9">
        <f t="shared" si="2"/>
        <v>-8.1999999999999993</v>
      </c>
      <c r="P13" s="8">
        <f>D8/B8*10^(O13/10)</f>
        <v>2.9766704552578758</v>
      </c>
      <c r="Q13" s="26"/>
      <c r="R13" s="17"/>
      <c r="S13" s="20"/>
      <c r="T13" s="17"/>
      <c r="U13" s="23"/>
    </row>
    <row r="14" spans="1:21" x14ac:dyDescent="0.25">
      <c r="A14" s="24">
        <v>1000</v>
      </c>
      <c r="B14" s="24">
        <v>3</v>
      </c>
      <c r="C14" s="17">
        <v>0.5</v>
      </c>
      <c r="D14" s="24">
        <v>117</v>
      </c>
      <c r="E14" s="24">
        <v>6</v>
      </c>
      <c r="F14" s="25">
        <v>76</v>
      </c>
      <c r="G14" s="1">
        <v>875</v>
      </c>
      <c r="H14" s="2">
        <v>91.1</v>
      </c>
      <c r="I14" s="2">
        <v>-4.9000000000000004</v>
      </c>
      <c r="J14" s="2">
        <v>-8.4</v>
      </c>
      <c r="K14" s="2">
        <f t="shared" si="0"/>
        <v>-4.9000000000000004</v>
      </c>
      <c r="L14" s="8">
        <f t="shared" si="1"/>
        <v>2.5118864315095784E-10</v>
      </c>
      <c r="M14" s="26">
        <f>SUM(L14:L19)</f>
        <v>4.3515179794021129E-10</v>
      </c>
      <c r="N14" s="17">
        <f>10*LOG10(M14/E14)</f>
        <v>-101.39510468123598</v>
      </c>
      <c r="O14" s="9">
        <f t="shared" si="2"/>
        <v>-8.4</v>
      </c>
      <c r="P14" s="8">
        <f>D14/B14*10^(O14/10)</f>
        <v>5.6372151059091147</v>
      </c>
      <c r="Q14" s="26">
        <f>SUM(P14:P19)</f>
        <v>34.694136481370485</v>
      </c>
      <c r="R14" s="17">
        <f>10*LOG10(Q14)</f>
        <v>15.402560826018355</v>
      </c>
      <c r="S14" s="18">
        <f>F14+N14-Kzt-H</f>
        <v>-25.395104681235978</v>
      </c>
      <c r="T14" s="17">
        <v>0.8</v>
      </c>
      <c r="U14" s="21">
        <f>T14*10^((S14-R14)/10)</f>
        <v>6.6576879595496639E-5</v>
      </c>
    </row>
    <row r="15" spans="1:21" x14ac:dyDescent="0.25">
      <c r="A15" s="24"/>
      <c r="B15" s="24"/>
      <c r="C15" s="17"/>
      <c r="D15" s="24"/>
      <c r="E15" s="24"/>
      <c r="F15" s="25"/>
      <c r="G15" s="1">
        <v>975</v>
      </c>
      <c r="H15" s="2">
        <v>96.5</v>
      </c>
      <c r="I15" s="2">
        <v>-7.6</v>
      </c>
      <c r="J15" s="2">
        <v>-9.1</v>
      </c>
      <c r="K15" s="2">
        <f t="shared" si="0"/>
        <v>-7.6</v>
      </c>
      <c r="L15" s="8">
        <f t="shared" si="1"/>
        <v>3.8904514499427922E-11</v>
      </c>
      <c r="M15" s="26"/>
      <c r="N15" s="17"/>
      <c r="O15" s="9">
        <f t="shared" si="2"/>
        <v>-9.1</v>
      </c>
      <c r="P15" s="8">
        <f>D14/B14*10^(O15/10)</f>
        <v>4.7980482061682874</v>
      </c>
      <c r="Q15" s="26"/>
      <c r="R15" s="17"/>
      <c r="S15" s="19"/>
      <c r="T15" s="17"/>
      <c r="U15" s="22"/>
    </row>
    <row r="16" spans="1:21" x14ac:dyDescent="0.25">
      <c r="A16" s="24"/>
      <c r="B16" s="24"/>
      <c r="C16" s="17"/>
      <c r="D16" s="24"/>
      <c r="E16" s="24"/>
      <c r="F16" s="25"/>
      <c r="G16" s="1">
        <v>1075</v>
      </c>
      <c r="H16" s="2">
        <v>94.6</v>
      </c>
      <c r="I16" s="2">
        <v>-6.6999999999999993</v>
      </c>
      <c r="J16" s="2">
        <v>-7.6</v>
      </c>
      <c r="K16" s="2">
        <f t="shared" si="0"/>
        <v>-6.6999999999999993</v>
      </c>
      <c r="L16" s="8">
        <f t="shared" si="1"/>
        <v>7.413102413009181E-11</v>
      </c>
      <c r="M16" s="26"/>
      <c r="N16" s="17"/>
      <c r="O16" s="9">
        <f t="shared" si="2"/>
        <v>-7.6</v>
      </c>
      <c r="P16" s="8">
        <f>D14/B14*10^(O16/10)</f>
        <v>6.7774232321225618</v>
      </c>
      <c r="Q16" s="26"/>
      <c r="R16" s="17"/>
      <c r="S16" s="19"/>
      <c r="T16" s="17"/>
      <c r="U16" s="22"/>
    </row>
    <row r="17" spans="1:21" x14ac:dyDescent="0.25">
      <c r="A17" s="24"/>
      <c r="B17" s="24"/>
      <c r="C17" s="17"/>
      <c r="D17" s="24"/>
      <c r="E17" s="24"/>
      <c r="F17" s="25"/>
      <c r="G17" s="1">
        <v>1175</v>
      </c>
      <c r="H17" s="2">
        <v>97.8</v>
      </c>
      <c r="I17" s="2">
        <v>-6.3999999999999995</v>
      </c>
      <c r="J17" s="2">
        <v>-7.3</v>
      </c>
      <c r="K17" s="2">
        <f t="shared" si="0"/>
        <v>-6.3999999999999995</v>
      </c>
      <c r="L17" s="8">
        <f t="shared" si="1"/>
        <v>3.8018939632055986E-11</v>
      </c>
      <c r="M17" s="26"/>
      <c r="N17" s="17"/>
      <c r="O17" s="9">
        <f t="shared" si="2"/>
        <v>-7.3</v>
      </c>
      <c r="P17" s="8">
        <f>D14/B14*10^(O17/10)</f>
        <v>7.2621398329851816</v>
      </c>
      <c r="Q17" s="26"/>
      <c r="R17" s="17"/>
      <c r="S17" s="19"/>
      <c r="T17" s="17"/>
      <c r="U17" s="22"/>
    </row>
    <row r="18" spans="1:21" x14ac:dyDescent="0.25">
      <c r="A18" s="24"/>
      <c r="B18" s="24"/>
      <c r="C18" s="17"/>
      <c r="D18" s="24"/>
      <c r="E18" s="24"/>
      <c r="F18" s="25"/>
      <c r="G18" s="1">
        <v>1275</v>
      </c>
      <c r="H18" s="2">
        <v>100.1</v>
      </c>
      <c r="I18" s="2">
        <v>-6.3</v>
      </c>
      <c r="J18" s="2">
        <v>-8.1</v>
      </c>
      <c r="K18" s="2">
        <f t="shared" si="0"/>
        <v>-6.3</v>
      </c>
      <c r="L18" s="8">
        <f t="shared" si="1"/>
        <v>2.290867652767778E-11</v>
      </c>
      <c r="M18" s="26"/>
      <c r="N18" s="17"/>
      <c r="O18" s="9">
        <f t="shared" si="2"/>
        <v>-8.1</v>
      </c>
      <c r="P18" s="8">
        <f>D14/B14*10^(O18/10)</f>
        <v>6.0403848137586769</v>
      </c>
      <c r="Q18" s="26"/>
      <c r="R18" s="17"/>
      <c r="S18" s="19"/>
      <c r="T18" s="17"/>
      <c r="U18" s="22"/>
    </row>
    <row r="19" spans="1:21" x14ac:dyDescent="0.25">
      <c r="A19" s="24"/>
      <c r="B19" s="24"/>
      <c r="C19" s="17"/>
      <c r="D19" s="24"/>
      <c r="E19" s="24"/>
      <c r="F19" s="25"/>
      <c r="G19" s="1">
        <v>1375</v>
      </c>
      <c r="H19" s="2">
        <v>103</v>
      </c>
      <c r="I19" s="2">
        <v>-7</v>
      </c>
      <c r="J19" s="2">
        <v>-9.6999999999999993</v>
      </c>
      <c r="K19" s="2">
        <f t="shared" si="0"/>
        <v>-7</v>
      </c>
      <c r="L19" s="8">
        <f t="shared" si="1"/>
        <v>9.9999999999999994E-12</v>
      </c>
      <c r="M19" s="26"/>
      <c r="N19" s="17"/>
      <c r="O19" s="9">
        <f t="shared" si="2"/>
        <v>-9.6999999999999993</v>
      </c>
      <c r="P19" s="8">
        <f>D14/B14*10^(O19/10)</f>
        <v>4.1789252904266645</v>
      </c>
      <c r="Q19" s="26"/>
      <c r="R19" s="17"/>
      <c r="S19" s="20"/>
      <c r="T19" s="17"/>
      <c r="U19" s="23"/>
    </row>
    <row r="20" spans="1:21" x14ac:dyDescent="0.25">
      <c r="A20" s="24">
        <v>2000</v>
      </c>
      <c r="B20" s="24">
        <v>3</v>
      </c>
      <c r="C20" s="17">
        <v>0.5</v>
      </c>
      <c r="D20" s="24">
        <v>234</v>
      </c>
      <c r="E20" s="24">
        <v>6</v>
      </c>
      <c r="F20" s="25">
        <v>68</v>
      </c>
      <c r="G20" s="1">
        <v>1425</v>
      </c>
      <c r="H20" s="2">
        <v>102.8</v>
      </c>
      <c r="I20" s="2">
        <v>-6.1</v>
      </c>
      <c r="J20" s="2">
        <v>-8.5</v>
      </c>
      <c r="K20" s="2">
        <f t="shared" si="0"/>
        <v>-6.1</v>
      </c>
      <c r="L20" s="8">
        <f t="shared" si="1"/>
        <v>1.2882495516931353E-11</v>
      </c>
      <c r="M20" s="26">
        <f>SUM(L20:L25)</f>
        <v>2.3491710413482546E-10</v>
      </c>
      <c r="N20" s="17">
        <f>10*LOG10(M20/E20)</f>
        <v>-104.0723661180551</v>
      </c>
      <c r="O20" s="9">
        <f t="shared" si="2"/>
        <v>-8.5</v>
      </c>
      <c r="P20" s="8">
        <f>D20/B20*10^(O20/10)</f>
        <v>11.017792848057482</v>
      </c>
      <c r="Q20" s="26">
        <f>SUM(P20:P25)</f>
        <v>76.709619339940474</v>
      </c>
      <c r="R20" s="17">
        <f>10*LOG10(Q20)</f>
        <v>18.848498276296699</v>
      </c>
      <c r="S20" s="18">
        <f>F20+N20-Kzt-H</f>
        <v>-36.072366118055101</v>
      </c>
      <c r="T20" s="17">
        <v>1</v>
      </c>
      <c r="U20" s="21">
        <f>T20*10^((S20-R20)/10)</f>
        <v>3.2204277523751496E-6</v>
      </c>
    </row>
    <row r="21" spans="1:21" x14ac:dyDescent="0.25">
      <c r="A21" s="24"/>
      <c r="B21" s="24"/>
      <c r="C21" s="17"/>
      <c r="D21" s="24"/>
      <c r="E21" s="24"/>
      <c r="F21" s="25"/>
      <c r="G21" s="1">
        <v>1625</v>
      </c>
      <c r="H21" s="2">
        <v>104.1</v>
      </c>
      <c r="I21" s="2">
        <v>-4.8</v>
      </c>
      <c r="J21" s="2">
        <v>-9.4</v>
      </c>
      <c r="K21" s="2">
        <f t="shared" si="0"/>
        <v>-4.8</v>
      </c>
      <c r="L21" s="8">
        <f t="shared" si="1"/>
        <v>1.2882495516931353E-11</v>
      </c>
      <c r="M21" s="26"/>
      <c r="N21" s="17"/>
      <c r="O21" s="9">
        <f t="shared" si="2"/>
        <v>-9.4</v>
      </c>
      <c r="P21" s="8">
        <f>D20/B20*10^(O21/10)</f>
        <v>8.9555982476756828</v>
      </c>
      <c r="Q21" s="26"/>
      <c r="R21" s="17"/>
      <c r="S21" s="19"/>
      <c r="T21" s="17"/>
      <c r="U21" s="22"/>
    </row>
    <row r="22" spans="1:21" x14ac:dyDescent="0.25">
      <c r="A22" s="24"/>
      <c r="B22" s="24"/>
      <c r="C22" s="17"/>
      <c r="D22" s="24"/>
      <c r="E22" s="24"/>
      <c r="F22" s="25"/>
      <c r="G22" s="1">
        <v>1825</v>
      </c>
      <c r="H22" s="2">
        <v>107.6</v>
      </c>
      <c r="I22" s="2">
        <v>-7.2</v>
      </c>
      <c r="J22" s="2">
        <v>-12</v>
      </c>
      <c r="K22" s="2">
        <f t="shared" si="0"/>
        <v>-7.2</v>
      </c>
      <c r="L22" s="8">
        <f t="shared" si="1"/>
        <v>3.3113112148258976E-12</v>
      </c>
      <c r="M22" s="26"/>
      <c r="N22" s="17"/>
      <c r="O22" s="9">
        <f t="shared" si="2"/>
        <v>-12</v>
      </c>
      <c r="P22" s="8">
        <f>D20/B20*10^(O22/10)</f>
        <v>4.9214672869455063</v>
      </c>
      <c r="Q22" s="26"/>
      <c r="R22" s="17"/>
      <c r="S22" s="19"/>
      <c r="T22" s="17"/>
      <c r="U22" s="22"/>
    </row>
    <row r="23" spans="1:21" x14ac:dyDescent="0.25">
      <c r="A23" s="24"/>
      <c r="B23" s="24"/>
      <c r="C23" s="17"/>
      <c r="D23" s="24"/>
      <c r="E23" s="24"/>
      <c r="F23" s="25"/>
      <c r="G23" s="1">
        <v>2125</v>
      </c>
      <c r="H23" s="2">
        <v>104.2</v>
      </c>
      <c r="I23" s="2">
        <v>-6.1</v>
      </c>
      <c r="J23" s="2">
        <v>-6.8</v>
      </c>
      <c r="K23" s="2">
        <f t="shared" si="0"/>
        <v>-6.1</v>
      </c>
      <c r="L23" s="8">
        <f t="shared" si="1"/>
        <v>9.3325430079698992E-12</v>
      </c>
      <c r="M23" s="26"/>
      <c r="N23" s="17"/>
      <c r="O23" s="9">
        <f t="shared" si="2"/>
        <v>-6.8</v>
      </c>
      <c r="P23" s="8">
        <f>D20/B20*10^(O23/10)</f>
        <v>16.296509820661509</v>
      </c>
      <c r="Q23" s="26"/>
      <c r="R23" s="17"/>
      <c r="S23" s="19"/>
      <c r="T23" s="17"/>
      <c r="U23" s="22"/>
    </row>
    <row r="24" spans="1:21" x14ac:dyDescent="0.25">
      <c r="A24" s="24"/>
      <c r="B24" s="24"/>
      <c r="C24" s="17"/>
      <c r="D24" s="24"/>
      <c r="E24" s="24"/>
      <c r="F24" s="25"/>
      <c r="G24" s="1">
        <v>2425</v>
      </c>
      <c r="H24" s="2">
        <v>93.7</v>
      </c>
      <c r="I24" s="2">
        <v>-4.3</v>
      </c>
      <c r="J24" s="2">
        <v>-7.3</v>
      </c>
      <c r="K24" s="2">
        <f t="shared" si="0"/>
        <v>-4.3</v>
      </c>
      <c r="L24" s="8">
        <f t="shared" si="1"/>
        <v>1.5848931924611098E-10</v>
      </c>
      <c r="M24" s="26"/>
      <c r="N24" s="17"/>
      <c r="O24" s="9">
        <f t="shared" si="2"/>
        <v>-7.3</v>
      </c>
      <c r="P24" s="8">
        <f>D20/B20*10^(O24/10)</f>
        <v>14.524279665970363</v>
      </c>
      <c r="Q24" s="26"/>
      <c r="R24" s="17"/>
      <c r="S24" s="19"/>
      <c r="T24" s="17"/>
      <c r="U24" s="22"/>
    </row>
    <row r="25" spans="1:21" x14ac:dyDescent="0.25">
      <c r="A25" s="24"/>
      <c r="B25" s="24"/>
      <c r="C25" s="17"/>
      <c r="D25" s="24"/>
      <c r="E25" s="24"/>
      <c r="F25" s="25"/>
      <c r="G25" s="1">
        <v>2775</v>
      </c>
      <c r="H25" s="2">
        <v>100.2</v>
      </c>
      <c r="I25" s="2">
        <v>-4</v>
      </c>
      <c r="J25" s="2">
        <v>-5.7</v>
      </c>
      <c r="K25" s="2">
        <f t="shared" si="0"/>
        <v>-4</v>
      </c>
      <c r="L25" s="8">
        <f t="shared" si="1"/>
        <v>3.8018939632055986E-11</v>
      </c>
      <c r="M25" s="26"/>
      <c r="N25" s="17"/>
      <c r="O25" s="9">
        <f t="shared" si="2"/>
        <v>-5.7</v>
      </c>
      <c r="P25" s="8">
        <f>D20/B20*10^(O25/10)</f>
        <v>20.993971470629937</v>
      </c>
      <c r="Q25" s="26"/>
      <c r="R25" s="17"/>
      <c r="S25" s="20"/>
      <c r="T25" s="17"/>
      <c r="U25" s="23"/>
    </row>
    <row r="26" spans="1:21" x14ac:dyDescent="0.25">
      <c r="A26" s="24">
        <v>4000</v>
      </c>
      <c r="B26" s="24">
        <v>3</v>
      </c>
      <c r="C26" s="17">
        <v>0.5</v>
      </c>
      <c r="D26" s="24">
        <v>470</v>
      </c>
      <c r="E26" s="24">
        <v>6</v>
      </c>
      <c r="F26" s="25">
        <v>62</v>
      </c>
      <c r="G26" s="1">
        <v>2825</v>
      </c>
      <c r="H26" s="2">
        <v>99.4</v>
      </c>
      <c r="I26" s="2">
        <v>-2.8000000000000003</v>
      </c>
      <c r="J26" s="2">
        <v>-4.2</v>
      </c>
      <c r="K26" s="2">
        <f t="shared" si="0"/>
        <v>-2.8000000000000003</v>
      </c>
      <c r="L26" s="8">
        <f t="shared" si="1"/>
        <v>6.0255958607435443E-11</v>
      </c>
      <c r="M26" s="26">
        <f>SUM(L26:L31)</f>
        <v>3.3773643528432509E-10</v>
      </c>
      <c r="N26" s="17">
        <f>10*LOG10(M26/E26)</f>
        <v>-102.49573335175046</v>
      </c>
      <c r="O26" s="9">
        <f t="shared" si="2"/>
        <v>-4.2</v>
      </c>
      <c r="P26" s="8">
        <f>D26/B26*10^(O26/10)</f>
        <v>59.563005423554564</v>
      </c>
      <c r="Q26" s="26">
        <f>SUM(P26:P31)</f>
        <v>347.37668227829971</v>
      </c>
      <c r="R26" s="17">
        <f>10*LOG10(Q26)</f>
        <v>25.408006629949668</v>
      </c>
      <c r="S26" s="18">
        <f>F26+N26-Kzt-H</f>
        <v>-40.495733351750459</v>
      </c>
      <c r="T26" s="17">
        <v>0.9</v>
      </c>
      <c r="U26" s="21">
        <f>T26*10^((S26-R26)/10)</f>
        <v>2.311364886170066E-7</v>
      </c>
    </row>
    <row r="27" spans="1:21" x14ac:dyDescent="0.25">
      <c r="A27" s="24"/>
      <c r="B27" s="24"/>
      <c r="C27" s="17"/>
      <c r="D27" s="24"/>
      <c r="E27" s="24"/>
      <c r="F27" s="25"/>
      <c r="G27" s="1">
        <v>3425</v>
      </c>
      <c r="H27" s="2">
        <v>103.5</v>
      </c>
      <c r="I27" s="2">
        <v>-5.9</v>
      </c>
      <c r="J27" s="2">
        <v>-7.5</v>
      </c>
      <c r="K27" s="2">
        <f t="shared" si="0"/>
        <v>-5.9</v>
      </c>
      <c r="L27" s="8">
        <f t="shared" si="1"/>
        <v>1.1481536214968764E-11</v>
      </c>
      <c r="M27" s="26"/>
      <c r="N27" s="17"/>
      <c r="O27" s="9">
        <f t="shared" si="2"/>
        <v>-7.5</v>
      </c>
      <c r="P27" s="8">
        <f>D26/B26*10^(O27/10)</f>
        <v>27.859710757276449</v>
      </c>
      <c r="Q27" s="26"/>
      <c r="R27" s="17"/>
      <c r="S27" s="19"/>
      <c r="T27" s="17"/>
      <c r="U27" s="22"/>
    </row>
    <row r="28" spans="1:21" x14ac:dyDescent="0.25">
      <c r="A28" s="24"/>
      <c r="B28" s="24"/>
      <c r="C28" s="17"/>
      <c r="D28" s="24"/>
      <c r="E28" s="24"/>
      <c r="F28" s="25"/>
      <c r="G28" s="1">
        <v>4025</v>
      </c>
      <c r="H28" s="2">
        <v>103.6</v>
      </c>
      <c r="I28" s="2">
        <v>-6.2</v>
      </c>
      <c r="J28" s="2">
        <v>-6.8</v>
      </c>
      <c r="K28" s="2">
        <f t="shared" si="0"/>
        <v>-6.2</v>
      </c>
      <c r="L28" s="8">
        <f t="shared" si="1"/>
        <v>1.0471285480508978E-11</v>
      </c>
      <c r="M28" s="26"/>
      <c r="N28" s="17"/>
      <c r="O28" s="9">
        <f t="shared" si="2"/>
        <v>-6.8</v>
      </c>
      <c r="P28" s="8">
        <f>D26/B26*10^(O28/10)</f>
        <v>32.732306050046624</v>
      </c>
      <c r="Q28" s="26"/>
      <c r="R28" s="17"/>
      <c r="S28" s="19"/>
      <c r="T28" s="17"/>
      <c r="U28" s="22"/>
    </row>
    <row r="29" spans="1:21" x14ac:dyDescent="0.25">
      <c r="A29" s="24"/>
      <c r="B29" s="24"/>
      <c r="C29" s="17"/>
      <c r="D29" s="24"/>
      <c r="E29" s="24"/>
      <c r="F29" s="25"/>
      <c r="G29" s="1">
        <v>4625</v>
      </c>
      <c r="H29" s="2">
        <v>105.6</v>
      </c>
      <c r="I29" s="2">
        <v>0.7</v>
      </c>
      <c r="J29" s="2">
        <v>-4.4000000000000004</v>
      </c>
      <c r="K29" s="2">
        <f t="shared" si="0"/>
        <v>0.7</v>
      </c>
      <c r="L29" s="8">
        <f t="shared" si="1"/>
        <v>3.2359365692962849E-11</v>
      </c>
      <c r="M29" s="26"/>
      <c r="N29" s="17"/>
      <c r="O29" s="9">
        <f t="shared" si="2"/>
        <v>-4.4000000000000004</v>
      </c>
      <c r="P29" s="8">
        <f>D26/B26*10^(O29/10)</f>
        <v>56.882228580649191</v>
      </c>
      <c r="Q29" s="26"/>
      <c r="R29" s="17"/>
      <c r="S29" s="19"/>
      <c r="T29" s="17"/>
      <c r="U29" s="22"/>
    </row>
    <row r="30" spans="1:21" x14ac:dyDescent="0.25">
      <c r="A30" s="24"/>
      <c r="B30" s="24"/>
      <c r="C30" s="17"/>
      <c r="D30" s="24"/>
      <c r="E30" s="24"/>
      <c r="F30" s="25"/>
      <c r="G30" s="1">
        <v>5225</v>
      </c>
      <c r="H30" s="2">
        <v>103.5</v>
      </c>
      <c r="I30" s="2">
        <v>-2</v>
      </c>
      <c r="J30" s="2">
        <v>-3.7</v>
      </c>
      <c r="K30" s="2">
        <f t="shared" si="0"/>
        <v>-2</v>
      </c>
      <c r="L30" s="8">
        <f t="shared" si="1"/>
        <v>2.8183829312644474E-11</v>
      </c>
      <c r="M30" s="26"/>
      <c r="N30" s="17"/>
      <c r="O30" s="9">
        <f t="shared" si="2"/>
        <v>-3.7</v>
      </c>
      <c r="P30" s="8">
        <f>D26/B26*10^(O30/10)</f>
        <v>66.83079127891618</v>
      </c>
      <c r="Q30" s="26"/>
      <c r="R30" s="17"/>
      <c r="S30" s="19"/>
      <c r="T30" s="17"/>
      <c r="U30" s="22"/>
    </row>
    <row r="31" spans="1:21" x14ac:dyDescent="0.25">
      <c r="A31" s="24"/>
      <c r="B31" s="24"/>
      <c r="C31" s="17"/>
      <c r="D31" s="24"/>
      <c r="E31" s="24"/>
      <c r="F31" s="25"/>
      <c r="G31" s="1">
        <v>5625</v>
      </c>
      <c r="H31" s="2">
        <v>99.5</v>
      </c>
      <c r="I31" s="2">
        <v>2.4</v>
      </c>
      <c r="J31" s="2">
        <v>-1.8</v>
      </c>
      <c r="K31" s="2">
        <f t="shared" si="0"/>
        <v>2.4</v>
      </c>
      <c r="L31" s="8">
        <f t="shared" si="1"/>
        <v>1.949844599758046E-10</v>
      </c>
      <c r="M31" s="26"/>
      <c r="N31" s="17"/>
      <c r="O31" s="9">
        <f t="shared" si="2"/>
        <v>-1.8</v>
      </c>
      <c r="P31" s="8">
        <f>D26/B26*10^(O31/10)</f>
        <v>103.5086401878567</v>
      </c>
      <c r="Q31" s="26"/>
      <c r="R31" s="17"/>
      <c r="S31" s="20"/>
      <c r="T31" s="17"/>
      <c r="U31" s="23"/>
    </row>
    <row r="32" spans="1:21" x14ac:dyDescent="0.25">
      <c r="A32" s="24">
        <v>8000</v>
      </c>
      <c r="B32" s="24">
        <v>3</v>
      </c>
      <c r="C32" s="17">
        <v>0.5</v>
      </c>
      <c r="D32" s="24">
        <v>943</v>
      </c>
      <c r="E32" s="24">
        <v>6</v>
      </c>
      <c r="F32" s="25">
        <v>54</v>
      </c>
      <c r="G32" s="1">
        <v>6025</v>
      </c>
      <c r="H32" s="2">
        <v>95</v>
      </c>
      <c r="I32" s="2">
        <v>-5</v>
      </c>
      <c r="J32" s="2">
        <v>-5.8</v>
      </c>
      <c r="K32" s="2">
        <f t="shared" si="0"/>
        <v>-5</v>
      </c>
      <c r="L32" s="8">
        <f t="shared" si="1"/>
        <v>1E-10</v>
      </c>
      <c r="M32" s="26">
        <f>SUM(L32:L37)</f>
        <v>1.4073512231449702E-8</v>
      </c>
      <c r="N32" s="17">
        <f>10*LOG10(M32/E32)</f>
        <v>-86.297487554800142</v>
      </c>
      <c r="O32" s="9">
        <f t="shared" si="2"/>
        <v>-5.8</v>
      </c>
      <c r="P32" s="8">
        <f>D32/B32*10^(O32/10)</f>
        <v>82.678090545244828</v>
      </c>
      <c r="Q32" s="26">
        <f>SUM(P32:P37)</f>
        <v>2159.4001538962143</v>
      </c>
      <c r="R32" s="17">
        <f>10*LOG10(Q32)</f>
        <v>33.343331279878718</v>
      </c>
      <c r="S32" s="18">
        <f>F32+N32-Kzt-H</f>
        <v>-32.297487554800142</v>
      </c>
      <c r="T32" s="17">
        <v>0.7</v>
      </c>
      <c r="U32" s="21">
        <f>T32*10^((S32-R32)/10)</f>
        <v>1.909924309910395E-7</v>
      </c>
    </row>
    <row r="33" spans="1:21" x14ac:dyDescent="0.25">
      <c r="A33" s="24"/>
      <c r="B33" s="24"/>
      <c r="C33" s="17"/>
      <c r="D33" s="24"/>
      <c r="E33" s="24"/>
      <c r="F33" s="25"/>
      <c r="G33" s="1">
        <v>7025</v>
      </c>
      <c r="H33" s="2">
        <v>94.8</v>
      </c>
      <c r="I33" s="2">
        <v>1.8</v>
      </c>
      <c r="J33" s="2">
        <v>-0.7</v>
      </c>
      <c r="K33" s="2">
        <f t="shared" si="0"/>
        <v>1.8</v>
      </c>
      <c r="L33" s="8">
        <f t="shared" si="1"/>
        <v>5.011872336272705E-10</v>
      </c>
      <c r="M33" s="26"/>
      <c r="N33" s="17"/>
      <c r="O33" s="9">
        <f t="shared" si="2"/>
        <v>-0.7</v>
      </c>
      <c r="P33" s="8">
        <f>D32/B32*10^(O33/10)</f>
        <v>267.54105667494696</v>
      </c>
      <c r="Q33" s="26"/>
      <c r="R33" s="17"/>
      <c r="S33" s="19"/>
      <c r="T33" s="17"/>
      <c r="U33" s="22"/>
    </row>
    <row r="34" spans="1:21" x14ac:dyDescent="0.25">
      <c r="A34" s="24"/>
      <c r="B34" s="24"/>
      <c r="C34" s="17"/>
      <c r="D34" s="24"/>
      <c r="E34" s="24"/>
      <c r="F34" s="25"/>
      <c r="G34" s="1">
        <v>8025</v>
      </c>
      <c r="H34" s="2">
        <v>101.9</v>
      </c>
      <c r="I34" s="2">
        <v>0.8</v>
      </c>
      <c r="J34" s="2">
        <v>0.2</v>
      </c>
      <c r="K34" s="2">
        <f t="shared" si="0"/>
        <v>0.8</v>
      </c>
      <c r="L34" s="8">
        <f t="shared" si="1"/>
        <v>7.7624711662868665E-11</v>
      </c>
      <c r="M34" s="26"/>
      <c r="N34" s="17"/>
      <c r="O34" s="9">
        <f t="shared" si="2"/>
        <v>0.2</v>
      </c>
      <c r="P34" s="8">
        <f>D32/B32*10^(O34/10)</f>
        <v>329.14740693733273</v>
      </c>
      <c r="Q34" s="26"/>
      <c r="R34" s="17"/>
      <c r="S34" s="19"/>
      <c r="T34" s="17"/>
      <c r="U34" s="22"/>
    </row>
    <row r="35" spans="1:21" x14ac:dyDescent="0.25">
      <c r="A35" s="24"/>
      <c r="B35" s="24"/>
      <c r="C35" s="17"/>
      <c r="D35" s="24"/>
      <c r="E35" s="24"/>
      <c r="F35" s="25"/>
      <c r="G35" s="1">
        <v>9025</v>
      </c>
      <c r="H35" s="2">
        <v>93.2</v>
      </c>
      <c r="I35" s="2">
        <v>6.5</v>
      </c>
      <c r="J35" s="2">
        <v>2.2999999999999998</v>
      </c>
      <c r="K35" s="2">
        <f t="shared" si="0"/>
        <v>6.5</v>
      </c>
      <c r="L35" s="8">
        <f t="shared" si="1"/>
        <v>2.137962089502227E-9</v>
      </c>
      <c r="M35" s="26"/>
      <c r="N35" s="17"/>
      <c r="O35" s="9">
        <f t="shared" si="2"/>
        <v>2.2999999999999998</v>
      </c>
      <c r="P35" s="8">
        <f>D32/B32*10^(O35/10)</f>
        <v>533.8145880904749</v>
      </c>
      <c r="Q35" s="26"/>
      <c r="R35" s="17"/>
      <c r="S35" s="19"/>
      <c r="T35" s="17"/>
      <c r="U35" s="22"/>
    </row>
    <row r="36" spans="1:21" x14ac:dyDescent="0.25">
      <c r="A36" s="24"/>
      <c r="B36" s="24"/>
      <c r="C36" s="17"/>
      <c r="D36" s="24"/>
      <c r="E36" s="24"/>
      <c r="F36" s="25"/>
      <c r="G36" s="1">
        <v>10025</v>
      </c>
      <c r="H36" s="2">
        <v>88.3</v>
      </c>
      <c r="I36" s="2">
        <v>2</v>
      </c>
      <c r="J36" s="2">
        <v>0.6</v>
      </c>
      <c r="K36" s="2">
        <f t="shared" si="0"/>
        <v>2</v>
      </c>
      <c r="L36" s="8">
        <f t="shared" si="1"/>
        <v>2.3442288153199238E-9</v>
      </c>
      <c r="M36" s="26"/>
      <c r="N36" s="17"/>
      <c r="O36" s="9">
        <f t="shared" si="2"/>
        <v>0.6</v>
      </c>
      <c r="P36" s="8">
        <f>D32/B32*10^(O36/10)</f>
        <v>360.90295502385351</v>
      </c>
      <c r="Q36" s="26"/>
      <c r="R36" s="17"/>
      <c r="S36" s="19"/>
      <c r="T36" s="17"/>
      <c r="U36" s="22"/>
    </row>
    <row r="37" spans="1:21" x14ac:dyDescent="0.25">
      <c r="A37" s="24"/>
      <c r="B37" s="24"/>
      <c r="C37" s="17"/>
      <c r="D37" s="24"/>
      <c r="E37" s="24"/>
      <c r="F37" s="25"/>
      <c r="G37" s="1">
        <v>11025</v>
      </c>
      <c r="H37" s="2">
        <v>86</v>
      </c>
      <c r="I37" s="2">
        <v>5.5</v>
      </c>
      <c r="J37" s="2">
        <v>2.7</v>
      </c>
      <c r="K37" s="2">
        <f t="shared" si="0"/>
        <v>5.5</v>
      </c>
      <c r="L37" s="8">
        <f t="shared" si="1"/>
        <v>8.9125093813374133E-9</v>
      </c>
      <c r="M37" s="26"/>
      <c r="N37" s="17"/>
      <c r="O37" s="9">
        <f t="shared" si="2"/>
        <v>2.7</v>
      </c>
      <c r="P37" s="8">
        <f>D32/B32*10^(O37/10)</f>
        <v>585.31605662436129</v>
      </c>
      <c r="Q37" s="26"/>
      <c r="R37" s="17"/>
      <c r="S37" s="20"/>
      <c r="T37" s="17"/>
      <c r="U37" s="23"/>
    </row>
    <row r="38" spans="1:21" x14ac:dyDescent="0.25">
      <c r="A38" s="24" t="s">
        <v>20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12">
        <f>U38</f>
        <v>4.3205825344349316E-2</v>
      </c>
      <c r="T38" s="2"/>
      <c r="U38" s="8">
        <f>0.8*SQRT(SUM(U4:U37))</f>
        <v>4.3205825344349316E-2</v>
      </c>
    </row>
    <row r="39" spans="1:21" x14ac:dyDescent="0.25">
      <c r="A39" s="27" t="s">
        <v>33</v>
      </c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9"/>
    </row>
    <row r="40" spans="1:21" x14ac:dyDescent="0.25">
      <c r="A40" s="24">
        <v>250</v>
      </c>
      <c r="B40" s="24">
        <v>3</v>
      </c>
      <c r="C40" s="17">
        <v>0.5</v>
      </c>
      <c r="D40" s="24">
        <v>38</v>
      </c>
      <c r="E40" s="24">
        <v>4</v>
      </c>
      <c r="F40" s="25">
        <v>84</v>
      </c>
      <c r="G40" s="1">
        <v>175</v>
      </c>
      <c r="H40" s="2">
        <v>84.8</v>
      </c>
      <c r="I40" s="2">
        <v>-1.8</v>
      </c>
      <c r="J40" s="2">
        <v>-2</v>
      </c>
      <c r="K40" s="2">
        <f>I40</f>
        <v>-1.8</v>
      </c>
      <c r="L40" s="8">
        <f>10^((K40-H40)/10)</f>
        <v>2.1877616239495468E-9</v>
      </c>
      <c r="M40" s="26">
        <f>SUM(L40:L43)</f>
        <v>9.0596178494350749E-9</v>
      </c>
      <c r="N40" s="17">
        <f>10*LOG10(M40/E40)</f>
        <v>-86.449501125674772</v>
      </c>
      <c r="O40" s="9">
        <f>J40</f>
        <v>-2</v>
      </c>
      <c r="P40" s="8">
        <f>D40/B40*10^(O40/10)</f>
        <v>7.9921263634157809</v>
      </c>
      <c r="Q40" s="26">
        <f>SUM(P40:P43)</f>
        <v>40.352390513715079</v>
      </c>
      <c r="R40" s="17">
        <f>10*LOG10(Q40)</f>
        <v>16.058692678353673</v>
      </c>
      <c r="S40" s="18">
        <f>F40+N40-Kzt-H</f>
        <v>-2.4495011256747716</v>
      </c>
      <c r="T40" s="17">
        <v>0.2</v>
      </c>
      <c r="U40" s="21">
        <f>T40*10^((S40-R40)/10)</f>
        <v>2.8197500644879139E-3</v>
      </c>
    </row>
    <row r="41" spans="1:21" x14ac:dyDescent="0.25">
      <c r="A41" s="24"/>
      <c r="B41" s="24"/>
      <c r="C41" s="17"/>
      <c r="D41" s="24"/>
      <c r="E41" s="24"/>
      <c r="F41" s="25"/>
      <c r="G41" s="1">
        <v>225</v>
      </c>
      <c r="H41" s="2">
        <v>90</v>
      </c>
      <c r="I41" s="2">
        <v>4.3</v>
      </c>
      <c r="J41" s="2">
        <v>-0.9</v>
      </c>
      <c r="K41" s="2">
        <f t="shared" ref="K41:K73" si="3">I41</f>
        <v>4.3</v>
      </c>
      <c r="L41" s="8">
        <f t="shared" ref="L41:L42" si="4">10^((K41-H41)/10)</f>
        <v>2.6915348039269064E-9</v>
      </c>
      <c r="M41" s="26"/>
      <c r="N41" s="17"/>
      <c r="O41" s="9">
        <f t="shared" ref="O41:O73" si="5">J41</f>
        <v>-0.9</v>
      </c>
      <c r="P41" s="8">
        <f>D40/B40*10^(O41/10)</f>
        <v>10.295853204745256</v>
      </c>
      <c r="Q41" s="26"/>
      <c r="R41" s="17"/>
      <c r="S41" s="19"/>
      <c r="T41" s="17"/>
      <c r="U41" s="22"/>
    </row>
    <row r="42" spans="1:21" x14ac:dyDescent="0.25">
      <c r="A42" s="24"/>
      <c r="B42" s="24"/>
      <c r="C42" s="17"/>
      <c r="D42" s="24"/>
      <c r="E42" s="24"/>
      <c r="F42" s="25"/>
      <c r="G42" s="1">
        <v>275</v>
      </c>
      <c r="H42" s="2">
        <v>92.2</v>
      </c>
      <c r="I42" s="2">
        <v>7.8</v>
      </c>
      <c r="J42" s="2">
        <v>-0.6</v>
      </c>
      <c r="K42" s="2">
        <f t="shared" si="3"/>
        <v>7.8</v>
      </c>
      <c r="L42" s="8">
        <f t="shared" si="4"/>
        <v>3.630780547700997E-9</v>
      </c>
      <c r="M42" s="26"/>
      <c r="N42" s="17"/>
      <c r="O42" s="9">
        <f t="shared" si="5"/>
        <v>-0.6</v>
      </c>
      <c r="P42" s="8">
        <f>D40/B40*10^(O42/10)</f>
        <v>11.03220547277702</v>
      </c>
      <c r="Q42" s="26"/>
      <c r="R42" s="17"/>
      <c r="S42" s="19"/>
      <c r="T42" s="17"/>
      <c r="U42" s="22"/>
    </row>
    <row r="43" spans="1:21" x14ac:dyDescent="0.25">
      <c r="A43" s="24"/>
      <c r="B43" s="24"/>
      <c r="C43" s="17"/>
      <c r="D43" s="24"/>
      <c r="E43" s="24"/>
      <c r="F43" s="25"/>
      <c r="G43" s="1">
        <v>325</v>
      </c>
      <c r="H43" s="2">
        <v>93.3</v>
      </c>
      <c r="I43" s="2">
        <v>0.70000000000000007</v>
      </c>
      <c r="J43" s="2">
        <v>-0.6</v>
      </c>
      <c r="K43" s="2">
        <f t="shared" si="3"/>
        <v>0.70000000000000007</v>
      </c>
      <c r="L43" s="8">
        <f>10^((K43-H43)/10)</f>
        <v>5.495408738576243E-10</v>
      </c>
      <c r="M43" s="26"/>
      <c r="N43" s="17"/>
      <c r="O43" s="9">
        <f t="shared" si="5"/>
        <v>-0.6</v>
      </c>
      <c r="P43" s="8">
        <f>D40/B40*10^(O43/10)</f>
        <v>11.03220547277702</v>
      </c>
      <c r="Q43" s="26"/>
      <c r="R43" s="17"/>
      <c r="S43" s="20"/>
      <c r="T43" s="17"/>
      <c r="U43" s="23"/>
    </row>
    <row r="44" spans="1:21" x14ac:dyDescent="0.25">
      <c r="A44" s="24">
        <v>500</v>
      </c>
      <c r="B44" s="24">
        <v>3</v>
      </c>
      <c r="C44" s="17">
        <v>0.5</v>
      </c>
      <c r="D44" s="24">
        <v>59</v>
      </c>
      <c r="E44" s="24">
        <v>6</v>
      </c>
      <c r="F44" s="25">
        <v>84</v>
      </c>
      <c r="G44" s="1">
        <v>375</v>
      </c>
      <c r="H44" s="2">
        <v>91.9</v>
      </c>
      <c r="I44" s="2">
        <v>-1.4000000000000001</v>
      </c>
      <c r="J44" s="2">
        <v>-2.6</v>
      </c>
      <c r="K44" s="2">
        <f t="shared" si="3"/>
        <v>-1.4000000000000001</v>
      </c>
      <c r="L44" s="8">
        <f t="shared" ref="L44:L45" si="6">10^((K44-H44)/10)</f>
        <v>4.6773514128719503E-10</v>
      </c>
      <c r="M44" s="26">
        <f>SUM(L44:L49)</f>
        <v>1.4605266885905565E-8</v>
      </c>
      <c r="N44" s="17">
        <f>10*LOG10(M44/E44)</f>
        <v>-86.136417530236074</v>
      </c>
      <c r="O44" s="9">
        <f t="shared" si="5"/>
        <v>-2.6</v>
      </c>
      <c r="P44" s="8">
        <f>D44/B44*10^(O44/10)</f>
        <v>10.807637185866616</v>
      </c>
      <c r="Q44" s="26">
        <f>SUM(P44:P49)</f>
        <v>89.357880729927757</v>
      </c>
      <c r="R44" s="17">
        <f>10*LOG10(Q44)</f>
        <v>19.511328602170849</v>
      </c>
      <c r="S44" s="18">
        <f>F44+N44-Kzt-H</f>
        <v>-2.1364175302360735</v>
      </c>
      <c r="T44" s="17">
        <v>0.5</v>
      </c>
      <c r="U44" s="21">
        <f>T44*10^((S44-R44)/10)</f>
        <v>3.4213333526193768E-3</v>
      </c>
    </row>
    <row r="45" spans="1:21" x14ac:dyDescent="0.25">
      <c r="A45" s="24"/>
      <c r="B45" s="24"/>
      <c r="C45" s="17"/>
      <c r="D45" s="24"/>
      <c r="E45" s="24"/>
      <c r="F45" s="25"/>
      <c r="G45" s="1">
        <v>425</v>
      </c>
      <c r="H45" s="2">
        <v>88.1</v>
      </c>
      <c r="I45" s="2">
        <v>-1.7</v>
      </c>
      <c r="J45" s="2">
        <v>-2.9</v>
      </c>
      <c r="K45" s="2">
        <f t="shared" si="3"/>
        <v>-1.7</v>
      </c>
      <c r="L45" s="8">
        <f t="shared" si="6"/>
        <v>1.0471285480508964E-9</v>
      </c>
      <c r="M45" s="26"/>
      <c r="N45" s="17"/>
      <c r="O45" s="9">
        <f t="shared" si="5"/>
        <v>-2.9</v>
      </c>
      <c r="P45" s="8">
        <f>D44/B44*10^(O45/10)</f>
        <v>10.086273885163509</v>
      </c>
      <c r="Q45" s="26"/>
      <c r="R45" s="17"/>
      <c r="S45" s="19"/>
      <c r="T45" s="17"/>
      <c r="U45" s="22"/>
    </row>
    <row r="46" spans="1:21" x14ac:dyDescent="0.25">
      <c r="A46" s="24"/>
      <c r="B46" s="24"/>
      <c r="C46" s="17"/>
      <c r="D46" s="24"/>
      <c r="E46" s="24"/>
      <c r="F46" s="25"/>
      <c r="G46" s="1">
        <v>475</v>
      </c>
      <c r="H46" s="2">
        <v>90</v>
      </c>
      <c r="I46" s="2">
        <v>9.9</v>
      </c>
      <c r="J46" s="2">
        <v>-0.8</v>
      </c>
      <c r="K46" s="2">
        <f t="shared" si="3"/>
        <v>9.9</v>
      </c>
      <c r="L46" s="8">
        <f>10^((K46-H46)/10)</f>
        <v>9.7723722095580911E-9</v>
      </c>
      <c r="M46" s="26"/>
      <c r="N46" s="17"/>
      <c r="O46" s="9">
        <f t="shared" si="5"/>
        <v>-0.8</v>
      </c>
      <c r="P46" s="8">
        <f>D44/B44*10^(O46/10)</f>
        <v>16.358020831685863</v>
      </c>
      <c r="Q46" s="26"/>
      <c r="R46" s="17"/>
      <c r="S46" s="19"/>
      <c r="T46" s="17"/>
      <c r="U46" s="22"/>
    </row>
    <row r="47" spans="1:21" x14ac:dyDescent="0.25">
      <c r="A47" s="24"/>
      <c r="B47" s="24"/>
      <c r="C47" s="17"/>
      <c r="D47" s="24"/>
      <c r="E47" s="24"/>
      <c r="F47" s="25"/>
      <c r="G47" s="1">
        <v>575</v>
      </c>
      <c r="H47" s="2">
        <v>97</v>
      </c>
      <c r="I47" s="2">
        <v>2.7</v>
      </c>
      <c r="J47" s="2">
        <v>1.4</v>
      </c>
      <c r="K47" s="2">
        <f t="shared" si="3"/>
        <v>2.7</v>
      </c>
      <c r="L47" s="8">
        <f t="shared" ref="L47:L73" si="7">10^((K47-H47)/10)</f>
        <v>3.7153522909717169E-10</v>
      </c>
      <c r="M47" s="26"/>
      <c r="N47" s="17"/>
      <c r="O47" s="9">
        <f t="shared" si="5"/>
        <v>1.4</v>
      </c>
      <c r="P47" s="8">
        <f>D44/B44*10^(O47/10)</f>
        <v>27.147557203856735</v>
      </c>
      <c r="Q47" s="26"/>
      <c r="R47" s="17"/>
      <c r="S47" s="19"/>
      <c r="T47" s="17"/>
      <c r="U47" s="22"/>
    </row>
    <row r="48" spans="1:21" x14ac:dyDescent="0.25">
      <c r="A48" s="24"/>
      <c r="B48" s="24"/>
      <c r="C48" s="17"/>
      <c r="D48" s="24"/>
      <c r="E48" s="24"/>
      <c r="F48" s="25"/>
      <c r="G48" s="1">
        <v>625</v>
      </c>
      <c r="H48" s="2">
        <v>92</v>
      </c>
      <c r="I48" s="2">
        <v>6.2</v>
      </c>
      <c r="J48" s="2">
        <v>-4</v>
      </c>
      <c r="K48" s="2">
        <f t="shared" si="3"/>
        <v>6.2</v>
      </c>
      <c r="L48" s="8">
        <f t="shared" si="7"/>
        <v>2.6302679918953733E-9</v>
      </c>
      <c r="M48" s="26"/>
      <c r="N48" s="17"/>
      <c r="O48" s="9">
        <f t="shared" si="5"/>
        <v>-4</v>
      </c>
      <c r="P48" s="8">
        <f>D44/B44*10^(O48/10)</f>
        <v>7.8294410208854455</v>
      </c>
      <c r="Q48" s="26"/>
      <c r="R48" s="17"/>
      <c r="S48" s="19"/>
      <c r="T48" s="17"/>
      <c r="U48" s="22"/>
    </row>
    <row r="49" spans="1:21" x14ac:dyDescent="0.25">
      <c r="A49" s="24"/>
      <c r="B49" s="24"/>
      <c r="C49" s="17"/>
      <c r="D49" s="24"/>
      <c r="E49" s="24"/>
      <c r="F49" s="25"/>
      <c r="G49" s="1">
        <v>675</v>
      </c>
      <c r="H49" s="2">
        <v>94.5</v>
      </c>
      <c r="I49" s="2">
        <v>-0.5</v>
      </c>
      <c r="J49" s="2">
        <v>-0.6</v>
      </c>
      <c r="K49" s="2">
        <f t="shared" si="3"/>
        <v>-0.5</v>
      </c>
      <c r="L49" s="8">
        <f t="shared" si="7"/>
        <v>3.1622776601683744E-10</v>
      </c>
      <c r="M49" s="26"/>
      <c r="N49" s="17"/>
      <c r="O49" s="9">
        <f t="shared" si="5"/>
        <v>-0.6</v>
      </c>
      <c r="P49" s="8">
        <f>D44/B44*10^(O49/10)</f>
        <v>17.128950602469587</v>
      </c>
      <c r="Q49" s="26"/>
      <c r="R49" s="17"/>
      <c r="S49" s="20"/>
      <c r="T49" s="17"/>
      <c r="U49" s="23"/>
    </row>
    <row r="50" spans="1:21" x14ac:dyDescent="0.25">
      <c r="A50" s="24">
        <v>1000</v>
      </c>
      <c r="B50" s="24">
        <v>3</v>
      </c>
      <c r="C50" s="17">
        <v>0.5</v>
      </c>
      <c r="D50" s="24">
        <v>117</v>
      </c>
      <c r="E50" s="24">
        <v>6</v>
      </c>
      <c r="F50" s="25">
        <v>76</v>
      </c>
      <c r="G50" s="1">
        <v>875</v>
      </c>
      <c r="H50" s="2">
        <v>91.1</v>
      </c>
      <c r="I50" s="2">
        <v>6.2</v>
      </c>
      <c r="J50" s="2">
        <v>-1.5</v>
      </c>
      <c r="K50" s="2">
        <f t="shared" si="3"/>
        <v>6.2</v>
      </c>
      <c r="L50" s="8">
        <f t="shared" si="7"/>
        <v>3.2359365692962919E-9</v>
      </c>
      <c r="M50" s="26">
        <f>SUM(L50:L55)</f>
        <v>9.2637697786017281E-9</v>
      </c>
      <c r="N50" s="17">
        <f>10*LOG10(M50/E50)</f>
        <v>-88.113634968678625</v>
      </c>
      <c r="O50" s="9">
        <f t="shared" si="5"/>
        <v>-1.5</v>
      </c>
      <c r="P50" s="8">
        <f>D50/B50*10^(O50/10)</f>
        <v>27.609885590981378</v>
      </c>
      <c r="Q50" s="26">
        <f>SUM(P50:P55)</f>
        <v>197.03878269433883</v>
      </c>
      <c r="R50" s="17">
        <f>10*LOG10(Q50)</f>
        <v>22.945517157678896</v>
      </c>
      <c r="S50" s="18">
        <f>F50+N50-Kzt-H</f>
        <v>-12.113634968678625</v>
      </c>
      <c r="T50" s="17">
        <v>0.8</v>
      </c>
      <c r="U50" s="21">
        <f>T50*10^((S50-R50)/10)</f>
        <v>2.4955988357812739E-4</v>
      </c>
    </row>
    <row r="51" spans="1:21" x14ac:dyDescent="0.25">
      <c r="A51" s="24"/>
      <c r="B51" s="24"/>
      <c r="C51" s="17"/>
      <c r="D51" s="24"/>
      <c r="E51" s="24"/>
      <c r="F51" s="25"/>
      <c r="G51" s="1">
        <v>975</v>
      </c>
      <c r="H51" s="2">
        <v>96.5</v>
      </c>
      <c r="I51" s="2">
        <v>0.5</v>
      </c>
      <c r="J51" s="2">
        <v>-1.3</v>
      </c>
      <c r="K51" s="2">
        <f t="shared" si="3"/>
        <v>0.5</v>
      </c>
      <c r="L51" s="8">
        <f t="shared" si="7"/>
        <v>2.5118864315095784E-10</v>
      </c>
      <c r="M51" s="26"/>
      <c r="N51" s="17"/>
      <c r="O51" s="9">
        <f t="shared" si="5"/>
        <v>-1.3</v>
      </c>
      <c r="P51" s="8">
        <f>D50/B50*10^(O51/10)</f>
        <v>28.91109941073578</v>
      </c>
      <c r="Q51" s="26"/>
      <c r="R51" s="17"/>
      <c r="S51" s="19"/>
      <c r="T51" s="17"/>
      <c r="U51" s="22"/>
    </row>
    <row r="52" spans="1:21" x14ac:dyDescent="0.25">
      <c r="A52" s="24"/>
      <c r="B52" s="24"/>
      <c r="C52" s="17"/>
      <c r="D52" s="24"/>
      <c r="E52" s="24"/>
      <c r="F52" s="25"/>
      <c r="G52" s="1">
        <v>1075</v>
      </c>
      <c r="H52" s="2">
        <v>94.6</v>
      </c>
      <c r="I52" s="2">
        <v>11.7</v>
      </c>
      <c r="J52" s="2">
        <v>1.9</v>
      </c>
      <c r="K52" s="2">
        <f t="shared" si="3"/>
        <v>11.7</v>
      </c>
      <c r="L52" s="8">
        <f t="shared" si="7"/>
        <v>5.1286138399136542E-9</v>
      </c>
      <c r="M52" s="26"/>
      <c r="N52" s="17"/>
      <c r="O52" s="9">
        <f t="shared" si="5"/>
        <v>1.9</v>
      </c>
      <c r="P52" s="8">
        <f>D50/B50*10^(O52/10)</f>
        <v>60.403848137586778</v>
      </c>
      <c r="Q52" s="26"/>
      <c r="R52" s="17"/>
      <c r="S52" s="19"/>
      <c r="T52" s="17"/>
      <c r="U52" s="22"/>
    </row>
    <row r="53" spans="1:21" x14ac:dyDescent="0.25">
      <c r="A53" s="24"/>
      <c r="B53" s="24"/>
      <c r="C53" s="17"/>
      <c r="D53" s="24"/>
      <c r="E53" s="24"/>
      <c r="F53" s="25"/>
      <c r="G53" s="1">
        <v>1175</v>
      </c>
      <c r="H53" s="2">
        <v>97.8</v>
      </c>
      <c r="I53" s="2">
        <v>-1.2000000000000002</v>
      </c>
      <c r="J53" s="2">
        <v>-1.6</v>
      </c>
      <c r="K53" s="2">
        <f t="shared" si="3"/>
        <v>-1.2000000000000002</v>
      </c>
      <c r="L53" s="8">
        <f t="shared" si="7"/>
        <v>1.2589254117941656E-10</v>
      </c>
      <c r="M53" s="26"/>
      <c r="N53" s="17"/>
      <c r="O53" s="9">
        <f t="shared" si="5"/>
        <v>-1.6</v>
      </c>
      <c r="P53" s="8">
        <f>D50/B50*10^(O53/10)</f>
        <v>26.981407865838523</v>
      </c>
      <c r="Q53" s="26"/>
      <c r="R53" s="17"/>
      <c r="S53" s="19"/>
      <c r="T53" s="17"/>
      <c r="U53" s="22"/>
    </row>
    <row r="54" spans="1:21" x14ac:dyDescent="0.25">
      <c r="A54" s="24"/>
      <c r="B54" s="24"/>
      <c r="C54" s="17"/>
      <c r="D54" s="24"/>
      <c r="E54" s="24"/>
      <c r="F54" s="25"/>
      <c r="G54" s="1">
        <v>1275</v>
      </c>
      <c r="H54" s="2">
        <v>100.1</v>
      </c>
      <c r="I54" s="2">
        <v>7</v>
      </c>
      <c r="J54" s="2">
        <v>-0.2</v>
      </c>
      <c r="K54" s="2">
        <f t="shared" si="3"/>
        <v>7</v>
      </c>
      <c r="L54" s="8">
        <f t="shared" si="7"/>
        <v>4.8977881936844621E-10</v>
      </c>
      <c r="M54" s="26"/>
      <c r="N54" s="17"/>
      <c r="O54" s="9">
        <f t="shared" si="5"/>
        <v>-0.2</v>
      </c>
      <c r="P54" s="8">
        <f>D50/B50*10^(O54/10)</f>
        <v>37.244710854836001</v>
      </c>
      <c r="Q54" s="26"/>
      <c r="R54" s="17"/>
      <c r="S54" s="19"/>
      <c r="T54" s="17"/>
      <c r="U54" s="22"/>
    </row>
    <row r="55" spans="1:21" x14ac:dyDescent="0.25">
      <c r="A55" s="24"/>
      <c r="B55" s="24"/>
      <c r="C55" s="17"/>
      <c r="D55" s="24"/>
      <c r="E55" s="24"/>
      <c r="F55" s="25"/>
      <c r="G55" s="1">
        <v>1375</v>
      </c>
      <c r="H55" s="2">
        <v>103</v>
      </c>
      <c r="I55" s="2">
        <v>-1.9</v>
      </c>
      <c r="J55" s="2">
        <v>-3.9</v>
      </c>
      <c r="K55" s="2">
        <f t="shared" si="3"/>
        <v>-1.9</v>
      </c>
      <c r="L55" s="8">
        <f t="shared" si="7"/>
        <v>3.2359365692962733E-11</v>
      </c>
      <c r="M55" s="26"/>
      <c r="N55" s="17"/>
      <c r="O55" s="9">
        <f t="shared" si="5"/>
        <v>-3.9</v>
      </c>
      <c r="P55" s="8">
        <f>D50/B50*10^(O55/10)</f>
        <v>15.887830834360395</v>
      </c>
      <c r="Q55" s="26"/>
      <c r="R55" s="17"/>
      <c r="S55" s="20"/>
      <c r="T55" s="17"/>
      <c r="U55" s="23"/>
    </row>
    <row r="56" spans="1:21" x14ac:dyDescent="0.25">
      <c r="A56" s="24">
        <v>2000</v>
      </c>
      <c r="B56" s="24">
        <v>3</v>
      </c>
      <c r="C56" s="17">
        <v>0.5</v>
      </c>
      <c r="D56" s="24">
        <v>234</v>
      </c>
      <c r="E56" s="24">
        <v>6</v>
      </c>
      <c r="F56" s="25">
        <v>68</v>
      </c>
      <c r="G56" s="1">
        <v>1425</v>
      </c>
      <c r="H56" s="2">
        <v>102.8</v>
      </c>
      <c r="I56" s="2">
        <v>7.2</v>
      </c>
      <c r="J56" s="2">
        <v>-1.3</v>
      </c>
      <c r="K56" s="2">
        <f t="shared" si="3"/>
        <v>7.2</v>
      </c>
      <c r="L56" s="8">
        <f t="shared" si="7"/>
        <v>2.754228703338173E-10</v>
      </c>
      <c r="M56" s="26">
        <f>SUM(L56:L61)</f>
        <v>2.4951005810718729E-9</v>
      </c>
      <c r="N56" s="17">
        <f>10*LOG10(M56/E56)</f>
        <v>-93.810631930398472</v>
      </c>
      <c r="O56" s="9">
        <f t="shared" si="5"/>
        <v>-1.3</v>
      </c>
      <c r="P56" s="8">
        <f>D56/B56*10^(O56/10)</f>
        <v>57.822198821471559</v>
      </c>
      <c r="Q56" s="26">
        <f>SUM(P56:P61)</f>
        <v>418.92385205777481</v>
      </c>
      <c r="R56" s="17">
        <f>10*LOG10(Q56)</f>
        <v>26.221350882728231</v>
      </c>
      <c r="S56" s="18">
        <f>F56+N56-Kzt-H</f>
        <v>-25.810631930398472</v>
      </c>
      <c r="T56" s="17">
        <v>1</v>
      </c>
      <c r="U56" s="21">
        <f>T56*10^((S56-R56)/10)</f>
        <v>6.2632784339804642E-6</v>
      </c>
    </row>
    <row r="57" spans="1:21" x14ac:dyDescent="0.25">
      <c r="A57" s="24"/>
      <c r="B57" s="24"/>
      <c r="C57" s="17"/>
      <c r="D57" s="24"/>
      <c r="E57" s="24"/>
      <c r="F57" s="25"/>
      <c r="G57" s="1">
        <v>1625</v>
      </c>
      <c r="H57" s="2">
        <v>104.1</v>
      </c>
      <c r="I57" s="2">
        <v>0.9</v>
      </c>
      <c r="J57" s="2">
        <v>0.1</v>
      </c>
      <c r="K57" s="2">
        <f t="shared" si="3"/>
        <v>0.9</v>
      </c>
      <c r="L57" s="8">
        <f t="shared" si="7"/>
        <v>4.7863009232263962E-11</v>
      </c>
      <c r="M57" s="26"/>
      <c r="N57" s="17"/>
      <c r="O57" s="9">
        <f t="shared" si="5"/>
        <v>0.1</v>
      </c>
      <c r="P57" s="8">
        <f>D56/B56*10^(O57/10)</f>
        <v>79.816853397898825</v>
      </c>
      <c r="Q57" s="26"/>
      <c r="R57" s="17"/>
      <c r="S57" s="19"/>
      <c r="T57" s="17"/>
      <c r="U57" s="22"/>
    </row>
    <row r="58" spans="1:21" x14ac:dyDescent="0.25">
      <c r="A58" s="24"/>
      <c r="B58" s="24"/>
      <c r="C58" s="17"/>
      <c r="D58" s="24"/>
      <c r="E58" s="24"/>
      <c r="F58" s="25"/>
      <c r="G58" s="1">
        <v>1825</v>
      </c>
      <c r="H58" s="2">
        <v>107.6</v>
      </c>
      <c r="I58" s="2">
        <v>0.9</v>
      </c>
      <c r="J58" s="2">
        <v>0</v>
      </c>
      <c r="K58" s="2">
        <f t="shared" si="3"/>
        <v>0.9</v>
      </c>
      <c r="L58" s="8">
        <f t="shared" si="7"/>
        <v>2.1379620895022375E-11</v>
      </c>
      <c r="M58" s="26"/>
      <c r="N58" s="17"/>
      <c r="O58" s="9">
        <f t="shared" si="5"/>
        <v>0</v>
      </c>
      <c r="P58" s="8">
        <f>D56/B56*10^(O58/10)</f>
        <v>78</v>
      </c>
      <c r="Q58" s="26"/>
      <c r="R58" s="17"/>
      <c r="S58" s="19"/>
      <c r="T58" s="17"/>
      <c r="U58" s="22"/>
    </row>
    <row r="59" spans="1:21" x14ac:dyDescent="0.25">
      <c r="A59" s="24"/>
      <c r="B59" s="24"/>
      <c r="C59" s="17"/>
      <c r="D59" s="24"/>
      <c r="E59" s="24"/>
      <c r="F59" s="25"/>
      <c r="G59" s="1">
        <v>2125</v>
      </c>
      <c r="H59" s="2">
        <v>104.2</v>
      </c>
      <c r="I59" s="2">
        <v>0.8</v>
      </c>
      <c r="J59" s="2">
        <v>-0.3</v>
      </c>
      <c r="K59" s="2">
        <f t="shared" si="3"/>
        <v>0.8</v>
      </c>
      <c r="L59" s="8">
        <f t="shared" si="7"/>
        <v>4.5708818961487472E-11</v>
      </c>
      <c r="M59" s="26"/>
      <c r="N59" s="17"/>
      <c r="O59" s="9">
        <f t="shared" si="5"/>
        <v>-0.3</v>
      </c>
      <c r="P59" s="8">
        <f>D56/B56*10^(O59/10)</f>
        <v>72.793835462165305</v>
      </c>
      <c r="Q59" s="26"/>
      <c r="R59" s="17"/>
      <c r="S59" s="19"/>
      <c r="T59" s="17"/>
      <c r="U59" s="22"/>
    </row>
    <row r="60" spans="1:21" x14ac:dyDescent="0.25">
      <c r="A60" s="24"/>
      <c r="B60" s="24"/>
      <c r="C60" s="17"/>
      <c r="D60" s="24"/>
      <c r="E60" s="24"/>
      <c r="F60" s="25"/>
      <c r="G60" s="1">
        <v>2425</v>
      </c>
      <c r="H60" s="2">
        <v>93.7</v>
      </c>
      <c r="I60" s="2">
        <v>6.6</v>
      </c>
      <c r="J60" s="2">
        <v>-2.8</v>
      </c>
      <c r="K60" s="2">
        <f t="shared" si="3"/>
        <v>6.6</v>
      </c>
      <c r="L60" s="8">
        <f t="shared" si="7"/>
        <v>1.9498445997580341E-9</v>
      </c>
      <c r="M60" s="26"/>
      <c r="N60" s="17"/>
      <c r="O60" s="9">
        <f t="shared" si="5"/>
        <v>-2.8</v>
      </c>
      <c r="P60" s="8">
        <f>D56/B56*10^(O60/10)</f>
        <v>40.93498189948226</v>
      </c>
      <c r="Q60" s="26"/>
      <c r="R60" s="17"/>
      <c r="S60" s="19"/>
      <c r="T60" s="17"/>
      <c r="U60" s="22"/>
    </row>
    <row r="61" spans="1:21" x14ac:dyDescent="0.25">
      <c r="A61" s="24"/>
      <c r="B61" s="24"/>
      <c r="C61" s="17"/>
      <c r="D61" s="24"/>
      <c r="E61" s="24"/>
      <c r="F61" s="25"/>
      <c r="G61" s="1">
        <v>2775</v>
      </c>
      <c r="H61" s="2">
        <v>100.2</v>
      </c>
      <c r="I61" s="2">
        <v>2.1</v>
      </c>
      <c r="J61" s="2">
        <v>0.6</v>
      </c>
      <c r="K61" s="2">
        <f t="shared" si="3"/>
        <v>2.1</v>
      </c>
      <c r="L61" s="8">
        <f t="shared" si="7"/>
        <v>1.548816618912478E-10</v>
      </c>
      <c r="M61" s="26"/>
      <c r="N61" s="17"/>
      <c r="O61" s="9">
        <f t="shared" si="5"/>
        <v>0.6</v>
      </c>
      <c r="P61" s="8">
        <f>D56/B56*10^(O61/10)</f>
        <v>89.555982476756867</v>
      </c>
      <c r="Q61" s="26"/>
      <c r="R61" s="17"/>
      <c r="S61" s="20"/>
      <c r="T61" s="17"/>
      <c r="U61" s="23"/>
    </row>
    <row r="62" spans="1:21" x14ac:dyDescent="0.25">
      <c r="A62" s="24">
        <v>4000</v>
      </c>
      <c r="B62" s="24">
        <v>3</v>
      </c>
      <c r="C62" s="17">
        <v>0.5</v>
      </c>
      <c r="D62" s="24">
        <v>470</v>
      </c>
      <c r="E62" s="24">
        <v>6</v>
      </c>
      <c r="F62" s="25">
        <v>62</v>
      </c>
      <c r="G62" s="1">
        <v>2825</v>
      </c>
      <c r="H62" s="2">
        <v>99.4</v>
      </c>
      <c r="I62" s="2">
        <v>-0.2</v>
      </c>
      <c r="J62" s="2">
        <v>-0.2</v>
      </c>
      <c r="K62" s="2">
        <f t="shared" si="3"/>
        <v>-0.2</v>
      </c>
      <c r="L62" s="8">
        <f t="shared" si="7"/>
        <v>1.0964781961431802E-10</v>
      </c>
      <c r="M62" s="26">
        <f>SUM(L62:L67)</f>
        <v>1.3631941868465007E-9</v>
      </c>
      <c r="N62" s="17">
        <f>10*LOG10(M62/E62)</f>
        <v>-96.435935249459575</v>
      </c>
      <c r="O62" s="9">
        <f t="shared" si="5"/>
        <v>-0.2</v>
      </c>
      <c r="P62" s="8">
        <f>D62/B62*10^(O62/10)</f>
        <v>149.61550514335829</v>
      </c>
      <c r="Q62" s="26">
        <f>SUM(P62:P67)</f>
        <v>1065.365400525284</v>
      </c>
      <c r="R62" s="17">
        <f>10*LOG10(Q62)</f>
        <v>30.274985882579472</v>
      </c>
      <c r="S62" s="18">
        <f>F62+N62-Kzt-H</f>
        <v>-34.435935249459575</v>
      </c>
      <c r="T62" s="17">
        <v>0.9</v>
      </c>
      <c r="U62" s="21">
        <f>T62*10^((S62-R62)/10)</f>
        <v>3.0419382669133964E-7</v>
      </c>
    </row>
    <row r="63" spans="1:21" x14ac:dyDescent="0.25">
      <c r="A63" s="24"/>
      <c r="B63" s="24"/>
      <c r="C63" s="17"/>
      <c r="D63" s="24"/>
      <c r="E63" s="24"/>
      <c r="F63" s="25"/>
      <c r="G63" s="1">
        <v>3425</v>
      </c>
      <c r="H63" s="2">
        <v>103.5</v>
      </c>
      <c r="I63" s="2">
        <v>3.8</v>
      </c>
      <c r="J63" s="2">
        <v>-3.1</v>
      </c>
      <c r="K63" s="2">
        <f t="shared" si="3"/>
        <v>3.8</v>
      </c>
      <c r="L63" s="8">
        <f t="shared" si="7"/>
        <v>1.0715193052376019E-10</v>
      </c>
      <c r="M63" s="26"/>
      <c r="N63" s="17"/>
      <c r="O63" s="9">
        <f t="shared" si="5"/>
        <v>-3.1</v>
      </c>
      <c r="P63" s="8">
        <f>D62/B62*10^(O63/10)</f>
        <v>76.732015034389889</v>
      </c>
      <c r="Q63" s="26"/>
      <c r="R63" s="17"/>
      <c r="S63" s="19"/>
      <c r="T63" s="17"/>
      <c r="U63" s="22"/>
    </row>
    <row r="64" spans="1:21" x14ac:dyDescent="0.25">
      <c r="A64" s="24"/>
      <c r="B64" s="24"/>
      <c r="C64" s="17"/>
      <c r="D64" s="24"/>
      <c r="E64" s="24"/>
      <c r="F64" s="25"/>
      <c r="G64" s="1">
        <v>4025</v>
      </c>
      <c r="H64" s="2">
        <v>103.6</v>
      </c>
      <c r="I64" s="2">
        <v>-0.39999999999999991</v>
      </c>
      <c r="J64" s="2">
        <v>-2</v>
      </c>
      <c r="K64" s="2">
        <f t="shared" si="3"/>
        <v>-0.39999999999999991</v>
      </c>
      <c r="L64" s="8">
        <f t="shared" si="7"/>
        <v>3.9810717055349579E-11</v>
      </c>
      <c r="M64" s="26"/>
      <c r="N64" s="17"/>
      <c r="O64" s="9">
        <f t="shared" si="5"/>
        <v>-2</v>
      </c>
      <c r="P64" s="8">
        <f>D62/B62*10^(O64/10)</f>
        <v>98.849983968563606</v>
      </c>
      <c r="Q64" s="26"/>
      <c r="R64" s="17"/>
      <c r="S64" s="19"/>
      <c r="T64" s="17"/>
      <c r="U64" s="22"/>
    </row>
    <row r="65" spans="1:21" x14ac:dyDescent="0.25">
      <c r="A65" s="24"/>
      <c r="B65" s="24"/>
      <c r="C65" s="17"/>
      <c r="D65" s="24"/>
      <c r="E65" s="24"/>
      <c r="F65" s="25"/>
      <c r="G65" s="1">
        <v>4625</v>
      </c>
      <c r="H65" s="2">
        <v>105.6</v>
      </c>
      <c r="I65" s="2">
        <v>5.5</v>
      </c>
      <c r="J65" s="2">
        <v>4.4000000000000004</v>
      </c>
      <c r="K65" s="2">
        <f t="shared" si="3"/>
        <v>5.5</v>
      </c>
      <c r="L65" s="8">
        <f t="shared" si="7"/>
        <v>9.7723722095581033E-11</v>
      </c>
      <c r="M65" s="26"/>
      <c r="N65" s="17"/>
      <c r="O65" s="9">
        <f t="shared" si="5"/>
        <v>4.4000000000000004</v>
      </c>
      <c r="P65" s="8">
        <f>D62/B62*10^(O65/10)</f>
        <v>431.49583018964614</v>
      </c>
      <c r="Q65" s="26"/>
      <c r="R65" s="17"/>
      <c r="S65" s="19"/>
      <c r="T65" s="17"/>
      <c r="U65" s="22"/>
    </row>
    <row r="66" spans="1:21" x14ac:dyDescent="0.25">
      <c r="A66" s="24"/>
      <c r="B66" s="24"/>
      <c r="C66" s="17"/>
      <c r="D66" s="24"/>
      <c r="E66" s="24"/>
      <c r="F66" s="25"/>
      <c r="G66" s="1">
        <v>5225</v>
      </c>
      <c r="H66" s="2">
        <v>103.5</v>
      </c>
      <c r="I66" s="2">
        <v>-1.5</v>
      </c>
      <c r="J66" s="2">
        <v>-2.8</v>
      </c>
      <c r="K66" s="2">
        <f t="shared" si="3"/>
        <v>-1.5</v>
      </c>
      <c r="L66" s="8">
        <f t="shared" si="7"/>
        <v>3.162277660168371E-11</v>
      </c>
      <c r="M66" s="26"/>
      <c r="N66" s="17"/>
      <c r="O66" s="9">
        <f t="shared" si="5"/>
        <v>-2.8</v>
      </c>
      <c r="P66" s="8">
        <f>D62/B62*10^(O66/10)</f>
        <v>82.219835439131032</v>
      </c>
      <c r="Q66" s="26"/>
      <c r="R66" s="17"/>
      <c r="S66" s="19"/>
      <c r="T66" s="17"/>
      <c r="U66" s="22"/>
    </row>
    <row r="67" spans="1:21" x14ac:dyDescent="0.25">
      <c r="A67" s="24"/>
      <c r="B67" s="24"/>
      <c r="C67" s="17"/>
      <c r="D67" s="24"/>
      <c r="E67" s="24"/>
      <c r="F67" s="25"/>
      <c r="G67" s="1">
        <v>5625</v>
      </c>
      <c r="H67" s="2">
        <v>99.5</v>
      </c>
      <c r="I67" s="2">
        <v>9.4</v>
      </c>
      <c r="J67" s="2">
        <v>1.6</v>
      </c>
      <c r="K67" s="2">
        <f t="shared" si="3"/>
        <v>9.4</v>
      </c>
      <c r="L67" s="8">
        <f t="shared" si="7"/>
        <v>9.7723722095580808E-10</v>
      </c>
      <c r="M67" s="26"/>
      <c r="N67" s="17"/>
      <c r="O67" s="9">
        <f t="shared" si="5"/>
        <v>1.6</v>
      </c>
      <c r="P67" s="8">
        <f>D62/B62*10^(O67/10)</f>
        <v>226.4522307501953</v>
      </c>
      <c r="Q67" s="26"/>
      <c r="R67" s="17"/>
      <c r="S67" s="20"/>
      <c r="T67" s="17"/>
      <c r="U67" s="23"/>
    </row>
    <row r="68" spans="1:21" x14ac:dyDescent="0.25">
      <c r="A68" s="24">
        <v>8000</v>
      </c>
      <c r="B68" s="24">
        <v>3</v>
      </c>
      <c r="C68" s="17">
        <v>0.5</v>
      </c>
      <c r="D68" s="24">
        <v>943</v>
      </c>
      <c r="E68" s="24">
        <v>6</v>
      </c>
      <c r="F68" s="25">
        <v>54</v>
      </c>
      <c r="G68" s="1">
        <v>6025</v>
      </c>
      <c r="H68" s="2">
        <v>95</v>
      </c>
      <c r="I68" s="2">
        <v>4.7</v>
      </c>
      <c r="J68" s="2">
        <v>-0.3</v>
      </c>
      <c r="K68" s="2">
        <f t="shared" si="3"/>
        <v>4.7</v>
      </c>
      <c r="L68" s="8">
        <f t="shared" si="7"/>
        <v>9.3325430079699202E-10</v>
      </c>
      <c r="M68" s="26">
        <f>SUM(L68:L73)</f>
        <v>2.3747380697361226E-7</v>
      </c>
      <c r="N68" s="17">
        <f>10*LOG10(M68/E68)</f>
        <v>-74.025355358507653</v>
      </c>
      <c r="O68" s="9">
        <f t="shared" si="5"/>
        <v>-0.3</v>
      </c>
      <c r="P68" s="8">
        <f>D68/B68*10^(O68/10)</f>
        <v>293.35293521718751</v>
      </c>
      <c r="Q68" s="26">
        <f>SUM(P68:P73)</f>
        <v>59475.604568525952</v>
      </c>
      <c r="R68" s="17">
        <f>10*LOG10(Q68)</f>
        <v>47.743388653278878</v>
      </c>
      <c r="S68" s="18">
        <f>F68+N68-Kzt-H</f>
        <v>-20.025355358507653</v>
      </c>
      <c r="T68" s="17">
        <v>0.7</v>
      </c>
      <c r="U68" s="21">
        <f>T68*10^((S68-R68)/10)</f>
        <v>1.1701017768331745E-7</v>
      </c>
    </row>
    <row r="69" spans="1:21" x14ac:dyDescent="0.25">
      <c r="A69" s="24"/>
      <c r="B69" s="24"/>
      <c r="C69" s="17"/>
      <c r="D69" s="24"/>
      <c r="E69" s="24"/>
      <c r="F69" s="25"/>
      <c r="G69" s="1">
        <v>7025</v>
      </c>
      <c r="H69" s="2">
        <v>94.8</v>
      </c>
      <c r="I69" s="2">
        <v>3.2</v>
      </c>
      <c r="J69" s="2">
        <v>1.7</v>
      </c>
      <c r="K69" s="2">
        <f t="shared" si="3"/>
        <v>3.2</v>
      </c>
      <c r="L69" s="8">
        <f t="shared" si="7"/>
        <v>6.9183097091893558E-10</v>
      </c>
      <c r="M69" s="26"/>
      <c r="N69" s="17"/>
      <c r="O69" s="9">
        <f t="shared" si="5"/>
        <v>1.7</v>
      </c>
      <c r="P69" s="8">
        <f>D68/B68*10^(O69/10)</f>
        <v>464.93307001420652</v>
      </c>
      <c r="Q69" s="26"/>
      <c r="R69" s="17"/>
      <c r="S69" s="19"/>
      <c r="T69" s="17"/>
      <c r="U69" s="22"/>
    </row>
    <row r="70" spans="1:21" x14ac:dyDescent="0.25">
      <c r="A70" s="24"/>
      <c r="B70" s="24"/>
      <c r="C70" s="17"/>
      <c r="D70" s="24"/>
      <c r="E70" s="24"/>
      <c r="F70" s="25"/>
      <c r="G70" s="1">
        <v>8025</v>
      </c>
      <c r="H70" s="2">
        <v>101.9</v>
      </c>
      <c r="I70" s="2">
        <v>26.4</v>
      </c>
      <c r="J70" s="2">
        <v>21.5</v>
      </c>
      <c r="K70" s="2">
        <f t="shared" si="3"/>
        <v>26.4</v>
      </c>
      <c r="L70" s="8">
        <f t="shared" si="7"/>
        <v>2.8183829312644468E-8</v>
      </c>
      <c r="M70" s="26"/>
      <c r="N70" s="17"/>
      <c r="O70" s="9">
        <f t="shared" si="5"/>
        <v>21.5</v>
      </c>
      <c r="P70" s="8">
        <f>D68/B68*10^(O70/10)</f>
        <v>44400.763485975236</v>
      </c>
      <c r="Q70" s="26"/>
      <c r="R70" s="17"/>
      <c r="S70" s="19"/>
      <c r="T70" s="17"/>
      <c r="U70" s="22"/>
    </row>
    <row r="71" spans="1:21" x14ac:dyDescent="0.25">
      <c r="A71" s="24"/>
      <c r="B71" s="24"/>
      <c r="C71" s="17"/>
      <c r="D71" s="24"/>
      <c r="E71" s="24"/>
      <c r="F71" s="25"/>
      <c r="G71" s="1">
        <v>9025</v>
      </c>
      <c r="H71" s="2">
        <v>93.2</v>
      </c>
      <c r="I71" s="2">
        <v>14.2</v>
      </c>
      <c r="J71" s="2">
        <v>7.4</v>
      </c>
      <c r="K71" s="2">
        <f t="shared" si="3"/>
        <v>14.2</v>
      </c>
      <c r="L71" s="8">
        <f t="shared" si="7"/>
        <v>1.2589254117941638E-8</v>
      </c>
      <c r="M71" s="26"/>
      <c r="N71" s="17"/>
      <c r="O71" s="9">
        <f t="shared" si="5"/>
        <v>7.4</v>
      </c>
      <c r="P71" s="8">
        <f>D68/B68*10^(O71/10)</f>
        <v>1727.3901468257998</v>
      </c>
      <c r="Q71" s="26"/>
      <c r="R71" s="17"/>
      <c r="S71" s="19"/>
      <c r="T71" s="17"/>
      <c r="U71" s="22"/>
    </row>
    <row r="72" spans="1:21" x14ac:dyDescent="0.25">
      <c r="A72" s="24"/>
      <c r="B72" s="24"/>
      <c r="C72" s="17"/>
      <c r="D72" s="24"/>
      <c r="E72" s="24"/>
      <c r="F72" s="25"/>
      <c r="G72" s="1">
        <v>10025</v>
      </c>
      <c r="H72" s="2">
        <v>88.3</v>
      </c>
      <c r="I72" s="2">
        <v>16.7</v>
      </c>
      <c r="J72" s="2">
        <v>7.9</v>
      </c>
      <c r="K72" s="2">
        <f t="shared" si="3"/>
        <v>16.7</v>
      </c>
      <c r="L72" s="8">
        <f t="shared" si="7"/>
        <v>6.9183097091893717E-8</v>
      </c>
      <c r="M72" s="26"/>
      <c r="N72" s="17"/>
      <c r="O72" s="9">
        <f t="shared" si="5"/>
        <v>7.9</v>
      </c>
      <c r="P72" s="8">
        <f>D68/B68*10^(O72/10)</f>
        <v>1938.1636225179259</v>
      </c>
      <c r="Q72" s="26"/>
      <c r="R72" s="17"/>
      <c r="S72" s="19"/>
      <c r="T72" s="17"/>
      <c r="U72" s="22"/>
    </row>
    <row r="73" spans="1:21" x14ac:dyDescent="0.25">
      <c r="A73" s="24"/>
      <c r="B73" s="24"/>
      <c r="C73" s="17"/>
      <c r="D73" s="24"/>
      <c r="E73" s="24"/>
      <c r="F73" s="25"/>
      <c r="G73" s="1">
        <v>11025</v>
      </c>
      <c r="H73" s="2">
        <v>86</v>
      </c>
      <c r="I73" s="2">
        <v>17</v>
      </c>
      <c r="J73" s="2">
        <v>15.3</v>
      </c>
      <c r="K73" s="2">
        <f t="shared" si="3"/>
        <v>17</v>
      </c>
      <c r="L73" s="8">
        <f t="shared" si="7"/>
        <v>1.2589254117941651E-7</v>
      </c>
      <c r="M73" s="26"/>
      <c r="N73" s="17"/>
      <c r="O73" s="9">
        <f t="shared" si="5"/>
        <v>15.3</v>
      </c>
      <c r="P73" s="8">
        <f>D68/B68*10^(O73/10)</f>
        <v>10651.001307975605</v>
      </c>
      <c r="Q73" s="26"/>
      <c r="R73" s="17"/>
      <c r="S73" s="20"/>
      <c r="T73" s="17"/>
      <c r="U73" s="23"/>
    </row>
    <row r="74" spans="1:21" x14ac:dyDescent="0.25">
      <c r="A74" s="24" t="s">
        <v>20</v>
      </c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12">
        <f>U74</f>
        <v>6.4484802715052289E-2</v>
      </c>
      <c r="T74" s="2"/>
      <c r="U74" s="8">
        <f>0.8*SQRT(SUM(U40:U73))</f>
        <v>6.4484802715052289E-2</v>
      </c>
    </row>
    <row r="75" spans="1:21" x14ac:dyDescent="0.25">
      <c r="A75" s="27" t="s">
        <v>34</v>
      </c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9"/>
    </row>
    <row r="76" spans="1:21" x14ac:dyDescent="0.25">
      <c r="A76" s="24">
        <v>250</v>
      </c>
      <c r="B76" s="24">
        <v>3</v>
      </c>
      <c r="C76" s="17">
        <v>0.5</v>
      </c>
      <c r="D76" s="24">
        <v>38</v>
      </c>
      <c r="E76" s="24">
        <v>4</v>
      </c>
      <c r="F76" s="25">
        <v>84</v>
      </c>
      <c r="G76" s="1">
        <v>175</v>
      </c>
      <c r="H76" s="2">
        <v>84.8</v>
      </c>
      <c r="I76" s="2">
        <v>4.0999999999999996</v>
      </c>
      <c r="J76" s="2">
        <v>-8.1</v>
      </c>
      <c r="K76" s="2">
        <f>I76</f>
        <v>4.0999999999999996</v>
      </c>
      <c r="L76" s="8">
        <f>10^((K76-H76)/10)</f>
        <v>8.5113803820237553E-9</v>
      </c>
      <c r="M76" s="26">
        <f>SUM(L76:L79)</f>
        <v>9.2829205337374354E-9</v>
      </c>
      <c r="N76" s="17">
        <f>10*LOG10(M76/E76)</f>
        <v>-86.343753586282901</v>
      </c>
      <c r="O76" s="9">
        <f>J76</f>
        <v>-8.1</v>
      </c>
      <c r="P76" s="8">
        <f>D76/B76*10^(O76/10)</f>
        <v>1.9618343839558097</v>
      </c>
      <c r="Q76" s="26">
        <f>SUM(P76:P79)</f>
        <v>10.703141649485374</v>
      </c>
      <c r="R76" s="17">
        <f>10*LOG10(Q76)</f>
        <v>10.295112730845036</v>
      </c>
      <c r="S76" s="18">
        <f>F76+N76-Kzt-H</f>
        <v>-2.3437535862829009</v>
      </c>
      <c r="T76" s="17">
        <v>0.2</v>
      </c>
      <c r="U76" s="21">
        <f>T76*10^((S76-R76)/10)</f>
        <v>1.0892896168760833E-2</v>
      </c>
    </row>
    <row r="77" spans="1:21" x14ac:dyDescent="0.25">
      <c r="A77" s="24"/>
      <c r="B77" s="24"/>
      <c r="C77" s="17"/>
      <c r="D77" s="24"/>
      <c r="E77" s="24"/>
      <c r="F77" s="25"/>
      <c r="G77" s="1">
        <v>225</v>
      </c>
      <c r="H77" s="2">
        <v>90</v>
      </c>
      <c r="I77" s="2">
        <v>-7.3</v>
      </c>
      <c r="J77" s="2">
        <v>-7.5</v>
      </c>
      <c r="K77" s="2">
        <f t="shared" ref="K77:K109" si="8">I77</f>
        <v>-7.3</v>
      </c>
      <c r="L77" s="8">
        <f t="shared" ref="L77:L78" si="9">10^((K77-H77)/10)</f>
        <v>1.862087136662862E-10</v>
      </c>
      <c r="M77" s="26"/>
      <c r="N77" s="17"/>
      <c r="O77" s="9">
        <f t="shared" ref="O77:O109" si="10">J77</f>
        <v>-7.5</v>
      </c>
      <c r="P77" s="8">
        <f>D76/B76*10^(O77/10)</f>
        <v>2.2524872527159681</v>
      </c>
      <c r="Q77" s="26"/>
      <c r="R77" s="17"/>
      <c r="S77" s="19"/>
      <c r="T77" s="17"/>
      <c r="U77" s="22"/>
    </row>
    <row r="78" spans="1:21" x14ac:dyDescent="0.25">
      <c r="A78" s="24"/>
      <c r="B78" s="24"/>
      <c r="C78" s="17"/>
      <c r="D78" s="24"/>
      <c r="E78" s="24"/>
      <c r="F78" s="25"/>
      <c r="G78" s="1">
        <v>275</v>
      </c>
      <c r="H78" s="2">
        <v>92.2</v>
      </c>
      <c r="I78" s="2">
        <v>-4.5</v>
      </c>
      <c r="J78" s="2">
        <v>-5.4</v>
      </c>
      <c r="K78" s="2">
        <f t="shared" si="8"/>
        <v>-4.5</v>
      </c>
      <c r="L78" s="8">
        <f t="shared" si="9"/>
        <v>2.1379620895022245E-10</v>
      </c>
      <c r="M78" s="26"/>
      <c r="N78" s="17"/>
      <c r="O78" s="9">
        <f t="shared" si="10"/>
        <v>-5.4</v>
      </c>
      <c r="P78" s="8">
        <f>D76/B76*10^(O78/10)</f>
        <v>3.6531065706270338</v>
      </c>
      <c r="Q78" s="26"/>
      <c r="R78" s="17"/>
      <c r="S78" s="19"/>
      <c r="T78" s="17"/>
      <c r="U78" s="22"/>
    </row>
    <row r="79" spans="1:21" x14ac:dyDescent="0.25">
      <c r="A79" s="24"/>
      <c r="B79" s="24"/>
      <c r="C79" s="17"/>
      <c r="D79" s="24"/>
      <c r="E79" s="24"/>
      <c r="F79" s="25"/>
      <c r="G79" s="1">
        <v>325</v>
      </c>
      <c r="H79" s="2">
        <v>93.3</v>
      </c>
      <c r="I79" s="2">
        <v>-1</v>
      </c>
      <c r="J79" s="2">
        <v>-6.5</v>
      </c>
      <c r="K79" s="2">
        <f t="shared" si="8"/>
        <v>-1</v>
      </c>
      <c r="L79" s="8">
        <f>10^((K79-H79)/10)</f>
        <v>3.7153522909717169E-10</v>
      </c>
      <c r="M79" s="26"/>
      <c r="N79" s="17"/>
      <c r="O79" s="9">
        <f t="shared" si="10"/>
        <v>-6.5</v>
      </c>
      <c r="P79" s="8">
        <f>D76/B76*10^(O79/10)</f>
        <v>2.8357134421865631</v>
      </c>
      <c r="Q79" s="26"/>
      <c r="R79" s="17"/>
      <c r="S79" s="20"/>
      <c r="T79" s="17"/>
      <c r="U79" s="23"/>
    </row>
    <row r="80" spans="1:21" x14ac:dyDescent="0.25">
      <c r="A80" s="24">
        <v>500</v>
      </c>
      <c r="B80" s="24">
        <v>3</v>
      </c>
      <c r="C80" s="17">
        <v>0.5</v>
      </c>
      <c r="D80" s="24">
        <v>59</v>
      </c>
      <c r="E80" s="24">
        <v>6</v>
      </c>
      <c r="F80" s="25">
        <v>84</v>
      </c>
      <c r="G80" s="1">
        <v>375</v>
      </c>
      <c r="H80" s="2">
        <v>91.9</v>
      </c>
      <c r="I80" s="2">
        <v>4.7</v>
      </c>
      <c r="J80" s="2">
        <v>-5.5</v>
      </c>
      <c r="K80" s="2">
        <f t="shared" si="8"/>
        <v>4.7</v>
      </c>
      <c r="L80" s="8">
        <f t="shared" ref="L80:L81" si="11">10^((K80-H80)/10)</f>
        <v>1.9054607179632436E-9</v>
      </c>
      <c r="M80" s="26">
        <f>SUM(L80:L85)</f>
        <v>4.973054533529078E-9</v>
      </c>
      <c r="N80" s="17">
        <f>10*LOG10(M80/E80)</f>
        <v>-90.815280287382066</v>
      </c>
      <c r="O80" s="9">
        <f t="shared" si="10"/>
        <v>-5.5</v>
      </c>
      <c r="P80" s="8">
        <f>D80/B80*10^(O80/10)</f>
        <v>5.5428197648200914</v>
      </c>
      <c r="Q80" s="26">
        <f>SUM(P80:P85)</f>
        <v>21.867856455246912</v>
      </c>
      <c r="R80" s="17">
        <f>10*LOG10(Q80)</f>
        <v>13.398062144376109</v>
      </c>
      <c r="S80" s="18">
        <f>F80+N80-Kzt-H</f>
        <v>-6.8152802873820661</v>
      </c>
      <c r="T80" s="17">
        <v>0.5</v>
      </c>
      <c r="U80" s="21">
        <f>T80*10^((S80-R80)/10)</f>
        <v>4.7603157597596694E-3</v>
      </c>
    </row>
    <row r="81" spans="1:21" x14ac:dyDescent="0.25">
      <c r="A81" s="24"/>
      <c r="B81" s="24"/>
      <c r="C81" s="17"/>
      <c r="D81" s="24"/>
      <c r="E81" s="24"/>
      <c r="F81" s="25"/>
      <c r="G81" s="1">
        <v>425</v>
      </c>
      <c r="H81" s="2">
        <v>88.1</v>
      </c>
      <c r="I81" s="2">
        <v>1.4</v>
      </c>
      <c r="J81" s="2">
        <v>-9.6999999999999993</v>
      </c>
      <c r="K81" s="2">
        <f t="shared" si="8"/>
        <v>1.4</v>
      </c>
      <c r="L81" s="8">
        <f t="shared" si="11"/>
        <v>2.1379620895022345E-9</v>
      </c>
      <c r="M81" s="26"/>
      <c r="N81" s="17"/>
      <c r="O81" s="9">
        <f t="shared" si="10"/>
        <v>-9.6999999999999993</v>
      </c>
      <c r="P81" s="8">
        <f>D80/B80*10^(O81/10)</f>
        <v>2.1073213003006259</v>
      </c>
      <c r="Q81" s="26"/>
      <c r="R81" s="17"/>
      <c r="S81" s="19"/>
      <c r="T81" s="17"/>
      <c r="U81" s="22"/>
    </row>
    <row r="82" spans="1:21" x14ac:dyDescent="0.25">
      <c r="A82" s="24"/>
      <c r="B82" s="24"/>
      <c r="C82" s="17"/>
      <c r="D82" s="24"/>
      <c r="E82" s="24"/>
      <c r="F82" s="25"/>
      <c r="G82" s="1">
        <v>475</v>
      </c>
      <c r="H82" s="2">
        <v>90</v>
      </c>
      <c r="I82" s="2">
        <v>-7.5</v>
      </c>
      <c r="J82" s="2">
        <v>-9.1</v>
      </c>
      <c r="K82" s="2">
        <f t="shared" si="8"/>
        <v>-7.5</v>
      </c>
      <c r="L82" s="8">
        <f>10^((K82-H82)/10)</f>
        <v>1.778279410038918E-10</v>
      </c>
      <c r="M82" s="26"/>
      <c r="N82" s="17"/>
      <c r="O82" s="9">
        <f t="shared" si="10"/>
        <v>-9.1</v>
      </c>
      <c r="P82" s="8">
        <f>D80/B80*10^(O82/10)</f>
        <v>2.4195285825976836</v>
      </c>
      <c r="Q82" s="26"/>
      <c r="R82" s="17"/>
      <c r="S82" s="19"/>
      <c r="T82" s="17"/>
      <c r="U82" s="22"/>
    </row>
    <row r="83" spans="1:21" x14ac:dyDescent="0.25">
      <c r="A83" s="24"/>
      <c r="B83" s="24"/>
      <c r="C83" s="17"/>
      <c r="D83" s="24"/>
      <c r="E83" s="24"/>
      <c r="F83" s="25"/>
      <c r="G83" s="1">
        <v>575</v>
      </c>
      <c r="H83" s="2">
        <v>97</v>
      </c>
      <c r="I83" s="2">
        <v>-6.8</v>
      </c>
      <c r="J83" s="2">
        <v>-7.8</v>
      </c>
      <c r="K83" s="2">
        <f t="shared" si="8"/>
        <v>-6.8</v>
      </c>
      <c r="L83" s="8">
        <f t="shared" ref="L83:L109" si="12">10^((K83-H83)/10)</f>
        <v>4.1686938347033529E-11</v>
      </c>
      <c r="M83" s="26"/>
      <c r="N83" s="17"/>
      <c r="O83" s="9">
        <f t="shared" si="10"/>
        <v>-7.8</v>
      </c>
      <c r="P83" s="8">
        <f>D80/B80*10^(O83/10)</f>
        <v>3.2638542512938682</v>
      </c>
      <c r="Q83" s="26"/>
      <c r="R83" s="17"/>
      <c r="S83" s="19"/>
      <c r="T83" s="17"/>
      <c r="U83" s="22"/>
    </row>
    <row r="84" spans="1:21" x14ac:dyDescent="0.25">
      <c r="A84" s="24"/>
      <c r="B84" s="24"/>
      <c r="C84" s="17"/>
      <c r="D84" s="24"/>
      <c r="E84" s="24"/>
      <c r="F84" s="25"/>
      <c r="G84" s="1">
        <v>625</v>
      </c>
      <c r="H84" s="2">
        <v>92</v>
      </c>
      <c r="I84" s="2">
        <v>-1</v>
      </c>
      <c r="J84" s="2">
        <v>-6.3</v>
      </c>
      <c r="K84" s="2">
        <f t="shared" si="8"/>
        <v>-1</v>
      </c>
      <c r="L84" s="8">
        <f t="shared" si="12"/>
        <v>5.011872336272705E-10</v>
      </c>
      <c r="M84" s="26"/>
      <c r="N84" s="17"/>
      <c r="O84" s="9">
        <f t="shared" si="10"/>
        <v>-6.3</v>
      </c>
      <c r="P84" s="8">
        <f>D80/B80*10^(O84/10)</f>
        <v>4.6103166701291798</v>
      </c>
      <c r="Q84" s="26"/>
      <c r="R84" s="17"/>
      <c r="S84" s="19"/>
      <c r="T84" s="17"/>
      <c r="U84" s="22"/>
    </row>
    <row r="85" spans="1:21" x14ac:dyDescent="0.25">
      <c r="A85" s="24"/>
      <c r="B85" s="24"/>
      <c r="C85" s="17"/>
      <c r="D85" s="24"/>
      <c r="E85" s="24"/>
      <c r="F85" s="25"/>
      <c r="G85" s="1">
        <v>675</v>
      </c>
      <c r="H85" s="2">
        <v>94.5</v>
      </c>
      <c r="I85" s="2">
        <v>-2.2999999999999998</v>
      </c>
      <c r="J85" s="2">
        <v>-7</v>
      </c>
      <c r="K85" s="2">
        <f t="shared" si="8"/>
        <v>-2.2999999999999998</v>
      </c>
      <c r="L85" s="8">
        <f t="shared" si="12"/>
        <v>2.0892961308540397E-10</v>
      </c>
      <c r="M85" s="26"/>
      <c r="N85" s="17"/>
      <c r="O85" s="9">
        <f t="shared" si="10"/>
        <v>-7</v>
      </c>
      <c r="P85" s="8">
        <f>D80/B80*10^(O85/10)</f>
        <v>3.924015886105463</v>
      </c>
      <c r="Q85" s="26"/>
      <c r="R85" s="17"/>
      <c r="S85" s="20"/>
      <c r="T85" s="17"/>
      <c r="U85" s="23"/>
    </row>
    <row r="86" spans="1:21" x14ac:dyDescent="0.25">
      <c r="A86" s="24">
        <v>1000</v>
      </c>
      <c r="B86" s="24">
        <v>3</v>
      </c>
      <c r="C86" s="17">
        <v>0.5</v>
      </c>
      <c r="D86" s="24">
        <v>117</v>
      </c>
      <c r="E86" s="24">
        <v>6</v>
      </c>
      <c r="F86" s="25">
        <v>76</v>
      </c>
      <c r="G86" s="1">
        <v>875</v>
      </c>
      <c r="H86" s="2">
        <v>91.1</v>
      </c>
      <c r="I86" s="2">
        <v>-5.8</v>
      </c>
      <c r="J86" s="2">
        <v>-8.9</v>
      </c>
      <c r="K86" s="2">
        <f t="shared" si="8"/>
        <v>-5.8</v>
      </c>
      <c r="L86" s="8">
        <f t="shared" si="12"/>
        <v>2.0417379446695298E-10</v>
      </c>
      <c r="M86" s="26">
        <f>SUM(L86:L91)</f>
        <v>2.2466187968952808E-9</v>
      </c>
      <c r="N86" s="17">
        <f>10*LOG10(M86/E86)</f>
        <v>-94.266218621877414</v>
      </c>
      <c r="O86" s="9">
        <f t="shared" si="10"/>
        <v>-8.9</v>
      </c>
      <c r="P86" s="8">
        <f>D86/B86*10^(O86/10)</f>
        <v>5.0241732516032211</v>
      </c>
      <c r="Q86" s="26">
        <f>SUM(P86:P91)</f>
        <v>50.675625590478241</v>
      </c>
      <c r="R86" s="17">
        <f>10*LOG10(Q86)</f>
        <v>17.04799118762493</v>
      </c>
      <c r="S86" s="18">
        <f>F86+N86-Kzt-H</f>
        <v>-18.266218621877414</v>
      </c>
      <c r="T86" s="17">
        <v>0.8</v>
      </c>
      <c r="U86" s="21">
        <f>T86*10^((S86-R86)/10)</f>
        <v>2.353255086306772E-4</v>
      </c>
    </row>
    <row r="87" spans="1:21" x14ac:dyDescent="0.25">
      <c r="A87" s="24"/>
      <c r="B87" s="24"/>
      <c r="C87" s="17"/>
      <c r="D87" s="24"/>
      <c r="E87" s="24"/>
      <c r="F87" s="25"/>
      <c r="G87" s="1">
        <v>975</v>
      </c>
      <c r="H87" s="2">
        <v>96.5</v>
      </c>
      <c r="I87" s="2">
        <v>4.0999999999999996</v>
      </c>
      <c r="J87" s="2">
        <v>-7.6</v>
      </c>
      <c r="K87" s="2">
        <f t="shared" si="8"/>
        <v>4.0999999999999996</v>
      </c>
      <c r="L87" s="8">
        <f t="shared" si="12"/>
        <v>5.7543993733715462E-10</v>
      </c>
      <c r="M87" s="26"/>
      <c r="N87" s="17"/>
      <c r="O87" s="9">
        <f t="shared" si="10"/>
        <v>-7.6</v>
      </c>
      <c r="P87" s="8">
        <f>D86/B86*10^(O87/10)</f>
        <v>6.7774232321225618</v>
      </c>
      <c r="Q87" s="26"/>
      <c r="R87" s="17"/>
      <c r="S87" s="19"/>
      <c r="T87" s="17"/>
      <c r="U87" s="22"/>
    </row>
    <row r="88" spans="1:21" x14ac:dyDescent="0.25">
      <c r="A88" s="24"/>
      <c r="B88" s="24"/>
      <c r="C88" s="17"/>
      <c r="D88" s="24"/>
      <c r="E88" s="24"/>
      <c r="F88" s="25"/>
      <c r="G88" s="1">
        <v>1075</v>
      </c>
      <c r="H88" s="2">
        <v>94.6</v>
      </c>
      <c r="I88" s="2">
        <v>5.2</v>
      </c>
      <c r="J88" s="2">
        <v>-8</v>
      </c>
      <c r="K88" s="2">
        <f t="shared" si="8"/>
        <v>5.2</v>
      </c>
      <c r="L88" s="8">
        <f t="shared" si="12"/>
        <v>1.1481536214968828E-9</v>
      </c>
      <c r="M88" s="26"/>
      <c r="N88" s="17"/>
      <c r="O88" s="9">
        <f t="shared" si="10"/>
        <v>-8</v>
      </c>
      <c r="P88" s="8">
        <f>D86/B86*10^(O88/10)</f>
        <v>6.181083450598341</v>
      </c>
      <c r="Q88" s="26"/>
      <c r="R88" s="17"/>
      <c r="S88" s="19"/>
      <c r="T88" s="17"/>
      <c r="U88" s="22"/>
    </row>
    <row r="89" spans="1:21" x14ac:dyDescent="0.25">
      <c r="A89" s="24"/>
      <c r="B89" s="24"/>
      <c r="C89" s="17"/>
      <c r="D89" s="24"/>
      <c r="E89" s="24"/>
      <c r="F89" s="25"/>
      <c r="G89" s="1">
        <v>1175</v>
      </c>
      <c r="H89" s="2">
        <v>97.8</v>
      </c>
      <c r="I89" s="2">
        <v>2.1</v>
      </c>
      <c r="J89" s="2">
        <v>-7.3</v>
      </c>
      <c r="K89" s="2">
        <f t="shared" si="8"/>
        <v>2.1</v>
      </c>
      <c r="L89" s="8">
        <f t="shared" si="12"/>
        <v>2.6915348039269034E-10</v>
      </c>
      <c r="M89" s="26"/>
      <c r="N89" s="17"/>
      <c r="O89" s="9">
        <f t="shared" si="10"/>
        <v>-7.3</v>
      </c>
      <c r="P89" s="8">
        <f>D86/B86*10^(O89/10)</f>
        <v>7.2621398329851816</v>
      </c>
      <c r="Q89" s="26"/>
      <c r="R89" s="17"/>
      <c r="S89" s="19"/>
      <c r="T89" s="17"/>
      <c r="U89" s="22"/>
    </row>
    <row r="90" spans="1:21" x14ac:dyDescent="0.25">
      <c r="A90" s="24"/>
      <c r="B90" s="24"/>
      <c r="C90" s="17"/>
      <c r="D90" s="24"/>
      <c r="E90" s="24"/>
      <c r="F90" s="25"/>
      <c r="G90" s="1">
        <v>1275</v>
      </c>
      <c r="H90" s="2">
        <v>100.1</v>
      </c>
      <c r="I90" s="2">
        <v>-5.0999999999999996</v>
      </c>
      <c r="J90" s="2">
        <v>-5.8</v>
      </c>
      <c r="K90" s="2">
        <f t="shared" si="8"/>
        <v>-5.0999999999999996</v>
      </c>
      <c r="L90" s="8">
        <f t="shared" si="12"/>
        <v>3.0199517204020087E-11</v>
      </c>
      <c r="M90" s="26"/>
      <c r="N90" s="17"/>
      <c r="O90" s="9">
        <f t="shared" si="10"/>
        <v>-5.8</v>
      </c>
      <c r="P90" s="8">
        <f>D86/B86*10^(O90/10)</f>
        <v>10.258045168391989</v>
      </c>
      <c r="Q90" s="26"/>
      <c r="R90" s="17"/>
      <c r="S90" s="19"/>
      <c r="T90" s="17"/>
      <c r="U90" s="22"/>
    </row>
    <row r="91" spans="1:21" x14ac:dyDescent="0.25">
      <c r="A91" s="24"/>
      <c r="B91" s="24"/>
      <c r="C91" s="17"/>
      <c r="D91" s="24"/>
      <c r="E91" s="24"/>
      <c r="F91" s="25"/>
      <c r="G91" s="1">
        <v>1375</v>
      </c>
      <c r="H91" s="2">
        <v>103</v>
      </c>
      <c r="I91" s="2">
        <v>-4.0999999999999996</v>
      </c>
      <c r="J91" s="2">
        <v>-4.0999999999999996</v>
      </c>
      <c r="K91" s="2">
        <f t="shared" si="8"/>
        <v>-4.0999999999999996</v>
      </c>
      <c r="L91" s="8">
        <f t="shared" si="12"/>
        <v>1.949844599758044E-11</v>
      </c>
      <c r="M91" s="26"/>
      <c r="N91" s="17"/>
      <c r="O91" s="9">
        <f t="shared" si="10"/>
        <v>-4.0999999999999996</v>
      </c>
      <c r="P91" s="8">
        <f>D86/B86*10^(O91/10)</f>
        <v>15.172760654776942</v>
      </c>
      <c r="Q91" s="26"/>
      <c r="R91" s="17"/>
      <c r="S91" s="20"/>
      <c r="T91" s="17"/>
      <c r="U91" s="23"/>
    </row>
    <row r="92" spans="1:21" x14ac:dyDescent="0.25">
      <c r="A92" s="24">
        <v>2000</v>
      </c>
      <c r="B92" s="24">
        <v>3</v>
      </c>
      <c r="C92" s="17">
        <v>0.5</v>
      </c>
      <c r="D92" s="24">
        <v>234</v>
      </c>
      <c r="E92" s="24">
        <v>6</v>
      </c>
      <c r="F92" s="25">
        <v>68</v>
      </c>
      <c r="G92" s="1">
        <v>1425</v>
      </c>
      <c r="H92" s="2">
        <v>102.8</v>
      </c>
      <c r="I92" s="2">
        <v>-5.3999999999999995</v>
      </c>
      <c r="J92" s="2">
        <v>-6.6</v>
      </c>
      <c r="K92" s="2">
        <f t="shared" si="8"/>
        <v>-5.3999999999999995</v>
      </c>
      <c r="L92" s="8">
        <f t="shared" si="12"/>
        <v>1.5135612484362034E-11</v>
      </c>
      <c r="M92" s="26">
        <f>SUM(L92:L97)</f>
        <v>5.2180778922566068E-10</v>
      </c>
      <c r="N92" s="17">
        <f>10*LOG10(M92/E92)</f>
        <v>-100.60640692690208</v>
      </c>
      <c r="O92" s="9">
        <f t="shared" si="10"/>
        <v>-6.6</v>
      </c>
      <c r="P92" s="8">
        <f>D92/B92*10^(O92/10)</f>
        <v>17.064540666806511</v>
      </c>
      <c r="Q92" s="26">
        <f>SUM(P92:P97)</f>
        <v>260.50903020563976</v>
      </c>
      <c r="R92" s="17">
        <f>10*LOG10(Q92)</f>
        <v>24.15822782148048</v>
      </c>
      <c r="S92" s="18">
        <f>F92+N92-Kzt-H</f>
        <v>-32.606406926902082</v>
      </c>
      <c r="T92" s="17">
        <v>1</v>
      </c>
      <c r="U92" s="21">
        <f>T92*10^((S92-R92)/10)</f>
        <v>2.1063790428493638E-6</v>
      </c>
    </row>
    <row r="93" spans="1:21" x14ac:dyDescent="0.25">
      <c r="A93" s="24"/>
      <c r="B93" s="24"/>
      <c r="C93" s="17"/>
      <c r="D93" s="24"/>
      <c r="E93" s="24"/>
      <c r="F93" s="25"/>
      <c r="G93" s="1">
        <v>1625</v>
      </c>
      <c r="H93" s="2">
        <v>104.1</v>
      </c>
      <c r="I93" s="2">
        <v>7.8</v>
      </c>
      <c r="J93" s="2">
        <v>1.1000000000000001</v>
      </c>
      <c r="K93" s="2">
        <f t="shared" si="8"/>
        <v>7.8</v>
      </c>
      <c r="L93" s="8">
        <f t="shared" si="12"/>
        <v>2.3442288153199212E-10</v>
      </c>
      <c r="M93" s="26"/>
      <c r="N93" s="17"/>
      <c r="O93" s="9">
        <f t="shared" si="10"/>
        <v>1.1000000000000001</v>
      </c>
      <c r="P93" s="8">
        <f>D92/B92*10^(O93/10)</f>
        <v>100.48346503206446</v>
      </c>
      <c r="Q93" s="26"/>
      <c r="R93" s="17"/>
      <c r="S93" s="19"/>
      <c r="T93" s="17"/>
      <c r="U93" s="22"/>
    </row>
    <row r="94" spans="1:21" x14ac:dyDescent="0.25">
      <c r="A94" s="24"/>
      <c r="B94" s="24"/>
      <c r="C94" s="17"/>
      <c r="D94" s="24"/>
      <c r="E94" s="24"/>
      <c r="F94" s="25"/>
      <c r="G94" s="1">
        <v>1825</v>
      </c>
      <c r="H94" s="2">
        <v>107.6</v>
      </c>
      <c r="I94" s="2">
        <v>-2.2000000000000002</v>
      </c>
      <c r="J94" s="2">
        <v>-3.7</v>
      </c>
      <c r="K94" s="2">
        <f t="shared" si="8"/>
        <v>-2.2000000000000002</v>
      </c>
      <c r="L94" s="8">
        <f t="shared" si="12"/>
        <v>1.0471285480508978E-11</v>
      </c>
      <c r="M94" s="26"/>
      <c r="N94" s="17"/>
      <c r="O94" s="9">
        <f t="shared" si="10"/>
        <v>-3.7</v>
      </c>
      <c r="P94" s="8">
        <f>D92/B92*10^(O94/10)</f>
        <v>33.273202466524225</v>
      </c>
      <c r="Q94" s="26"/>
      <c r="R94" s="17"/>
      <c r="S94" s="19"/>
      <c r="T94" s="17"/>
      <c r="U94" s="22"/>
    </row>
    <row r="95" spans="1:21" x14ac:dyDescent="0.25">
      <c r="A95" s="24"/>
      <c r="B95" s="24"/>
      <c r="C95" s="17"/>
      <c r="D95" s="24"/>
      <c r="E95" s="24"/>
      <c r="F95" s="25"/>
      <c r="G95" s="1">
        <v>2125</v>
      </c>
      <c r="H95" s="2">
        <v>104.2</v>
      </c>
      <c r="I95" s="2">
        <v>0.2</v>
      </c>
      <c r="J95" s="2">
        <v>-0.8</v>
      </c>
      <c r="K95" s="2">
        <f t="shared" si="8"/>
        <v>0.2</v>
      </c>
      <c r="L95" s="8">
        <f t="shared" si="12"/>
        <v>3.9810717055349579E-11</v>
      </c>
      <c r="M95" s="26"/>
      <c r="N95" s="17"/>
      <c r="O95" s="9">
        <f t="shared" si="10"/>
        <v>-0.8</v>
      </c>
      <c r="P95" s="8">
        <f>D92/B92*10^(O95/10)</f>
        <v>64.877574146008342</v>
      </c>
      <c r="Q95" s="26"/>
      <c r="R95" s="17"/>
      <c r="S95" s="19"/>
      <c r="T95" s="17"/>
      <c r="U95" s="22"/>
    </row>
    <row r="96" spans="1:21" x14ac:dyDescent="0.25">
      <c r="A96" s="24"/>
      <c r="B96" s="24"/>
      <c r="C96" s="17"/>
      <c r="D96" s="24"/>
      <c r="E96" s="24"/>
      <c r="F96" s="25"/>
      <c r="G96" s="1">
        <v>2425</v>
      </c>
      <c r="H96" s="2">
        <v>93.7</v>
      </c>
      <c r="I96" s="2">
        <v>-6</v>
      </c>
      <c r="J96" s="2">
        <v>-8.3000000000000007</v>
      </c>
      <c r="K96" s="2">
        <f t="shared" si="8"/>
        <v>-6</v>
      </c>
      <c r="L96" s="8">
        <f t="shared" si="12"/>
        <v>1.0715193052376019E-10</v>
      </c>
      <c r="M96" s="26"/>
      <c r="N96" s="17"/>
      <c r="O96" s="9">
        <f t="shared" si="10"/>
        <v>-8.3000000000000007</v>
      </c>
      <c r="P96" s="8">
        <f>D92/B92*10^(O96/10)</f>
        <v>11.537045427712016</v>
      </c>
      <c r="Q96" s="26"/>
      <c r="R96" s="17"/>
      <c r="S96" s="19"/>
      <c r="T96" s="17"/>
      <c r="U96" s="22"/>
    </row>
    <row r="97" spans="1:21" x14ac:dyDescent="0.25">
      <c r="A97" s="24"/>
      <c r="B97" s="24"/>
      <c r="C97" s="17"/>
      <c r="D97" s="24"/>
      <c r="E97" s="24"/>
      <c r="F97" s="25"/>
      <c r="G97" s="1">
        <v>2775</v>
      </c>
      <c r="H97" s="2">
        <v>100.2</v>
      </c>
      <c r="I97" s="2">
        <v>0.8</v>
      </c>
      <c r="J97" s="2">
        <v>-3.7</v>
      </c>
      <c r="K97" s="2">
        <f t="shared" si="8"/>
        <v>0.8</v>
      </c>
      <c r="L97" s="8">
        <f t="shared" si="12"/>
        <v>1.1481536214968775E-10</v>
      </c>
      <c r="M97" s="26"/>
      <c r="N97" s="17"/>
      <c r="O97" s="9">
        <f t="shared" si="10"/>
        <v>-3.7</v>
      </c>
      <c r="P97" s="8">
        <f>D92/B92*10^(O97/10)</f>
        <v>33.273202466524225</v>
      </c>
      <c r="Q97" s="26"/>
      <c r="R97" s="17"/>
      <c r="S97" s="20"/>
      <c r="T97" s="17"/>
      <c r="U97" s="23"/>
    </row>
    <row r="98" spans="1:21" x14ac:dyDescent="0.25">
      <c r="A98" s="24">
        <v>4000</v>
      </c>
      <c r="B98" s="24">
        <v>3</v>
      </c>
      <c r="C98" s="17">
        <v>0.5</v>
      </c>
      <c r="D98" s="24">
        <v>470</v>
      </c>
      <c r="E98" s="24">
        <v>6</v>
      </c>
      <c r="F98" s="25">
        <v>62</v>
      </c>
      <c r="G98" s="1">
        <v>2825</v>
      </c>
      <c r="H98" s="2">
        <v>99.4</v>
      </c>
      <c r="I98" s="2">
        <v>1.6</v>
      </c>
      <c r="J98" s="2">
        <v>0.1</v>
      </c>
      <c r="K98" s="2">
        <f t="shared" si="8"/>
        <v>1.6</v>
      </c>
      <c r="L98" s="8">
        <f t="shared" si="12"/>
        <v>1.6595869074375505E-10</v>
      </c>
      <c r="M98" s="26">
        <f>SUM(L98:L103)</f>
        <v>9.8200669752178217E-10</v>
      </c>
      <c r="N98" s="17">
        <f>10*LOG10(M98/E98)</f>
        <v>-97.860368005938085</v>
      </c>
      <c r="O98" s="9">
        <f t="shared" si="10"/>
        <v>0.1</v>
      </c>
      <c r="P98" s="8">
        <f>D98/B98*10^(O98/10)</f>
        <v>160.31590212398481</v>
      </c>
      <c r="Q98" s="26">
        <f>SUM(P98:P103)</f>
        <v>875.79989107163965</v>
      </c>
      <c r="R98" s="17">
        <f>10*LOG10(Q98)</f>
        <v>29.424048868403627</v>
      </c>
      <c r="S98" s="18">
        <f>F98+N98-Kzt-H</f>
        <v>-35.860368005938085</v>
      </c>
      <c r="T98" s="17">
        <v>0.9</v>
      </c>
      <c r="U98" s="21">
        <f>T98*10^((S98-R98)/10)</f>
        <v>2.6656358588074603E-7</v>
      </c>
    </row>
    <row r="99" spans="1:21" x14ac:dyDescent="0.25">
      <c r="A99" s="24"/>
      <c r="B99" s="24"/>
      <c r="C99" s="17"/>
      <c r="D99" s="24"/>
      <c r="E99" s="24"/>
      <c r="F99" s="25"/>
      <c r="G99" s="1">
        <v>3425</v>
      </c>
      <c r="H99" s="2">
        <v>103.5</v>
      </c>
      <c r="I99" s="2">
        <v>-4.8</v>
      </c>
      <c r="J99" s="2">
        <v>-5.5</v>
      </c>
      <c r="K99" s="2">
        <f t="shared" si="8"/>
        <v>-4.8</v>
      </c>
      <c r="L99" s="8">
        <f t="shared" si="12"/>
        <v>1.4791083881682027E-11</v>
      </c>
      <c r="M99" s="26"/>
      <c r="N99" s="17"/>
      <c r="O99" s="9">
        <f t="shared" si="10"/>
        <v>-5.5</v>
      </c>
      <c r="P99" s="8">
        <f>D98/B98*10^(O99/10)</f>
        <v>44.154665923143099</v>
      </c>
      <c r="Q99" s="26"/>
      <c r="R99" s="17"/>
      <c r="S99" s="19"/>
      <c r="T99" s="17"/>
      <c r="U99" s="22"/>
    </row>
    <row r="100" spans="1:21" x14ac:dyDescent="0.25">
      <c r="A100" s="24"/>
      <c r="B100" s="24"/>
      <c r="C100" s="17"/>
      <c r="D100" s="24"/>
      <c r="E100" s="24"/>
      <c r="F100" s="25"/>
      <c r="G100" s="1">
        <v>4025</v>
      </c>
      <c r="H100" s="2">
        <v>103.6</v>
      </c>
      <c r="I100" s="2">
        <v>-0.4</v>
      </c>
      <c r="J100" s="2">
        <v>-1.5</v>
      </c>
      <c r="K100" s="2">
        <f t="shared" si="8"/>
        <v>-0.4</v>
      </c>
      <c r="L100" s="8">
        <f t="shared" si="12"/>
        <v>3.9810717055349579E-11</v>
      </c>
      <c r="M100" s="26"/>
      <c r="N100" s="17"/>
      <c r="O100" s="9">
        <f t="shared" si="10"/>
        <v>-1.5</v>
      </c>
      <c r="P100" s="8">
        <f>D98/B98*10^(O100/10)</f>
        <v>110.91150622018159</v>
      </c>
      <c r="Q100" s="26"/>
      <c r="R100" s="17"/>
      <c r="S100" s="19"/>
      <c r="T100" s="17"/>
      <c r="U100" s="22"/>
    </row>
    <row r="101" spans="1:21" x14ac:dyDescent="0.25">
      <c r="A101" s="24"/>
      <c r="B101" s="24"/>
      <c r="C101" s="17"/>
      <c r="D101" s="24"/>
      <c r="E101" s="24"/>
      <c r="F101" s="25"/>
      <c r="G101" s="1">
        <v>4625</v>
      </c>
      <c r="H101" s="2">
        <v>105.6</v>
      </c>
      <c r="I101" s="2">
        <v>-0.6</v>
      </c>
      <c r="J101" s="2">
        <v>-3.4</v>
      </c>
      <c r="K101" s="2">
        <f t="shared" si="8"/>
        <v>-0.6</v>
      </c>
      <c r="L101" s="8">
        <f t="shared" si="12"/>
        <v>2.3988329190194867E-11</v>
      </c>
      <c r="M101" s="26"/>
      <c r="N101" s="17"/>
      <c r="O101" s="9">
        <f t="shared" si="10"/>
        <v>-3.4</v>
      </c>
      <c r="P101" s="8">
        <f>D98/B98*10^(O101/10)</f>
        <v>71.610483039663748</v>
      </c>
      <c r="Q101" s="26"/>
      <c r="R101" s="17"/>
      <c r="S101" s="19"/>
      <c r="T101" s="17"/>
      <c r="U101" s="22"/>
    </row>
    <row r="102" spans="1:21" x14ac:dyDescent="0.25">
      <c r="A102" s="24"/>
      <c r="B102" s="24"/>
      <c r="C102" s="17"/>
      <c r="D102" s="24"/>
      <c r="E102" s="24"/>
      <c r="F102" s="25"/>
      <c r="G102" s="1">
        <v>5225</v>
      </c>
      <c r="H102" s="2">
        <v>103.5</v>
      </c>
      <c r="I102" s="2">
        <v>-1.8</v>
      </c>
      <c r="J102" s="2">
        <v>-3.1</v>
      </c>
      <c r="K102" s="2">
        <f t="shared" si="8"/>
        <v>-1.8</v>
      </c>
      <c r="L102" s="8">
        <f t="shared" si="12"/>
        <v>2.9512092266663787E-11</v>
      </c>
      <c r="M102" s="26"/>
      <c r="N102" s="17"/>
      <c r="O102" s="9">
        <f t="shared" si="10"/>
        <v>-3.1</v>
      </c>
      <c r="P102" s="8">
        <f>D98/B98*10^(O102/10)</f>
        <v>76.732015034389889</v>
      </c>
      <c r="Q102" s="26"/>
      <c r="R102" s="17"/>
      <c r="S102" s="19"/>
      <c r="T102" s="17"/>
      <c r="U102" s="22"/>
    </row>
    <row r="103" spans="1:21" x14ac:dyDescent="0.25">
      <c r="A103" s="24"/>
      <c r="B103" s="24"/>
      <c r="C103" s="17"/>
      <c r="D103" s="24"/>
      <c r="E103" s="24"/>
      <c r="F103" s="25"/>
      <c r="G103" s="1">
        <v>5625</v>
      </c>
      <c r="H103" s="2">
        <v>99.5</v>
      </c>
      <c r="I103" s="2">
        <v>8</v>
      </c>
      <c r="J103" s="2">
        <v>4.2</v>
      </c>
      <c r="K103" s="2">
        <f t="shared" si="8"/>
        <v>8</v>
      </c>
      <c r="L103" s="8">
        <f t="shared" si="12"/>
        <v>7.079457843841369E-10</v>
      </c>
      <c r="M103" s="26"/>
      <c r="N103" s="17"/>
      <c r="O103" s="9">
        <f t="shared" si="10"/>
        <v>4.2</v>
      </c>
      <c r="P103" s="8">
        <f>D98/B98*10^(O103/10)</f>
        <v>412.07531873027659</v>
      </c>
      <c r="Q103" s="26"/>
      <c r="R103" s="17"/>
      <c r="S103" s="20"/>
      <c r="T103" s="17"/>
      <c r="U103" s="23"/>
    </row>
    <row r="104" spans="1:21" x14ac:dyDescent="0.25">
      <c r="A104" s="24">
        <v>8000</v>
      </c>
      <c r="B104" s="24">
        <v>3</v>
      </c>
      <c r="C104" s="17">
        <v>0.5</v>
      </c>
      <c r="D104" s="24">
        <v>943</v>
      </c>
      <c r="E104" s="24">
        <v>6</v>
      </c>
      <c r="F104" s="25">
        <v>54</v>
      </c>
      <c r="G104" s="1">
        <v>6025</v>
      </c>
      <c r="H104" s="2">
        <v>95</v>
      </c>
      <c r="I104" s="2">
        <v>-3.6999999999999997</v>
      </c>
      <c r="J104" s="2">
        <v>-3.9</v>
      </c>
      <c r="K104" s="2">
        <f t="shared" si="8"/>
        <v>-3.6999999999999997</v>
      </c>
      <c r="L104" s="8">
        <f t="shared" si="12"/>
        <v>1.3489628825916465E-10</v>
      </c>
      <c r="M104" s="26">
        <f>SUM(L104:L109)</f>
        <v>6.2841404252062721E-8</v>
      </c>
      <c r="N104" s="17">
        <f>10*LOG10(M104/E104)</f>
        <v>-79.799053691763049</v>
      </c>
      <c r="O104" s="9">
        <f t="shared" si="10"/>
        <v>-3.9</v>
      </c>
      <c r="P104" s="8">
        <f>D104/B104*10^(O104/10)</f>
        <v>128.05320065642607</v>
      </c>
      <c r="Q104" s="26">
        <f>SUM(P104:P109)</f>
        <v>18862.641995724996</v>
      </c>
      <c r="R104" s="17">
        <f>10*LOG10(Q104)</f>
        <v>42.756025221131466</v>
      </c>
      <c r="S104" s="18">
        <f>F104+N104-Kzt-H</f>
        <v>-25.799053691763049</v>
      </c>
      <c r="T104" s="17">
        <v>0.7</v>
      </c>
      <c r="U104" s="21">
        <f>T104*10^((S104-R104)/10)</f>
        <v>9.763154201788378E-8</v>
      </c>
    </row>
    <row r="105" spans="1:21" x14ac:dyDescent="0.25">
      <c r="A105" s="24"/>
      <c r="B105" s="24"/>
      <c r="C105" s="17"/>
      <c r="D105" s="24"/>
      <c r="E105" s="24"/>
      <c r="F105" s="25"/>
      <c r="G105" s="1">
        <v>7025</v>
      </c>
      <c r="H105" s="2">
        <v>94.8</v>
      </c>
      <c r="I105" s="2">
        <v>-4.0999999999999996</v>
      </c>
      <c r="J105" s="2">
        <v>-5.7</v>
      </c>
      <c r="K105" s="2">
        <f t="shared" si="8"/>
        <v>-4.0999999999999996</v>
      </c>
      <c r="L105" s="8">
        <f t="shared" si="12"/>
        <v>1.2882495516931369E-10</v>
      </c>
      <c r="M105" s="26"/>
      <c r="N105" s="17"/>
      <c r="O105" s="9">
        <f t="shared" si="10"/>
        <v>-5.7</v>
      </c>
      <c r="P105" s="8">
        <f>D104/B104*10^(O105/10)</f>
        <v>84.603910670102692</v>
      </c>
      <c r="Q105" s="26"/>
      <c r="R105" s="17"/>
      <c r="S105" s="19"/>
      <c r="T105" s="17"/>
      <c r="U105" s="22"/>
    </row>
    <row r="106" spans="1:21" x14ac:dyDescent="0.25">
      <c r="A106" s="24"/>
      <c r="B106" s="24"/>
      <c r="C106" s="17"/>
      <c r="D106" s="24"/>
      <c r="E106" s="24"/>
      <c r="F106" s="25"/>
      <c r="G106" s="1">
        <v>8025</v>
      </c>
      <c r="H106" s="2">
        <v>101.9</v>
      </c>
      <c r="I106" s="2">
        <v>18.5</v>
      </c>
      <c r="J106" s="2">
        <v>17</v>
      </c>
      <c r="K106" s="2">
        <f t="shared" si="8"/>
        <v>18.5</v>
      </c>
      <c r="L106" s="8">
        <f t="shared" si="12"/>
        <v>4.570881896148741E-9</v>
      </c>
      <c r="M106" s="26"/>
      <c r="N106" s="17"/>
      <c r="O106" s="9">
        <f t="shared" si="10"/>
        <v>17</v>
      </c>
      <c r="P106" s="8">
        <f>D104/B104*10^(O106/10)</f>
        <v>15753.985377017261</v>
      </c>
      <c r="Q106" s="26"/>
      <c r="R106" s="17"/>
      <c r="S106" s="19"/>
      <c r="T106" s="17"/>
      <c r="U106" s="22"/>
    </row>
    <row r="107" spans="1:21" x14ac:dyDescent="0.25">
      <c r="A107" s="24"/>
      <c r="B107" s="24"/>
      <c r="C107" s="17"/>
      <c r="D107" s="24"/>
      <c r="E107" s="24"/>
      <c r="F107" s="25"/>
      <c r="G107" s="1">
        <v>9025</v>
      </c>
      <c r="H107" s="2">
        <v>93.2</v>
      </c>
      <c r="I107" s="2">
        <v>2.9</v>
      </c>
      <c r="J107" s="2">
        <v>0.7</v>
      </c>
      <c r="K107" s="2">
        <f t="shared" si="8"/>
        <v>2.9</v>
      </c>
      <c r="L107" s="8">
        <f t="shared" si="12"/>
        <v>9.3325430079699202E-10</v>
      </c>
      <c r="M107" s="26"/>
      <c r="N107" s="17"/>
      <c r="O107" s="9">
        <f t="shared" si="10"/>
        <v>0.7</v>
      </c>
      <c r="P107" s="8">
        <f>D104/B104*10^(O107/10)</f>
        <v>369.30946476932542</v>
      </c>
      <c r="Q107" s="26"/>
      <c r="R107" s="17"/>
      <c r="S107" s="19"/>
      <c r="T107" s="17"/>
      <c r="U107" s="22"/>
    </row>
    <row r="108" spans="1:21" x14ac:dyDescent="0.25">
      <c r="A108" s="24"/>
      <c r="B108" s="24"/>
      <c r="C108" s="17"/>
      <c r="D108" s="24"/>
      <c r="E108" s="24"/>
      <c r="F108" s="25"/>
      <c r="G108" s="1">
        <v>10025</v>
      </c>
      <c r="H108" s="2">
        <v>88.3</v>
      </c>
      <c r="I108" s="2">
        <v>11.1</v>
      </c>
      <c r="J108" s="2">
        <v>6.6</v>
      </c>
      <c r="K108" s="2">
        <f t="shared" si="8"/>
        <v>11.1</v>
      </c>
      <c r="L108" s="8">
        <f t="shared" si="12"/>
        <v>1.9054607179632389E-8</v>
      </c>
      <c r="M108" s="26"/>
      <c r="N108" s="17"/>
      <c r="O108" s="9">
        <f t="shared" si="10"/>
        <v>6.6</v>
      </c>
      <c r="P108" s="8">
        <f>D104/B104*10^(O108/10)</f>
        <v>1436.7805426894236</v>
      </c>
      <c r="Q108" s="26"/>
      <c r="R108" s="17"/>
      <c r="S108" s="19"/>
      <c r="T108" s="17"/>
      <c r="U108" s="22"/>
    </row>
    <row r="109" spans="1:21" x14ac:dyDescent="0.25">
      <c r="A109" s="24"/>
      <c r="B109" s="24"/>
      <c r="C109" s="17"/>
      <c r="D109" s="24"/>
      <c r="E109" s="24"/>
      <c r="F109" s="25"/>
      <c r="G109" s="1">
        <v>11025</v>
      </c>
      <c r="H109" s="2">
        <v>86</v>
      </c>
      <c r="I109" s="2">
        <v>11.8</v>
      </c>
      <c r="J109" s="2">
        <v>5.4</v>
      </c>
      <c r="K109" s="2">
        <f t="shared" si="8"/>
        <v>11.8</v>
      </c>
      <c r="L109" s="8">
        <f t="shared" si="12"/>
        <v>3.8018939632056113E-8</v>
      </c>
      <c r="M109" s="26"/>
      <c r="N109" s="17"/>
      <c r="O109" s="9">
        <f t="shared" si="10"/>
        <v>5.4</v>
      </c>
      <c r="P109" s="8">
        <f>D104/B104*10^(O109/10)</f>
        <v>1089.9094999224578</v>
      </c>
      <c r="Q109" s="26"/>
      <c r="R109" s="17"/>
      <c r="S109" s="20"/>
      <c r="T109" s="17"/>
      <c r="U109" s="23"/>
    </row>
    <row r="110" spans="1:21" x14ac:dyDescent="0.25">
      <c r="A110" s="24" t="s">
        <v>20</v>
      </c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12">
        <f>U110</f>
        <v>0.10084763322580276</v>
      </c>
      <c r="T110" s="2"/>
      <c r="U110" s="8">
        <f>0.8*SQRT(SUM(U76:U109))</f>
        <v>0.10084763322580276</v>
      </c>
    </row>
    <row r="111" spans="1:21" x14ac:dyDescent="0.25">
      <c r="A111" s="27" t="s">
        <v>35</v>
      </c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9"/>
    </row>
    <row r="112" spans="1:21" x14ac:dyDescent="0.25">
      <c r="A112" s="24">
        <v>250</v>
      </c>
      <c r="B112" s="24">
        <v>3</v>
      </c>
      <c r="C112" s="17">
        <v>0.5</v>
      </c>
      <c r="D112" s="24">
        <v>38</v>
      </c>
      <c r="E112" s="24">
        <v>4</v>
      </c>
      <c r="F112" s="25">
        <v>84</v>
      </c>
      <c r="G112" s="1">
        <v>175</v>
      </c>
      <c r="H112" s="2">
        <v>84.8</v>
      </c>
      <c r="I112" s="2">
        <v>1.2</v>
      </c>
      <c r="J112" s="2">
        <v>-4.5999999999999996</v>
      </c>
      <c r="K112" s="2">
        <f>I112</f>
        <v>1.2</v>
      </c>
      <c r="L112" s="8">
        <f>10^((K112-H112)/10)</f>
        <v>4.3651583224016521E-9</v>
      </c>
      <c r="M112" s="26">
        <f>SUM(L112:L115)</f>
        <v>5.9364060086689253E-9</v>
      </c>
      <c r="N112" s="17">
        <f>10*LOG10(M112/E112)</f>
        <v>-88.285363953348536</v>
      </c>
      <c r="O112" s="9">
        <f>J112</f>
        <v>-4.5999999999999996</v>
      </c>
      <c r="P112" s="8">
        <f>D112/B112*10^(O112/10)</f>
        <v>4.3920001057320679</v>
      </c>
      <c r="Q112" s="26">
        <f>SUM(P112:P115)</f>
        <v>8.0340147720316448</v>
      </c>
      <c r="R112" s="17">
        <f>10*LOG10(Q112)</f>
        <v>9.0493262592763308</v>
      </c>
      <c r="S112" s="18">
        <f>F112+N112-Kzt-H</f>
        <v>-4.2853639533485364</v>
      </c>
      <c r="T112" s="17">
        <v>0.2</v>
      </c>
      <c r="U112" s="21">
        <f>T112*10^((S112-R112)/10)</f>
        <v>9.280277749188541E-3</v>
      </c>
    </row>
    <row r="113" spans="1:21" x14ac:dyDescent="0.25">
      <c r="A113" s="24"/>
      <c r="B113" s="24"/>
      <c r="C113" s="17"/>
      <c r="D113" s="24"/>
      <c r="E113" s="24"/>
      <c r="F113" s="25"/>
      <c r="G113" s="1">
        <v>225</v>
      </c>
      <c r="H113" s="2">
        <v>90</v>
      </c>
      <c r="I113" s="2">
        <v>-0.9</v>
      </c>
      <c r="J113" s="2">
        <v>-8.6</v>
      </c>
      <c r="K113" s="2">
        <f t="shared" ref="K113:K145" si="13">I113</f>
        <v>-0.9</v>
      </c>
      <c r="L113" s="8">
        <f t="shared" ref="L113:L114" si="14">10^((K113-H113)/10)</f>
        <v>8.1283051616409768E-10</v>
      </c>
      <c r="M113" s="26"/>
      <c r="N113" s="17"/>
      <c r="O113" s="9">
        <f t="shared" ref="O113:O145" si="15">J113</f>
        <v>-8.6</v>
      </c>
      <c r="P113" s="8">
        <f>D112/B112*10^(O113/10)</f>
        <v>1.7484867351636535</v>
      </c>
      <c r="Q113" s="26"/>
      <c r="R113" s="17"/>
      <c r="S113" s="19"/>
      <c r="T113" s="17"/>
      <c r="U113" s="22"/>
    </row>
    <row r="114" spans="1:21" x14ac:dyDescent="0.25">
      <c r="A114" s="24"/>
      <c r="B114" s="24"/>
      <c r="C114" s="17"/>
      <c r="D114" s="24"/>
      <c r="E114" s="24"/>
      <c r="F114" s="25"/>
      <c r="G114" s="1">
        <v>275</v>
      </c>
      <c r="H114" s="2">
        <v>92.2</v>
      </c>
      <c r="I114" s="2">
        <v>-7.9</v>
      </c>
      <c r="J114" s="2">
        <v>-9.4</v>
      </c>
      <c r="K114" s="2">
        <f t="shared" si="13"/>
        <v>-7.9</v>
      </c>
      <c r="L114" s="8">
        <f t="shared" si="14"/>
        <v>9.7723722095580348E-11</v>
      </c>
      <c r="M114" s="26"/>
      <c r="N114" s="17"/>
      <c r="O114" s="9">
        <f t="shared" si="15"/>
        <v>-9.4</v>
      </c>
      <c r="P114" s="8">
        <f>D112/B112*10^(O114/10)</f>
        <v>1.4543279205627178</v>
      </c>
      <c r="Q114" s="26"/>
      <c r="R114" s="17"/>
      <c r="S114" s="19"/>
      <c r="T114" s="17"/>
      <c r="U114" s="22"/>
    </row>
    <row r="115" spans="1:21" x14ac:dyDescent="0.25">
      <c r="A115" s="24"/>
      <c r="B115" s="24"/>
      <c r="C115" s="17"/>
      <c r="D115" s="24"/>
      <c r="E115" s="24"/>
      <c r="F115" s="25"/>
      <c r="G115" s="1">
        <v>325</v>
      </c>
      <c r="H115" s="2">
        <v>93.3</v>
      </c>
      <c r="I115" s="2">
        <v>1.5</v>
      </c>
      <c r="J115" s="2">
        <v>-14.6</v>
      </c>
      <c r="K115" s="2">
        <f t="shared" si="13"/>
        <v>1.5</v>
      </c>
      <c r="L115" s="8">
        <f>10^((K115-H115)/10)</f>
        <v>6.6069344800759527E-10</v>
      </c>
      <c r="M115" s="26"/>
      <c r="N115" s="17"/>
      <c r="O115" s="9">
        <f t="shared" si="15"/>
        <v>-14.6</v>
      </c>
      <c r="P115" s="8">
        <f>D112/B112*10^(O115/10)</f>
        <v>0.43920001057320662</v>
      </c>
      <c r="Q115" s="26"/>
      <c r="R115" s="17"/>
      <c r="S115" s="20"/>
      <c r="T115" s="17"/>
      <c r="U115" s="23"/>
    </row>
    <row r="116" spans="1:21" x14ac:dyDescent="0.25">
      <c r="A116" s="24">
        <v>500</v>
      </c>
      <c r="B116" s="24">
        <v>3</v>
      </c>
      <c r="C116" s="17">
        <v>0.5</v>
      </c>
      <c r="D116" s="24">
        <v>59</v>
      </c>
      <c r="E116" s="24">
        <v>6</v>
      </c>
      <c r="F116" s="25">
        <v>84</v>
      </c>
      <c r="G116" s="1">
        <v>375</v>
      </c>
      <c r="H116" s="2">
        <v>91.9</v>
      </c>
      <c r="I116" s="2">
        <v>-10.6</v>
      </c>
      <c r="J116" s="2">
        <v>-11.5</v>
      </c>
      <c r="K116" s="2">
        <f t="shared" si="13"/>
        <v>-10.6</v>
      </c>
      <c r="L116" s="8">
        <f t="shared" ref="L116:L117" si="16">10^((K116-H116)/10)</f>
        <v>5.6234132519034822E-11</v>
      </c>
      <c r="M116" s="26">
        <f>SUM(L116:L121)</f>
        <v>4.5625949217392685E-9</v>
      </c>
      <c r="N116" s="17">
        <f>10*LOG10(M116/E116)</f>
        <v>-91.189393376185635</v>
      </c>
      <c r="O116" s="9">
        <f t="shared" si="15"/>
        <v>-11.5</v>
      </c>
      <c r="P116" s="8">
        <f>D116/B116*10^(O116/10)</f>
        <v>1.3922933759554712</v>
      </c>
      <c r="Q116" s="26">
        <f>SUM(P116:P121)</f>
        <v>31.179911824485952</v>
      </c>
      <c r="R116" s="17">
        <f>10*LOG10(Q116)</f>
        <v>14.938748826875459</v>
      </c>
      <c r="S116" s="18">
        <f>F116+N116-Kzt-H</f>
        <v>-7.1893933761856346</v>
      </c>
      <c r="T116" s="17">
        <v>0.5</v>
      </c>
      <c r="U116" s="21">
        <f>T116*10^((S116-R116)/10)</f>
        <v>3.063061975315127E-3</v>
      </c>
    </row>
    <row r="117" spans="1:21" x14ac:dyDescent="0.25">
      <c r="A117" s="24"/>
      <c r="B117" s="24"/>
      <c r="C117" s="17"/>
      <c r="D117" s="24"/>
      <c r="E117" s="24"/>
      <c r="F117" s="25"/>
      <c r="G117" s="1">
        <v>425</v>
      </c>
      <c r="H117" s="2">
        <v>88.1</v>
      </c>
      <c r="I117" s="2">
        <v>0.6</v>
      </c>
      <c r="J117" s="2">
        <v>-14.1</v>
      </c>
      <c r="K117" s="2">
        <f t="shared" si="13"/>
        <v>0.6</v>
      </c>
      <c r="L117" s="8">
        <f t="shared" si="16"/>
        <v>1.7782794100389197E-9</v>
      </c>
      <c r="M117" s="26"/>
      <c r="N117" s="17"/>
      <c r="O117" s="9">
        <f t="shared" si="15"/>
        <v>-14.1</v>
      </c>
      <c r="P117" s="8">
        <f>D116/B116*10^(O117/10)</f>
        <v>0.76512211848875167</v>
      </c>
      <c r="Q117" s="26"/>
      <c r="R117" s="17"/>
      <c r="S117" s="19"/>
      <c r="T117" s="17"/>
      <c r="U117" s="22"/>
    </row>
    <row r="118" spans="1:21" x14ac:dyDescent="0.25">
      <c r="A118" s="24"/>
      <c r="B118" s="24"/>
      <c r="C118" s="17"/>
      <c r="D118" s="24"/>
      <c r="E118" s="24"/>
      <c r="F118" s="25"/>
      <c r="G118" s="1">
        <v>475</v>
      </c>
      <c r="H118" s="2">
        <v>90</v>
      </c>
      <c r="I118" s="2">
        <v>1.7</v>
      </c>
      <c r="J118" s="2">
        <v>-10.9</v>
      </c>
      <c r="K118" s="2">
        <f t="shared" si="13"/>
        <v>1.7</v>
      </c>
      <c r="L118" s="8">
        <f>10^((K118-H118)/10)</f>
        <v>1.479108388168206E-9</v>
      </c>
      <c r="M118" s="26"/>
      <c r="N118" s="17"/>
      <c r="O118" s="9">
        <f t="shared" si="15"/>
        <v>-10.9</v>
      </c>
      <c r="P118" s="8">
        <f>D116/B116*10^(O118/10)</f>
        <v>1.5985666817893949</v>
      </c>
      <c r="Q118" s="26"/>
      <c r="R118" s="17"/>
      <c r="S118" s="19"/>
      <c r="T118" s="17"/>
      <c r="U118" s="22"/>
    </row>
    <row r="119" spans="1:21" x14ac:dyDescent="0.25">
      <c r="A119" s="24"/>
      <c r="B119" s="24"/>
      <c r="C119" s="17"/>
      <c r="D119" s="24"/>
      <c r="E119" s="24"/>
      <c r="F119" s="25"/>
      <c r="G119" s="1">
        <v>575</v>
      </c>
      <c r="H119" s="2">
        <v>97</v>
      </c>
      <c r="I119" s="2">
        <v>5.9</v>
      </c>
      <c r="J119" s="2">
        <v>-1.7</v>
      </c>
      <c r="K119" s="2">
        <f t="shared" si="13"/>
        <v>5.9</v>
      </c>
      <c r="L119" s="8">
        <f t="shared" ref="L119:L145" si="17">10^((K119-H119)/10)</f>
        <v>7.7624711662869035E-10</v>
      </c>
      <c r="M119" s="26"/>
      <c r="N119" s="17"/>
      <c r="O119" s="9">
        <f t="shared" si="15"/>
        <v>-1.7</v>
      </c>
      <c r="P119" s="8">
        <f>D116/B116*10^(O119/10)</f>
        <v>13.29629851604231</v>
      </c>
      <c r="Q119" s="26"/>
      <c r="R119" s="17"/>
      <c r="S119" s="19"/>
      <c r="T119" s="17"/>
      <c r="U119" s="22"/>
    </row>
    <row r="120" spans="1:21" x14ac:dyDescent="0.25">
      <c r="A120" s="24"/>
      <c r="B120" s="24"/>
      <c r="C120" s="17"/>
      <c r="D120" s="24"/>
      <c r="E120" s="24"/>
      <c r="F120" s="25"/>
      <c r="G120" s="1">
        <v>625</v>
      </c>
      <c r="H120" s="2">
        <v>92</v>
      </c>
      <c r="I120" s="2">
        <v>-2.4000000000000004</v>
      </c>
      <c r="J120" s="2">
        <v>-3.6</v>
      </c>
      <c r="K120" s="2">
        <f t="shared" si="13"/>
        <v>-2.4000000000000004</v>
      </c>
      <c r="L120" s="8">
        <f t="shared" si="17"/>
        <v>3.6307805477009923E-10</v>
      </c>
      <c r="M120" s="26"/>
      <c r="N120" s="17"/>
      <c r="O120" s="9">
        <f t="shared" si="15"/>
        <v>-3.6</v>
      </c>
      <c r="P120" s="8">
        <f>D116/B116*10^(O120/10)</f>
        <v>8.5848113673899302</v>
      </c>
      <c r="Q120" s="26"/>
      <c r="R120" s="17"/>
      <c r="S120" s="19"/>
      <c r="T120" s="17"/>
      <c r="U120" s="22"/>
    </row>
    <row r="121" spans="1:21" x14ac:dyDescent="0.25">
      <c r="A121" s="24"/>
      <c r="B121" s="24"/>
      <c r="C121" s="17"/>
      <c r="D121" s="24"/>
      <c r="E121" s="24"/>
      <c r="F121" s="25"/>
      <c r="G121" s="1">
        <v>675</v>
      </c>
      <c r="H121" s="2">
        <v>94.5</v>
      </c>
      <c r="I121" s="2">
        <v>-5.0999999999999996</v>
      </c>
      <c r="J121" s="2">
        <v>-5.5</v>
      </c>
      <c r="K121" s="2">
        <f t="shared" si="13"/>
        <v>-5.0999999999999996</v>
      </c>
      <c r="L121" s="8">
        <f t="shared" si="17"/>
        <v>1.096478196143184E-10</v>
      </c>
      <c r="M121" s="26"/>
      <c r="N121" s="17"/>
      <c r="O121" s="9">
        <f t="shared" si="15"/>
        <v>-5.5</v>
      </c>
      <c r="P121" s="8">
        <f>D116/B116*10^(O121/10)</f>
        <v>5.5428197648200914</v>
      </c>
      <c r="Q121" s="26"/>
      <c r="R121" s="17"/>
      <c r="S121" s="20"/>
      <c r="T121" s="17"/>
      <c r="U121" s="23"/>
    </row>
    <row r="122" spans="1:21" x14ac:dyDescent="0.25">
      <c r="A122" s="24">
        <v>1000</v>
      </c>
      <c r="B122" s="24">
        <v>3</v>
      </c>
      <c r="C122" s="17">
        <v>0.5</v>
      </c>
      <c r="D122" s="24">
        <v>117</v>
      </c>
      <c r="E122" s="24">
        <v>6</v>
      </c>
      <c r="F122" s="25">
        <v>76</v>
      </c>
      <c r="G122" s="1">
        <v>875</v>
      </c>
      <c r="H122" s="2">
        <v>91.1</v>
      </c>
      <c r="I122" s="2">
        <v>-8.6</v>
      </c>
      <c r="J122" s="2">
        <v>-13.5</v>
      </c>
      <c r="K122" s="2">
        <f t="shared" si="13"/>
        <v>-8.6</v>
      </c>
      <c r="L122" s="8">
        <f t="shared" si="17"/>
        <v>1.0715193052376057E-10</v>
      </c>
      <c r="M122" s="26">
        <f>SUM(L122:L127)</f>
        <v>7.3454778603618275E-10</v>
      </c>
      <c r="N122" s="17">
        <f>10*LOG10(M122/E122)</f>
        <v>-99.121311962930918</v>
      </c>
      <c r="O122" s="9">
        <f t="shared" si="15"/>
        <v>-13.5</v>
      </c>
      <c r="P122" s="8">
        <f>D122/B122*10^(O122/10)</f>
        <v>1.7420660093887554</v>
      </c>
      <c r="Q122" s="26">
        <f>SUM(P122:P127)</f>
        <v>51.269165279405563</v>
      </c>
      <c r="R122" s="17">
        <f>10*LOG10(Q122)</f>
        <v>17.098562466875389</v>
      </c>
      <c r="S122" s="18">
        <f>F122+N122-Kzt-H</f>
        <v>-23.121311962930918</v>
      </c>
      <c r="T122" s="17">
        <v>0.8</v>
      </c>
      <c r="U122" s="21">
        <f>T122*10^((S122-R122)/10)</f>
        <v>7.6050582357258559E-5</v>
      </c>
    </row>
    <row r="123" spans="1:21" x14ac:dyDescent="0.25">
      <c r="A123" s="24"/>
      <c r="B123" s="24"/>
      <c r="C123" s="17"/>
      <c r="D123" s="24"/>
      <c r="E123" s="24"/>
      <c r="F123" s="25"/>
      <c r="G123" s="1">
        <v>975</v>
      </c>
      <c r="H123" s="2">
        <v>96.5</v>
      </c>
      <c r="I123" s="2">
        <v>0.5</v>
      </c>
      <c r="J123" s="2">
        <v>-7.2</v>
      </c>
      <c r="K123" s="2">
        <f t="shared" si="13"/>
        <v>0.5</v>
      </c>
      <c r="L123" s="8">
        <f t="shared" si="17"/>
        <v>2.5118864315095784E-10</v>
      </c>
      <c r="M123" s="26"/>
      <c r="N123" s="17"/>
      <c r="O123" s="9">
        <f t="shared" si="15"/>
        <v>-7.2</v>
      </c>
      <c r="P123" s="8">
        <f>D122/B122*10^(O123/10)</f>
        <v>7.4312968000566642</v>
      </c>
      <c r="Q123" s="26"/>
      <c r="R123" s="17"/>
      <c r="S123" s="19"/>
      <c r="T123" s="17"/>
      <c r="U123" s="22"/>
    </row>
    <row r="124" spans="1:21" x14ac:dyDescent="0.25">
      <c r="A124" s="24"/>
      <c r="B124" s="24"/>
      <c r="C124" s="17"/>
      <c r="D124" s="24"/>
      <c r="E124" s="24"/>
      <c r="F124" s="25"/>
      <c r="G124" s="1">
        <v>1075</v>
      </c>
      <c r="H124" s="2">
        <v>94.6</v>
      </c>
      <c r="I124" s="2">
        <v>-2.8</v>
      </c>
      <c r="J124" s="2">
        <v>-7.5</v>
      </c>
      <c r="K124" s="2">
        <f t="shared" si="13"/>
        <v>-2.8</v>
      </c>
      <c r="L124" s="8">
        <f t="shared" si="17"/>
        <v>1.8197008586099848E-10</v>
      </c>
      <c r="M124" s="26"/>
      <c r="N124" s="17"/>
      <c r="O124" s="9">
        <f t="shared" si="15"/>
        <v>-7.5</v>
      </c>
      <c r="P124" s="8">
        <f>D122/B122*10^(O124/10)</f>
        <v>6.9352896991517969</v>
      </c>
      <c r="Q124" s="26"/>
      <c r="R124" s="17"/>
      <c r="S124" s="19"/>
      <c r="T124" s="17"/>
      <c r="U124" s="22"/>
    </row>
    <row r="125" spans="1:21" x14ac:dyDescent="0.25">
      <c r="A125" s="24"/>
      <c r="B125" s="24"/>
      <c r="C125" s="17"/>
      <c r="D125" s="24"/>
      <c r="E125" s="24"/>
      <c r="F125" s="25"/>
      <c r="G125" s="1">
        <v>1175</v>
      </c>
      <c r="H125" s="2">
        <v>97.8</v>
      </c>
      <c r="I125" s="2">
        <v>-0.19999999999999996</v>
      </c>
      <c r="J125" s="2">
        <v>-1</v>
      </c>
      <c r="K125" s="2">
        <f t="shared" si="13"/>
        <v>-0.19999999999999996</v>
      </c>
      <c r="L125" s="8">
        <f t="shared" si="17"/>
        <v>1.5848931924611098E-10</v>
      </c>
      <c r="M125" s="26"/>
      <c r="N125" s="17"/>
      <c r="O125" s="9">
        <f t="shared" si="15"/>
        <v>-1</v>
      </c>
      <c r="P125" s="8">
        <f>D122/B122*10^(O125/10)</f>
        <v>30.978801154246977</v>
      </c>
      <c r="Q125" s="26"/>
      <c r="R125" s="17"/>
      <c r="S125" s="19"/>
      <c r="T125" s="17"/>
      <c r="U125" s="22"/>
    </row>
    <row r="126" spans="1:21" x14ac:dyDescent="0.25">
      <c r="A126" s="24"/>
      <c r="B126" s="24"/>
      <c r="C126" s="17"/>
      <c r="D126" s="24"/>
      <c r="E126" s="24"/>
      <c r="F126" s="25"/>
      <c r="G126" s="1">
        <v>1275</v>
      </c>
      <c r="H126" s="2">
        <v>100.1</v>
      </c>
      <c r="I126" s="2">
        <v>-4.8</v>
      </c>
      <c r="J126" s="2">
        <v>-13.7</v>
      </c>
      <c r="K126" s="2">
        <f t="shared" si="13"/>
        <v>-4.8</v>
      </c>
      <c r="L126" s="8">
        <f t="shared" si="17"/>
        <v>3.2359365692962849E-11</v>
      </c>
      <c r="M126" s="26"/>
      <c r="N126" s="17"/>
      <c r="O126" s="9">
        <f t="shared" si="15"/>
        <v>-13.7</v>
      </c>
      <c r="P126" s="8">
        <f>D122/B122*10^(O126/10)</f>
        <v>1.6636601233262109</v>
      </c>
      <c r="Q126" s="26"/>
      <c r="R126" s="17"/>
      <c r="S126" s="19"/>
      <c r="T126" s="17"/>
      <c r="U126" s="22"/>
    </row>
    <row r="127" spans="1:21" x14ac:dyDescent="0.25">
      <c r="A127" s="24"/>
      <c r="B127" s="24"/>
      <c r="C127" s="17"/>
      <c r="D127" s="24"/>
      <c r="E127" s="24"/>
      <c r="F127" s="25"/>
      <c r="G127" s="1">
        <v>1375</v>
      </c>
      <c r="H127" s="2">
        <v>103</v>
      </c>
      <c r="I127" s="2">
        <v>-11.700000000000001</v>
      </c>
      <c r="J127" s="2">
        <v>-11.9</v>
      </c>
      <c r="K127" s="2">
        <f t="shared" si="13"/>
        <v>-11.700000000000001</v>
      </c>
      <c r="L127" s="8">
        <f t="shared" si="17"/>
        <v>3.3884415613920115E-12</v>
      </c>
      <c r="M127" s="26"/>
      <c r="N127" s="17"/>
      <c r="O127" s="9">
        <f t="shared" si="15"/>
        <v>-11.9</v>
      </c>
      <c r="P127" s="8">
        <f>D122/B122*10^(O127/10)</f>
        <v>2.5180514932351561</v>
      </c>
      <c r="Q127" s="26"/>
      <c r="R127" s="17"/>
      <c r="S127" s="20"/>
      <c r="T127" s="17"/>
      <c r="U127" s="23"/>
    </row>
    <row r="128" spans="1:21" x14ac:dyDescent="0.25">
      <c r="A128" s="24">
        <v>2000</v>
      </c>
      <c r="B128" s="24">
        <v>3</v>
      </c>
      <c r="C128" s="17">
        <v>0.5</v>
      </c>
      <c r="D128" s="24">
        <v>234</v>
      </c>
      <c r="E128" s="24">
        <v>6</v>
      </c>
      <c r="F128" s="25">
        <v>68</v>
      </c>
      <c r="G128" s="1">
        <v>1425</v>
      </c>
      <c r="H128" s="2">
        <v>102.8</v>
      </c>
      <c r="I128" s="2">
        <v>-0.3</v>
      </c>
      <c r="J128" s="2">
        <v>-0.6</v>
      </c>
      <c r="K128" s="2">
        <f t="shared" si="13"/>
        <v>-0.3</v>
      </c>
      <c r="L128" s="8">
        <f t="shared" si="17"/>
        <v>4.8977881936844573E-11</v>
      </c>
      <c r="M128" s="26">
        <f>SUM(L128:L133)</f>
        <v>2.6490269302702627E-9</v>
      </c>
      <c r="N128" s="17">
        <f>10*LOG10(M128/E128)</f>
        <v>-93.550648769832335</v>
      </c>
      <c r="O128" s="9">
        <f t="shared" si="15"/>
        <v>-0.6</v>
      </c>
      <c r="P128" s="8">
        <f>D128/B128*10^(O128/10)</f>
        <v>67.935160016574287</v>
      </c>
      <c r="Q128" s="26">
        <f>SUM(P128:P133)</f>
        <v>230.55163305232458</v>
      </c>
      <c r="R128" s="17">
        <f>10*LOG10(Q128)</f>
        <v>23.627682027779436</v>
      </c>
      <c r="S128" s="18">
        <f>F128+N128-Kzt-H</f>
        <v>-25.550648769832335</v>
      </c>
      <c r="T128" s="17">
        <v>1</v>
      </c>
      <c r="U128" s="21">
        <f>T128*10^((S128-R128)/10)</f>
        <v>1.2082781452260818E-5</v>
      </c>
    </row>
    <row r="129" spans="1:21" x14ac:dyDescent="0.25">
      <c r="A129" s="24"/>
      <c r="B129" s="24"/>
      <c r="C129" s="17"/>
      <c r="D129" s="24"/>
      <c r="E129" s="24"/>
      <c r="F129" s="25"/>
      <c r="G129" s="1">
        <v>1625</v>
      </c>
      <c r="H129" s="2">
        <v>104.1</v>
      </c>
      <c r="I129" s="2">
        <v>17.600000000000001</v>
      </c>
      <c r="J129" s="2">
        <v>-0.8</v>
      </c>
      <c r="K129" s="2">
        <f t="shared" si="13"/>
        <v>17.600000000000001</v>
      </c>
      <c r="L129" s="8">
        <f t="shared" si="17"/>
        <v>2.2387211385683336E-9</v>
      </c>
      <c r="M129" s="26"/>
      <c r="N129" s="17"/>
      <c r="O129" s="9">
        <f t="shared" si="15"/>
        <v>-0.8</v>
      </c>
      <c r="P129" s="8">
        <f>D128/B128*10^(O129/10)</f>
        <v>64.877574146008342</v>
      </c>
      <c r="Q129" s="26"/>
      <c r="R129" s="17"/>
      <c r="S129" s="19"/>
      <c r="T129" s="17"/>
      <c r="U129" s="22"/>
    </row>
    <row r="130" spans="1:21" x14ac:dyDescent="0.25">
      <c r="A130" s="24"/>
      <c r="B130" s="24"/>
      <c r="C130" s="17"/>
      <c r="D130" s="24"/>
      <c r="E130" s="24"/>
      <c r="F130" s="25"/>
      <c r="G130" s="1">
        <v>1825</v>
      </c>
      <c r="H130" s="2">
        <v>107.6</v>
      </c>
      <c r="I130" s="2">
        <v>-10.8</v>
      </c>
      <c r="J130" s="2">
        <v>-12.2</v>
      </c>
      <c r="K130" s="2">
        <f t="shared" si="13"/>
        <v>-10.8</v>
      </c>
      <c r="L130" s="8">
        <f t="shared" si="17"/>
        <v>1.4454397707459267E-12</v>
      </c>
      <c r="M130" s="26"/>
      <c r="N130" s="17"/>
      <c r="O130" s="9">
        <f t="shared" si="15"/>
        <v>-12.2</v>
      </c>
      <c r="P130" s="8">
        <f>D128/B128*10^(O130/10)</f>
        <v>4.6999647713799879</v>
      </c>
      <c r="Q130" s="26"/>
      <c r="R130" s="17"/>
      <c r="S130" s="19"/>
      <c r="T130" s="17"/>
      <c r="U130" s="22"/>
    </row>
    <row r="131" spans="1:21" x14ac:dyDescent="0.25">
      <c r="A131" s="24"/>
      <c r="B131" s="24"/>
      <c r="C131" s="17"/>
      <c r="D131" s="24"/>
      <c r="E131" s="24"/>
      <c r="F131" s="25"/>
      <c r="G131" s="1">
        <v>2125</v>
      </c>
      <c r="H131" s="2">
        <v>104.2</v>
      </c>
      <c r="I131" s="2">
        <v>4.7</v>
      </c>
      <c r="J131" s="2">
        <v>-2.9</v>
      </c>
      <c r="K131" s="2">
        <f t="shared" si="13"/>
        <v>4.7</v>
      </c>
      <c r="L131" s="8">
        <f t="shared" si="17"/>
        <v>1.1220184543019624E-10</v>
      </c>
      <c r="M131" s="26"/>
      <c r="N131" s="17"/>
      <c r="O131" s="9">
        <f t="shared" si="15"/>
        <v>-2.9</v>
      </c>
      <c r="P131" s="8">
        <f>D128/B128*10^(O131/10)</f>
        <v>40.00318795132646</v>
      </c>
      <c r="Q131" s="26"/>
      <c r="R131" s="17"/>
      <c r="S131" s="19"/>
      <c r="T131" s="17"/>
      <c r="U131" s="22"/>
    </row>
    <row r="132" spans="1:21" x14ac:dyDescent="0.25">
      <c r="A132" s="24"/>
      <c r="B132" s="24"/>
      <c r="C132" s="17"/>
      <c r="D132" s="24"/>
      <c r="E132" s="24"/>
      <c r="F132" s="25"/>
      <c r="G132" s="1">
        <v>2425</v>
      </c>
      <c r="H132" s="2">
        <v>93.7</v>
      </c>
      <c r="I132" s="2">
        <v>-3</v>
      </c>
      <c r="J132" s="2">
        <v>-4</v>
      </c>
      <c r="K132" s="2">
        <f t="shared" si="13"/>
        <v>-3</v>
      </c>
      <c r="L132" s="8">
        <f t="shared" si="17"/>
        <v>2.1379620895022245E-10</v>
      </c>
      <c r="M132" s="26"/>
      <c r="N132" s="17"/>
      <c r="O132" s="9">
        <f t="shared" si="15"/>
        <v>-4</v>
      </c>
      <c r="P132" s="8">
        <f>D128/B128*10^(O132/10)</f>
        <v>31.052359303172782</v>
      </c>
      <c r="Q132" s="26"/>
      <c r="R132" s="17"/>
      <c r="S132" s="19"/>
      <c r="T132" s="17"/>
      <c r="U132" s="22"/>
    </row>
    <row r="133" spans="1:21" x14ac:dyDescent="0.25">
      <c r="A133" s="24"/>
      <c r="B133" s="24"/>
      <c r="C133" s="17"/>
      <c r="D133" s="24"/>
      <c r="E133" s="24"/>
      <c r="F133" s="25"/>
      <c r="G133" s="1">
        <v>2775</v>
      </c>
      <c r="H133" s="2">
        <v>100.2</v>
      </c>
      <c r="I133" s="2">
        <v>-4.5</v>
      </c>
      <c r="J133" s="2">
        <v>-5.5</v>
      </c>
      <c r="K133" s="2">
        <f t="shared" si="13"/>
        <v>-4.5</v>
      </c>
      <c r="L133" s="8">
        <f t="shared" si="17"/>
        <v>3.3884415613920157E-11</v>
      </c>
      <c r="M133" s="26"/>
      <c r="N133" s="17"/>
      <c r="O133" s="9">
        <f t="shared" si="15"/>
        <v>-5.5</v>
      </c>
      <c r="P133" s="8">
        <f>D128/B128*10^(O133/10)</f>
        <v>21.983386863862734</v>
      </c>
      <c r="Q133" s="26"/>
      <c r="R133" s="17"/>
      <c r="S133" s="20"/>
      <c r="T133" s="17"/>
      <c r="U133" s="23"/>
    </row>
    <row r="134" spans="1:21" x14ac:dyDescent="0.25">
      <c r="A134" s="24">
        <v>4000</v>
      </c>
      <c r="B134" s="24">
        <v>3</v>
      </c>
      <c r="C134" s="17">
        <v>0.5</v>
      </c>
      <c r="D134" s="24">
        <v>470</v>
      </c>
      <c r="E134" s="24">
        <v>6</v>
      </c>
      <c r="F134" s="25">
        <v>62</v>
      </c>
      <c r="G134" s="1">
        <v>2825</v>
      </c>
      <c r="H134" s="2">
        <v>99.4</v>
      </c>
      <c r="I134" s="2">
        <v>1.3</v>
      </c>
      <c r="J134" s="2">
        <v>-6.3</v>
      </c>
      <c r="K134" s="2">
        <f t="shared" si="13"/>
        <v>1.3</v>
      </c>
      <c r="L134" s="8">
        <f t="shared" si="17"/>
        <v>1.548816618912478E-10</v>
      </c>
      <c r="M134" s="26">
        <f>SUM(L134:L139)</f>
        <v>4.8132049444282632E-10</v>
      </c>
      <c r="N134" s="17">
        <f>10*LOG10(M134/E134)</f>
        <v>-100.95716896219407</v>
      </c>
      <c r="O134" s="9">
        <f t="shared" si="15"/>
        <v>-6.3</v>
      </c>
      <c r="P134" s="8">
        <f>D134/B134*10^(O134/10)</f>
        <v>36.726251440012106</v>
      </c>
      <c r="Q134" s="26">
        <f>SUM(P134:P139)</f>
        <v>504.70153997304197</v>
      </c>
      <c r="R134" s="17">
        <f>10*LOG10(Q134)</f>
        <v>27.030346298788693</v>
      </c>
      <c r="S134" s="18">
        <f>F134+N134-Kzt-H</f>
        <v>-38.957168962194075</v>
      </c>
      <c r="T134" s="17">
        <v>0.9</v>
      </c>
      <c r="U134" s="21">
        <f>T134*10^((S134-R134)/10)</f>
        <v>2.2672060057767905E-7</v>
      </c>
    </row>
    <row r="135" spans="1:21" x14ac:dyDescent="0.25">
      <c r="A135" s="24"/>
      <c r="B135" s="24"/>
      <c r="C135" s="17"/>
      <c r="D135" s="24"/>
      <c r="E135" s="24"/>
      <c r="F135" s="25"/>
      <c r="G135" s="1">
        <v>3425</v>
      </c>
      <c r="H135" s="2">
        <v>103.5</v>
      </c>
      <c r="I135" s="2">
        <v>-2.2999999999999998</v>
      </c>
      <c r="J135" s="2">
        <v>-10.199999999999999</v>
      </c>
      <c r="K135" s="2">
        <f t="shared" si="13"/>
        <v>-2.2999999999999998</v>
      </c>
      <c r="L135" s="8">
        <f t="shared" si="17"/>
        <v>2.6302679918953769E-11</v>
      </c>
      <c r="M135" s="26"/>
      <c r="N135" s="17"/>
      <c r="O135" s="9">
        <f t="shared" si="15"/>
        <v>-10.199999999999999</v>
      </c>
      <c r="P135" s="8">
        <f>D134/B134*10^(O135/10)</f>
        <v>14.961550514335825</v>
      </c>
      <c r="Q135" s="26"/>
      <c r="R135" s="17"/>
      <c r="S135" s="19"/>
      <c r="T135" s="17"/>
      <c r="U135" s="22"/>
    </row>
    <row r="136" spans="1:21" x14ac:dyDescent="0.25">
      <c r="A136" s="24"/>
      <c r="B136" s="24"/>
      <c r="C136" s="17"/>
      <c r="D136" s="24"/>
      <c r="E136" s="24"/>
      <c r="F136" s="25"/>
      <c r="G136" s="1">
        <v>4025</v>
      </c>
      <c r="H136" s="2">
        <v>103.6</v>
      </c>
      <c r="I136" s="2">
        <v>0.8</v>
      </c>
      <c r="J136" s="2">
        <v>-1.2</v>
      </c>
      <c r="K136" s="2">
        <f t="shared" si="13"/>
        <v>0.8</v>
      </c>
      <c r="L136" s="8">
        <f t="shared" si="17"/>
        <v>5.2480746024977191E-11</v>
      </c>
      <c r="M136" s="26"/>
      <c r="N136" s="17"/>
      <c r="O136" s="9">
        <f t="shared" si="15"/>
        <v>-1.2</v>
      </c>
      <c r="P136" s="8">
        <f>D134/B134*10^(O136/10)</f>
        <v>118.84382008790543</v>
      </c>
      <c r="Q136" s="26"/>
      <c r="R136" s="17"/>
      <c r="S136" s="19"/>
      <c r="T136" s="17"/>
      <c r="U136" s="22"/>
    </row>
    <row r="137" spans="1:21" x14ac:dyDescent="0.25">
      <c r="A137" s="24"/>
      <c r="B137" s="24"/>
      <c r="C137" s="17"/>
      <c r="D137" s="24"/>
      <c r="E137" s="24"/>
      <c r="F137" s="25"/>
      <c r="G137" s="1">
        <v>4625</v>
      </c>
      <c r="H137" s="2">
        <v>105.6</v>
      </c>
      <c r="I137" s="2">
        <v>3.5</v>
      </c>
      <c r="J137" s="2">
        <v>1.6</v>
      </c>
      <c r="K137" s="2">
        <f t="shared" si="13"/>
        <v>3.5</v>
      </c>
      <c r="L137" s="8">
        <f t="shared" si="17"/>
        <v>6.1659500186148317E-11</v>
      </c>
      <c r="M137" s="26"/>
      <c r="N137" s="17"/>
      <c r="O137" s="9">
        <f t="shared" si="15"/>
        <v>1.6</v>
      </c>
      <c r="P137" s="8">
        <f>D134/B134*10^(O137/10)</f>
        <v>226.4522307501953</v>
      </c>
      <c r="Q137" s="26"/>
      <c r="R137" s="17"/>
      <c r="S137" s="19"/>
      <c r="T137" s="17"/>
      <c r="U137" s="22"/>
    </row>
    <row r="138" spans="1:21" x14ac:dyDescent="0.25">
      <c r="A138" s="24"/>
      <c r="B138" s="24"/>
      <c r="C138" s="17"/>
      <c r="D138" s="24"/>
      <c r="E138" s="24"/>
      <c r="F138" s="25"/>
      <c r="G138" s="1">
        <v>5225</v>
      </c>
      <c r="H138" s="2">
        <v>103.5</v>
      </c>
      <c r="I138" s="2">
        <v>3.7</v>
      </c>
      <c r="J138" s="2">
        <v>-6.8</v>
      </c>
      <c r="K138" s="2">
        <f t="shared" si="13"/>
        <v>3.7</v>
      </c>
      <c r="L138" s="8">
        <f t="shared" si="17"/>
        <v>1.0471285480508951E-10</v>
      </c>
      <c r="M138" s="26"/>
      <c r="N138" s="17"/>
      <c r="O138" s="9">
        <f t="shared" si="15"/>
        <v>-6.8</v>
      </c>
      <c r="P138" s="8">
        <f>D134/B134*10^(O138/10)</f>
        <v>32.732306050046624</v>
      </c>
      <c r="Q138" s="26"/>
      <c r="R138" s="17"/>
      <c r="S138" s="19"/>
      <c r="T138" s="17"/>
      <c r="U138" s="22"/>
    </row>
    <row r="139" spans="1:21" x14ac:dyDescent="0.25">
      <c r="A139" s="24"/>
      <c r="B139" s="24"/>
      <c r="C139" s="17"/>
      <c r="D139" s="24"/>
      <c r="E139" s="24"/>
      <c r="F139" s="25"/>
      <c r="G139" s="1">
        <v>5625</v>
      </c>
      <c r="H139" s="2">
        <v>99.5</v>
      </c>
      <c r="I139" s="2">
        <v>-1.4000000000000001</v>
      </c>
      <c r="J139" s="2">
        <v>-3.2</v>
      </c>
      <c r="K139" s="2">
        <f t="shared" si="13"/>
        <v>-1.4000000000000001</v>
      </c>
      <c r="L139" s="8">
        <f t="shared" si="17"/>
        <v>8.1283051616409667E-11</v>
      </c>
      <c r="M139" s="26"/>
      <c r="N139" s="17"/>
      <c r="O139" s="9">
        <f t="shared" si="15"/>
        <v>-3.2</v>
      </c>
      <c r="P139" s="8">
        <f>D134/B134*10^(O139/10)</f>
        <v>74.985381130546671</v>
      </c>
      <c r="Q139" s="26"/>
      <c r="R139" s="17"/>
      <c r="S139" s="20"/>
      <c r="T139" s="17"/>
      <c r="U139" s="23"/>
    </row>
    <row r="140" spans="1:21" x14ac:dyDescent="0.25">
      <c r="A140" s="24">
        <v>8000</v>
      </c>
      <c r="B140" s="24">
        <v>3</v>
      </c>
      <c r="C140" s="17">
        <v>0.5</v>
      </c>
      <c r="D140" s="24">
        <v>943</v>
      </c>
      <c r="E140" s="24">
        <v>6</v>
      </c>
      <c r="F140" s="25">
        <v>54</v>
      </c>
      <c r="G140" s="1">
        <v>6025</v>
      </c>
      <c r="H140" s="2">
        <v>95</v>
      </c>
      <c r="I140" s="2">
        <v>-0.7</v>
      </c>
      <c r="J140" s="2">
        <v>-8.1999999999999993</v>
      </c>
      <c r="K140" s="2">
        <f t="shared" si="13"/>
        <v>-0.7</v>
      </c>
      <c r="L140" s="8">
        <f t="shared" si="17"/>
        <v>2.6915348039269034E-10</v>
      </c>
      <c r="M140" s="26">
        <f>SUM(L140:L145)</f>
        <v>1.9629864763775532E-8</v>
      </c>
      <c r="N140" s="17">
        <f>10*LOG10(M140/E140)</f>
        <v>-84.852339427626674</v>
      </c>
      <c r="O140" s="9">
        <f t="shared" si="15"/>
        <v>-8.1999999999999993</v>
      </c>
      <c r="P140" s="8">
        <f>D140/B140*10^(O140/10)</f>
        <v>47.576275242511464</v>
      </c>
      <c r="Q140" s="26">
        <f>SUM(P140:P145)</f>
        <v>4231.4079372488895</v>
      </c>
      <c r="R140" s="17">
        <f>10*LOG10(Q140)</f>
        <v>36.264848963679086</v>
      </c>
      <c r="S140" s="18">
        <f>F140+N140-Kzt-H</f>
        <v>-30.852339427626674</v>
      </c>
      <c r="T140" s="17">
        <v>0.7</v>
      </c>
      <c r="U140" s="21">
        <f>T140*10^((S140-R140)/10)</f>
        <v>1.3594999654412812E-7</v>
      </c>
    </row>
    <row r="141" spans="1:21" x14ac:dyDescent="0.25">
      <c r="A141" s="24"/>
      <c r="B141" s="24"/>
      <c r="C141" s="17"/>
      <c r="D141" s="24"/>
      <c r="E141" s="24"/>
      <c r="F141" s="25"/>
      <c r="G141" s="1">
        <v>7025</v>
      </c>
      <c r="H141" s="2">
        <v>94.8</v>
      </c>
      <c r="I141" s="2">
        <v>-2.8</v>
      </c>
      <c r="J141" s="2">
        <v>-4.0999999999999996</v>
      </c>
      <c r="K141" s="2">
        <f t="shared" si="13"/>
        <v>-2.8</v>
      </c>
      <c r="L141" s="8">
        <f t="shared" si="17"/>
        <v>1.7378008287493709E-10</v>
      </c>
      <c r="M141" s="26"/>
      <c r="N141" s="17"/>
      <c r="O141" s="9">
        <f t="shared" si="15"/>
        <v>-4.0999999999999996</v>
      </c>
      <c r="P141" s="8">
        <f>D140/B140*10^(O141/10)</f>
        <v>122.28985724320218</v>
      </c>
      <c r="Q141" s="26"/>
      <c r="R141" s="17"/>
      <c r="S141" s="19"/>
      <c r="T141" s="17"/>
      <c r="U141" s="22"/>
    </row>
    <row r="142" spans="1:21" x14ac:dyDescent="0.25">
      <c r="A142" s="24"/>
      <c r="B142" s="24"/>
      <c r="C142" s="17"/>
      <c r="D142" s="24"/>
      <c r="E142" s="24"/>
      <c r="F142" s="25"/>
      <c r="G142" s="1">
        <v>8025</v>
      </c>
      <c r="H142" s="2">
        <v>101.9</v>
      </c>
      <c r="I142" s="2">
        <v>10.7</v>
      </c>
      <c r="J142" s="2">
        <v>9</v>
      </c>
      <c r="K142" s="2">
        <f t="shared" si="13"/>
        <v>10.7</v>
      </c>
      <c r="L142" s="8">
        <f t="shared" si="17"/>
        <v>7.5857757502917976E-10</v>
      </c>
      <c r="M142" s="26"/>
      <c r="N142" s="17"/>
      <c r="O142" s="9">
        <f t="shared" si="15"/>
        <v>9</v>
      </c>
      <c r="P142" s="8">
        <f>D140/B140*10^(O142/10)</f>
        <v>2496.8384178166589</v>
      </c>
      <c r="Q142" s="26"/>
      <c r="R142" s="17"/>
      <c r="S142" s="19"/>
      <c r="T142" s="17"/>
      <c r="U142" s="22"/>
    </row>
    <row r="143" spans="1:21" x14ac:dyDescent="0.25">
      <c r="A143" s="24"/>
      <c r="B143" s="24"/>
      <c r="C143" s="17"/>
      <c r="D143" s="24"/>
      <c r="E143" s="24"/>
      <c r="F143" s="25"/>
      <c r="G143" s="1">
        <v>9025</v>
      </c>
      <c r="H143" s="2">
        <v>93.2</v>
      </c>
      <c r="I143" s="2">
        <v>-8.2000000000000011</v>
      </c>
      <c r="J143" s="2">
        <v>-8.9</v>
      </c>
      <c r="K143" s="2">
        <f t="shared" si="13"/>
        <v>-8.2000000000000011</v>
      </c>
      <c r="L143" s="8">
        <f t="shared" si="17"/>
        <v>7.2443596007498811E-11</v>
      </c>
      <c r="M143" s="26"/>
      <c r="N143" s="17"/>
      <c r="O143" s="9">
        <f t="shared" si="15"/>
        <v>-8.9</v>
      </c>
      <c r="P143" s="8">
        <f>D140/B140*10^(O143/10)</f>
        <v>40.493977574887495</v>
      </c>
      <c r="Q143" s="26"/>
      <c r="R143" s="17"/>
      <c r="S143" s="19"/>
      <c r="T143" s="17"/>
      <c r="U143" s="22"/>
    </row>
    <row r="144" spans="1:21" x14ac:dyDescent="0.25">
      <c r="A144" s="24"/>
      <c r="B144" s="24"/>
      <c r="C144" s="17"/>
      <c r="D144" s="24"/>
      <c r="E144" s="24"/>
      <c r="F144" s="25"/>
      <c r="G144" s="1">
        <v>10025</v>
      </c>
      <c r="H144" s="2">
        <v>88.3</v>
      </c>
      <c r="I144" s="2">
        <v>6.5</v>
      </c>
      <c r="J144" s="2">
        <v>0.2</v>
      </c>
      <c r="K144" s="2">
        <f t="shared" si="13"/>
        <v>6.5</v>
      </c>
      <c r="L144" s="8">
        <f t="shared" si="17"/>
        <v>6.6069344800759602E-9</v>
      </c>
      <c r="M144" s="26"/>
      <c r="N144" s="17"/>
      <c r="O144" s="9">
        <f t="shared" si="15"/>
        <v>0.2</v>
      </c>
      <c r="P144" s="8">
        <f>D140/B140*10^(O144/10)</f>
        <v>329.14740693733273</v>
      </c>
      <c r="Q144" s="26"/>
      <c r="R144" s="17"/>
      <c r="S144" s="19"/>
      <c r="T144" s="17"/>
      <c r="U144" s="22"/>
    </row>
    <row r="145" spans="1:21" x14ac:dyDescent="0.25">
      <c r="A145" s="24"/>
      <c r="B145" s="24"/>
      <c r="C145" s="17"/>
      <c r="D145" s="24"/>
      <c r="E145" s="24"/>
      <c r="F145" s="25"/>
      <c r="G145" s="1">
        <v>11025</v>
      </c>
      <c r="H145" s="2">
        <v>86</v>
      </c>
      <c r="I145" s="2">
        <v>6.7</v>
      </c>
      <c r="J145" s="2">
        <v>5.8</v>
      </c>
      <c r="K145" s="2">
        <f t="shared" si="13"/>
        <v>6.7</v>
      </c>
      <c r="L145" s="8">
        <f t="shared" si="17"/>
        <v>1.1748975549395268E-8</v>
      </c>
      <c r="M145" s="26"/>
      <c r="N145" s="17"/>
      <c r="O145" s="9">
        <f t="shared" si="15"/>
        <v>5.8</v>
      </c>
      <c r="P145" s="8">
        <f>D140/B140*10^(O145/10)</f>
        <v>1195.0620024342973</v>
      </c>
      <c r="Q145" s="26"/>
      <c r="R145" s="17"/>
      <c r="S145" s="20"/>
      <c r="T145" s="17"/>
      <c r="U145" s="23"/>
    </row>
    <row r="146" spans="1:21" x14ac:dyDescent="0.25">
      <c r="A146" s="24" t="s">
        <v>20</v>
      </c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12">
        <f>U146</f>
        <v>8.9198513920931422E-2</v>
      </c>
      <c r="T146" s="2"/>
      <c r="U146" s="8">
        <f>0.8*SQRT(SUM(U112:U145))</f>
        <v>8.9198513920931422E-2</v>
      </c>
    </row>
    <row r="147" spans="1:21" x14ac:dyDescent="0.25">
      <c r="A147" s="27" t="s">
        <v>36</v>
      </c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9"/>
    </row>
    <row r="148" spans="1:21" x14ac:dyDescent="0.25">
      <c r="A148" s="24">
        <v>250</v>
      </c>
      <c r="B148" s="24">
        <v>3</v>
      </c>
      <c r="C148" s="17">
        <v>0.5</v>
      </c>
      <c r="D148" s="24">
        <v>38</v>
      </c>
      <c r="E148" s="24">
        <v>4</v>
      </c>
      <c r="F148" s="25">
        <v>84</v>
      </c>
      <c r="G148" s="1">
        <v>175</v>
      </c>
      <c r="H148" s="2">
        <v>84.8</v>
      </c>
      <c r="I148" s="2">
        <v>1.1000000000000001</v>
      </c>
      <c r="J148" s="2">
        <v>-7</v>
      </c>
      <c r="K148" s="2">
        <f>I148</f>
        <v>1.1000000000000001</v>
      </c>
      <c r="L148" s="8">
        <f>10^((K148-H148)/10)</f>
        <v>4.2657951880159041E-9</v>
      </c>
      <c r="M148" s="26">
        <f>SUM(L148:L151)</f>
        <v>6.8238973317045035E-9</v>
      </c>
      <c r="N148" s="17">
        <f>10*LOG10(M148/E148)</f>
        <v>-87.680275072554849</v>
      </c>
      <c r="O148" s="9">
        <f>J148</f>
        <v>-7</v>
      </c>
      <c r="P148" s="8">
        <f>D148/B148*10^(O148/10)</f>
        <v>2.5273322656272472</v>
      </c>
      <c r="Q148" s="26">
        <f>SUM(P148:P151)</f>
        <v>10.201261306256018</v>
      </c>
      <c r="R148" s="17">
        <f>10*LOG10(Q148)</f>
        <v>10.086538722012632</v>
      </c>
      <c r="S148" s="18">
        <f>F148+N148-Kzt-H</f>
        <v>-3.6802750725548492</v>
      </c>
      <c r="T148" s="17">
        <v>0.2</v>
      </c>
      <c r="U148" s="21">
        <f>T148*10^((S148-R148)/10)</f>
        <v>8.4013410709375888E-3</v>
      </c>
    </row>
    <row r="149" spans="1:21" x14ac:dyDescent="0.25">
      <c r="A149" s="24"/>
      <c r="B149" s="24"/>
      <c r="C149" s="17"/>
      <c r="D149" s="24"/>
      <c r="E149" s="24"/>
      <c r="F149" s="25"/>
      <c r="G149" s="1">
        <v>225</v>
      </c>
      <c r="H149" s="2">
        <v>90</v>
      </c>
      <c r="I149" s="2">
        <v>3.4</v>
      </c>
      <c r="J149" s="2">
        <v>-9.1</v>
      </c>
      <c r="K149" s="2">
        <f t="shared" ref="K149:K181" si="18">I149</f>
        <v>3.4</v>
      </c>
      <c r="L149" s="8">
        <f t="shared" ref="L149:L150" si="19">10^((K149-H149)/10)</f>
        <v>2.1877616239495468E-9</v>
      </c>
      <c r="M149" s="26"/>
      <c r="N149" s="17"/>
      <c r="O149" s="9">
        <f t="shared" ref="O149:O181" si="20">J149</f>
        <v>-9.1</v>
      </c>
      <c r="P149" s="8">
        <f>D148/B148*10^(O149/10)</f>
        <v>1.5583404430290164</v>
      </c>
      <c r="Q149" s="26"/>
      <c r="R149" s="17"/>
      <c r="S149" s="19"/>
      <c r="T149" s="17"/>
      <c r="U149" s="22"/>
    </row>
    <row r="150" spans="1:21" x14ac:dyDescent="0.25">
      <c r="A150" s="24"/>
      <c r="B150" s="24"/>
      <c r="C150" s="17"/>
      <c r="D150" s="24"/>
      <c r="E150" s="24"/>
      <c r="F150" s="25"/>
      <c r="G150" s="1">
        <v>275</v>
      </c>
      <c r="H150" s="2">
        <v>92.2</v>
      </c>
      <c r="I150" s="2">
        <v>-6.3</v>
      </c>
      <c r="J150" s="2">
        <v>-7.6</v>
      </c>
      <c r="K150" s="2">
        <f t="shared" si="18"/>
        <v>-6.3</v>
      </c>
      <c r="L150" s="8">
        <f t="shared" si="19"/>
        <v>1.4125375446227517E-10</v>
      </c>
      <c r="M150" s="26"/>
      <c r="N150" s="17"/>
      <c r="O150" s="9">
        <f t="shared" si="20"/>
        <v>-7.6</v>
      </c>
      <c r="P150" s="8">
        <f>D148/B148*10^(O150/10)</f>
        <v>2.2012143830825415</v>
      </c>
      <c r="Q150" s="26"/>
      <c r="R150" s="17"/>
      <c r="S150" s="19"/>
      <c r="T150" s="17"/>
      <c r="U150" s="22"/>
    </row>
    <row r="151" spans="1:21" x14ac:dyDescent="0.25">
      <c r="A151" s="24"/>
      <c r="B151" s="24"/>
      <c r="C151" s="17"/>
      <c r="D151" s="24"/>
      <c r="E151" s="24"/>
      <c r="F151" s="25"/>
      <c r="G151" s="1">
        <v>325</v>
      </c>
      <c r="H151" s="2">
        <v>93.3</v>
      </c>
      <c r="I151" s="2">
        <v>-3.0999999999999996</v>
      </c>
      <c r="J151" s="2">
        <v>-5.0999999999999996</v>
      </c>
      <c r="K151" s="2">
        <f t="shared" si="18"/>
        <v>-3.0999999999999996</v>
      </c>
      <c r="L151" s="8">
        <f>10^((K151-H151)/10)</f>
        <v>2.2908676527677724E-10</v>
      </c>
      <c r="M151" s="26"/>
      <c r="N151" s="17"/>
      <c r="O151" s="9">
        <f t="shared" si="20"/>
        <v>-5.0999999999999996</v>
      </c>
      <c r="P151" s="8">
        <f>D148/B148*10^(O151/10)</f>
        <v>3.9143742145172133</v>
      </c>
      <c r="Q151" s="26"/>
      <c r="R151" s="17"/>
      <c r="S151" s="20"/>
      <c r="T151" s="17"/>
      <c r="U151" s="23"/>
    </row>
    <row r="152" spans="1:21" x14ac:dyDescent="0.25">
      <c r="A152" s="24">
        <v>500</v>
      </c>
      <c r="B152" s="24">
        <v>3</v>
      </c>
      <c r="C152" s="17">
        <v>0.5</v>
      </c>
      <c r="D152" s="24">
        <v>59</v>
      </c>
      <c r="E152" s="24">
        <v>6</v>
      </c>
      <c r="F152" s="25">
        <v>84</v>
      </c>
      <c r="G152" s="1">
        <v>375</v>
      </c>
      <c r="H152" s="2">
        <v>91.9</v>
      </c>
      <c r="I152" s="2">
        <v>-4</v>
      </c>
      <c r="J152" s="2">
        <v>-5.7</v>
      </c>
      <c r="K152" s="2">
        <f t="shared" si="18"/>
        <v>-4</v>
      </c>
      <c r="L152" s="8">
        <f t="shared" ref="L152:L153" si="21">10^((K152-H152)/10)</f>
        <v>2.5703957827688617E-10</v>
      </c>
      <c r="M152" s="26">
        <f>SUM(L152:L157)</f>
        <v>4.0229466731491327E-9</v>
      </c>
      <c r="N152" s="17">
        <f>10*LOG10(M152/E152)</f>
        <v>-91.736069746382753</v>
      </c>
      <c r="O152" s="9">
        <f t="shared" si="20"/>
        <v>-5.7</v>
      </c>
      <c r="P152" s="8">
        <f>D152/B152*10^(O152/10)</f>
        <v>5.2933517810562662</v>
      </c>
      <c r="Q152" s="26">
        <f>SUM(P152:P157)</f>
        <v>30.24962699251418</v>
      </c>
      <c r="R152" s="17">
        <f>10*LOG10(Q152)</f>
        <v>14.807200237457909</v>
      </c>
      <c r="S152" s="18">
        <f>F152+N152-Kzt-H</f>
        <v>-7.7360697463827535</v>
      </c>
      <c r="T152" s="17">
        <v>0.5</v>
      </c>
      <c r="U152" s="21">
        <f>T152*10^((S152-R152)/10)</f>
        <v>2.7838318925030624E-3</v>
      </c>
    </row>
    <row r="153" spans="1:21" x14ac:dyDescent="0.25">
      <c r="A153" s="24"/>
      <c r="B153" s="24"/>
      <c r="C153" s="17"/>
      <c r="D153" s="24"/>
      <c r="E153" s="24"/>
      <c r="F153" s="25"/>
      <c r="G153" s="1">
        <v>425</v>
      </c>
      <c r="H153" s="2">
        <v>88.1</v>
      </c>
      <c r="I153" s="2">
        <v>-5.5</v>
      </c>
      <c r="J153" s="2">
        <v>-6.1</v>
      </c>
      <c r="K153" s="2">
        <f t="shared" si="18"/>
        <v>-5.5</v>
      </c>
      <c r="L153" s="8">
        <f t="shared" si="21"/>
        <v>4.3651583224016624E-10</v>
      </c>
      <c r="M153" s="26"/>
      <c r="N153" s="17"/>
      <c r="O153" s="9">
        <f t="shared" si="20"/>
        <v>-6.1</v>
      </c>
      <c r="P153" s="8">
        <f>D152/B152*10^(O153/10)</f>
        <v>4.8275942008472255</v>
      </c>
      <c r="Q153" s="26"/>
      <c r="R153" s="17"/>
      <c r="S153" s="19"/>
      <c r="T153" s="17"/>
      <c r="U153" s="22"/>
    </row>
    <row r="154" spans="1:21" x14ac:dyDescent="0.25">
      <c r="A154" s="24"/>
      <c r="B154" s="24"/>
      <c r="C154" s="17"/>
      <c r="D154" s="24"/>
      <c r="E154" s="24"/>
      <c r="F154" s="25"/>
      <c r="G154" s="1">
        <v>475</v>
      </c>
      <c r="H154" s="2">
        <v>90</v>
      </c>
      <c r="I154" s="2">
        <v>1</v>
      </c>
      <c r="J154" s="2">
        <v>-5.5</v>
      </c>
      <c r="K154" s="2">
        <f t="shared" si="18"/>
        <v>1</v>
      </c>
      <c r="L154" s="8">
        <f>10^((K154-H154)/10)</f>
        <v>1.2589254117941623E-9</v>
      </c>
      <c r="M154" s="26"/>
      <c r="N154" s="17"/>
      <c r="O154" s="9">
        <f t="shared" si="20"/>
        <v>-5.5</v>
      </c>
      <c r="P154" s="8">
        <f>D152/B152*10^(O154/10)</f>
        <v>5.5428197648200914</v>
      </c>
      <c r="Q154" s="26"/>
      <c r="R154" s="17"/>
      <c r="S154" s="19"/>
      <c r="T154" s="17"/>
      <c r="U154" s="22"/>
    </row>
    <row r="155" spans="1:21" x14ac:dyDescent="0.25">
      <c r="A155" s="24"/>
      <c r="B155" s="24"/>
      <c r="C155" s="17"/>
      <c r="D155" s="24"/>
      <c r="E155" s="24"/>
      <c r="F155" s="25"/>
      <c r="G155" s="1">
        <v>575</v>
      </c>
      <c r="H155" s="2">
        <v>97</v>
      </c>
      <c r="I155" s="2">
        <v>1.7</v>
      </c>
      <c r="J155" s="2">
        <v>-5.4</v>
      </c>
      <c r="K155" s="2">
        <f t="shared" si="18"/>
        <v>1.7</v>
      </c>
      <c r="L155" s="8">
        <f t="shared" ref="L155:L181" si="22">10^((K155-H155)/10)</f>
        <v>2.9512092266663821E-10</v>
      </c>
      <c r="M155" s="26"/>
      <c r="N155" s="17"/>
      <c r="O155" s="9">
        <f t="shared" si="20"/>
        <v>-5.4</v>
      </c>
      <c r="P155" s="8">
        <f>D152/B152*10^(O155/10)</f>
        <v>5.671928622815658</v>
      </c>
      <c r="Q155" s="26"/>
      <c r="R155" s="17"/>
      <c r="S155" s="19"/>
      <c r="T155" s="17"/>
      <c r="U155" s="22"/>
    </row>
    <row r="156" spans="1:21" x14ac:dyDescent="0.25">
      <c r="A156" s="24"/>
      <c r="B156" s="24"/>
      <c r="C156" s="17"/>
      <c r="D156" s="24"/>
      <c r="E156" s="24"/>
      <c r="F156" s="25"/>
      <c r="G156" s="1">
        <v>625</v>
      </c>
      <c r="H156" s="2">
        <v>92</v>
      </c>
      <c r="I156" s="2">
        <v>3.2</v>
      </c>
      <c r="J156" s="2">
        <v>-5.6</v>
      </c>
      <c r="K156" s="2">
        <f t="shared" si="18"/>
        <v>3.2</v>
      </c>
      <c r="L156" s="8">
        <f t="shared" si="22"/>
        <v>1.3182567385564066E-9</v>
      </c>
      <c r="M156" s="26"/>
      <c r="N156" s="17"/>
      <c r="O156" s="9">
        <f t="shared" si="20"/>
        <v>-5.6</v>
      </c>
      <c r="P156" s="8">
        <f>D152/B152*10^(O156/10)</f>
        <v>5.4166497832317271</v>
      </c>
      <c r="Q156" s="26"/>
      <c r="R156" s="17"/>
      <c r="S156" s="19"/>
      <c r="T156" s="17"/>
      <c r="U156" s="22"/>
    </row>
    <row r="157" spans="1:21" x14ac:dyDescent="0.25">
      <c r="A157" s="24"/>
      <c r="B157" s="24"/>
      <c r="C157" s="17"/>
      <c r="D157" s="24"/>
      <c r="E157" s="24"/>
      <c r="F157" s="25"/>
      <c r="G157" s="1">
        <v>675</v>
      </c>
      <c r="H157" s="2">
        <v>94.5</v>
      </c>
      <c r="I157" s="2">
        <v>1.1000000000000001</v>
      </c>
      <c r="J157" s="2">
        <v>-7.5</v>
      </c>
      <c r="K157" s="2">
        <f t="shared" si="18"/>
        <v>1.1000000000000001</v>
      </c>
      <c r="L157" s="8">
        <f t="shared" si="22"/>
        <v>4.5708818961487362E-10</v>
      </c>
      <c r="M157" s="26"/>
      <c r="N157" s="17"/>
      <c r="O157" s="9">
        <f t="shared" si="20"/>
        <v>-7.5</v>
      </c>
      <c r="P157" s="8">
        <f>D152/B152*10^(O157/10)</f>
        <v>3.4972828397432143</v>
      </c>
      <c r="Q157" s="26"/>
      <c r="R157" s="17"/>
      <c r="S157" s="20"/>
      <c r="T157" s="17"/>
      <c r="U157" s="23"/>
    </row>
    <row r="158" spans="1:21" x14ac:dyDescent="0.25">
      <c r="A158" s="24">
        <v>1000</v>
      </c>
      <c r="B158" s="24">
        <v>3</v>
      </c>
      <c r="C158" s="17">
        <v>0.5</v>
      </c>
      <c r="D158" s="24">
        <v>117</v>
      </c>
      <c r="E158" s="24">
        <v>6</v>
      </c>
      <c r="F158" s="25">
        <v>76</v>
      </c>
      <c r="G158" s="1">
        <v>875</v>
      </c>
      <c r="H158" s="2">
        <v>91.1</v>
      </c>
      <c r="I158" s="2">
        <v>-6</v>
      </c>
      <c r="J158" s="2">
        <v>-6.6</v>
      </c>
      <c r="K158" s="2">
        <f t="shared" si="18"/>
        <v>-6</v>
      </c>
      <c r="L158" s="8">
        <f t="shared" si="22"/>
        <v>1.949844599758046E-10</v>
      </c>
      <c r="M158" s="26">
        <f>SUM(L158:L163)</f>
        <v>1.593492514946075E-9</v>
      </c>
      <c r="N158" s="17">
        <f>10*LOG10(M158/E158)</f>
        <v>-95.758012225646368</v>
      </c>
      <c r="O158" s="9">
        <f t="shared" si="20"/>
        <v>-6.6</v>
      </c>
      <c r="P158" s="8">
        <f>D158/B158*10^(O158/10)</f>
        <v>8.5322703334032557</v>
      </c>
      <c r="Q158" s="26">
        <f>SUM(P158:P163)</f>
        <v>83.367774713978264</v>
      </c>
      <c r="R158" s="17">
        <f>10*LOG10(Q158)</f>
        <v>19.209982092895505</v>
      </c>
      <c r="S158" s="18">
        <f>F158+N158-Kzt-H</f>
        <v>-19.758012225646368</v>
      </c>
      <c r="T158" s="17">
        <v>0.8</v>
      </c>
      <c r="U158" s="21">
        <f>T158*10^((S158-R158)/10)</f>
        <v>1.014589947734311E-4</v>
      </c>
    </row>
    <row r="159" spans="1:21" x14ac:dyDescent="0.25">
      <c r="A159" s="24"/>
      <c r="B159" s="24"/>
      <c r="C159" s="17"/>
      <c r="D159" s="24"/>
      <c r="E159" s="24"/>
      <c r="F159" s="25"/>
      <c r="G159" s="1">
        <v>975</v>
      </c>
      <c r="H159" s="2">
        <v>96.5</v>
      </c>
      <c r="I159" s="2">
        <v>-2.6</v>
      </c>
      <c r="J159" s="2">
        <v>-9.8000000000000007</v>
      </c>
      <c r="K159" s="2">
        <f t="shared" si="18"/>
        <v>-2.6</v>
      </c>
      <c r="L159" s="8">
        <f t="shared" si="22"/>
        <v>1.2302687708123799E-10</v>
      </c>
      <c r="M159" s="26"/>
      <c r="N159" s="17"/>
      <c r="O159" s="9">
        <f t="shared" si="20"/>
        <v>-9.8000000000000007</v>
      </c>
      <c r="P159" s="8">
        <f>D158/B158*10^(O159/10)</f>
        <v>4.0838013373985067</v>
      </c>
      <c r="Q159" s="26"/>
      <c r="R159" s="17"/>
      <c r="S159" s="19"/>
      <c r="T159" s="17"/>
      <c r="U159" s="22"/>
    </row>
    <row r="160" spans="1:21" x14ac:dyDescent="0.25">
      <c r="A160" s="24"/>
      <c r="B160" s="24"/>
      <c r="C160" s="17"/>
      <c r="D160" s="24"/>
      <c r="E160" s="24"/>
      <c r="F160" s="25"/>
      <c r="G160" s="1">
        <v>1075</v>
      </c>
      <c r="H160" s="2">
        <v>94.6</v>
      </c>
      <c r="I160" s="2">
        <v>-0.60000000000000009</v>
      </c>
      <c r="J160" s="2">
        <v>-2.1</v>
      </c>
      <c r="K160" s="2">
        <f t="shared" si="18"/>
        <v>-0.60000000000000009</v>
      </c>
      <c r="L160" s="8">
        <f t="shared" si="22"/>
        <v>3.0199517204020115E-10</v>
      </c>
      <c r="M160" s="26"/>
      <c r="N160" s="17"/>
      <c r="O160" s="9">
        <f t="shared" si="20"/>
        <v>-2.1</v>
      </c>
      <c r="P160" s="8">
        <f>D158/B158*10^(O160/10)</f>
        <v>24.047205072597801</v>
      </c>
      <c r="Q160" s="26"/>
      <c r="R160" s="17"/>
      <c r="S160" s="19"/>
      <c r="T160" s="17"/>
      <c r="U160" s="22"/>
    </row>
    <row r="161" spans="1:21" x14ac:dyDescent="0.25">
      <c r="A161" s="24"/>
      <c r="B161" s="24"/>
      <c r="C161" s="17"/>
      <c r="D161" s="24"/>
      <c r="E161" s="24"/>
      <c r="F161" s="25"/>
      <c r="G161" s="1">
        <v>1175</v>
      </c>
      <c r="H161" s="2">
        <v>97.8</v>
      </c>
      <c r="I161" s="2">
        <v>-1.4</v>
      </c>
      <c r="J161" s="2">
        <v>-3.8</v>
      </c>
      <c r="K161" s="2">
        <f t="shared" si="18"/>
        <v>-1.4</v>
      </c>
      <c r="L161" s="8">
        <f t="shared" si="22"/>
        <v>1.2022644346174114E-10</v>
      </c>
      <c r="M161" s="26"/>
      <c r="N161" s="17"/>
      <c r="O161" s="9">
        <f t="shared" si="20"/>
        <v>-3.8</v>
      </c>
      <c r="P161" s="8">
        <f>D158/B158*10^(O161/10)</f>
        <v>16.25790595534308</v>
      </c>
      <c r="Q161" s="26"/>
      <c r="R161" s="17"/>
      <c r="S161" s="19"/>
      <c r="T161" s="17"/>
      <c r="U161" s="22"/>
    </row>
    <row r="162" spans="1:21" x14ac:dyDescent="0.25">
      <c r="A162" s="24"/>
      <c r="B162" s="24"/>
      <c r="C162" s="17"/>
      <c r="D162" s="24"/>
      <c r="E162" s="24"/>
      <c r="F162" s="25"/>
      <c r="G162" s="1">
        <v>1275</v>
      </c>
      <c r="H162" s="2">
        <v>100.1</v>
      </c>
      <c r="I162" s="2">
        <v>7.4</v>
      </c>
      <c r="J162" s="2">
        <v>-3.4</v>
      </c>
      <c r="K162" s="2">
        <f t="shared" si="18"/>
        <v>7.4</v>
      </c>
      <c r="L162" s="8">
        <f t="shared" si="22"/>
        <v>5.3703179637025259E-10</v>
      </c>
      <c r="M162" s="26"/>
      <c r="N162" s="17"/>
      <c r="O162" s="9">
        <f t="shared" si="20"/>
        <v>-3.4</v>
      </c>
      <c r="P162" s="8">
        <f>D158/B158*10^(O162/10)</f>
        <v>17.826439394980127</v>
      </c>
      <c r="Q162" s="26"/>
      <c r="R162" s="17"/>
      <c r="S162" s="19"/>
      <c r="T162" s="17"/>
      <c r="U162" s="22"/>
    </row>
    <row r="163" spans="1:21" x14ac:dyDescent="0.25">
      <c r="A163" s="24"/>
      <c r="B163" s="24"/>
      <c r="C163" s="17"/>
      <c r="D163" s="24"/>
      <c r="E163" s="24"/>
      <c r="F163" s="25"/>
      <c r="G163" s="1">
        <v>1375</v>
      </c>
      <c r="H163" s="2">
        <v>103</v>
      </c>
      <c r="I163" s="2">
        <v>8</v>
      </c>
      <c r="J163" s="2">
        <v>-4.9000000000000004</v>
      </c>
      <c r="K163" s="2">
        <f t="shared" si="18"/>
        <v>8</v>
      </c>
      <c r="L163" s="8">
        <f t="shared" si="22"/>
        <v>3.1622776601683744E-10</v>
      </c>
      <c r="M163" s="26"/>
      <c r="N163" s="17"/>
      <c r="O163" s="9">
        <f t="shared" si="20"/>
        <v>-4.9000000000000004</v>
      </c>
      <c r="P163" s="8">
        <f>D158/B158*10^(O163/10)</f>
        <v>12.620152620255501</v>
      </c>
      <c r="Q163" s="26"/>
      <c r="R163" s="17"/>
      <c r="S163" s="20"/>
      <c r="T163" s="17"/>
      <c r="U163" s="23"/>
    </row>
    <row r="164" spans="1:21" x14ac:dyDescent="0.25">
      <c r="A164" s="24">
        <v>2000</v>
      </c>
      <c r="B164" s="24">
        <v>3</v>
      </c>
      <c r="C164" s="17">
        <v>0.5</v>
      </c>
      <c r="D164" s="24">
        <v>234</v>
      </c>
      <c r="E164" s="24">
        <v>6</v>
      </c>
      <c r="F164" s="25">
        <v>68</v>
      </c>
      <c r="G164" s="1">
        <v>1425</v>
      </c>
      <c r="H164" s="2">
        <v>102.8</v>
      </c>
      <c r="I164" s="2">
        <v>0.3</v>
      </c>
      <c r="J164" s="2">
        <v>-2.9</v>
      </c>
      <c r="K164" s="2">
        <f t="shared" si="18"/>
        <v>0.3</v>
      </c>
      <c r="L164" s="8">
        <f t="shared" si="22"/>
        <v>5.6234132519034822E-11</v>
      </c>
      <c r="M164" s="26">
        <f>SUM(L164:L169)</f>
        <v>1.685473117319732E-9</v>
      </c>
      <c r="N164" s="17">
        <f>10*LOG10(M164/E164)</f>
        <v>-95.514294203096881</v>
      </c>
      <c r="O164" s="9">
        <f t="shared" si="20"/>
        <v>-2.9</v>
      </c>
      <c r="P164" s="8">
        <f>D164/B164*10^(O164/10)</f>
        <v>40.00318795132646</v>
      </c>
      <c r="Q164" s="26">
        <f>SUM(P164:P169)</f>
        <v>557.00475555221271</v>
      </c>
      <c r="R164" s="17">
        <f>10*LOG10(Q164)</f>
        <v>27.458589030754666</v>
      </c>
      <c r="S164" s="18">
        <f>F164+N164-Kzt-H</f>
        <v>-27.514294203096881</v>
      </c>
      <c r="T164" s="17">
        <v>1</v>
      </c>
      <c r="U164" s="21">
        <f>T164*10^((S164-R164)/10)</f>
        <v>3.182084269168391E-6</v>
      </c>
    </row>
    <row r="165" spans="1:21" x14ac:dyDescent="0.25">
      <c r="A165" s="24"/>
      <c r="B165" s="24"/>
      <c r="C165" s="17"/>
      <c r="D165" s="24"/>
      <c r="E165" s="24"/>
      <c r="F165" s="25"/>
      <c r="G165" s="1">
        <v>1625</v>
      </c>
      <c r="H165" s="2">
        <v>104.1</v>
      </c>
      <c r="I165" s="2">
        <v>14</v>
      </c>
      <c r="J165" s="2">
        <v>3.5</v>
      </c>
      <c r="K165" s="2">
        <f t="shared" si="18"/>
        <v>14</v>
      </c>
      <c r="L165" s="8">
        <f t="shared" si="22"/>
        <v>9.7723722095580808E-10</v>
      </c>
      <c r="M165" s="26"/>
      <c r="N165" s="17"/>
      <c r="O165" s="9">
        <f t="shared" si="20"/>
        <v>3.5</v>
      </c>
      <c r="P165" s="8">
        <f>D164/B164*10^(O165/10)</f>
        <v>174.62024880833047</v>
      </c>
      <c r="Q165" s="26"/>
      <c r="R165" s="17"/>
      <c r="S165" s="19"/>
      <c r="T165" s="17"/>
      <c r="U165" s="22"/>
    </row>
    <row r="166" spans="1:21" x14ac:dyDescent="0.25">
      <c r="A166" s="24"/>
      <c r="B166" s="24"/>
      <c r="C166" s="17"/>
      <c r="D166" s="24"/>
      <c r="E166" s="24"/>
      <c r="F166" s="25"/>
      <c r="G166" s="1">
        <v>1825</v>
      </c>
      <c r="H166" s="2">
        <v>107.6</v>
      </c>
      <c r="I166" s="2">
        <v>-3.9</v>
      </c>
      <c r="J166" s="2">
        <v>-6.7</v>
      </c>
      <c r="K166" s="2">
        <f t="shared" si="18"/>
        <v>-3.9</v>
      </c>
      <c r="L166" s="8">
        <f t="shared" si="22"/>
        <v>7.0794578438413538E-12</v>
      </c>
      <c r="M166" s="26"/>
      <c r="N166" s="17"/>
      <c r="O166" s="9">
        <f t="shared" si="20"/>
        <v>-6.7</v>
      </c>
      <c r="P166" s="8">
        <f>D164/B164*10^(O166/10)</f>
        <v>16.676104298117405</v>
      </c>
      <c r="Q166" s="26"/>
      <c r="R166" s="17"/>
      <c r="S166" s="19"/>
      <c r="T166" s="17"/>
      <c r="U166" s="22"/>
    </row>
    <row r="167" spans="1:21" x14ac:dyDescent="0.25">
      <c r="A167" s="24"/>
      <c r="B167" s="24"/>
      <c r="C167" s="17"/>
      <c r="D167" s="24"/>
      <c r="E167" s="24"/>
      <c r="F167" s="25"/>
      <c r="G167" s="1">
        <v>2125</v>
      </c>
      <c r="H167" s="2">
        <v>104.2</v>
      </c>
      <c r="I167" s="2">
        <v>9.3000000000000007</v>
      </c>
      <c r="J167" s="2">
        <v>5.6</v>
      </c>
      <c r="K167" s="2">
        <f t="shared" si="18"/>
        <v>9.3000000000000007</v>
      </c>
      <c r="L167" s="8">
        <f t="shared" si="22"/>
        <v>3.2359365692962771E-10</v>
      </c>
      <c r="M167" s="26"/>
      <c r="N167" s="17"/>
      <c r="O167" s="9">
        <f t="shared" si="20"/>
        <v>5.6</v>
      </c>
      <c r="P167" s="8">
        <f>D164/B164*10^(O167/10)</f>
        <v>283.20088272067903</v>
      </c>
      <c r="Q167" s="26"/>
      <c r="R167" s="17"/>
      <c r="S167" s="19"/>
      <c r="T167" s="17"/>
      <c r="U167" s="22"/>
    </row>
    <row r="168" spans="1:21" x14ac:dyDescent="0.25">
      <c r="A168" s="24"/>
      <c r="B168" s="24"/>
      <c r="C168" s="17"/>
      <c r="D168" s="24"/>
      <c r="E168" s="24"/>
      <c r="F168" s="25"/>
      <c r="G168" s="1">
        <v>2425</v>
      </c>
      <c r="H168" s="2">
        <v>93.7</v>
      </c>
      <c r="I168" s="2">
        <v>-2.4</v>
      </c>
      <c r="J168" s="2">
        <v>-4.8</v>
      </c>
      <c r="K168" s="2">
        <f t="shared" si="18"/>
        <v>-2.4</v>
      </c>
      <c r="L168" s="8">
        <f t="shared" si="22"/>
        <v>2.4547089156850201E-10</v>
      </c>
      <c r="M168" s="26"/>
      <c r="N168" s="17"/>
      <c r="O168" s="9">
        <f t="shared" si="20"/>
        <v>-4.8</v>
      </c>
      <c r="P168" s="8">
        <f>D164/B164*10^(O168/10)</f>
        <v>25.828227475642102</v>
      </c>
      <c r="Q168" s="26"/>
      <c r="R168" s="17"/>
      <c r="S168" s="19"/>
      <c r="T168" s="17"/>
      <c r="U168" s="22"/>
    </row>
    <row r="169" spans="1:21" x14ac:dyDescent="0.25">
      <c r="A169" s="24"/>
      <c r="B169" s="24"/>
      <c r="C169" s="17"/>
      <c r="D169" s="24"/>
      <c r="E169" s="24"/>
      <c r="F169" s="25"/>
      <c r="G169" s="1">
        <v>2775</v>
      </c>
      <c r="H169" s="2">
        <v>100.2</v>
      </c>
      <c r="I169" s="2">
        <v>-1</v>
      </c>
      <c r="J169" s="2">
        <v>-6.7</v>
      </c>
      <c r="K169" s="2">
        <f t="shared" si="18"/>
        <v>-1</v>
      </c>
      <c r="L169" s="8">
        <f t="shared" si="22"/>
        <v>7.5857757502918162E-11</v>
      </c>
      <c r="M169" s="26"/>
      <c r="N169" s="17"/>
      <c r="O169" s="9">
        <f t="shared" si="20"/>
        <v>-6.7</v>
      </c>
      <c r="P169" s="8">
        <f>D164/B164*10^(O169/10)</f>
        <v>16.676104298117405</v>
      </c>
      <c r="Q169" s="26"/>
      <c r="R169" s="17"/>
      <c r="S169" s="20"/>
      <c r="T169" s="17"/>
      <c r="U169" s="23"/>
    </row>
    <row r="170" spans="1:21" x14ac:dyDescent="0.25">
      <c r="A170" s="24">
        <v>4000</v>
      </c>
      <c r="B170" s="24">
        <v>3</v>
      </c>
      <c r="C170" s="17">
        <v>0.5</v>
      </c>
      <c r="D170" s="24">
        <v>470</v>
      </c>
      <c r="E170" s="24">
        <v>6</v>
      </c>
      <c r="F170" s="25">
        <v>62</v>
      </c>
      <c r="G170" s="1">
        <v>2825</v>
      </c>
      <c r="H170" s="2">
        <v>99.4</v>
      </c>
      <c r="I170" s="2">
        <v>8.4</v>
      </c>
      <c r="J170" s="2">
        <v>-3.5</v>
      </c>
      <c r="K170" s="2">
        <f t="shared" si="18"/>
        <v>8.4</v>
      </c>
      <c r="L170" s="8">
        <f t="shared" si="22"/>
        <v>7.9432823472428E-10</v>
      </c>
      <c r="M170" s="26">
        <f>SUM(L170:L175)</f>
        <v>4.362891168033659E-9</v>
      </c>
      <c r="N170" s="17">
        <f>10*LOG10(M170/E170)</f>
        <v>-91.383768707023336</v>
      </c>
      <c r="O170" s="9">
        <f t="shared" si="20"/>
        <v>-3.5</v>
      </c>
      <c r="P170" s="8">
        <f>D170/B170*10^(O170/10)</f>
        <v>69.980429436984224</v>
      </c>
      <c r="Q170" s="26">
        <f>SUM(P170:P175)</f>
        <v>1287.6711010083018</v>
      </c>
      <c r="R170" s="17">
        <f>10*LOG10(Q170)</f>
        <v>31.098049490038171</v>
      </c>
      <c r="S170" s="18">
        <f>F170+N170-Kzt-H</f>
        <v>-29.383768707023336</v>
      </c>
      <c r="T170" s="17">
        <v>0.9</v>
      </c>
      <c r="U170" s="21">
        <f>T170*10^((S170-R170)/10)</f>
        <v>8.0549099528413234E-7</v>
      </c>
    </row>
    <row r="171" spans="1:21" x14ac:dyDescent="0.25">
      <c r="A171" s="24"/>
      <c r="B171" s="24"/>
      <c r="C171" s="17"/>
      <c r="D171" s="24"/>
      <c r="E171" s="24"/>
      <c r="F171" s="25"/>
      <c r="G171" s="1">
        <v>3425</v>
      </c>
      <c r="H171" s="2">
        <v>103.5</v>
      </c>
      <c r="I171" s="2">
        <v>-2.4000000000000004</v>
      </c>
      <c r="J171" s="2">
        <v>-2.7</v>
      </c>
      <c r="K171" s="2">
        <f t="shared" si="18"/>
        <v>-2.4000000000000004</v>
      </c>
      <c r="L171" s="8">
        <f t="shared" si="22"/>
        <v>2.5703957827688591E-11</v>
      </c>
      <c r="M171" s="26"/>
      <c r="N171" s="17"/>
      <c r="O171" s="9">
        <f t="shared" si="20"/>
        <v>-2.7</v>
      </c>
      <c r="P171" s="8">
        <f>D170/B170*10^(O171/10)</f>
        <v>84.134981431339583</v>
      </c>
      <c r="Q171" s="26"/>
      <c r="R171" s="17"/>
      <c r="S171" s="19"/>
      <c r="T171" s="17"/>
      <c r="U171" s="22"/>
    </row>
    <row r="172" spans="1:21" x14ac:dyDescent="0.25">
      <c r="A172" s="24"/>
      <c r="B172" s="24"/>
      <c r="C172" s="17"/>
      <c r="D172" s="24"/>
      <c r="E172" s="24"/>
      <c r="F172" s="25"/>
      <c r="G172" s="1">
        <v>4025</v>
      </c>
      <c r="H172" s="2">
        <v>103.6</v>
      </c>
      <c r="I172" s="2">
        <v>0.8</v>
      </c>
      <c r="J172" s="2">
        <v>-1.2</v>
      </c>
      <c r="K172" s="2">
        <f t="shared" si="18"/>
        <v>0.8</v>
      </c>
      <c r="L172" s="8">
        <f t="shared" si="22"/>
        <v>5.2480746024977191E-11</v>
      </c>
      <c r="M172" s="26"/>
      <c r="N172" s="17"/>
      <c r="O172" s="9">
        <f t="shared" si="20"/>
        <v>-1.2</v>
      </c>
      <c r="P172" s="8">
        <f>D170/B170*10^(O172/10)</f>
        <v>118.84382008790543</v>
      </c>
      <c r="Q172" s="26"/>
      <c r="R172" s="17"/>
      <c r="S172" s="19"/>
      <c r="T172" s="17"/>
      <c r="U172" s="22"/>
    </row>
    <row r="173" spans="1:21" x14ac:dyDescent="0.25">
      <c r="A173" s="24"/>
      <c r="B173" s="24"/>
      <c r="C173" s="17"/>
      <c r="D173" s="24"/>
      <c r="E173" s="24"/>
      <c r="F173" s="25"/>
      <c r="G173" s="1">
        <v>4625</v>
      </c>
      <c r="H173" s="2">
        <v>105.6</v>
      </c>
      <c r="I173" s="2">
        <v>14.7</v>
      </c>
      <c r="J173" s="2">
        <v>7.4</v>
      </c>
      <c r="K173" s="2">
        <f t="shared" si="18"/>
        <v>14.7</v>
      </c>
      <c r="L173" s="8">
        <f t="shared" si="22"/>
        <v>8.1283051616409768E-10</v>
      </c>
      <c r="M173" s="26"/>
      <c r="N173" s="17"/>
      <c r="O173" s="9">
        <f t="shared" si="20"/>
        <v>7.4</v>
      </c>
      <c r="P173" s="8">
        <f>D170/B170*10^(O173/10)</f>
        <v>860.94736904361184</v>
      </c>
      <c r="Q173" s="26"/>
      <c r="R173" s="17"/>
      <c r="S173" s="19"/>
      <c r="T173" s="17"/>
      <c r="U173" s="22"/>
    </row>
    <row r="174" spans="1:21" x14ac:dyDescent="0.25">
      <c r="A174" s="24"/>
      <c r="B174" s="24"/>
      <c r="C174" s="17"/>
      <c r="D174" s="24"/>
      <c r="E174" s="24"/>
      <c r="F174" s="25"/>
      <c r="G174" s="1">
        <v>5225</v>
      </c>
      <c r="H174" s="2">
        <v>103.5</v>
      </c>
      <c r="I174" s="2">
        <v>3.8</v>
      </c>
      <c r="J174" s="2">
        <v>-5.9</v>
      </c>
      <c r="K174" s="2">
        <f t="shared" si="18"/>
        <v>3.8</v>
      </c>
      <c r="L174" s="8">
        <f t="shared" si="22"/>
        <v>1.0715193052376019E-10</v>
      </c>
      <c r="M174" s="26"/>
      <c r="N174" s="17"/>
      <c r="O174" s="9">
        <f t="shared" si="20"/>
        <v>-5.9</v>
      </c>
      <c r="P174" s="8">
        <f>D170/B170*10^(O174/10)</f>
        <v>40.269533930045512</v>
      </c>
      <c r="Q174" s="26"/>
      <c r="R174" s="17"/>
      <c r="S174" s="19"/>
      <c r="T174" s="17"/>
      <c r="U174" s="22"/>
    </row>
    <row r="175" spans="1:21" x14ac:dyDescent="0.25">
      <c r="A175" s="24"/>
      <c r="B175" s="24"/>
      <c r="C175" s="17"/>
      <c r="D175" s="24"/>
      <c r="E175" s="24"/>
      <c r="F175" s="25"/>
      <c r="G175" s="1">
        <v>5625</v>
      </c>
      <c r="H175" s="2">
        <v>99.5</v>
      </c>
      <c r="I175" s="2">
        <v>13.6</v>
      </c>
      <c r="J175" s="2">
        <v>-1.4</v>
      </c>
      <c r="K175" s="2">
        <f t="shared" si="18"/>
        <v>13.6</v>
      </c>
      <c r="L175" s="8">
        <f t="shared" si="22"/>
        <v>2.5703957827688555E-9</v>
      </c>
      <c r="M175" s="26"/>
      <c r="N175" s="17"/>
      <c r="O175" s="9">
        <f t="shared" si="20"/>
        <v>-1.4</v>
      </c>
      <c r="P175" s="8">
        <f>D170/B170*10^(O175/10)</f>
        <v>113.49496707841512</v>
      </c>
      <c r="Q175" s="26"/>
      <c r="R175" s="17"/>
      <c r="S175" s="20"/>
      <c r="T175" s="17"/>
      <c r="U175" s="23"/>
    </row>
    <row r="176" spans="1:21" x14ac:dyDescent="0.25">
      <c r="A176" s="24">
        <v>8000</v>
      </c>
      <c r="B176" s="24">
        <v>3</v>
      </c>
      <c r="C176" s="17">
        <v>0.5</v>
      </c>
      <c r="D176" s="24">
        <v>943</v>
      </c>
      <c r="E176" s="24">
        <v>6</v>
      </c>
      <c r="F176" s="25">
        <v>54</v>
      </c>
      <c r="G176" s="1">
        <v>6025</v>
      </c>
      <c r="H176" s="2">
        <v>95</v>
      </c>
      <c r="I176" s="2">
        <v>1.1000000000000001</v>
      </c>
      <c r="J176" s="2">
        <v>-6.3</v>
      </c>
      <c r="K176" s="2">
        <f t="shared" si="18"/>
        <v>1.1000000000000001</v>
      </c>
      <c r="L176" s="8">
        <f t="shared" si="22"/>
        <v>4.073802778041116E-10</v>
      </c>
      <c r="M176" s="26">
        <f>SUM(L176:L181)</f>
        <v>2.4334163323255566E-8</v>
      </c>
      <c r="N176" s="17">
        <f>10*LOG10(M176/E176)</f>
        <v>-83.919348318090456</v>
      </c>
      <c r="O176" s="9">
        <f t="shared" si="20"/>
        <v>-6.3</v>
      </c>
      <c r="P176" s="8">
        <f>D176/B176*10^(O176/10)</f>
        <v>73.686925761556196</v>
      </c>
      <c r="Q176" s="26">
        <f>SUM(P176:P181)</f>
        <v>3595.4002309945372</v>
      </c>
      <c r="R176" s="17">
        <f>10*LOG10(Q176)</f>
        <v>35.55747241989431</v>
      </c>
      <c r="S176" s="18">
        <f>F176+N176-Kzt-H</f>
        <v>-29.919348318090456</v>
      </c>
      <c r="T176" s="17">
        <v>0.7</v>
      </c>
      <c r="U176" s="21">
        <f>T176*10^((S176-R176)/10)</f>
        <v>1.9834258368430679E-7</v>
      </c>
    </row>
    <row r="177" spans="1:21" x14ac:dyDescent="0.25">
      <c r="A177" s="24"/>
      <c r="B177" s="24"/>
      <c r="C177" s="17"/>
      <c r="D177" s="24"/>
      <c r="E177" s="24"/>
      <c r="F177" s="25"/>
      <c r="G177" s="1">
        <v>7025</v>
      </c>
      <c r="H177" s="2">
        <v>94.8</v>
      </c>
      <c r="I177" s="2">
        <v>4.7</v>
      </c>
      <c r="J177" s="2">
        <v>-5.7</v>
      </c>
      <c r="K177" s="2">
        <f t="shared" si="18"/>
        <v>4.7</v>
      </c>
      <c r="L177" s="8">
        <f t="shared" si="22"/>
        <v>9.7723722095580808E-10</v>
      </c>
      <c r="M177" s="26"/>
      <c r="N177" s="17"/>
      <c r="O177" s="9">
        <f t="shared" si="20"/>
        <v>-5.7</v>
      </c>
      <c r="P177" s="8">
        <f>D176/B176*10^(O177/10)</f>
        <v>84.603910670102692</v>
      </c>
      <c r="Q177" s="26"/>
      <c r="R177" s="17"/>
      <c r="S177" s="19"/>
      <c r="T177" s="17"/>
      <c r="U177" s="22"/>
    </row>
    <row r="178" spans="1:21" x14ac:dyDescent="0.25">
      <c r="A178" s="24"/>
      <c r="B178" s="24"/>
      <c r="C178" s="17"/>
      <c r="D178" s="24"/>
      <c r="E178" s="24"/>
      <c r="F178" s="25"/>
      <c r="G178" s="1">
        <v>8025</v>
      </c>
      <c r="H178" s="2">
        <v>101.9</v>
      </c>
      <c r="I178" s="2">
        <v>3.5</v>
      </c>
      <c r="J178" s="2">
        <v>3</v>
      </c>
      <c r="K178" s="2">
        <f t="shared" si="18"/>
        <v>3.5</v>
      </c>
      <c r="L178" s="8">
        <f t="shared" si="22"/>
        <v>1.4454397707459247E-10</v>
      </c>
      <c r="M178" s="26"/>
      <c r="N178" s="17"/>
      <c r="O178" s="9">
        <f t="shared" si="20"/>
        <v>3</v>
      </c>
      <c r="P178" s="8">
        <f>D176/B176*10^(O178/10)</f>
        <v>627.17745433855112</v>
      </c>
      <c r="Q178" s="26"/>
      <c r="R178" s="17"/>
      <c r="S178" s="19"/>
      <c r="T178" s="17"/>
      <c r="U178" s="22"/>
    </row>
    <row r="179" spans="1:21" x14ac:dyDescent="0.25">
      <c r="A179" s="24"/>
      <c r="B179" s="24"/>
      <c r="C179" s="17"/>
      <c r="D179" s="24"/>
      <c r="E179" s="24"/>
      <c r="F179" s="25"/>
      <c r="G179" s="1">
        <v>9025</v>
      </c>
      <c r="H179" s="2">
        <v>93.2</v>
      </c>
      <c r="I179" s="2">
        <v>0.1</v>
      </c>
      <c r="J179" s="2">
        <v>-4.3</v>
      </c>
      <c r="K179" s="2">
        <f t="shared" si="18"/>
        <v>0.1</v>
      </c>
      <c r="L179" s="8">
        <f t="shared" si="22"/>
        <v>4.8977881936844456E-10</v>
      </c>
      <c r="M179" s="26"/>
      <c r="N179" s="17"/>
      <c r="O179" s="9">
        <f t="shared" si="20"/>
        <v>-4.3</v>
      </c>
      <c r="P179" s="8">
        <f>D176/B176*10^(O179/10)</f>
        <v>116.78590701287789</v>
      </c>
      <c r="Q179" s="26"/>
      <c r="R179" s="17"/>
      <c r="S179" s="19"/>
      <c r="T179" s="17"/>
      <c r="U179" s="22"/>
    </row>
    <row r="180" spans="1:21" x14ac:dyDescent="0.25">
      <c r="A180" s="24"/>
      <c r="B180" s="24"/>
      <c r="C180" s="17"/>
      <c r="D180" s="24"/>
      <c r="E180" s="24"/>
      <c r="F180" s="25"/>
      <c r="G180" s="1">
        <v>10025</v>
      </c>
      <c r="H180" s="2">
        <v>88.3</v>
      </c>
      <c r="I180" s="2">
        <v>7.6000000000000005</v>
      </c>
      <c r="J180" s="2">
        <v>6.7</v>
      </c>
      <c r="K180" s="2">
        <f t="shared" si="18"/>
        <v>7.6000000000000005</v>
      </c>
      <c r="L180" s="8">
        <f t="shared" si="22"/>
        <v>8.5113803820237553E-9</v>
      </c>
      <c r="M180" s="26"/>
      <c r="N180" s="17"/>
      <c r="O180" s="9">
        <f t="shared" si="20"/>
        <v>6.7</v>
      </c>
      <c r="P180" s="8">
        <f>D176/B176*10^(O180/10)</f>
        <v>1470.2474607794268</v>
      </c>
      <c r="Q180" s="26"/>
      <c r="R180" s="17"/>
      <c r="S180" s="19"/>
      <c r="T180" s="17"/>
      <c r="U180" s="22"/>
    </row>
    <row r="181" spans="1:21" x14ac:dyDescent="0.25">
      <c r="A181" s="24"/>
      <c r="B181" s="24"/>
      <c r="C181" s="17"/>
      <c r="D181" s="24"/>
      <c r="E181" s="24"/>
      <c r="F181" s="25"/>
      <c r="G181" s="1">
        <v>11025</v>
      </c>
      <c r="H181" s="2">
        <v>86</v>
      </c>
      <c r="I181" s="2">
        <v>7.4</v>
      </c>
      <c r="J181" s="2">
        <v>5.9</v>
      </c>
      <c r="K181" s="2">
        <f t="shared" si="18"/>
        <v>7.4</v>
      </c>
      <c r="L181" s="8">
        <f t="shared" si="22"/>
        <v>1.3803842646028856E-8</v>
      </c>
      <c r="M181" s="26"/>
      <c r="N181" s="17"/>
      <c r="O181" s="9">
        <f t="shared" si="20"/>
        <v>5.9</v>
      </c>
      <c r="P181" s="8">
        <f>D176/B176*10^(O181/10)</f>
        <v>1222.8985724320225</v>
      </c>
      <c r="Q181" s="26"/>
      <c r="R181" s="17"/>
      <c r="S181" s="20"/>
      <c r="T181" s="17"/>
      <c r="U181" s="23"/>
    </row>
    <row r="182" spans="1:21" x14ac:dyDescent="0.25">
      <c r="A182" s="24" t="s">
        <v>20</v>
      </c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12">
        <f>U182</f>
        <v>8.50066082177134E-2</v>
      </c>
      <c r="T182" s="2"/>
      <c r="U182" s="8">
        <f>0.8*SQRT(SUM(U148:U181))</f>
        <v>8.50066082177134E-2</v>
      </c>
    </row>
    <row r="183" spans="1:21" x14ac:dyDescent="0.25">
      <c r="A183" s="27" t="s">
        <v>37</v>
      </c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9"/>
    </row>
    <row r="184" spans="1:21" x14ac:dyDescent="0.25">
      <c r="A184" s="24">
        <v>250</v>
      </c>
      <c r="B184" s="24">
        <v>3</v>
      </c>
      <c r="C184" s="17">
        <v>0.5</v>
      </c>
      <c r="D184" s="24">
        <v>38</v>
      </c>
      <c r="E184" s="24">
        <v>4</v>
      </c>
      <c r="F184" s="25">
        <v>84</v>
      </c>
      <c r="G184" s="1">
        <v>175</v>
      </c>
      <c r="H184" s="2">
        <v>84.8</v>
      </c>
      <c r="I184" s="2">
        <v>-5.8</v>
      </c>
      <c r="J184" s="2">
        <v>-7.9</v>
      </c>
      <c r="K184" s="2">
        <f>I184</f>
        <v>-5.8</v>
      </c>
      <c r="L184" s="8">
        <f>10^((K184-H184)/10)</f>
        <v>8.709635899560818E-10</v>
      </c>
      <c r="M184" s="26">
        <f>SUM(L184:L187)</f>
        <v>1.1114914695228204E-9</v>
      </c>
      <c r="N184" s="17">
        <f>10*LOG10(M184/E184)</f>
        <v>-95.561538574044093</v>
      </c>
      <c r="O184" s="9">
        <f>J184</f>
        <v>-7.9</v>
      </c>
      <c r="P184" s="8">
        <f>D184/B184*10^(O184/10)</f>
        <v>2.0542927899879775</v>
      </c>
      <c r="Q184" s="26">
        <f>SUM(P184:P187)</f>
        <v>5.0532244900884011</v>
      </c>
      <c r="R184" s="17">
        <f>10*LOG10(Q184)</f>
        <v>7.035685922499054</v>
      </c>
      <c r="S184" s="18">
        <f>F184+N184-Kzt-H</f>
        <v>-11.561538574044093</v>
      </c>
      <c r="T184" s="17">
        <v>0.2</v>
      </c>
      <c r="U184" s="21">
        <f>T184*10^((S184-R184)/10)</f>
        <v>2.7625334541432293E-3</v>
      </c>
    </row>
    <row r="185" spans="1:21" x14ac:dyDescent="0.25">
      <c r="A185" s="24"/>
      <c r="B185" s="24"/>
      <c r="C185" s="17"/>
      <c r="D185" s="24"/>
      <c r="E185" s="24"/>
      <c r="F185" s="25"/>
      <c r="G185" s="1">
        <v>225</v>
      </c>
      <c r="H185" s="2">
        <v>90</v>
      </c>
      <c r="I185" s="2">
        <v>-10.7</v>
      </c>
      <c r="J185" s="2">
        <v>-10.8</v>
      </c>
      <c r="K185" s="2">
        <f t="shared" ref="K185:K217" si="23">I185</f>
        <v>-10.7</v>
      </c>
      <c r="L185" s="8">
        <f t="shared" ref="L185:L186" si="24">10^((K185-H185)/10)</f>
        <v>8.511380382023737E-11</v>
      </c>
      <c r="M185" s="26"/>
      <c r="N185" s="17"/>
      <c r="O185" s="9">
        <f t="shared" ref="O185:O217" si="25">J185</f>
        <v>-10.8</v>
      </c>
      <c r="P185" s="8">
        <f>D184/B184*10^(O185/10)</f>
        <v>1.0535674433967164</v>
      </c>
      <c r="Q185" s="26"/>
      <c r="R185" s="17"/>
      <c r="S185" s="19"/>
      <c r="T185" s="17"/>
      <c r="U185" s="22"/>
    </row>
    <row r="186" spans="1:21" x14ac:dyDescent="0.25">
      <c r="A186" s="24"/>
      <c r="B186" s="24"/>
      <c r="C186" s="17"/>
      <c r="D186" s="24"/>
      <c r="E186" s="24"/>
      <c r="F186" s="25"/>
      <c r="G186" s="1">
        <v>275</v>
      </c>
      <c r="H186" s="2">
        <v>92.2</v>
      </c>
      <c r="I186" s="2">
        <v>-9.1000000000000014</v>
      </c>
      <c r="J186" s="2">
        <v>-10.3</v>
      </c>
      <c r="K186" s="2">
        <f t="shared" si="23"/>
        <v>-9.1000000000000014</v>
      </c>
      <c r="L186" s="8">
        <f t="shared" si="24"/>
        <v>7.4131024130091551E-11</v>
      </c>
      <c r="M186" s="26"/>
      <c r="N186" s="17"/>
      <c r="O186" s="9">
        <f t="shared" si="25"/>
        <v>-10.3</v>
      </c>
      <c r="P186" s="8">
        <f>D184/B184*10^(O186/10)</f>
        <v>1.1821221143428549</v>
      </c>
      <c r="Q186" s="26"/>
      <c r="R186" s="17"/>
      <c r="S186" s="19"/>
      <c r="T186" s="17"/>
      <c r="U186" s="22"/>
    </row>
    <row r="187" spans="1:21" x14ac:dyDescent="0.25">
      <c r="A187" s="24"/>
      <c r="B187" s="24"/>
      <c r="C187" s="17"/>
      <c r="D187" s="24"/>
      <c r="E187" s="24"/>
      <c r="F187" s="25"/>
      <c r="G187" s="1">
        <v>325</v>
      </c>
      <c r="H187" s="2">
        <v>93.3</v>
      </c>
      <c r="I187" s="2">
        <v>-7.6</v>
      </c>
      <c r="J187" s="2">
        <v>-12.2</v>
      </c>
      <c r="K187" s="2">
        <f t="shared" si="23"/>
        <v>-7.6</v>
      </c>
      <c r="L187" s="8">
        <f>10^((K187-H187)/10)</f>
        <v>8.1283051616409667E-11</v>
      </c>
      <c r="M187" s="26"/>
      <c r="N187" s="17"/>
      <c r="O187" s="9">
        <f t="shared" si="25"/>
        <v>-12.2</v>
      </c>
      <c r="P187" s="8">
        <f>D184/B184*10^(O187/10)</f>
        <v>0.76324214236085275</v>
      </c>
      <c r="Q187" s="26"/>
      <c r="R187" s="17"/>
      <c r="S187" s="20"/>
      <c r="T187" s="17"/>
      <c r="U187" s="23"/>
    </row>
    <row r="188" spans="1:21" x14ac:dyDescent="0.25">
      <c r="A188" s="24">
        <v>500</v>
      </c>
      <c r="B188" s="24">
        <v>3</v>
      </c>
      <c r="C188" s="17">
        <v>0.5</v>
      </c>
      <c r="D188" s="24">
        <v>59</v>
      </c>
      <c r="E188" s="24">
        <v>6</v>
      </c>
      <c r="F188" s="25">
        <v>84</v>
      </c>
      <c r="G188" s="1">
        <v>375</v>
      </c>
      <c r="H188" s="2">
        <v>91.9</v>
      </c>
      <c r="I188" s="2">
        <v>-3.1</v>
      </c>
      <c r="J188" s="2">
        <v>-9.6999999999999993</v>
      </c>
      <c r="K188" s="2">
        <f t="shared" si="23"/>
        <v>-3.1</v>
      </c>
      <c r="L188" s="8">
        <f t="shared" ref="L188:L189" si="26">10^((K188-H188)/10)</f>
        <v>3.1622776601683744E-10</v>
      </c>
      <c r="M188" s="26">
        <f>SUM(L188:L193)</f>
        <v>1.310570966245587E-9</v>
      </c>
      <c r="N188" s="17">
        <f>10*LOG10(M188/E188)</f>
        <v>-96.606907078065575</v>
      </c>
      <c r="O188" s="9">
        <f t="shared" si="25"/>
        <v>-9.6999999999999993</v>
      </c>
      <c r="P188" s="8">
        <f>D188/B188*10^(O188/10)</f>
        <v>2.1073213003006259</v>
      </c>
      <c r="Q188" s="26">
        <f>SUM(P188:P193)</f>
        <v>10.074475351160096</v>
      </c>
      <c r="R188" s="17">
        <f>10*LOG10(Q188)</f>
        <v>10.032224386316152</v>
      </c>
      <c r="S188" s="18">
        <f>F188+N188-Kzt-H</f>
        <v>-12.606907078065575</v>
      </c>
      <c r="T188" s="17">
        <v>0.5</v>
      </c>
      <c r="U188" s="21">
        <f>T188*10^((S188-R188)/10)</f>
        <v>2.7230577878708073E-3</v>
      </c>
    </row>
    <row r="189" spans="1:21" x14ac:dyDescent="0.25">
      <c r="A189" s="24"/>
      <c r="B189" s="24"/>
      <c r="C189" s="17"/>
      <c r="D189" s="24"/>
      <c r="E189" s="24"/>
      <c r="F189" s="25"/>
      <c r="G189" s="1">
        <v>425</v>
      </c>
      <c r="H189" s="2">
        <v>88.1</v>
      </c>
      <c r="I189" s="2">
        <v>-7.5</v>
      </c>
      <c r="J189" s="2">
        <v>-9.4</v>
      </c>
      <c r="K189" s="2">
        <f t="shared" si="23"/>
        <v>-7.5</v>
      </c>
      <c r="L189" s="8">
        <f t="shared" si="26"/>
        <v>2.754228703338173E-10</v>
      </c>
      <c r="M189" s="26"/>
      <c r="N189" s="17"/>
      <c r="O189" s="9">
        <f t="shared" si="25"/>
        <v>-9.4</v>
      </c>
      <c r="P189" s="8">
        <f>D188/B188*10^(O189/10)</f>
        <v>2.258035455610536</v>
      </c>
      <c r="Q189" s="26"/>
      <c r="R189" s="17"/>
      <c r="S189" s="19"/>
      <c r="T189" s="17"/>
      <c r="U189" s="22"/>
    </row>
    <row r="190" spans="1:21" x14ac:dyDescent="0.25">
      <c r="A190" s="24"/>
      <c r="B190" s="24"/>
      <c r="C190" s="17"/>
      <c r="D190" s="24"/>
      <c r="E190" s="24"/>
      <c r="F190" s="25"/>
      <c r="G190" s="1">
        <v>475</v>
      </c>
      <c r="H190" s="2">
        <v>90</v>
      </c>
      <c r="I190" s="2">
        <v>-4.2</v>
      </c>
      <c r="J190" s="2">
        <v>-9.6999999999999993</v>
      </c>
      <c r="K190" s="2">
        <f t="shared" si="23"/>
        <v>-4.2</v>
      </c>
      <c r="L190" s="8">
        <f>10^((K190-H190)/10)</f>
        <v>3.801893963205603E-10</v>
      </c>
      <c r="M190" s="26"/>
      <c r="N190" s="17"/>
      <c r="O190" s="9">
        <f t="shared" si="25"/>
        <v>-9.6999999999999993</v>
      </c>
      <c r="P190" s="8">
        <f>D188/B188*10^(O190/10)</f>
        <v>2.1073213003006259</v>
      </c>
      <c r="Q190" s="26"/>
      <c r="R190" s="17"/>
      <c r="S190" s="19"/>
      <c r="T190" s="17"/>
      <c r="U190" s="22"/>
    </row>
    <row r="191" spans="1:21" x14ac:dyDescent="0.25">
      <c r="A191" s="24"/>
      <c r="B191" s="24"/>
      <c r="C191" s="17"/>
      <c r="D191" s="24"/>
      <c r="E191" s="24"/>
      <c r="F191" s="25"/>
      <c r="G191" s="1">
        <v>575</v>
      </c>
      <c r="H191" s="2">
        <v>97</v>
      </c>
      <c r="I191" s="2">
        <v>-10.5</v>
      </c>
      <c r="J191" s="2">
        <v>-12.2</v>
      </c>
      <c r="K191" s="2">
        <f t="shared" si="23"/>
        <v>-10.5</v>
      </c>
      <c r="L191" s="8">
        <f t="shared" ref="L191:L217" si="27">10^((K191-H191)/10)</f>
        <v>1.7782794100389159E-11</v>
      </c>
      <c r="M191" s="26"/>
      <c r="N191" s="17"/>
      <c r="O191" s="9">
        <f t="shared" si="25"/>
        <v>-12.2</v>
      </c>
      <c r="P191" s="8">
        <f>D188/B188*10^(O191/10)</f>
        <v>1.1850338526129032</v>
      </c>
      <c r="Q191" s="26"/>
      <c r="R191" s="17"/>
      <c r="S191" s="19"/>
      <c r="T191" s="17"/>
      <c r="U191" s="22"/>
    </row>
    <row r="192" spans="1:21" x14ac:dyDescent="0.25">
      <c r="A192" s="24"/>
      <c r="B192" s="24"/>
      <c r="C192" s="17"/>
      <c r="D192" s="24"/>
      <c r="E192" s="24"/>
      <c r="F192" s="25"/>
      <c r="G192" s="1">
        <v>625</v>
      </c>
      <c r="H192" s="2">
        <v>92</v>
      </c>
      <c r="I192" s="2">
        <v>-7.7</v>
      </c>
      <c r="J192" s="2">
        <v>-11.6</v>
      </c>
      <c r="K192" s="2">
        <f t="shared" si="23"/>
        <v>-7.7</v>
      </c>
      <c r="L192" s="8">
        <f t="shared" si="27"/>
        <v>1.0715193052376019E-10</v>
      </c>
      <c r="M192" s="26"/>
      <c r="N192" s="17"/>
      <c r="O192" s="9">
        <f t="shared" si="25"/>
        <v>-11.6</v>
      </c>
      <c r="P192" s="8">
        <f>D188/B188*10^(O192/10)</f>
        <v>1.3606009094739084</v>
      </c>
      <c r="Q192" s="26"/>
      <c r="R192" s="17"/>
      <c r="S192" s="19"/>
      <c r="T192" s="17"/>
      <c r="U192" s="22"/>
    </row>
    <row r="193" spans="1:21" x14ac:dyDescent="0.25">
      <c r="A193" s="24"/>
      <c r="B193" s="24"/>
      <c r="C193" s="17"/>
      <c r="D193" s="24"/>
      <c r="E193" s="24"/>
      <c r="F193" s="25"/>
      <c r="G193" s="1">
        <v>675</v>
      </c>
      <c r="H193" s="2">
        <v>94.5</v>
      </c>
      <c r="I193" s="2">
        <v>-2.2000000000000002</v>
      </c>
      <c r="J193" s="2">
        <v>-12.7</v>
      </c>
      <c r="K193" s="2">
        <f t="shared" si="23"/>
        <v>-2.2000000000000002</v>
      </c>
      <c r="L193" s="8">
        <f t="shared" si="27"/>
        <v>2.1379620895022245E-10</v>
      </c>
      <c r="M193" s="26"/>
      <c r="N193" s="17"/>
      <c r="O193" s="9">
        <f t="shared" si="25"/>
        <v>-12.7</v>
      </c>
      <c r="P193" s="8">
        <f>D188/B188*10^(O193/10)</f>
        <v>1.0561625328614968</v>
      </c>
      <c r="Q193" s="26"/>
      <c r="R193" s="17"/>
      <c r="S193" s="20"/>
      <c r="T193" s="17"/>
      <c r="U193" s="23"/>
    </row>
    <row r="194" spans="1:21" x14ac:dyDescent="0.25">
      <c r="A194" s="24">
        <v>1000</v>
      </c>
      <c r="B194" s="24">
        <v>3</v>
      </c>
      <c r="C194" s="17">
        <v>0.5</v>
      </c>
      <c r="D194" s="24">
        <v>117</v>
      </c>
      <c r="E194" s="24">
        <v>6</v>
      </c>
      <c r="F194" s="25">
        <v>76</v>
      </c>
      <c r="G194" s="1">
        <v>875</v>
      </c>
      <c r="H194" s="2">
        <v>91.1</v>
      </c>
      <c r="I194" s="2">
        <v>-3</v>
      </c>
      <c r="J194" s="2">
        <v>-11.2</v>
      </c>
      <c r="K194" s="2">
        <f t="shared" si="23"/>
        <v>-3</v>
      </c>
      <c r="L194" s="8">
        <f t="shared" si="27"/>
        <v>3.8904514499427963E-10</v>
      </c>
      <c r="M194" s="26">
        <f>SUM(L194:L199)</f>
        <v>6.134752024861647E-10</v>
      </c>
      <c r="N194" s="17">
        <f>10*LOG10(M194/E194)</f>
        <v>-99.903542377478061</v>
      </c>
      <c r="O194" s="9">
        <f t="shared" si="25"/>
        <v>-11.2</v>
      </c>
      <c r="P194" s="8">
        <f>D194/B194*10^(O194/10)</f>
        <v>2.9584525426138168</v>
      </c>
      <c r="Q194" s="26">
        <f>SUM(P194:P199)</f>
        <v>19.367553711289005</v>
      </c>
      <c r="R194" s="17">
        <f>10*LOG10(Q194)</f>
        <v>12.870747690525519</v>
      </c>
      <c r="S194" s="18">
        <f>F194+N194-Kzt-H</f>
        <v>-23.903542377478061</v>
      </c>
      <c r="T194" s="17">
        <v>0.8</v>
      </c>
      <c r="U194" s="21">
        <f>T194*10^((S194-R194)/10)</f>
        <v>1.681361041304484E-4</v>
      </c>
    </row>
    <row r="195" spans="1:21" x14ac:dyDescent="0.25">
      <c r="A195" s="24"/>
      <c r="B195" s="24"/>
      <c r="C195" s="17"/>
      <c r="D195" s="24"/>
      <c r="E195" s="24"/>
      <c r="F195" s="25"/>
      <c r="G195" s="1">
        <v>975</v>
      </c>
      <c r="H195" s="2">
        <v>96.5</v>
      </c>
      <c r="I195" s="2">
        <v>-5.9</v>
      </c>
      <c r="J195" s="2">
        <v>-11.3</v>
      </c>
      <c r="K195" s="2">
        <f t="shared" si="23"/>
        <v>-5.9</v>
      </c>
      <c r="L195" s="8">
        <f t="shared" si="27"/>
        <v>5.7543993733715601E-11</v>
      </c>
      <c r="M195" s="26"/>
      <c r="N195" s="17"/>
      <c r="O195" s="9">
        <f t="shared" si="25"/>
        <v>-11.3</v>
      </c>
      <c r="P195" s="8">
        <f>D194/B194*10^(O195/10)</f>
        <v>2.8911099410735774</v>
      </c>
      <c r="Q195" s="26"/>
      <c r="R195" s="17"/>
      <c r="S195" s="19"/>
      <c r="T195" s="17"/>
      <c r="U195" s="22"/>
    </row>
    <row r="196" spans="1:21" x14ac:dyDescent="0.25">
      <c r="A196" s="24"/>
      <c r="B196" s="24"/>
      <c r="C196" s="17"/>
      <c r="D196" s="24"/>
      <c r="E196" s="24"/>
      <c r="F196" s="25"/>
      <c r="G196" s="1">
        <v>1075</v>
      </c>
      <c r="H196" s="2">
        <v>94.6</v>
      </c>
      <c r="I196" s="2">
        <v>-10.4</v>
      </c>
      <c r="J196" s="2">
        <v>-10.4</v>
      </c>
      <c r="K196" s="2">
        <f t="shared" si="23"/>
        <v>-10.4</v>
      </c>
      <c r="L196" s="8">
        <f t="shared" si="27"/>
        <v>3.162277660168371E-11</v>
      </c>
      <c r="M196" s="26"/>
      <c r="N196" s="17"/>
      <c r="O196" s="9">
        <f t="shared" si="25"/>
        <v>-10.4</v>
      </c>
      <c r="P196" s="8">
        <f>D194/B194*10^(O196/10)</f>
        <v>3.5568422734880465</v>
      </c>
      <c r="Q196" s="26"/>
      <c r="R196" s="17"/>
      <c r="S196" s="19"/>
      <c r="T196" s="17"/>
      <c r="U196" s="22"/>
    </row>
    <row r="197" spans="1:21" x14ac:dyDescent="0.25">
      <c r="A197" s="24"/>
      <c r="B197" s="24"/>
      <c r="C197" s="17"/>
      <c r="D197" s="24"/>
      <c r="E197" s="24"/>
      <c r="F197" s="25"/>
      <c r="G197" s="1">
        <v>1175</v>
      </c>
      <c r="H197" s="2">
        <v>97.8</v>
      </c>
      <c r="I197" s="2">
        <v>-2.2000000000000002</v>
      </c>
      <c r="J197" s="2">
        <v>-10.9</v>
      </c>
      <c r="K197" s="2">
        <f t="shared" si="23"/>
        <v>-2.2000000000000002</v>
      </c>
      <c r="L197" s="8">
        <f t="shared" si="27"/>
        <v>1E-10</v>
      </c>
      <c r="M197" s="26"/>
      <c r="N197" s="17"/>
      <c r="O197" s="9">
        <f t="shared" si="25"/>
        <v>-10.9</v>
      </c>
      <c r="P197" s="8">
        <f>D194/B194*10^(O197/10)</f>
        <v>3.1700390130399865</v>
      </c>
      <c r="Q197" s="26"/>
      <c r="R197" s="17"/>
      <c r="S197" s="19"/>
      <c r="T197" s="17"/>
      <c r="U197" s="22"/>
    </row>
    <row r="198" spans="1:21" x14ac:dyDescent="0.25">
      <c r="A198" s="24"/>
      <c r="B198" s="24"/>
      <c r="C198" s="17"/>
      <c r="D198" s="24"/>
      <c r="E198" s="24"/>
      <c r="F198" s="25"/>
      <c r="G198" s="1">
        <v>1275</v>
      </c>
      <c r="H198" s="2">
        <v>100.1</v>
      </c>
      <c r="I198" s="2">
        <v>-5.4</v>
      </c>
      <c r="J198" s="2">
        <v>-11.3</v>
      </c>
      <c r="K198" s="2">
        <f t="shared" si="23"/>
        <v>-5.4</v>
      </c>
      <c r="L198" s="8">
        <f t="shared" si="27"/>
        <v>2.8183829312644474E-11</v>
      </c>
      <c r="M198" s="26"/>
      <c r="N198" s="17"/>
      <c r="O198" s="9">
        <f t="shared" si="25"/>
        <v>-11.3</v>
      </c>
      <c r="P198" s="8">
        <f>D194/B194*10^(O198/10)</f>
        <v>2.8911099410735774</v>
      </c>
      <c r="Q198" s="26"/>
      <c r="R198" s="17"/>
      <c r="S198" s="19"/>
      <c r="T198" s="17"/>
      <c r="U198" s="22"/>
    </row>
    <row r="199" spans="1:21" x14ac:dyDescent="0.25">
      <c r="A199" s="24"/>
      <c r="B199" s="24"/>
      <c r="C199" s="17"/>
      <c r="D199" s="24"/>
      <c r="E199" s="24"/>
      <c r="F199" s="25"/>
      <c r="G199" s="1">
        <v>1375</v>
      </c>
      <c r="H199" s="2">
        <v>103</v>
      </c>
      <c r="I199" s="2">
        <v>-8.5</v>
      </c>
      <c r="J199" s="2">
        <v>-10</v>
      </c>
      <c r="K199" s="2">
        <f t="shared" si="23"/>
        <v>-8.5</v>
      </c>
      <c r="L199" s="8">
        <f t="shared" si="27"/>
        <v>7.0794578438413538E-12</v>
      </c>
      <c r="M199" s="26"/>
      <c r="N199" s="17"/>
      <c r="O199" s="9">
        <f t="shared" si="25"/>
        <v>-10</v>
      </c>
      <c r="P199" s="8">
        <f>D194/B194*10^(O199/10)</f>
        <v>3.9000000000000004</v>
      </c>
      <c r="Q199" s="26"/>
      <c r="R199" s="17"/>
      <c r="S199" s="20"/>
      <c r="T199" s="17"/>
      <c r="U199" s="23"/>
    </row>
    <row r="200" spans="1:21" x14ac:dyDescent="0.25">
      <c r="A200" s="24">
        <v>2000</v>
      </c>
      <c r="B200" s="24">
        <v>3</v>
      </c>
      <c r="C200" s="17">
        <v>0.5</v>
      </c>
      <c r="D200" s="24">
        <v>234</v>
      </c>
      <c r="E200" s="24">
        <v>6</v>
      </c>
      <c r="F200" s="25">
        <v>68</v>
      </c>
      <c r="G200" s="1">
        <v>1425</v>
      </c>
      <c r="H200" s="2">
        <v>102.8</v>
      </c>
      <c r="I200" s="2">
        <v>-7.8000000000000007</v>
      </c>
      <c r="J200" s="2">
        <v>-9.3000000000000007</v>
      </c>
      <c r="K200" s="2">
        <f t="shared" si="23"/>
        <v>-7.8000000000000007</v>
      </c>
      <c r="L200" s="8">
        <f t="shared" si="27"/>
        <v>8.7096358995607975E-12</v>
      </c>
      <c r="M200" s="26">
        <f>SUM(L200:L205)</f>
        <v>1.3441036880521611E-10</v>
      </c>
      <c r="N200" s="17">
        <f>10*LOG10(M200/E200)</f>
        <v>-106.49718477639101</v>
      </c>
      <c r="O200" s="9">
        <f t="shared" si="25"/>
        <v>-9.3000000000000007</v>
      </c>
      <c r="P200" s="8">
        <f>D200/B200*10^(O200/10)</f>
        <v>9.1642009285283272</v>
      </c>
      <c r="Q200" s="26">
        <f>SUM(P200:P205)</f>
        <v>41.895588107910221</v>
      </c>
      <c r="R200" s="17">
        <f>10*LOG10(Q200)</f>
        <v>16.221682911936714</v>
      </c>
      <c r="S200" s="18">
        <f>F200+N200-Kzt-H</f>
        <v>-38.497184776391009</v>
      </c>
      <c r="T200" s="17">
        <v>1</v>
      </c>
      <c r="U200" s="21">
        <f>T200*10^((S200-R200)/10)</f>
        <v>3.3737525915419951E-6</v>
      </c>
    </row>
    <row r="201" spans="1:21" x14ac:dyDescent="0.25">
      <c r="A201" s="24"/>
      <c r="B201" s="24"/>
      <c r="C201" s="17"/>
      <c r="D201" s="24"/>
      <c r="E201" s="24"/>
      <c r="F201" s="25"/>
      <c r="G201" s="1">
        <v>1625</v>
      </c>
      <c r="H201" s="2">
        <v>104.1</v>
      </c>
      <c r="I201" s="2">
        <v>-7.1</v>
      </c>
      <c r="J201" s="2">
        <v>-11.9</v>
      </c>
      <c r="K201" s="2">
        <f t="shared" si="23"/>
        <v>-7.1</v>
      </c>
      <c r="L201" s="8">
        <f t="shared" si="27"/>
        <v>7.585775750291834E-12</v>
      </c>
      <c r="M201" s="26"/>
      <c r="N201" s="17"/>
      <c r="O201" s="9">
        <f t="shared" si="25"/>
        <v>-11.9</v>
      </c>
      <c r="P201" s="8">
        <f>D200/B200*10^(O201/10)</f>
        <v>5.0361029864703122</v>
      </c>
      <c r="Q201" s="26"/>
      <c r="R201" s="17"/>
      <c r="S201" s="19"/>
      <c r="T201" s="17"/>
      <c r="U201" s="22"/>
    </row>
    <row r="202" spans="1:21" x14ac:dyDescent="0.25">
      <c r="A202" s="24"/>
      <c r="B202" s="24"/>
      <c r="C202" s="17"/>
      <c r="D202" s="24"/>
      <c r="E202" s="24"/>
      <c r="F202" s="25"/>
      <c r="G202" s="1">
        <v>1825</v>
      </c>
      <c r="H202" s="2">
        <v>107.6</v>
      </c>
      <c r="I202" s="2">
        <v>-3.7</v>
      </c>
      <c r="J202" s="2">
        <v>-10.1</v>
      </c>
      <c r="K202" s="2">
        <f t="shared" si="23"/>
        <v>-3.7</v>
      </c>
      <c r="L202" s="8">
        <f t="shared" si="27"/>
        <v>7.4131024130091739E-12</v>
      </c>
      <c r="M202" s="26"/>
      <c r="N202" s="17"/>
      <c r="O202" s="9">
        <f t="shared" si="25"/>
        <v>-10.1</v>
      </c>
      <c r="P202" s="8">
        <f>D200/B200*10^(O202/10)</f>
        <v>7.6224503234553227</v>
      </c>
      <c r="Q202" s="26"/>
      <c r="R202" s="17"/>
      <c r="S202" s="19"/>
      <c r="T202" s="17"/>
      <c r="U202" s="22"/>
    </row>
    <row r="203" spans="1:21" x14ac:dyDescent="0.25">
      <c r="A203" s="24"/>
      <c r="B203" s="24"/>
      <c r="C203" s="17"/>
      <c r="D203" s="24"/>
      <c r="E203" s="24"/>
      <c r="F203" s="25"/>
      <c r="G203" s="1">
        <v>2125</v>
      </c>
      <c r="H203" s="2">
        <v>104.2</v>
      </c>
      <c r="I203" s="2">
        <v>-9.4</v>
      </c>
      <c r="J203" s="2">
        <v>-12</v>
      </c>
      <c r="K203" s="2">
        <f t="shared" si="23"/>
        <v>-9.4</v>
      </c>
      <c r="L203" s="8">
        <f t="shared" si="27"/>
        <v>4.3651583224016369E-12</v>
      </c>
      <c r="M203" s="26"/>
      <c r="N203" s="17"/>
      <c r="O203" s="9">
        <f t="shared" si="25"/>
        <v>-12</v>
      </c>
      <c r="P203" s="8">
        <f>D200/B200*10^(O203/10)</f>
        <v>4.9214672869455063</v>
      </c>
      <c r="Q203" s="26"/>
      <c r="R203" s="17"/>
      <c r="S203" s="19"/>
      <c r="T203" s="17"/>
      <c r="U203" s="22"/>
    </row>
    <row r="204" spans="1:21" x14ac:dyDescent="0.25">
      <c r="A204" s="24"/>
      <c r="B204" s="24"/>
      <c r="C204" s="17"/>
      <c r="D204" s="24"/>
      <c r="E204" s="24"/>
      <c r="F204" s="25"/>
      <c r="G204" s="1">
        <v>2425</v>
      </c>
      <c r="H204" s="2">
        <v>93.7</v>
      </c>
      <c r="I204" s="2">
        <v>-6.7</v>
      </c>
      <c r="J204" s="2">
        <v>-10.6</v>
      </c>
      <c r="K204" s="2">
        <f t="shared" si="23"/>
        <v>-6.7</v>
      </c>
      <c r="L204" s="8">
        <f t="shared" si="27"/>
        <v>9.1201083935590649E-11</v>
      </c>
      <c r="M204" s="26"/>
      <c r="N204" s="17"/>
      <c r="O204" s="9">
        <f t="shared" si="25"/>
        <v>-10.6</v>
      </c>
      <c r="P204" s="8">
        <f>D200/B200*10^(O204/10)</f>
        <v>6.7935160016574248</v>
      </c>
      <c r="Q204" s="26"/>
      <c r="R204" s="17"/>
      <c r="S204" s="19"/>
      <c r="T204" s="17"/>
      <c r="U204" s="22"/>
    </row>
    <row r="205" spans="1:21" x14ac:dyDescent="0.25">
      <c r="A205" s="24"/>
      <c r="B205" s="24"/>
      <c r="C205" s="17"/>
      <c r="D205" s="24"/>
      <c r="E205" s="24"/>
      <c r="F205" s="25"/>
      <c r="G205" s="1">
        <v>2775</v>
      </c>
      <c r="H205" s="2">
        <v>100.2</v>
      </c>
      <c r="I205" s="2">
        <v>-8</v>
      </c>
      <c r="J205" s="2">
        <v>-9.6999999999999993</v>
      </c>
      <c r="K205" s="2">
        <f t="shared" si="23"/>
        <v>-8</v>
      </c>
      <c r="L205" s="8">
        <f t="shared" si="27"/>
        <v>1.5135612484362034E-11</v>
      </c>
      <c r="M205" s="26"/>
      <c r="N205" s="17"/>
      <c r="O205" s="9">
        <f t="shared" si="25"/>
        <v>-9.6999999999999993</v>
      </c>
      <c r="P205" s="8">
        <f>D200/B200*10^(O205/10)</f>
        <v>8.357850580853329</v>
      </c>
      <c r="Q205" s="26"/>
      <c r="R205" s="17"/>
      <c r="S205" s="20"/>
      <c r="T205" s="17"/>
      <c r="U205" s="23"/>
    </row>
    <row r="206" spans="1:21" x14ac:dyDescent="0.25">
      <c r="A206" s="24">
        <v>4000</v>
      </c>
      <c r="B206" s="24">
        <v>3</v>
      </c>
      <c r="C206" s="17">
        <v>0.5</v>
      </c>
      <c r="D206" s="24">
        <v>470</v>
      </c>
      <c r="E206" s="24">
        <v>6</v>
      </c>
      <c r="F206" s="25">
        <v>62</v>
      </c>
      <c r="G206" s="1">
        <v>2825</v>
      </c>
      <c r="H206" s="2">
        <v>99.4</v>
      </c>
      <c r="I206" s="2">
        <v>-9.1</v>
      </c>
      <c r="J206" s="2">
        <v>-9.6</v>
      </c>
      <c r="K206" s="2">
        <f t="shared" si="23"/>
        <v>-9.1</v>
      </c>
      <c r="L206" s="8">
        <f t="shared" si="27"/>
        <v>1.4125375446227501E-11</v>
      </c>
      <c r="M206" s="26">
        <f>SUM(L206:L211)</f>
        <v>9.0943136682296683E-11</v>
      </c>
      <c r="N206" s="17">
        <f>10*LOG10(M206/E206)</f>
        <v>-108.19381321184002</v>
      </c>
      <c r="O206" s="9">
        <f t="shared" si="25"/>
        <v>-9.6</v>
      </c>
      <c r="P206" s="8">
        <f>D206/B206*10^(O206/10)</f>
        <v>17.178158406243231</v>
      </c>
      <c r="Q206" s="26">
        <f>SUM(P206:P211)</f>
        <v>155.22917179138233</v>
      </c>
      <c r="R206" s="17">
        <f>10*LOG10(Q206)</f>
        <v>21.9097334035974</v>
      </c>
      <c r="S206" s="18">
        <f>F206+N206-Kzt-H</f>
        <v>-46.193813211840023</v>
      </c>
      <c r="T206" s="17">
        <v>0.9</v>
      </c>
      <c r="U206" s="21">
        <f>T206*10^((S206-R206)/10)</f>
        <v>1.3927970809108657E-7</v>
      </c>
    </row>
    <row r="207" spans="1:21" x14ac:dyDescent="0.25">
      <c r="A207" s="24"/>
      <c r="B207" s="24"/>
      <c r="C207" s="17"/>
      <c r="D207" s="24"/>
      <c r="E207" s="24"/>
      <c r="F207" s="25"/>
      <c r="G207" s="1">
        <v>3425</v>
      </c>
      <c r="H207" s="2">
        <v>103.5</v>
      </c>
      <c r="I207" s="2">
        <v>-4.9000000000000004</v>
      </c>
      <c r="J207" s="2">
        <v>-5.3</v>
      </c>
      <c r="K207" s="2">
        <f t="shared" si="23"/>
        <v>-4.9000000000000004</v>
      </c>
      <c r="L207" s="8">
        <f t="shared" si="27"/>
        <v>1.4454397707459232E-11</v>
      </c>
      <c r="M207" s="26"/>
      <c r="N207" s="17"/>
      <c r="O207" s="9">
        <f t="shared" si="25"/>
        <v>-5.3</v>
      </c>
      <c r="P207" s="8">
        <f>D206/B206*10^(O207/10)</f>
        <v>46.235611217773361</v>
      </c>
      <c r="Q207" s="26"/>
      <c r="R207" s="17"/>
      <c r="S207" s="19"/>
      <c r="T207" s="17"/>
      <c r="U207" s="22"/>
    </row>
    <row r="208" spans="1:21" x14ac:dyDescent="0.25">
      <c r="A208" s="24"/>
      <c r="B208" s="24"/>
      <c r="C208" s="17"/>
      <c r="D208" s="24"/>
      <c r="E208" s="24"/>
      <c r="F208" s="25"/>
      <c r="G208" s="1">
        <v>4025</v>
      </c>
      <c r="H208" s="2">
        <v>103.6</v>
      </c>
      <c r="I208" s="2">
        <v>-4.9000000000000004</v>
      </c>
      <c r="J208" s="2">
        <v>-10.6</v>
      </c>
      <c r="K208" s="2">
        <f t="shared" si="23"/>
        <v>-4.9000000000000004</v>
      </c>
      <c r="L208" s="8">
        <f t="shared" si="27"/>
        <v>1.4125375446227501E-11</v>
      </c>
      <c r="M208" s="26"/>
      <c r="N208" s="17"/>
      <c r="O208" s="9">
        <f t="shared" si="25"/>
        <v>-10.6</v>
      </c>
      <c r="P208" s="8">
        <f>D206/B206*10^(O208/10)</f>
        <v>13.645096242645254</v>
      </c>
      <c r="Q208" s="26"/>
      <c r="R208" s="17"/>
      <c r="S208" s="19"/>
      <c r="T208" s="17"/>
      <c r="U208" s="22"/>
    </row>
    <row r="209" spans="1:21" x14ac:dyDescent="0.25">
      <c r="A209" s="24"/>
      <c r="B209" s="24"/>
      <c r="C209" s="17"/>
      <c r="D209" s="24"/>
      <c r="E209" s="24"/>
      <c r="F209" s="25"/>
      <c r="G209" s="1">
        <v>4625</v>
      </c>
      <c r="H209" s="2">
        <v>105.6</v>
      </c>
      <c r="I209" s="2">
        <v>-5.8</v>
      </c>
      <c r="J209" s="2">
        <v>-9.5</v>
      </c>
      <c r="K209" s="2">
        <f t="shared" si="23"/>
        <v>-5.8</v>
      </c>
      <c r="L209" s="8">
        <f t="shared" si="27"/>
        <v>7.2443596007498992E-12</v>
      </c>
      <c r="M209" s="26"/>
      <c r="N209" s="17"/>
      <c r="O209" s="9">
        <f t="shared" si="25"/>
        <v>-9.5</v>
      </c>
      <c r="P209" s="8">
        <f>D206/B206*10^(O209/10)</f>
        <v>17.578289117397421</v>
      </c>
      <c r="Q209" s="26"/>
      <c r="R209" s="17"/>
      <c r="S209" s="19"/>
      <c r="T209" s="17"/>
      <c r="U209" s="22"/>
    </row>
    <row r="210" spans="1:21" x14ac:dyDescent="0.25">
      <c r="A210" s="24"/>
      <c r="B210" s="24"/>
      <c r="C210" s="17"/>
      <c r="D210" s="24"/>
      <c r="E210" s="24"/>
      <c r="F210" s="25"/>
      <c r="G210" s="1">
        <v>5225</v>
      </c>
      <c r="H210" s="2">
        <v>103.5</v>
      </c>
      <c r="I210" s="2">
        <v>-5.9</v>
      </c>
      <c r="J210" s="2">
        <v>-7.5</v>
      </c>
      <c r="K210" s="2">
        <f t="shared" si="23"/>
        <v>-5.9</v>
      </c>
      <c r="L210" s="8">
        <f t="shared" si="27"/>
        <v>1.1481536214968764E-11</v>
      </c>
      <c r="M210" s="26"/>
      <c r="N210" s="17"/>
      <c r="O210" s="9">
        <f t="shared" si="25"/>
        <v>-7.5</v>
      </c>
      <c r="P210" s="8">
        <f>D206/B206*10^(O210/10)</f>
        <v>27.859710757276449</v>
      </c>
      <c r="Q210" s="26"/>
      <c r="R210" s="17"/>
      <c r="S210" s="19"/>
      <c r="T210" s="17"/>
      <c r="U210" s="22"/>
    </row>
    <row r="211" spans="1:21" x14ac:dyDescent="0.25">
      <c r="A211" s="24"/>
      <c r="B211" s="24"/>
      <c r="C211" s="17"/>
      <c r="D211" s="24"/>
      <c r="E211" s="24"/>
      <c r="F211" s="25"/>
      <c r="G211" s="1">
        <v>5625</v>
      </c>
      <c r="H211" s="2">
        <v>99.5</v>
      </c>
      <c r="I211" s="2">
        <v>-5.8</v>
      </c>
      <c r="J211" s="2">
        <v>-6.8</v>
      </c>
      <c r="K211" s="2">
        <f t="shared" si="23"/>
        <v>-5.8</v>
      </c>
      <c r="L211" s="8">
        <f t="shared" si="27"/>
        <v>2.9512092266663787E-11</v>
      </c>
      <c r="M211" s="26"/>
      <c r="N211" s="17"/>
      <c r="O211" s="9">
        <f t="shared" si="25"/>
        <v>-6.8</v>
      </c>
      <c r="P211" s="8">
        <f>D206/B206*10^(O211/10)</f>
        <v>32.732306050046624</v>
      </c>
      <c r="Q211" s="26"/>
      <c r="R211" s="17"/>
      <c r="S211" s="20"/>
      <c r="T211" s="17"/>
      <c r="U211" s="23"/>
    </row>
    <row r="212" spans="1:21" x14ac:dyDescent="0.25">
      <c r="A212" s="24">
        <v>8000</v>
      </c>
      <c r="B212" s="24">
        <v>3</v>
      </c>
      <c r="C212" s="17">
        <v>0.5</v>
      </c>
      <c r="D212" s="24">
        <v>943</v>
      </c>
      <c r="E212" s="24">
        <v>6</v>
      </c>
      <c r="F212" s="25">
        <v>54</v>
      </c>
      <c r="G212" s="1">
        <v>6025</v>
      </c>
      <c r="H212" s="2">
        <v>95</v>
      </c>
      <c r="I212" s="2">
        <v>-3.3</v>
      </c>
      <c r="J212" s="2">
        <v>-8.6999999999999993</v>
      </c>
      <c r="K212" s="2">
        <f t="shared" si="23"/>
        <v>-3.3</v>
      </c>
      <c r="L212" s="8">
        <f t="shared" si="27"/>
        <v>1.4791083881682045E-10</v>
      </c>
      <c r="M212" s="26">
        <f>SUM(L212:L217)</f>
        <v>3.3417310943976179E-9</v>
      </c>
      <c r="N212" s="17">
        <f>10*LOG10(M212/E212)</f>
        <v>-92.541797506425183</v>
      </c>
      <c r="O212" s="9">
        <f t="shared" si="25"/>
        <v>-8.6999999999999993</v>
      </c>
      <c r="P212" s="8">
        <f>D212/B212*10^(O212/10)</f>
        <v>42.402399942797636</v>
      </c>
      <c r="Q212" s="26">
        <f>SUM(P212:P217)</f>
        <v>485.21662087826337</v>
      </c>
      <c r="R212" s="17">
        <f>10*LOG10(Q212)</f>
        <v>26.859356690125114</v>
      </c>
      <c r="S212" s="18">
        <f>F212+N212-Kzt-H</f>
        <v>-38.541797506425183</v>
      </c>
      <c r="T212" s="17">
        <v>0.7</v>
      </c>
      <c r="U212" s="21">
        <f>T212*10^((S212-R212)/10)</f>
        <v>2.0182855941071539E-7</v>
      </c>
    </row>
    <row r="213" spans="1:21" x14ac:dyDescent="0.25">
      <c r="A213" s="24"/>
      <c r="B213" s="24"/>
      <c r="C213" s="17"/>
      <c r="D213" s="24"/>
      <c r="E213" s="24"/>
      <c r="F213" s="25"/>
      <c r="G213" s="1">
        <v>7025</v>
      </c>
      <c r="H213" s="2">
        <v>94.8</v>
      </c>
      <c r="I213" s="2">
        <v>-7.1</v>
      </c>
      <c r="J213" s="2">
        <v>-8.6999999999999993</v>
      </c>
      <c r="K213" s="2">
        <f t="shared" si="23"/>
        <v>-7.1</v>
      </c>
      <c r="L213" s="8">
        <f t="shared" si="27"/>
        <v>6.4565422903465416E-11</v>
      </c>
      <c r="M213" s="26"/>
      <c r="N213" s="17"/>
      <c r="O213" s="9">
        <f t="shared" si="25"/>
        <v>-8.6999999999999993</v>
      </c>
      <c r="P213" s="8">
        <f>D212/B212*10^(O213/10)</f>
        <v>42.402399942797636</v>
      </c>
      <c r="Q213" s="26"/>
      <c r="R213" s="17"/>
      <c r="S213" s="19"/>
      <c r="T213" s="17"/>
      <c r="U213" s="22"/>
    </row>
    <row r="214" spans="1:21" x14ac:dyDescent="0.25">
      <c r="A214" s="24"/>
      <c r="B214" s="24"/>
      <c r="C214" s="17"/>
      <c r="D214" s="24"/>
      <c r="E214" s="24"/>
      <c r="F214" s="25"/>
      <c r="G214" s="1">
        <v>8025</v>
      </c>
      <c r="H214" s="2">
        <v>101.9</v>
      </c>
      <c r="I214" s="2">
        <v>-4.3</v>
      </c>
      <c r="J214" s="2">
        <v>-8.3000000000000007</v>
      </c>
      <c r="K214" s="2">
        <f t="shared" si="23"/>
        <v>-4.3</v>
      </c>
      <c r="L214" s="8">
        <f t="shared" si="27"/>
        <v>2.3988329190194783E-11</v>
      </c>
      <c r="M214" s="26"/>
      <c r="N214" s="17"/>
      <c r="O214" s="9">
        <f t="shared" si="25"/>
        <v>-8.3000000000000007</v>
      </c>
      <c r="P214" s="8">
        <f>D212/B212*10^(O214/10)</f>
        <v>46.493307001420639</v>
      </c>
      <c r="Q214" s="26"/>
      <c r="R214" s="17"/>
      <c r="S214" s="19"/>
      <c r="T214" s="17"/>
      <c r="U214" s="22"/>
    </row>
    <row r="215" spans="1:21" x14ac:dyDescent="0.25">
      <c r="A215" s="24"/>
      <c r="B215" s="24"/>
      <c r="C215" s="17"/>
      <c r="D215" s="24"/>
      <c r="E215" s="24"/>
      <c r="F215" s="25"/>
      <c r="G215" s="1">
        <v>9025</v>
      </c>
      <c r="H215" s="2">
        <v>93.2</v>
      </c>
      <c r="I215" s="2">
        <v>0.2</v>
      </c>
      <c r="J215" s="2">
        <v>-3.3</v>
      </c>
      <c r="K215" s="2">
        <f t="shared" si="23"/>
        <v>0.2</v>
      </c>
      <c r="L215" s="8">
        <f t="shared" si="27"/>
        <v>5.011872336272705E-10</v>
      </c>
      <c r="M215" s="26"/>
      <c r="N215" s="17"/>
      <c r="O215" s="9">
        <f t="shared" si="25"/>
        <v>-3.3</v>
      </c>
      <c r="P215" s="8">
        <f>D212/B212*10^(O215/10)</f>
        <v>147.02474607794261</v>
      </c>
      <c r="Q215" s="26"/>
      <c r="R215" s="17"/>
      <c r="S215" s="19"/>
      <c r="T215" s="17"/>
      <c r="U215" s="22"/>
    </row>
    <row r="216" spans="1:21" x14ac:dyDescent="0.25">
      <c r="A216" s="24"/>
      <c r="B216" s="24"/>
      <c r="C216" s="17"/>
      <c r="D216" s="24"/>
      <c r="E216" s="24"/>
      <c r="F216" s="25"/>
      <c r="G216" s="1">
        <v>10025</v>
      </c>
      <c r="H216" s="2">
        <v>88.3</v>
      </c>
      <c r="I216" s="2">
        <v>-4.2</v>
      </c>
      <c r="J216" s="2">
        <v>-5.7</v>
      </c>
      <c r="K216" s="2">
        <f t="shared" si="23"/>
        <v>-4.2</v>
      </c>
      <c r="L216" s="8">
        <f t="shared" si="27"/>
        <v>5.6234132519034889E-10</v>
      </c>
      <c r="M216" s="26"/>
      <c r="N216" s="17"/>
      <c r="O216" s="9">
        <f t="shared" si="25"/>
        <v>-5.7</v>
      </c>
      <c r="P216" s="8">
        <f>D212/B212*10^(O216/10)</f>
        <v>84.603910670102692</v>
      </c>
      <c r="Q216" s="26"/>
      <c r="R216" s="17"/>
      <c r="S216" s="19"/>
      <c r="T216" s="17"/>
      <c r="U216" s="22"/>
    </row>
    <row r="217" spans="1:21" x14ac:dyDescent="0.25">
      <c r="A217" s="24"/>
      <c r="B217" s="24"/>
      <c r="C217" s="17"/>
      <c r="D217" s="24"/>
      <c r="E217" s="24"/>
      <c r="F217" s="25"/>
      <c r="G217" s="1">
        <v>11025</v>
      </c>
      <c r="H217" s="2">
        <v>86</v>
      </c>
      <c r="I217" s="2">
        <v>-0.9</v>
      </c>
      <c r="J217" s="2">
        <v>-4.0999999999999996</v>
      </c>
      <c r="K217" s="2">
        <f t="shared" si="23"/>
        <v>-0.9</v>
      </c>
      <c r="L217" s="8">
        <f t="shared" si="27"/>
        <v>2.0417379446695176E-9</v>
      </c>
      <c r="M217" s="26"/>
      <c r="N217" s="17"/>
      <c r="O217" s="9">
        <f t="shared" si="25"/>
        <v>-4.0999999999999996</v>
      </c>
      <c r="P217" s="8">
        <f>D212/B212*10^(O217/10)</f>
        <v>122.28985724320218</v>
      </c>
      <c r="Q217" s="26"/>
      <c r="R217" s="17"/>
      <c r="S217" s="20"/>
      <c r="T217" s="17"/>
      <c r="U217" s="23"/>
    </row>
    <row r="218" spans="1:21" x14ac:dyDescent="0.25">
      <c r="A218" s="24" t="s">
        <v>20</v>
      </c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12">
        <f>U218</f>
        <v>6.0172776340154513E-2</v>
      </c>
      <c r="T218" s="2"/>
      <c r="U218" s="8">
        <f>0.8*SQRT(SUM(U184:U217))</f>
        <v>6.0172776340154513E-2</v>
      </c>
    </row>
    <row r="219" spans="1:21" x14ac:dyDescent="0.25">
      <c r="A219" s="27" t="s">
        <v>38</v>
      </c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9"/>
    </row>
    <row r="220" spans="1:21" x14ac:dyDescent="0.25">
      <c r="A220" s="24">
        <v>250</v>
      </c>
      <c r="B220" s="24">
        <v>3</v>
      </c>
      <c r="C220" s="17">
        <v>0.5</v>
      </c>
      <c r="D220" s="24">
        <v>38</v>
      </c>
      <c r="E220" s="24">
        <v>4</v>
      </c>
      <c r="F220" s="25">
        <v>84</v>
      </c>
      <c r="G220" s="1">
        <v>175</v>
      </c>
      <c r="H220" s="2">
        <v>84.8</v>
      </c>
      <c r="I220" s="2">
        <v>-8.1999999999999993</v>
      </c>
      <c r="J220" s="2">
        <v>-10.4</v>
      </c>
      <c r="K220" s="2">
        <f>I220</f>
        <v>-8.1999999999999993</v>
      </c>
      <c r="L220" s="8">
        <f>10^((K220-H220)/10)</f>
        <v>5.011872336272705E-10</v>
      </c>
      <c r="M220" s="26">
        <f>SUM(L220:L223)</f>
        <v>1.0496895322790016E-9</v>
      </c>
      <c r="N220" s="17">
        <f>10*LOG10(M220/E220)</f>
        <v>-95.809991249781476</v>
      </c>
      <c r="O220" s="9">
        <f>J220</f>
        <v>-10.4</v>
      </c>
      <c r="P220" s="8">
        <f>D220/B220*10^(O220/10)</f>
        <v>1.1552137298508185</v>
      </c>
      <c r="Q220" s="26">
        <f>SUM(P220:P223)</f>
        <v>4.8405386318993564</v>
      </c>
      <c r="R220" s="17">
        <f>10*LOG10(Q220)</f>
        <v>6.8489369053824865</v>
      </c>
      <c r="S220" s="18">
        <f>F220+N220-Kzt-H</f>
        <v>-11.809991249781476</v>
      </c>
      <c r="T220" s="17">
        <v>0.2</v>
      </c>
      <c r="U220" s="21">
        <f>T220*10^((S220-R220)/10)</f>
        <v>2.7235614607569519E-3</v>
      </c>
    </row>
    <row r="221" spans="1:21" x14ac:dyDescent="0.25">
      <c r="A221" s="24"/>
      <c r="B221" s="24"/>
      <c r="C221" s="17"/>
      <c r="D221" s="24"/>
      <c r="E221" s="24"/>
      <c r="F221" s="25"/>
      <c r="G221" s="1">
        <v>225</v>
      </c>
      <c r="H221" s="2">
        <v>90</v>
      </c>
      <c r="I221" s="2">
        <v>-8.5</v>
      </c>
      <c r="J221" s="2">
        <v>-10.1</v>
      </c>
      <c r="K221" s="2">
        <f t="shared" ref="K221:K253" si="28">I221</f>
        <v>-8.5</v>
      </c>
      <c r="L221" s="8">
        <f t="shared" ref="L221:L222" si="29">10^((K221-H221)/10)</f>
        <v>1.4125375446227517E-10</v>
      </c>
      <c r="M221" s="26"/>
      <c r="N221" s="17"/>
      <c r="O221" s="9">
        <f t="shared" ref="O221:O253" si="30">J221</f>
        <v>-10.1</v>
      </c>
      <c r="P221" s="8">
        <f>D220/B220*10^(O221/10)</f>
        <v>1.2378338132106934</v>
      </c>
      <c r="Q221" s="26"/>
      <c r="R221" s="17"/>
      <c r="S221" s="19"/>
      <c r="T221" s="17"/>
      <c r="U221" s="22"/>
    </row>
    <row r="222" spans="1:21" x14ac:dyDescent="0.25">
      <c r="A222" s="24"/>
      <c r="B222" s="24"/>
      <c r="C222" s="17"/>
      <c r="D222" s="24"/>
      <c r="E222" s="24"/>
      <c r="F222" s="25"/>
      <c r="G222" s="1">
        <v>275</v>
      </c>
      <c r="H222" s="2">
        <v>92.2</v>
      </c>
      <c r="I222" s="2">
        <v>-3.4</v>
      </c>
      <c r="J222" s="2">
        <v>-10.1</v>
      </c>
      <c r="K222" s="2">
        <f t="shared" si="28"/>
        <v>-3.4</v>
      </c>
      <c r="L222" s="8">
        <f t="shared" si="29"/>
        <v>2.7542287033381539E-10</v>
      </c>
      <c r="M222" s="26"/>
      <c r="N222" s="17"/>
      <c r="O222" s="9">
        <f t="shared" si="30"/>
        <v>-10.1</v>
      </c>
      <c r="P222" s="8">
        <f>D220/B220*10^(O222/10)</f>
        <v>1.2378338132106934</v>
      </c>
      <c r="Q222" s="26"/>
      <c r="R222" s="17"/>
      <c r="S222" s="19"/>
      <c r="T222" s="17"/>
      <c r="U222" s="22"/>
    </row>
    <row r="223" spans="1:21" x14ac:dyDescent="0.25">
      <c r="A223" s="24"/>
      <c r="B223" s="24"/>
      <c r="C223" s="17"/>
      <c r="D223" s="24"/>
      <c r="E223" s="24"/>
      <c r="F223" s="25"/>
      <c r="G223" s="1">
        <v>325</v>
      </c>
      <c r="H223" s="2">
        <v>93.3</v>
      </c>
      <c r="I223" s="2">
        <v>-5.5</v>
      </c>
      <c r="J223" s="2">
        <v>-10.199999999999999</v>
      </c>
      <c r="K223" s="2">
        <f t="shared" si="28"/>
        <v>-5.5</v>
      </c>
      <c r="L223" s="8">
        <f>10^((K223-H223)/10)</f>
        <v>1.3182567385564051E-10</v>
      </c>
      <c r="M223" s="26"/>
      <c r="N223" s="17"/>
      <c r="O223" s="9">
        <f t="shared" si="30"/>
        <v>-10.199999999999999</v>
      </c>
      <c r="P223" s="8">
        <f>D220/B220*10^(O223/10)</f>
        <v>1.2096572756271518</v>
      </c>
      <c r="Q223" s="26"/>
      <c r="R223" s="17"/>
      <c r="S223" s="20"/>
      <c r="T223" s="17"/>
      <c r="U223" s="23"/>
    </row>
    <row r="224" spans="1:21" x14ac:dyDescent="0.25">
      <c r="A224" s="24">
        <v>500</v>
      </c>
      <c r="B224" s="24">
        <v>3</v>
      </c>
      <c r="C224" s="17">
        <v>0.5</v>
      </c>
      <c r="D224" s="24">
        <v>59</v>
      </c>
      <c r="E224" s="24">
        <v>6</v>
      </c>
      <c r="F224" s="25">
        <v>84</v>
      </c>
      <c r="G224" s="1">
        <v>375</v>
      </c>
      <c r="H224" s="2">
        <v>91.9</v>
      </c>
      <c r="I224" s="2">
        <v>-6.8</v>
      </c>
      <c r="J224" s="2">
        <v>-10.7</v>
      </c>
      <c r="K224" s="2">
        <f t="shared" si="28"/>
        <v>-6.8</v>
      </c>
      <c r="L224" s="8">
        <f t="shared" ref="L224:L225" si="31">10^((K224-H224)/10)</f>
        <v>1.3489628825916465E-10</v>
      </c>
      <c r="M224" s="26">
        <f>SUM(L224:L229)</f>
        <v>8.3030539296967346E-10</v>
      </c>
      <c r="N224" s="17">
        <f>10*LOG10(M224/E224)</f>
        <v>-98.589133916373598</v>
      </c>
      <c r="O224" s="9">
        <f t="shared" si="30"/>
        <v>-10.7</v>
      </c>
      <c r="P224" s="8">
        <f>D224/B224*10^(O224/10)</f>
        <v>1.6739048084646737</v>
      </c>
      <c r="Q224" s="26">
        <f>SUM(P224:P229)</f>
        <v>10.235126429122682</v>
      </c>
      <c r="R224" s="17">
        <f>10*LOG10(Q224)</f>
        <v>10.100932116425117</v>
      </c>
      <c r="S224" s="18">
        <f>F224+N224-Kzt-H</f>
        <v>-14.589133916373598</v>
      </c>
      <c r="T224" s="17">
        <v>0.5</v>
      </c>
      <c r="U224" s="21">
        <f>T224*10^((S224-R224)/10)</f>
        <v>1.6981005437927991E-3</v>
      </c>
    </row>
    <row r="225" spans="1:21" x14ac:dyDescent="0.25">
      <c r="A225" s="24"/>
      <c r="B225" s="24"/>
      <c r="C225" s="17"/>
      <c r="D225" s="24"/>
      <c r="E225" s="24"/>
      <c r="F225" s="25"/>
      <c r="G225" s="1">
        <v>425</v>
      </c>
      <c r="H225" s="2">
        <v>88.1</v>
      </c>
      <c r="I225" s="2">
        <v>-7.1</v>
      </c>
      <c r="J225" s="2">
        <v>-10.4</v>
      </c>
      <c r="K225" s="2">
        <f t="shared" si="28"/>
        <v>-7.1</v>
      </c>
      <c r="L225" s="8">
        <f t="shared" si="31"/>
        <v>3.0199517204020115E-10</v>
      </c>
      <c r="M225" s="26"/>
      <c r="N225" s="17"/>
      <c r="O225" s="9">
        <f t="shared" si="30"/>
        <v>-10.4</v>
      </c>
      <c r="P225" s="8">
        <f>D224/B224*10^(O225/10)</f>
        <v>1.7936213173999553</v>
      </c>
      <c r="Q225" s="26"/>
      <c r="R225" s="17"/>
      <c r="S225" s="19"/>
      <c r="T225" s="17"/>
      <c r="U225" s="22"/>
    </row>
    <row r="226" spans="1:21" x14ac:dyDescent="0.25">
      <c r="A226" s="24"/>
      <c r="B226" s="24"/>
      <c r="C226" s="17"/>
      <c r="D226" s="24"/>
      <c r="E226" s="24"/>
      <c r="F226" s="25"/>
      <c r="G226" s="1">
        <v>475</v>
      </c>
      <c r="H226" s="2">
        <v>90</v>
      </c>
      <c r="I226" s="2">
        <v>-6.6</v>
      </c>
      <c r="J226" s="2">
        <v>-11.2</v>
      </c>
      <c r="K226" s="2">
        <f t="shared" si="28"/>
        <v>-6.6</v>
      </c>
      <c r="L226" s="8">
        <f>10^((K226-H226)/10)</f>
        <v>2.1877616239495448E-10</v>
      </c>
      <c r="M226" s="26"/>
      <c r="N226" s="17"/>
      <c r="O226" s="9">
        <f t="shared" si="30"/>
        <v>-11.2</v>
      </c>
      <c r="P226" s="8">
        <f>D224/B224*10^(O226/10)</f>
        <v>1.4918692308907284</v>
      </c>
      <c r="Q226" s="26"/>
      <c r="R226" s="17"/>
      <c r="S226" s="19"/>
      <c r="T226" s="17"/>
      <c r="U226" s="22"/>
    </row>
    <row r="227" spans="1:21" x14ac:dyDescent="0.25">
      <c r="A227" s="24"/>
      <c r="B227" s="24"/>
      <c r="C227" s="17"/>
      <c r="D227" s="24"/>
      <c r="E227" s="24"/>
      <c r="F227" s="25"/>
      <c r="G227" s="1">
        <v>575</v>
      </c>
      <c r="H227" s="2">
        <v>97</v>
      </c>
      <c r="I227" s="2">
        <v>-5.2</v>
      </c>
      <c r="J227" s="2">
        <v>-10.3</v>
      </c>
      <c r="K227" s="2">
        <f t="shared" si="28"/>
        <v>-5.2</v>
      </c>
      <c r="L227" s="8">
        <f t="shared" ref="L227:L253" si="32">10^((K227-H227)/10)</f>
        <v>6.0255958607435443E-11</v>
      </c>
      <c r="M227" s="26"/>
      <c r="N227" s="17"/>
      <c r="O227" s="9">
        <f t="shared" si="30"/>
        <v>-10.3</v>
      </c>
      <c r="P227" s="8">
        <f>D224/B224*10^(O227/10)</f>
        <v>1.8354001249007483</v>
      </c>
      <c r="Q227" s="26"/>
      <c r="R227" s="17"/>
      <c r="S227" s="19"/>
      <c r="T227" s="17"/>
      <c r="U227" s="22"/>
    </row>
    <row r="228" spans="1:21" x14ac:dyDescent="0.25">
      <c r="A228" s="24"/>
      <c r="B228" s="24"/>
      <c r="C228" s="17"/>
      <c r="D228" s="24"/>
      <c r="E228" s="24"/>
      <c r="F228" s="25"/>
      <c r="G228" s="1">
        <v>625</v>
      </c>
      <c r="H228" s="2">
        <v>92</v>
      </c>
      <c r="I228" s="2">
        <v>-9.6999999999999993</v>
      </c>
      <c r="J228" s="2">
        <v>-10.199999999999999</v>
      </c>
      <c r="K228" s="2">
        <f t="shared" si="28"/>
        <v>-9.6999999999999993</v>
      </c>
      <c r="L228" s="8">
        <f t="shared" si="32"/>
        <v>6.7608297539198024E-11</v>
      </c>
      <c r="M228" s="26"/>
      <c r="N228" s="17"/>
      <c r="O228" s="9">
        <f t="shared" si="30"/>
        <v>-10.199999999999999</v>
      </c>
      <c r="P228" s="8">
        <f>D224/B224*10^(O228/10)</f>
        <v>1.8781520858421568</v>
      </c>
      <c r="Q228" s="26"/>
      <c r="R228" s="17"/>
      <c r="S228" s="19"/>
      <c r="T228" s="17"/>
      <c r="U228" s="22"/>
    </row>
    <row r="229" spans="1:21" x14ac:dyDescent="0.25">
      <c r="A229" s="24"/>
      <c r="B229" s="24"/>
      <c r="C229" s="17"/>
      <c r="D229" s="24"/>
      <c r="E229" s="24"/>
      <c r="F229" s="25"/>
      <c r="G229" s="1">
        <v>675</v>
      </c>
      <c r="H229" s="2">
        <v>94.5</v>
      </c>
      <c r="I229" s="2">
        <v>-8.8000000000000007</v>
      </c>
      <c r="J229" s="2">
        <v>-11</v>
      </c>
      <c r="K229" s="2">
        <f t="shared" si="28"/>
        <v>-8.8000000000000007</v>
      </c>
      <c r="L229" s="8">
        <f t="shared" si="32"/>
        <v>4.6773514128719782E-11</v>
      </c>
      <c r="M229" s="26"/>
      <c r="N229" s="17"/>
      <c r="O229" s="9">
        <f t="shared" si="30"/>
        <v>-11</v>
      </c>
      <c r="P229" s="8">
        <f>D224/B224*10^(O229/10)</f>
        <v>1.5621788616244192</v>
      </c>
      <c r="Q229" s="26"/>
      <c r="R229" s="17"/>
      <c r="S229" s="20"/>
      <c r="T229" s="17"/>
      <c r="U229" s="23"/>
    </row>
    <row r="230" spans="1:21" x14ac:dyDescent="0.25">
      <c r="A230" s="24">
        <v>1000</v>
      </c>
      <c r="B230" s="24">
        <v>3</v>
      </c>
      <c r="C230" s="17">
        <v>0.5</v>
      </c>
      <c r="D230" s="24">
        <v>117</v>
      </c>
      <c r="E230" s="24">
        <v>6</v>
      </c>
      <c r="F230" s="25">
        <v>76</v>
      </c>
      <c r="G230" s="1">
        <v>875</v>
      </c>
      <c r="H230" s="2">
        <v>91.1</v>
      </c>
      <c r="I230" s="2">
        <v>-1.3</v>
      </c>
      <c r="J230" s="2">
        <v>-9.9</v>
      </c>
      <c r="K230" s="2">
        <f t="shared" si="28"/>
        <v>-1.3</v>
      </c>
      <c r="L230" s="8">
        <f t="shared" si="32"/>
        <v>5.7543993733715865E-10</v>
      </c>
      <c r="M230" s="26">
        <f>SUM(L230:L235)</f>
        <v>7.2515049873555825E-10</v>
      </c>
      <c r="N230" s="17">
        <f>10*LOG10(M230/E230)</f>
        <v>-99.177231003817752</v>
      </c>
      <c r="O230" s="9">
        <f t="shared" si="30"/>
        <v>-9.9</v>
      </c>
      <c r="P230" s="8">
        <f>D230/B230*10^(O230/10)</f>
        <v>3.9908426698949397</v>
      </c>
      <c r="Q230" s="26">
        <f>SUM(P230:P235)</f>
        <v>21.95450494528318</v>
      </c>
      <c r="R230" s="17">
        <f>10*LOG10(Q230)</f>
        <v>13.415236485934122</v>
      </c>
      <c r="S230" s="18">
        <f>F230+N230-Kzt-H</f>
        <v>-23.177231003817752</v>
      </c>
      <c r="T230" s="17">
        <v>0.8</v>
      </c>
      <c r="U230" s="21">
        <f>T230*10^((S230-R230)/10)</f>
        <v>1.7532475392275092E-4</v>
      </c>
    </row>
    <row r="231" spans="1:21" x14ac:dyDescent="0.25">
      <c r="A231" s="24"/>
      <c r="B231" s="24"/>
      <c r="C231" s="17"/>
      <c r="D231" s="24"/>
      <c r="E231" s="24"/>
      <c r="F231" s="25"/>
      <c r="G231" s="1">
        <v>975</v>
      </c>
      <c r="H231" s="2">
        <v>96.5</v>
      </c>
      <c r="I231" s="2">
        <v>-8.4</v>
      </c>
      <c r="J231" s="2">
        <v>-9.4</v>
      </c>
      <c r="K231" s="2">
        <f t="shared" si="28"/>
        <v>-8.4</v>
      </c>
      <c r="L231" s="8">
        <f t="shared" si="32"/>
        <v>3.2359365692962733E-11</v>
      </c>
      <c r="M231" s="26"/>
      <c r="N231" s="17"/>
      <c r="O231" s="9">
        <f t="shared" si="30"/>
        <v>-9.4</v>
      </c>
      <c r="P231" s="8">
        <f>D230/B230*10^(O231/10)</f>
        <v>4.4777991238378414</v>
      </c>
      <c r="Q231" s="26"/>
      <c r="R231" s="17"/>
      <c r="S231" s="19"/>
      <c r="T231" s="17"/>
      <c r="U231" s="22"/>
    </row>
    <row r="232" spans="1:21" x14ac:dyDescent="0.25">
      <c r="A232" s="24"/>
      <c r="B232" s="24"/>
      <c r="C232" s="17"/>
      <c r="D232" s="24"/>
      <c r="E232" s="24"/>
      <c r="F232" s="25"/>
      <c r="G232" s="1">
        <v>1075</v>
      </c>
      <c r="H232" s="2">
        <v>94.6</v>
      </c>
      <c r="I232" s="2">
        <v>-8.5</v>
      </c>
      <c r="J232" s="2">
        <v>-9.1</v>
      </c>
      <c r="K232" s="2">
        <f t="shared" si="28"/>
        <v>-8.5</v>
      </c>
      <c r="L232" s="8">
        <f t="shared" si="32"/>
        <v>4.8977881936844573E-11</v>
      </c>
      <c r="M232" s="26"/>
      <c r="N232" s="17"/>
      <c r="O232" s="9">
        <f t="shared" si="30"/>
        <v>-9.1</v>
      </c>
      <c r="P232" s="8">
        <f>D230/B230*10^(O232/10)</f>
        <v>4.7980482061682874</v>
      </c>
      <c r="Q232" s="26"/>
      <c r="R232" s="17"/>
      <c r="S232" s="19"/>
      <c r="T232" s="17"/>
      <c r="U232" s="22"/>
    </row>
    <row r="233" spans="1:21" x14ac:dyDescent="0.25">
      <c r="A233" s="24"/>
      <c r="B233" s="24"/>
      <c r="C233" s="17"/>
      <c r="D233" s="24"/>
      <c r="E233" s="24"/>
      <c r="F233" s="25"/>
      <c r="G233" s="1">
        <v>1175</v>
      </c>
      <c r="H233" s="2">
        <v>97.8</v>
      </c>
      <c r="I233" s="2">
        <v>-6.1</v>
      </c>
      <c r="J233" s="2">
        <v>-11.6</v>
      </c>
      <c r="K233" s="2">
        <f t="shared" si="28"/>
        <v>-6.1</v>
      </c>
      <c r="L233" s="8">
        <f t="shared" si="32"/>
        <v>4.073802778041127E-11</v>
      </c>
      <c r="M233" s="26"/>
      <c r="N233" s="17"/>
      <c r="O233" s="9">
        <f t="shared" si="30"/>
        <v>-11.6</v>
      </c>
      <c r="P233" s="8">
        <f>D230/B230*10^(O233/10)</f>
        <v>2.6981407865838523</v>
      </c>
      <c r="Q233" s="26"/>
      <c r="R233" s="17"/>
      <c r="S233" s="19"/>
      <c r="T233" s="17"/>
      <c r="U233" s="22"/>
    </row>
    <row r="234" spans="1:21" x14ac:dyDescent="0.25">
      <c r="A234" s="24"/>
      <c r="B234" s="24"/>
      <c r="C234" s="17"/>
      <c r="D234" s="24"/>
      <c r="E234" s="24"/>
      <c r="F234" s="25"/>
      <c r="G234" s="1">
        <v>1275</v>
      </c>
      <c r="H234" s="2">
        <v>100.1</v>
      </c>
      <c r="I234" s="2">
        <v>-6.4</v>
      </c>
      <c r="J234" s="2">
        <v>-12.2</v>
      </c>
      <c r="K234" s="2">
        <f t="shared" si="28"/>
        <v>-6.4</v>
      </c>
      <c r="L234" s="8">
        <f t="shared" si="32"/>
        <v>2.238721138568329E-11</v>
      </c>
      <c r="M234" s="26"/>
      <c r="N234" s="17"/>
      <c r="O234" s="9">
        <f t="shared" si="30"/>
        <v>-12.2</v>
      </c>
      <c r="P234" s="8">
        <f>D230/B230*10^(O234/10)</f>
        <v>2.349982385689994</v>
      </c>
      <c r="Q234" s="26"/>
      <c r="R234" s="17"/>
      <c r="S234" s="19"/>
      <c r="T234" s="17"/>
      <c r="U234" s="22"/>
    </row>
    <row r="235" spans="1:21" x14ac:dyDescent="0.25">
      <c r="A235" s="24"/>
      <c r="B235" s="24"/>
      <c r="C235" s="17"/>
      <c r="D235" s="24"/>
      <c r="E235" s="24"/>
      <c r="F235" s="25"/>
      <c r="G235" s="1">
        <v>1375</v>
      </c>
      <c r="H235" s="2">
        <v>103</v>
      </c>
      <c r="I235" s="2">
        <v>-9.8000000000000007</v>
      </c>
      <c r="J235" s="2">
        <v>-10.3</v>
      </c>
      <c r="K235" s="2">
        <f t="shared" si="28"/>
        <v>-9.8000000000000007</v>
      </c>
      <c r="L235" s="8">
        <f t="shared" si="32"/>
        <v>5.2480746024977136E-12</v>
      </c>
      <c r="M235" s="26"/>
      <c r="N235" s="17"/>
      <c r="O235" s="9">
        <f t="shared" si="30"/>
        <v>-10.3</v>
      </c>
      <c r="P235" s="8">
        <f>D230/B230*10^(O235/10)</f>
        <v>3.6396917731082636</v>
      </c>
      <c r="Q235" s="26"/>
      <c r="R235" s="17"/>
      <c r="S235" s="20"/>
      <c r="T235" s="17"/>
      <c r="U235" s="23"/>
    </row>
    <row r="236" spans="1:21" x14ac:dyDescent="0.25">
      <c r="A236" s="24">
        <v>2000</v>
      </c>
      <c r="B236" s="24">
        <v>3</v>
      </c>
      <c r="C236" s="17">
        <v>0.5</v>
      </c>
      <c r="D236" s="24">
        <v>234</v>
      </c>
      <c r="E236" s="24">
        <v>6</v>
      </c>
      <c r="F236" s="25">
        <v>68</v>
      </c>
      <c r="G236" s="1">
        <v>1425</v>
      </c>
      <c r="H236" s="2">
        <v>102.8</v>
      </c>
      <c r="I236" s="2">
        <v>-6.5</v>
      </c>
      <c r="J236" s="2">
        <v>-10.5</v>
      </c>
      <c r="K236" s="2">
        <f t="shared" si="28"/>
        <v>-6.5</v>
      </c>
      <c r="L236" s="8">
        <f t="shared" si="32"/>
        <v>1.1748975549395269E-11</v>
      </c>
      <c r="M236" s="26">
        <f>SUM(L236:L241)</f>
        <v>2.6130233788908595E-10</v>
      </c>
      <c r="N236" s="17">
        <f>10*LOG10(M236/E236)</f>
        <v>-103.61007954977836</v>
      </c>
      <c r="O236" s="9">
        <f t="shared" si="30"/>
        <v>-10.5</v>
      </c>
      <c r="P236" s="8">
        <f>D236/B236*10^(O236/10)</f>
        <v>6.9517573174432137</v>
      </c>
      <c r="Q236" s="26">
        <f>SUM(P236:P241)</f>
        <v>38.095777756331898</v>
      </c>
      <c r="R236" s="17">
        <f>10*LOG10(Q236)</f>
        <v>15.808768444751202</v>
      </c>
      <c r="S236" s="18">
        <f>F236+N236-Kzt-H</f>
        <v>-35.610079549778362</v>
      </c>
      <c r="T236" s="17">
        <v>1</v>
      </c>
      <c r="U236" s="21">
        <f>T236*10^((S236-R236)/10)</f>
        <v>7.2129878484832283E-6</v>
      </c>
    </row>
    <row r="237" spans="1:21" x14ac:dyDescent="0.25">
      <c r="A237" s="24"/>
      <c r="B237" s="24"/>
      <c r="C237" s="17"/>
      <c r="D237" s="24"/>
      <c r="E237" s="24"/>
      <c r="F237" s="25"/>
      <c r="G237" s="1">
        <v>1625</v>
      </c>
      <c r="H237" s="2">
        <v>104.1</v>
      </c>
      <c r="I237" s="2">
        <v>-6.1</v>
      </c>
      <c r="J237" s="2">
        <v>-10.9</v>
      </c>
      <c r="K237" s="2">
        <f t="shared" si="28"/>
        <v>-6.1</v>
      </c>
      <c r="L237" s="8">
        <f t="shared" si="32"/>
        <v>9.5499258602143472E-12</v>
      </c>
      <c r="M237" s="26"/>
      <c r="N237" s="17"/>
      <c r="O237" s="9">
        <f t="shared" si="30"/>
        <v>-10.9</v>
      </c>
      <c r="P237" s="8">
        <f>D236/B236*10^(O237/10)</f>
        <v>6.340078026079973</v>
      </c>
      <c r="Q237" s="26"/>
      <c r="R237" s="17"/>
      <c r="S237" s="19"/>
      <c r="T237" s="17"/>
      <c r="U237" s="22"/>
    </row>
    <row r="238" spans="1:21" x14ac:dyDescent="0.25">
      <c r="A238" s="24"/>
      <c r="B238" s="24"/>
      <c r="C238" s="17"/>
      <c r="D238" s="24"/>
      <c r="E238" s="24"/>
      <c r="F238" s="25"/>
      <c r="G238" s="1">
        <v>1825</v>
      </c>
      <c r="H238" s="2">
        <v>107.6</v>
      </c>
      <c r="I238" s="2">
        <v>2.9</v>
      </c>
      <c r="J238" s="2">
        <v>-11</v>
      </c>
      <c r="K238" s="2">
        <f t="shared" si="28"/>
        <v>2.9</v>
      </c>
      <c r="L238" s="8">
        <f t="shared" si="32"/>
        <v>3.3884415613920273E-11</v>
      </c>
      <c r="M238" s="26"/>
      <c r="N238" s="17"/>
      <c r="O238" s="9">
        <f t="shared" si="30"/>
        <v>-11</v>
      </c>
      <c r="P238" s="8">
        <f>D236/B236*10^(O238/10)</f>
        <v>6.1957602308493911</v>
      </c>
      <c r="Q238" s="26"/>
      <c r="R238" s="17"/>
      <c r="S238" s="19"/>
      <c r="T238" s="17"/>
      <c r="U238" s="22"/>
    </row>
    <row r="239" spans="1:21" x14ac:dyDescent="0.25">
      <c r="A239" s="24"/>
      <c r="B239" s="24"/>
      <c r="C239" s="17"/>
      <c r="D239" s="24"/>
      <c r="E239" s="24"/>
      <c r="F239" s="25"/>
      <c r="G239" s="1">
        <v>2125</v>
      </c>
      <c r="H239" s="2">
        <v>104.2</v>
      </c>
      <c r="I239" s="2">
        <v>-7</v>
      </c>
      <c r="J239" s="2">
        <v>-10.9</v>
      </c>
      <c r="K239" s="2">
        <f t="shared" si="28"/>
        <v>-7</v>
      </c>
      <c r="L239" s="8">
        <f t="shared" si="32"/>
        <v>7.5857757502918081E-12</v>
      </c>
      <c r="M239" s="26"/>
      <c r="N239" s="17"/>
      <c r="O239" s="9">
        <f t="shared" si="30"/>
        <v>-10.9</v>
      </c>
      <c r="P239" s="8">
        <f>D236/B236*10^(O239/10)</f>
        <v>6.340078026079973</v>
      </c>
      <c r="Q239" s="26"/>
      <c r="R239" s="17"/>
      <c r="S239" s="19"/>
      <c r="T239" s="17"/>
      <c r="U239" s="22"/>
    </row>
    <row r="240" spans="1:21" x14ac:dyDescent="0.25">
      <c r="A240" s="24"/>
      <c r="B240" s="24"/>
      <c r="C240" s="17"/>
      <c r="D240" s="24"/>
      <c r="E240" s="24"/>
      <c r="F240" s="25"/>
      <c r="G240" s="1">
        <v>2425</v>
      </c>
      <c r="H240" s="2">
        <v>93.7</v>
      </c>
      <c r="I240" s="2">
        <v>-4.4000000000000004</v>
      </c>
      <c r="J240" s="2">
        <v>-9.9</v>
      </c>
      <c r="K240" s="2">
        <f t="shared" si="28"/>
        <v>-4.4000000000000004</v>
      </c>
      <c r="L240" s="8">
        <f t="shared" si="32"/>
        <v>1.548816618912478E-10</v>
      </c>
      <c r="M240" s="26"/>
      <c r="N240" s="17"/>
      <c r="O240" s="9">
        <f t="shared" si="30"/>
        <v>-9.9</v>
      </c>
      <c r="P240" s="8">
        <f>D236/B236*10^(O240/10)</f>
        <v>7.9816853397898795</v>
      </c>
      <c r="Q240" s="26"/>
      <c r="R240" s="17"/>
      <c r="S240" s="19"/>
      <c r="T240" s="17"/>
      <c r="U240" s="22"/>
    </row>
    <row r="241" spans="1:21" x14ac:dyDescent="0.25">
      <c r="A241" s="24"/>
      <c r="B241" s="24"/>
      <c r="C241" s="17"/>
      <c r="D241" s="24"/>
      <c r="E241" s="24"/>
      <c r="F241" s="25"/>
      <c r="G241" s="1">
        <v>2775</v>
      </c>
      <c r="H241" s="2">
        <v>100.2</v>
      </c>
      <c r="I241" s="2">
        <v>-3.4</v>
      </c>
      <c r="J241" s="2">
        <v>-12.6</v>
      </c>
      <c r="K241" s="2">
        <f t="shared" si="28"/>
        <v>-3.4</v>
      </c>
      <c r="L241" s="8">
        <f t="shared" si="32"/>
        <v>4.3651583224016422E-11</v>
      </c>
      <c r="M241" s="26"/>
      <c r="N241" s="17"/>
      <c r="O241" s="9">
        <f t="shared" si="30"/>
        <v>-12.6</v>
      </c>
      <c r="P241" s="8">
        <f>D236/B236*10^(O241/10)</f>
        <v>4.2864188160894701</v>
      </c>
      <c r="Q241" s="26"/>
      <c r="R241" s="17"/>
      <c r="S241" s="20"/>
      <c r="T241" s="17"/>
      <c r="U241" s="23"/>
    </row>
    <row r="242" spans="1:21" x14ac:dyDescent="0.25">
      <c r="A242" s="24">
        <v>4000</v>
      </c>
      <c r="B242" s="24">
        <v>3</v>
      </c>
      <c r="C242" s="17">
        <v>0.5</v>
      </c>
      <c r="D242" s="24">
        <v>470</v>
      </c>
      <c r="E242" s="24">
        <v>6</v>
      </c>
      <c r="F242" s="25">
        <v>62</v>
      </c>
      <c r="G242" s="1">
        <v>2825</v>
      </c>
      <c r="H242" s="2">
        <v>99.4</v>
      </c>
      <c r="I242" s="2">
        <v>-8.5</v>
      </c>
      <c r="J242" s="2">
        <v>-9.5</v>
      </c>
      <c r="K242" s="2">
        <f t="shared" si="28"/>
        <v>-8.5</v>
      </c>
      <c r="L242" s="8">
        <f t="shared" si="32"/>
        <v>1.6218100973589243E-11</v>
      </c>
      <c r="M242" s="26">
        <f>SUM(L242:L247)</f>
        <v>1.0073593064348768E-10</v>
      </c>
      <c r="N242" s="17">
        <f>10*LOG10(M242/E242)</f>
        <v>-107.749668473876</v>
      </c>
      <c r="O242" s="9">
        <f t="shared" si="30"/>
        <v>-9.5</v>
      </c>
      <c r="P242" s="8">
        <f>D242/B242*10^(O242/10)</f>
        <v>17.578289117397421</v>
      </c>
      <c r="Q242" s="26">
        <f>SUM(P242:P247)</f>
        <v>121.74346233439368</v>
      </c>
      <c r="R242" s="17">
        <f>10*LOG10(Q242)</f>
        <v>20.854456487504834</v>
      </c>
      <c r="S242" s="18">
        <f>F242+N242-Kzt-H</f>
        <v>-45.749668473876</v>
      </c>
      <c r="T242" s="17">
        <v>0.9</v>
      </c>
      <c r="U242" s="21">
        <f>T242*10^((S242-R242)/10)</f>
        <v>1.9671161923410412E-7</v>
      </c>
    </row>
    <row r="243" spans="1:21" x14ac:dyDescent="0.25">
      <c r="A243" s="24"/>
      <c r="B243" s="24"/>
      <c r="C243" s="17"/>
      <c r="D243" s="24"/>
      <c r="E243" s="24"/>
      <c r="F243" s="25"/>
      <c r="G243" s="1">
        <v>3425</v>
      </c>
      <c r="H243" s="2">
        <v>103.5</v>
      </c>
      <c r="I243" s="2">
        <v>-4.5</v>
      </c>
      <c r="J243" s="2">
        <v>-9.9</v>
      </c>
      <c r="K243" s="2">
        <f t="shared" si="28"/>
        <v>-4.5</v>
      </c>
      <c r="L243" s="8">
        <f t="shared" si="32"/>
        <v>1.5848931924611082E-11</v>
      </c>
      <c r="M243" s="26"/>
      <c r="N243" s="17"/>
      <c r="O243" s="9">
        <f t="shared" si="30"/>
        <v>-9.9</v>
      </c>
      <c r="P243" s="8">
        <f>D242/B242*10^(O243/10)</f>
        <v>16.031590212398473</v>
      </c>
      <c r="Q243" s="26"/>
      <c r="R243" s="17"/>
      <c r="S243" s="19"/>
      <c r="T243" s="17"/>
      <c r="U243" s="22"/>
    </row>
    <row r="244" spans="1:21" x14ac:dyDescent="0.25">
      <c r="A244" s="24"/>
      <c r="B244" s="24"/>
      <c r="C244" s="17"/>
      <c r="D244" s="24"/>
      <c r="E244" s="24"/>
      <c r="F244" s="25"/>
      <c r="G244" s="1">
        <v>4025</v>
      </c>
      <c r="H244" s="2">
        <v>103.6</v>
      </c>
      <c r="I244" s="2">
        <v>-2.5</v>
      </c>
      <c r="J244" s="2">
        <v>-9.1999999999999993</v>
      </c>
      <c r="K244" s="2">
        <f t="shared" si="28"/>
        <v>-2.5</v>
      </c>
      <c r="L244" s="8">
        <f t="shared" si="32"/>
        <v>2.4547089156850264E-11</v>
      </c>
      <c r="M244" s="26"/>
      <c r="N244" s="17"/>
      <c r="O244" s="9">
        <f t="shared" si="30"/>
        <v>-9.1999999999999993</v>
      </c>
      <c r="P244" s="8">
        <f>D242/B242*10^(O244/10)</f>
        <v>18.835476142339466</v>
      </c>
      <c r="Q244" s="26"/>
      <c r="R244" s="17"/>
      <c r="S244" s="19"/>
      <c r="T244" s="17"/>
      <c r="U244" s="22"/>
    </row>
    <row r="245" spans="1:21" x14ac:dyDescent="0.25">
      <c r="A245" s="24"/>
      <c r="B245" s="24"/>
      <c r="C245" s="17"/>
      <c r="D245" s="24"/>
      <c r="E245" s="24"/>
      <c r="F245" s="25"/>
      <c r="G245" s="1">
        <v>4625</v>
      </c>
      <c r="H245" s="2">
        <v>105.6</v>
      </c>
      <c r="I245" s="2">
        <v>-6.7</v>
      </c>
      <c r="J245" s="2">
        <v>-8.4</v>
      </c>
      <c r="K245" s="2">
        <f t="shared" si="28"/>
        <v>-6.7</v>
      </c>
      <c r="L245" s="8">
        <f t="shared" si="32"/>
        <v>5.8884365535558725E-12</v>
      </c>
      <c r="M245" s="26"/>
      <c r="N245" s="17"/>
      <c r="O245" s="9">
        <f t="shared" si="30"/>
        <v>-8.4</v>
      </c>
      <c r="P245" s="8">
        <f>D242/B242*10^(O245/10)</f>
        <v>22.645223075019519</v>
      </c>
      <c r="Q245" s="26"/>
      <c r="R245" s="17"/>
      <c r="S245" s="19"/>
      <c r="T245" s="17"/>
      <c r="U245" s="22"/>
    </row>
    <row r="246" spans="1:21" x14ac:dyDescent="0.25">
      <c r="A246" s="24"/>
      <c r="B246" s="24"/>
      <c r="C246" s="17"/>
      <c r="D246" s="24"/>
      <c r="E246" s="24"/>
      <c r="F246" s="25"/>
      <c r="G246" s="1">
        <v>5225</v>
      </c>
      <c r="H246" s="2">
        <v>103.5</v>
      </c>
      <c r="I246" s="2">
        <v>-4.8</v>
      </c>
      <c r="J246" s="2">
        <v>-8.8000000000000007</v>
      </c>
      <c r="K246" s="2">
        <f t="shared" si="28"/>
        <v>-4.8</v>
      </c>
      <c r="L246" s="8">
        <f t="shared" si="32"/>
        <v>1.4791083881682027E-11</v>
      </c>
      <c r="M246" s="26"/>
      <c r="N246" s="17"/>
      <c r="O246" s="9">
        <f t="shared" si="30"/>
        <v>-8.8000000000000007</v>
      </c>
      <c r="P246" s="8">
        <f>D242/B242*10^(O246/10)</f>
        <v>20.652688904050368</v>
      </c>
      <c r="Q246" s="26"/>
      <c r="R246" s="17"/>
      <c r="S246" s="19"/>
      <c r="T246" s="17"/>
      <c r="U246" s="22"/>
    </row>
    <row r="247" spans="1:21" x14ac:dyDescent="0.25">
      <c r="A247" s="24"/>
      <c r="B247" s="24"/>
      <c r="C247" s="17"/>
      <c r="D247" s="24"/>
      <c r="E247" s="24"/>
      <c r="F247" s="25"/>
      <c r="G247" s="1">
        <v>5625</v>
      </c>
      <c r="H247" s="2">
        <v>99.5</v>
      </c>
      <c r="I247" s="2">
        <v>-6.8</v>
      </c>
      <c r="J247" s="2">
        <v>-7.8</v>
      </c>
      <c r="K247" s="2">
        <f t="shared" si="28"/>
        <v>-6.8</v>
      </c>
      <c r="L247" s="8">
        <f t="shared" si="32"/>
        <v>2.3442288153199185E-11</v>
      </c>
      <c r="M247" s="26"/>
      <c r="N247" s="17"/>
      <c r="O247" s="9">
        <f t="shared" si="30"/>
        <v>-7.8</v>
      </c>
      <c r="P247" s="8">
        <f>D242/B242*10^(O247/10)</f>
        <v>26.000194883188438</v>
      </c>
      <c r="Q247" s="26"/>
      <c r="R247" s="17"/>
      <c r="S247" s="20"/>
      <c r="T247" s="17"/>
      <c r="U247" s="23"/>
    </row>
    <row r="248" spans="1:21" x14ac:dyDescent="0.25">
      <c r="A248" s="24">
        <v>8000</v>
      </c>
      <c r="B248" s="24">
        <v>3</v>
      </c>
      <c r="C248" s="17">
        <v>0.5</v>
      </c>
      <c r="D248" s="24">
        <v>943</v>
      </c>
      <c r="E248" s="24">
        <v>6</v>
      </c>
      <c r="F248" s="25">
        <v>54</v>
      </c>
      <c r="G248" s="1">
        <v>6025</v>
      </c>
      <c r="H248" s="2">
        <v>95</v>
      </c>
      <c r="I248" s="2">
        <v>0.8</v>
      </c>
      <c r="J248" s="2">
        <v>-8.6</v>
      </c>
      <c r="K248" s="2">
        <f t="shared" si="28"/>
        <v>0.8</v>
      </c>
      <c r="L248" s="8">
        <f t="shared" si="32"/>
        <v>3.801893963205603E-10</v>
      </c>
      <c r="M248" s="26">
        <f>SUM(L248:L253)</f>
        <v>4.4734690484080681E-9</v>
      </c>
      <c r="N248" s="17">
        <f>10*LOG10(M248/E248)</f>
        <v>-91.275068135444016</v>
      </c>
      <c r="O248" s="9">
        <f t="shared" si="30"/>
        <v>-8.6</v>
      </c>
      <c r="P248" s="8">
        <f>D248/B248*10^(O248/10)</f>
        <v>43.390078717350661</v>
      </c>
      <c r="Q248" s="26">
        <f>SUM(P248:P253)</f>
        <v>603.6721408301878</v>
      </c>
      <c r="R248" s="17">
        <f>10*LOG10(Q248)</f>
        <v>27.808011338410516</v>
      </c>
      <c r="S248" s="18">
        <f>F248+N248-Kzt-H</f>
        <v>-37.275068135444016</v>
      </c>
      <c r="T248" s="17">
        <v>0.7</v>
      </c>
      <c r="U248" s="21">
        <f>T248*10^((S248-R248)/10)</f>
        <v>2.1716513018459357E-7</v>
      </c>
    </row>
    <row r="249" spans="1:21" x14ac:dyDescent="0.25">
      <c r="A249" s="24"/>
      <c r="B249" s="24"/>
      <c r="C249" s="17"/>
      <c r="D249" s="24"/>
      <c r="E249" s="24"/>
      <c r="F249" s="25"/>
      <c r="G249" s="1">
        <v>7025</v>
      </c>
      <c r="H249" s="2">
        <v>94.8</v>
      </c>
      <c r="I249" s="2">
        <v>-3.5</v>
      </c>
      <c r="J249" s="2">
        <v>-7.3</v>
      </c>
      <c r="K249" s="2">
        <f t="shared" si="28"/>
        <v>-3.5</v>
      </c>
      <c r="L249" s="8">
        <f t="shared" si="32"/>
        <v>1.4791083881682045E-10</v>
      </c>
      <c r="M249" s="26"/>
      <c r="N249" s="17"/>
      <c r="O249" s="9">
        <f t="shared" si="30"/>
        <v>-7.3</v>
      </c>
      <c r="P249" s="8">
        <f>D248/B248*10^(O249/10)</f>
        <v>58.531605662436121</v>
      </c>
      <c r="Q249" s="26"/>
      <c r="R249" s="17"/>
      <c r="S249" s="19"/>
      <c r="T249" s="17"/>
      <c r="U249" s="22"/>
    </row>
    <row r="250" spans="1:21" x14ac:dyDescent="0.25">
      <c r="A250" s="24"/>
      <c r="B250" s="24"/>
      <c r="C250" s="17"/>
      <c r="D250" s="24"/>
      <c r="E250" s="24"/>
      <c r="F250" s="25"/>
      <c r="G250" s="1">
        <v>8025</v>
      </c>
      <c r="H250" s="2">
        <v>101.9</v>
      </c>
      <c r="I250" s="2">
        <v>-1.8</v>
      </c>
      <c r="J250" s="2">
        <v>-4.7</v>
      </c>
      <c r="K250" s="2">
        <f t="shared" si="28"/>
        <v>-1.8</v>
      </c>
      <c r="L250" s="8">
        <f t="shared" si="32"/>
        <v>4.2657951880159099E-11</v>
      </c>
      <c r="M250" s="26"/>
      <c r="N250" s="17"/>
      <c r="O250" s="9">
        <f t="shared" si="30"/>
        <v>-4.7</v>
      </c>
      <c r="P250" s="8">
        <f>D248/B248*10^(O250/10)</f>
        <v>106.51001307975598</v>
      </c>
      <c r="Q250" s="26"/>
      <c r="R250" s="17"/>
      <c r="S250" s="19"/>
      <c r="T250" s="17"/>
      <c r="U250" s="22"/>
    </row>
    <row r="251" spans="1:21" x14ac:dyDescent="0.25">
      <c r="A251" s="24"/>
      <c r="B251" s="24"/>
      <c r="C251" s="17"/>
      <c r="D251" s="24"/>
      <c r="E251" s="24"/>
      <c r="F251" s="25"/>
      <c r="G251" s="1">
        <v>9025</v>
      </c>
      <c r="H251" s="2">
        <v>93.2</v>
      </c>
      <c r="I251" s="2">
        <v>-1.7</v>
      </c>
      <c r="J251" s="2">
        <v>-4.4000000000000004</v>
      </c>
      <c r="K251" s="2">
        <f t="shared" si="28"/>
        <v>-1.7</v>
      </c>
      <c r="L251" s="8">
        <f t="shared" si="32"/>
        <v>3.2359365692962771E-10</v>
      </c>
      <c r="M251" s="26"/>
      <c r="N251" s="17"/>
      <c r="O251" s="9">
        <f t="shared" si="30"/>
        <v>-4.4000000000000004</v>
      </c>
      <c r="P251" s="8">
        <f>D248/B248*10^(O251/10)</f>
        <v>114.12753521606848</v>
      </c>
      <c r="Q251" s="26"/>
      <c r="R251" s="17"/>
      <c r="S251" s="19"/>
      <c r="T251" s="17"/>
      <c r="U251" s="22"/>
    </row>
    <row r="252" spans="1:21" x14ac:dyDescent="0.25">
      <c r="A252" s="24"/>
      <c r="B252" s="24"/>
      <c r="C252" s="17"/>
      <c r="D252" s="24"/>
      <c r="E252" s="24"/>
      <c r="F252" s="25"/>
      <c r="G252" s="1">
        <v>10025</v>
      </c>
      <c r="H252" s="2">
        <v>88.3</v>
      </c>
      <c r="I252" s="2">
        <v>-0.6</v>
      </c>
      <c r="J252" s="2">
        <v>-3.7</v>
      </c>
      <c r="K252" s="2">
        <f t="shared" si="28"/>
        <v>-0.6</v>
      </c>
      <c r="L252" s="8">
        <f t="shared" si="32"/>
        <v>1.2882495516931335E-9</v>
      </c>
      <c r="M252" s="26"/>
      <c r="N252" s="17"/>
      <c r="O252" s="9">
        <f t="shared" si="30"/>
        <v>-3.7</v>
      </c>
      <c r="P252" s="8">
        <f>D248/B248*10^(O252/10)</f>
        <v>134.08816207663395</v>
      </c>
      <c r="Q252" s="26"/>
      <c r="R252" s="17"/>
      <c r="S252" s="19"/>
      <c r="T252" s="17"/>
      <c r="U252" s="22"/>
    </row>
    <row r="253" spans="1:21" x14ac:dyDescent="0.25">
      <c r="A253" s="24"/>
      <c r="B253" s="24"/>
      <c r="C253" s="17"/>
      <c r="D253" s="24"/>
      <c r="E253" s="24"/>
      <c r="F253" s="25"/>
      <c r="G253" s="1">
        <v>11025</v>
      </c>
      <c r="H253" s="2">
        <v>86</v>
      </c>
      <c r="I253" s="2">
        <v>-0.4</v>
      </c>
      <c r="J253" s="2">
        <v>-3.3</v>
      </c>
      <c r="K253" s="2">
        <f t="shared" si="28"/>
        <v>-0.4</v>
      </c>
      <c r="L253" s="8">
        <f t="shared" si="32"/>
        <v>2.2908676527677671E-9</v>
      </c>
      <c r="M253" s="26"/>
      <c r="N253" s="17"/>
      <c r="O253" s="9">
        <f t="shared" si="30"/>
        <v>-3.3</v>
      </c>
      <c r="P253" s="8">
        <f>D248/B248*10^(O253/10)</f>
        <v>147.02474607794261</v>
      </c>
      <c r="Q253" s="26"/>
      <c r="R253" s="17"/>
      <c r="S253" s="20"/>
      <c r="T253" s="17"/>
      <c r="U253" s="23"/>
    </row>
    <row r="254" spans="1:21" x14ac:dyDescent="0.25">
      <c r="A254" s="24" t="s">
        <v>20</v>
      </c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12">
        <f>U254</f>
        <v>5.4285842710278143E-2</v>
      </c>
      <c r="T254" s="2"/>
      <c r="U254" s="8">
        <f>0.8*SQRT(SUM(U220:U253))</f>
        <v>5.4285842710278143E-2</v>
      </c>
    </row>
    <row r="255" spans="1:21" x14ac:dyDescent="0.25">
      <c r="A255" s="27" t="s">
        <v>39</v>
      </c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9"/>
    </row>
    <row r="256" spans="1:21" x14ac:dyDescent="0.25">
      <c r="A256" s="24">
        <v>250</v>
      </c>
      <c r="B256" s="24">
        <v>3</v>
      </c>
      <c r="C256" s="17">
        <v>0.5</v>
      </c>
      <c r="D256" s="24">
        <v>38</v>
      </c>
      <c r="E256" s="24">
        <v>4</v>
      </c>
      <c r="F256" s="25">
        <v>84</v>
      </c>
      <c r="G256" s="1">
        <v>175</v>
      </c>
      <c r="H256" s="2">
        <v>84.8</v>
      </c>
      <c r="I256" s="2">
        <v>-8.6</v>
      </c>
      <c r="J256" s="2">
        <v>-9.9</v>
      </c>
      <c r="K256" s="2">
        <f>I256</f>
        <v>-8.6</v>
      </c>
      <c r="L256" s="8">
        <f>10^((K256-H256)/10)</f>
        <v>4.5708818961487362E-10</v>
      </c>
      <c r="M256" s="26">
        <f>SUM(L256:L259)</f>
        <v>7.7887667069359638E-10</v>
      </c>
      <c r="N256" s="17">
        <f>10*LOG10(M256/E256)</f>
        <v>-97.105912955007327</v>
      </c>
      <c r="O256" s="9">
        <f>J256</f>
        <v>-9.9</v>
      </c>
      <c r="P256" s="8">
        <f>D256/B256*10^(O256/10)</f>
        <v>1.2961711235556215</v>
      </c>
      <c r="Q256" s="26">
        <f>SUM(P256:P259)</f>
        <v>4.7302274532842956</v>
      </c>
      <c r="R256" s="17">
        <f>10*LOG10(Q256)</f>
        <v>6.7488202431735909</v>
      </c>
      <c r="S256" s="18">
        <f>F256+N256-Kzt-H</f>
        <v>-13.105912955007327</v>
      </c>
      <c r="T256" s="17">
        <v>0.2</v>
      </c>
      <c r="U256" s="21">
        <f>T256*10^((S256-R256)/10)</f>
        <v>2.0680292441076944E-3</v>
      </c>
    </row>
    <row r="257" spans="1:21" x14ac:dyDescent="0.25">
      <c r="A257" s="24"/>
      <c r="B257" s="24"/>
      <c r="C257" s="17"/>
      <c r="D257" s="24"/>
      <c r="E257" s="24"/>
      <c r="F257" s="25"/>
      <c r="G257" s="1">
        <v>225</v>
      </c>
      <c r="H257" s="2">
        <v>90</v>
      </c>
      <c r="I257" s="2">
        <v>-8.1</v>
      </c>
      <c r="J257" s="2">
        <v>-10.9</v>
      </c>
      <c r="K257" s="2">
        <f t="shared" ref="K257:K289" si="33">I257</f>
        <v>-8.1</v>
      </c>
      <c r="L257" s="8">
        <f t="shared" ref="L257:L258" si="34">10^((K257-H257)/10)</f>
        <v>1.5488166189124834E-10</v>
      </c>
      <c r="M257" s="26"/>
      <c r="N257" s="17"/>
      <c r="O257" s="9">
        <f t="shared" ref="O257:O289" si="35">J257</f>
        <v>-10.9</v>
      </c>
      <c r="P257" s="8">
        <f>D256/B256*10^(O257/10)</f>
        <v>1.0295853204745253</v>
      </c>
      <c r="Q257" s="26"/>
      <c r="R257" s="17"/>
      <c r="S257" s="19"/>
      <c r="T257" s="17"/>
      <c r="U257" s="22"/>
    </row>
    <row r="258" spans="1:21" x14ac:dyDescent="0.25">
      <c r="A258" s="24"/>
      <c r="B258" s="24"/>
      <c r="C258" s="17"/>
      <c r="D258" s="24"/>
      <c r="E258" s="24"/>
      <c r="F258" s="25"/>
      <c r="G258" s="1">
        <v>275</v>
      </c>
      <c r="H258" s="2">
        <v>92.2</v>
      </c>
      <c r="I258" s="2">
        <v>-9.4</v>
      </c>
      <c r="J258" s="2">
        <v>-9.8000000000000007</v>
      </c>
      <c r="K258" s="2">
        <f t="shared" si="33"/>
        <v>-9.4</v>
      </c>
      <c r="L258" s="8">
        <f t="shared" si="34"/>
        <v>6.9183097091893483E-11</v>
      </c>
      <c r="M258" s="26"/>
      <c r="N258" s="17"/>
      <c r="O258" s="9">
        <f t="shared" si="35"/>
        <v>-9.8000000000000007</v>
      </c>
      <c r="P258" s="8">
        <f>D256/B256*10^(O258/10)</f>
        <v>1.3263628275311388</v>
      </c>
      <c r="Q258" s="26"/>
      <c r="R258" s="17"/>
      <c r="S258" s="19"/>
      <c r="T258" s="17"/>
      <c r="U258" s="22"/>
    </row>
    <row r="259" spans="1:21" x14ac:dyDescent="0.25">
      <c r="A259" s="24"/>
      <c r="B259" s="24"/>
      <c r="C259" s="17"/>
      <c r="D259" s="24"/>
      <c r="E259" s="24"/>
      <c r="F259" s="25"/>
      <c r="G259" s="1">
        <v>325</v>
      </c>
      <c r="H259" s="2">
        <v>93.3</v>
      </c>
      <c r="I259" s="2">
        <v>-6.8</v>
      </c>
      <c r="J259" s="2">
        <v>-10.7</v>
      </c>
      <c r="K259" s="2">
        <f t="shared" si="33"/>
        <v>-6.8</v>
      </c>
      <c r="L259" s="8">
        <f>10^((K259-H259)/10)</f>
        <v>9.7723722095581033E-11</v>
      </c>
      <c r="M259" s="26"/>
      <c r="N259" s="17"/>
      <c r="O259" s="9">
        <f t="shared" si="35"/>
        <v>-10.7</v>
      </c>
      <c r="P259" s="8">
        <f>D256/B256*10^(O259/10)</f>
        <v>1.07810818172301</v>
      </c>
      <c r="Q259" s="26"/>
      <c r="R259" s="17"/>
      <c r="S259" s="20"/>
      <c r="T259" s="17"/>
      <c r="U259" s="23"/>
    </row>
    <row r="260" spans="1:21" x14ac:dyDescent="0.25">
      <c r="A260" s="24">
        <v>500</v>
      </c>
      <c r="B260" s="24">
        <v>3</v>
      </c>
      <c r="C260" s="17">
        <v>0.5</v>
      </c>
      <c r="D260" s="24">
        <v>59</v>
      </c>
      <c r="E260" s="24">
        <v>6</v>
      </c>
      <c r="F260" s="25">
        <v>84</v>
      </c>
      <c r="G260" s="1">
        <v>375</v>
      </c>
      <c r="H260" s="2">
        <v>91.9</v>
      </c>
      <c r="I260" s="2">
        <v>-6.3</v>
      </c>
      <c r="J260" s="2">
        <v>-9.8000000000000007</v>
      </c>
      <c r="K260" s="2">
        <f t="shared" si="33"/>
        <v>-6.3</v>
      </c>
      <c r="L260" s="8">
        <f t="shared" ref="L260:L261" si="36">10^((K260-H260)/10)</f>
        <v>1.5135612484362048E-10</v>
      </c>
      <c r="M260" s="26">
        <f>SUM(L260:L265)</f>
        <v>1.1623926140603875E-9</v>
      </c>
      <c r="N260" s="17">
        <f>10*LOG10(M260/E260)</f>
        <v>-97.127984086282709</v>
      </c>
      <c r="O260" s="9">
        <f t="shared" si="35"/>
        <v>-9.8000000000000007</v>
      </c>
      <c r="P260" s="8">
        <f>D260/B260*10^(O260/10)</f>
        <v>2.059352811166768</v>
      </c>
      <c r="Q260" s="26">
        <f>SUM(P260:P265)</f>
        <v>12.167943125152387</v>
      </c>
      <c r="R260" s="17">
        <f>10*LOG10(Q260)</f>
        <v>10.852171710901256</v>
      </c>
      <c r="S260" s="18">
        <f>F260+N260-Kzt-H</f>
        <v>-13.127984086282709</v>
      </c>
      <c r="T260" s="17">
        <v>0.5</v>
      </c>
      <c r="U260" s="21">
        <f>T260*10^((S260-R260)/10)</f>
        <v>1.9996520127476772E-3</v>
      </c>
    </row>
    <row r="261" spans="1:21" x14ac:dyDescent="0.25">
      <c r="A261" s="24"/>
      <c r="B261" s="24"/>
      <c r="C261" s="17"/>
      <c r="D261" s="24"/>
      <c r="E261" s="24"/>
      <c r="F261" s="25"/>
      <c r="G261" s="1">
        <v>425</v>
      </c>
      <c r="H261" s="2">
        <v>88.1</v>
      </c>
      <c r="I261" s="2">
        <v>-6.4</v>
      </c>
      <c r="J261" s="2">
        <v>-10.1</v>
      </c>
      <c r="K261" s="2">
        <f t="shared" si="33"/>
        <v>-6.4</v>
      </c>
      <c r="L261" s="8">
        <f t="shared" si="36"/>
        <v>3.5481338923357471E-10</v>
      </c>
      <c r="M261" s="26"/>
      <c r="N261" s="17"/>
      <c r="O261" s="9">
        <f t="shared" si="35"/>
        <v>-10.1</v>
      </c>
      <c r="P261" s="8">
        <f>D260/B260*10^(O261/10)</f>
        <v>1.921899867879761</v>
      </c>
      <c r="Q261" s="26"/>
      <c r="R261" s="17"/>
      <c r="S261" s="19"/>
      <c r="T261" s="17"/>
      <c r="U261" s="22"/>
    </row>
    <row r="262" spans="1:21" x14ac:dyDescent="0.25">
      <c r="A262" s="24"/>
      <c r="B262" s="24"/>
      <c r="C262" s="17"/>
      <c r="D262" s="24"/>
      <c r="E262" s="24"/>
      <c r="F262" s="25"/>
      <c r="G262" s="1">
        <v>475</v>
      </c>
      <c r="H262" s="2">
        <v>90</v>
      </c>
      <c r="I262" s="2">
        <v>-5.7</v>
      </c>
      <c r="J262" s="2">
        <v>-10.6</v>
      </c>
      <c r="K262" s="2">
        <f t="shared" si="33"/>
        <v>-5.7</v>
      </c>
      <c r="L262" s="8">
        <f>10^((K262-H262)/10)</f>
        <v>2.6915348039269034E-10</v>
      </c>
      <c r="M262" s="26"/>
      <c r="N262" s="17"/>
      <c r="O262" s="9">
        <f t="shared" si="35"/>
        <v>-10.6</v>
      </c>
      <c r="P262" s="8">
        <f>D260/B260*10^(O262/10)</f>
        <v>1.7128950602469577</v>
      </c>
      <c r="Q262" s="26"/>
      <c r="R262" s="17"/>
      <c r="S262" s="19"/>
      <c r="T262" s="17"/>
      <c r="U262" s="22"/>
    </row>
    <row r="263" spans="1:21" x14ac:dyDescent="0.25">
      <c r="A263" s="24"/>
      <c r="B263" s="24"/>
      <c r="C263" s="17"/>
      <c r="D263" s="24"/>
      <c r="E263" s="24"/>
      <c r="F263" s="25"/>
      <c r="G263" s="1">
        <v>575</v>
      </c>
      <c r="H263" s="2">
        <v>97</v>
      </c>
      <c r="I263" s="2">
        <v>-8.4</v>
      </c>
      <c r="J263" s="2">
        <v>-9.8000000000000007</v>
      </c>
      <c r="K263" s="2">
        <f t="shared" si="33"/>
        <v>-8.4</v>
      </c>
      <c r="L263" s="8">
        <f t="shared" ref="L263:L289" si="37">10^((K263-H263)/10)</f>
        <v>2.8840315031265894E-11</v>
      </c>
      <c r="M263" s="26"/>
      <c r="N263" s="17"/>
      <c r="O263" s="9">
        <f t="shared" si="35"/>
        <v>-9.8000000000000007</v>
      </c>
      <c r="P263" s="8">
        <f>D260/B260*10^(O263/10)</f>
        <v>2.059352811166768</v>
      </c>
      <c r="Q263" s="26"/>
      <c r="R263" s="17"/>
      <c r="S263" s="19"/>
      <c r="T263" s="17"/>
      <c r="U263" s="22"/>
    </row>
    <row r="264" spans="1:21" x14ac:dyDescent="0.25">
      <c r="A264" s="24"/>
      <c r="B264" s="24"/>
      <c r="C264" s="17"/>
      <c r="D264" s="24"/>
      <c r="E264" s="24"/>
      <c r="F264" s="25"/>
      <c r="G264" s="1">
        <v>625</v>
      </c>
      <c r="H264" s="2">
        <v>92</v>
      </c>
      <c r="I264" s="2">
        <v>-3.2</v>
      </c>
      <c r="J264" s="2">
        <v>-9.4</v>
      </c>
      <c r="K264" s="2">
        <f t="shared" si="33"/>
        <v>-3.2</v>
      </c>
      <c r="L264" s="8">
        <f t="shared" si="37"/>
        <v>3.0199517204020115E-10</v>
      </c>
      <c r="M264" s="26"/>
      <c r="N264" s="17"/>
      <c r="O264" s="9">
        <f t="shared" si="35"/>
        <v>-9.4</v>
      </c>
      <c r="P264" s="8">
        <f>D260/B260*10^(O264/10)</f>
        <v>2.258035455610536</v>
      </c>
      <c r="Q264" s="26"/>
      <c r="R264" s="17"/>
      <c r="S264" s="19"/>
      <c r="T264" s="17"/>
      <c r="U264" s="22"/>
    </row>
    <row r="265" spans="1:21" x14ac:dyDescent="0.25">
      <c r="A265" s="24"/>
      <c r="B265" s="24"/>
      <c r="C265" s="17"/>
      <c r="D265" s="24"/>
      <c r="E265" s="24"/>
      <c r="F265" s="25"/>
      <c r="G265" s="1">
        <v>675</v>
      </c>
      <c r="H265" s="2">
        <v>94.5</v>
      </c>
      <c r="I265" s="2">
        <v>-8</v>
      </c>
      <c r="J265" s="2">
        <v>-9.6</v>
      </c>
      <c r="K265" s="2">
        <f t="shared" si="33"/>
        <v>-8</v>
      </c>
      <c r="L265" s="8">
        <f t="shared" si="37"/>
        <v>5.6234132519034822E-11</v>
      </c>
      <c r="M265" s="26"/>
      <c r="N265" s="17"/>
      <c r="O265" s="9">
        <f t="shared" si="35"/>
        <v>-9.6</v>
      </c>
      <c r="P265" s="8">
        <f>D260/B260*10^(O265/10)</f>
        <v>2.1564071190815972</v>
      </c>
      <c r="Q265" s="26"/>
      <c r="R265" s="17"/>
      <c r="S265" s="20"/>
      <c r="T265" s="17"/>
      <c r="U265" s="23"/>
    </row>
    <row r="266" spans="1:21" x14ac:dyDescent="0.25">
      <c r="A266" s="24">
        <v>1000</v>
      </c>
      <c r="B266" s="24">
        <v>3</v>
      </c>
      <c r="C266" s="17">
        <v>0.5</v>
      </c>
      <c r="D266" s="24">
        <v>117</v>
      </c>
      <c r="E266" s="24">
        <v>6</v>
      </c>
      <c r="F266" s="25">
        <v>76</v>
      </c>
      <c r="G266" s="1">
        <v>875</v>
      </c>
      <c r="H266" s="2">
        <v>91.1</v>
      </c>
      <c r="I266" s="2">
        <v>-10.3</v>
      </c>
      <c r="J266" s="2">
        <v>-10.5</v>
      </c>
      <c r="K266" s="2">
        <f t="shared" si="33"/>
        <v>-10.3</v>
      </c>
      <c r="L266" s="8">
        <f t="shared" si="37"/>
        <v>7.244359600749907E-11</v>
      </c>
      <c r="M266" s="26">
        <f>SUM(L266:L271)</f>
        <v>2.2513089781006836E-10</v>
      </c>
      <c r="N266" s="17">
        <f>10*LOG10(M266/E266)</f>
        <v>-104.25716147086573</v>
      </c>
      <c r="O266" s="9">
        <f t="shared" si="35"/>
        <v>-10.5</v>
      </c>
      <c r="P266" s="8">
        <f>D266/B266*10^(O266/10)</f>
        <v>3.4758786587216068</v>
      </c>
      <c r="Q266" s="26">
        <f>SUM(P266:P271)</f>
        <v>25.622738846506905</v>
      </c>
      <c r="R266" s="17">
        <f>10*LOG10(Q266)</f>
        <v>14.086255501686487</v>
      </c>
      <c r="S266" s="18">
        <f>F266+N266-Kzt-H</f>
        <v>-28.257161470865725</v>
      </c>
      <c r="T266" s="17">
        <v>0.8</v>
      </c>
      <c r="U266" s="21">
        <f>T266*10^((S266-R266)/10)</f>
        <v>4.6638899022851413E-5</v>
      </c>
    </row>
    <row r="267" spans="1:21" x14ac:dyDescent="0.25">
      <c r="A267" s="24"/>
      <c r="B267" s="24"/>
      <c r="C267" s="17"/>
      <c r="D267" s="24"/>
      <c r="E267" s="24"/>
      <c r="F267" s="25"/>
      <c r="G267" s="1">
        <v>975</v>
      </c>
      <c r="H267" s="2">
        <v>96.5</v>
      </c>
      <c r="I267" s="2">
        <v>-8.9</v>
      </c>
      <c r="J267" s="2">
        <v>-10.1</v>
      </c>
      <c r="K267" s="2">
        <f t="shared" si="33"/>
        <v>-8.9</v>
      </c>
      <c r="L267" s="8">
        <f t="shared" si="37"/>
        <v>2.8840315031265894E-11</v>
      </c>
      <c r="M267" s="26"/>
      <c r="N267" s="17"/>
      <c r="O267" s="9">
        <f t="shared" si="35"/>
        <v>-10.1</v>
      </c>
      <c r="P267" s="8">
        <f>D266/B266*10^(O267/10)</f>
        <v>3.8112251617276613</v>
      </c>
      <c r="Q267" s="26"/>
      <c r="R267" s="17"/>
      <c r="S267" s="19"/>
      <c r="T267" s="17"/>
      <c r="U267" s="22"/>
    </row>
    <row r="268" spans="1:21" x14ac:dyDescent="0.25">
      <c r="A268" s="24"/>
      <c r="B268" s="24"/>
      <c r="C268" s="17"/>
      <c r="D268" s="24"/>
      <c r="E268" s="24"/>
      <c r="F268" s="25"/>
      <c r="G268" s="1">
        <v>1075</v>
      </c>
      <c r="H268" s="2">
        <v>94.6</v>
      </c>
      <c r="I268" s="2">
        <v>-7.4999999999999991</v>
      </c>
      <c r="J268" s="2">
        <v>-9.1999999999999993</v>
      </c>
      <c r="K268" s="2">
        <f t="shared" si="33"/>
        <v>-7.4999999999999991</v>
      </c>
      <c r="L268" s="8">
        <f t="shared" si="37"/>
        <v>6.1659500186148317E-11</v>
      </c>
      <c r="M268" s="26"/>
      <c r="N268" s="17"/>
      <c r="O268" s="9">
        <f t="shared" si="35"/>
        <v>-9.1999999999999993</v>
      </c>
      <c r="P268" s="8">
        <f>D266/B266*10^(O268/10)</f>
        <v>4.6888312950079101</v>
      </c>
      <c r="Q268" s="26"/>
      <c r="R268" s="17"/>
      <c r="S268" s="19"/>
      <c r="T268" s="17"/>
      <c r="U268" s="22"/>
    </row>
    <row r="269" spans="1:21" x14ac:dyDescent="0.25">
      <c r="A269" s="24"/>
      <c r="B269" s="24"/>
      <c r="C269" s="17"/>
      <c r="D269" s="24"/>
      <c r="E269" s="24"/>
      <c r="F269" s="25"/>
      <c r="G269" s="1">
        <v>1175</v>
      </c>
      <c r="H269" s="2">
        <v>97.8</v>
      </c>
      <c r="I269" s="2">
        <v>-8.2999999999999989</v>
      </c>
      <c r="J269" s="2">
        <v>-9.1999999999999993</v>
      </c>
      <c r="K269" s="2">
        <f t="shared" si="33"/>
        <v>-8.2999999999999989</v>
      </c>
      <c r="L269" s="8">
        <f t="shared" si="37"/>
        <v>2.4547089156850264E-11</v>
      </c>
      <c r="M269" s="26"/>
      <c r="N269" s="17"/>
      <c r="O269" s="9">
        <f t="shared" si="35"/>
        <v>-9.1999999999999993</v>
      </c>
      <c r="P269" s="8">
        <f>D266/B266*10^(O269/10)</f>
        <v>4.6888312950079101</v>
      </c>
      <c r="Q269" s="26"/>
      <c r="R269" s="17"/>
      <c r="S269" s="19"/>
      <c r="T269" s="17"/>
      <c r="U269" s="22"/>
    </row>
    <row r="270" spans="1:21" x14ac:dyDescent="0.25">
      <c r="A270" s="24"/>
      <c r="B270" s="24"/>
      <c r="C270" s="17"/>
      <c r="D270" s="24"/>
      <c r="E270" s="24"/>
      <c r="F270" s="25"/>
      <c r="G270" s="1">
        <v>1275</v>
      </c>
      <c r="H270" s="2">
        <v>100.1</v>
      </c>
      <c r="I270" s="2">
        <v>-5.2</v>
      </c>
      <c r="J270" s="2">
        <v>-9.5</v>
      </c>
      <c r="K270" s="2">
        <f t="shared" si="33"/>
        <v>-5.2</v>
      </c>
      <c r="L270" s="8">
        <f t="shared" si="37"/>
        <v>2.9512092266663787E-11</v>
      </c>
      <c r="M270" s="26"/>
      <c r="N270" s="17"/>
      <c r="O270" s="9">
        <f t="shared" si="35"/>
        <v>-9.5</v>
      </c>
      <c r="P270" s="8">
        <f>D266/B266*10^(O270/10)</f>
        <v>4.3758719717776566</v>
      </c>
      <c r="Q270" s="26"/>
      <c r="R270" s="17"/>
      <c r="S270" s="19"/>
      <c r="T270" s="17"/>
      <c r="U270" s="22"/>
    </row>
    <row r="271" spans="1:21" x14ac:dyDescent="0.25">
      <c r="A271" s="24"/>
      <c r="B271" s="24"/>
      <c r="C271" s="17"/>
      <c r="D271" s="24"/>
      <c r="E271" s="24"/>
      <c r="F271" s="25"/>
      <c r="G271" s="1">
        <v>1375</v>
      </c>
      <c r="H271" s="2">
        <v>103</v>
      </c>
      <c r="I271" s="2">
        <v>-7.9</v>
      </c>
      <c r="J271" s="2">
        <v>-9.3000000000000007</v>
      </c>
      <c r="K271" s="2">
        <f t="shared" si="33"/>
        <v>-7.9</v>
      </c>
      <c r="L271" s="8">
        <f t="shared" si="37"/>
        <v>8.1283051616409864E-12</v>
      </c>
      <c r="M271" s="26"/>
      <c r="N271" s="17"/>
      <c r="O271" s="9">
        <f t="shared" si="35"/>
        <v>-9.3000000000000007</v>
      </c>
      <c r="P271" s="8">
        <f>D266/B266*10^(O271/10)</f>
        <v>4.5821004642641636</v>
      </c>
      <c r="Q271" s="26"/>
      <c r="R271" s="17"/>
      <c r="S271" s="20"/>
      <c r="T271" s="17"/>
      <c r="U271" s="23"/>
    </row>
    <row r="272" spans="1:21" x14ac:dyDescent="0.25">
      <c r="A272" s="24">
        <v>2000</v>
      </c>
      <c r="B272" s="24">
        <v>3</v>
      </c>
      <c r="C272" s="17">
        <v>0.5</v>
      </c>
      <c r="D272" s="24">
        <v>234</v>
      </c>
      <c r="E272" s="24">
        <v>6</v>
      </c>
      <c r="F272" s="25">
        <v>68</v>
      </c>
      <c r="G272" s="1">
        <v>1425</v>
      </c>
      <c r="H272" s="2">
        <v>102.8</v>
      </c>
      <c r="I272" s="2">
        <v>-2.6</v>
      </c>
      <c r="J272" s="2">
        <v>-10.1</v>
      </c>
      <c r="K272" s="2">
        <f t="shared" si="33"/>
        <v>-2.6</v>
      </c>
      <c r="L272" s="8">
        <f t="shared" si="37"/>
        <v>2.8840315031266094E-11</v>
      </c>
      <c r="M272" s="26">
        <f>SUM(L272:L277)</f>
        <v>2.7129635194550699E-10</v>
      </c>
      <c r="N272" s="17">
        <f>10*LOG10(M272/E272)</f>
        <v>-103.44707296432546</v>
      </c>
      <c r="O272" s="9">
        <f t="shared" si="35"/>
        <v>-10.1</v>
      </c>
      <c r="P272" s="8">
        <f>D272/B272*10^(O272/10)</f>
        <v>7.6224503234553227</v>
      </c>
      <c r="Q272" s="26">
        <f>SUM(P272:P277)</f>
        <v>45.252775264384212</v>
      </c>
      <c r="R272" s="17">
        <f>10*LOG10(Q272)</f>
        <v>16.556452187909091</v>
      </c>
      <c r="S272" s="18">
        <f>F272+N272-Kzt-H</f>
        <v>-35.447072964325457</v>
      </c>
      <c r="T272" s="17">
        <v>1</v>
      </c>
      <c r="U272" s="21">
        <f>T272*10^((S272-R272)/10)</f>
        <v>6.304454065362902E-6</v>
      </c>
    </row>
    <row r="273" spans="1:21" x14ac:dyDescent="0.25">
      <c r="A273" s="24"/>
      <c r="B273" s="24"/>
      <c r="C273" s="17"/>
      <c r="D273" s="24"/>
      <c r="E273" s="24"/>
      <c r="F273" s="25"/>
      <c r="G273" s="1">
        <v>1625</v>
      </c>
      <c r="H273" s="2">
        <v>104.1</v>
      </c>
      <c r="I273" s="2">
        <v>-7.5</v>
      </c>
      <c r="J273" s="2">
        <v>-12.2</v>
      </c>
      <c r="K273" s="2">
        <f t="shared" si="33"/>
        <v>-7.5</v>
      </c>
      <c r="L273" s="8">
        <f t="shared" si="37"/>
        <v>6.9183097091893405E-12</v>
      </c>
      <c r="M273" s="26"/>
      <c r="N273" s="17"/>
      <c r="O273" s="9">
        <f t="shared" si="35"/>
        <v>-12.2</v>
      </c>
      <c r="P273" s="8">
        <f>D272/B272*10^(O273/10)</f>
        <v>4.6999647713799879</v>
      </c>
      <c r="Q273" s="26"/>
      <c r="R273" s="17"/>
      <c r="S273" s="19"/>
      <c r="T273" s="17"/>
      <c r="U273" s="22"/>
    </row>
    <row r="274" spans="1:21" x14ac:dyDescent="0.25">
      <c r="A274" s="24"/>
      <c r="B274" s="24"/>
      <c r="C274" s="17"/>
      <c r="D274" s="24"/>
      <c r="E274" s="24"/>
      <c r="F274" s="25"/>
      <c r="G274" s="1">
        <v>1825</v>
      </c>
      <c r="H274" s="2">
        <v>107.6</v>
      </c>
      <c r="I274" s="2">
        <v>-9.9</v>
      </c>
      <c r="J274" s="2">
        <v>-10</v>
      </c>
      <c r="K274" s="2">
        <f t="shared" si="33"/>
        <v>-9.9</v>
      </c>
      <c r="L274" s="8">
        <f t="shared" si="37"/>
        <v>1.7782794100389204E-12</v>
      </c>
      <c r="M274" s="26"/>
      <c r="N274" s="17"/>
      <c r="O274" s="9">
        <f t="shared" si="35"/>
        <v>-10</v>
      </c>
      <c r="P274" s="8">
        <f>D272/B272*10^(O274/10)</f>
        <v>7.8000000000000007</v>
      </c>
      <c r="Q274" s="26"/>
      <c r="R274" s="17"/>
      <c r="S274" s="19"/>
      <c r="T274" s="17"/>
      <c r="U274" s="22"/>
    </row>
    <row r="275" spans="1:21" x14ac:dyDescent="0.25">
      <c r="A275" s="24"/>
      <c r="B275" s="24"/>
      <c r="C275" s="17"/>
      <c r="D275" s="24"/>
      <c r="E275" s="24"/>
      <c r="F275" s="25"/>
      <c r="G275" s="1">
        <v>2125</v>
      </c>
      <c r="H275" s="2">
        <v>104.2</v>
      </c>
      <c r="I275" s="2">
        <v>-5.4</v>
      </c>
      <c r="J275" s="2">
        <v>-9.8000000000000007</v>
      </c>
      <c r="K275" s="2">
        <f t="shared" si="33"/>
        <v>-5.4</v>
      </c>
      <c r="L275" s="8">
        <f t="shared" si="37"/>
        <v>1.0964781961431789E-11</v>
      </c>
      <c r="M275" s="26"/>
      <c r="N275" s="17"/>
      <c r="O275" s="9">
        <f t="shared" si="35"/>
        <v>-9.8000000000000007</v>
      </c>
      <c r="P275" s="8">
        <f>D272/B272*10^(O275/10)</f>
        <v>8.1676026747970134</v>
      </c>
      <c r="Q275" s="26"/>
      <c r="R275" s="17"/>
      <c r="S275" s="19"/>
      <c r="T275" s="17"/>
      <c r="U275" s="22"/>
    </row>
    <row r="276" spans="1:21" x14ac:dyDescent="0.25">
      <c r="A276" s="24"/>
      <c r="B276" s="24"/>
      <c r="C276" s="17"/>
      <c r="D276" s="24"/>
      <c r="E276" s="24"/>
      <c r="F276" s="25"/>
      <c r="G276" s="1">
        <v>2425</v>
      </c>
      <c r="H276" s="2">
        <v>93.7</v>
      </c>
      <c r="I276" s="2">
        <v>-3.2</v>
      </c>
      <c r="J276" s="2">
        <v>-11</v>
      </c>
      <c r="K276" s="2">
        <f t="shared" si="33"/>
        <v>-3.2</v>
      </c>
      <c r="L276" s="8">
        <f t="shared" si="37"/>
        <v>2.0417379446695223E-10</v>
      </c>
      <c r="M276" s="26"/>
      <c r="N276" s="17"/>
      <c r="O276" s="9">
        <f t="shared" si="35"/>
        <v>-11</v>
      </c>
      <c r="P276" s="8">
        <f>D272/B272*10^(O276/10)</f>
        <v>6.1957602308493911</v>
      </c>
      <c r="Q276" s="26"/>
      <c r="R276" s="17"/>
      <c r="S276" s="19"/>
      <c r="T276" s="17"/>
      <c r="U276" s="22"/>
    </row>
    <row r="277" spans="1:21" x14ac:dyDescent="0.25">
      <c r="A277" s="24"/>
      <c r="B277" s="24"/>
      <c r="C277" s="17"/>
      <c r="D277" s="24"/>
      <c r="E277" s="24"/>
      <c r="F277" s="25"/>
      <c r="G277" s="1">
        <v>2775</v>
      </c>
      <c r="H277" s="2">
        <v>100.2</v>
      </c>
      <c r="I277" s="2">
        <v>-7.1</v>
      </c>
      <c r="J277" s="2">
        <v>-8.6</v>
      </c>
      <c r="K277" s="2">
        <f t="shared" si="33"/>
        <v>-7.1</v>
      </c>
      <c r="L277" s="8">
        <f t="shared" si="37"/>
        <v>1.8620871366628599E-11</v>
      </c>
      <c r="M277" s="26"/>
      <c r="N277" s="17"/>
      <c r="O277" s="9">
        <f t="shared" si="35"/>
        <v>-8.6</v>
      </c>
      <c r="P277" s="8">
        <f>D272/B272*10^(O277/10)</f>
        <v>10.766997263902498</v>
      </c>
      <c r="Q277" s="26"/>
      <c r="R277" s="17"/>
      <c r="S277" s="20"/>
      <c r="T277" s="17"/>
      <c r="U277" s="23"/>
    </row>
    <row r="278" spans="1:21" x14ac:dyDescent="0.25">
      <c r="A278" s="24">
        <v>4000</v>
      </c>
      <c r="B278" s="24">
        <v>3</v>
      </c>
      <c r="C278" s="17">
        <v>0.5</v>
      </c>
      <c r="D278" s="24">
        <v>470</v>
      </c>
      <c r="E278" s="24">
        <v>6</v>
      </c>
      <c r="F278" s="25">
        <v>62</v>
      </c>
      <c r="G278" s="1">
        <v>2825</v>
      </c>
      <c r="H278" s="2">
        <v>99.4</v>
      </c>
      <c r="I278" s="2">
        <v>-9.6999999999999993</v>
      </c>
      <c r="J278" s="2">
        <v>-10.1</v>
      </c>
      <c r="K278" s="2">
        <f t="shared" si="33"/>
        <v>-9.6999999999999993</v>
      </c>
      <c r="L278" s="8">
        <f t="shared" si="37"/>
        <v>1.2302687708123787E-11</v>
      </c>
      <c r="M278" s="26">
        <f>SUM(L278:L283)</f>
        <v>8.4139531181817013E-11</v>
      </c>
      <c r="N278" s="17">
        <f>10*LOG10(M278/E278)</f>
        <v>-108.53151162547177</v>
      </c>
      <c r="O278" s="9">
        <f t="shared" si="35"/>
        <v>-10.1</v>
      </c>
      <c r="P278" s="8">
        <f>D278/B278*10^(O278/10)</f>
        <v>15.310049794974365</v>
      </c>
      <c r="Q278" s="26">
        <f>SUM(P278:P283)</f>
        <v>113.80439515480526</v>
      </c>
      <c r="R278" s="17">
        <f>10*LOG10(Q278)</f>
        <v>20.561590349467458</v>
      </c>
      <c r="S278" s="18">
        <f>F278+N278-Kzt-H</f>
        <v>-46.531511625471765</v>
      </c>
      <c r="T278" s="17">
        <v>0.9</v>
      </c>
      <c r="U278" s="21">
        <f>T278*10^((S278-R278)/10)</f>
        <v>1.7576496497196206E-7</v>
      </c>
    </row>
    <row r="279" spans="1:21" x14ac:dyDescent="0.25">
      <c r="A279" s="24"/>
      <c r="B279" s="24"/>
      <c r="C279" s="17"/>
      <c r="D279" s="24"/>
      <c r="E279" s="24"/>
      <c r="F279" s="25"/>
      <c r="G279" s="1">
        <v>3425</v>
      </c>
      <c r="H279" s="2">
        <v>103.5</v>
      </c>
      <c r="I279" s="2">
        <v>-3.5</v>
      </c>
      <c r="J279" s="2">
        <v>-8.1</v>
      </c>
      <c r="K279" s="2">
        <f t="shared" si="33"/>
        <v>-3.5</v>
      </c>
      <c r="L279" s="8">
        <f t="shared" si="37"/>
        <v>1.995262314968878E-11</v>
      </c>
      <c r="M279" s="26"/>
      <c r="N279" s="17"/>
      <c r="O279" s="9">
        <f t="shared" si="35"/>
        <v>-8.1</v>
      </c>
      <c r="P279" s="8">
        <f>D278/B278*10^(O279/10)</f>
        <v>24.264793696295541</v>
      </c>
      <c r="Q279" s="26"/>
      <c r="R279" s="17"/>
      <c r="S279" s="19"/>
      <c r="T279" s="17"/>
      <c r="U279" s="22"/>
    </row>
    <row r="280" spans="1:21" x14ac:dyDescent="0.25">
      <c r="A280" s="24"/>
      <c r="B280" s="24"/>
      <c r="C280" s="17"/>
      <c r="D280" s="24"/>
      <c r="E280" s="24"/>
      <c r="F280" s="25"/>
      <c r="G280" s="1">
        <v>4025</v>
      </c>
      <c r="H280" s="2">
        <v>103.6</v>
      </c>
      <c r="I280" s="2">
        <v>-4.9000000000000004</v>
      </c>
      <c r="J280" s="2">
        <v>-7.8</v>
      </c>
      <c r="K280" s="2">
        <f t="shared" si="33"/>
        <v>-4.9000000000000004</v>
      </c>
      <c r="L280" s="8">
        <f t="shared" si="37"/>
        <v>1.4125375446227501E-11</v>
      </c>
      <c r="M280" s="26"/>
      <c r="N280" s="17"/>
      <c r="O280" s="9">
        <f t="shared" si="35"/>
        <v>-7.8</v>
      </c>
      <c r="P280" s="8">
        <f>D278/B278*10^(O280/10)</f>
        <v>26.000194883188438</v>
      </c>
      <c r="Q280" s="26"/>
      <c r="R280" s="17"/>
      <c r="S280" s="19"/>
      <c r="T280" s="17"/>
      <c r="U280" s="22"/>
    </row>
    <row r="281" spans="1:21" x14ac:dyDescent="0.25">
      <c r="A281" s="24"/>
      <c r="B281" s="24"/>
      <c r="C281" s="17"/>
      <c r="D281" s="24"/>
      <c r="E281" s="24"/>
      <c r="F281" s="25"/>
      <c r="G281" s="1">
        <v>4625</v>
      </c>
      <c r="H281" s="2">
        <v>105.6</v>
      </c>
      <c r="I281" s="2">
        <v>-4.0999999999999996</v>
      </c>
      <c r="J281" s="2">
        <v>-10.6</v>
      </c>
      <c r="K281" s="2">
        <f t="shared" si="33"/>
        <v>-4.0999999999999996</v>
      </c>
      <c r="L281" s="8">
        <f t="shared" si="37"/>
        <v>1.0715193052376083E-11</v>
      </c>
      <c r="M281" s="26"/>
      <c r="N281" s="17"/>
      <c r="O281" s="9">
        <f t="shared" si="35"/>
        <v>-10.6</v>
      </c>
      <c r="P281" s="8">
        <f>D278/B278*10^(O281/10)</f>
        <v>13.645096242645254</v>
      </c>
      <c r="Q281" s="26"/>
      <c r="R281" s="17"/>
      <c r="S281" s="19"/>
      <c r="T281" s="17"/>
      <c r="U281" s="22"/>
    </row>
    <row r="282" spans="1:21" x14ac:dyDescent="0.25">
      <c r="A282" s="24"/>
      <c r="B282" s="24"/>
      <c r="C282" s="17"/>
      <c r="D282" s="24"/>
      <c r="E282" s="24"/>
      <c r="F282" s="25"/>
      <c r="G282" s="1">
        <v>5225</v>
      </c>
      <c r="H282" s="2">
        <v>103.5</v>
      </c>
      <c r="I282" s="2">
        <v>-5.5</v>
      </c>
      <c r="J282" s="2">
        <v>-10.1</v>
      </c>
      <c r="K282" s="2">
        <f t="shared" si="33"/>
        <v>-5.5</v>
      </c>
      <c r="L282" s="8">
        <f t="shared" si="37"/>
        <v>1.2589254117941641E-11</v>
      </c>
      <c r="M282" s="26"/>
      <c r="N282" s="17"/>
      <c r="O282" s="9">
        <f t="shared" si="35"/>
        <v>-10.1</v>
      </c>
      <c r="P282" s="8">
        <f>D278/B278*10^(O282/10)</f>
        <v>15.310049794974365</v>
      </c>
      <c r="Q282" s="26"/>
      <c r="R282" s="17"/>
      <c r="S282" s="19"/>
      <c r="T282" s="17"/>
      <c r="U282" s="22"/>
    </row>
    <row r="283" spans="1:21" x14ac:dyDescent="0.25">
      <c r="A283" s="24"/>
      <c r="B283" s="24"/>
      <c r="C283" s="17"/>
      <c r="D283" s="24"/>
      <c r="E283" s="24"/>
      <c r="F283" s="25"/>
      <c r="G283" s="1">
        <v>5625</v>
      </c>
      <c r="H283" s="2">
        <v>99.5</v>
      </c>
      <c r="I283" s="2">
        <v>-8.9</v>
      </c>
      <c r="J283" s="2">
        <v>-9.1</v>
      </c>
      <c r="K283" s="2">
        <f t="shared" si="33"/>
        <v>-8.9</v>
      </c>
      <c r="L283" s="8">
        <f t="shared" si="37"/>
        <v>1.4454397707459232E-11</v>
      </c>
      <c r="M283" s="26"/>
      <c r="N283" s="17"/>
      <c r="O283" s="9">
        <f t="shared" si="35"/>
        <v>-9.1</v>
      </c>
      <c r="P283" s="8">
        <f>D278/B278*10^(O283/10)</f>
        <v>19.274210742727309</v>
      </c>
      <c r="Q283" s="26"/>
      <c r="R283" s="17"/>
      <c r="S283" s="20"/>
      <c r="T283" s="17"/>
      <c r="U283" s="23"/>
    </row>
    <row r="284" spans="1:21" x14ac:dyDescent="0.25">
      <c r="A284" s="24">
        <v>8000</v>
      </c>
      <c r="B284" s="24">
        <v>3</v>
      </c>
      <c r="C284" s="17">
        <v>0.5</v>
      </c>
      <c r="D284" s="24">
        <v>943</v>
      </c>
      <c r="E284" s="24">
        <v>6</v>
      </c>
      <c r="F284" s="25">
        <v>54</v>
      </c>
      <c r="G284" s="1">
        <v>6025</v>
      </c>
      <c r="H284" s="2">
        <v>95</v>
      </c>
      <c r="I284" s="2">
        <v>-6.3</v>
      </c>
      <c r="J284" s="2">
        <v>-7.2</v>
      </c>
      <c r="K284" s="2">
        <f t="shared" si="33"/>
        <v>-6.3</v>
      </c>
      <c r="L284" s="8">
        <f t="shared" si="37"/>
        <v>7.413102413009181E-11</v>
      </c>
      <c r="M284" s="26">
        <f>SUM(L284:L289)</f>
        <v>8.2885193054475415E-9</v>
      </c>
      <c r="N284" s="17">
        <f>10*LOG10(M284/E284)</f>
        <v>-88.596742970238751</v>
      </c>
      <c r="O284" s="9">
        <f t="shared" si="35"/>
        <v>-7.2</v>
      </c>
      <c r="P284" s="8">
        <f>D284/B284*10^(O284/10)</f>
        <v>59.894981901311397</v>
      </c>
      <c r="Q284" s="26">
        <f>SUM(P284:P289)</f>
        <v>642.31668821503479</v>
      </c>
      <c r="R284" s="17">
        <f>10*LOG10(Q284)</f>
        <v>28.077492056908106</v>
      </c>
      <c r="S284" s="18">
        <f>F284+N284-Kzt-H</f>
        <v>-34.596742970238751</v>
      </c>
      <c r="T284" s="17">
        <v>0.7</v>
      </c>
      <c r="U284" s="21">
        <f>T284*10^((S284-R284)/10)</f>
        <v>3.7815908398086458E-7</v>
      </c>
    </row>
    <row r="285" spans="1:21" x14ac:dyDescent="0.25">
      <c r="A285" s="24"/>
      <c r="B285" s="24"/>
      <c r="C285" s="17"/>
      <c r="D285" s="24"/>
      <c r="E285" s="24"/>
      <c r="F285" s="25"/>
      <c r="G285" s="1">
        <v>7025</v>
      </c>
      <c r="H285" s="2">
        <v>94.8</v>
      </c>
      <c r="I285" s="2">
        <v>2.9</v>
      </c>
      <c r="J285" s="2">
        <v>-7.9</v>
      </c>
      <c r="K285" s="2">
        <f t="shared" si="33"/>
        <v>2.9</v>
      </c>
      <c r="L285" s="8">
        <f t="shared" si="37"/>
        <v>6.4565422903465485E-10</v>
      </c>
      <c r="M285" s="26"/>
      <c r="N285" s="17"/>
      <c r="O285" s="9">
        <f t="shared" si="35"/>
        <v>-7.9</v>
      </c>
      <c r="P285" s="8">
        <f>D284/B284*10^(O285/10)</f>
        <v>50.978897393649021</v>
      </c>
      <c r="Q285" s="26"/>
      <c r="R285" s="17"/>
      <c r="S285" s="19"/>
      <c r="T285" s="17"/>
      <c r="U285" s="22"/>
    </row>
    <row r="286" spans="1:21" x14ac:dyDescent="0.25">
      <c r="A286" s="24"/>
      <c r="B286" s="24"/>
      <c r="C286" s="17"/>
      <c r="D286" s="24"/>
      <c r="E286" s="24"/>
      <c r="F286" s="25"/>
      <c r="G286" s="1">
        <v>8025</v>
      </c>
      <c r="H286" s="2">
        <v>101.9</v>
      </c>
      <c r="I286" s="2">
        <v>-3.1</v>
      </c>
      <c r="J286" s="2">
        <v>-6.5</v>
      </c>
      <c r="K286" s="2">
        <f t="shared" si="33"/>
        <v>-3.1</v>
      </c>
      <c r="L286" s="8">
        <f t="shared" si="37"/>
        <v>3.162277660168371E-11</v>
      </c>
      <c r="M286" s="26"/>
      <c r="N286" s="17"/>
      <c r="O286" s="9">
        <f t="shared" si="35"/>
        <v>-6.5</v>
      </c>
      <c r="P286" s="8">
        <f>D284/B284*10^(O286/10)</f>
        <v>70.370467788998127</v>
      </c>
      <c r="Q286" s="26"/>
      <c r="R286" s="17"/>
      <c r="S286" s="19"/>
      <c r="T286" s="17"/>
      <c r="U286" s="22"/>
    </row>
    <row r="287" spans="1:21" x14ac:dyDescent="0.25">
      <c r="A287" s="24"/>
      <c r="B287" s="24"/>
      <c r="C287" s="17"/>
      <c r="D287" s="24"/>
      <c r="E287" s="24"/>
      <c r="F287" s="25"/>
      <c r="G287" s="1">
        <v>9025</v>
      </c>
      <c r="H287" s="2">
        <v>93.2</v>
      </c>
      <c r="I287" s="2">
        <v>1.4</v>
      </c>
      <c r="J287" s="2">
        <v>-5.6</v>
      </c>
      <c r="K287" s="2">
        <f t="shared" si="33"/>
        <v>1.4</v>
      </c>
      <c r="L287" s="8">
        <f t="shared" si="37"/>
        <v>6.6069344800759527E-10</v>
      </c>
      <c r="M287" s="26"/>
      <c r="N287" s="17"/>
      <c r="O287" s="9">
        <f t="shared" si="35"/>
        <v>-5.6</v>
      </c>
      <c r="P287" s="8">
        <f>D284/B284*10^(O287/10)</f>
        <v>86.574588908263024</v>
      </c>
      <c r="Q287" s="26"/>
      <c r="R287" s="17"/>
      <c r="S287" s="19"/>
      <c r="T287" s="17"/>
      <c r="U287" s="22"/>
    </row>
    <row r="288" spans="1:21" x14ac:dyDescent="0.25">
      <c r="A288" s="24"/>
      <c r="B288" s="24"/>
      <c r="C288" s="17"/>
      <c r="D288" s="24"/>
      <c r="E288" s="24"/>
      <c r="F288" s="25"/>
      <c r="G288" s="1">
        <v>10025</v>
      </c>
      <c r="H288" s="2">
        <v>88.3</v>
      </c>
      <c r="I288" s="2">
        <v>-1.2</v>
      </c>
      <c r="J288" s="2">
        <v>-2.2999999999999998</v>
      </c>
      <c r="K288" s="2">
        <f t="shared" si="33"/>
        <v>-1.2</v>
      </c>
      <c r="L288" s="8">
        <f t="shared" si="37"/>
        <v>1.1220184543019636E-9</v>
      </c>
      <c r="M288" s="26"/>
      <c r="N288" s="17"/>
      <c r="O288" s="9">
        <f t="shared" si="35"/>
        <v>-2.2999999999999998</v>
      </c>
      <c r="P288" s="8">
        <f>D284/B284*10^(O288/10)</f>
        <v>185.09318900010678</v>
      </c>
      <c r="Q288" s="26"/>
      <c r="R288" s="17"/>
      <c r="S288" s="19"/>
      <c r="T288" s="17"/>
      <c r="U288" s="22"/>
    </row>
    <row r="289" spans="1:21" x14ac:dyDescent="0.25">
      <c r="A289" s="24"/>
      <c r="B289" s="24"/>
      <c r="C289" s="17"/>
      <c r="D289" s="24"/>
      <c r="E289" s="24"/>
      <c r="F289" s="25"/>
      <c r="G289" s="1">
        <v>11025</v>
      </c>
      <c r="H289" s="2">
        <v>86</v>
      </c>
      <c r="I289" s="2">
        <v>3.6</v>
      </c>
      <c r="J289" s="2">
        <v>-2.2000000000000002</v>
      </c>
      <c r="K289" s="2">
        <f t="shared" si="33"/>
        <v>3.6</v>
      </c>
      <c r="L289" s="8">
        <f t="shared" si="37"/>
        <v>5.754399373371552E-9</v>
      </c>
      <c r="M289" s="26"/>
      <c r="N289" s="17"/>
      <c r="O289" s="9">
        <f t="shared" si="35"/>
        <v>-2.2000000000000002</v>
      </c>
      <c r="P289" s="8">
        <f>D284/B284*10^(O289/10)</f>
        <v>189.40456322270643</v>
      </c>
      <c r="Q289" s="26"/>
      <c r="R289" s="17"/>
      <c r="S289" s="20"/>
      <c r="T289" s="17"/>
      <c r="U289" s="23"/>
    </row>
    <row r="290" spans="1:21" x14ac:dyDescent="0.25">
      <c r="A290" s="24" t="s">
        <v>20</v>
      </c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12">
        <f>U290</f>
        <v>5.1357124741901454E-2</v>
      </c>
      <c r="T290" s="2"/>
      <c r="U290" s="8">
        <f>0.8*SQRT(SUM(U256:U289))</f>
        <v>5.1357124741901454E-2</v>
      </c>
    </row>
    <row r="291" spans="1:21" x14ac:dyDescent="0.25">
      <c r="A291" s="27" t="s">
        <v>40</v>
      </c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9"/>
    </row>
    <row r="292" spans="1:21" x14ac:dyDescent="0.25">
      <c r="A292" s="24">
        <v>250</v>
      </c>
      <c r="B292" s="24">
        <v>3</v>
      </c>
      <c r="C292" s="17">
        <v>0.5</v>
      </c>
      <c r="D292" s="24">
        <v>38</v>
      </c>
      <c r="E292" s="24">
        <v>4</v>
      </c>
      <c r="F292" s="25">
        <v>84</v>
      </c>
      <c r="G292" s="1">
        <v>175</v>
      </c>
      <c r="H292" s="2">
        <v>84.8</v>
      </c>
      <c r="I292" s="2">
        <v>-3.1</v>
      </c>
      <c r="J292" s="2">
        <v>-11.8</v>
      </c>
      <c r="K292" s="2">
        <f>I292</f>
        <v>-3.1</v>
      </c>
      <c r="L292" s="8">
        <f>10^((K292-H292)/10)</f>
        <v>1.6218100973589279E-9</v>
      </c>
      <c r="M292" s="26">
        <f>SUM(L292:L295)</f>
        <v>4.2901396433479406E-9</v>
      </c>
      <c r="N292" s="17">
        <f>10*LOG10(M292/E292)</f>
        <v>-89.695885626983852</v>
      </c>
      <c r="O292" s="9">
        <f>J292</f>
        <v>-11.8</v>
      </c>
      <c r="P292" s="8">
        <f>D292/B292*10^(O292/10)</f>
        <v>0.83687836747628774</v>
      </c>
      <c r="Q292" s="26">
        <f>SUM(P292:P295)</f>
        <v>13.146719167230435</v>
      </c>
      <c r="R292" s="17">
        <f>10*LOG10(Q292)</f>
        <v>11.188173858796036</v>
      </c>
      <c r="S292" s="18">
        <f>F292+N292-Kzt-H</f>
        <v>-5.695885626983852</v>
      </c>
      <c r="T292" s="17">
        <v>0.2</v>
      </c>
      <c r="U292" s="21">
        <f>T292*10^((S292-R292)/10)</f>
        <v>4.0984915788983296E-3</v>
      </c>
    </row>
    <row r="293" spans="1:21" x14ac:dyDescent="0.25">
      <c r="A293" s="24"/>
      <c r="B293" s="24"/>
      <c r="C293" s="17"/>
      <c r="D293" s="24"/>
      <c r="E293" s="24"/>
      <c r="F293" s="25"/>
      <c r="G293" s="1">
        <v>225</v>
      </c>
      <c r="H293" s="2">
        <v>90</v>
      </c>
      <c r="I293" s="2">
        <v>0.19999999999999996</v>
      </c>
      <c r="J293" s="2">
        <v>-1.1000000000000001</v>
      </c>
      <c r="K293" s="2">
        <f t="shared" ref="K293:K325" si="38">I293</f>
        <v>0.19999999999999996</v>
      </c>
      <c r="L293" s="8">
        <f t="shared" ref="L293:L294" si="39">10^((K293-H293)/10)</f>
        <v>1.0471285480508964E-9</v>
      </c>
      <c r="M293" s="26"/>
      <c r="N293" s="17"/>
      <c r="O293" s="9">
        <f t="shared" ref="O293:O325" si="40">J293</f>
        <v>-1.1000000000000001</v>
      </c>
      <c r="P293" s="8">
        <f>D292/B292*10^(O293/10)</f>
        <v>9.832463477296761</v>
      </c>
      <c r="Q293" s="26"/>
      <c r="R293" s="17"/>
      <c r="S293" s="19"/>
      <c r="T293" s="17"/>
      <c r="U293" s="22"/>
    </row>
    <row r="294" spans="1:21" x14ac:dyDescent="0.25">
      <c r="A294" s="24"/>
      <c r="B294" s="24"/>
      <c r="C294" s="17"/>
      <c r="D294" s="24"/>
      <c r="E294" s="24"/>
      <c r="F294" s="25"/>
      <c r="G294" s="1">
        <v>275</v>
      </c>
      <c r="H294" s="2">
        <v>92.2</v>
      </c>
      <c r="I294" s="2">
        <v>4.2</v>
      </c>
      <c r="J294" s="2">
        <v>-8.6</v>
      </c>
      <c r="K294" s="2">
        <f t="shared" si="38"/>
        <v>4.2</v>
      </c>
      <c r="L294" s="8">
        <f t="shared" si="39"/>
        <v>1.584893192461106E-9</v>
      </c>
      <c r="M294" s="26"/>
      <c r="N294" s="17"/>
      <c r="O294" s="9">
        <f t="shared" si="40"/>
        <v>-8.6</v>
      </c>
      <c r="P294" s="8">
        <f>D292/B292*10^(O294/10)</f>
        <v>1.7484867351636535</v>
      </c>
      <c r="Q294" s="26"/>
      <c r="R294" s="17"/>
      <c r="S294" s="19"/>
      <c r="T294" s="17"/>
      <c r="U294" s="22"/>
    </row>
    <row r="295" spans="1:21" x14ac:dyDescent="0.25">
      <c r="A295" s="24"/>
      <c r="B295" s="24"/>
      <c r="C295" s="17"/>
      <c r="D295" s="24"/>
      <c r="E295" s="24"/>
      <c r="F295" s="25"/>
      <c r="G295" s="1">
        <v>325</v>
      </c>
      <c r="H295" s="2">
        <v>93.3</v>
      </c>
      <c r="I295" s="2">
        <v>-11.1</v>
      </c>
      <c r="J295" s="2">
        <v>-12.4</v>
      </c>
      <c r="K295" s="2">
        <f t="shared" si="38"/>
        <v>-11.1</v>
      </c>
      <c r="L295" s="8">
        <f>10^((K295-H295)/10)</f>
        <v>3.6307805477010142E-11</v>
      </c>
      <c r="M295" s="26"/>
      <c r="N295" s="17"/>
      <c r="O295" s="9">
        <f t="shared" si="40"/>
        <v>-12.4</v>
      </c>
      <c r="P295" s="8">
        <f>D292/B292*10^(O295/10)</f>
        <v>0.72889058729373202</v>
      </c>
      <c r="Q295" s="26"/>
      <c r="R295" s="17"/>
      <c r="S295" s="20"/>
      <c r="T295" s="17"/>
      <c r="U295" s="23"/>
    </row>
    <row r="296" spans="1:21" x14ac:dyDescent="0.25">
      <c r="A296" s="24">
        <v>500</v>
      </c>
      <c r="B296" s="24">
        <v>3</v>
      </c>
      <c r="C296" s="17">
        <v>0.5</v>
      </c>
      <c r="D296" s="24">
        <v>59</v>
      </c>
      <c r="E296" s="24">
        <v>6</v>
      </c>
      <c r="F296" s="25">
        <v>84</v>
      </c>
      <c r="G296" s="1">
        <v>375</v>
      </c>
      <c r="H296" s="2">
        <v>91.9</v>
      </c>
      <c r="I296" s="2">
        <v>-0.89999999999999991</v>
      </c>
      <c r="J296" s="2">
        <v>-1.9</v>
      </c>
      <c r="K296" s="2">
        <f t="shared" si="38"/>
        <v>-0.89999999999999991</v>
      </c>
      <c r="L296" s="8">
        <f t="shared" ref="L296:L297" si="41">10^((K296-H296)/10)</f>
        <v>5.2480746024977063E-10</v>
      </c>
      <c r="M296" s="26">
        <f>SUM(L296:L301)</f>
        <v>2.8874946708272077E-9</v>
      </c>
      <c r="N296" s="17">
        <f>10*LOG10(M296/E296)</f>
        <v>-93.176300590184979</v>
      </c>
      <c r="O296" s="9">
        <f t="shared" si="40"/>
        <v>-1.9</v>
      </c>
      <c r="P296" s="8">
        <f>D296/B296*10^(O296/10)</f>
        <v>12.697866504348223</v>
      </c>
      <c r="Q296" s="26">
        <f>SUM(P296:P301)</f>
        <v>24.593110378683839</v>
      </c>
      <c r="R296" s="17">
        <f>10*LOG10(Q296)</f>
        <v>13.9081345898979</v>
      </c>
      <c r="S296" s="18">
        <f>F296+N296-Kzt-H</f>
        <v>-9.1763005901849795</v>
      </c>
      <c r="T296" s="17">
        <v>0.5</v>
      </c>
      <c r="U296" s="21">
        <f>T296*10^((S296-R296)/10)</f>
        <v>2.4576865136294772E-3</v>
      </c>
    </row>
    <row r="297" spans="1:21" x14ac:dyDescent="0.25">
      <c r="A297" s="24"/>
      <c r="B297" s="24"/>
      <c r="C297" s="17"/>
      <c r="D297" s="24"/>
      <c r="E297" s="24"/>
      <c r="F297" s="25"/>
      <c r="G297" s="1">
        <v>425</v>
      </c>
      <c r="H297" s="2">
        <v>88.1</v>
      </c>
      <c r="I297" s="2">
        <v>0.3</v>
      </c>
      <c r="J297" s="2">
        <v>-10.3</v>
      </c>
      <c r="K297" s="2">
        <f t="shared" si="38"/>
        <v>0.3</v>
      </c>
      <c r="L297" s="8">
        <f t="shared" si="41"/>
        <v>1.6595869074375584E-9</v>
      </c>
      <c r="M297" s="26"/>
      <c r="N297" s="17"/>
      <c r="O297" s="9">
        <f t="shared" si="40"/>
        <v>-10.3</v>
      </c>
      <c r="P297" s="8">
        <f>D296/B296*10^(O297/10)</f>
        <v>1.8354001249007483</v>
      </c>
      <c r="Q297" s="26"/>
      <c r="R297" s="17"/>
      <c r="S297" s="19"/>
      <c r="T297" s="17"/>
      <c r="U297" s="22"/>
    </row>
    <row r="298" spans="1:21" x14ac:dyDescent="0.25">
      <c r="A298" s="24"/>
      <c r="B298" s="24"/>
      <c r="C298" s="17"/>
      <c r="D298" s="24"/>
      <c r="E298" s="24"/>
      <c r="F298" s="25"/>
      <c r="G298" s="1">
        <v>475</v>
      </c>
      <c r="H298" s="2">
        <v>90</v>
      </c>
      <c r="I298" s="2">
        <v>-6.3</v>
      </c>
      <c r="J298" s="2">
        <v>-7.6</v>
      </c>
      <c r="K298" s="2">
        <f t="shared" si="38"/>
        <v>-6.3</v>
      </c>
      <c r="L298" s="8">
        <f>10^((K298-H298)/10)</f>
        <v>2.3442288153199212E-10</v>
      </c>
      <c r="M298" s="26"/>
      <c r="N298" s="17"/>
      <c r="O298" s="9">
        <f t="shared" si="40"/>
        <v>-7.6</v>
      </c>
      <c r="P298" s="8">
        <f>D296/B296*10^(O298/10)</f>
        <v>3.4176749632071042</v>
      </c>
      <c r="Q298" s="26"/>
      <c r="R298" s="17"/>
      <c r="S298" s="19"/>
      <c r="T298" s="17"/>
      <c r="U298" s="22"/>
    </row>
    <row r="299" spans="1:21" x14ac:dyDescent="0.25">
      <c r="A299" s="24"/>
      <c r="B299" s="24"/>
      <c r="C299" s="17"/>
      <c r="D299" s="24"/>
      <c r="E299" s="24"/>
      <c r="F299" s="25"/>
      <c r="G299" s="1">
        <v>575</v>
      </c>
      <c r="H299" s="2">
        <v>97</v>
      </c>
      <c r="I299" s="2">
        <v>-0.4</v>
      </c>
      <c r="J299" s="2">
        <v>-11.1</v>
      </c>
      <c r="K299" s="2">
        <f t="shared" si="38"/>
        <v>-0.4</v>
      </c>
      <c r="L299" s="8">
        <f t="shared" ref="L299:L325" si="42">10^((K299-H299)/10)</f>
        <v>1.8197008586099781E-10</v>
      </c>
      <c r="M299" s="26"/>
      <c r="N299" s="17"/>
      <c r="O299" s="9">
        <f t="shared" si="40"/>
        <v>-11.1</v>
      </c>
      <c r="P299" s="8">
        <f>D296/B296*10^(O299/10)</f>
        <v>1.5266193293697603</v>
      </c>
      <c r="Q299" s="26"/>
      <c r="R299" s="17"/>
      <c r="S299" s="19"/>
      <c r="T299" s="17"/>
      <c r="U299" s="22"/>
    </row>
    <row r="300" spans="1:21" x14ac:dyDescent="0.25">
      <c r="A300" s="24"/>
      <c r="B300" s="24"/>
      <c r="C300" s="17"/>
      <c r="D300" s="24"/>
      <c r="E300" s="24"/>
      <c r="F300" s="25"/>
      <c r="G300" s="1">
        <v>625</v>
      </c>
      <c r="H300" s="2">
        <v>92</v>
      </c>
      <c r="I300" s="2">
        <v>-6.8000000000000007</v>
      </c>
      <c r="J300" s="2">
        <v>-8.3000000000000007</v>
      </c>
      <c r="K300" s="2">
        <f t="shared" si="38"/>
        <v>-6.8000000000000007</v>
      </c>
      <c r="L300" s="8">
        <f t="shared" si="42"/>
        <v>1.3182567385564051E-10</v>
      </c>
      <c r="M300" s="26"/>
      <c r="N300" s="17"/>
      <c r="O300" s="9">
        <f t="shared" si="40"/>
        <v>-8.3000000000000007</v>
      </c>
      <c r="P300" s="8">
        <f>D296/B296*10^(O300/10)</f>
        <v>2.9089131633974743</v>
      </c>
      <c r="Q300" s="26"/>
      <c r="R300" s="17"/>
      <c r="S300" s="19"/>
      <c r="T300" s="17"/>
      <c r="U300" s="22"/>
    </row>
    <row r="301" spans="1:21" x14ac:dyDescent="0.25">
      <c r="A301" s="24"/>
      <c r="B301" s="24"/>
      <c r="C301" s="17"/>
      <c r="D301" s="24"/>
      <c r="E301" s="24"/>
      <c r="F301" s="25"/>
      <c r="G301" s="1">
        <v>675</v>
      </c>
      <c r="H301" s="2">
        <v>94.5</v>
      </c>
      <c r="I301" s="2">
        <v>-3.6</v>
      </c>
      <c r="J301" s="2">
        <v>-9.5</v>
      </c>
      <c r="K301" s="2">
        <f t="shared" si="38"/>
        <v>-3.6</v>
      </c>
      <c r="L301" s="8">
        <f t="shared" si="42"/>
        <v>1.5488166189124834E-10</v>
      </c>
      <c r="M301" s="26"/>
      <c r="N301" s="17"/>
      <c r="O301" s="9">
        <f t="shared" si="40"/>
        <v>-9.5</v>
      </c>
      <c r="P301" s="8">
        <f>D296/B296*10^(O301/10)</f>
        <v>2.2066362934605279</v>
      </c>
      <c r="Q301" s="26"/>
      <c r="R301" s="17"/>
      <c r="S301" s="20"/>
      <c r="T301" s="17"/>
      <c r="U301" s="23"/>
    </row>
    <row r="302" spans="1:21" x14ac:dyDescent="0.25">
      <c r="A302" s="24">
        <v>1000</v>
      </c>
      <c r="B302" s="24">
        <v>3</v>
      </c>
      <c r="C302" s="17">
        <v>0.5</v>
      </c>
      <c r="D302" s="24">
        <v>117</v>
      </c>
      <c r="E302" s="24">
        <v>6</v>
      </c>
      <c r="F302" s="25">
        <v>76</v>
      </c>
      <c r="G302" s="1">
        <v>875</v>
      </c>
      <c r="H302" s="2">
        <v>91.1</v>
      </c>
      <c r="I302" s="2">
        <v>12.5</v>
      </c>
      <c r="J302" s="2">
        <v>0.9</v>
      </c>
      <c r="K302" s="2">
        <f t="shared" si="38"/>
        <v>12.5</v>
      </c>
      <c r="L302" s="8">
        <f t="shared" si="42"/>
        <v>1.3803842646028856E-8</v>
      </c>
      <c r="M302" s="26">
        <f>SUM(L302:L307)</f>
        <v>1.5769853501992741E-8</v>
      </c>
      <c r="N302" s="17">
        <f>10*LOG10(M302/E302)</f>
        <v>-85.803235915234595</v>
      </c>
      <c r="O302" s="9">
        <f t="shared" si="40"/>
        <v>0.9</v>
      </c>
      <c r="P302" s="8">
        <f>D302/B302*10^(O302/10)</f>
        <v>47.980482061682885</v>
      </c>
      <c r="Q302" s="26">
        <f>SUM(P302:P307)</f>
        <v>107.91545874609162</v>
      </c>
      <c r="R302" s="17">
        <f>10*LOG10(Q302)</f>
        <v>20.33083661246777</v>
      </c>
      <c r="S302" s="18">
        <f>F302+N302-Kzt-H</f>
        <v>-9.8032359152345947</v>
      </c>
      <c r="T302" s="17">
        <v>0.8</v>
      </c>
      <c r="U302" s="21">
        <f>T302*10^((S302-R302)/10)</f>
        <v>7.7568025077764534E-4</v>
      </c>
    </row>
    <row r="303" spans="1:21" x14ac:dyDescent="0.25">
      <c r="A303" s="24"/>
      <c r="B303" s="24"/>
      <c r="C303" s="17"/>
      <c r="D303" s="24"/>
      <c r="E303" s="24"/>
      <c r="F303" s="25"/>
      <c r="G303" s="1">
        <v>975</v>
      </c>
      <c r="H303" s="2">
        <v>96.5</v>
      </c>
      <c r="I303" s="2">
        <v>1</v>
      </c>
      <c r="J303" s="2">
        <v>-5.0999999999999996</v>
      </c>
      <c r="K303" s="2">
        <f t="shared" si="38"/>
        <v>1</v>
      </c>
      <c r="L303" s="8">
        <f t="shared" si="42"/>
        <v>2.8183829312644407E-10</v>
      </c>
      <c r="M303" s="26"/>
      <c r="N303" s="17"/>
      <c r="O303" s="9">
        <f t="shared" si="40"/>
        <v>-5.0999999999999996</v>
      </c>
      <c r="P303" s="8">
        <f>D302/B302*10^(O303/10)</f>
        <v>12.052152186802999</v>
      </c>
      <c r="Q303" s="26"/>
      <c r="R303" s="17"/>
      <c r="S303" s="19"/>
      <c r="T303" s="17"/>
      <c r="U303" s="22"/>
    </row>
    <row r="304" spans="1:21" x14ac:dyDescent="0.25">
      <c r="A304" s="24"/>
      <c r="B304" s="24"/>
      <c r="C304" s="17"/>
      <c r="D304" s="24"/>
      <c r="E304" s="24"/>
      <c r="F304" s="25"/>
      <c r="G304" s="1">
        <v>1075</v>
      </c>
      <c r="H304" s="2">
        <v>94.6</v>
      </c>
      <c r="I304" s="2">
        <v>3.8</v>
      </c>
      <c r="J304" s="2">
        <v>-10.3</v>
      </c>
      <c r="K304" s="2">
        <f t="shared" si="38"/>
        <v>3.8</v>
      </c>
      <c r="L304" s="8">
        <f t="shared" si="42"/>
        <v>8.3176377110266926E-10</v>
      </c>
      <c r="M304" s="26"/>
      <c r="N304" s="17"/>
      <c r="O304" s="9">
        <f t="shared" si="40"/>
        <v>-10.3</v>
      </c>
      <c r="P304" s="8">
        <f>D302/B302*10^(O304/10)</f>
        <v>3.6396917731082636</v>
      </c>
      <c r="Q304" s="26"/>
      <c r="R304" s="17"/>
      <c r="S304" s="19"/>
      <c r="T304" s="17"/>
      <c r="U304" s="22"/>
    </row>
    <row r="305" spans="1:21" x14ac:dyDescent="0.25">
      <c r="A305" s="24"/>
      <c r="B305" s="24"/>
      <c r="C305" s="17"/>
      <c r="D305" s="24"/>
      <c r="E305" s="24"/>
      <c r="F305" s="25"/>
      <c r="G305" s="1">
        <v>1175</v>
      </c>
      <c r="H305" s="2">
        <v>97.8</v>
      </c>
      <c r="I305" s="2">
        <v>-2.5</v>
      </c>
      <c r="J305" s="2">
        <v>-3.1</v>
      </c>
      <c r="K305" s="2">
        <f t="shared" si="38"/>
        <v>-2.5</v>
      </c>
      <c r="L305" s="8">
        <f t="shared" si="42"/>
        <v>9.3325430079699086E-11</v>
      </c>
      <c r="M305" s="26"/>
      <c r="N305" s="17"/>
      <c r="O305" s="9">
        <f t="shared" si="40"/>
        <v>-3.1</v>
      </c>
      <c r="P305" s="8">
        <f>D302/B302*10^(O305/10)</f>
        <v>19.1013739553694</v>
      </c>
      <c r="Q305" s="26"/>
      <c r="R305" s="17"/>
      <c r="S305" s="19"/>
      <c r="T305" s="17"/>
      <c r="U305" s="22"/>
    </row>
    <row r="306" spans="1:21" x14ac:dyDescent="0.25">
      <c r="A306" s="24"/>
      <c r="B306" s="24"/>
      <c r="C306" s="17"/>
      <c r="D306" s="24"/>
      <c r="E306" s="24"/>
      <c r="F306" s="25"/>
      <c r="G306" s="1">
        <v>1275</v>
      </c>
      <c r="H306" s="2">
        <v>100.1</v>
      </c>
      <c r="I306" s="2">
        <v>4.9000000000000004</v>
      </c>
      <c r="J306" s="2">
        <v>-3.1</v>
      </c>
      <c r="K306" s="2">
        <f t="shared" si="38"/>
        <v>4.9000000000000004</v>
      </c>
      <c r="L306" s="8">
        <f t="shared" si="42"/>
        <v>3.0199517204020115E-10</v>
      </c>
      <c r="M306" s="26"/>
      <c r="N306" s="17"/>
      <c r="O306" s="9">
        <f t="shared" si="40"/>
        <v>-3.1</v>
      </c>
      <c r="P306" s="8">
        <f>D302/B302*10^(O306/10)</f>
        <v>19.1013739553694</v>
      </c>
      <c r="Q306" s="26"/>
      <c r="R306" s="17"/>
      <c r="S306" s="19"/>
      <c r="T306" s="17"/>
      <c r="U306" s="22"/>
    </row>
    <row r="307" spans="1:21" x14ac:dyDescent="0.25">
      <c r="A307" s="24"/>
      <c r="B307" s="24"/>
      <c r="C307" s="17"/>
      <c r="D307" s="24"/>
      <c r="E307" s="24"/>
      <c r="F307" s="25"/>
      <c r="G307" s="1">
        <v>1375</v>
      </c>
      <c r="H307" s="2">
        <v>103</v>
      </c>
      <c r="I307" s="2">
        <v>9.6</v>
      </c>
      <c r="J307" s="2">
        <v>-8.1</v>
      </c>
      <c r="K307" s="2">
        <f t="shared" si="38"/>
        <v>9.6</v>
      </c>
      <c r="L307" s="8">
        <f t="shared" si="42"/>
        <v>4.5708818961487362E-10</v>
      </c>
      <c r="M307" s="26"/>
      <c r="N307" s="17"/>
      <c r="O307" s="9">
        <f t="shared" si="40"/>
        <v>-8.1</v>
      </c>
      <c r="P307" s="8">
        <f>D302/B302*10^(O307/10)</f>
        <v>6.0403848137586769</v>
      </c>
      <c r="Q307" s="26"/>
      <c r="R307" s="17"/>
      <c r="S307" s="20"/>
      <c r="T307" s="17"/>
      <c r="U307" s="23"/>
    </row>
    <row r="308" spans="1:21" x14ac:dyDescent="0.25">
      <c r="A308" s="24">
        <v>2000</v>
      </c>
      <c r="B308" s="24">
        <v>3</v>
      </c>
      <c r="C308" s="17">
        <v>0.5</v>
      </c>
      <c r="D308" s="24">
        <v>234</v>
      </c>
      <c r="E308" s="24">
        <v>6</v>
      </c>
      <c r="F308" s="25">
        <v>68</v>
      </c>
      <c r="G308" s="1">
        <v>1425</v>
      </c>
      <c r="H308" s="2">
        <v>102.8</v>
      </c>
      <c r="I308" s="2">
        <v>-6.4</v>
      </c>
      <c r="J308" s="2">
        <v>-8.6</v>
      </c>
      <c r="K308" s="2">
        <f t="shared" si="38"/>
        <v>-6.4</v>
      </c>
      <c r="L308" s="8">
        <f t="shared" si="42"/>
        <v>1.2022644346174101E-11</v>
      </c>
      <c r="M308" s="26">
        <f>SUM(L308:L313)</f>
        <v>9.8015684592231131E-10</v>
      </c>
      <c r="N308" s="17">
        <f>10*LOG10(M308/E308)</f>
        <v>-97.868556727848542</v>
      </c>
      <c r="O308" s="9">
        <f t="shared" si="40"/>
        <v>-8.6</v>
      </c>
      <c r="P308" s="8">
        <f>D308/B308*10^(O308/10)</f>
        <v>10.766997263902498</v>
      </c>
      <c r="Q308" s="26">
        <f>SUM(P308:P313)</f>
        <v>210.26052691745991</v>
      </c>
      <c r="R308" s="17">
        <f>10*LOG10(Q308)</f>
        <v>23.227577484305527</v>
      </c>
      <c r="S308" s="18">
        <f>F308+N308-Kzt-H</f>
        <v>-29.868556727848542</v>
      </c>
      <c r="T308" s="17">
        <v>1</v>
      </c>
      <c r="U308" s="21">
        <f>T308*10^((S308-R308)/10)</f>
        <v>4.902149805480738E-6</v>
      </c>
    </row>
    <row r="309" spans="1:21" x14ac:dyDescent="0.25">
      <c r="A309" s="24"/>
      <c r="B309" s="24"/>
      <c r="C309" s="17"/>
      <c r="D309" s="24"/>
      <c r="E309" s="24"/>
      <c r="F309" s="25"/>
      <c r="G309" s="1">
        <v>1625</v>
      </c>
      <c r="H309" s="2">
        <v>104.1</v>
      </c>
      <c r="I309" s="2">
        <v>-1.7</v>
      </c>
      <c r="J309" s="2">
        <v>-1.7</v>
      </c>
      <c r="K309" s="2">
        <f t="shared" si="38"/>
        <v>-1.7</v>
      </c>
      <c r="L309" s="8">
        <f t="shared" si="42"/>
        <v>2.6302679918953769E-11</v>
      </c>
      <c r="M309" s="26"/>
      <c r="N309" s="17"/>
      <c r="O309" s="9">
        <f t="shared" si="40"/>
        <v>-1.7</v>
      </c>
      <c r="P309" s="8">
        <f>D308/B308*10^(O309/10)</f>
        <v>52.734472080574584</v>
      </c>
      <c r="Q309" s="26"/>
      <c r="R309" s="17"/>
      <c r="S309" s="19"/>
      <c r="T309" s="17"/>
      <c r="U309" s="22"/>
    </row>
    <row r="310" spans="1:21" x14ac:dyDescent="0.25">
      <c r="A310" s="24"/>
      <c r="B310" s="24"/>
      <c r="C310" s="17"/>
      <c r="D310" s="24"/>
      <c r="E310" s="24"/>
      <c r="F310" s="25"/>
      <c r="G310" s="1">
        <v>1825</v>
      </c>
      <c r="H310" s="2">
        <v>107.6</v>
      </c>
      <c r="I310" s="2">
        <v>-6.6000000000000005</v>
      </c>
      <c r="J310" s="2">
        <v>-7.4</v>
      </c>
      <c r="K310" s="2">
        <f t="shared" si="38"/>
        <v>-6.6000000000000005</v>
      </c>
      <c r="L310" s="8">
        <f t="shared" si="42"/>
        <v>3.8018939632056213E-12</v>
      </c>
      <c r="M310" s="26"/>
      <c r="N310" s="17"/>
      <c r="O310" s="9">
        <f t="shared" si="40"/>
        <v>-7.4</v>
      </c>
      <c r="P310" s="8">
        <f>D308/B308*10^(O310/10)</f>
        <v>14.19366669715787</v>
      </c>
      <c r="Q310" s="26"/>
      <c r="R310" s="17"/>
      <c r="S310" s="19"/>
      <c r="T310" s="17"/>
      <c r="U310" s="22"/>
    </row>
    <row r="311" spans="1:21" x14ac:dyDescent="0.25">
      <c r="A311" s="24"/>
      <c r="B311" s="24"/>
      <c r="C311" s="17"/>
      <c r="D311" s="24"/>
      <c r="E311" s="24"/>
      <c r="F311" s="25"/>
      <c r="G311" s="1">
        <v>2125</v>
      </c>
      <c r="H311" s="2">
        <v>104.2</v>
      </c>
      <c r="I311" s="2">
        <v>9.9</v>
      </c>
      <c r="J311" s="2">
        <v>-7.3</v>
      </c>
      <c r="K311" s="2">
        <f t="shared" si="38"/>
        <v>9.9</v>
      </c>
      <c r="L311" s="8">
        <f t="shared" si="42"/>
        <v>3.7153522909717169E-10</v>
      </c>
      <c r="M311" s="26"/>
      <c r="N311" s="17"/>
      <c r="O311" s="9">
        <f t="shared" si="40"/>
        <v>-7.3</v>
      </c>
      <c r="P311" s="8">
        <f>D308/B308*10^(O311/10)</f>
        <v>14.524279665970363</v>
      </c>
      <c r="Q311" s="26"/>
      <c r="R311" s="17"/>
      <c r="S311" s="19"/>
      <c r="T311" s="17"/>
      <c r="U311" s="22"/>
    </row>
    <row r="312" spans="1:21" x14ac:dyDescent="0.25">
      <c r="A312" s="24"/>
      <c r="B312" s="24"/>
      <c r="C312" s="17"/>
      <c r="D312" s="24"/>
      <c r="E312" s="24"/>
      <c r="F312" s="25"/>
      <c r="G312" s="1">
        <v>2425</v>
      </c>
      <c r="H312" s="2">
        <v>93.7</v>
      </c>
      <c r="I312" s="2">
        <v>0.9</v>
      </c>
      <c r="J312" s="2">
        <v>0.4</v>
      </c>
      <c r="K312" s="2">
        <f t="shared" si="38"/>
        <v>0.9</v>
      </c>
      <c r="L312" s="8">
        <f t="shared" si="42"/>
        <v>5.2480746024977249E-10</v>
      </c>
      <c r="M312" s="26"/>
      <c r="N312" s="17"/>
      <c r="O312" s="9">
        <f t="shared" si="40"/>
        <v>0.4</v>
      </c>
      <c r="P312" s="8">
        <f>D308/B308*10^(O312/10)</f>
        <v>85.525299299168438</v>
      </c>
      <c r="Q312" s="26"/>
      <c r="R312" s="17"/>
      <c r="S312" s="19"/>
      <c r="T312" s="17"/>
      <c r="U312" s="22"/>
    </row>
    <row r="313" spans="1:21" x14ac:dyDescent="0.25">
      <c r="A313" s="24"/>
      <c r="B313" s="24"/>
      <c r="C313" s="17"/>
      <c r="D313" s="24"/>
      <c r="E313" s="24"/>
      <c r="F313" s="25"/>
      <c r="G313" s="1">
        <v>2775</v>
      </c>
      <c r="H313" s="2">
        <v>100.2</v>
      </c>
      <c r="I313" s="2">
        <v>-3.5999999999999996</v>
      </c>
      <c r="J313" s="2">
        <v>-3.8</v>
      </c>
      <c r="K313" s="2">
        <f t="shared" si="38"/>
        <v>-3.5999999999999996</v>
      </c>
      <c r="L313" s="8">
        <f t="shared" si="42"/>
        <v>4.1686938347033529E-11</v>
      </c>
      <c r="M313" s="26"/>
      <c r="N313" s="17"/>
      <c r="O313" s="9">
        <f t="shared" si="40"/>
        <v>-3.8</v>
      </c>
      <c r="P313" s="8">
        <f>D308/B308*10^(O313/10)</f>
        <v>32.515811910686161</v>
      </c>
      <c r="Q313" s="26"/>
      <c r="R313" s="17"/>
      <c r="S313" s="20"/>
      <c r="T313" s="17"/>
      <c r="U313" s="23"/>
    </row>
    <row r="314" spans="1:21" x14ac:dyDescent="0.25">
      <c r="A314" s="24">
        <v>4000</v>
      </c>
      <c r="B314" s="24">
        <v>3</v>
      </c>
      <c r="C314" s="17">
        <v>0.5</v>
      </c>
      <c r="D314" s="24">
        <v>470</v>
      </c>
      <c r="E314" s="24">
        <v>6</v>
      </c>
      <c r="F314" s="25">
        <v>62</v>
      </c>
      <c r="G314" s="1">
        <v>2825</v>
      </c>
      <c r="H314" s="2">
        <v>99.4</v>
      </c>
      <c r="I314" s="2">
        <v>-1</v>
      </c>
      <c r="J314" s="2">
        <v>-1.6</v>
      </c>
      <c r="K314" s="2">
        <f t="shared" si="38"/>
        <v>-1</v>
      </c>
      <c r="L314" s="8">
        <f t="shared" si="42"/>
        <v>9.1201083935590649E-11</v>
      </c>
      <c r="M314" s="26">
        <f>SUM(L314:L319)</f>
        <v>4.2506843673791579E-10</v>
      </c>
      <c r="N314" s="17">
        <f>10*LOG10(M314/E314)</f>
        <v>-101.49692392557129</v>
      </c>
      <c r="O314" s="9">
        <f t="shared" si="40"/>
        <v>-1.6</v>
      </c>
      <c r="P314" s="8">
        <f>D314/B314*10^(O314/10)</f>
        <v>108.38685211063338</v>
      </c>
      <c r="Q314" s="26">
        <f>SUM(P314:P319)</f>
        <v>770.51106218622226</v>
      </c>
      <c r="R314" s="17">
        <f>10*LOG10(Q314)</f>
        <v>28.867788782419094</v>
      </c>
      <c r="S314" s="18">
        <f>F314+N314-Kzt-H</f>
        <v>-39.496923925571295</v>
      </c>
      <c r="T314" s="17">
        <v>0.9</v>
      </c>
      <c r="U314" s="21">
        <f>T314*10^((S314-R314)/10)</f>
        <v>1.3115088895761762E-7</v>
      </c>
    </row>
    <row r="315" spans="1:21" x14ac:dyDescent="0.25">
      <c r="A315" s="24"/>
      <c r="B315" s="24"/>
      <c r="C315" s="17"/>
      <c r="D315" s="24"/>
      <c r="E315" s="24"/>
      <c r="F315" s="25"/>
      <c r="G315" s="1">
        <v>3425</v>
      </c>
      <c r="H315" s="2">
        <v>103.5</v>
      </c>
      <c r="I315" s="2">
        <v>-2.1</v>
      </c>
      <c r="J315" s="2">
        <v>-4</v>
      </c>
      <c r="K315" s="2">
        <f t="shared" si="38"/>
        <v>-2.1</v>
      </c>
      <c r="L315" s="8">
        <f t="shared" si="42"/>
        <v>2.7542287033381702E-11</v>
      </c>
      <c r="M315" s="26"/>
      <c r="N315" s="17"/>
      <c r="O315" s="9">
        <f t="shared" si="40"/>
        <v>-4</v>
      </c>
      <c r="P315" s="8">
        <f>D314/B314*10^(O315/10)</f>
        <v>62.37012338671456</v>
      </c>
      <c r="Q315" s="26"/>
      <c r="R315" s="17"/>
      <c r="S315" s="19"/>
      <c r="T315" s="17"/>
      <c r="U315" s="22"/>
    </row>
    <row r="316" spans="1:21" x14ac:dyDescent="0.25">
      <c r="A316" s="24"/>
      <c r="B316" s="24"/>
      <c r="C316" s="17"/>
      <c r="D316" s="24"/>
      <c r="E316" s="24"/>
      <c r="F316" s="25"/>
      <c r="G316" s="1">
        <v>4025</v>
      </c>
      <c r="H316" s="2">
        <v>103.6</v>
      </c>
      <c r="I316" s="2">
        <v>2.9000000000000004</v>
      </c>
      <c r="J316" s="2">
        <v>2.7</v>
      </c>
      <c r="K316" s="2">
        <f t="shared" si="38"/>
        <v>2.9000000000000004</v>
      </c>
      <c r="L316" s="8">
        <f t="shared" si="42"/>
        <v>8.5113803820237668E-11</v>
      </c>
      <c r="M316" s="26"/>
      <c r="N316" s="17"/>
      <c r="O316" s="9">
        <f t="shared" si="40"/>
        <v>2.7</v>
      </c>
      <c r="P316" s="8">
        <f>D314/B314*10^(O316/10)</f>
        <v>291.72698474384924</v>
      </c>
      <c r="Q316" s="26"/>
      <c r="R316" s="17"/>
      <c r="S316" s="19"/>
      <c r="T316" s="17"/>
      <c r="U316" s="22"/>
    </row>
    <row r="317" spans="1:21" x14ac:dyDescent="0.25">
      <c r="A317" s="24"/>
      <c r="B317" s="24"/>
      <c r="C317" s="17"/>
      <c r="D317" s="24"/>
      <c r="E317" s="24"/>
      <c r="F317" s="25"/>
      <c r="G317" s="1">
        <v>4625</v>
      </c>
      <c r="H317" s="2">
        <v>105.6</v>
      </c>
      <c r="I317" s="2">
        <v>-5</v>
      </c>
      <c r="J317" s="2">
        <v>-5.0999999999999996</v>
      </c>
      <c r="K317" s="2">
        <f t="shared" si="38"/>
        <v>-5</v>
      </c>
      <c r="L317" s="8">
        <f t="shared" si="42"/>
        <v>8.7096358995607975E-12</v>
      </c>
      <c r="M317" s="26"/>
      <c r="N317" s="17"/>
      <c r="O317" s="9">
        <f t="shared" si="40"/>
        <v>-5.0999999999999996</v>
      </c>
      <c r="P317" s="8">
        <f>D314/B314*10^(O317/10)</f>
        <v>48.414628442712896</v>
      </c>
      <c r="Q317" s="26"/>
      <c r="R317" s="17"/>
      <c r="S317" s="19"/>
      <c r="T317" s="17"/>
      <c r="U317" s="22"/>
    </row>
    <row r="318" spans="1:21" x14ac:dyDescent="0.25">
      <c r="A318" s="24"/>
      <c r="B318" s="24"/>
      <c r="C318" s="17"/>
      <c r="D318" s="24"/>
      <c r="E318" s="24"/>
      <c r="F318" s="25"/>
      <c r="G318" s="1">
        <v>5225</v>
      </c>
      <c r="H318" s="2">
        <v>103.5</v>
      </c>
      <c r="I318" s="2">
        <v>-1.1000000000000001</v>
      </c>
      <c r="J318" s="2">
        <v>-4.7</v>
      </c>
      <c r="K318" s="2">
        <f t="shared" si="38"/>
        <v>-1.1000000000000001</v>
      </c>
      <c r="L318" s="8">
        <f t="shared" si="42"/>
        <v>3.467368504525318E-11</v>
      </c>
      <c r="M318" s="26"/>
      <c r="N318" s="17"/>
      <c r="O318" s="9">
        <f t="shared" si="40"/>
        <v>-4.7</v>
      </c>
      <c r="P318" s="8">
        <f>D314/B314*10^(O318/10)</f>
        <v>53.085584461808388</v>
      </c>
      <c r="Q318" s="26"/>
      <c r="R318" s="17"/>
      <c r="S318" s="19"/>
      <c r="T318" s="17"/>
      <c r="U318" s="22"/>
    </row>
    <row r="319" spans="1:21" x14ac:dyDescent="0.25">
      <c r="A319" s="24"/>
      <c r="B319" s="24"/>
      <c r="C319" s="17"/>
      <c r="D319" s="24"/>
      <c r="E319" s="24"/>
      <c r="F319" s="25"/>
      <c r="G319" s="1">
        <v>5625</v>
      </c>
      <c r="H319" s="2">
        <v>99.5</v>
      </c>
      <c r="I319" s="2">
        <v>2</v>
      </c>
      <c r="J319" s="2">
        <v>1.2</v>
      </c>
      <c r="K319" s="2">
        <f t="shared" si="38"/>
        <v>2</v>
      </c>
      <c r="L319" s="8">
        <f t="shared" si="42"/>
        <v>1.778279410038918E-10</v>
      </c>
      <c r="M319" s="26"/>
      <c r="N319" s="17"/>
      <c r="O319" s="9">
        <f t="shared" si="40"/>
        <v>1.2</v>
      </c>
      <c r="P319" s="8">
        <f>D314/B314*10^(O319/10)</f>
        <v>206.52688904050379</v>
      </c>
      <c r="Q319" s="26"/>
      <c r="R319" s="17"/>
      <c r="S319" s="20"/>
      <c r="T319" s="17"/>
      <c r="U319" s="23"/>
    </row>
    <row r="320" spans="1:21" x14ac:dyDescent="0.25">
      <c r="A320" s="24">
        <v>8000</v>
      </c>
      <c r="B320" s="24">
        <v>3</v>
      </c>
      <c r="C320" s="17">
        <v>0.5</v>
      </c>
      <c r="D320" s="24">
        <v>943</v>
      </c>
      <c r="E320" s="24">
        <v>6</v>
      </c>
      <c r="F320" s="25">
        <v>54</v>
      </c>
      <c r="G320" s="1">
        <v>6025</v>
      </c>
      <c r="H320" s="2">
        <v>95</v>
      </c>
      <c r="I320" s="2">
        <v>9.1</v>
      </c>
      <c r="J320" s="2">
        <v>-0.6</v>
      </c>
      <c r="K320" s="2">
        <f t="shared" si="38"/>
        <v>9.1</v>
      </c>
      <c r="L320" s="8">
        <f t="shared" si="42"/>
        <v>2.5703957827688555E-9</v>
      </c>
      <c r="M320" s="26">
        <f>SUM(L320:L325)</f>
        <v>8.6877753826582061E-8</v>
      </c>
      <c r="N320" s="17">
        <f>10*LOG10(M320/E320)</f>
        <v>-78.392426664230712</v>
      </c>
      <c r="O320" s="9">
        <f t="shared" si="40"/>
        <v>-0.6</v>
      </c>
      <c r="P320" s="8">
        <f>D320/B320*10^(O320/10)</f>
        <v>273.7728884428613</v>
      </c>
      <c r="Q320" s="26">
        <f>SUM(P320:P325)</f>
        <v>204716.78590338299</v>
      </c>
      <c r="R320" s="17">
        <f>10*LOG10(Q320)</f>
        <v>53.111534544179008</v>
      </c>
      <c r="S320" s="18">
        <f>F320+N320-Kzt-H</f>
        <v>-24.392426664230712</v>
      </c>
      <c r="T320" s="17">
        <v>0.7</v>
      </c>
      <c r="U320" s="21">
        <f>T320*10^((S320-R320)/10)</f>
        <v>1.2436607241870994E-8</v>
      </c>
    </row>
    <row r="321" spans="1:21" x14ac:dyDescent="0.25">
      <c r="A321" s="24"/>
      <c r="B321" s="24"/>
      <c r="C321" s="17"/>
      <c r="D321" s="24"/>
      <c r="E321" s="24"/>
      <c r="F321" s="25"/>
      <c r="G321" s="1">
        <v>7025</v>
      </c>
      <c r="H321" s="2">
        <v>94.8</v>
      </c>
      <c r="I321" s="2">
        <v>2</v>
      </c>
      <c r="J321" s="2">
        <v>-6.4</v>
      </c>
      <c r="K321" s="2">
        <f t="shared" si="38"/>
        <v>2</v>
      </c>
      <c r="L321" s="8">
        <f t="shared" si="42"/>
        <v>5.2480746024977249E-10</v>
      </c>
      <c r="M321" s="26"/>
      <c r="N321" s="17"/>
      <c r="O321" s="9">
        <f t="shared" si="40"/>
        <v>-6.4</v>
      </c>
      <c r="P321" s="8">
        <f>D320/B320*10^(O321/10)</f>
        <v>72.009606552000321</v>
      </c>
      <c r="Q321" s="26"/>
      <c r="R321" s="17"/>
      <c r="S321" s="19"/>
      <c r="T321" s="17"/>
      <c r="U321" s="22"/>
    </row>
    <row r="322" spans="1:21" x14ac:dyDescent="0.25">
      <c r="A322" s="24"/>
      <c r="B322" s="24"/>
      <c r="C322" s="17"/>
      <c r="D322" s="24"/>
      <c r="E322" s="24"/>
      <c r="F322" s="25"/>
      <c r="G322" s="1">
        <v>8025</v>
      </c>
      <c r="H322" s="2">
        <v>101.9</v>
      </c>
      <c r="I322" s="2">
        <v>29.2</v>
      </c>
      <c r="J322" s="2">
        <v>28</v>
      </c>
      <c r="K322" s="2">
        <f t="shared" si="38"/>
        <v>29.2</v>
      </c>
      <c r="L322" s="8">
        <f t="shared" si="42"/>
        <v>5.3703179637025192E-8</v>
      </c>
      <c r="M322" s="26"/>
      <c r="N322" s="17"/>
      <c r="O322" s="9">
        <f t="shared" si="40"/>
        <v>28</v>
      </c>
      <c r="P322" s="8">
        <f>D320/B320*10^(O322/10)</f>
        <v>198330.9252816074</v>
      </c>
      <c r="Q322" s="26"/>
      <c r="R322" s="17"/>
      <c r="S322" s="19"/>
      <c r="T322" s="17"/>
      <c r="U322" s="22"/>
    </row>
    <row r="323" spans="1:21" x14ac:dyDescent="0.25">
      <c r="A323" s="24"/>
      <c r="B323" s="24"/>
      <c r="C323" s="17"/>
      <c r="D323" s="24"/>
      <c r="E323" s="24"/>
      <c r="F323" s="25"/>
      <c r="G323" s="1">
        <v>9025</v>
      </c>
      <c r="H323" s="2">
        <v>93.2</v>
      </c>
      <c r="I323" s="2">
        <v>11.8</v>
      </c>
      <c r="J323" s="2">
        <v>11.5</v>
      </c>
      <c r="K323" s="2">
        <f t="shared" si="38"/>
        <v>11.8</v>
      </c>
      <c r="L323" s="8">
        <f t="shared" si="42"/>
        <v>7.2443596007498722E-9</v>
      </c>
      <c r="M323" s="26"/>
      <c r="N323" s="17"/>
      <c r="O323" s="9">
        <f t="shared" si="40"/>
        <v>11.5</v>
      </c>
      <c r="P323" s="8">
        <f>D320/B320*10^(O323/10)</f>
        <v>4440.076348597524</v>
      </c>
      <c r="Q323" s="26"/>
      <c r="R323" s="17"/>
      <c r="S323" s="19"/>
      <c r="T323" s="17"/>
      <c r="U323" s="22"/>
    </row>
    <row r="324" spans="1:21" x14ac:dyDescent="0.25">
      <c r="A324" s="24"/>
      <c r="B324" s="24"/>
      <c r="C324" s="17"/>
      <c r="D324" s="24"/>
      <c r="E324" s="24"/>
      <c r="F324" s="25"/>
      <c r="G324" s="1">
        <v>10025</v>
      </c>
      <c r="H324" s="2">
        <v>88.3</v>
      </c>
      <c r="I324" s="2">
        <v>7.7</v>
      </c>
      <c r="J324" s="2">
        <v>5.8</v>
      </c>
      <c r="K324" s="2">
        <f t="shared" si="38"/>
        <v>7.7</v>
      </c>
      <c r="L324" s="8">
        <f t="shared" si="42"/>
        <v>8.7096358995608263E-9</v>
      </c>
      <c r="M324" s="26"/>
      <c r="N324" s="17"/>
      <c r="O324" s="9">
        <f t="shared" si="40"/>
        <v>5.8</v>
      </c>
      <c r="P324" s="8">
        <f>D320/B320*10^(O324/10)</f>
        <v>1195.0620024342973</v>
      </c>
      <c r="Q324" s="26"/>
      <c r="R324" s="17"/>
      <c r="S324" s="19"/>
      <c r="T324" s="17"/>
      <c r="U324" s="22"/>
    </row>
    <row r="325" spans="1:21" x14ac:dyDescent="0.25">
      <c r="A325" s="24"/>
      <c r="B325" s="24"/>
      <c r="C325" s="17"/>
      <c r="D325" s="24"/>
      <c r="E325" s="24"/>
      <c r="F325" s="25"/>
      <c r="G325" s="1">
        <v>11025</v>
      </c>
      <c r="H325" s="2">
        <v>86</v>
      </c>
      <c r="I325" s="2">
        <v>7.5</v>
      </c>
      <c r="J325" s="2">
        <v>1.1000000000000001</v>
      </c>
      <c r="K325" s="2">
        <f t="shared" si="38"/>
        <v>7.5</v>
      </c>
      <c r="L325" s="8">
        <f t="shared" si="42"/>
        <v>1.4125375446227547E-8</v>
      </c>
      <c r="M325" s="26"/>
      <c r="N325" s="17"/>
      <c r="O325" s="9">
        <f t="shared" si="40"/>
        <v>1.1000000000000001</v>
      </c>
      <c r="P325" s="8">
        <f>D320/B320*10^(O325/10)</f>
        <v>404.93977574887509</v>
      </c>
      <c r="Q325" s="26"/>
      <c r="R325" s="17"/>
      <c r="S325" s="20"/>
      <c r="T325" s="17"/>
      <c r="U325" s="23"/>
    </row>
    <row r="326" spans="1:21" x14ac:dyDescent="0.25">
      <c r="A326" s="24" t="s">
        <v>20</v>
      </c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12">
        <f>U326</f>
        <v>6.8524583994275842E-2</v>
      </c>
      <c r="T326" s="2"/>
      <c r="U326" s="8">
        <f>0.8*SQRT(SUM(U292:U325))</f>
        <v>6.8524583994275842E-2</v>
      </c>
    </row>
    <row r="327" spans="1:21" x14ac:dyDescent="0.25">
      <c r="A327" s="27" t="s">
        <v>41</v>
      </c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9"/>
    </row>
    <row r="328" spans="1:21" x14ac:dyDescent="0.25">
      <c r="A328" s="24">
        <v>250</v>
      </c>
      <c r="B328" s="24">
        <v>3</v>
      </c>
      <c r="C328" s="17">
        <v>0.5</v>
      </c>
      <c r="D328" s="24">
        <v>38</v>
      </c>
      <c r="E328" s="24">
        <v>4</v>
      </c>
      <c r="F328" s="25">
        <v>84</v>
      </c>
      <c r="G328" s="1">
        <v>175</v>
      </c>
      <c r="H328" s="2">
        <v>84.8</v>
      </c>
      <c r="I328" s="2">
        <v>-4</v>
      </c>
      <c r="J328" s="2">
        <v>-5.3</v>
      </c>
      <c r="K328" s="2">
        <f>I328</f>
        <v>-4</v>
      </c>
      <c r="L328" s="8">
        <f>10^((K328-H328)/10)</f>
        <v>1.3182567385564066E-9</v>
      </c>
      <c r="M328" s="26">
        <f>SUM(L328:L331)</f>
        <v>9.4963563584921122E-9</v>
      </c>
      <c r="N328" s="17">
        <f>10*LOG10(M328/E328)</f>
        <v>-86.245029878221558</v>
      </c>
      <c r="O328" s="9">
        <f>J328</f>
        <v>-5.3</v>
      </c>
      <c r="P328" s="8">
        <f>D328/B328*10^(O328/10)</f>
        <v>3.7381983537774204</v>
      </c>
      <c r="Q328" s="26">
        <f>SUM(P328:P331)</f>
        <v>35.70314927810162</v>
      </c>
      <c r="R328" s="17">
        <f>10*LOG10(Q328)</f>
        <v>15.527065257418446</v>
      </c>
      <c r="S328" s="18">
        <f>F328+N328-Kzt-H</f>
        <v>-2.2450298782215583</v>
      </c>
      <c r="T328" s="17">
        <v>0.2</v>
      </c>
      <c r="U328" s="21">
        <f>T328*10^((S328-R328)/10)</f>
        <v>3.3405692730174249E-3</v>
      </c>
    </row>
    <row r="329" spans="1:21" x14ac:dyDescent="0.25">
      <c r="A329" s="24"/>
      <c r="B329" s="24"/>
      <c r="C329" s="17"/>
      <c r="D329" s="24"/>
      <c r="E329" s="24"/>
      <c r="F329" s="25"/>
      <c r="G329" s="1">
        <v>225</v>
      </c>
      <c r="H329" s="2">
        <v>90</v>
      </c>
      <c r="I329" s="2">
        <v>5.3</v>
      </c>
      <c r="J329" s="2">
        <v>-6.2</v>
      </c>
      <c r="K329" s="2">
        <f t="shared" ref="K329:K361" si="43">I329</f>
        <v>5.3</v>
      </c>
      <c r="L329" s="8">
        <f t="shared" ref="L329:L330" si="44">10^((K329-H329)/10)</f>
        <v>3.3884415613920108E-9</v>
      </c>
      <c r="M329" s="26"/>
      <c r="N329" s="17"/>
      <c r="O329" s="9">
        <f t="shared" ref="O329:O361" si="45">J329</f>
        <v>-6.2</v>
      </c>
      <c r="P329" s="8">
        <f>D328/B328*10^(O329/10)</f>
        <v>3.0385216974246876</v>
      </c>
      <c r="Q329" s="26"/>
      <c r="R329" s="17"/>
      <c r="S329" s="19"/>
      <c r="T329" s="17"/>
      <c r="U329" s="22"/>
    </row>
    <row r="330" spans="1:21" x14ac:dyDescent="0.25">
      <c r="A330" s="24"/>
      <c r="B330" s="24"/>
      <c r="C330" s="17"/>
      <c r="D330" s="24"/>
      <c r="E330" s="24"/>
      <c r="F330" s="25"/>
      <c r="G330" s="1">
        <v>275</v>
      </c>
      <c r="H330" s="2">
        <v>92.2</v>
      </c>
      <c r="I330" s="2">
        <v>-4.4000000000000004</v>
      </c>
      <c r="J330" s="2">
        <v>-5.4</v>
      </c>
      <c r="K330" s="2">
        <f t="shared" si="43"/>
        <v>-4.4000000000000004</v>
      </c>
      <c r="L330" s="8">
        <f t="shared" si="44"/>
        <v>2.1877616239495448E-10</v>
      </c>
      <c r="M330" s="26"/>
      <c r="N330" s="17"/>
      <c r="O330" s="9">
        <f t="shared" si="45"/>
        <v>-5.4</v>
      </c>
      <c r="P330" s="8">
        <f>D328/B328*10^(O330/10)</f>
        <v>3.6531065706270338</v>
      </c>
      <c r="Q330" s="26"/>
      <c r="R330" s="17"/>
      <c r="S330" s="19"/>
      <c r="T330" s="17"/>
      <c r="U330" s="22"/>
    </row>
    <row r="331" spans="1:21" x14ac:dyDescent="0.25">
      <c r="A331" s="24"/>
      <c r="B331" s="24"/>
      <c r="C331" s="17"/>
      <c r="D331" s="24"/>
      <c r="E331" s="24"/>
      <c r="F331" s="25"/>
      <c r="G331" s="1">
        <v>325</v>
      </c>
      <c r="H331" s="2">
        <v>93.3</v>
      </c>
      <c r="I331" s="2">
        <v>9.9</v>
      </c>
      <c r="J331" s="2">
        <v>3</v>
      </c>
      <c r="K331" s="2">
        <f t="shared" si="43"/>
        <v>9.9</v>
      </c>
      <c r="L331" s="8">
        <f>10^((K331-H331)/10)</f>
        <v>4.570881896148741E-9</v>
      </c>
      <c r="M331" s="26"/>
      <c r="N331" s="17"/>
      <c r="O331" s="9">
        <f t="shared" si="45"/>
        <v>3</v>
      </c>
      <c r="P331" s="8">
        <f>D328/B328*10^(O331/10)</f>
        <v>25.273322656272477</v>
      </c>
      <c r="Q331" s="26"/>
      <c r="R331" s="17"/>
      <c r="S331" s="20"/>
      <c r="T331" s="17"/>
      <c r="U331" s="23"/>
    </row>
    <row r="332" spans="1:21" x14ac:dyDescent="0.25">
      <c r="A332" s="24">
        <v>500</v>
      </c>
      <c r="B332" s="24">
        <v>3</v>
      </c>
      <c r="C332" s="17">
        <v>0.5</v>
      </c>
      <c r="D332" s="24">
        <v>59</v>
      </c>
      <c r="E332" s="24">
        <v>6</v>
      </c>
      <c r="F332" s="25">
        <v>84</v>
      </c>
      <c r="G332" s="1">
        <v>375</v>
      </c>
      <c r="H332" s="2">
        <v>91.9</v>
      </c>
      <c r="I332" s="2">
        <v>9.4</v>
      </c>
      <c r="J332" s="2">
        <v>-2.5</v>
      </c>
      <c r="K332" s="2">
        <f t="shared" si="43"/>
        <v>9.4</v>
      </c>
      <c r="L332" s="8">
        <f t="shared" ref="L332:L333" si="46">10^((K332-H332)/10)</f>
        <v>5.6234132519034744E-9</v>
      </c>
      <c r="M332" s="26">
        <f>SUM(L332:L337)</f>
        <v>1.9175214983357176E-8</v>
      </c>
      <c r="N332" s="17">
        <f>10*LOG10(M332/E332)</f>
        <v>-84.954110086329081</v>
      </c>
      <c r="O332" s="9">
        <f t="shared" si="45"/>
        <v>-2.5</v>
      </c>
      <c r="P332" s="8">
        <f>D332/B332*10^(O332/10)</f>
        <v>11.059379395410199</v>
      </c>
      <c r="Q332" s="26">
        <f>SUM(P332:P337)</f>
        <v>176.32330628045722</v>
      </c>
      <c r="R332" s="17">
        <f>10*LOG10(Q332)</f>
        <v>22.463097208076693</v>
      </c>
      <c r="S332" s="18">
        <f>F332+N332-Kzt-H</f>
        <v>-0.95411008632908079</v>
      </c>
      <c r="T332" s="17">
        <v>0.5</v>
      </c>
      <c r="U332" s="21">
        <f>T332*10^((S332-R332)/10)</f>
        <v>2.2764036584289262E-3</v>
      </c>
    </row>
    <row r="333" spans="1:21" x14ac:dyDescent="0.25">
      <c r="A333" s="24"/>
      <c r="B333" s="24"/>
      <c r="C333" s="17"/>
      <c r="D333" s="24"/>
      <c r="E333" s="24"/>
      <c r="F333" s="25"/>
      <c r="G333" s="1">
        <v>425</v>
      </c>
      <c r="H333" s="2">
        <v>88.1</v>
      </c>
      <c r="I333" s="2">
        <v>7.4</v>
      </c>
      <c r="J333" s="2">
        <v>5.4</v>
      </c>
      <c r="K333" s="2">
        <f t="shared" si="43"/>
        <v>7.4</v>
      </c>
      <c r="L333" s="8">
        <f t="shared" si="46"/>
        <v>8.5113803820237851E-9</v>
      </c>
      <c r="M333" s="26"/>
      <c r="N333" s="17"/>
      <c r="O333" s="9">
        <f t="shared" si="45"/>
        <v>5.4</v>
      </c>
      <c r="P333" s="8">
        <f>D332/B332*10^(O333/10)</f>
        <v>68.191580588997908</v>
      </c>
      <c r="Q333" s="26"/>
      <c r="R333" s="17"/>
      <c r="S333" s="19"/>
      <c r="T333" s="17"/>
      <c r="U333" s="22"/>
    </row>
    <row r="334" spans="1:21" x14ac:dyDescent="0.25">
      <c r="A334" s="24"/>
      <c r="B334" s="24"/>
      <c r="C334" s="17"/>
      <c r="D334" s="24"/>
      <c r="E334" s="24"/>
      <c r="F334" s="25"/>
      <c r="G334" s="1">
        <v>475</v>
      </c>
      <c r="H334" s="2">
        <v>90</v>
      </c>
      <c r="I334" s="2">
        <v>0.7</v>
      </c>
      <c r="J334" s="2">
        <v>-1</v>
      </c>
      <c r="K334" s="2">
        <f t="shared" si="43"/>
        <v>0.7</v>
      </c>
      <c r="L334" s="8">
        <f>10^((K334-H334)/10)</f>
        <v>1.1748975549395295E-9</v>
      </c>
      <c r="M334" s="26"/>
      <c r="N334" s="17"/>
      <c r="O334" s="9">
        <f t="shared" si="45"/>
        <v>-1</v>
      </c>
      <c r="P334" s="8">
        <f>D332/B332*10^(O334/10)</f>
        <v>15.621788616244203</v>
      </c>
      <c r="Q334" s="26"/>
      <c r="R334" s="17"/>
      <c r="S334" s="19"/>
      <c r="T334" s="17"/>
      <c r="U334" s="22"/>
    </row>
    <row r="335" spans="1:21" x14ac:dyDescent="0.25">
      <c r="A335" s="24"/>
      <c r="B335" s="24"/>
      <c r="C335" s="17"/>
      <c r="D335" s="24"/>
      <c r="E335" s="24"/>
      <c r="F335" s="25"/>
      <c r="G335" s="1">
        <v>575</v>
      </c>
      <c r="H335" s="2">
        <v>97</v>
      </c>
      <c r="I335" s="2">
        <v>4.5999999999999996</v>
      </c>
      <c r="J335" s="2">
        <v>2.7</v>
      </c>
      <c r="K335" s="2">
        <f t="shared" si="43"/>
        <v>4.5999999999999996</v>
      </c>
      <c r="L335" s="8">
        <f t="shared" ref="L335:L361" si="47">10^((K335-H335)/10)</f>
        <v>5.7543993733715462E-10</v>
      </c>
      <c r="M335" s="26"/>
      <c r="N335" s="17"/>
      <c r="O335" s="9">
        <f t="shared" si="45"/>
        <v>2.7</v>
      </c>
      <c r="P335" s="8">
        <f>D332/B332*10^(O335/10)</f>
        <v>36.621047021036397</v>
      </c>
      <c r="Q335" s="26"/>
      <c r="R335" s="17"/>
      <c r="S335" s="19"/>
      <c r="T335" s="17"/>
      <c r="U335" s="22"/>
    </row>
    <row r="336" spans="1:21" x14ac:dyDescent="0.25">
      <c r="A336" s="24"/>
      <c r="B336" s="24"/>
      <c r="C336" s="17"/>
      <c r="D336" s="24"/>
      <c r="E336" s="24"/>
      <c r="F336" s="25"/>
      <c r="G336" s="1">
        <v>625</v>
      </c>
      <c r="H336" s="2">
        <v>92</v>
      </c>
      <c r="I336" s="2">
        <v>5.8</v>
      </c>
      <c r="J336" s="2">
        <v>-3</v>
      </c>
      <c r="K336" s="2">
        <f t="shared" si="43"/>
        <v>5.8</v>
      </c>
      <c r="L336" s="8">
        <f t="shared" si="47"/>
        <v>2.3988329190194835E-9</v>
      </c>
      <c r="M336" s="26"/>
      <c r="N336" s="17"/>
      <c r="O336" s="9">
        <f t="shared" si="45"/>
        <v>-3</v>
      </c>
      <c r="P336" s="8">
        <f>D332/B332*10^(O336/10)</f>
        <v>9.8566822613363545</v>
      </c>
      <c r="Q336" s="26"/>
      <c r="R336" s="17"/>
      <c r="S336" s="19"/>
      <c r="T336" s="17"/>
      <c r="U336" s="22"/>
    </row>
    <row r="337" spans="1:21" x14ac:dyDescent="0.25">
      <c r="A337" s="24"/>
      <c r="B337" s="24"/>
      <c r="C337" s="17"/>
      <c r="D337" s="24"/>
      <c r="E337" s="24"/>
      <c r="F337" s="25"/>
      <c r="G337" s="1">
        <v>675</v>
      </c>
      <c r="H337" s="2">
        <v>94.5</v>
      </c>
      <c r="I337" s="2">
        <v>4</v>
      </c>
      <c r="J337" s="2">
        <v>2.5</v>
      </c>
      <c r="K337" s="2">
        <f t="shared" si="43"/>
        <v>4</v>
      </c>
      <c r="L337" s="8">
        <f t="shared" si="47"/>
        <v>8.9125093813374338E-10</v>
      </c>
      <c r="M337" s="26"/>
      <c r="N337" s="17"/>
      <c r="O337" s="9">
        <f t="shared" si="45"/>
        <v>2.5</v>
      </c>
      <c r="P337" s="8">
        <f>D332/B332*10^(O337/10)</f>
        <v>34.972828397432153</v>
      </c>
      <c r="Q337" s="26"/>
      <c r="R337" s="17"/>
      <c r="S337" s="20"/>
      <c r="T337" s="17"/>
      <c r="U337" s="23"/>
    </row>
    <row r="338" spans="1:21" x14ac:dyDescent="0.25">
      <c r="A338" s="24">
        <v>1000</v>
      </c>
      <c r="B338" s="24">
        <v>3</v>
      </c>
      <c r="C338" s="17">
        <v>0.5</v>
      </c>
      <c r="D338" s="24">
        <v>117</v>
      </c>
      <c r="E338" s="24">
        <v>6</v>
      </c>
      <c r="F338" s="25">
        <v>76</v>
      </c>
      <c r="G338" s="1">
        <v>875</v>
      </c>
      <c r="H338" s="2">
        <v>91.1</v>
      </c>
      <c r="I338" s="2">
        <v>5.2</v>
      </c>
      <c r="J338" s="2">
        <v>2.9</v>
      </c>
      <c r="K338" s="2">
        <f t="shared" si="43"/>
        <v>5.2</v>
      </c>
      <c r="L338" s="8">
        <f t="shared" si="47"/>
        <v>2.5703957827688555E-9</v>
      </c>
      <c r="M338" s="26">
        <f>SUM(L338:L343)</f>
        <v>1.7739421506689791E-8</v>
      </c>
      <c r="N338" s="17">
        <f>10*LOG10(M338/E338)</f>
        <v>-85.292117972638607</v>
      </c>
      <c r="O338" s="9">
        <f t="shared" si="45"/>
        <v>2.9</v>
      </c>
      <c r="P338" s="8">
        <f>D338/B338*10^(O338/10)</f>
        <v>76.043939390563764</v>
      </c>
      <c r="Q338" s="26">
        <f>SUM(P338:P343)</f>
        <v>491.45547148029465</v>
      </c>
      <c r="R338" s="17">
        <f>10*LOG10(Q338)</f>
        <v>26.91484174525317</v>
      </c>
      <c r="S338" s="18">
        <f>F338+N338-Kzt-H</f>
        <v>-9.2921179726386072</v>
      </c>
      <c r="T338" s="17">
        <v>0.8</v>
      </c>
      <c r="U338" s="21">
        <f>T338*10^((S338-R338)/10)</f>
        <v>1.9159934285297079E-4</v>
      </c>
    </row>
    <row r="339" spans="1:21" x14ac:dyDescent="0.25">
      <c r="A339" s="24"/>
      <c r="B339" s="24"/>
      <c r="C339" s="17"/>
      <c r="D339" s="24"/>
      <c r="E339" s="24"/>
      <c r="F339" s="25"/>
      <c r="G339" s="1">
        <v>975</v>
      </c>
      <c r="H339" s="2">
        <v>96.5</v>
      </c>
      <c r="I339" s="2">
        <v>3.1</v>
      </c>
      <c r="J339" s="2">
        <v>-1.6</v>
      </c>
      <c r="K339" s="2">
        <f t="shared" si="43"/>
        <v>3.1</v>
      </c>
      <c r="L339" s="8">
        <f t="shared" si="47"/>
        <v>4.5708818961487362E-10</v>
      </c>
      <c r="M339" s="26"/>
      <c r="N339" s="17"/>
      <c r="O339" s="9">
        <f t="shared" si="45"/>
        <v>-1.6</v>
      </c>
      <c r="P339" s="8">
        <f>D338/B338*10^(O339/10)</f>
        <v>26.981407865838523</v>
      </c>
      <c r="Q339" s="26"/>
      <c r="R339" s="17"/>
      <c r="S339" s="19"/>
      <c r="T339" s="17"/>
      <c r="U339" s="22"/>
    </row>
    <row r="340" spans="1:21" x14ac:dyDescent="0.25">
      <c r="A340" s="24"/>
      <c r="B340" s="24"/>
      <c r="C340" s="17"/>
      <c r="D340" s="24"/>
      <c r="E340" s="24"/>
      <c r="F340" s="25"/>
      <c r="G340" s="1">
        <v>1075</v>
      </c>
      <c r="H340" s="2">
        <v>94.6</v>
      </c>
      <c r="I340" s="2">
        <v>15.7</v>
      </c>
      <c r="J340" s="2">
        <v>7.6</v>
      </c>
      <c r="K340" s="2">
        <f t="shared" si="43"/>
        <v>15.7</v>
      </c>
      <c r="L340" s="8">
        <f t="shared" si="47"/>
        <v>1.288249551693135E-8</v>
      </c>
      <c r="M340" s="26"/>
      <c r="N340" s="17"/>
      <c r="O340" s="9">
        <f t="shared" si="45"/>
        <v>7.6</v>
      </c>
      <c r="P340" s="8">
        <f>D338/B338*10^(O340/10)</f>
        <v>224.42157556149127</v>
      </c>
      <c r="Q340" s="26"/>
      <c r="R340" s="17"/>
      <c r="S340" s="19"/>
      <c r="T340" s="17"/>
      <c r="U340" s="22"/>
    </row>
    <row r="341" spans="1:21" x14ac:dyDescent="0.25">
      <c r="A341" s="24"/>
      <c r="B341" s="24"/>
      <c r="C341" s="17"/>
      <c r="D341" s="24"/>
      <c r="E341" s="24"/>
      <c r="F341" s="25"/>
      <c r="G341" s="1">
        <v>1175</v>
      </c>
      <c r="H341" s="2">
        <v>97.8</v>
      </c>
      <c r="I341" s="2">
        <v>8</v>
      </c>
      <c r="J341" s="2">
        <v>-1.3</v>
      </c>
      <c r="K341" s="2">
        <f t="shared" si="43"/>
        <v>8</v>
      </c>
      <c r="L341" s="8">
        <f t="shared" si="47"/>
        <v>1.0471285480508964E-9</v>
      </c>
      <c r="M341" s="26"/>
      <c r="N341" s="17"/>
      <c r="O341" s="9">
        <f t="shared" si="45"/>
        <v>-1.3</v>
      </c>
      <c r="P341" s="8">
        <f>D338/B338*10^(O341/10)</f>
        <v>28.91109941073578</v>
      </c>
      <c r="Q341" s="26"/>
      <c r="R341" s="17"/>
      <c r="S341" s="19"/>
      <c r="T341" s="17"/>
      <c r="U341" s="22"/>
    </row>
    <row r="342" spans="1:21" x14ac:dyDescent="0.25">
      <c r="A342" s="24"/>
      <c r="B342" s="24"/>
      <c r="C342" s="17"/>
      <c r="D342" s="24"/>
      <c r="E342" s="24"/>
      <c r="F342" s="25"/>
      <c r="G342" s="1">
        <v>1275</v>
      </c>
      <c r="H342" s="2">
        <v>100.1</v>
      </c>
      <c r="I342" s="2">
        <v>1.9</v>
      </c>
      <c r="J342" s="2">
        <v>-1.9</v>
      </c>
      <c r="K342" s="2">
        <f t="shared" si="43"/>
        <v>1.9</v>
      </c>
      <c r="L342" s="8">
        <f t="shared" si="47"/>
        <v>1.5135612484362103E-10</v>
      </c>
      <c r="M342" s="26"/>
      <c r="N342" s="17"/>
      <c r="O342" s="9">
        <f t="shared" si="45"/>
        <v>-1.9</v>
      </c>
      <c r="P342" s="8">
        <f>D338/B338*10^(O342/10)</f>
        <v>25.18051493235156</v>
      </c>
      <c r="Q342" s="26"/>
      <c r="R342" s="17"/>
      <c r="S342" s="19"/>
      <c r="T342" s="17"/>
      <c r="U342" s="22"/>
    </row>
    <row r="343" spans="1:21" x14ac:dyDescent="0.25">
      <c r="A343" s="24"/>
      <c r="B343" s="24"/>
      <c r="C343" s="17"/>
      <c r="D343" s="24"/>
      <c r="E343" s="24"/>
      <c r="F343" s="25"/>
      <c r="G343" s="1">
        <v>1375</v>
      </c>
      <c r="H343" s="2">
        <v>103</v>
      </c>
      <c r="I343" s="2">
        <v>11</v>
      </c>
      <c r="J343" s="2">
        <v>4.5</v>
      </c>
      <c r="K343" s="2">
        <f t="shared" si="43"/>
        <v>11</v>
      </c>
      <c r="L343" s="8">
        <f t="shared" si="47"/>
        <v>6.309573444801927E-10</v>
      </c>
      <c r="M343" s="26"/>
      <c r="N343" s="17"/>
      <c r="O343" s="9">
        <f t="shared" si="45"/>
        <v>4.5</v>
      </c>
      <c r="P343" s="8">
        <f>D338/B338*10^(O343/10)</f>
        <v>109.91693431931371</v>
      </c>
      <c r="Q343" s="26"/>
      <c r="R343" s="17"/>
      <c r="S343" s="20"/>
      <c r="T343" s="17"/>
      <c r="U343" s="23"/>
    </row>
    <row r="344" spans="1:21" x14ac:dyDescent="0.25">
      <c r="A344" s="24">
        <v>2000</v>
      </c>
      <c r="B344" s="24">
        <v>3</v>
      </c>
      <c r="C344" s="17">
        <v>0.5</v>
      </c>
      <c r="D344" s="24">
        <v>234</v>
      </c>
      <c r="E344" s="24">
        <v>6</v>
      </c>
      <c r="F344" s="25">
        <v>68</v>
      </c>
      <c r="G344" s="1">
        <v>1425</v>
      </c>
      <c r="H344" s="2">
        <v>102.8</v>
      </c>
      <c r="I344" s="2">
        <v>8.8000000000000007</v>
      </c>
      <c r="J344" s="2">
        <v>0.7</v>
      </c>
      <c r="K344" s="2">
        <f t="shared" si="43"/>
        <v>8.8000000000000007</v>
      </c>
      <c r="L344" s="8">
        <f t="shared" si="47"/>
        <v>3.9810717055349621E-10</v>
      </c>
      <c r="M344" s="26">
        <f>SUM(L344:L349)</f>
        <v>3.2549177116447309E-9</v>
      </c>
      <c r="N344" s="17">
        <f>10*LOG10(M344/E344)</f>
        <v>-92.65611236843597</v>
      </c>
      <c r="O344" s="9">
        <f t="shared" si="45"/>
        <v>0.7</v>
      </c>
      <c r="P344" s="8">
        <f>D344/B344*10^(O344/10)</f>
        <v>91.642009285283308</v>
      </c>
      <c r="Q344" s="26">
        <f>SUM(P344:P349)</f>
        <v>1014.2140334212928</v>
      </c>
      <c r="R344" s="17">
        <f>10*LOG10(Q344)</f>
        <v>30.061296154755741</v>
      </c>
      <c r="S344" s="18">
        <f>F344+N344-Kzt-H</f>
        <v>-24.65611236843597</v>
      </c>
      <c r="T344" s="17">
        <v>1</v>
      </c>
      <c r="U344" s="21">
        <f>T344*10^((S344-R344)/10)</f>
        <v>3.374886312890368E-6</v>
      </c>
    </row>
    <row r="345" spans="1:21" x14ac:dyDescent="0.25">
      <c r="A345" s="24"/>
      <c r="B345" s="24"/>
      <c r="C345" s="17"/>
      <c r="D345" s="24"/>
      <c r="E345" s="24"/>
      <c r="F345" s="25"/>
      <c r="G345" s="1">
        <v>1625</v>
      </c>
      <c r="H345" s="2">
        <v>104.1</v>
      </c>
      <c r="I345" s="2">
        <v>7.5</v>
      </c>
      <c r="J345" s="2">
        <v>6.3</v>
      </c>
      <c r="K345" s="2">
        <f t="shared" si="43"/>
        <v>7.5</v>
      </c>
      <c r="L345" s="8">
        <f t="shared" si="47"/>
        <v>2.1877616239495448E-10</v>
      </c>
      <c r="M345" s="26"/>
      <c r="N345" s="17"/>
      <c r="O345" s="9">
        <f t="shared" si="45"/>
        <v>6.3</v>
      </c>
      <c r="P345" s="8">
        <f>D344/B344*10^(O345/10)</f>
        <v>332.73202466524231</v>
      </c>
      <c r="Q345" s="26"/>
      <c r="R345" s="17"/>
      <c r="S345" s="19"/>
      <c r="T345" s="17"/>
      <c r="U345" s="22"/>
    </row>
    <row r="346" spans="1:21" x14ac:dyDescent="0.25">
      <c r="A346" s="24"/>
      <c r="B346" s="24"/>
      <c r="C346" s="17"/>
      <c r="D346" s="24"/>
      <c r="E346" s="24"/>
      <c r="F346" s="25"/>
      <c r="G346" s="1">
        <v>1825</v>
      </c>
      <c r="H346" s="2">
        <v>107.6</v>
      </c>
      <c r="I346" s="2">
        <v>11.4</v>
      </c>
      <c r="J346" s="2">
        <v>1.6</v>
      </c>
      <c r="K346" s="2">
        <f t="shared" si="43"/>
        <v>11.4</v>
      </c>
      <c r="L346" s="8">
        <f t="shared" si="47"/>
        <v>2.3988329190194892E-10</v>
      </c>
      <c r="M346" s="26"/>
      <c r="N346" s="17"/>
      <c r="O346" s="9">
        <f t="shared" si="45"/>
        <v>1.6</v>
      </c>
      <c r="P346" s="8">
        <f>D344/B344*10^(O346/10)</f>
        <v>112.74430211818235</v>
      </c>
      <c r="Q346" s="26"/>
      <c r="R346" s="17"/>
      <c r="S346" s="19"/>
      <c r="T346" s="17"/>
      <c r="U346" s="22"/>
    </row>
    <row r="347" spans="1:21" x14ac:dyDescent="0.25">
      <c r="A347" s="24"/>
      <c r="B347" s="24"/>
      <c r="C347" s="17"/>
      <c r="D347" s="24"/>
      <c r="E347" s="24"/>
      <c r="F347" s="25"/>
      <c r="G347" s="1">
        <v>2125</v>
      </c>
      <c r="H347" s="2">
        <v>104.2</v>
      </c>
      <c r="I347" s="2">
        <v>0.20000000000000007</v>
      </c>
      <c r="J347" s="2">
        <v>-0.6</v>
      </c>
      <c r="K347" s="2">
        <f t="shared" si="43"/>
        <v>0.20000000000000007</v>
      </c>
      <c r="L347" s="8">
        <f t="shared" si="47"/>
        <v>3.9810717055349579E-11</v>
      </c>
      <c r="M347" s="26"/>
      <c r="N347" s="17"/>
      <c r="O347" s="9">
        <f t="shared" si="45"/>
        <v>-0.6</v>
      </c>
      <c r="P347" s="8">
        <f>D344/B344*10^(O347/10)</f>
        <v>67.935160016574287</v>
      </c>
      <c r="Q347" s="26"/>
      <c r="R347" s="17"/>
      <c r="S347" s="19"/>
      <c r="T347" s="17"/>
      <c r="U347" s="22"/>
    </row>
    <row r="348" spans="1:21" x14ac:dyDescent="0.25">
      <c r="A348" s="24"/>
      <c r="B348" s="24"/>
      <c r="C348" s="17"/>
      <c r="D348" s="24"/>
      <c r="E348" s="24"/>
      <c r="F348" s="25"/>
      <c r="G348" s="1">
        <v>2425</v>
      </c>
      <c r="H348" s="2">
        <v>93.7</v>
      </c>
      <c r="I348" s="2">
        <v>6.7</v>
      </c>
      <c r="J348" s="2">
        <v>5.4</v>
      </c>
      <c r="K348" s="2">
        <f t="shared" si="43"/>
        <v>6.7</v>
      </c>
      <c r="L348" s="8">
        <f t="shared" si="47"/>
        <v>1.9952623149688824E-9</v>
      </c>
      <c r="M348" s="26"/>
      <c r="N348" s="17"/>
      <c r="O348" s="9">
        <f t="shared" si="45"/>
        <v>5.4</v>
      </c>
      <c r="P348" s="8">
        <f>D344/B344*10^(O348/10)</f>
        <v>270.45474335297473</v>
      </c>
      <c r="Q348" s="26"/>
      <c r="R348" s="17"/>
      <c r="S348" s="19"/>
      <c r="T348" s="17"/>
      <c r="U348" s="22"/>
    </row>
    <row r="349" spans="1:21" x14ac:dyDescent="0.25">
      <c r="A349" s="24"/>
      <c r="B349" s="24"/>
      <c r="C349" s="17"/>
      <c r="D349" s="24"/>
      <c r="E349" s="24"/>
      <c r="F349" s="25"/>
      <c r="G349" s="1">
        <v>2775</v>
      </c>
      <c r="H349" s="2">
        <v>100.2</v>
      </c>
      <c r="I349" s="2">
        <v>5.8</v>
      </c>
      <c r="J349" s="2">
        <v>2.5</v>
      </c>
      <c r="K349" s="2">
        <f t="shared" si="43"/>
        <v>5.8</v>
      </c>
      <c r="L349" s="8">
        <f t="shared" si="47"/>
        <v>3.6307805477009923E-10</v>
      </c>
      <c r="M349" s="26"/>
      <c r="N349" s="17"/>
      <c r="O349" s="9">
        <f t="shared" si="45"/>
        <v>2.5</v>
      </c>
      <c r="P349" s="8">
        <f>D344/B344*10^(O349/10)</f>
        <v>138.70579398303599</v>
      </c>
      <c r="Q349" s="26"/>
      <c r="R349" s="17"/>
      <c r="S349" s="20"/>
      <c r="T349" s="17"/>
      <c r="U349" s="23"/>
    </row>
    <row r="350" spans="1:21" x14ac:dyDescent="0.25">
      <c r="A350" s="24">
        <v>4000</v>
      </c>
      <c r="B350" s="24">
        <v>3</v>
      </c>
      <c r="C350" s="17">
        <v>0.5</v>
      </c>
      <c r="D350" s="24">
        <v>470</v>
      </c>
      <c r="E350" s="24">
        <v>6</v>
      </c>
      <c r="F350" s="25">
        <v>62</v>
      </c>
      <c r="G350" s="1">
        <v>2825</v>
      </c>
      <c r="H350" s="2">
        <v>99.4</v>
      </c>
      <c r="I350" s="2">
        <v>4.4000000000000004</v>
      </c>
      <c r="J350" s="2">
        <v>3</v>
      </c>
      <c r="K350" s="2">
        <f t="shared" si="43"/>
        <v>4.4000000000000004</v>
      </c>
      <c r="L350" s="8">
        <f t="shared" si="47"/>
        <v>3.1622776601683744E-10</v>
      </c>
      <c r="M350" s="26">
        <f>SUM(L350:L355)</f>
        <v>2.6596264824296725E-9</v>
      </c>
      <c r="N350" s="17">
        <f>10*LOG10(M350/E350)</f>
        <v>-93.533306017262575</v>
      </c>
      <c r="O350" s="9">
        <f t="shared" si="45"/>
        <v>3</v>
      </c>
      <c r="P350" s="8">
        <f>D350/B350*10^(O350/10)</f>
        <v>312.59109601179114</v>
      </c>
      <c r="Q350" s="26">
        <f>SUM(P350:P355)</f>
        <v>1659.0658596969754</v>
      </c>
      <c r="R350" s="17">
        <f>10*LOG10(Q350)</f>
        <v>32.19863626491663</v>
      </c>
      <c r="S350" s="18">
        <f>F350+N350-Kzt-H</f>
        <v>-31.533306017262575</v>
      </c>
      <c r="T350" s="17">
        <v>0.9</v>
      </c>
      <c r="U350" s="21">
        <f>T350*10^((S350-R350)/10)</f>
        <v>3.81108189453852E-7</v>
      </c>
    </row>
    <row r="351" spans="1:21" x14ac:dyDescent="0.25">
      <c r="A351" s="24"/>
      <c r="B351" s="24"/>
      <c r="C351" s="17"/>
      <c r="D351" s="24"/>
      <c r="E351" s="24"/>
      <c r="F351" s="25"/>
      <c r="G351" s="1">
        <v>3425</v>
      </c>
      <c r="H351" s="2">
        <v>103.5</v>
      </c>
      <c r="I351" s="2">
        <v>4.8</v>
      </c>
      <c r="J351" s="2">
        <v>2.9</v>
      </c>
      <c r="K351" s="2">
        <f t="shared" si="43"/>
        <v>4.8</v>
      </c>
      <c r="L351" s="8">
        <f t="shared" si="47"/>
        <v>1.3489628825916465E-10</v>
      </c>
      <c r="M351" s="26"/>
      <c r="N351" s="17"/>
      <c r="O351" s="9">
        <f t="shared" si="45"/>
        <v>2.9</v>
      </c>
      <c r="P351" s="8">
        <f>D350/B350*10^(O351/10)</f>
        <v>305.47565396209376</v>
      </c>
      <c r="Q351" s="26"/>
      <c r="R351" s="17"/>
      <c r="S351" s="19"/>
      <c r="T351" s="17"/>
      <c r="U351" s="22"/>
    </row>
    <row r="352" spans="1:21" x14ac:dyDescent="0.25">
      <c r="A352" s="24"/>
      <c r="B352" s="24"/>
      <c r="C352" s="17"/>
      <c r="D352" s="24"/>
      <c r="E352" s="24"/>
      <c r="F352" s="25"/>
      <c r="G352" s="1">
        <v>4025</v>
      </c>
      <c r="H352" s="2">
        <v>103.6</v>
      </c>
      <c r="I352" s="2">
        <v>-0.89999999999999991</v>
      </c>
      <c r="J352" s="2">
        <v>-2.5</v>
      </c>
      <c r="K352" s="2">
        <f t="shared" si="43"/>
        <v>-0.89999999999999991</v>
      </c>
      <c r="L352" s="8">
        <f t="shared" si="47"/>
        <v>3.5481338923357562E-11</v>
      </c>
      <c r="M352" s="26"/>
      <c r="N352" s="17"/>
      <c r="O352" s="9">
        <f t="shared" si="45"/>
        <v>-2.5</v>
      </c>
      <c r="P352" s="8">
        <f>D350/B350*10^(O352/10)</f>
        <v>88.100140946488011</v>
      </c>
      <c r="Q352" s="26"/>
      <c r="R352" s="17"/>
      <c r="S352" s="19"/>
      <c r="T352" s="17"/>
      <c r="U352" s="22"/>
    </row>
    <row r="353" spans="1:21" x14ac:dyDescent="0.25">
      <c r="A353" s="24"/>
      <c r="B353" s="24"/>
      <c r="C353" s="17"/>
      <c r="D353" s="24"/>
      <c r="E353" s="24"/>
      <c r="F353" s="25"/>
      <c r="G353" s="1">
        <v>4625</v>
      </c>
      <c r="H353" s="2">
        <v>105.6</v>
      </c>
      <c r="I353" s="2">
        <v>15.8</v>
      </c>
      <c r="J353" s="2">
        <v>2.2999999999999998</v>
      </c>
      <c r="K353" s="2">
        <f t="shared" si="43"/>
        <v>15.8</v>
      </c>
      <c r="L353" s="8">
        <f t="shared" si="47"/>
        <v>1.0471285480508964E-9</v>
      </c>
      <c r="M353" s="26"/>
      <c r="N353" s="17"/>
      <c r="O353" s="9">
        <f t="shared" si="45"/>
        <v>2.2999999999999998</v>
      </c>
      <c r="P353" s="8">
        <f>D350/B350*10^(O353/10)</f>
        <v>266.05817221900662</v>
      </c>
      <c r="Q353" s="26"/>
      <c r="R353" s="17"/>
      <c r="S353" s="19"/>
      <c r="T353" s="17"/>
      <c r="U353" s="22"/>
    </row>
    <row r="354" spans="1:21" x14ac:dyDescent="0.25">
      <c r="A354" s="24"/>
      <c r="B354" s="24"/>
      <c r="C354" s="17"/>
      <c r="D354" s="24"/>
      <c r="E354" s="24"/>
      <c r="F354" s="25"/>
      <c r="G354" s="1">
        <v>5225</v>
      </c>
      <c r="H354" s="2">
        <v>103.5</v>
      </c>
      <c r="I354" s="2">
        <v>4.5</v>
      </c>
      <c r="J354" s="2">
        <v>0.6</v>
      </c>
      <c r="K354" s="2">
        <f t="shared" si="43"/>
        <v>4.5</v>
      </c>
      <c r="L354" s="8">
        <f t="shared" si="47"/>
        <v>1.2589254117941656E-10</v>
      </c>
      <c r="M354" s="26"/>
      <c r="N354" s="17"/>
      <c r="O354" s="9">
        <f t="shared" si="45"/>
        <v>0.6</v>
      </c>
      <c r="P354" s="8">
        <f>D350/B350*10^(O354/10)</f>
        <v>179.87740070117829</v>
      </c>
      <c r="Q354" s="26"/>
      <c r="R354" s="17"/>
      <c r="S354" s="19"/>
      <c r="T354" s="17"/>
      <c r="U354" s="22"/>
    </row>
    <row r="355" spans="1:21" x14ac:dyDescent="0.25">
      <c r="A355" s="24"/>
      <c r="B355" s="24"/>
      <c r="C355" s="17"/>
      <c r="D355" s="24"/>
      <c r="E355" s="24"/>
      <c r="F355" s="25"/>
      <c r="G355" s="1">
        <v>5625</v>
      </c>
      <c r="H355" s="2">
        <v>99.5</v>
      </c>
      <c r="I355" s="2">
        <v>9.5</v>
      </c>
      <c r="J355" s="2">
        <v>5.0999999999999996</v>
      </c>
      <c r="K355" s="2">
        <f t="shared" si="43"/>
        <v>9.5</v>
      </c>
      <c r="L355" s="8">
        <f t="shared" si="47"/>
        <v>1.0000000000000001E-9</v>
      </c>
      <c r="M355" s="26"/>
      <c r="N355" s="17"/>
      <c r="O355" s="9">
        <f t="shared" si="45"/>
        <v>5.0999999999999996</v>
      </c>
      <c r="P355" s="8">
        <f>D350/B350*10^(O355/10)</f>
        <v>506.96339585641772</v>
      </c>
      <c r="Q355" s="26"/>
      <c r="R355" s="17"/>
      <c r="S355" s="20"/>
      <c r="T355" s="17"/>
      <c r="U355" s="23"/>
    </row>
    <row r="356" spans="1:21" x14ac:dyDescent="0.25">
      <c r="A356" s="24">
        <v>8000</v>
      </c>
      <c r="B356" s="24">
        <v>3</v>
      </c>
      <c r="C356" s="17">
        <v>0.5</v>
      </c>
      <c r="D356" s="24">
        <v>943</v>
      </c>
      <c r="E356" s="24">
        <v>6</v>
      </c>
      <c r="F356" s="25">
        <v>54</v>
      </c>
      <c r="G356" s="1">
        <v>6025</v>
      </c>
      <c r="H356" s="2">
        <v>95</v>
      </c>
      <c r="I356" s="2">
        <v>4.9000000000000004</v>
      </c>
      <c r="J356" s="2">
        <v>3.8</v>
      </c>
      <c r="K356" s="2">
        <f t="shared" si="43"/>
        <v>4.9000000000000004</v>
      </c>
      <c r="L356" s="8">
        <f t="shared" si="47"/>
        <v>9.7723722095580808E-10</v>
      </c>
      <c r="M356" s="26">
        <f>SUM(L356:L361)</f>
        <v>1.210084842537584E-6</v>
      </c>
      <c r="N356" s="17">
        <f>10*LOG10(M356/E356)</f>
        <v>-66.953354293612762</v>
      </c>
      <c r="O356" s="9">
        <f t="shared" si="45"/>
        <v>3.8</v>
      </c>
      <c r="P356" s="8">
        <f>D356/B356*10^(O356/10)</f>
        <v>754.03314754512655</v>
      </c>
      <c r="Q356" s="26">
        <f>SUM(P356:P361)</f>
        <v>16280.371366238694</v>
      </c>
      <c r="R356" s="17">
        <f>10*LOG10(Q356)</f>
        <v>42.116643072158809</v>
      </c>
      <c r="S356" s="18">
        <f>F356+N356-Kzt-H</f>
        <v>-12.953354293612762</v>
      </c>
      <c r="T356" s="17">
        <v>0.7</v>
      </c>
      <c r="U356" s="21">
        <f>T356*10^((S356-R356)/10)</f>
        <v>2.1782027571703378E-6</v>
      </c>
    </row>
    <row r="357" spans="1:21" x14ac:dyDescent="0.25">
      <c r="A357" s="24"/>
      <c r="B357" s="24"/>
      <c r="C357" s="17"/>
      <c r="D357" s="24"/>
      <c r="E357" s="24"/>
      <c r="F357" s="25"/>
      <c r="G357" s="1">
        <v>7025</v>
      </c>
      <c r="H357" s="2">
        <v>94.8</v>
      </c>
      <c r="I357" s="2">
        <v>3.8</v>
      </c>
      <c r="J357" s="2">
        <v>2.5</v>
      </c>
      <c r="K357" s="2">
        <f t="shared" si="43"/>
        <v>3.8</v>
      </c>
      <c r="L357" s="8">
        <f t="shared" si="47"/>
        <v>7.9432823472428E-10</v>
      </c>
      <c r="M357" s="26"/>
      <c r="N357" s="17"/>
      <c r="O357" s="9">
        <f t="shared" si="45"/>
        <v>2.5</v>
      </c>
      <c r="P357" s="8">
        <f>D356/B356*10^(O357/10)</f>
        <v>558.97249455556812</v>
      </c>
      <c r="Q357" s="26"/>
      <c r="R357" s="17"/>
      <c r="S357" s="19"/>
      <c r="T357" s="17"/>
      <c r="U357" s="22"/>
    </row>
    <row r="358" spans="1:21" x14ac:dyDescent="0.25">
      <c r="A358" s="24"/>
      <c r="B358" s="24"/>
      <c r="C358" s="17"/>
      <c r="D358" s="24"/>
      <c r="E358" s="24"/>
      <c r="F358" s="25"/>
      <c r="G358" s="1">
        <v>8025</v>
      </c>
      <c r="H358" s="2">
        <v>101.9</v>
      </c>
      <c r="I358" s="2">
        <v>13.799999999999999</v>
      </c>
      <c r="J358" s="2">
        <v>13.6</v>
      </c>
      <c r="K358" s="2">
        <f t="shared" si="43"/>
        <v>13.799999999999999</v>
      </c>
      <c r="L358" s="8">
        <f t="shared" si="47"/>
        <v>1.5488166189124741E-9</v>
      </c>
      <c r="M358" s="26"/>
      <c r="N358" s="17"/>
      <c r="O358" s="9">
        <f t="shared" si="45"/>
        <v>13.6</v>
      </c>
      <c r="P358" s="8">
        <f>D356/B356*10^(O358/10)</f>
        <v>7200.9606552000314</v>
      </c>
      <c r="Q358" s="26"/>
      <c r="R358" s="17"/>
      <c r="S358" s="19"/>
      <c r="T358" s="17"/>
      <c r="U358" s="22"/>
    </row>
    <row r="359" spans="1:21" x14ac:dyDescent="0.25">
      <c r="A359" s="24"/>
      <c r="B359" s="24"/>
      <c r="C359" s="17"/>
      <c r="D359" s="24"/>
      <c r="E359" s="24"/>
      <c r="F359" s="25"/>
      <c r="G359" s="1">
        <v>9025</v>
      </c>
      <c r="H359" s="2">
        <v>93.2</v>
      </c>
      <c r="I359" s="2">
        <v>5.0999999999999996</v>
      </c>
      <c r="J359" s="2">
        <v>4</v>
      </c>
      <c r="K359" s="2">
        <f t="shared" si="43"/>
        <v>5.0999999999999996</v>
      </c>
      <c r="L359" s="8">
        <f t="shared" si="47"/>
        <v>1.5488166189124741E-9</v>
      </c>
      <c r="M359" s="26"/>
      <c r="N359" s="17"/>
      <c r="O359" s="9">
        <f t="shared" si="45"/>
        <v>4</v>
      </c>
      <c r="P359" s="8">
        <f>D356/B356*10^(O359/10)</f>
        <v>789.56963497117806</v>
      </c>
      <c r="Q359" s="26"/>
      <c r="R359" s="17"/>
      <c r="S359" s="19"/>
      <c r="T359" s="17"/>
      <c r="U359" s="22"/>
    </row>
    <row r="360" spans="1:21" x14ac:dyDescent="0.25">
      <c r="A360" s="24"/>
      <c r="B360" s="24"/>
      <c r="C360" s="17"/>
      <c r="D360" s="24"/>
      <c r="E360" s="24"/>
      <c r="F360" s="25"/>
      <c r="G360" s="1">
        <v>10025</v>
      </c>
      <c r="H360" s="2">
        <v>88.3</v>
      </c>
      <c r="I360" s="2">
        <v>3</v>
      </c>
      <c r="J360" s="2">
        <v>2.5</v>
      </c>
      <c r="K360" s="2">
        <f t="shared" si="43"/>
        <v>3</v>
      </c>
      <c r="L360" s="8">
        <f t="shared" si="47"/>
        <v>2.9512092266663855E-9</v>
      </c>
      <c r="M360" s="26"/>
      <c r="N360" s="17"/>
      <c r="O360" s="9">
        <f t="shared" si="45"/>
        <v>2.5</v>
      </c>
      <c r="P360" s="8">
        <f>D356/B356*10^(O360/10)</f>
        <v>558.97249455556812</v>
      </c>
      <c r="Q360" s="26"/>
      <c r="R360" s="17"/>
      <c r="S360" s="19"/>
      <c r="T360" s="17"/>
      <c r="U360" s="22"/>
    </row>
    <row r="361" spans="1:21" x14ac:dyDescent="0.25">
      <c r="A361" s="24"/>
      <c r="B361" s="24"/>
      <c r="C361" s="17"/>
      <c r="D361" s="24"/>
      <c r="E361" s="24"/>
      <c r="F361" s="25"/>
      <c r="G361" s="1">
        <v>11025</v>
      </c>
      <c r="H361" s="2">
        <v>86</v>
      </c>
      <c r="I361" s="2">
        <v>26.8</v>
      </c>
      <c r="J361" s="2">
        <v>13.1</v>
      </c>
      <c r="K361" s="2">
        <f t="shared" si="43"/>
        <v>26.8</v>
      </c>
      <c r="L361" s="8">
        <f t="shared" si="47"/>
        <v>1.2022644346174125E-6</v>
      </c>
      <c r="M361" s="26"/>
      <c r="N361" s="17"/>
      <c r="O361" s="9">
        <f t="shared" si="45"/>
        <v>13.1</v>
      </c>
      <c r="P361" s="8">
        <f>D356/B356*10^(O361/10)</f>
        <v>6417.8629394112222</v>
      </c>
      <c r="Q361" s="26"/>
      <c r="R361" s="17"/>
      <c r="S361" s="20"/>
      <c r="T361" s="17"/>
      <c r="U361" s="23"/>
    </row>
    <row r="362" spans="1:21" x14ac:dyDescent="0.25">
      <c r="A362" s="24" t="s">
        <v>20</v>
      </c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12">
        <f>U362</f>
        <v>6.1002328986667846E-2</v>
      </c>
      <c r="T362" s="2"/>
      <c r="U362" s="8">
        <f>0.8*SQRT(SUM(U328:U361))</f>
        <v>6.1002328986667846E-2</v>
      </c>
    </row>
    <row r="363" spans="1:21" x14ac:dyDescent="0.25">
      <c r="A363" s="27" t="s">
        <v>42</v>
      </c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9"/>
    </row>
    <row r="364" spans="1:21" x14ac:dyDescent="0.25">
      <c r="A364" s="24">
        <v>250</v>
      </c>
      <c r="B364" s="24">
        <v>3</v>
      </c>
      <c r="C364" s="17">
        <v>0.5</v>
      </c>
      <c r="D364" s="24">
        <v>38</v>
      </c>
      <c r="E364" s="24">
        <v>4</v>
      </c>
      <c r="F364" s="25">
        <v>84</v>
      </c>
      <c r="G364" s="1">
        <v>175</v>
      </c>
      <c r="H364" s="2">
        <v>84.8</v>
      </c>
      <c r="I364" s="2">
        <v>-8.9</v>
      </c>
      <c r="J364" s="2">
        <v>-16</v>
      </c>
      <c r="K364" s="2">
        <f>I364</f>
        <v>-8.9</v>
      </c>
      <c r="L364" s="8">
        <f>10^((K364-H364)/10)</f>
        <v>4.2657951880159145E-10</v>
      </c>
      <c r="M364" s="26">
        <f>SUM(L364:L367)</f>
        <v>7.9097355358721938E-10</v>
      </c>
      <c r="N364" s="17">
        <f>10*LOG10(M364/E364)</f>
        <v>-97.038980283399511</v>
      </c>
      <c r="O364" s="9">
        <f>J364</f>
        <v>-16</v>
      </c>
      <c r="P364" s="8">
        <f>D364/B364*10^(O364/10)</f>
        <v>0.31817228132454656</v>
      </c>
      <c r="Q364" s="26">
        <f>SUM(P364:P367)</f>
        <v>1.4850578191214594</v>
      </c>
      <c r="R364" s="17">
        <f>10*LOG10(Q364)</f>
        <v>1.7174336276876407</v>
      </c>
      <c r="S364" s="18">
        <f>F364+N364-Kzt-H</f>
        <v>-13.038980283399511</v>
      </c>
      <c r="T364" s="17">
        <v>0.2</v>
      </c>
      <c r="U364" s="21">
        <f>T364*10^((S364-R364)/10)</f>
        <v>6.6894221603911661E-3</v>
      </c>
    </row>
    <row r="365" spans="1:21" x14ac:dyDescent="0.25">
      <c r="A365" s="24"/>
      <c r="B365" s="24"/>
      <c r="C365" s="17"/>
      <c r="D365" s="24"/>
      <c r="E365" s="24"/>
      <c r="F365" s="25"/>
      <c r="G365" s="1">
        <v>225</v>
      </c>
      <c r="H365" s="2">
        <v>90</v>
      </c>
      <c r="I365" s="2">
        <v>-15.600000000000001</v>
      </c>
      <c r="J365" s="2">
        <v>-15.8</v>
      </c>
      <c r="K365" s="2">
        <f t="shared" ref="K365:K397" si="48">I365</f>
        <v>-15.600000000000001</v>
      </c>
      <c r="L365" s="8">
        <f t="shared" ref="L365:L366" si="49">10^((K365-H365)/10)</f>
        <v>2.7542287033381702E-11</v>
      </c>
      <c r="M365" s="26"/>
      <c r="N365" s="17"/>
      <c r="O365" s="9">
        <f t="shared" ref="O365:O397" si="50">J365</f>
        <v>-15.8</v>
      </c>
      <c r="P365" s="8">
        <f>D364/B364*10^(O365/10)</f>
        <v>0.33316727897341486</v>
      </c>
      <c r="Q365" s="26"/>
      <c r="R365" s="17"/>
      <c r="S365" s="19"/>
      <c r="T365" s="17"/>
      <c r="U365" s="22"/>
    </row>
    <row r="366" spans="1:21" x14ac:dyDescent="0.25">
      <c r="A366" s="24"/>
      <c r="B366" s="24"/>
      <c r="C366" s="17"/>
      <c r="D366" s="24"/>
      <c r="E366" s="24"/>
      <c r="F366" s="25"/>
      <c r="G366" s="1">
        <v>275</v>
      </c>
      <c r="H366" s="2">
        <v>92.2</v>
      </c>
      <c r="I366" s="2">
        <v>-5.9</v>
      </c>
      <c r="J366" s="2">
        <v>-14.1</v>
      </c>
      <c r="K366" s="2">
        <f t="shared" si="48"/>
        <v>-5.9</v>
      </c>
      <c r="L366" s="8">
        <f t="shared" si="49"/>
        <v>1.548816618912478E-10</v>
      </c>
      <c r="M366" s="26"/>
      <c r="N366" s="17"/>
      <c r="O366" s="9">
        <f t="shared" si="50"/>
        <v>-14.1</v>
      </c>
      <c r="P366" s="8">
        <f>D364/B364*10^(O366/10)</f>
        <v>0.49279051699275528</v>
      </c>
      <c r="Q366" s="26"/>
      <c r="R366" s="17"/>
      <c r="S366" s="19"/>
      <c r="T366" s="17"/>
      <c r="U366" s="22"/>
    </row>
    <row r="367" spans="1:21" x14ac:dyDescent="0.25">
      <c r="A367" s="24"/>
      <c r="B367" s="24"/>
      <c r="C367" s="17"/>
      <c r="D367" s="24"/>
      <c r="E367" s="24"/>
      <c r="F367" s="25"/>
      <c r="G367" s="1">
        <v>325</v>
      </c>
      <c r="H367" s="2">
        <v>93.3</v>
      </c>
      <c r="I367" s="2">
        <v>-4.0999999999999996</v>
      </c>
      <c r="J367" s="2">
        <v>-15.7</v>
      </c>
      <c r="K367" s="2">
        <f t="shared" si="48"/>
        <v>-4.0999999999999996</v>
      </c>
      <c r="L367" s="8">
        <f>10^((K367-H367)/10)</f>
        <v>1.8197008586099848E-10</v>
      </c>
      <c r="M367" s="26"/>
      <c r="N367" s="17"/>
      <c r="O367" s="9">
        <f t="shared" si="50"/>
        <v>-15.7</v>
      </c>
      <c r="P367" s="8">
        <f>D364/B364*10^(O367/10)</f>
        <v>0.34092774183074259</v>
      </c>
      <c r="Q367" s="26"/>
      <c r="R367" s="17"/>
      <c r="S367" s="20"/>
      <c r="T367" s="17"/>
      <c r="U367" s="23"/>
    </row>
    <row r="368" spans="1:21" x14ac:dyDescent="0.25">
      <c r="A368" s="24">
        <v>500</v>
      </c>
      <c r="B368" s="24">
        <v>3</v>
      </c>
      <c r="C368" s="17">
        <v>0.5</v>
      </c>
      <c r="D368" s="24">
        <v>59</v>
      </c>
      <c r="E368" s="24">
        <v>6</v>
      </c>
      <c r="F368" s="25">
        <v>84</v>
      </c>
      <c r="G368" s="1">
        <v>375</v>
      </c>
      <c r="H368" s="2">
        <v>91.9</v>
      </c>
      <c r="I368" s="2">
        <v>-2.2000000000000002</v>
      </c>
      <c r="J368" s="2">
        <v>-16.600000000000001</v>
      </c>
      <c r="K368" s="2">
        <f t="shared" si="48"/>
        <v>-2.2000000000000002</v>
      </c>
      <c r="L368" s="8">
        <f t="shared" ref="L368:L369" si="51">10^((K368-H368)/10)</f>
        <v>3.8904514499427963E-10</v>
      </c>
      <c r="M368" s="26">
        <f>SUM(L368:L373)</f>
        <v>1.284272746607371E-9</v>
      </c>
      <c r="N368" s="17">
        <f>10*LOG10(M368/E368)</f>
        <v>-96.694939838412083</v>
      </c>
      <c r="O368" s="9">
        <f t="shared" si="50"/>
        <v>-16.600000000000001</v>
      </c>
      <c r="P368" s="8">
        <f>D368/B368*10^(O368/10)</f>
        <v>0.43025978604341175</v>
      </c>
      <c r="Q368" s="26">
        <f>SUM(P368:P373)</f>
        <v>3.4798583106692806</v>
      </c>
      <c r="R368" s="17">
        <f>10*LOG10(Q368)</f>
        <v>5.4156156114565661</v>
      </c>
      <c r="S368" s="18">
        <f>F368+N368-Kzt-H</f>
        <v>-12.694939838412083</v>
      </c>
      <c r="T368" s="17">
        <v>0.5</v>
      </c>
      <c r="U368" s="21">
        <f>T368*10^((S368-R368)/10)</f>
        <v>7.7252840933920786E-3</v>
      </c>
    </row>
    <row r="369" spans="1:21" x14ac:dyDescent="0.25">
      <c r="A369" s="24"/>
      <c r="B369" s="24"/>
      <c r="C369" s="17"/>
      <c r="D369" s="24"/>
      <c r="E369" s="24"/>
      <c r="F369" s="25"/>
      <c r="G369" s="1">
        <v>425</v>
      </c>
      <c r="H369" s="2">
        <v>88.1</v>
      </c>
      <c r="I369" s="2">
        <v>-4.4000000000000004</v>
      </c>
      <c r="J369" s="2">
        <v>-14.2</v>
      </c>
      <c r="K369" s="2">
        <f t="shared" si="48"/>
        <v>-4.4000000000000004</v>
      </c>
      <c r="L369" s="8">
        <f t="shared" si="51"/>
        <v>5.6234132519034889E-10</v>
      </c>
      <c r="M369" s="26"/>
      <c r="N369" s="17"/>
      <c r="O369" s="9">
        <f t="shared" si="50"/>
        <v>-14.2</v>
      </c>
      <c r="P369" s="8">
        <f>D368/B368*10^(O369/10)</f>
        <v>0.74770581276377024</v>
      </c>
      <c r="Q369" s="26"/>
      <c r="R369" s="17"/>
      <c r="S369" s="19"/>
      <c r="T369" s="17"/>
      <c r="U369" s="22"/>
    </row>
    <row r="370" spans="1:21" x14ac:dyDescent="0.25">
      <c r="A370" s="24"/>
      <c r="B370" s="24"/>
      <c r="C370" s="17"/>
      <c r="D370" s="24"/>
      <c r="E370" s="24"/>
      <c r="F370" s="25"/>
      <c r="G370" s="1">
        <v>475</v>
      </c>
      <c r="H370" s="2">
        <v>90</v>
      </c>
      <c r="I370" s="2">
        <v>-9</v>
      </c>
      <c r="J370" s="2">
        <v>-15.8</v>
      </c>
      <c r="K370" s="2">
        <f t="shared" si="48"/>
        <v>-9</v>
      </c>
      <c r="L370" s="8">
        <f>10^((K370-H370)/10)</f>
        <v>1.2589254117941656E-10</v>
      </c>
      <c r="M370" s="26"/>
      <c r="N370" s="17"/>
      <c r="O370" s="9">
        <f t="shared" si="50"/>
        <v>-15.8</v>
      </c>
      <c r="P370" s="8">
        <f>D368/B368*10^(O370/10)</f>
        <v>0.51728603840609155</v>
      </c>
      <c r="Q370" s="26"/>
      <c r="R370" s="17"/>
      <c r="S370" s="19"/>
      <c r="T370" s="17"/>
      <c r="U370" s="22"/>
    </row>
    <row r="371" spans="1:21" x14ac:dyDescent="0.25">
      <c r="A371" s="24"/>
      <c r="B371" s="24"/>
      <c r="C371" s="17"/>
      <c r="D371" s="24"/>
      <c r="E371" s="24"/>
      <c r="F371" s="25"/>
      <c r="G371" s="1">
        <v>575</v>
      </c>
      <c r="H371" s="2">
        <v>97</v>
      </c>
      <c r="I371" s="2">
        <v>-7.5</v>
      </c>
      <c r="J371" s="2">
        <v>-15.2</v>
      </c>
      <c r="K371" s="2">
        <f t="shared" si="48"/>
        <v>-7.5</v>
      </c>
      <c r="L371" s="8">
        <f t="shared" ref="L371:L397" si="52">10^((K371-H371)/10)</f>
        <v>3.5481338923357562E-11</v>
      </c>
      <c r="M371" s="26"/>
      <c r="N371" s="17"/>
      <c r="O371" s="9">
        <f t="shared" si="50"/>
        <v>-15.2</v>
      </c>
      <c r="P371" s="8">
        <f>D368/B368*10^(O371/10)</f>
        <v>0.59392383834572959</v>
      </c>
      <c r="Q371" s="26"/>
      <c r="R371" s="17"/>
      <c r="S371" s="19"/>
      <c r="T371" s="17"/>
      <c r="U371" s="22"/>
    </row>
    <row r="372" spans="1:21" x14ac:dyDescent="0.25">
      <c r="A372" s="24"/>
      <c r="B372" s="24"/>
      <c r="C372" s="17"/>
      <c r="D372" s="24"/>
      <c r="E372" s="24"/>
      <c r="F372" s="25"/>
      <c r="G372" s="1">
        <v>625</v>
      </c>
      <c r="H372" s="2">
        <v>92</v>
      </c>
      <c r="I372" s="2">
        <v>-9.6</v>
      </c>
      <c r="J372" s="2">
        <v>-14.9</v>
      </c>
      <c r="K372" s="2">
        <f t="shared" si="48"/>
        <v>-9.6</v>
      </c>
      <c r="L372" s="8">
        <f t="shared" si="52"/>
        <v>6.9183097091893483E-11</v>
      </c>
      <c r="M372" s="26"/>
      <c r="N372" s="17"/>
      <c r="O372" s="9">
        <f t="shared" si="50"/>
        <v>-14.9</v>
      </c>
      <c r="P372" s="8">
        <f>D368/B368*10^(O372/10)</f>
        <v>0.63640085862826867</v>
      </c>
      <c r="Q372" s="26"/>
      <c r="R372" s="17"/>
      <c r="S372" s="19"/>
      <c r="T372" s="17"/>
      <c r="U372" s="22"/>
    </row>
    <row r="373" spans="1:21" x14ac:dyDescent="0.25">
      <c r="A373" s="24"/>
      <c r="B373" s="24"/>
      <c r="C373" s="17"/>
      <c r="D373" s="24"/>
      <c r="E373" s="24"/>
      <c r="F373" s="25"/>
      <c r="G373" s="1">
        <v>675</v>
      </c>
      <c r="H373" s="2">
        <v>94.5</v>
      </c>
      <c r="I373" s="2">
        <v>-5.4</v>
      </c>
      <c r="J373" s="2">
        <v>-15.5</v>
      </c>
      <c r="K373" s="2">
        <f t="shared" si="48"/>
        <v>-5.4</v>
      </c>
      <c r="L373" s="8">
        <f t="shared" si="52"/>
        <v>1.0232929922807501E-10</v>
      </c>
      <c r="M373" s="26"/>
      <c r="N373" s="17"/>
      <c r="O373" s="9">
        <f t="shared" si="50"/>
        <v>-15.5</v>
      </c>
      <c r="P373" s="8">
        <f>D368/B368*10^(O373/10)</f>
        <v>0.55428197648200916</v>
      </c>
      <c r="Q373" s="26"/>
      <c r="R373" s="17"/>
      <c r="S373" s="20"/>
      <c r="T373" s="17"/>
      <c r="U373" s="23"/>
    </row>
    <row r="374" spans="1:21" x14ac:dyDescent="0.25">
      <c r="A374" s="24">
        <v>1000</v>
      </c>
      <c r="B374" s="24">
        <v>3</v>
      </c>
      <c r="C374" s="17">
        <v>0.5</v>
      </c>
      <c r="D374" s="24">
        <v>117</v>
      </c>
      <c r="E374" s="24">
        <v>6</v>
      </c>
      <c r="F374" s="25">
        <v>76</v>
      </c>
      <c r="G374" s="1">
        <v>875</v>
      </c>
      <c r="H374" s="2">
        <v>91.1</v>
      </c>
      <c r="I374" s="2">
        <v>-7.5</v>
      </c>
      <c r="J374" s="2">
        <v>-15.6</v>
      </c>
      <c r="K374" s="2">
        <f t="shared" si="48"/>
        <v>-7.5</v>
      </c>
      <c r="L374" s="8">
        <f t="shared" si="52"/>
        <v>1.3803842646028825E-10</v>
      </c>
      <c r="M374" s="26">
        <f>SUM(L374:L379)</f>
        <v>2.6831270556768711E-10</v>
      </c>
      <c r="N374" s="17">
        <f>10*LOG10(M374/E374)</f>
        <v>-103.49510011825433</v>
      </c>
      <c r="O374" s="9">
        <f t="shared" si="50"/>
        <v>-15.6</v>
      </c>
      <c r="P374" s="8">
        <f>D374/B374*10^(O374/10)</f>
        <v>1.0741491943018842</v>
      </c>
      <c r="Q374" s="26">
        <f>SUM(P374:P379)</f>
        <v>9.6492954202719172</v>
      </c>
      <c r="R374" s="17">
        <f>10*LOG10(Q374)</f>
        <v>9.8449560285059174</v>
      </c>
      <c r="S374" s="18">
        <f>F374+N374-Kzt-H</f>
        <v>-27.495100118254328</v>
      </c>
      <c r="T374" s="17">
        <v>0.8</v>
      </c>
      <c r="U374" s="21">
        <f>T374*10^((S374-R374)/10)</f>
        <v>1.4759932531819431E-4</v>
      </c>
    </row>
    <row r="375" spans="1:21" x14ac:dyDescent="0.25">
      <c r="A375" s="24"/>
      <c r="B375" s="24"/>
      <c r="C375" s="17"/>
      <c r="D375" s="24"/>
      <c r="E375" s="24"/>
      <c r="F375" s="25"/>
      <c r="G375" s="1">
        <v>975</v>
      </c>
      <c r="H375" s="2">
        <v>96.5</v>
      </c>
      <c r="I375" s="2">
        <v>-8.1</v>
      </c>
      <c r="J375" s="2">
        <v>-13.2</v>
      </c>
      <c r="K375" s="2">
        <f t="shared" si="48"/>
        <v>-8.1</v>
      </c>
      <c r="L375" s="8">
        <f t="shared" si="52"/>
        <v>3.467368504525318E-11</v>
      </c>
      <c r="M375" s="26"/>
      <c r="N375" s="17"/>
      <c r="O375" s="9">
        <f t="shared" si="50"/>
        <v>-13.2</v>
      </c>
      <c r="P375" s="8">
        <f>D374/B374*10^(O375/10)</f>
        <v>1.8666573600582896</v>
      </c>
      <c r="Q375" s="26"/>
      <c r="R375" s="17"/>
      <c r="S375" s="19"/>
      <c r="T375" s="17"/>
      <c r="U375" s="22"/>
    </row>
    <row r="376" spans="1:21" x14ac:dyDescent="0.25">
      <c r="A376" s="24"/>
      <c r="B376" s="24"/>
      <c r="C376" s="17"/>
      <c r="D376" s="24"/>
      <c r="E376" s="24"/>
      <c r="F376" s="25"/>
      <c r="G376" s="1">
        <v>1075</v>
      </c>
      <c r="H376" s="2">
        <v>94.6</v>
      </c>
      <c r="I376" s="2">
        <v>-8.8000000000000007</v>
      </c>
      <c r="J376" s="2">
        <v>-13.5</v>
      </c>
      <c r="K376" s="2">
        <f t="shared" si="48"/>
        <v>-8.8000000000000007</v>
      </c>
      <c r="L376" s="8">
        <f t="shared" si="52"/>
        <v>4.5708818961487472E-11</v>
      </c>
      <c r="M376" s="26"/>
      <c r="N376" s="17"/>
      <c r="O376" s="9">
        <f t="shared" si="50"/>
        <v>-13.5</v>
      </c>
      <c r="P376" s="8">
        <f>D374/B374*10^(O376/10)</f>
        <v>1.7420660093887554</v>
      </c>
      <c r="Q376" s="26"/>
      <c r="R376" s="17"/>
      <c r="S376" s="19"/>
      <c r="T376" s="17"/>
      <c r="U376" s="22"/>
    </row>
    <row r="377" spans="1:21" x14ac:dyDescent="0.25">
      <c r="A377" s="24"/>
      <c r="B377" s="24"/>
      <c r="C377" s="17"/>
      <c r="D377" s="24"/>
      <c r="E377" s="24"/>
      <c r="F377" s="25"/>
      <c r="G377" s="1">
        <v>1175</v>
      </c>
      <c r="H377" s="2">
        <v>97.8</v>
      </c>
      <c r="I377" s="2">
        <v>-7.4</v>
      </c>
      <c r="J377" s="2">
        <v>-12.9</v>
      </c>
      <c r="K377" s="2">
        <f t="shared" si="48"/>
        <v>-7.4</v>
      </c>
      <c r="L377" s="8">
        <f t="shared" si="52"/>
        <v>3.0199517204020087E-11</v>
      </c>
      <c r="M377" s="26"/>
      <c r="N377" s="17"/>
      <c r="O377" s="9">
        <f t="shared" si="50"/>
        <v>-12.9</v>
      </c>
      <c r="P377" s="8">
        <f>D374/B374*10^(O377/10)</f>
        <v>2.0001593975663217</v>
      </c>
      <c r="Q377" s="26"/>
      <c r="R377" s="17"/>
      <c r="S377" s="19"/>
      <c r="T377" s="17"/>
      <c r="U377" s="22"/>
    </row>
    <row r="378" spans="1:21" x14ac:dyDescent="0.25">
      <c r="A378" s="24"/>
      <c r="B378" s="24"/>
      <c r="C378" s="17"/>
      <c r="D378" s="24"/>
      <c r="E378" s="24"/>
      <c r="F378" s="25"/>
      <c r="G378" s="1">
        <v>1275</v>
      </c>
      <c r="H378" s="2">
        <v>100.1</v>
      </c>
      <c r="I378" s="2">
        <v>-10.9</v>
      </c>
      <c r="J378" s="2">
        <v>-14.3</v>
      </c>
      <c r="K378" s="2">
        <f t="shared" si="48"/>
        <v>-10.9</v>
      </c>
      <c r="L378" s="8">
        <f t="shared" si="52"/>
        <v>7.9432823472428101E-12</v>
      </c>
      <c r="M378" s="26"/>
      <c r="N378" s="17"/>
      <c r="O378" s="9">
        <f t="shared" si="50"/>
        <v>-14.3</v>
      </c>
      <c r="P378" s="8">
        <f>D374/B374*10^(O378/10)</f>
        <v>1.4489873934789721</v>
      </c>
      <c r="Q378" s="26"/>
      <c r="R378" s="17"/>
      <c r="S378" s="19"/>
      <c r="T378" s="17"/>
      <c r="U378" s="22"/>
    </row>
    <row r="379" spans="1:21" x14ac:dyDescent="0.25">
      <c r="A379" s="24"/>
      <c r="B379" s="24"/>
      <c r="C379" s="17"/>
      <c r="D379" s="24"/>
      <c r="E379" s="24"/>
      <c r="F379" s="25"/>
      <c r="G379" s="1">
        <v>1375</v>
      </c>
      <c r="H379" s="2">
        <v>103</v>
      </c>
      <c r="I379" s="2">
        <v>-6.3</v>
      </c>
      <c r="J379" s="2">
        <v>-14.1</v>
      </c>
      <c r="K379" s="2">
        <f t="shared" si="48"/>
        <v>-6.3</v>
      </c>
      <c r="L379" s="8">
        <f t="shared" si="52"/>
        <v>1.1748975549395269E-11</v>
      </c>
      <c r="M379" s="26"/>
      <c r="N379" s="17"/>
      <c r="O379" s="9">
        <f t="shared" si="50"/>
        <v>-14.1</v>
      </c>
      <c r="P379" s="8">
        <f>D374/B374*10^(O379/10)</f>
        <v>1.517276065477694</v>
      </c>
      <c r="Q379" s="26"/>
      <c r="R379" s="17"/>
      <c r="S379" s="20"/>
      <c r="T379" s="17"/>
      <c r="U379" s="23"/>
    </row>
    <row r="380" spans="1:21" x14ac:dyDescent="0.25">
      <c r="A380" s="24">
        <v>2000</v>
      </c>
      <c r="B380" s="24">
        <v>3</v>
      </c>
      <c r="C380" s="17">
        <v>0.5</v>
      </c>
      <c r="D380" s="24">
        <v>234</v>
      </c>
      <c r="E380" s="24">
        <v>6</v>
      </c>
      <c r="F380" s="25">
        <v>68</v>
      </c>
      <c r="G380" s="1">
        <v>1425</v>
      </c>
      <c r="H380" s="2">
        <v>102.8</v>
      </c>
      <c r="I380" s="2">
        <v>-6.2</v>
      </c>
      <c r="J380" s="2">
        <v>-15.4</v>
      </c>
      <c r="K380" s="2">
        <f t="shared" si="48"/>
        <v>-6.2</v>
      </c>
      <c r="L380" s="8">
        <f t="shared" si="52"/>
        <v>1.2589254117941641E-11</v>
      </c>
      <c r="M380" s="26">
        <f>SUM(L380:L385)</f>
        <v>2.6317030046327297E-10</v>
      </c>
      <c r="N380" s="17">
        <f>10*LOG10(M380/E380)</f>
        <v>-103.57914374076589</v>
      </c>
      <c r="O380" s="9">
        <f t="shared" si="50"/>
        <v>-15.4</v>
      </c>
      <c r="P380" s="8">
        <f>D380/B380*10^(O380/10)</f>
        <v>2.2495445724387517</v>
      </c>
      <c r="Q380" s="26">
        <f>SUM(P380:P385)</f>
        <v>31.647949890375592</v>
      </c>
      <c r="R380" s="17">
        <f>10*LOG10(Q380)</f>
        <v>15.00345582279617</v>
      </c>
      <c r="S380" s="18">
        <f>F380+N380-Kzt-H</f>
        <v>-35.579143740765886</v>
      </c>
      <c r="T380" s="17">
        <v>1</v>
      </c>
      <c r="U380" s="21">
        <f>T380*10^((S380-R380)/10)</f>
        <v>8.74460191479146E-6</v>
      </c>
    </row>
    <row r="381" spans="1:21" x14ac:dyDescent="0.25">
      <c r="A381" s="24"/>
      <c r="B381" s="24"/>
      <c r="C381" s="17"/>
      <c r="D381" s="24"/>
      <c r="E381" s="24"/>
      <c r="F381" s="25"/>
      <c r="G381" s="1">
        <v>1625</v>
      </c>
      <c r="H381" s="2">
        <v>104.1</v>
      </c>
      <c r="I381" s="2">
        <v>-12.2</v>
      </c>
      <c r="J381" s="2">
        <v>-13.8</v>
      </c>
      <c r="K381" s="2">
        <f t="shared" si="48"/>
        <v>-12.2</v>
      </c>
      <c r="L381" s="8">
        <f t="shared" si="52"/>
        <v>2.3442288153199247E-12</v>
      </c>
      <c r="M381" s="26"/>
      <c r="N381" s="17"/>
      <c r="O381" s="9">
        <f t="shared" si="50"/>
        <v>-13.8</v>
      </c>
      <c r="P381" s="8">
        <f>D380/B380*10^(O381/10)</f>
        <v>3.2515811910686145</v>
      </c>
      <c r="Q381" s="26"/>
      <c r="R381" s="17"/>
      <c r="S381" s="19"/>
      <c r="T381" s="17"/>
      <c r="U381" s="22"/>
    </row>
    <row r="382" spans="1:21" x14ac:dyDescent="0.25">
      <c r="A382" s="24"/>
      <c r="B382" s="24"/>
      <c r="C382" s="17"/>
      <c r="D382" s="24"/>
      <c r="E382" s="24"/>
      <c r="F382" s="25"/>
      <c r="G382" s="1">
        <v>1825</v>
      </c>
      <c r="H382" s="2">
        <v>107.6</v>
      </c>
      <c r="I382" s="2">
        <v>-9.5</v>
      </c>
      <c r="J382" s="2">
        <v>-12.7</v>
      </c>
      <c r="K382" s="2">
        <f t="shared" si="48"/>
        <v>-9.5</v>
      </c>
      <c r="L382" s="8">
        <f t="shared" si="52"/>
        <v>1.9498445997580419E-12</v>
      </c>
      <c r="M382" s="26"/>
      <c r="N382" s="17"/>
      <c r="O382" s="9">
        <f t="shared" si="50"/>
        <v>-12.7</v>
      </c>
      <c r="P382" s="8">
        <f>D380/B380*10^(O382/10)</f>
        <v>4.1888480116879698</v>
      </c>
      <c r="Q382" s="26"/>
      <c r="R382" s="17"/>
      <c r="S382" s="19"/>
      <c r="T382" s="17"/>
      <c r="U382" s="22"/>
    </row>
    <row r="383" spans="1:21" x14ac:dyDescent="0.25">
      <c r="A383" s="24"/>
      <c r="B383" s="24"/>
      <c r="C383" s="17"/>
      <c r="D383" s="24"/>
      <c r="E383" s="24"/>
      <c r="F383" s="25"/>
      <c r="G383" s="1">
        <v>2125</v>
      </c>
      <c r="H383" s="2">
        <v>104.2</v>
      </c>
      <c r="I383" s="2">
        <v>-5</v>
      </c>
      <c r="J383" s="2">
        <v>-10.8</v>
      </c>
      <c r="K383" s="2">
        <f t="shared" si="48"/>
        <v>-5</v>
      </c>
      <c r="L383" s="8">
        <f t="shared" si="52"/>
        <v>1.2022644346174101E-11</v>
      </c>
      <c r="M383" s="26"/>
      <c r="N383" s="17"/>
      <c r="O383" s="9">
        <f t="shared" si="50"/>
        <v>-10.8</v>
      </c>
      <c r="P383" s="8">
        <f>D380/B380*10^(O383/10)</f>
        <v>6.4877574146008321</v>
      </c>
      <c r="Q383" s="26"/>
      <c r="R383" s="17"/>
      <c r="S383" s="19"/>
      <c r="T383" s="17"/>
      <c r="U383" s="22"/>
    </row>
    <row r="384" spans="1:21" x14ac:dyDescent="0.25">
      <c r="A384" s="24"/>
      <c r="B384" s="24"/>
      <c r="C384" s="17"/>
      <c r="D384" s="24"/>
      <c r="E384" s="24"/>
      <c r="F384" s="25"/>
      <c r="G384" s="1">
        <v>2425</v>
      </c>
      <c r="H384" s="2">
        <v>93.7</v>
      </c>
      <c r="I384" s="2">
        <v>-2.9</v>
      </c>
      <c r="J384" s="2">
        <v>-11.4</v>
      </c>
      <c r="K384" s="2">
        <f t="shared" si="48"/>
        <v>-2.9</v>
      </c>
      <c r="L384" s="8">
        <f t="shared" si="52"/>
        <v>2.1877616239495448E-10</v>
      </c>
      <c r="M384" s="26"/>
      <c r="N384" s="17"/>
      <c r="O384" s="9">
        <f t="shared" si="50"/>
        <v>-11.4</v>
      </c>
      <c r="P384" s="8">
        <f>D380/B380*10^(O384/10)</f>
        <v>5.650600488584919</v>
      </c>
      <c r="Q384" s="26"/>
      <c r="R384" s="17"/>
      <c r="S384" s="19"/>
      <c r="T384" s="17"/>
      <c r="U384" s="22"/>
    </row>
    <row r="385" spans="1:21" x14ac:dyDescent="0.25">
      <c r="A385" s="24"/>
      <c r="B385" s="24"/>
      <c r="C385" s="17"/>
      <c r="D385" s="24"/>
      <c r="E385" s="24"/>
      <c r="F385" s="25"/>
      <c r="G385" s="1">
        <v>2775</v>
      </c>
      <c r="H385" s="2">
        <v>100.2</v>
      </c>
      <c r="I385" s="2">
        <v>-7.9</v>
      </c>
      <c r="J385" s="2">
        <v>-9</v>
      </c>
      <c r="K385" s="2">
        <f t="shared" si="48"/>
        <v>-7.9</v>
      </c>
      <c r="L385" s="8">
        <f t="shared" si="52"/>
        <v>1.5488166189124763E-11</v>
      </c>
      <c r="M385" s="26"/>
      <c r="N385" s="17"/>
      <c r="O385" s="9">
        <f t="shared" si="50"/>
        <v>-9</v>
      </c>
      <c r="P385" s="8">
        <f>D380/B380*10^(O385/10)</f>
        <v>9.8196182119945004</v>
      </c>
      <c r="Q385" s="26"/>
      <c r="R385" s="17"/>
      <c r="S385" s="20"/>
      <c r="T385" s="17"/>
      <c r="U385" s="23"/>
    </row>
    <row r="386" spans="1:21" x14ac:dyDescent="0.25">
      <c r="A386" s="24">
        <v>4000</v>
      </c>
      <c r="B386" s="24">
        <v>3</v>
      </c>
      <c r="C386" s="17">
        <v>0.5</v>
      </c>
      <c r="D386" s="24">
        <v>470</v>
      </c>
      <c r="E386" s="24">
        <v>6</v>
      </c>
      <c r="F386" s="25">
        <v>62</v>
      </c>
      <c r="G386" s="1">
        <v>2825</v>
      </c>
      <c r="H386" s="2">
        <v>99.4</v>
      </c>
      <c r="I386" s="2">
        <v>1.5</v>
      </c>
      <c r="J386" s="2">
        <v>-12.8</v>
      </c>
      <c r="K386" s="2">
        <f t="shared" si="48"/>
        <v>1.5</v>
      </c>
      <c r="L386" s="8">
        <f t="shared" si="52"/>
        <v>1.6218100973589201E-10</v>
      </c>
      <c r="M386" s="26">
        <f>SUM(L386:L391)</f>
        <v>3.4751693671770144E-10</v>
      </c>
      <c r="N386" s="17">
        <f>10*LOG10(M386/E386)</f>
        <v>-102.37175275000546</v>
      </c>
      <c r="O386" s="9">
        <f t="shared" si="50"/>
        <v>-12.8</v>
      </c>
      <c r="P386" s="8">
        <f>D386/B386*10^(O386/10)</f>
        <v>8.221983543913101</v>
      </c>
      <c r="Q386" s="26">
        <f>SUM(P386:P391)</f>
        <v>109.96913188088546</v>
      </c>
      <c r="R386" s="17">
        <f>10*LOG10(Q386)</f>
        <v>20.41270796657129</v>
      </c>
      <c r="S386" s="18">
        <f>F386+N386-Kzt-H</f>
        <v>-40.371752750005456</v>
      </c>
      <c r="T386" s="17">
        <v>0.9</v>
      </c>
      <c r="U386" s="21">
        <f>T386*10^((S386-R386)/10)</f>
        <v>7.5127067639135966E-7</v>
      </c>
    </row>
    <row r="387" spans="1:21" x14ac:dyDescent="0.25">
      <c r="A387" s="24"/>
      <c r="B387" s="24"/>
      <c r="C387" s="17"/>
      <c r="D387" s="24"/>
      <c r="E387" s="24"/>
      <c r="F387" s="25"/>
      <c r="G387" s="1">
        <v>3425</v>
      </c>
      <c r="H387" s="2">
        <v>103.5</v>
      </c>
      <c r="I387" s="2">
        <v>-6.1</v>
      </c>
      <c r="J387" s="2">
        <v>-8.8000000000000007</v>
      </c>
      <c r="K387" s="2">
        <f t="shared" si="48"/>
        <v>-6.1</v>
      </c>
      <c r="L387" s="8">
        <f t="shared" si="52"/>
        <v>1.096478196143183E-11</v>
      </c>
      <c r="M387" s="26"/>
      <c r="N387" s="17"/>
      <c r="O387" s="9">
        <f t="shared" si="50"/>
        <v>-8.8000000000000007</v>
      </c>
      <c r="P387" s="8">
        <f>D386/B386*10^(O387/10)</f>
        <v>20.652688904050368</v>
      </c>
      <c r="Q387" s="26"/>
      <c r="R387" s="17"/>
      <c r="S387" s="19"/>
      <c r="T387" s="17"/>
      <c r="U387" s="22"/>
    </row>
    <row r="388" spans="1:21" x14ac:dyDescent="0.25">
      <c r="A388" s="24"/>
      <c r="B388" s="24"/>
      <c r="C388" s="17"/>
      <c r="D388" s="24"/>
      <c r="E388" s="24"/>
      <c r="F388" s="25"/>
      <c r="G388" s="1">
        <v>4025</v>
      </c>
      <c r="H388" s="2">
        <v>103.6</v>
      </c>
      <c r="I388" s="2">
        <v>-8.8999999999999986</v>
      </c>
      <c r="J388" s="2">
        <v>-9.1999999999999993</v>
      </c>
      <c r="K388" s="2">
        <f t="shared" si="48"/>
        <v>-8.8999999999999986</v>
      </c>
      <c r="L388" s="8">
        <f t="shared" si="52"/>
        <v>5.6234132519034759E-12</v>
      </c>
      <c r="M388" s="26"/>
      <c r="N388" s="17"/>
      <c r="O388" s="9">
        <f t="shared" si="50"/>
        <v>-9.1999999999999993</v>
      </c>
      <c r="P388" s="8">
        <f>D386/B386*10^(O388/10)</f>
        <v>18.835476142339466</v>
      </c>
      <c r="Q388" s="26"/>
      <c r="R388" s="17"/>
      <c r="S388" s="19"/>
      <c r="T388" s="17"/>
      <c r="U388" s="22"/>
    </row>
    <row r="389" spans="1:21" x14ac:dyDescent="0.25">
      <c r="A389" s="24"/>
      <c r="B389" s="24"/>
      <c r="C389" s="17"/>
      <c r="D389" s="24"/>
      <c r="E389" s="24"/>
      <c r="F389" s="25"/>
      <c r="G389" s="1">
        <v>4625</v>
      </c>
      <c r="H389" s="2">
        <v>105.6</v>
      </c>
      <c r="I389" s="2">
        <v>-4.5</v>
      </c>
      <c r="J389" s="2">
        <v>-8.6</v>
      </c>
      <c r="K389" s="2">
        <f t="shared" si="48"/>
        <v>-4.5</v>
      </c>
      <c r="L389" s="8">
        <f t="shared" si="52"/>
        <v>9.7723722095580929E-12</v>
      </c>
      <c r="M389" s="26"/>
      <c r="N389" s="17"/>
      <c r="O389" s="9">
        <f t="shared" si="50"/>
        <v>-8.6</v>
      </c>
      <c r="P389" s="8">
        <f>D386/B386*10^(O389/10)</f>
        <v>21.626020145445189</v>
      </c>
      <c r="Q389" s="26"/>
      <c r="R389" s="17"/>
      <c r="S389" s="19"/>
      <c r="T389" s="17"/>
      <c r="U389" s="22"/>
    </row>
    <row r="390" spans="1:21" x14ac:dyDescent="0.25">
      <c r="A390" s="24"/>
      <c r="B390" s="24"/>
      <c r="C390" s="17"/>
      <c r="D390" s="24"/>
      <c r="E390" s="24"/>
      <c r="F390" s="25"/>
      <c r="G390" s="1">
        <v>5225</v>
      </c>
      <c r="H390" s="2">
        <v>103.5</v>
      </c>
      <c r="I390" s="2">
        <v>4</v>
      </c>
      <c r="J390" s="2">
        <v>-9.4</v>
      </c>
      <c r="K390" s="2">
        <f t="shared" si="48"/>
        <v>4</v>
      </c>
      <c r="L390" s="8">
        <f t="shared" si="52"/>
        <v>1.1220184543019624E-10</v>
      </c>
      <c r="M390" s="26"/>
      <c r="N390" s="17"/>
      <c r="O390" s="9">
        <f t="shared" si="50"/>
        <v>-9.4</v>
      </c>
      <c r="P390" s="8">
        <f>D386/B386*10^(O390/10)</f>
        <v>17.987740070117827</v>
      </c>
      <c r="Q390" s="26"/>
      <c r="R390" s="17"/>
      <c r="S390" s="19"/>
      <c r="T390" s="17"/>
      <c r="U390" s="22"/>
    </row>
    <row r="391" spans="1:21" x14ac:dyDescent="0.25">
      <c r="A391" s="24"/>
      <c r="B391" s="24"/>
      <c r="C391" s="17"/>
      <c r="D391" s="24"/>
      <c r="E391" s="24"/>
      <c r="F391" s="25"/>
      <c r="G391" s="1">
        <v>5625</v>
      </c>
      <c r="H391" s="2">
        <v>99.5</v>
      </c>
      <c r="I391" s="2">
        <v>-3.8</v>
      </c>
      <c r="J391" s="2">
        <v>-8.4</v>
      </c>
      <c r="K391" s="2">
        <f t="shared" si="48"/>
        <v>-3.8</v>
      </c>
      <c r="L391" s="8">
        <f t="shared" si="52"/>
        <v>4.6773514128719782E-11</v>
      </c>
      <c r="M391" s="26"/>
      <c r="N391" s="17"/>
      <c r="O391" s="9">
        <f t="shared" si="50"/>
        <v>-8.4</v>
      </c>
      <c r="P391" s="8">
        <f>D386/B386*10^(O391/10)</f>
        <v>22.645223075019519</v>
      </c>
      <c r="Q391" s="26"/>
      <c r="R391" s="17"/>
      <c r="S391" s="20"/>
      <c r="T391" s="17"/>
      <c r="U391" s="23"/>
    </row>
    <row r="392" spans="1:21" x14ac:dyDescent="0.25">
      <c r="A392" s="24">
        <v>8000</v>
      </c>
      <c r="B392" s="24">
        <v>3</v>
      </c>
      <c r="C392" s="17">
        <v>0.5</v>
      </c>
      <c r="D392" s="24">
        <v>943</v>
      </c>
      <c r="E392" s="24">
        <v>6</v>
      </c>
      <c r="F392" s="25">
        <v>54</v>
      </c>
      <c r="G392" s="1">
        <v>6025</v>
      </c>
      <c r="H392" s="2">
        <v>95</v>
      </c>
      <c r="I392" s="2">
        <v>-3.4</v>
      </c>
      <c r="J392" s="2">
        <v>-6.5</v>
      </c>
      <c r="K392" s="2">
        <f t="shared" si="48"/>
        <v>-3.4</v>
      </c>
      <c r="L392" s="8">
        <f t="shared" si="52"/>
        <v>1.4454397707459247E-10</v>
      </c>
      <c r="M392" s="26">
        <f>SUM(L392:L397)</f>
        <v>6.8207893261940044E-9</v>
      </c>
      <c r="N392" s="17">
        <f>10*LOG10(M392/E392)</f>
        <v>-89.443166147044835</v>
      </c>
      <c r="O392" s="9">
        <f t="shared" si="50"/>
        <v>-6.5</v>
      </c>
      <c r="P392" s="8">
        <f>D392/B392*10^(O392/10)</f>
        <v>70.370467788998127</v>
      </c>
      <c r="Q392" s="26">
        <f>SUM(P392:P397)</f>
        <v>534.82697503199324</v>
      </c>
      <c r="R392" s="17">
        <f>10*LOG10(Q392)</f>
        <v>27.282133036237948</v>
      </c>
      <c r="S392" s="18">
        <f>F392+N392-Kzt-H</f>
        <v>-35.443166147044835</v>
      </c>
      <c r="T392" s="17">
        <v>0.7</v>
      </c>
      <c r="U392" s="21">
        <f>T392*10^((S392-R392)/10)</f>
        <v>3.7373874394109702E-7</v>
      </c>
    </row>
    <row r="393" spans="1:21" x14ac:dyDescent="0.25">
      <c r="A393" s="24"/>
      <c r="B393" s="24"/>
      <c r="C393" s="17"/>
      <c r="D393" s="24"/>
      <c r="E393" s="24"/>
      <c r="F393" s="25"/>
      <c r="G393" s="1">
        <v>7025</v>
      </c>
      <c r="H393" s="2">
        <v>94.8</v>
      </c>
      <c r="I393" s="2">
        <v>-4.8</v>
      </c>
      <c r="J393" s="2">
        <v>-7.8</v>
      </c>
      <c r="K393" s="2">
        <f t="shared" si="48"/>
        <v>-4.8</v>
      </c>
      <c r="L393" s="8">
        <f t="shared" si="52"/>
        <v>1.096478196143184E-10</v>
      </c>
      <c r="M393" s="26"/>
      <c r="N393" s="17"/>
      <c r="O393" s="9">
        <f t="shared" si="50"/>
        <v>-7.8</v>
      </c>
      <c r="P393" s="8">
        <f>D392/B392*10^(O393/10)</f>
        <v>52.166348457120634</v>
      </c>
      <c r="Q393" s="26"/>
      <c r="R393" s="17"/>
      <c r="S393" s="19"/>
      <c r="T393" s="17"/>
      <c r="U393" s="22"/>
    </row>
    <row r="394" spans="1:21" x14ac:dyDescent="0.25">
      <c r="A394" s="24"/>
      <c r="B394" s="24"/>
      <c r="C394" s="17"/>
      <c r="D394" s="24"/>
      <c r="E394" s="24"/>
      <c r="F394" s="25"/>
      <c r="G394" s="1">
        <v>8025</v>
      </c>
      <c r="H394" s="2">
        <v>101.9</v>
      </c>
      <c r="I394" s="2">
        <v>-2</v>
      </c>
      <c r="J394" s="2">
        <v>-7.4</v>
      </c>
      <c r="K394" s="2">
        <f t="shared" si="48"/>
        <v>-2</v>
      </c>
      <c r="L394" s="8">
        <f t="shared" si="52"/>
        <v>4.0738027780411121E-11</v>
      </c>
      <c r="M394" s="26"/>
      <c r="N394" s="17"/>
      <c r="O394" s="9">
        <f t="shared" si="50"/>
        <v>-7.4</v>
      </c>
      <c r="P394" s="8">
        <f>D392/B392*10^(O394/10)</f>
        <v>57.199263655640472</v>
      </c>
      <c r="Q394" s="26"/>
      <c r="R394" s="17"/>
      <c r="S394" s="19"/>
      <c r="T394" s="17"/>
      <c r="U394" s="22"/>
    </row>
    <row r="395" spans="1:21" x14ac:dyDescent="0.25">
      <c r="A395" s="24"/>
      <c r="B395" s="24"/>
      <c r="C395" s="17"/>
      <c r="D395" s="24"/>
      <c r="E395" s="24"/>
      <c r="F395" s="25"/>
      <c r="G395" s="1">
        <v>9025</v>
      </c>
      <c r="H395" s="2">
        <v>93.2</v>
      </c>
      <c r="I395" s="2">
        <v>-4.0999999999999996</v>
      </c>
      <c r="J395" s="2">
        <v>-6.4</v>
      </c>
      <c r="K395" s="2">
        <f t="shared" si="48"/>
        <v>-4.0999999999999996</v>
      </c>
      <c r="L395" s="8">
        <f t="shared" si="52"/>
        <v>1.862087136662862E-10</v>
      </c>
      <c r="M395" s="26"/>
      <c r="N395" s="17"/>
      <c r="O395" s="9">
        <f t="shared" si="50"/>
        <v>-6.4</v>
      </c>
      <c r="P395" s="8">
        <f>D392/B392*10^(O395/10)</f>
        <v>72.009606552000321</v>
      </c>
      <c r="Q395" s="26"/>
      <c r="R395" s="17"/>
      <c r="S395" s="19"/>
      <c r="T395" s="17"/>
      <c r="U395" s="22"/>
    </row>
    <row r="396" spans="1:21" x14ac:dyDescent="0.25">
      <c r="A396" s="24"/>
      <c r="B396" s="24"/>
      <c r="C396" s="17"/>
      <c r="D396" s="24"/>
      <c r="E396" s="24"/>
      <c r="F396" s="25"/>
      <c r="G396" s="1">
        <v>10025</v>
      </c>
      <c r="H396" s="2">
        <v>88.3</v>
      </c>
      <c r="I396" s="2">
        <v>3</v>
      </c>
      <c r="J396" s="2">
        <v>-6.2</v>
      </c>
      <c r="K396" s="2">
        <f t="shared" si="48"/>
        <v>3</v>
      </c>
      <c r="L396" s="8">
        <f t="shared" si="52"/>
        <v>2.9512092266663855E-9</v>
      </c>
      <c r="M396" s="26"/>
      <c r="N396" s="17"/>
      <c r="O396" s="9">
        <f t="shared" si="50"/>
        <v>-6.2</v>
      </c>
      <c r="P396" s="8">
        <f>D392/B392*10^(O396/10)</f>
        <v>75.403314754512635</v>
      </c>
      <c r="Q396" s="26"/>
      <c r="R396" s="17"/>
      <c r="S396" s="19"/>
      <c r="T396" s="17"/>
      <c r="U396" s="22"/>
    </row>
    <row r="397" spans="1:21" x14ac:dyDescent="0.25">
      <c r="A397" s="24"/>
      <c r="B397" s="24"/>
      <c r="C397" s="17"/>
      <c r="D397" s="24"/>
      <c r="E397" s="24"/>
      <c r="F397" s="25"/>
      <c r="G397" s="1">
        <v>11025</v>
      </c>
      <c r="H397" s="2">
        <v>86</v>
      </c>
      <c r="I397" s="2">
        <v>1.3</v>
      </c>
      <c r="J397" s="2">
        <v>-1.8</v>
      </c>
      <c r="K397" s="2">
        <f t="shared" si="48"/>
        <v>1.3</v>
      </c>
      <c r="L397" s="8">
        <f t="shared" si="52"/>
        <v>3.3884415613920108E-9</v>
      </c>
      <c r="M397" s="26"/>
      <c r="N397" s="17"/>
      <c r="O397" s="9">
        <f t="shared" si="50"/>
        <v>-1.8</v>
      </c>
      <c r="P397" s="8">
        <f>D392/B392*10^(O397/10)</f>
        <v>207.677973823721</v>
      </c>
      <c r="Q397" s="26"/>
      <c r="R397" s="17"/>
      <c r="S397" s="20"/>
      <c r="T397" s="17"/>
      <c r="U397" s="23"/>
    </row>
    <row r="398" spans="1:21" x14ac:dyDescent="0.25">
      <c r="A398" s="24" t="s">
        <v>20</v>
      </c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12">
        <f>U398</f>
        <v>9.6572211954989412E-2</v>
      </c>
      <c r="T398" s="2"/>
      <c r="U398" s="8">
        <f>0.8*SQRT(SUM(U364:U397))</f>
        <v>9.6572211954989412E-2</v>
      </c>
    </row>
    <row r="399" spans="1:21" x14ac:dyDescent="0.25">
      <c r="A399" s="27" t="s">
        <v>43</v>
      </c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9"/>
    </row>
    <row r="400" spans="1:21" x14ac:dyDescent="0.25">
      <c r="A400" s="24">
        <v>250</v>
      </c>
      <c r="B400" s="24">
        <v>3</v>
      </c>
      <c r="C400" s="17">
        <v>0.5</v>
      </c>
      <c r="D400" s="24">
        <v>38</v>
      </c>
      <c r="E400" s="24">
        <v>4</v>
      </c>
      <c r="F400" s="25">
        <v>84</v>
      </c>
      <c r="G400" s="1">
        <v>175</v>
      </c>
      <c r="H400" s="2">
        <v>84.8</v>
      </c>
      <c r="I400" s="2">
        <v>2.7</v>
      </c>
      <c r="J400" s="2">
        <v>-6.9</v>
      </c>
      <c r="K400" s="2">
        <f>I400</f>
        <v>2.7</v>
      </c>
      <c r="L400" s="8">
        <f>10^((K400-H400)/10)</f>
        <v>6.1659500186148231E-9</v>
      </c>
      <c r="M400" s="26">
        <f>SUM(L400:L403)</f>
        <v>1.0140202548812085E-8</v>
      </c>
      <c r="N400" s="17">
        <f>10*LOG10(M400/E400)</f>
        <v>-85.960133612859849</v>
      </c>
      <c r="O400" s="9">
        <f>J400</f>
        <v>-6.9</v>
      </c>
      <c r="P400" s="8">
        <f>D400/B400*10^(O400/10)</f>
        <v>2.5862013965814032</v>
      </c>
      <c r="Q400" s="26">
        <f>SUM(P400:P403)</f>
        <v>22.053899710149704</v>
      </c>
      <c r="R400" s="17">
        <f>10*LOG10(Q400)</f>
        <v>13.434853952937294</v>
      </c>
      <c r="S400" s="18">
        <f>F400+N400-Kzt-H</f>
        <v>-1.960133612859849</v>
      </c>
      <c r="T400" s="17">
        <v>0.2</v>
      </c>
      <c r="U400" s="21">
        <f>T400*10^((S400-R400)/10)</f>
        <v>5.7747240918570126E-3</v>
      </c>
    </row>
    <row r="401" spans="1:21" x14ac:dyDescent="0.25">
      <c r="A401" s="24"/>
      <c r="B401" s="24"/>
      <c r="C401" s="17"/>
      <c r="D401" s="24"/>
      <c r="E401" s="24"/>
      <c r="F401" s="25"/>
      <c r="G401" s="1">
        <v>225</v>
      </c>
      <c r="H401" s="2">
        <v>90</v>
      </c>
      <c r="I401" s="2">
        <v>0.5</v>
      </c>
      <c r="J401" s="2">
        <v>0.4</v>
      </c>
      <c r="K401" s="2">
        <f t="shared" ref="K401:K433" si="53">I401</f>
        <v>0.5</v>
      </c>
      <c r="L401" s="8">
        <f t="shared" ref="L401:L402" si="54">10^((K401-H401)/10)</f>
        <v>1.1220184543019636E-9</v>
      </c>
      <c r="M401" s="26"/>
      <c r="N401" s="17"/>
      <c r="O401" s="9">
        <f t="shared" ref="O401:O433" si="55">J401</f>
        <v>0.4</v>
      </c>
      <c r="P401" s="8">
        <f>D400/B400*10^(O401/10)</f>
        <v>13.888723817813677</v>
      </c>
      <c r="Q401" s="26"/>
      <c r="R401" s="17"/>
      <c r="S401" s="19"/>
      <c r="T401" s="17"/>
      <c r="U401" s="22"/>
    </row>
    <row r="402" spans="1:21" x14ac:dyDescent="0.25">
      <c r="A402" s="24"/>
      <c r="B402" s="24"/>
      <c r="C402" s="17"/>
      <c r="D402" s="24"/>
      <c r="E402" s="24"/>
      <c r="F402" s="25"/>
      <c r="G402" s="1">
        <v>275</v>
      </c>
      <c r="H402" s="2">
        <v>92.2</v>
      </c>
      <c r="I402" s="2">
        <v>6.3</v>
      </c>
      <c r="J402" s="2">
        <v>-4.2</v>
      </c>
      <c r="K402" s="2">
        <f t="shared" si="53"/>
        <v>6.3</v>
      </c>
      <c r="L402" s="8">
        <f t="shared" si="54"/>
        <v>2.5703957827688555E-9</v>
      </c>
      <c r="M402" s="26"/>
      <c r="N402" s="17"/>
      <c r="O402" s="9">
        <f t="shared" si="55"/>
        <v>-4.2</v>
      </c>
      <c r="P402" s="8">
        <f>D400/B400*10^(O402/10)</f>
        <v>4.8157323533937735</v>
      </c>
      <c r="Q402" s="26"/>
      <c r="R402" s="17"/>
      <c r="S402" s="19"/>
      <c r="T402" s="17"/>
      <c r="U402" s="22"/>
    </row>
    <row r="403" spans="1:21" x14ac:dyDescent="0.25">
      <c r="A403" s="24"/>
      <c r="B403" s="24"/>
      <c r="C403" s="17"/>
      <c r="D403" s="24"/>
      <c r="E403" s="24"/>
      <c r="F403" s="25"/>
      <c r="G403" s="1">
        <v>325</v>
      </c>
      <c r="H403" s="2">
        <v>93.3</v>
      </c>
      <c r="I403" s="2">
        <v>-2.2000000000000002</v>
      </c>
      <c r="J403" s="2">
        <v>-12.2</v>
      </c>
      <c r="K403" s="2">
        <f t="shared" si="53"/>
        <v>-2.2000000000000002</v>
      </c>
      <c r="L403" s="8">
        <f>10^((K403-H403)/10)</f>
        <v>2.8183829312644407E-10</v>
      </c>
      <c r="M403" s="26"/>
      <c r="N403" s="17"/>
      <c r="O403" s="9">
        <f t="shared" si="55"/>
        <v>-12.2</v>
      </c>
      <c r="P403" s="8">
        <f>D400/B400*10^(O403/10)</f>
        <v>0.76324214236085275</v>
      </c>
      <c r="Q403" s="26"/>
      <c r="R403" s="17"/>
      <c r="S403" s="20"/>
      <c r="T403" s="17"/>
      <c r="U403" s="23"/>
    </row>
    <row r="404" spans="1:21" x14ac:dyDescent="0.25">
      <c r="A404" s="24">
        <v>500</v>
      </c>
      <c r="B404" s="24">
        <v>3</v>
      </c>
      <c r="C404" s="17">
        <v>0.5</v>
      </c>
      <c r="D404" s="24">
        <v>59</v>
      </c>
      <c r="E404" s="24">
        <v>6</v>
      </c>
      <c r="F404" s="25">
        <v>84</v>
      </c>
      <c r="G404" s="1">
        <v>375</v>
      </c>
      <c r="H404" s="2">
        <v>91.9</v>
      </c>
      <c r="I404" s="2">
        <v>1.8</v>
      </c>
      <c r="J404" s="2">
        <v>1.3</v>
      </c>
      <c r="K404" s="2">
        <f t="shared" si="53"/>
        <v>1.8</v>
      </c>
      <c r="L404" s="8">
        <f t="shared" ref="L404:L405" si="56">10^((K404-H404)/10)</f>
        <v>9.7723722095580456E-10</v>
      </c>
      <c r="M404" s="26">
        <f>SUM(L404:L409)</f>
        <v>5.1101371942202432E-9</v>
      </c>
      <c r="N404" s="17">
        <f>10*LOG10(M404/E404)</f>
        <v>-90.697186903872918</v>
      </c>
      <c r="O404" s="9">
        <f t="shared" si="55"/>
        <v>1.3</v>
      </c>
      <c r="P404" s="8">
        <f>D404/B404*10^(O404/10)</f>
        <v>26.52960335763586</v>
      </c>
      <c r="Q404" s="26">
        <f>SUM(P404:P409)</f>
        <v>50.01319250554657</v>
      </c>
      <c r="R404" s="17">
        <f>10*LOG10(Q404)</f>
        <v>16.990845778687909</v>
      </c>
      <c r="S404" s="18">
        <f>F404+N404-Kzt-H</f>
        <v>-6.6971869038729182</v>
      </c>
      <c r="T404" s="17">
        <v>0.5</v>
      </c>
      <c r="U404" s="21">
        <f>T404*10^((S404-R404)/10)</f>
        <v>2.1387830620708593E-3</v>
      </c>
    </row>
    <row r="405" spans="1:21" x14ac:dyDescent="0.25">
      <c r="A405" s="24"/>
      <c r="B405" s="24"/>
      <c r="C405" s="17"/>
      <c r="D405" s="24"/>
      <c r="E405" s="24"/>
      <c r="F405" s="25"/>
      <c r="G405" s="1">
        <v>425</v>
      </c>
      <c r="H405" s="2">
        <v>88.1</v>
      </c>
      <c r="I405" s="2">
        <v>-1.4999999999999998</v>
      </c>
      <c r="J405" s="2">
        <v>-3.3</v>
      </c>
      <c r="K405" s="2">
        <f t="shared" si="53"/>
        <v>-1.4999999999999998</v>
      </c>
      <c r="L405" s="8">
        <f t="shared" si="56"/>
        <v>1.0964781961431854E-9</v>
      </c>
      <c r="M405" s="26"/>
      <c r="N405" s="17"/>
      <c r="O405" s="9">
        <f t="shared" si="55"/>
        <v>-3.3</v>
      </c>
      <c r="P405" s="8">
        <f>D404/B404*10^(O405/10)</f>
        <v>9.1987911119815653</v>
      </c>
      <c r="Q405" s="26"/>
      <c r="R405" s="17"/>
      <c r="S405" s="19"/>
      <c r="T405" s="17"/>
      <c r="U405" s="22"/>
    </row>
    <row r="406" spans="1:21" x14ac:dyDescent="0.25">
      <c r="A406" s="24"/>
      <c r="B406" s="24"/>
      <c r="C406" s="17"/>
      <c r="D406" s="24"/>
      <c r="E406" s="24"/>
      <c r="F406" s="25"/>
      <c r="G406" s="1">
        <v>475</v>
      </c>
      <c r="H406" s="2">
        <v>90</v>
      </c>
      <c r="I406" s="2">
        <v>2.6</v>
      </c>
      <c r="J406" s="2">
        <v>-4.5999999999999996</v>
      </c>
      <c r="K406" s="2">
        <f t="shared" si="53"/>
        <v>2.6</v>
      </c>
      <c r="L406" s="8">
        <f>10^((K406-H406)/10)</f>
        <v>1.8197008586099804E-9</v>
      </c>
      <c r="M406" s="26"/>
      <c r="N406" s="17"/>
      <c r="O406" s="9">
        <f t="shared" si="55"/>
        <v>-4.5999999999999996</v>
      </c>
      <c r="P406" s="8">
        <f>D404/B404*10^(O406/10)</f>
        <v>6.8191580588997898</v>
      </c>
      <c r="Q406" s="26"/>
      <c r="R406" s="17"/>
      <c r="S406" s="19"/>
      <c r="T406" s="17"/>
      <c r="U406" s="22"/>
    </row>
    <row r="407" spans="1:21" x14ac:dyDescent="0.25">
      <c r="A407" s="24"/>
      <c r="B407" s="24"/>
      <c r="C407" s="17"/>
      <c r="D407" s="24"/>
      <c r="E407" s="24"/>
      <c r="F407" s="25"/>
      <c r="G407" s="1">
        <v>575</v>
      </c>
      <c r="H407" s="2">
        <v>97</v>
      </c>
      <c r="I407" s="2">
        <v>4.3</v>
      </c>
      <c r="J407" s="2">
        <v>-10.5</v>
      </c>
      <c r="K407" s="2">
        <f t="shared" si="53"/>
        <v>4.3</v>
      </c>
      <c r="L407" s="8">
        <f t="shared" ref="L407:L433" si="57">10^((K407-H407)/10)</f>
        <v>5.3703179637025259E-10</v>
      </c>
      <c r="M407" s="26"/>
      <c r="N407" s="17"/>
      <c r="O407" s="9">
        <f t="shared" si="55"/>
        <v>-10.5</v>
      </c>
      <c r="P407" s="8">
        <f>D404/B404*10^(O407/10)</f>
        <v>1.7527935116630327</v>
      </c>
      <c r="Q407" s="26"/>
      <c r="R407" s="17"/>
      <c r="S407" s="19"/>
      <c r="T407" s="17"/>
      <c r="U407" s="22"/>
    </row>
    <row r="408" spans="1:21" x14ac:dyDescent="0.25">
      <c r="A408" s="24"/>
      <c r="B408" s="24"/>
      <c r="C408" s="17"/>
      <c r="D408" s="24"/>
      <c r="E408" s="24"/>
      <c r="F408" s="25"/>
      <c r="G408" s="1">
        <v>625</v>
      </c>
      <c r="H408" s="2">
        <v>92</v>
      </c>
      <c r="I408" s="2">
        <v>-0.8</v>
      </c>
      <c r="J408" s="2">
        <v>-10.199999999999999</v>
      </c>
      <c r="K408" s="2">
        <f t="shared" si="53"/>
        <v>-0.8</v>
      </c>
      <c r="L408" s="8">
        <f t="shared" si="57"/>
        <v>5.2480746024977249E-10</v>
      </c>
      <c r="M408" s="26"/>
      <c r="N408" s="17"/>
      <c r="O408" s="9">
        <f t="shared" si="55"/>
        <v>-10.199999999999999</v>
      </c>
      <c r="P408" s="8">
        <f>D404/B404*10^(O408/10)</f>
        <v>1.8781520858421568</v>
      </c>
      <c r="Q408" s="26"/>
      <c r="R408" s="17"/>
      <c r="S408" s="19"/>
      <c r="T408" s="17"/>
      <c r="U408" s="22"/>
    </row>
    <row r="409" spans="1:21" x14ac:dyDescent="0.25">
      <c r="A409" s="24"/>
      <c r="B409" s="24"/>
      <c r="C409" s="17"/>
      <c r="D409" s="24"/>
      <c r="E409" s="24"/>
      <c r="F409" s="25"/>
      <c r="G409" s="1">
        <v>675</v>
      </c>
      <c r="H409" s="2">
        <v>94.5</v>
      </c>
      <c r="I409" s="2">
        <v>-3.6</v>
      </c>
      <c r="J409" s="2">
        <v>-7.1</v>
      </c>
      <c r="K409" s="2">
        <f t="shared" si="53"/>
        <v>-3.6</v>
      </c>
      <c r="L409" s="8">
        <f t="shared" si="57"/>
        <v>1.5488166189124834E-10</v>
      </c>
      <c r="M409" s="26"/>
      <c r="N409" s="17"/>
      <c r="O409" s="9">
        <f t="shared" si="55"/>
        <v>-7.1</v>
      </c>
      <c r="P409" s="8">
        <f>D404/B404*10^(O409/10)</f>
        <v>3.834694379524155</v>
      </c>
      <c r="Q409" s="26"/>
      <c r="R409" s="17"/>
      <c r="S409" s="20"/>
      <c r="T409" s="17"/>
      <c r="U409" s="23"/>
    </row>
    <row r="410" spans="1:21" x14ac:dyDescent="0.25">
      <c r="A410" s="24">
        <v>1000</v>
      </c>
      <c r="B410" s="24">
        <v>3</v>
      </c>
      <c r="C410" s="17">
        <v>0.5</v>
      </c>
      <c r="D410" s="24">
        <v>117</v>
      </c>
      <c r="E410" s="24">
        <v>6</v>
      </c>
      <c r="F410" s="25">
        <v>76</v>
      </c>
      <c r="G410" s="1">
        <v>875</v>
      </c>
      <c r="H410" s="2">
        <v>91.1</v>
      </c>
      <c r="I410" s="2">
        <v>7.1</v>
      </c>
      <c r="J410" s="2">
        <v>-6.2</v>
      </c>
      <c r="K410" s="2">
        <f t="shared" si="53"/>
        <v>7.1</v>
      </c>
      <c r="L410" s="8">
        <f t="shared" si="57"/>
        <v>3.9810717055349665E-9</v>
      </c>
      <c r="M410" s="26">
        <f>SUM(L410:L415)</f>
        <v>5.9488735357708733E-9</v>
      </c>
      <c r="N410" s="17">
        <f>10*LOG10(M410/E410)</f>
        <v>-90.037165138171673</v>
      </c>
      <c r="O410" s="9">
        <f t="shared" si="55"/>
        <v>-6.2</v>
      </c>
      <c r="P410" s="8">
        <f>D410/B410*10^(O410/10)</f>
        <v>9.355448384176011</v>
      </c>
      <c r="Q410" s="26">
        <f>SUM(P410:P415)</f>
        <v>113.51900406515325</v>
      </c>
      <c r="R410" s="17">
        <f>10*LOG10(Q410)</f>
        <v>20.550685722758303</v>
      </c>
      <c r="S410" s="18">
        <f>F410+N410-Kzt-H</f>
        <v>-14.037165138171673</v>
      </c>
      <c r="T410" s="17">
        <v>0.8</v>
      </c>
      <c r="U410" s="21">
        <f>T410*10^((S410-R410)/10)</f>
        <v>2.7816654791968439E-4</v>
      </c>
    </row>
    <row r="411" spans="1:21" x14ac:dyDescent="0.25">
      <c r="A411" s="24"/>
      <c r="B411" s="24"/>
      <c r="C411" s="17"/>
      <c r="D411" s="24"/>
      <c r="E411" s="24"/>
      <c r="F411" s="25"/>
      <c r="G411" s="1">
        <v>975</v>
      </c>
      <c r="H411" s="2">
        <v>96.5</v>
      </c>
      <c r="I411" s="2">
        <v>-5.7</v>
      </c>
      <c r="J411" s="2">
        <v>-7.7</v>
      </c>
      <c r="K411" s="2">
        <f t="shared" si="53"/>
        <v>-5.7</v>
      </c>
      <c r="L411" s="8">
        <f t="shared" si="57"/>
        <v>6.0255958607435443E-11</v>
      </c>
      <c r="M411" s="26"/>
      <c r="N411" s="17"/>
      <c r="O411" s="9">
        <f t="shared" si="55"/>
        <v>-7.7</v>
      </c>
      <c r="P411" s="8">
        <f>D410/B410*10^(O411/10)</f>
        <v>6.6231502446008026</v>
      </c>
      <c r="Q411" s="26"/>
      <c r="R411" s="17"/>
      <c r="S411" s="19"/>
      <c r="T411" s="17"/>
      <c r="U411" s="22"/>
    </row>
    <row r="412" spans="1:21" x14ac:dyDescent="0.25">
      <c r="A412" s="24"/>
      <c r="B412" s="24"/>
      <c r="C412" s="17"/>
      <c r="D412" s="24"/>
      <c r="E412" s="24"/>
      <c r="F412" s="25"/>
      <c r="G412" s="1">
        <v>1075</v>
      </c>
      <c r="H412" s="2">
        <v>94.6</v>
      </c>
      <c r="I412" s="2">
        <v>4.9000000000000004</v>
      </c>
      <c r="J412" s="2">
        <v>-10.6</v>
      </c>
      <c r="K412" s="2">
        <f t="shared" si="53"/>
        <v>4.9000000000000004</v>
      </c>
      <c r="L412" s="8">
        <f t="shared" si="57"/>
        <v>1.071519305237607E-9</v>
      </c>
      <c r="M412" s="26"/>
      <c r="N412" s="17"/>
      <c r="O412" s="9">
        <f t="shared" si="55"/>
        <v>-10.6</v>
      </c>
      <c r="P412" s="8">
        <f>D410/B410*10^(O412/10)</f>
        <v>3.3967580008287124</v>
      </c>
      <c r="Q412" s="26"/>
      <c r="R412" s="17"/>
      <c r="S412" s="19"/>
      <c r="T412" s="17"/>
      <c r="U412" s="22"/>
    </row>
    <row r="413" spans="1:21" x14ac:dyDescent="0.25">
      <c r="A413" s="24"/>
      <c r="B413" s="24"/>
      <c r="C413" s="17"/>
      <c r="D413" s="24"/>
      <c r="E413" s="24"/>
      <c r="F413" s="25"/>
      <c r="G413" s="1">
        <v>1175</v>
      </c>
      <c r="H413" s="2">
        <v>97.8</v>
      </c>
      <c r="I413" s="2">
        <v>0.3</v>
      </c>
      <c r="J413" s="2">
        <v>-9.6</v>
      </c>
      <c r="K413" s="2">
        <f t="shared" si="53"/>
        <v>0.3</v>
      </c>
      <c r="L413" s="8">
        <f t="shared" si="57"/>
        <v>1.778279410038918E-10</v>
      </c>
      <c r="M413" s="26"/>
      <c r="N413" s="17"/>
      <c r="O413" s="9">
        <f t="shared" si="55"/>
        <v>-9.6</v>
      </c>
      <c r="P413" s="8">
        <f>D410/B410*10^(O413/10)</f>
        <v>4.276264964958421</v>
      </c>
      <c r="Q413" s="26"/>
      <c r="R413" s="17"/>
      <c r="S413" s="19"/>
      <c r="T413" s="17"/>
      <c r="U413" s="22"/>
    </row>
    <row r="414" spans="1:21" x14ac:dyDescent="0.25">
      <c r="A414" s="24"/>
      <c r="B414" s="24"/>
      <c r="C414" s="17"/>
      <c r="D414" s="24"/>
      <c r="E414" s="24"/>
      <c r="F414" s="25"/>
      <c r="G414" s="1">
        <v>1275</v>
      </c>
      <c r="H414" s="2">
        <v>100.1</v>
      </c>
      <c r="I414" s="2">
        <v>4.4000000000000004</v>
      </c>
      <c r="J414" s="2">
        <v>3</v>
      </c>
      <c r="K414" s="2">
        <f t="shared" si="53"/>
        <v>4.4000000000000004</v>
      </c>
      <c r="L414" s="8">
        <f t="shared" si="57"/>
        <v>2.6915348039269225E-10</v>
      </c>
      <c r="M414" s="26"/>
      <c r="N414" s="17"/>
      <c r="O414" s="9">
        <f t="shared" si="55"/>
        <v>3</v>
      </c>
      <c r="P414" s="8">
        <f>D410/B410*10^(O414/10)</f>
        <v>77.815230283786306</v>
      </c>
      <c r="Q414" s="26"/>
      <c r="R414" s="17"/>
      <c r="S414" s="19"/>
      <c r="T414" s="17"/>
      <c r="U414" s="22"/>
    </row>
    <row r="415" spans="1:21" x14ac:dyDescent="0.25">
      <c r="A415" s="24"/>
      <c r="B415" s="24"/>
      <c r="C415" s="17"/>
      <c r="D415" s="24"/>
      <c r="E415" s="24"/>
      <c r="F415" s="25"/>
      <c r="G415" s="1">
        <v>1375</v>
      </c>
      <c r="H415" s="2">
        <v>103</v>
      </c>
      <c r="I415" s="2">
        <v>8.9</v>
      </c>
      <c r="J415" s="2">
        <v>-5.0999999999999996</v>
      </c>
      <c r="K415" s="2">
        <f t="shared" si="53"/>
        <v>8.9</v>
      </c>
      <c r="L415" s="8">
        <f t="shared" si="57"/>
        <v>3.8904514499427963E-10</v>
      </c>
      <c r="M415" s="26"/>
      <c r="N415" s="17"/>
      <c r="O415" s="9">
        <f t="shared" si="55"/>
        <v>-5.0999999999999996</v>
      </c>
      <c r="P415" s="8">
        <f>D410/B410*10^(O415/10)</f>
        <v>12.052152186802999</v>
      </c>
      <c r="Q415" s="26"/>
      <c r="R415" s="17"/>
      <c r="S415" s="20"/>
      <c r="T415" s="17"/>
      <c r="U415" s="23"/>
    </row>
    <row r="416" spans="1:21" x14ac:dyDescent="0.25">
      <c r="A416" s="24">
        <v>2000</v>
      </c>
      <c r="B416" s="24">
        <v>3</v>
      </c>
      <c r="C416" s="17">
        <v>0.5</v>
      </c>
      <c r="D416" s="24">
        <v>234</v>
      </c>
      <c r="E416" s="24">
        <v>6</v>
      </c>
      <c r="F416" s="25">
        <v>68</v>
      </c>
      <c r="G416" s="1">
        <v>1425</v>
      </c>
      <c r="H416" s="2">
        <v>102.8</v>
      </c>
      <c r="I416" s="2">
        <v>2.2000000000000002</v>
      </c>
      <c r="J416" s="2">
        <v>-13.2</v>
      </c>
      <c r="K416" s="2">
        <f t="shared" si="53"/>
        <v>2.2000000000000002</v>
      </c>
      <c r="L416" s="8">
        <f t="shared" si="57"/>
        <v>8.7096358995608072E-11</v>
      </c>
      <c r="M416" s="26">
        <f>SUM(L416:L421)</f>
        <v>1.9682465976906642E-9</v>
      </c>
      <c r="N416" s="17">
        <f>10*LOG10(M416/E416)</f>
        <v>-94.840717409899966</v>
      </c>
      <c r="O416" s="9">
        <f t="shared" si="55"/>
        <v>-13.2</v>
      </c>
      <c r="P416" s="8">
        <f>D416/B416*10^(O416/10)</f>
        <v>3.7333147201165793</v>
      </c>
      <c r="Q416" s="26">
        <f>SUM(P416:P421)</f>
        <v>307.56306974231819</v>
      </c>
      <c r="R416" s="17">
        <f>10*LOG10(Q416)</f>
        <v>24.879341868836327</v>
      </c>
      <c r="S416" s="18">
        <f>F416+N416-Kzt-H</f>
        <v>-26.840717409899966</v>
      </c>
      <c r="T416" s="17">
        <v>1</v>
      </c>
      <c r="U416" s="21">
        <f>T416*10^((S416-R416)/10)</f>
        <v>6.7296747059692295E-6</v>
      </c>
    </row>
    <row r="417" spans="1:21" x14ac:dyDescent="0.25">
      <c r="A417" s="24"/>
      <c r="B417" s="24"/>
      <c r="C417" s="17"/>
      <c r="D417" s="24"/>
      <c r="E417" s="24"/>
      <c r="F417" s="25"/>
      <c r="G417" s="1">
        <v>1625</v>
      </c>
      <c r="H417" s="2">
        <v>104.1</v>
      </c>
      <c r="I417" s="2">
        <v>12</v>
      </c>
      <c r="J417" s="2">
        <v>-6.2</v>
      </c>
      <c r="K417" s="2">
        <f t="shared" si="53"/>
        <v>12</v>
      </c>
      <c r="L417" s="8">
        <f t="shared" si="57"/>
        <v>6.1659500186148165E-10</v>
      </c>
      <c r="M417" s="26"/>
      <c r="N417" s="17"/>
      <c r="O417" s="9">
        <f t="shared" si="55"/>
        <v>-6.2</v>
      </c>
      <c r="P417" s="8">
        <f>D416/B416*10^(O417/10)</f>
        <v>18.710896768352022</v>
      </c>
      <c r="Q417" s="26"/>
      <c r="R417" s="17"/>
      <c r="S417" s="19"/>
      <c r="T417" s="17"/>
      <c r="U417" s="22"/>
    </row>
    <row r="418" spans="1:21" x14ac:dyDescent="0.25">
      <c r="A418" s="24"/>
      <c r="B418" s="24"/>
      <c r="C418" s="17"/>
      <c r="D418" s="24"/>
      <c r="E418" s="24"/>
      <c r="F418" s="25"/>
      <c r="G418" s="1">
        <v>1825</v>
      </c>
      <c r="H418" s="2">
        <v>107.6</v>
      </c>
      <c r="I418" s="2">
        <v>-8.6999999999999993</v>
      </c>
      <c r="J418" s="2">
        <v>-12.2</v>
      </c>
      <c r="K418" s="2">
        <f t="shared" si="53"/>
        <v>-8.6999999999999993</v>
      </c>
      <c r="L418" s="8">
        <f t="shared" si="57"/>
        <v>2.3442288153199247E-12</v>
      </c>
      <c r="M418" s="26"/>
      <c r="N418" s="17"/>
      <c r="O418" s="9">
        <f t="shared" si="55"/>
        <v>-12.2</v>
      </c>
      <c r="P418" s="8">
        <f>D416/B416*10^(O418/10)</f>
        <v>4.6999647713799879</v>
      </c>
      <c r="Q418" s="26"/>
      <c r="R418" s="17"/>
      <c r="S418" s="19"/>
      <c r="T418" s="17"/>
      <c r="U418" s="22"/>
    </row>
    <row r="419" spans="1:21" x14ac:dyDescent="0.25">
      <c r="A419" s="24"/>
      <c r="B419" s="24"/>
      <c r="C419" s="17"/>
      <c r="D419" s="24"/>
      <c r="E419" s="24"/>
      <c r="F419" s="25"/>
      <c r="G419" s="1">
        <v>2125</v>
      </c>
      <c r="H419" s="2">
        <v>104.2</v>
      </c>
      <c r="I419" s="2">
        <v>1.5999999999999999</v>
      </c>
      <c r="J419" s="2">
        <v>-0.3</v>
      </c>
      <c r="K419" s="2">
        <f t="shared" si="53"/>
        <v>1.5999999999999999</v>
      </c>
      <c r="L419" s="8">
        <f t="shared" si="57"/>
        <v>5.4954087385762175E-11</v>
      </c>
      <c r="M419" s="26"/>
      <c r="N419" s="17"/>
      <c r="O419" s="9">
        <f t="shared" si="55"/>
        <v>-0.3</v>
      </c>
      <c r="P419" s="8">
        <f>D416/B416*10^(O419/10)</f>
        <v>72.793835462165305</v>
      </c>
      <c r="Q419" s="26"/>
      <c r="R419" s="17"/>
      <c r="S419" s="19"/>
      <c r="T419" s="17"/>
      <c r="U419" s="22"/>
    </row>
    <row r="420" spans="1:21" x14ac:dyDescent="0.25">
      <c r="A420" s="24"/>
      <c r="B420" s="24"/>
      <c r="C420" s="17"/>
      <c r="D420" s="24"/>
      <c r="E420" s="24"/>
      <c r="F420" s="25"/>
      <c r="G420" s="1">
        <v>2425</v>
      </c>
      <c r="H420" s="2">
        <v>93.7</v>
      </c>
      <c r="I420" s="2">
        <v>4.3999999999999995</v>
      </c>
      <c r="J420" s="2">
        <v>3.8</v>
      </c>
      <c r="K420" s="2">
        <f t="shared" si="53"/>
        <v>4.3999999999999995</v>
      </c>
      <c r="L420" s="8">
        <f t="shared" si="57"/>
        <v>1.1748975549395295E-9</v>
      </c>
      <c r="M420" s="26"/>
      <c r="N420" s="17"/>
      <c r="O420" s="9">
        <f t="shared" si="55"/>
        <v>3.8</v>
      </c>
      <c r="P420" s="8">
        <f>D416/B416*10^(O420/10)</f>
        <v>187.10896768352029</v>
      </c>
      <c r="Q420" s="26"/>
      <c r="R420" s="17"/>
      <c r="S420" s="19"/>
      <c r="T420" s="17"/>
      <c r="U420" s="22"/>
    </row>
    <row r="421" spans="1:21" x14ac:dyDescent="0.25">
      <c r="A421" s="24"/>
      <c r="B421" s="24"/>
      <c r="C421" s="17"/>
      <c r="D421" s="24"/>
      <c r="E421" s="24"/>
      <c r="F421" s="25"/>
      <c r="G421" s="1">
        <v>2775</v>
      </c>
      <c r="H421" s="2">
        <v>100.2</v>
      </c>
      <c r="I421" s="2">
        <v>-4.7</v>
      </c>
      <c r="J421" s="2">
        <v>-5.8</v>
      </c>
      <c r="K421" s="2">
        <f t="shared" si="53"/>
        <v>-4.7</v>
      </c>
      <c r="L421" s="8">
        <f t="shared" si="57"/>
        <v>3.2359365692962733E-11</v>
      </c>
      <c r="M421" s="26"/>
      <c r="N421" s="17"/>
      <c r="O421" s="9">
        <f t="shared" si="55"/>
        <v>-5.8</v>
      </c>
      <c r="P421" s="8">
        <f>D416/B416*10^(O421/10)</f>
        <v>20.516090336783979</v>
      </c>
      <c r="Q421" s="26"/>
      <c r="R421" s="17"/>
      <c r="S421" s="20"/>
      <c r="T421" s="17"/>
      <c r="U421" s="23"/>
    </row>
    <row r="422" spans="1:21" x14ac:dyDescent="0.25">
      <c r="A422" s="24">
        <v>4000</v>
      </c>
      <c r="B422" s="24">
        <v>3</v>
      </c>
      <c r="C422" s="17">
        <v>0.5</v>
      </c>
      <c r="D422" s="24">
        <v>470</v>
      </c>
      <c r="E422" s="24">
        <v>6</v>
      </c>
      <c r="F422" s="25">
        <v>62</v>
      </c>
      <c r="G422" s="1">
        <v>2825</v>
      </c>
      <c r="H422" s="2">
        <v>99.4</v>
      </c>
      <c r="I422" s="2">
        <v>4</v>
      </c>
      <c r="J422" s="2">
        <v>-0.3</v>
      </c>
      <c r="K422" s="2">
        <f t="shared" si="53"/>
        <v>4</v>
      </c>
      <c r="L422" s="8">
        <f t="shared" si="57"/>
        <v>2.884031503126592E-10</v>
      </c>
      <c r="M422" s="26">
        <f>SUM(L422:L427)</f>
        <v>1.3307025803203727E-9</v>
      </c>
      <c r="N422" s="17">
        <f>10*LOG10(M422/E422)</f>
        <v>-96.540702513773837</v>
      </c>
      <c r="O422" s="9">
        <f t="shared" si="55"/>
        <v>-0.3</v>
      </c>
      <c r="P422" s="8">
        <f>D422/B422*10^(O422/10)</f>
        <v>146.20984045819526</v>
      </c>
      <c r="Q422" s="26">
        <f>SUM(P422:P427)</f>
        <v>2172.3568706188407</v>
      </c>
      <c r="R422" s="17">
        <f>10*LOG10(Q422)</f>
        <v>33.369311718419198</v>
      </c>
      <c r="S422" s="18">
        <f>F422+N422-Kzt-H</f>
        <v>-34.540702513773837</v>
      </c>
      <c r="T422" s="17">
        <v>0.9</v>
      </c>
      <c r="U422" s="21">
        <f>T422*10^((S422-R422)/10)</f>
        <v>1.456267261561447E-7</v>
      </c>
    </row>
    <row r="423" spans="1:21" x14ac:dyDescent="0.25">
      <c r="A423" s="24"/>
      <c r="B423" s="24"/>
      <c r="C423" s="17"/>
      <c r="D423" s="24"/>
      <c r="E423" s="24"/>
      <c r="F423" s="25"/>
      <c r="G423" s="1">
        <v>3425</v>
      </c>
      <c r="H423" s="2">
        <v>103.5</v>
      </c>
      <c r="I423" s="2">
        <v>-1.7</v>
      </c>
      <c r="J423" s="2">
        <v>-5.9</v>
      </c>
      <c r="K423" s="2">
        <f t="shared" si="53"/>
        <v>-1.7</v>
      </c>
      <c r="L423" s="8">
        <f t="shared" si="57"/>
        <v>3.0199517204020087E-11</v>
      </c>
      <c r="M423" s="26"/>
      <c r="N423" s="17"/>
      <c r="O423" s="9">
        <f t="shared" si="55"/>
        <v>-5.9</v>
      </c>
      <c r="P423" s="8">
        <f>D422/B422*10^(O423/10)</f>
        <v>40.269533930045512</v>
      </c>
      <c r="Q423" s="26"/>
      <c r="R423" s="17"/>
      <c r="S423" s="19"/>
      <c r="T423" s="17"/>
      <c r="U423" s="22"/>
    </row>
    <row r="424" spans="1:21" x14ac:dyDescent="0.25">
      <c r="A424" s="24"/>
      <c r="B424" s="24"/>
      <c r="C424" s="17"/>
      <c r="D424" s="24"/>
      <c r="E424" s="24"/>
      <c r="F424" s="25"/>
      <c r="G424" s="1">
        <v>4025</v>
      </c>
      <c r="H424" s="2">
        <v>103.6</v>
      </c>
      <c r="I424" s="2">
        <v>7.9</v>
      </c>
      <c r="J424" s="2">
        <v>-1.3</v>
      </c>
      <c r="K424" s="2">
        <f t="shared" si="53"/>
        <v>7.9</v>
      </c>
      <c r="L424" s="8">
        <f t="shared" si="57"/>
        <v>2.6915348039269225E-10</v>
      </c>
      <c r="M424" s="26"/>
      <c r="N424" s="17"/>
      <c r="O424" s="9">
        <f t="shared" si="55"/>
        <v>-1.3</v>
      </c>
      <c r="P424" s="8">
        <f>D422/B422*10^(O424/10)</f>
        <v>116.13860447047705</v>
      </c>
      <c r="Q424" s="26"/>
      <c r="R424" s="17"/>
      <c r="S424" s="19"/>
      <c r="T424" s="17"/>
      <c r="U424" s="22"/>
    </row>
    <row r="425" spans="1:21" x14ac:dyDescent="0.25">
      <c r="A425" s="24"/>
      <c r="B425" s="24"/>
      <c r="C425" s="17"/>
      <c r="D425" s="24"/>
      <c r="E425" s="24"/>
      <c r="F425" s="25"/>
      <c r="G425" s="1">
        <v>4625</v>
      </c>
      <c r="H425" s="2">
        <v>105.6</v>
      </c>
      <c r="I425" s="2">
        <v>13.1</v>
      </c>
      <c r="J425" s="2">
        <v>10.4</v>
      </c>
      <c r="K425" s="2">
        <f t="shared" si="53"/>
        <v>13.1</v>
      </c>
      <c r="L425" s="8">
        <f t="shared" si="57"/>
        <v>5.6234132519034889E-10</v>
      </c>
      <c r="M425" s="26"/>
      <c r="N425" s="17"/>
      <c r="O425" s="9">
        <f t="shared" si="55"/>
        <v>10.4</v>
      </c>
      <c r="P425" s="8">
        <f>D422/B422*10^(O425/10)</f>
        <v>1717.8158406243235</v>
      </c>
      <c r="Q425" s="26"/>
      <c r="R425" s="17"/>
      <c r="S425" s="19"/>
      <c r="T425" s="17"/>
      <c r="U425" s="22"/>
    </row>
    <row r="426" spans="1:21" x14ac:dyDescent="0.25">
      <c r="A426" s="24"/>
      <c r="B426" s="24"/>
      <c r="C426" s="17"/>
      <c r="D426" s="24"/>
      <c r="E426" s="24"/>
      <c r="F426" s="25"/>
      <c r="G426" s="1">
        <v>5225</v>
      </c>
      <c r="H426" s="2">
        <v>103.5</v>
      </c>
      <c r="I426" s="2">
        <v>0.1</v>
      </c>
      <c r="J426" s="2">
        <v>-2.5</v>
      </c>
      <c r="K426" s="2">
        <f t="shared" si="53"/>
        <v>0.1</v>
      </c>
      <c r="L426" s="8">
        <f t="shared" si="57"/>
        <v>4.5708818961487472E-11</v>
      </c>
      <c r="M426" s="26"/>
      <c r="N426" s="17"/>
      <c r="O426" s="9">
        <f t="shared" si="55"/>
        <v>-2.5</v>
      </c>
      <c r="P426" s="8">
        <f>D422/B422*10^(O426/10)</f>
        <v>88.100140946488011</v>
      </c>
      <c r="Q426" s="26"/>
      <c r="R426" s="17"/>
      <c r="S426" s="19"/>
      <c r="T426" s="17"/>
      <c r="U426" s="22"/>
    </row>
    <row r="427" spans="1:21" x14ac:dyDescent="0.25">
      <c r="A427" s="24"/>
      <c r="B427" s="24"/>
      <c r="C427" s="17"/>
      <c r="D427" s="24"/>
      <c r="E427" s="24"/>
      <c r="F427" s="25"/>
      <c r="G427" s="1">
        <v>5625</v>
      </c>
      <c r="H427" s="2">
        <v>99.5</v>
      </c>
      <c r="I427" s="2">
        <v>0.8</v>
      </c>
      <c r="J427" s="2">
        <v>-3.9</v>
      </c>
      <c r="K427" s="2">
        <f t="shared" si="53"/>
        <v>0.8</v>
      </c>
      <c r="L427" s="8">
        <f t="shared" si="57"/>
        <v>1.3489628825916465E-10</v>
      </c>
      <c r="M427" s="26"/>
      <c r="N427" s="17"/>
      <c r="O427" s="9">
        <f t="shared" si="55"/>
        <v>-3.9</v>
      </c>
      <c r="P427" s="8">
        <f>D422/B422*10^(O427/10)</f>
        <v>63.822910189310981</v>
      </c>
      <c r="Q427" s="26"/>
      <c r="R427" s="17"/>
      <c r="S427" s="20"/>
      <c r="T427" s="17"/>
      <c r="U427" s="23"/>
    </row>
    <row r="428" spans="1:21" x14ac:dyDescent="0.25">
      <c r="A428" s="24">
        <v>8000</v>
      </c>
      <c r="B428" s="24">
        <v>3</v>
      </c>
      <c r="C428" s="17">
        <v>0.5</v>
      </c>
      <c r="D428" s="24">
        <v>943</v>
      </c>
      <c r="E428" s="24">
        <v>6</v>
      </c>
      <c r="F428" s="25">
        <v>54</v>
      </c>
      <c r="G428" s="1">
        <v>6025</v>
      </c>
      <c r="H428" s="2">
        <v>95</v>
      </c>
      <c r="I428" s="2">
        <v>-7.2</v>
      </c>
      <c r="J428" s="2">
        <v>-10.4</v>
      </c>
      <c r="K428" s="2">
        <f t="shared" si="53"/>
        <v>-7.2</v>
      </c>
      <c r="L428" s="8">
        <f t="shared" si="57"/>
        <v>6.0255958607435443E-11</v>
      </c>
      <c r="M428" s="26">
        <f>SUM(L428:L433)</f>
        <v>2.7284452415500761E-7</v>
      </c>
      <c r="N428" s="17">
        <f>10*LOG10(M428/E428)</f>
        <v>-73.422360082370929</v>
      </c>
      <c r="O428" s="9">
        <f t="shared" si="55"/>
        <v>-10.4</v>
      </c>
      <c r="P428" s="8">
        <f>D428/B428*10^(O428/10)</f>
        <v>28.667540717087416</v>
      </c>
      <c r="Q428" s="26">
        <f>SUM(P428:P433)</f>
        <v>9833.641073544115</v>
      </c>
      <c r="R428" s="17">
        <f>10*LOG10(Q428)</f>
        <v>39.927143525585805</v>
      </c>
      <c r="S428" s="18">
        <f>F428+N428-Kzt-H</f>
        <v>-19.422360082370929</v>
      </c>
      <c r="T428" s="17">
        <v>0.7</v>
      </c>
      <c r="U428" s="21">
        <f>T428*10^((S428-R428)/10)</f>
        <v>8.1310696127660395E-7</v>
      </c>
    </row>
    <row r="429" spans="1:21" x14ac:dyDescent="0.25">
      <c r="A429" s="24"/>
      <c r="B429" s="24"/>
      <c r="C429" s="17"/>
      <c r="D429" s="24"/>
      <c r="E429" s="24"/>
      <c r="F429" s="25"/>
      <c r="G429" s="1">
        <v>7025</v>
      </c>
      <c r="H429" s="2">
        <v>94.8</v>
      </c>
      <c r="I429" s="2">
        <v>-2.6</v>
      </c>
      <c r="J429" s="2">
        <v>-2.7</v>
      </c>
      <c r="K429" s="2">
        <f t="shared" si="53"/>
        <v>-2.6</v>
      </c>
      <c r="L429" s="8">
        <f t="shared" si="57"/>
        <v>1.8197008586099848E-10</v>
      </c>
      <c r="M429" s="26"/>
      <c r="N429" s="17"/>
      <c r="O429" s="9">
        <f t="shared" si="55"/>
        <v>-2.7</v>
      </c>
      <c r="P429" s="8">
        <f>D428/B428*10^(O429/10)</f>
        <v>168.80699465904942</v>
      </c>
      <c r="Q429" s="26"/>
      <c r="R429" s="17"/>
      <c r="S429" s="19"/>
      <c r="T429" s="17"/>
      <c r="U429" s="22"/>
    </row>
    <row r="430" spans="1:21" x14ac:dyDescent="0.25">
      <c r="A430" s="24"/>
      <c r="B430" s="24"/>
      <c r="C430" s="17"/>
      <c r="D430" s="24"/>
      <c r="E430" s="24"/>
      <c r="F430" s="25"/>
      <c r="G430" s="1">
        <v>8025</v>
      </c>
      <c r="H430" s="2">
        <v>101.9</v>
      </c>
      <c r="I430" s="2">
        <v>34.200000000000003</v>
      </c>
      <c r="J430" s="2">
        <v>11.2</v>
      </c>
      <c r="K430" s="2">
        <f t="shared" si="53"/>
        <v>34.200000000000003</v>
      </c>
      <c r="L430" s="8">
        <f t="shared" si="57"/>
        <v>1.6982436524617395E-7</v>
      </c>
      <c r="M430" s="26"/>
      <c r="N430" s="17"/>
      <c r="O430" s="9">
        <f t="shared" si="55"/>
        <v>11.2</v>
      </c>
      <c r="P430" s="8">
        <f>D428/B428*10^(O430/10)</f>
        <v>4143.7203481956394</v>
      </c>
      <c r="Q430" s="26"/>
      <c r="R430" s="17"/>
      <c r="S430" s="19"/>
      <c r="T430" s="17"/>
      <c r="U430" s="22"/>
    </row>
    <row r="431" spans="1:21" x14ac:dyDescent="0.25">
      <c r="A431" s="24"/>
      <c r="B431" s="24"/>
      <c r="C431" s="17"/>
      <c r="D431" s="24"/>
      <c r="E431" s="24"/>
      <c r="F431" s="25"/>
      <c r="G431" s="1">
        <v>9025</v>
      </c>
      <c r="H431" s="2">
        <v>93.2</v>
      </c>
      <c r="I431" s="2">
        <v>6.9</v>
      </c>
      <c r="J431" s="2">
        <v>-5.6</v>
      </c>
      <c r="K431" s="2">
        <f t="shared" si="53"/>
        <v>6.9</v>
      </c>
      <c r="L431" s="8">
        <f t="shared" si="57"/>
        <v>2.3442288153199238E-9</v>
      </c>
      <c r="M431" s="26"/>
      <c r="N431" s="17"/>
      <c r="O431" s="9">
        <f t="shared" si="55"/>
        <v>-5.6</v>
      </c>
      <c r="P431" s="8">
        <f>D428/B428*10^(O431/10)</f>
        <v>86.574588908263024</v>
      </c>
      <c r="Q431" s="26"/>
      <c r="R431" s="17"/>
      <c r="S431" s="19"/>
      <c r="T431" s="17"/>
      <c r="U431" s="22"/>
    </row>
    <row r="432" spans="1:21" x14ac:dyDescent="0.25">
      <c r="A432" s="24"/>
      <c r="B432" s="24"/>
      <c r="C432" s="17"/>
      <c r="D432" s="24"/>
      <c r="E432" s="24"/>
      <c r="F432" s="25"/>
      <c r="G432" s="1">
        <v>10025</v>
      </c>
      <c r="H432" s="2">
        <v>88.3</v>
      </c>
      <c r="I432" s="2">
        <v>12.5</v>
      </c>
      <c r="J432" s="2">
        <v>12</v>
      </c>
      <c r="K432" s="2">
        <f t="shared" si="53"/>
        <v>12.5</v>
      </c>
      <c r="L432" s="8">
        <f t="shared" si="57"/>
        <v>2.6302679918953758E-8</v>
      </c>
      <c r="M432" s="26"/>
      <c r="N432" s="17"/>
      <c r="O432" s="9">
        <f t="shared" si="55"/>
        <v>12</v>
      </c>
      <c r="P432" s="8">
        <f>D428/B428*10^(O432/10)</f>
        <v>4981.8476016361001</v>
      </c>
      <c r="Q432" s="26"/>
      <c r="R432" s="17"/>
      <c r="S432" s="19"/>
      <c r="T432" s="17"/>
      <c r="U432" s="22"/>
    </row>
    <row r="433" spans="1:21" x14ac:dyDescent="0.25">
      <c r="A433" s="24"/>
      <c r="B433" s="24"/>
      <c r="C433" s="17"/>
      <c r="D433" s="24"/>
      <c r="E433" s="24"/>
      <c r="F433" s="25"/>
      <c r="G433" s="1">
        <v>11025</v>
      </c>
      <c r="H433" s="2">
        <v>86</v>
      </c>
      <c r="I433" s="2">
        <v>14.7</v>
      </c>
      <c r="J433" s="2">
        <v>1.3</v>
      </c>
      <c r="K433" s="2">
        <f t="shared" si="53"/>
        <v>14.7</v>
      </c>
      <c r="L433" s="8">
        <f t="shared" si="57"/>
        <v>7.413102413009154E-8</v>
      </c>
      <c r="M433" s="26"/>
      <c r="N433" s="17"/>
      <c r="O433" s="9">
        <f t="shared" si="55"/>
        <v>1.3</v>
      </c>
      <c r="P433" s="8">
        <f>D428/B428*10^(O433/10)</f>
        <v>424.02399942797649</v>
      </c>
      <c r="Q433" s="26"/>
      <c r="R433" s="17"/>
      <c r="S433" s="20"/>
      <c r="T433" s="17"/>
      <c r="U433" s="23"/>
    </row>
    <row r="434" spans="1:21" x14ac:dyDescent="0.25">
      <c r="A434" s="24" t="s">
        <v>20</v>
      </c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12">
        <f>U434</f>
        <v>7.2440263324716134E-2</v>
      </c>
      <c r="T434" s="2"/>
      <c r="U434" s="8">
        <f>0.8*SQRT(SUM(U400:U433))</f>
        <v>7.2440263324716134E-2</v>
      </c>
    </row>
    <row r="435" spans="1:21" x14ac:dyDescent="0.25">
      <c r="A435" s="27" t="s">
        <v>44</v>
      </c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9"/>
    </row>
    <row r="436" spans="1:21" x14ac:dyDescent="0.25">
      <c r="A436" s="24">
        <v>250</v>
      </c>
      <c r="B436" s="24">
        <v>3</v>
      </c>
      <c r="C436" s="17">
        <v>0.5</v>
      </c>
      <c r="D436" s="24">
        <v>38</v>
      </c>
      <c r="E436" s="24">
        <v>4</v>
      </c>
      <c r="F436" s="25">
        <v>84</v>
      </c>
      <c r="G436" s="1">
        <v>175</v>
      </c>
      <c r="H436" s="2">
        <v>84.8</v>
      </c>
      <c r="I436" s="2">
        <v>-5.0999999999999996</v>
      </c>
      <c r="J436" s="2">
        <v>-7</v>
      </c>
      <c r="K436" s="2">
        <f>I436</f>
        <v>-5.0999999999999996</v>
      </c>
      <c r="L436" s="8">
        <f>10^((K436-H436)/10)</f>
        <v>1.0232929922807547E-9</v>
      </c>
      <c r="M436" s="26">
        <f>SUM(L436:L439)</f>
        <v>2.9009939148886736E-9</v>
      </c>
      <c r="N436" s="17">
        <f>10*LOG10(M436/E436)</f>
        <v>-91.395131734984261</v>
      </c>
      <c r="O436" s="9">
        <f>J436</f>
        <v>-7</v>
      </c>
      <c r="P436" s="8">
        <f>D436/B436*10^(O436/10)</f>
        <v>2.5273322656272472</v>
      </c>
      <c r="Q436" s="26">
        <f>SUM(P436:P439)</f>
        <v>10.812535231089878</v>
      </c>
      <c r="R436" s="17">
        <f>10*LOG10(Q436)</f>
        <v>10.339275355612404</v>
      </c>
      <c r="S436" s="18">
        <f>F436+N436-Kzt-H</f>
        <v>-7.3951317349842611</v>
      </c>
      <c r="T436" s="17">
        <v>0.2</v>
      </c>
      <c r="U436" s="21">
        <f>T436*10^((S436-R436)/10)</f>
        <v>3.3696848597302553E-3</v>
      </c>
    </row>
    <row r="437" spans="1:21" x14ac:dyDescent="0.25">
      <c r="A437" s="24"/>
      <c r="B437" s="24"/>
      <c r="C437" s="17"/>
      <c r="D437" s="24"/>
      <c r="E437" s="24"/>
      <c r="F437" s="25"/>
      <c r="G437" s="1">
        <v>225</v>
      </c>
      <c r="H437" s="2">
        <v>90</v>
      </c>
      <c r="I437" s="2">
        <v>-4.4000000000000004</v>
      </c>
      <c r="J437" s="2">
        <v>-8.6999999999999993</v>
      </c>
      <c r="K437" s="2">
        <f t="shared" ref="K437:K469" si="58">I437</f>
        <v>-4.4000000000000004</v>
      </c>
      <c r="L437" s="8">
        <f t="shared" ref="L437:L438" si="59">10^((K437-H437)/10)</f>
        <v>3.6307805477009923E-10</v>
      </c>
      <c r="M437" s="26"/>
      <c r="N437" s="17"/>
      <c r="O437" s="9">
        <f t="shared" ref="O437:O469" si="60">J437</f>
        <v>-8.6999999999999993</v>
      </c>
      <c r="P437" s="8">
        <f>D436/B436*10^(O437/10)</f>
        <v>1.7086863179494274</v>
      </c>
      <c r="Q437" s="26"/>
      <c r="R437" s="17"/>
      <c r="S437" s="19"/>
      <c r="T437" s="17"/>
      <c r="U437" s="22"/>
    </row>
    <row r="438" spans="1:21" x14ac:dyDescent="0.25">
      <c r="A438" s="24"/>
      <c r="B438" s="24"/>
      <c r="C438" s="17"/>
      <c r="D438" s="24"/>
      <c r="E438" s="24"/>
      <c r="F438" s="25"/>
      <c r="G438" s="1">
        <v>275</v>
      </c>
      <c r="H438" s="2">
        <v>92.2</v>
      </c>
      <c r="I438" s="2">
        <v>-9.4</v>
      </c>
      <c r="J438" s="2">
        <v>-9.9</v>
      </c>
      <c r="K438" s="2">
        <f t="shared" si="58"/>
        <v>-9.4</v>
      </c>
      <c r="L438" s="8">
        <f t="shared" si="59"/>
        <v>6.9183097091893483E-11</v>
      </c>
      <c r="M438" s="26"/>
      <c r="N438" s="17"/>
      <c r="O438" s="9">
        <f t="shared" si="60"/>
        <v>-9.9</v>
      </c>
      <c r="P438" s="8">
        <f>D436/B436*10^(O438/10)</f>
        <v>1.2961711235556215</v>
      </c>
      <c r="Q438" s="26"/>
      <c r="R438" s="17"/>
      <c r="S438" s="19"/>
      <c r="T438" s="17"/>
      <c r="U438" s="22"/>
    </row>
    <row r="439" spans="1:21" x14ac:dyDescent="0.25">
      <c r="A439" s="24"/>
      <c r="B439" s="24"/>
      <c r="C439" s="17"/>
      <c r="D439" s="24"/>
      <c r="E439" s="24"/>
      <c r="F439" s="25"/>
      <c r="G439" s="1">
        <v>325</v>
      </c>
      <c r="H439" s="2">
        <v>93.3</v>
      </c>
      <c r="I439" s="2">
        <v>4.9000000000000004</v>
      </c>
      <c r="J439" s="2">
        <v>-3.8</v>
      </c>
      <c r="K439" s="2">
        <f t="shared" si="58"/>
        <v>4.9000000000000004</v>
      </c>
      <c r="L439" s="8">
        <f>10^((K439-H439)/10)</f>
        <v>1.4454397707459262E-9</v>
      </c>
      <c r="M439" s="26"/>
      <c r="N439" s="17"/>
      <c r="O439" s="9">
        <f t="shared" si="60"/>
        <v>-3.8</v>
      </c>
      <c r="P439" s="8">
        <f>D436/B436*10^(O439/10)</f>
        <v>5.2803455239575809</v>
      </c>
      <c r="Q439" s="26"/>
      <c r="R439" s="17"/>
      <c r="S439" s="20"/>
      <c r="T439" s="17"/>
      <c r="U439" s="23"/>
    </row>
    <row r="440" spans="1:21" x14ac:dyDescent="0.25">
      <c r="A440" s="24">
        <v>500</v>
      </c>
      <c r="B440" s="24">
        <v>3</v>
      </c>
      <c r="C440" s="17">
        <v>0.5</v>
      </c>
      <c r="D440" s="24">
        <v>59</v>
      </c>
      <c r="E440" s="24">
        <v>6</v>
      </c>
      <c r="F440" s="25">
        <v>84</v>
      </c>
      <c r="G440" s="1">
        <v>375</v>
      </c>
      <c r="H440" s="2">
        <v>91.9</v>
      </c>
      <c r="I440" s="2">
        <v>-4.5</v>
      </c>
      <c r="J440" s="2">
        <v>-7.5</v>
      </c>
      <c r="K440" s="2">
        <f t="shared" si="58"/>
        <v>-4.5</v>
      </c>
      <c r="L440" s="8">
        <f t="shared" ref="L440:L441" si="61">10^((K440-H440)/10)</f>
        <v>2.2908676527677644E-10</v>
      </c>
      <c r="M440" s="26">
        <f>SUM(L440:L445)</f>
        <v>6.517486256153318E-9</v>
      </c>
      <c r="N440" s="17">
        <f>10*LOG10(M440/E440)</f>
        <v>-89.640711263672998</v>
      </c>
      <c r="O440" s="9">
        <f t="shared" si="60"/>
        <v>-7.5</v>
      </c>
      <c r="P440" s="8">
        <f>D440/B440*10^(O440/10)</f>
        <v>3.4972828397432143</v>
      </c>
      <c r="Q440" s="26">
        <f>SUM(P440:P445)</f>
        <v>34.712790989468026</v>
      </c>
      <c r="R440" s="17">
        <f>10*LOG10(Q440)</f>
        <v>15.404895333658926</v>
      </c>
      <c r="S440" s="18">
        <f>F440+N440-Kzt-H</f>
        <v>-5.6407112636729977</v>
      </c>
      <c r="T440" s="17">
        <v>0.5</v>
      </c>
      <c r="U440" s="21">
        <f>T440*10^((S440-R440)/10)</f>
        <v>3.9301519765794551E-3</v>
      </c>
    </row>
    <row r="441" spans="1:21" x14ac:dyDescent="0.25">
      <c r="A441" s="24"/>
      <c r="B441" s="24"/>
      <c r="C441" s="17"/>
      <c r="D441" s="24"/>
      <c r="E441" s="24"/>
      <c r="F441" s="25"/>
      <c r="G441" s="1">
        <v>425</v>
      </c>
      <c r="H441" s="2">
        <v>88.1</v>
      </c>
      <c r="I441" s="2">
        <v>-3.2</v>
      </c>
      <c r="J441" s="2">
        <v>-3.5</v>
      </c>
      <c r="K441" s="2">
        <f t="shared" si="58"/>
        <v>-3.2</v>
      </c>
      <c r="L441" s="8">
        <f t="shared" si="61"/>
        <v>7.4131024130091898E-10</v>
      </c>
      <c r="M441" s="26"/>
      <c r="N441" s="17"/>
      <c r="O441" s="9">
        <f t="shared" si="60"/>
        <v>-3.5</v>
      </c>
      <c r="P441" s="8">
        <f>D440/B440*10^(O441/10)</f>
        <v>8.7847773123022765</v>
      </c>
      <c r="Q441" s="26"/>
      <c r="R441" s="17"/>
      <c r="S441" s="19"/>
      <c r="T441" s="17"/>
      <c r="U441" s="22"/>
    </row>
    <row r="442" spans="1:21" x14ac:dyDescent="0.25">
      <c r="A442" s="24"/>
      <c r="B442" s="24"/>
      <c r="C442" s="17"/>
      <c r="D442" s="24"/>
      <c r="E442" s="24"/>
      <c r="F442" s="25"/>
      <c r="G442" s="1">
        <v>475</v>
      </c>
      <c r="H442" s="2">
        <v>90</v>
      </c>
      <c r="I442" s="2">
        <v>-2.8</v>
      </c>
      <c r="J442" s="2">
        <v>-5.2</v>
      </c>
      <c r="K442" s="2">
        <f t="shared" si="58"/>
        <v>-2.8</v>
      </c>
      <c r="L442" s="8">
        <f>10^((K442-H442)/10)</f>
        <v>5.2480746024977249E-10</v>
      </c>
      <c r="M442" s="26"/>
      <c r="N442" s="17"/>
      <c r="O442" s="9">
        <f t="shared" si="60"/>
        <v>-5.2</v>
      </c>
      <c r="P442" s="8">
        <f>D440/B440*10^(O442/10)</f>
        <v>5.9392383834572975</v>
      </c>
      <c r="Q442" s="26"/>
      <c r="R442" s="17"/>
      <c r="S442" s="19"/>
      <c r="T442" s="17"/>
      <c r="U442" s="22"/>
    </row>
    <row r="443" spans="1:21" x14ac:dyDescent="0.25">
      <c r="A443" s="24"/>
      <c r="B443" s="24"/>
      <c r="C443" s="17"/>
      <c r="D443" s="24"/>
      <c r="E443" s="24"/>
      <c r="F443" s="25"/>
      <c r="G443" s="1">
        <v>575</v>
      </c>
      <c r="H443" s="2">
        <v>97</v>
      </c>
      <c r="I443" s="2">
        <v>7.8</v>
      </c>
      <c r="J443" s="2">
        <v>-4.3</v>
      </c>
      <c r="K443" s="2">
        <f t="shared" si="58"/>
        <v>7.8</v>
      </c>
      <c r="L443" s="8">
        <f t="shared" ref="L443:L469" si="62">10^((K443-H443)/10)</f>
        <v>1.2022644346174128E-9</v>
      </c>
      <c r="M443" s="26"/>
      <c r="N443" s="17"/>
      <c r="O443" s="9">
        <f t="shared" si="60"/>
        <v>-4.3</v>
      </c>
      <c r="P443" s="8">
        <f>D440/B440*10^(O443/10)</f>
        <v>7.3068595055777266</v>
      </c>
      <c r="Q443" s="26"/>
      <c r="R443" s="17"/>
      <c r="S443" s="19"/>
      <c r="T443" s="17"/>
      <c r="U443" s="22"/>
    </row>
    <row r="444" spans="1:21" x14ac:dyDescent="0.25">
      <c r="A444" s="24"/>
      <c r="B444" s="24"/>
      <c r="C444" s="17"/>
      <c r="D444" s="24"/>
      <c r="E444" s="24"/>
      <c r="F444" s="25"/>
      <c r="G444" s="1">
        <v>625</v>
      </c>
      <c r="H444" s="2">
        <v>92</v>
      </c>
      <c r="I444" s="2">
        <v>4.5</v>
      </c>
      <c r="J444" s="2">
        <v>-4.5</v>
      </c>
      <c r="K444" s="2">
        <f t="shared" si="58"/>
        <v>4.5</v>
      </c>
      <c r="L444" s="8">
        <f t="shared" si="62"/>
        <v>1.7782794100389197E-9</v>
      </c>
      <c r="M444" s="26"/>
      <c r="N444" s="17"/>
      <c r="O444" s="9">
        <f t="shared" si="60"/>
        <v>-4.5</v>
      </c>
      <c r="P444" s="8">
        <f>D440/B440*10^(O444/10)</f>
        <v>6.9779966549269838</v>
      </c>
      <c r="Q444" s="26"/>
      <c r="R444" s="17"/>
      <c r="S444" s="19"/>
      <c r="T444" s="17"/>
      <c r="U444" s="22"/>
    </row>
    <row r="445" spans="1:21" x14ac:dyDescent="0.25">
      <c r="A445" s="24"/>
      <c r="B445" s="24"/>
      <c r="C445" s="17"/>
      <c r="D445" s="24"/>
      <c r="E445" s="24"/>
      <c r="F445" s="25"/>
      <c r="G445" s="1">
        <v>675</v>
      </c>
      <c r="H445" s="2">
        <v>94.5</v>
      </c>
      <c r="I445" s="2">
        <v>7.6</v>
      </c>
      <c r="J445" s="2">
        <v>-9.5</v>
      </c>
      <c r="K445" s="2">
        <f t="shared" si="58"/>
        <v>7.6</v>
      </c>
      <c r="L445" s="8">
        <f t="shared" si="62"/>
        <v>2.0417379446695176E-9</v>
      </c>
      <c r="M445" s="26"/>
      <c r="N445" s="17"/>
      <c r="O445" s="9">
        <f t="shared" si="60"/>
        <v>-9.5</v>
      </c>
      <c r="P445" s="8">
        <f>D440/B440*10^(O445/10)</f>
        <v>2.2066362934605279</v>
      </c>
      <c r="Q445" s="26"/>
      <c r="R445" s="17"/>
      <c r="S445" s="20"/>
      <c r="T445" s="17"/>
      <c r="U445" s="23"/>
    </row>
    <row r="446" spans="1:21" x14ac:dyDescent="0.25">
      <c r="A446" s="24">
        <v>1000</v>
      </c>
      <c r="B446" s="24">
        <v>3</v>
      </c>
      <c r="C446" s="17">
        <v>0.5</v>
      </c>
      <c r="D446" s="24">
        <v>117</v>
      </c>
      <c r="E446" s="24">
        <v>6</v>
      </c>
      <c r="F446" s="25">
        <v>76</v>
      </c>
      <c r="G446" s="1">
        <v>875</v>
      </c>
      <c r="H446" s="2">
        <v>91.1</v>
      </c>
      <c r="I446" s="2">
        <v>-4.9000000000000004</v>
      </c>
      <c r="J446" s="2">
        <v>-6.8</v>
      </c>
      <c r="K446" s="2">
        <f t="shared" si="58"/>
        <v>-4.9000000000000004</v>
      </c>
      <c r="L446" s="8">
        <f t="shared" si="62"/>
        <v>2.5118864315095784E-10</v>
      </c>
      <c r="M446" s="26">
        <f>SUM(L446:L451)</f>
        <v>1.278009680114287E-9</v>
      </c>
      <c r="N446" s="17">
        <f>10*LOG10(M446/E446)</f>
        <v>-96.71617107043032</v>
      </c>
      <c r="O446" s="9">
        <f t="shared" si="60"/>
        <v>-6.8</v>
      </c>
      <c r="P446" s="8">
        <f>D446/B446*10^(O446/10)</f>
        <v>8.1482549103307544</v>
      </c>
      <c r="Q446" s="26">
        <f>SUM(P446:P451)</f>
        <v>77.828185798113722</v>
      </c>
      <c r="R446" s="17">
        <f>10*LOG10(Q446)</f>
        <v>18.911369070124188</v>
      </c>
      <c r="S446" s="18">
        <f>F446+N446-Kzt-H</f>
        <v>-20.71617107043032</v>
      </c>
      <c r="T446" s="17">
        <v>0.8</v>
      </c>
      <c r="U446" s="21">
        <f>T446*10^((S446-R446)/10)</f>
        <v>8.7163763354331371E-5</v>
      </c>
    </row>
    <row r="447" spans="1:21" x14ac:dyDescent="0.25">
      <c r="A447" s="24"/>
      <c r="B447" s="24"/>
      <c r="C447" s="17"/>
      <c r="D447" s="24"/>
      <c r="E447" s="24"/>
      <c r="F447" s="25"/>
      <c r="G447" s="1">
        <v>975</v>
      </c>
      <c r="H447" s="2">
        <v>96.5</v>
      </c>
      <c r="I447" s="2">
        <v>0.7</v>
      </c>
      <c r="J447" s="2">
        <v>-3.4</v>
      </c>
      <c r="K447" s="2">
        <f t="shared" si="58"/>
        <v>0.7</v>
      </c>
      <c r="L447" s="8">
        <f t="shared" si="62"/>
        <v>2.6302679918953798E-10</v>
      </c>
      <c r="M447" s="26"/>
      <c r="N447" s="17"/>
      <c r="O447" s="9">
        <f t="shared" si="60"/>
        <v>-3.4</v>
      </c>
      <c r="P447" s="8">
        <f>D446/B446*10^(O447/10)</f>
        <v>17.826439394980127</v>
      </c>
      <c r="Q447" s="26"/>
      <c r="R447" s="17"/>
      <c r="S447" s="19"/>
      <c r="T447" s="17"/>
      <c r="U447" s="22"/>
    </row>
    <row r="448" spans="1:21" x14ac:dyDescent="0.25">
      <c r="A448" s="24"/>
      <c r="B448" s="24"/>
      <c r="C448" s="17"/>
      <c r="D448" s="24"/>
      <c r="E448" s="24"/>
      <c r="F448" s="25"/>
      <c r="G448" s="1">
        <v>1075</v>
      </c>
      <c r="H448" s="2">
        <v>94.6</v>
      </c>
      <c r="I448" s="2">
        <v>-1.4</v>
      </c>
      <c r="J448" s="2">
        <v>-3.4</v>
      </c>
      <c r="K448" s="2">
        <f t="shared" si="58"/>
        <v>-1.4</v>
      </c>
      <c r="L448" s="8">
        <f t="shared" si="62"/>
        <v>2.5118864315095784E-10</v>
      </c>
      <c r="M448" s="26"/>
      <c r="N448" s="17"/>
      <c r="O448" s="9">
        <f t="shared" si="60"/>
        <v>-3.4</v>
      </c>
      <c r="P448" s="8">
        <f>D446/B446*10^(O448/10)</f>
        <v>17.826439394980127</v>
      </c>
      <c r="Q448" s="26"/>
      <c r="R448" s="17"/>
      <c r="S448" s="19"/>
      <c r="T448" s="17"/>
      <c r="U448" s="22"/>
    </row>
    <row r="449" spans="1:21" x14ac:dyDescent="0.25">
      <c r="A449" s="24"/>
      <c r="B449" s="24"/>
      <c r="C449" s="17"/>
      <c r="D449" s="24"/>
      <c r="E449" s="24"/>
      <c r="F449" s="25"/>
      <c r="G449" s="1">
        <v>1175</v>
      </c>
      <c r="H449" s="2">
        <v>97.8</v>
      </c>
      <c r="I449" s="2">
        <v>3.7</v>
      </c>
      <c r="J449" s="2">
        <v>-6.8</v>
      </c>
      <c r="K449" s="2">
        <f t="shared" si="58"/>
        <v>3.7</v>
      </c>
      <c r="L449" s="8">
        <f t="shared" si="62"/>
        <v>3.8904514499427963E-10</v>
      </c>
      <c r="M449" s="26"/>
      <c r="N449" s="17"/>
      <c r="O449" s="9">
        <f t="shared" si="60"/>
        <v>-6.8</v>
      </c>
      <c r="P449" s="8">
        <f>D446/B446*10^(O449/10)</f>
        <v>8.1482549103307544</v>
      </c>
      <c r="Q449" s="26"/>
      <c r="R449" s="17"/>
      <c r="S449" s="19"/>
      <c r="T449" s="17"/>
      <c r="U449" s="22"/>
    </row>
    <row r="450" spans="1:21" x14ac:dyDescent="0.25">
      <c r="A450" s="24"/>
      <c r="B450" s="24"/>
      <c r="C450" s="17"/>
      <c r="D450" s="24"/>
      <c r="E450" s="24"/>
      <c r="F450" s="25"/>
      <c r="G450" s="1">
        <v>1275</v>
      </c>
      <c r="H450" s="2">
        <v>100.1</v>
      </c>
      <c r="I450" s="2">
        <v>-0.3</v>
      </c>
      <c r="J450" s="2">
        <v>-7.6</v>
      </c>
      <c r="K450" s="2">
        <f t="shared" si="58"/>
        <v>-0.3</v>
      </c>
      <c r="L450" s="8">
        <f t="shared" si="62"/>
        <v>9.1201083935590972E-11</v>
      </c>
      <c r="M450" s="26"/>
      <c r="N450" s="17"/>
      <c r="O450" s="9">
        <f t="shared" si="60"/>
        <v>-7.6</v>
      </c>
      <c r="P450" s="8">
        <f>D446/B446*10^(O450/10)</f>
        <v>6.7774232321225618</v>
      </c>
      <c r="Q450" s="26"/>
      <c r="R450" s="17"/>
      <c r="S450" s="19"/>
      <c r="T450" s="17"/>
      <c r="U450" s="22"/>
    </row>
    <row r="451" spans="1:21" x14ac:dyDescent="0.25">
      <c r="A451" s="24"/>
      <c r="B451" s="24"/>
      <c r="C451" s="17"/>
      <c r="D451" s="24"/>
      <c r="E451" s="24"/>
      <c r="F451" s="25"/>
      <c r="G451" s="1">
        <v>1375</v>
      </c>
      <c r="H451" s="2">
        <v>103</v>
      </c>
      <c r="I451" s="2">
        <v>-1.9000000000000001</v>
      </c>
      <c r="J451" s="2">
        <v>-3.1</v>
      </c>
      <c r="K451" s="2">
        <f t="shared" si="58"/>
        <v>-1.9000000000000001</v>
      </c>
      <c r="L451" s="8">
        <f t="shared" si="62"/>
        <v>3.2359365692962733E-11</v>
      </c>
      <c r="M451" s="26"/>
      <c r="N451" s="17"/>
      <c r="O451" s="9">
        <f t="shared" si="60"/>
        <v>-3.1</v>
      </c>
      <c r="P451" s="8">
        <f>D446/B446*10^(O451/10)</f>
        <v>19.1013739553694</v>
      </c>
      <c r="Q451" s="26"/>
      <c r="R451" s="17"/>
      <c r="S451" s="20"/>
      <c r="T451" s="17"/>
      <c r="U451" s="23"/>
    </row>
    <row r="452" spans="1:21" x14ac:dyDescent="0.25">
      <c r="A452" s="24">
        <v>2000</v>
      </c>
      <c r="B452" s="24">
        <v>3</v>
      </c>
      <c r="C452" s="17">
        <v>0.5</v>
      </c>
      <c r="D452" s="24">
        <v>234</v>
      </c>
      <c r="E452" s="24">
        <v>6</v>
      </c>
      <c r="F452" s="25">
        <v>68</v>
      </c>
      <c r="G452" s="1">
        <v>1425</v>
      </c>
      <c r="H452" s="2">
        <v>102.8</v>
      </c>
      <c r="I452" s="2">
        <v>-1.6</v>
      </c>
      <c r="J452" s="2">
        <v>-2.7</v>
      </c>
      <c r="K452" s="2">
        <f t="shared" si="58"/>
        <v>-1.6</v>
      </c>
      <c r="L452" s="8">
        <f t="shared" si="62"/>
        <v>3.6307805477010142E-11</v>
      </c>
      <c r="M452" s="26">
        <f>SUM(L452:L457)</f>
        <v>1.8505835303950905E-9</v>
      </c>
      <c r="N452" s="17">
        <f>10*LOG10(M452/E452)</f>
        <v>-95.10842557617778</v>
      </c>
      <c r="O452" s="9">
        <f t="shared" si="60"/>
        <v>-2.7</v>
      </c>
      <c r="P452" s="8">
        <f>D452/B452*10^(O452/10)</f>
        <v>41.888480116879705</v>
      </c>
      <c r="Q452" s="26">
        <f>SUM(P452:P457)</f>
        <v>316.03779850026564</v>
      </c>
      <c r="R452" s="17">
        <f>10*LOG10(Q452)</f>
        <v>24.997390278664508</v>
      </c>
      <c r="S452" s="18">
        <f>F452+N452-Kzt-H</f>
        <v>-27.10842557617778</v>
      </c>
      <c r="T452" s="17">
        <v>1</v>
      </c>
      <c r="U452" s="21">
        <f>T452*10^((S452-R452)/10)</f>
        <v>6.1576984125412135E-6</v>
      </c>
    </row>
    <row r="453" spans="1:21" x14ac:dyDescent="0.25">
      <c r="A453" s="24"/>
      <c r="B453" s="24"/>
      <c r="C453" s="17"/>
      <c r="D453" s="24"/>
      <c r="E453" s="24"/>
      <c r="F453" s="25"/>
      <c r="G453" s="1">
        <v>1625</v>
      </c>
      <c r="H453" s="2">
        <v>104.1</v>
      </c>
      <c r="I453" s="2">
        <v>0.3</v>
      </c>
      <c r="J453" s="2">
        <v>-0.3</v>
      </c>
      <c r="K453" s="2">
        <f t="shared" si="58"/>
        <v>0.3</v>
      </c>
      <c r="L453" s="8">
        <f t="shared" si="62"/>
        <v>4.1686938347033529E-11</v>
      </c>
      <c r="M453" s="26"/>
      <c r="N453" s="17"/>
      <c r="O453" s="9">
        <f t="shared" si="60"/>
        <v>-0.3</v>
      </c>
      <c r="P453" s="8">
        <f>D452/B452*10^(O453/10)</f>
        <v>72.793835462165305</v>
      </c>
      <c r="Q453" s="26"/>
      <c r="R453" s="17"/>
      <c r="S453" s="19"/>
      <c r="T453" s="17"/>
      <c r="U453" s="22"/>
    </row>
    <row r="454" spans="1:21" x14ac:dyDescent="0.25">
      <c r="A454" s="24"/>
      <c r="B454" s="24"/>
      <c r="C454" s="17"/>
      <c r="D454" s="24"/>
      <c r="E454" s="24"/>
      <c r="F454" s="25"/>
      <c r="G454" s="1">
        <v>1825</v>
      </c>
      <c r="H454" s="2">
        <v>107.6</v>
      </c>
      <c r="I454" s="2">
        <v>7.6</v>
      </c>
      <c r="J454" s="2">
        <v>-4</v>
      </c>
      <c r="K454" s="2">
        <f t="shared" si="58"/>
        <v>7.6</v>
      </c>
      <c r="L454" s="8">
        <f t="shared" si="62"/>
        <v>1E-10</v>
      </c>
      <c r="M454" s="26"/>
      <c r="N454" s="17"/>
      <c r="O454" s="9">
        <f t="shared" si="60"/>
        <v>-4</v>
      </c>
      <c r="P454" s="8">
        <f>D452/B452*10^(O454/10)</f>
        <v>31.052359303172782</v>
      </c>
      <c r="Q454" s="26"/>
      <c r="R454" s="17"/>
      <c r="S454" s="19"/>
      <c r="T454" s="17"/>
      <c r="U454" s="22"/>
    </row>
    <row r="455" spans="1:21" x14ac:dyDescent="0.25">
      <c r="A455" s="24"/>
      <c r="B455" s="24"/>
      <c r="C455" s="17"/>
      <c r="D455" s="24"/>
      <c r="E455" s="24"/>
      <c r="F455" s="25"/>
      <c r="G455" s="1">
        <v>2125</v>
      </c>
      <c r="H455" s="2">
        <v>104.2</v>
      </c>
      <c r="I455" s="2">
        <v>8</v>
      </c>
      <c r="J455" s="2">
        <v>-1</v>
      </c>
      <c r="K455" s="2">
        <f t="shared" si="58"/>
        <v>8</v>
      </c>
      <c r="L455" s="8">
        <f t="shared" si="62"/>
        <v>2.3988329190194809E-10</v>
      </c>
      <c r="M455" s="26"/>
      <c r="N455" s="17"/>
      <c r="O455" s="9">
        <f t="shared" si="60"/>
        <v>-1</v>
      </c>
      <c r="P455" s="8">
        <f>D452/B452*10^(O455/10)</f>
        <v>61.957602308493954</v>
      </c>
      <c r="Q455" s="26"/>
      <c r="R455" s="17"/>
      <c r="S455" s="19"/>
      <c r="T455" s="17"/>
      <c r="U455" s="22"/>
    </row>
    <row r="456" spans="1:21" x14ac:dyDescent="0.25">
      <c r="A456" s="24"/>
      <c r="B456" s="24"/>
      <c r="C456" s="17"/>
      <c r="D456" s="24"/>
      <c r="E456" s="24"/>
      <c r="F456" s="25"/>
      <c r="G456" s="1">
        <v>2425</v>
      </c>
      <c r="H456" s="2">
        <v>93.7</v>
      </c>
      <c r="I456" s="2">
        <v>4.7</v>
      </c>
      <c r="J456" s="2">
        <v>0</v>
      </c>
      <c r="K456" s="2">
        <f t="shared" si="58"/>
        <v>4.7</v>
      </c>
      <c r="L456" s="8">
        <f t="shared" si="62"/>
        <v>1.2589254117941623E-9</v>
      </c>
      <c r="M456" s="26"/>
      <c r="N456" s="17"/>
      <c r="O456" s="9">
        <f t="shared" si="60"/>
        <v>0</v>
      </c>
      <c r="P456" s="8">
        <f>D452/B452*10^(O456/10)</f>
        <v>78</v>
      </c>
      <c r="Q456" s="26"/>
      <c r="R456" s="17"/>
      <c r="S456" s="19"/>
      <c r="T456" s="17"/>
      <c r="U456" s="22"/>
    </row>
    <row r="457" spans="1:21" x14ac:dyDescent="0.25">
      <c r="A457" s="24"/>
      <c r="B457" s="24"/>
      <c r="C457" s="17"/>
      <c r="D457" s="24"/>
      <c r="E457" s="24"/>
      <c r="F457" s="25"/>
      <c r="G457" s="1">
        <v>2775</v>
      </c>
      <c r="H457" s="2">
        <v>100.2</v>
      </c>
      <c r="I457" s="2">
        <v>2.6</v>
      </c>
      <c r="J457" s="2">
        <v>-4.0999999999999996</v>
      </c>
      <c r="K457" s="2">
        <f t="shared" si="58"/>
        <v>2.6</v>
      </c>
      <c r="L457" s="8">
        <f t="shared" si="62"/>
        <v>1.7378008287493647E-10</v>
      </c>
      <c r="M457" s="26"/>
      <c r="N457" s="17"/>
      <c r="O457" s="9">
        <f t="shared" si="60"/>
        <v>-4.0999999999999996</v>
      </c>
      <c r="P457" s="8">
        <f>D452/B452*10^(O457/10)</f>
        <v>30.345521309553884</v>
      </c>
      <c r="Q457" s="26"/>
      <c r="R457" s="17"/>
      <c r="S457" s="20"/>
      <c r="T457" s="17"/>
      <c r="U457" s="23"/>
    </row>
    <row r="458" spans="1:21" x14ac:dyDescent="0.25">
      <c r="A458" s="24">
        <v>4000</v>
      </c>
      <c r="B458" s="24">
        <v>3</v>
      </c>
      <c r="C458" s="17">
        <v>0.5</v>
      </c>
      <c r="D458" s="24">
        <v>470</v>
      </c>
      <c r="E458" s="24">
        <v>6</v>
      </c>
      <c r="F458" s="25">
        <v>62</v>
      </c>
      <c r="G458" s="1">
        <v>2825</v>
      </c>
      <c r="H458" s="2">
        <v>99.4</v>
      </c>
      <c r="I458" s="2">
        <v>2.9000000000000004</v>
      </c>
      <c r="J458" s="2">
        <v>2.1</v>
      </c>
      <c r="K458" s="2">
        <f t="shared" si="58"/>
        <v>2.9000000000000004</v>
      </c>
      <c r="L458" s="8">
        <f t="shared" si="62"/>
        <v>2.238721138568331E-10</v>
      </c>
      <c r="M458" s="26">
        <f>SUM(L458:L463)</f>
        <v>1.2439542269782807E-9</v>
      </c>
      <c r="N458" s="17">
        <f>10*LOG10(M458/E458)</f>
        <v>-96.833468502028666</v>
      </c>
      <c r="O458" s="9">
        <f t="shared" si="60"/>
        <v>2.1</v>
      </c>
      <c r="P458" s="8">
        <f>D458/B458*10^(O458/10)</f>
        <v>254.08358191956572</v>
      </c>
      <c r="Q458" s="26">
        <f>SUM(P458:P463)</f>
        <v>2169.9700785827667</v>
      </c>
      <c r="R458" s="17">
        <f>10*LOG10(Q458)</f>
        <v>33.364537454632824</v>
      </c>
      <c r="S458" s="18">
        <f>F458+N458-Kzt-H</f>
        <v>-34.833468502028666</v>
      </c>
      <c r="T458" s="17">
        <v>0.9</v>
      </c>
      <c r="U458" s="21">
        <f>T458*10^((S458-R458)/10)</f>
        <v>1.3628307174807236E-7</v>
      </c>
    </row>
    <row r="459" spans="1:21" x14ac:dyDescent="0.25">
      <c r="A459" s="24"/>
      <c r="B459" s="24"/>
      <c r="C459" s="17"/>
      <c r="D459" s="24"/>
      <c r="E459" s="24"/>
      <c r="F459" s="25"/>
      <c r="G459" s="1">
        <v>3425</v>
      </c>
      <c r="H459" s="2">
        <v>103.5</v>
      </c>
      <c r="I459" s="2">
        <v>1.1000000000000001</v>
      </c>
      <c r="J459" s="2">
        <v>-2.7</v>
      </c>
      <c r="K459" s="2">
        <f t="shared" si="58"/>
        <v>1.1000000000000001</v>
      </c>
      <c r="L459" s="8">
        <f t="shared" si="62"/>
        <v>5.7543993733715601E-11</v>
      </c>
      <c r="M459" s="26"/>
      <c r="N459" s="17"/>
      <c r="O459" s="9">
        <f t="shared" si="60"/>
        <v>-2.7</v>
      </c>
      <c r="P459" s="8">
        <f>D458/B458*10^(O459/10)</f>
        <v>84.134981431339583</v>
      </c>
      <c r="Q459" s="26"/>
      <c r="R459" s="17"/>
      <c r="S459" s="19"/>
      <c r="T459" s="17"/>
      <c r="U459" s="22"/>
    </row>
    <row r="460" spans="1:21" x14ac:dyDescent="0.25">
      <c r="A460" s="24"/>
      <c r="B460" s="24"/>
      <c r="C460" s="17"/>
      <c r="D460" s="24"/>
      <c r="E460" s="24"/>
      <c r="F460" s="25"/>
      <c r="G460" s="1">
        <v>4025</v>
      </c>
      <c r="H460" s="2">
        <v>103.6</v>
      </c>
      <c r="I460" s="2">
        <v>-5.0999999999999996</v>
      </c>
      <c r="J460" s="2">
        <v>-5.0999999999999996</v>
      </c>
      <c r="K460" s="2">
        <f t="shared" si="58"/>
        <v>-5.0999999999999996</v>
      </c>
      <c r="L460" s="8">
        <f t="shared" si="62"/>
        <v>1.3489628825916547E-11</v>
      </c>
      <c r="M460" s="26"/>
      <c r="N460" s="17"/>
      <c r="O460" s="9">
        <f t="shared" si="60"/>
        <v>-5.0999999999999996</v>
      </c>
      <c r="P460" s="8">
        <f>D458/B458*10^(O460/10)</f>
        <v>48.414628442712896</v>
      </c>
      <c r="Q460" s="26"/>
      <c r="R460" s="17"/>
      <c r="S460" s="19"/>
      <c r="T460" s="17"/>
      <c r="U460" s="22"/>
    </row>
    <row r="461" spans="1:21" x14ac:dyDescent="0.25">
      <c r="A461" s="24"/>
      <c r="B461" s="24"/>
      <c r="C461" s="17"/>
      <c r="D461" s="24"/>
      <c r="E461" s="24"/>
      <c r="F461" s="25"/>
      <c r="G461" s="1">
        <v>4625</v>
      </c>
      <c r="H461" s="2">
        <v>105.6</v>
      </c>
      <c r="I461" s="2">
        <v>10.899999999999999</v>
      </c>
      <c r="J461" s="2">
        <v>10.199999999999999</v>
      </c>
      <c r="K461" s="2">
        <f t="shared" si="58"/>
        <v>10.899999999999999</v>
      </c>
      <c r="L461" s="8">
        <f t="shared" si="62"/>
        <v>3.3884415613920311E-10</v>
      </c>
      <c r="M461" s="26"/>
      <c r="N461" s="17"/>
      <c r="O461" s="9">
        <f t="shared" si="60"/>
        <v>10.199999999999999</v>
      </c>
      <c r="P461" s="8">
        <f>D458/B458*10^(O461/10)</f>
        <v>1640.5013919464097</v>
      </c>
      <c r="Q461" s="26"/>
      <c r="R461" s="17"/>
      <c r="S461" s="19"/>
      <c r="T461" s="17"/>
      <c r="U461" s="22"/>
    </row>
    <row r="462" spans="1:21" x14ac:dyDescent="0.25">
      <c r="A462" s="24"/>
      <c r="B462" s="24"/>
      <c r="C462" s="17"/>
      <c r="D462" s="24"/>
      <c r="E462" s="24"/>
      <c r="F462" s="25"/>
      <c r="G462" s="1">
        <v>5225</v>
      </c>
      <c r="H462" s="2">
        <v>103.5</v>
      </c>
      <c r="I462" s="2">
        <v>0.3</v>
      </c>
      <c r="J462" s="2">
        <v>-5.3</v>
      </c>
      <c r="K462" s="2">
        <f t="shared" si="58"/>
        <v>0.3</v>
      </c>
      <c r="L462" s="8">
        <f t="shared" si="62"/>
        <v>4.786300923226362E-11</v>
      </c>
      <c r="M462" s="26"/>
      <c r="N462" s="17"/>
      <c r="O462" s="9">
        <f t="shared" si="60"/>
        <v>-5.3</v>
      </c>
      <c r="P462" s="8">
        <f>D458/B458*10^(O462/10)</f>
        <v>46.235611217773361</v>
      </c>
      <c r="Q462" s="26"/>
      <c r="R462" s="17"/>
      <c r="S462" s="19"/>
      <c r="T462" s="17"/>
      <c r="U462" s="22"/>
    </row>
    <row r="463" spans="1:21" x14ac:dyDescent="0.25">
      <c r="A463" s="24"/>
      <c r="B463" s="24"/>
      <c r="C463" s="17"/>
      <c r="D463" s="24"/>
      <c r="E463" s="24"/>
      <c r="F463" s="25"/>
      <c r="G463" s="1">
        <v>5625</v>
      </c>
      <c r="H463" s="2">
        <v>99.5</v>
      </c>
      <c r="I463" s="2">
        <v>7</v>
      </c>
      <c r="J463" s="2">
        <v>-2.1</v>
      </c>
      <c r="K463" s="2">
        <f t="shared" si="58"/>
        <v>7</v>
      </c>
      <c r="L463" s="8">
        <f t="shared" si="62"/>
        <v>5.6234132519034889E-10</v>
      </c>
      <c r="M463" s="26"/>
      <c r="N463" s="17"/>
      <c r="O463" s="9">
        <f t="shared" si="60"/>
        <v>-2.1</v>
      </c>
      <c r="P463" s="8">
        <f>D458/B458*10^(O463/10)</f>
        <v>96.599883624965514</v>
      </c>
      <c r="Q463" s="26"/>
      <c r="R463" s="17"/>
      <c r="S463" s="20"/>
      <c r="T463" s="17"/>
      <c r="U463" s="23"/>
    </row>
    <row r="464" spans="1:21" x14ac:dyDescent="0.25">
      <c r="A464" s="24">
        <v>8000</v>
      </c>
      <c r="B464" s="24">
        <v>3</v>
      </c>
      <c r="C464" s="17">
        <v>0.5</v>
      </c>
      <c r="D464" s="24">
        <v>943</v>
      </c>
      <c r="E464" s="24">
        <v>6</v>
      </c>
      <c r="F464" s="25">
        <v>54</v>
      </c>
      <c r="G464" s="1">
        <v>6025</v>
      </c>
      <c r="H464" s="2">
        <v>95</v>
      </c>
      <c r="I464" s="2">
        <v>1</v>
      </c>
      <c r="J464" s="2">
        <v>-1</v>
      </c>
      <c r="K464" s="2">
        <f t="shared" si="58"/>
        <v>1</v>
      </c>
      <c r="L464" s="8">
        <f t="shared" si="62"/>
        <v>3.9810717055349621E-10</v>
      </c>
      <c r="M464" s="26">
        <f>SUM(L464:L469)</f>
        <v>4.3014579360294364E-8</v>
      </c>
      <c r="N464" s="17">
        <f>10*LOG10(M464/E464)</f>
        <v>-81.44535570093241</v>
      </c>
      <c r="O464" s="9">
        <f t="shared" si="60"/>
        <v>-1</v>
      </c>
      <c r="P464" s="8">
        <f>D464/B464*10^(O464/10)</f>
        <v>249.68384178166579</v>
      </c>
      <c r="Q464" s="26">
        <f>SUM(P464:P469)</f>
        <v>3589.5611067385362</v>
      </c>
      <c r="R464" s="17">
        <f>10*LOG10(Q464)</f>
        <v>35.55041350925412</v>
      </c>
      <c r="S464" s="18">
        <f>F464+N464-Kzt-H</f>
        <v>-27.44535570093241</v>
      </c>
      <c r="T464" s="17">
        <v>0.7</v>
      </c>
      <c r="U464" s="21">
        <f>T464*10^((S464-R464)/10)</f>
        <v>3.5117300104167357E-7</v>
      </c>
    </row>
    <row r="465" spans="1:21" x14ac:dyDescent="0.25">
      <c r="A465" s="24"/>
      <c r="B465" s="24"/>
      <c r="C465" s="17"/>
      <c r="D465" s="24"/>
      <c r="E465" s="24"/>
      <c r="F465" s="25"/>
      <c r="G465" s="1">
        <v>7025</v>
      </c>
      <c r="H465" s="2">
        <v>94.8</v>
      </c>
      <c r="I465" s="2">
        <v>10.5</v>
      </c>
      <c r="J465" s="2">
        <v>-0.5</v>
      </c>
      <c r="K465" s="2">
        <f t="shared" si="58"/>
        <v>10.5</v>
      </c>
      <c r="L465" s="8">
        <f t="shared" si="62"/>
        <v>3.7153522909717206E-9</v>
      </c>
      <c r="M465" s="26"/>
      <c r="N465" s="17"/>
      <c r="O465" s="9">
        <f t="shared" si="60"/>
        <v>-0.5</v>
      </c>
      <c r="P465" s="8">
        <f>D464/B464*10^(O465/10)</f>
        <v>280.14987822004065</v>
      </c>
      <c r="Q465" s="26"/>
      <c r="R465" s="17"/>
      <c r="S465" s="19"/>
      <c r="T465" s="17"/>
      <c r="U465" s="22"/>
    </row>
    <row r="466" spans="1:21" x14ac:dyDescent="0.25">
      <c r="A466" s="24"/>
      <c r="B466" s="24"/>
      <c r="C466" s="17"/>
      <c r="D466" s="24"/>
      <c r="E466" s="24"/>
      <c r="F466" s="25"/>
      <c r="G466" s="1">
        <v>8025</v>
      </c>
      <c r="H466" s="2">
        <v>101.9</v>
      </c>
      <c r="I466" s="2">
        <v>7.8</v>
      </c>
      <c r="J466" s="2">
        <v>6.8</v>
      </c>
      <c r="K466" s="2">
        <f t="shared" si="58"/>
        <v>7.8</v>
      </c>
      <c r="L466" s="8">
        <f t="shared" si="62"/>
        <v>3.8904514499427963E-10</v>
      </c>
      <c r="M466" s="26"/>
      <c r="N466" s="17"/>
      <c r="O466" s="9">
        <f t="shared" si="60"/>
        <v>6.8</v>
      </c>
      <c r="P466" s="8">
        <f>D464/B464*10^(O466/10)</f>
        <v>1504.4939235341596</v>
      </c>
      <c r="Q466" s="26"/>
      <c r="R466" s="17"/>
      <c r="S466" s="19"/>
      <c r="T466" s="17"/>
      <c r="U466" s="22"/>
    </row>
    <row r="467" spans="1:21" x14ac:dyDescent="0.25">
      <c r="A467" s="24"/>
      <c r="B467" s="24"/>
      <c r="C467" s="17"/>
      <c r="D467" s="24"/>
      <c r="E467" s="24"/>
      <c r="F467" s="25"/>
      <c r="G467" s="1">
        <v>9025</v>
      </c>
      <c r="H467" s="2">
        <v>93.2</v>
      </c>
      <c r="I467" s="2">
        <v>4.0999999999999996</v>
      </c>
      <c r="J467" s="2">
        <v>2.2000000000000002</v>
      </c>
      <c r="K467" s="2">
        <f t="shared" si="58"/>
        <v>4.0999999999999996</v>
      </c>
      <c r="L467" s="8">
        <f t="shared" si="62"/>
        <v>1.230268770812377E-9</v>
      </c>
      <c r="M467" s="26"/>
      <c r="N467" s="17"/>
      <c r="O467" s="9">
        <f t="shared" si="60"/>
        <v>2.2000000000000002</v>
      </c>
      <c r="P467" s="8">
        <f>D464/B464*10^(O467/10)</f>
        <v>521.6634845712066</v>
      </c>
      <c r="Q467" s="26"/>
      <c r="R467" s="17"/>
      <c r="S467" s="19"/>
      <c r="T467" s="17"/>
      <c r="U467" s="22"/>
    </row>
    <row r="468" spans="1:21" x14ac:dyDescent="0.25">
      <c r="A468" s="24"/>
      <c r="B468" s="24"/>
      <c r="C468" s="17"/>
      <c r="D468" s="24"/>
      <c r="E468" s="24"/>
      <c r="F468" s="25"/>
      <c r="G468" s="1">
        <v>10025</v>
      </c>
      <c r="H468" s="2">
        <v>88.3</v>
      </c>
      <c r="I468" s="2">
        <v>13.5</v>
      </c>
      <c r="J468" s="2">
        <v>4</v>
      </c>
      <c r="K468" s="2">
        <f t="shared" si="58"/>
        <v>13.5</v>
      </c>
      <c r="L468" s="8">
        <f t="shared" si="62"/>
        <v>3.3113112148259124E-8</v>
      </c>
      <c r="M468" s="26"/>
      <c r="N468" s="17"/>
      <c r="O468" s="9">
        <f t="shared" si="60"/>
        <v>4</v>
      </c>
      <c r="P468" s="8">
        <f>D464/B464*10^(O468/10)</f>
        <v>789.56963497117806</v>
      </c>
      <c r="Q468" s="26"/>
      <c r="R468" s="17"/>
      <c r="S468" s="19"/>
      <c r="T468" s="17"/>
      <c r="U468" s="22"/>
    </row>
    <row r="469" spans="1:21" x14ac:dyDescent="0.25">
      <c r="A469" s="24"/>
      <c r="B469" s="24"/>
      <c r="C469" s="17"/>
      <c r="D469" s="24"/>
      <c r="E469" s="24"/>
      <c r="F469" s="25"/>
      <c r="G469" s="1">
        <v>11025</v>
      </c>
      <c r="H469" s="2">
        <v>86</v>
      </c>
      <c r="I469" s="2">
        <v>2.2000000000000002</v>
      </c>
      <c r="J469" s="2">
        <v>-1.1000000000000001</v>
      </c>
      <c r="K469" s="2">
        <f t="shared" si="58"/>
        <v>2.2000000000000002</v>
      </c>
      <c r="L469" s="8">
        <f t="shared" si="62"/>
        <v>4.1686938347033617E-9</v>
      </c>
      <c r="M469" s="26"/>
      <c r="N469" s="17"/>
      <c r="O469" s="9">
        <f t="shared" si="60"/>
        <v>-1.1000000000000001</v>
      </c>
      <c r="P469" s="8">
        <f>D464/B464*10^(O469/10)</f>
        <v>244.00034366028541</v>
      </c>
      <c r="Q469" s="26"/>
      <c r="R469" s="17"/>
      <c r="S469" s="20"/>
      <c r="T469" s="17"/>
      <c r="U469" s="23"/>
    </row>
    <row r="470" spans="1:21" x14ac:dyDescent="0.25">
      <c r="A470" s="24" t="s">
        <v>20</v>
      </c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12">
        <f>U470</f>
        <v>6.8789049147779321E-2</v>
      </c>
      <c r="T470" s="2"/>
      <c r="U470" s="8">
        <f>0.8*SQRT(SUM(U436:U469))</f>
        <v>6.8789049147779321E-2</v>
      </c>
    </row>
    <row r="471" spans="1:21" x14ac:dyDescent="0.25">
      <c r="A471" s="27" t="s">
        <v>45</v>
      </c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9"/>
    </row>
    <row r="472" spans="1:21" x14ac:dyDescent="0.25">
      <c r="A472" s="24">
        <v>250</v>
      </c>
      <c r="B472" s="24">
        <v>3</v>
      </c>
      <c r="C472" s="17">
        <v>0.5</v>
      </c>
      <c r="D472" s="24">
        <v>38</v>
      </c>
      <c r="E472" s="24">
        <v>4</v>
      </c>
      <c r="F472" s="25">
        <v>84</v>
      </c>
      <c r="G472" s="1">
        <v>175</v>
      </c>
      <c r="H472" s="2">
        <v>84.8</v>
      </c>
      <c r="I472" s="2">
        <v>-1.5</v>
      </c>
      <c r="J472" s="2">
        <v>-3.5</v>
      </c>
      <c r="K472" s="2">
        <f>I472</f>
        <v>-1.5</v>
      </c>
      <c r="L472" s="8">
        <f>10^((K472-H472)/10)</f>
        <v>2.3442288153199238E-9</v>
      </c>
      <c r="M472" s="26">
        <f>SUM(L472:L475)</f>
        <v>7.3903830586624827E-9</v>
      </c>
      <c r="N472" s="17">
        <f>10*LOG10(M472/E472)</f>
        <v>-87.333930419788885</v>
      </c>
      <c r="O472" s="9">
        <f>J472</f>
        <v>-3.5</v>
      </c>
      <c r="P472" s="8">
        <f>D472/B472*10^(O472/10)</f>
        <v>5.6579921672455331</v>
      </c>
      <c r="Q472" s="26">
        <f>SUM(P472:P475)</f>
        <v>33.520576587817658</v>
      </c>
      <c r="R472" s="17">
        <f>10*LOG10(Q472)</f>
        <v>15.253114803267916</v>
      </c>
      <c r="S472" s="18">
        <f>F472+N472-Kzt-H</f>
        <v>-3.333930419788885</v>
      </c>
      <c r="T472" s="17">
        <v>0.2</v>
      </c>
      <c r="U472" s="21">
        <f>T472*10^((S472-R472)/10)</f>
        <v>2.7690160519880788E-3</v>
      </c>
    </row>
    <row r="473" spans="1:21" x14ac:dyDescent="0.25">
      <c r="A473" s="24"/>
      <c r="B473" s="24"/>
      <c r="C473" s="17"/>
      <c r="D473" s="24"/>
      <c r="E473" s="24"/>
      <c r="F473" s="25"/>
      <c r="G473" s="1">
        <v>225</v>
      </c>
      <c r="H473" s="2">
        <v>90</v>
      </c>
      <c r="I473" s="2">
        <v>1.2</v>
      </c>
      <c r="J473" s="2">
        <v>-0.8</v>
      </c>
      <c r="K473" s="2">
        <f t="shared" ref="K473:K505" si="63">I473</f>
        <v>1.2</v>
      </c>
      <c r="L473" s="8">
        <f t="shared" ref="L473:L474" si="64">10^((K473-H473)/10)</f>
        <v>1.3182567385564066E-9</v>
      </c>
      <c r="M473" s="26"/>
      <c r="N473" s="17"/>
      <c r="O473" s="9">
        <f t="shared" ref="O473:O505" si="65">J473</f>
        <v>-0.8</v>
      </c>
      <c r="P473" s="8">
        <f>D472/B472*10^(O473/10)</f>
        <v>10.535674433967165</v>
      </c>
      <c r="Q473" s="26"/>
      <c r="R473" s="17"/>
      <c r="S473" s="19"/>
      <c r="T473" s="17"/>
      <c r="U473" s="22"/>
    </row>
    <row r="474" spans="1:21" x14ac:dyDescent="0.25">
      <c r="A474" s="24"/>
      <c r="B474" s="24"/>
      <c r="C474" s="17"/>
      <c r="D474" s="24"/>
      <c r="E474" s="24"/>
      <c r="F474" s="25"/>
      <c r="G474" s="1">
        <v>275</v>
      </c>
      <c r="H474" s="2">
        <v>92.2</v>
      </c>
      <c r="I474" s="2">
        <v>0.7</v>
      </c>
      <c r="J474" s="2">
        <v>-1.6</v>
      </c>
      <c r="K474" s="2">
        <f t="shared" si="63"/>
        <v>0.7</v>
      </c>
      <c r="L474" s="8">
        <f t="shared" si="64"/>
        <v>7.079457843841369E-10</v>
      </c>
      <c r="M474" s="26"/>
      <c r="N474" s="17"/>
      <c r="O474" s="9">
        <f t="shared" si="65"/>
        <v>-1.6</v>
      </c>
      <c r="P474" s="8">
        <f>D472/B472*10^(O474/10)</f>
        <v>8.7631922983065298</v>
      </c>
      <c r="Q474" s="26"/>
      <c r="R474" s="17"/>
      <c r="S474" s="19"/>
      <c r="T474" s="17"/>
      <c r="U474" s="22"/>
    </row>
    <row r="475" spans="1:21" x14ac:dyDescent="0.25">
      <c r="A475" s="24"/>
      <c r="B475" s="24"/>
      <c r="C475" s="17"/>
      <c r="D475" s="24"/>
      <c r="E475" s="24"/>
      <c r="F475" s="25"/>
      <c r="G475" s="1">
        <v>325</v>
      </c>
      <c r="H475" s="2">
        <v>93.3</v>
      </c>
      <c r="I475" s="2">
        <v>8.1</v>
      </c>
      <c r="J475" s="2">
        <v>-1.7</v>
      </c>
      <c r="K475" s="2">
        <f t="shared" si="63"/>
        <v>8.1</v>
      </c>
      <c r="L475" s="8">
        <f>10^((K475-H475)/10)</f>
        <v>3.0199517204020151E-9</v>
      </c>
      <c r="M475" s="26"/>
      <c r="N475" s="17"/>
      <c r="O475" s="9">
        <f t="shared" si="65"/>
        <v>-1.7</v>
      </c>
      <c r="P475" s="8">
        <f>D472/B472*10^(O475/10)</f>
        <v>8.5637176882984356</v>
      </c>
      <c r="Q475" s="26"/>
      <c r="R475" s="17"/>
      <c r="S475" s="20"/>
      <c r="T475" s="17"/>
      <c r="U475" s="23"/>
    </row>
    <row r="476" spans="1:21" x14ac:dyDescent="0.25">
      <c r="A476" s="24">
        <v>500</v>
      </c>
      <c r="B476" s="24">
        <v>3</v>
      </c>
      <c r="C476" s="17">
        <v>0.5</v>
      </c>
      <c r="D476" s="24">
        <v>59</v>
      </c>
      <c r="E476" s="24">
        <v>6</v>
      </c>
      <c r="F476" s="25">
        <v>84</v>
      </c>
      <c r="G476" s="1">
        <v>375</v>
      </c>
      <c r="H476" s="2">
        <v>91.9</v>
      </c>
      <c r="I476" s="2">
        <v>4.5999999999999996</v>
      </c>
      <c r="J476" s="2">
        <v>-2.1</v>
      </c>
      <c r="K476" s="2">
        <f t="shared" si="63"/>
        <v>4.5999999999999996</v>
      </c>
      <c r="L476" s="8">
        <f t="shared" ref="L476:L477" si="66">10^((K476-H476)/10)</f>
        <v>1.8620871366628641E-9</v>
      </c>
      <c r="M476" s="26">
        <f>SUM(L476:L481)</f>
        <v>4.4987426835446464E-9</v>
      </c>
      <c r="N476" s="17">
        <f>10*LOG10(M476/E476)</f>
        <v>-91.2506009702971</v>
      </c>
      <c r="O476" s="9">
        <f t="shared" si="65"/>
        <v>-2.1</v>
      </c>
      <c r="P476" s="8">
        <f>D476/B476*10^(O476/10)</f>
        <v>12.126368369942481</v>
      </c>
      <c r="Q476" s="26">
        <f>SUM(P476:P481)</f>
        <v>51.499406307377612</v>
      </c>
      <c r="R476" s="17">
        <f>10*LOG10(Q476)</f>
        <v>17.118022224602971</v>
      </c>
      <c r="S476" s="18">
        <f>F476+N476-Kzt-H</f>
        <v>-7.2506009702970999</v>
      </c>
      <c r="T476" s="17">
        <v>0.5</v>
      </c>
      <c r="U476" s="21">
        <f>T476*10^((S476-R476)/10)</f>
        <v>1.8285535562296957E-3</v>
      </c>
    </row>
    <row r="477" spans="1:21" x14ac:dyDescent="0.25">
      <c r="A477" s="24"/>
      <c r="B477" s="24"/>
      <c r="C477" s="17"/>
      <c r="D477" s="24"/>
      <c r="E477" s="24"/>
      <c r="F477" s="25"/>
      <c r="G477" s="1">
        <v>425</v>
      </c>
      <c r="H477" s="2">
        <v>88.1</v>
      </c>
      <c r="I477" s="2">
        <v>-8.3000000000000007</v>
      </c>
      <c r="J477" s="2">
        <v>-9</v>
      </c>
      <c r="K477" s="2">
        <f t="shared" si="63"/>
        <v>-8.3000000000000007</v>
      </c>
      <c r="L477" s="8">
        <f t="shared" si="66"/>
        <v>2.2908676527677724E-10</v>
      </c>
      <c r="M477" s="26"/>
      <c r="N477" s="17"/>
      <c r="O477" s="9">
        <f t="shared" si="65"/>
        <v>-9</v>
      </c>
      <c r="P477" s="8">
        <f>D476/B476*10^(O477/10)</f>
        <v>2.4758866431951949</v>
      </c>
      <c r="Q477" s="26"/>
      <c r="R477" s="17"/>
      <c r="S477" s="19"/>
      <c r="T477" s="17"/>
      <c r="U477" s="22"/>
    </row>
    <row r="478" spans="1:21" x14ac:dyDescent="0.25">
      <c r="A478" s="24"/>
      <c r="B478" s="24"/>
      <c r="C478" s="17"/>
      <c r="D478" s="24"/>
      <c r="E478" s="24"/>
      <c r="F478" s="25"/>
      <c r="G478" s="1">
        <v>475</v>
      </c>
      <c r="H478" s="2">
        <v>90</v>
      </c>
      <c r="I478" s="2">
        <v>1.1000000000000001</v>
      </c>
      <c r="J478" s="2">
        <v>-6.2</v>
      </c>
      <c r="K478" s="2">
        <f t="shared" si="63"/>
        <v>1.1000000000000001</v>
      </c>
      <c r="L478" s="8">
        <f>10^((K478-H478)/10)</f>
        <v>1.2882495516931289E-9</v>
      </c>
      <c r="M478" s="26"/>
      <c r="N478" s="17"/>
      <c r="O478" s="9">
        <f t="shared" si="65"/>
        <v>-6.2</v>
      </c>
      <c r="P478" s="8">
        <f>D476/B476*10^(O478/10)</f>
        <v>4.7177047407383306</v>
      </c>
      <c r="Q478" s="26"/>
      <c r="R478" s="17"/>
      <c r="S478" s="19"/>
      <c r="T478" s="17"/>
      <c r="U478" s="22"/>
    </row>
    <row r="479" spans="1:21" x14ac:dyDescent="0.25">
      <c r="A479" s="24"/>
      <c r="B479" s="24"/>
      <c r="C479" s="17"/>
      <c r="D479" s="24"/>
      <c r="E479" s="24"/>
      <c r="F479" s="25"/>
      <c r="G479" s="1">
        <v>575</v>
      </c>
      <c r="H479" s="2">
        <v>97</v>
      </c>
      <c r="I479" s="2">
        <v>2.5</v>
      </c>
      <c r="J479" s="2">
        <v>-2.7</v>
      </c>
      <c r="K479" s="2">
        <f t="shared" si="63"/>
        <v>2.5</v>
      </c>
      <c r="L479" s="8">
        <f t="shared" ref="L479:L505" si="67">10^((K479-H479)/10)</f>
        <v>3.5481338923357471E-10</v>
      </c>
      <c r="M479" s="26"/>
      <c r="N479" s="17"/>
      <c r="O479" s="9">
        <f t="shared" si="65"/>
        <v>-2.7</v>
      </c>
      <c r="P479" s="8">
        <f>D476/B476*10^(O479/10)</f>
        <v>10.561625328614969</v>
      </c>
      <c r="Q479" s="26"/>
      <c r="R479" s="17"/>
      <c r="S479" s="19"/>
      <c r="T479" s="17"/>
      <c r="U479" s="22"/>
    </row>
    <row r="480" spans="1:21" x14ac:dyDescent="0.25">
      <c r="A480" s="24"/>
      <c r="B480" s="24"/>
      <c r="C480" s="17"/>
      <c r="D480" s="24"/>
      <c r="E480" s="24"/>
      <c r="F480" s="25"/>
      <c r="G480" s="1">
        <v>625</v>
      </c>
      <c r="H480" s="2">
        <v>92</v>
      </c>
      <c r="I480" s="2">
        <v>-0.1</v>
      </c>
      <c r="J480" s="2">
        <v>-1.6</v>
      </c>
      <c r="K480" s="2">
        <f t="shared" si="63"/>
        <v>-0.1</v>
      </c>
      <c r="L480" s="8">
        <f t="shared" si="67"/>
        <v>6.1659500186148165E-10</v>
      </c>
      <c r="M480" s="26"/>
      <c r="N480" s="17"/>
      <c r="O480" s="9">
        <f t="shared" si="65"/>
        <v>-1.6</v>
      </c>
      <c r="P480" s="8">
        <f>D476/B476*10^(O480/10)</f>
        <v>13.606009094739086</v>
      </c>
      <c r="Q480" s="26"/>
      <c r="R480" s="17"/>
      <c r="S480" s="19"/>
      <c r="T480" s="17"/>
      <c r="U480" s="22"/>
    </row>
    <row r="481" spans="1:21" x14ac:dyDescent="0.25">
      <c r="A481" s="24"/>
      <c r="B481" s="24"/>
      <c r="C481" s="17"/>
      <c r="D481" s="24"/>
      <c r="E481" s="24"/>
      <c r="F481" s="25"/>
      <c r="G481" s="1">
        <v>675</v>
      </c>
      <c r="H481" s="2">
        <v>94.5</v>
      </c>
      <c r="I481" s="2">
        <v>-3.8</v>
      </c>
      <c r="J481" s="2">
        <v>-3.9</v>
      </c>
      <c r="K481" s="2">
        <f t="shared" si="63"/>
        <v>-3.8</v>
      </c>
      <c r="L481" s="8">
        <f t="shared" si="67"/>
        <v>1.4791083881682045E-10</v>
      </c>
      <c r="M481" s="26"/>
      <c r="N481" s="17"/>
      <c r="O481" s="9">
        <f t="shared" si="65"/>
        <v>-3.9</v>
      </c>
      <c r="P481" s="8">
        <f>D476/B476*10^(O481/10)</f>
        <v>8.0118121301475504</v>
      </c>
      <c r="Q481" s="26"/>
      <c r="R481" s="17"/>
      <c r="S481" s="20"/>
      <c r="T481" s="17"/>
      <c r="U481" s="23"/>
    </row>
    <row r="482" spans="1:21" x14ac:dyDescent="0.25">
      <c r="A482" s="24">
        <v>1000</v>
      </c>
      <c r="B482" s="24">
        <v>3</v>
      </c>
      <c r="C482" s="17">
        <v>0.5</v>
      </c>
      <c r="D482" s="24">
        <v>117</v>
      </c>
      <c r="E482" s="24">
        <v>6</v>
      </c>
      <c r="F482" s="25">
        <v>76</v>
      </c>
      <c r="G482" s="1">
        <v>875</v>
      </c>
      <c r="H482" s="2">
        <v>91.1</v>
      </c>
      <c r="I482" s="2">
        <v>-4.8</v>
      </c>
      <c r="J482" s="2">
        <v>-4.8</v>
      </c>
      <c r="K482" s="2">
        <f t="shared" si="63"/>
        <v>-4.8</v>
      </c>
      <c r="L482" s="8">
        <f t="shared" si="67"/>
        <v>2.5703957827688617E-10</v>
      </c>
      <c r="M482" s="26">
        <f>SUM(L482:L487)</f>
        <v>7.1215622008211565E-9</v>
      </c>
      <c r="N482" s="17">
        <f>10*LOG10(M482/E482)</f>
        <v>-89.255759785477522</v>
      </c>
      <c r="O482" s="9">
        <f t="shared" si="65"/>
        <v>-4.8</v>
      </c>
      <c r="P482" s="8">
        <f>D482/B482*10^(O482/10)</f>
        <v>12.914113737821051</v>
      </c>
      <c r="Q482" s="26">
        <f>SUM(P482:P487)</f>
        <v>185.21449778695975</v>
      </c>
      <c r="R482" s="17">
        <f>10*LOG10(Q482)</f>
        <v>22.676749783634431</v>
      </c>
      <c r="S482" s="18">
        <f>F482+N482-Kzt-H</f>
        <v>-13.255759785477522</v>
      </c>
      <c r="T482" s="17">
        <v>0.8</v>
      </c>
      <c r="U482" s="21">
        <f>T482*10^((S482-R482)/10)</f>
        <v>2.0409813209840068E-4</v>
      </c>
    </row>
    <row r="483" spans="1:21" x14ac:dyDescent="0.25">
      <c r="A483" s="24"/>
      <c r="B483" s="24"/>
      <c r="C483" s="17"/>
      <c r="D483" s="24"/>
      <c r="E483" s="24"/>
      <c r="F483" s="25"/>
      <c r="G483" s="1">
        <v>975</v>
      </c>
      <c r="H483" s="2">
        <v>96.5</v>
      </c>
      <c r="I483" s="2">
        <v>-3.1</v>
      </c>
      <c r="J483" s="2">
        <v>-4.5</v>
      </c>
      <c r="K483" s="2">
        <f t="shared" si="63"/>
        <v>-3.1</v>
      </c>
      <c r="L483" s="8">
        <f t="shared" si="67"/>
        <v>1.096478196143184E-10</v>
      </c>
      <c r="M483" s="26"/>
      <c r="N483" s="17"/>
      <c r="O483" s="9">
        <f t="shared" si="65"/>
        <v>-4.5</v>
      </c>
      <c r="P483" s="8">
        <f>D482/B482*10^(O483/10)</f>
        <v>13.837722180109441</v>
      </c>
      <c r="Q483" s="26"/>
      <c r="R483" s="17"/>
      <c r="S483" s="19"/>
      <c r="T483" s="17"/>
      <c r="U483" s="22"/>
    </row>
    <row r="484" spans="1:21" x14ac:dyDescent="0.25">
      <c r="A484" s="24"/>
      <c r="B484" s="24"/>
      <c r="C484" s="17"/>
      <c r="D484" s="24"/>
      <c r="E484" s="24"/>
      <c r="F484" s="25"/>
      <c r="G484" s="1">
        <v>1075</v>
      </c>
      <c r="H484" s="2">
        <v>94.6</v>
      </c>
      <c r="I484" s="2">
        <v>12.7</v>
      </c>
      <c r="J484" s="2">
        <v>0.4</v>
      </c>
      <c r="K484" s="2">
        <f t="shared" si="63"/>
        <v>12.7</v>
      </c>
      <c r="L484" s="8">
        <f t="shared" si="67"/>
        <v>6.456542290346555E-9</v>
      </c>
      <c r="M484" s="26"/>
      <c r="N484" s="17"/>
      <c r="O484" s="9">
        <f t="shared" si="65"/>
        <v>0.4</v>
      </c>
      <c r="P484" s="8">
        <f>D482/B482*10^(O484/10)</f>
        <v>42.762649649584219</v>
      </c>
      <c r="Q484" s="26"/>
      <c r="R484" s="17"/>
      <c r="S484" s="19"/>
      <c r="T484" s="17"/>
      <c r="U484" s="22"/>
    </row>
    <row r="485" spans="1:21" x14ac:dyDescent="0.25">
      <c r="A485" s="24"/>
      <c r="B485" s="24"/>
      <c r="C485" s="17"/>
      <c r="D485" s="24"/>
      <c r="E485" s="24"/>
      <c r="F485" s="25"/>
      <c r="G485" s="1">
        <v>1175</v>
      </c>
      <c r="H485" s="2">
        <v>97.8</v>
      </c>
      <c r="I485" s="2">
        <v>-2</v>
      </c>
      <c r="J485" s="2">
        <v>-2.1</v>
      </c>
      <c r="K485" s="2">
        <f t="shared" si="63"/>
        <v>-2</v>
      </c>
      <c r="L485" s="8">
        <f t="shared" si="67"/>
        <v>1.0471285480508951E-10</v>
      </c>
      <c r="M485" s="26"/>
      <c r="N485" s="17"/>
      <c r="O485" s="9">
        <f t="shared" si="65"/>
        <v>-2.1</v>
      </c>
      <c r="P485" s="8">
        <f>D482/B482*10^(O485/10)</f>
        <v>24.047205072597801</v>
      </c>
      <c r="Q485" s="26"/>
      <c r="R485" s="17"/>
      <c r="S485" s="19"/>
      <c r="T485" s="17"/>
      <c r="U485" s="22"/>
    </row>
    <row r="486" spans="1:21" x14ac:dyDescent="0.25">
      <c r="A486" s="24"/>
      <c r="B486" s="24"/>
      <c r="C486" s="17"/>
      <c r="D486" s="24"/>
      <c r="E486" s="24"/>
      <c r="F486" s="25"/>
      <c r="G486" s="1">
        <v>1275</v>
      </c>
      <c r="H486" s="2">
        <v>100.1</v>
      </c>
      <c r="I486" s="2">
        <v>1.8</v>
      </c>
      <c r="J486" s="2">
        <v>1.7</v>
      </c>
      <c r="K486" s="2">
        <f t="shared" si="63"/>
        <v>1.8</v>
      </c>
      <c r="L486" s="8">
        <f t="shared" si="67"/>
        <v>1.4791083881682045E-10</v>
      </c>
      <c r="M486" s="26"/>
      <c r="N486" s="17"/>
      <c r="O486" s="9">
        <f t="shared" si="65"/>
        <v>1.7</v>
      </c>
      <c r="P486" s="8">
        <f>D482/B482*10^(O486/10)</f>
        <v>57.685227138560087</v>
      </c>
      <c r="Q486" s="26"/>
      <c r="R486" s="17"/>
      <c r="S486" s="19"/>
      <c r="T486" s="17"/>
      <c r="U486" s="22"/>
    </row>
    <row r="487" spans="1:21" x14ac:dyDescent="0.25">
      <c r="A487" s="24"/>
      <c r="B487" s="24"/>
      <c r="C487" s="17"/>
      <c r="D487" s="24"/>
      <c r="E487" s="24"/>
      <c r="F487" s="25"/>
      <c r="G487" s="1">
        <v>1375</v>
      </c>
      <c r="H487" s="2">
        <v>103</v>
      </c>
      <c r="I487" s="2">
        <v>-0.39999999999999997</v>
      </c>
      <c r="J487" s="2">
        <v>-0.6</v>
      </c>
      <c r="K487" s="2">
        <f t="shared" si="63"/>
        <v>-0.39999999999999997</v>
      </c>
      <c r="L487" s="8">
        <f t="shared" si="67"/>
        <v>4.5708818961487472E-11</v>
      </c>
      <c r="M487" s="26"/>
      <c r="N487" s="17"/>
      <c r="O487" s="9">
        <f t="shared" si="65"/>
        <v>-0.6</v>
      </c>
      <c r="P487" s="8">
        <f>D482/B482*10^(O487/10)</f>
        <v>33.967580008287143</v>
      </c>
      <c r="Q487" s="26"/>
      <c r="R487" s="17"/>
      <c r="S487" s="20"/>
      <c r="T487" s="17"/>
      <c r="U487" s="23"/>
    </row>
    <row r="488" spans="1:21" x14ac:dyDescent="0.25">
      <c r="A488" s="24">
        <v>2000</v>
      </c>
      <c r="B488" s="24">
        <v>3</v>
      </c>
      <c r="C488" s="17">
        <v>0.5</v>
      </c>
      <c r="D488" s="24">
        <v>234</v>
      </c>
      <c r="E488" s="24">
        <v>6</v>
      </c>
      <c r="F488" s="25">
        <v>68</v>
      </c>
      <c r="G488" s="1">
        <v>1425</v>
      </c>
      <c r="H488" s="2">
        <v>102.8</v>
      </c>
      <c r="I488" s="2">
        <v>-1</v>
      </c>
      <c r="J488" s="2">
        <v>-1.7</v>
      </c>
      <c r="K488" s="2">
        <f t="shared" si="63"/>
        <v>-1</v>
      </c>
      <c r="L488" s="8">
        <f t="shared" si="67"/>
        <v>4.1686938347033529E-11</v>
      </c>
      <c r="M488" s="26">
        <f>SUM(L488:L493)</f>
        <v>3.0921884037606999E-9</v>
      </c>
      <c r="N488" s="17">
        <f>10*LOG10(M488/E488)</f>
        <v>-92.878853032289129</v>
      </c>
      <c r="O488" s="9">
        <f t="shared" si="65"/>
        <v>-1.7</v>
      </c>
      <c r="P488" s="8">
        <f>D488/B488*10^(O488/10)</f>
        <v>52.734472080574584</v>
      </c>
      <c r="Q488" s="26">
        <f>SUM(P488:P493)</f>
        <v>531.65962370251395</v>
      </c>
      <c r="R488" s="17">
        <f>10*LOG10(Q488)</f>
        <v>27.256336795561822</v>
      </c>
      <c r="S488" s="18">
        <f>F488+N488-Kzt-H</f>
        <v>-24.878853032289129</v>
      </c>
      <c r="T488" s="17">
        <v>1</v>
      </c>
      <c r="U488" s="21">
        <f>T488*10^((S488-R488)/10)</f>
        <v>6.116190688201754E-6</v>
      </c>
    </row>
    <row r="489" spans="1:21" x14ac:dyDescent="0.25">
      <c r="A489" s="24"/>
      <c r="B489" s="24"/>
      <c r="C489" s="17"/>
      <c r="D489" s="24"/>
      <c r="E489" s="24"/>
      <c r="F489" s="25"/>
      <c r="G489" s="1">
        <v>1625</v>
      </c>
      <c r="H489" s="2">
        <v>104.1</v>
      </c>
      <c r="I489" s="2">
        <v>14.1</v>
      </c>
      <c r="J489" s="2">
        <v>3.6</v>
      </c>
      <c r="K489" s="2">
        <f t="shared" si="63"/>
        <v>14.1</v>
      </c>
      <c r="L489" s="8">
        <f t="shared" si="67"/>
        <v>1.0000000000000001E-9</v>
      </c>
      <c r="M489" s="26"/>
      <c r="N489" s="17"/>
      <c r="O489" s="9">
        <f t="shared" si="65"/>
        <v>3.6</v>
      </c>
      <c r="P489" s="8">
        <f>D488/B488*10^(O489/10)</f>
        <v>178.6876769158863</v>
      </c>
      <c r="Q489" s="26"/>
      <c r="R489" s="17"/>
      <c r="S489" s="19"/>
      <c r="T489" s="17"/>
      <c r="U489" s="22"/>
    </row>
    <row r="490" spans="1:21" x14ac:dyDescent="0.25">
      <c r="A490" s="24"/>
      <c r="B490" s="24"/>
      <c r="C490" s="17"/>
      <c r="D490" s="24"/>
      <c r="E490" s="24"/>
      <c r="F490" s="25"/>
      <c r="G490" s="1">
        <v>1825</v>
      </c>
      <c r="H490" s="2">
        <v>107.6</v>
      </c>
      <c r="I490" s="2">
        <v>3.3</v>
      </c>
      <c r="J490" s="2">
        <v>-4.5999999999999996</v>
      </c>
      <c r="K490" s="2">
        <f t="shared" si="63"/>
        <v>3.3</v>
      </c>
      <c r="L490" s="8">
        <f t="shared" si="67"/>
        <v>3.7153522909717256E-11</v>
      </c>
      <c r="M490" s="26"/>
      <c r="N490" s="17"/>
      <c r="O490" s="9">
        <f t="shared" si="65"/>
        <v>-4.5999999999999996</v>
      </c>
      <c r="P490" s="8">
        <f>D488/B488*10^(O490/10)</f>
        <v>27.04547433529747</v>
      </c>
      <c r="Q490" s="26"/>
      <c r="R490" s="17"/>
      <c r="S490" s="19"/>
      <c r="T490" s="17"/>
      <c r="U490" s="22"/>
    </row>
    <row r="491" spans="1:21" x14ac:dyDescent="0.25">
      <c r="A491" s="24"/>
      <c r="B491" s="24"/>
      <c r="C491" s="17"/>
      <c r="D491" s="24"/>
      <c r="E491" s="24"/>
      <c r="F491" s="25"/>
      <c r="G491" s="1">
        <v>2125</v>
      </c>
      <c r="H491" s="2">
        <v>104.2</v>
      </c>
      <c r="I491" s="2">
        <v>15.9</v>
      </c>
      <c r="J491" s="2">
        <v>2.2999999999999998</v>
      </c>
      <c r="K491" s="2">
        <f t="shared" si="63"/>
        <v>15.9</v>
      </c>
      <c r="L491" s="8">
        <f t="shared" si="67"/>
        <v>1.479108388168206E-9</v>
      </c>
      <c r="M491" s="26"/>
      <c r="N491" s="17"/>
      <c r="O491" s="9">
        <f t="shared" si="65"/>
        <v>2.2999999999999998</v>
      </c>
      <c r="P491" s="8">
        <f>D488/B488*10^(O491/10)</f>
        <v>132.46300489201607</v>
      </c>
      <c r="Q491" s="26"/>
      <c r="R491" s="17"/>
      <c r="S491" s="19"/>
      <c r="T491" s="17"/>
      <c r="U491" s="22"/>
    </row>
    <row r="492" spans="1:21" x14ac:dyDescent="0.25">
      <c r="A492" s="24"/>
      <c r="B492" s="24"/>
      <c r="C492" s="17"/>
      <c r="D492" s="24"/>
      <c r="E492" s="24"/>
      <c r="F492" s="25"/>
      <c r="G492" s="1">
        <v>2425</v>
      </c>
      <c r="H492" s="2">
        <v>93.7</v>
      </c>
      <c r="I492" s="2">
        <v>0.10000000000000003</v>
      </c>
      <c r="J492" s="2">
        <v>-0.3</v>
      </c>
      <c r="K492" s="2">
        <f t="shared" si="63"/>
        <v>0.10000000000000003</v>
      </c>
      <c r="L492" s="8">
        <f t="shared" si="67"/>
        <v>4.3651583224016313E-10</v>
      </c>
      <c r="M492" s="26"/>
      <c r="N492" s="17"/>
      <c r="O492" s="9">
        <f t="shared" si="65"/>
        <v>-0.3</v>
      </c>
      <c r="P492" s="8">
        <f>D488/B488*10^(O492/10)</f>
        <v>72.793835462165305</v>
      </c>
      <c r="Q492" s="26"/>
      <c r="R492" s="17"/>
      <c r="S492" s="19"/>
      <c r="T492" s="17"/>
      <c r="U492" s="22"/>
    </row>
    <row r="493" spans="1:21" x14ac:dyDescent="0.25">
      <c r="A493" s="24"/>
      <c r="B493" s="24"/>
      <c r="C493" s="17"/>
      <c r="D493" s="24"/>
      <c r="E493" s="24"/>
      <c r="F493" s="25"/>
      <c r="G493" s="1">
        <v>2775</v>
      </c>
      <c r="H493" s="2">
        <v>100.2</v>
      </c>
      <c r="I493" s="2">
        <v>9.9999999999999978E-2</v>
      </c>
      <c r="J493" s="2">
        <v>-0.6</v>
      </c>
      <c r="K493" s="2">
        <f t="shared" si="63"/>
        <v>9.9999999999999978E-2</v>
      </c>
      <c r="L493" s="8">
        <f t="shared" si="67"/>
        <v>9.7723722095580348E-11</v>
      </c>
      <c r="M493" s="26"/>
      <c r="N493" s="17"/>
      <c r="O493" s="9">
        <f t="shared" si="65"/>
        <v>-0.6</v>
      </c>
      <c r="P493" s="8">
        <f>D488/B488*10^(O493/10)</f>
        <v>67.935160016574287</v>
      </c>
      <c r="Q493" s="26"/>
      <c r="R493" s="17"/>
      <c r="S493" s="20"/>
      <c r="T493" s="17"/>
      <c r="U493" s="23"/>
    </row>
    <row r="494" spans="1:21" x14ac:dyDescent="0.25">
      <c r="A494" s="24">
        <v>4000</v>
      </c>
      <c r="B494" s="24">
        <v>3</v>
      </c>
      <c r="C494" s="17">
        <v>0.5</v>
      </c>
      <c r="D494" s="24">
        <v>470</v>
      </c>
      <c r="E494" s="24">
        <v>6</v>
      </c>
      <c r="F494" s="25">
        <v>62</v>
      </c>
      <c r="G494" s="1">
        <v>2825</v>
      </c>
      <c r="H494" s="2">
        <v>99.4</v>
      </c>
      <c r="I494" s="2">
        <v>1.6</v>
      </c>
      <c r="J494" s="2">
        <v>0.6</v>
      </c>
      <c r="K494" s="2">
        <f t="shared" si="63"/>
        <v>1.6</v>
      </c>
      <c r="L494" s="8">
        <f t="shared" si="67"/>
        <v>1.6595869074375505E-10</v>
      </c>
      <c r="M494" s="26">
        <f>SUM(L494:L499)</f>
        <v>2.995848117458273E-9</v>
      </c>
      <c r="N494" s="17">
        <f>10*LOG10(M494/E494)</f>
        <v>-93.016314585196966</v>
      </c>
      <c r="O494" s="9">
        <f t="shared" si="65"/>
        <v>0.6</v>
      </c>
      <c r="P494" s="8">
        <f>D494/B494*10^(O494/10)</f>
        <v>179.87740070117829</v>
      </c>
      <c r="Q494" s="26">
        <f>SUM(P494:P499)</f>
        <v>1609.3219146296344</v>
      </c>
      <c r="R494" s="17">
        <f>10*LOG10(Q494)</f>
        <v>32.066429252448373</v>
      </c>
      <c r="S494" s="18">
        <f>F494+N494-Kzt-H</f>
        <v>-31.016314585196966</v>
      </c>
      <c r="T494" s="17">
        <v>0.9</v>
      </c>
      <c r="U494" s="21">
        <f>T494*10^((S494-R494)/10)</f>
        <v>4.4255589051303471E-7</v>
      </c>
    </row>
    <row r="495" spans="1:21" x14ac:dyDescent="0.25">
      <c r="A495" s="24"/>
      <c r="B495" s="24"/>
      <c r="C495" s="17"/>
      <c r="D495" s="24"/>
      <c r="E495" s="24"/>
      <c r="F495" s="25"/>
      <c r="G495" s="1">
        <v>3425</v>
      </c>
      <c r="H495" s="2">
        <v>103.5</v>
      </c>
      <c r="I495" s="2">
        <v>-0.30000000000000004</v>
      </c>
      <c r="J495" s="2">
        <v>-1</v>
      </c>
      <c r="K495" s="2">
        <f t="shared" si="63"/>
        <v>-0.30000000000000004</v>
      </c>
      <c r="L495" s="8">
        <f t="shared" si="67"/>
        <v>4.1686938347033529E-11</v>
      </c>
      <c r="M495" s="26"/>
      <c r="N495" s="17"/>
      <c r="O495" s="9">
        <f t="shared" si="65"/>
        <v>-1</v>
      </c>
      <c r="P495" s="8">
        <f>D494/B494*10^(O495/10)</f>
        <v>124.44475677347076</v>
      </c>
      <c r="Q495" s="26"/>
      <c r="R495" s="17"/>
      <c r="S495" s="19"/>
      <c r="T495" s="17"/>
      <c r="U495" s="22"/>
    </row>
    <row r="496" spans="1:21" x14ac:dyDescent="0.25">
      <c r="A496" s="24"/>
      <c r="B496" s="24"/>
      <c r="C496" s="17"/>
      <c r="D496" s="24"/>
      <c r="E496" s="24"/>
      <c r="F496" s="25"/>
      <c r="G496" s="1">
        <v>4025</v>
      </c>
      <c r="H496" s="2">
        <v>103.6</v>
      </c>
      <c r="I496" s="2">
        <v>9.9</v>
      </c>
      <c r="J496" s="2">
        <v>3.7</v>
      </c>
      <c r="K496" s="2">
        <f t="shared" si="63"/>
        <v>9.9</v>
      </c>
      <c r="L496" s="8">
        <f t="shared" si="67"/>
        <v>4.2657951880159295E-10</v>
      </c>
      <c r="M496" s="26"/>
      <c r="N496" s="17"/>
      <c r="O496" s="9">
        <f t="shared" si="65"/>
        <v>3.7</v>
      </c>
      <c r="P496" s="8">
        <f>D494/B494*10^(O496/10)</f>
        <v>367.26251440012106</v>
      </c>
      <c r="Q496" s="26"/>
      <c r="R496" s="17"/>
      <c r="S496" s="19"/>
      <c r="T496" s="17"/>
      <c r="U496" s="22"/>
    </row>
    <row r="497" spans="1:21" x14ac:dyDescent="0.25">
      <c r="A497" s="24"/>
      <c r="B497" s="24"/>
      <c r="C497" s="17"/>
      <c r="D497" s="24"/>
      <c r="E497" s="24"/>
      <c r="F497" s="25"/>
      <c r="G497" s="1">
        <v>4625</v>
      </c>
      <c r="H497" s="2">
        <v>105.6</v>
      </c>
      <c r="I497" s="2">
        <v>3.5</v>
      </c>
      <c r="J497" s="2">
        <v>2.1</v>
      </c>
      <c r="K497" s="2">
        <f t="shared" si="63"/>
        <v>3.5</v>
      </c>
      <c r="L497" s="8">
        <f t="shared" si="67"/>
        <v>6.1659500186148317E-11</v>
      </c>
      <c r="M497" s="26"/>
      <c r="N497" s="17"/>
      <c r="O497" s="9">
        <f t="shared" si="65"/>
        <v>2.1</v>
      </c>
      <c r="P497" s="8">
        <f>D494/B494*10^(O497/10)</f>
        <v>254.08358191956572</v>
      </c>
      <c r="Q497" s="26"/>
      <c r="R497" s="17"/>
      <c r="S497" s="19"/>
      <c r="T497" s="17"/>
      <c r="U497" s="22"/>
    </row>
    <row r="498" spans="1:21" x14ac:dyDescent="0.25">
      <c r="A498" s="24"/>
      <c r="B498" s="24"/>
      <c r="C498" s="17"/>
      <c r="D498" s="24"/>
      <c r="E498" s="24"/>
      <c r="F498" s="25"/>
      <c r="G498" s="1">
        <v>5225</v>
      </c>
      <c r="H498" s="2">
        <v>103.5</v>
      </c>
      <c r="I498" s="2">
        <v>4</v>
      </c>
      <c r="J498" s="2">
        <v>1.5</v>
      </c>
      <c r="K498" s="2">
        <f t="shared" si="63"/>
        <v>4</v>
      </c>
      <c r="L498" s="8">
        <f t="shared" si="67"/>
        <v>1.1220184543019624E-10</v>
      </c>
      <c r="M498" s="26"/>
      <c r="N498" s="17"/>
      <c r="O498" s="9">
        <f t="shared" si="65"/>
        <v>1.5</v>
      </c>
      <c r="P498" s="8">
        <f>D494/B494*10^(O498/10)</f>
        <v>221.29754865756485</v>
      </c>
      <c r="Q498" s="26"/>
      <c r="R498" s="17"/>
      <c r="S498" s="19"/>
      <c r="T498" s="17"/>
      <c r="U498" s="22"/>
    </row>
    <row r="499" spans="1:21" x14ac:dyDescent="0.25">
      <c r="A499" s="24"/>
      <c r="B499" s="24"/>
      <c r="C499" s="17"/>
      <c r="D499" s="24"/>
      <c r="E499" s="24"/>
      <c r="F499" s="25"/>
      <c r="G499" s="1">
        <v>5625</v>
      </c>
      <c r="H499" s="2">
        <v>99.5</v>
      </c>
      <c r="I499" s="2">
        <v>12.9</v>
      </c>
      <c r="J499" s="2">
        <v>4.7</v>
      </c>
      <c r="K499" s="2">
        <f t="shared" si="63"/>
        <v>12.9</v>
      </c>
      <c r="L499" s="8">
        <f t="shared" si="67"/>
        <v>2.1877616239495468E-9</v>
      </c>
      <c r="M499" s="26"/>
      <c r="N499" s="17"/>
      <c r="O499" s="9">
        <f t="shared" si="65"/>
        <v>4.7</v>
      </c>
      <c r="P499" s="8">
        <f>D494/B494*10^(O499/10)</f>
        <v>462.35611217773379</v>
      </c>
      <c r="Q499" s="26"/>
      <c r="R499" s="17"/>
      <c r="S499" s="20"/>
      <c r="T499" s="17"/>
      <c r="U499" s="23"/>
    </row>
    <row r="500" spans="1:21" x14ac:dyDescent="0.25">
      <c r="A500" s="24">
        <v>8000</v>
      </c>
      <c r="B500" s="24">
        <v>3</v>
      </c>
      <c r="C500" s="17">
        <v>0.5</v>
      </c>
      <c r="D500" s="24">
        <v>943</v>
      </c>
      <c r="E500" s="24">
        <v>6</v>
      </c>
      <c r="F500" s="25">
        <v>54</v>
      </c>
      <c r="G500" s="1">
        <v>6025</v>
      </c>
      <c r="H500" s="2">
        <v>95</v>
      </c>
      <c r="I500" s="2">
        <v>1.7</v>
      </c>
      <c r="J500" s="2">
        <v>-0.1</v>
      </c>
      <c r="K500" s="2">
        <f t="shared" si="63"/>
        <v>1.7</v>
      </c>
      <c r="L500" s="8">
        <f t="shared" si="67"/>
        <v>4.6773514128719668E-10</v>
      </c>
      <c r="M500" s="26">
        <f>SUM(L500:L505)</f>
        <v>2.0941439654880361E-7</v>
      </c>
      <c r="N500" s="17">
        <f>10*LOG10(M500/E500)</f>
        <v>-74.571447157018284</v>
      </c>
      <c r="O500" s="9">
        <f t="shared" si="65"/>
        <v>-0.1</v>
      </c>
      <c r="P500" s="8">
        <f>D500/B500*10^(O500/10)</f>
        <v>307.17823312044311</v>
      </c>
      <c r="Q500" s="26">
        <f>SUM(P500:P505)</f>
        <v>37032.21100347014</v>
      </c>
      <c r="R500" s="17">
        <f>10*LOG10(Q500)</f>
        <v>45.685796423205986</v>
      </c>
      <c r="S500" s="18">
        <f>F500+N500-Kzt-H</f>
        <v>-20.571447157018284</v>
      </c>
      <c r="T500" s="17">
        <v>0.7</v>
      </c>
      <c r="U500" s="21">
        <f>T500*10^((S500-R500)/10)</f>
        <v>1.6571952583076428E-7</v>
      </c>
    </row>
    <row r="501" spans="1:21" x14ac:dyDescent="0.25">
      <c r="A501" s="24"/>
      <c r="B501" s="24"/>
      <c r="C501" s="17"/>
      <c r="D501" s="24"/>
      <c r="E501" s="24"/>
      <c r="F501" s="25"/>
      <c r="G501" s="1">
        <v>7025</v>
      </c>
      <c r="H501" s="2">
        <v>94.8</v>
      </c>
      <c r="I501" s="2">
        <v>3.2</v>
      </c>
      <c r="J501" s="2">
        <v>-1.7</v>
      </c>
      <c r="K501" s="2">
        <f t="shared" si="63"/>
        <v>3.2</v>
      </c>
      <c r="L501" s="8">
        <f t="shared" si="67"/>
        <v>6.9183097091893558E-10</v>
      </c>
      <c r="M501" s="26"/>
      <c r="N501" s="17"/>
      <c r="O501" s="9">
        <f t="shared" si="65"/>
        <v>-1.7</v>
      </c>
      <c r="P501" s="8">
        <f>D500/B500*10^(O501/10)</f>
        <v>212.51541526487961</v>
      </c>
      <c r="Q501" s="26"/>
      <c r="R501" s="17"/>
      <c r="S501" s="19"/>
      <c r="T501" s="17"/>
      <c r="U501" s="22"/>
    </row>
    <row r="502" spans="1:21" x14ac:dyDescent="0.25">
      <c r="A502" s="24"/>
      <c r="B502" s="24"/>
      <c r="C502" s="17"/>
      <c r="D502" s="24"/>
      <c r="E502" s="24"/>
      <c r="F502" s="25"/>
      <c r="G502" s="1">
        <v>8025</v>
      </c>
      <c r="H502" s="2">
        <v>101.9</v>
      </c>
      <c r="I502" s="2">
        <v>18.3</v>
      </c>
      <c r="J502" s="2">
        <v>18</v>
      </c>
      <c r="K502" s="2">
        <f t="shared" si="63"/>
        <v>18.3</v>
      </c>
      <c r="L502" s="8">
        <f t="shared" si="67"/>
        <v>4.3651583224016356E-9</v>
      </c>
      <c r="M502" s="26"/>
      <c r="N502" s="17"/>
      <c r="O502" s="9">
        <f t="shared" si="65"/>
        <v>18</v>
      </c>
      <c r="P502" s="8">
        <f>D500/B500*10^(O502/10)</f>
        <v>19833.092528160752</v>
      </c>
      <c r="Q502" s="26"/>
      <c r="R502" s="17"/>
      <c r="S502" s="19"/>
      <c r="T502" s="17"/>
      <c r="U502" s="22"/>
    </row>
    <row r="503" spans="1:21" x14ac:dyDescent="0.25">
      <c r="A503" s="24"/>
      <c r="B503" s="24"/>
      <c r="C503" s="17"/>
      <c r="D503" s="24"/>
      <c r="E503" s="24"/>
      <c r="F503" s="25"/>
      <c r="G503" s="1">
        <v>9025</v>
      </c>
      <c r="H503" s="2">
        <v>93.2</v>
      </c>
      <c r="I503" s="2">
        <v>23.2</v>
      </c>
      <c r="J503" s="2">
        <v>11.4</v>
      </c>
      <c r="K503" s="2">
        <f t="shared" si="63"/>
        <v>23.2</v>
      </c>
      <c r="L503" s="8">
        <f t="shared" si="67"/>
        <v>9.9999999999999995E-8</v>
      </c>
      <c r="M503" s="26"/>
      <c r="N503" s="17"/>
      <c r="O503" s="9">
        <f t="shared" si="65"/>
        <v>11.4</v>
      </c>
      <c r="P503" s="8">
        <f>D500/B500*10^(O503/10)</f>
        <v>4339.0078717350707</v>
      </c>
      <c r="Q503" s="26"/>
      <c r="R503" s="17"/>
      <c r="S503" s="19"/>
      <c r="T503" s="17"/>
      <c r="U503" s="22"/>
    </row>
    <row r="504" spans="1:21" x14ac:dyDescent="0.25">
      <c r="A504" s="24"/>
      <c r="B504" s="24"/>
      <c r="C504" s="17"/>
      <c r="D504" s="24"/>
      <c r="E504" s="24"/>
      <c r="F504" s="25"/>
      <c r="G504" s="1">
        <v>10025</v>
      </c>
      <c r="H504" s="2">
        <v>88.3</v>
      </c>
      <c r="I504" s="2">
        <v>6.2</v>
      </c>
      <c r="J504" s="2">
        <v>4.7</v>
      </c>
      <c r="K504" s="2">
        <f t="shared" si="63"/>
        <v>6.2</v>
      </c>
      <c r="L504" s="8">
        <f t="shared" si="67"/>
        <v>6.1659500186148231E-9</v>
      </c>
      <c r="M504" s="26"/>
      <c r="N504" s="17"/>
      <c r="O504" s="9">
        <f t="shared" si="65"/>
        <v>4.7</v>
      </c>
      <c r="P504" s="8">
        <f>D500/B500*10^(O504/10)</f>
        <v>927.66343358213396</v>
      </c>
      <c r="Q504" s="26"/>
      <c r="R504" s="17"/>
      <c r="S504" s="19"/>
      <c r="T504" s="17"/>
      <c r="U504" s="22"/>
    </row>
    <row r="505" spans="1:21" x14ac:dyDescent="0.25">
      <c r="A505" s="24"/>
      <c r="B505" s="24"/>
      <c r="C505" s="17"/>
      <c r="D505" s="24"/>
      <c r="E505" s="24"/>
      <c r="F505" s="25"/>
      <c r="G505" s="1">
        <v>11025</v>
      </c>
      <c r="H505" s="2">
        <v>86</v>
      </c>
      <c r="I505" s="2">
        <v>15.9</v>
      </c>
      <c r="J505" s="2">
        <v>15.6</v>
      </c>
      <c r="K505" s="2">
        <f t="shared" si="63"/>
        <v>15.9</v>
      </c>
      <c r="L505" s="8">
        <f t="shared" si="67"/>
        <v>9.7723722095581017E-8</v>
      </c>
      <c r="M505" s="26"/>
      <c r="N505" s="17"/>
      <c r="O505" s="9">
        <f t="shared" si="65"/>
        <v>15.6</v>
      </c>
      <c r="P505" s="8">
        <f>D500/B500*10^(O505/10)</f>
        <v>11412.753521606859</v>
      </c>
      <c r="Q505" s="26"/>
      <c r="R505" s="17"/>
      <c r="S505" s="20"/>
      <c r="T505" s="17"/>
      <c r="U505" s="23"/>
    </row>
    <row r="506" spans="1:21" x14ac:dyDescent="0.25">
      <c r="A506" s="24" t="s">
        <v>20</v>
      </c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12">
        <f>U506</f>
        <v>5.54740571087897E-2</v>
      </c>
      <c r="T506" s="2"/>
      <c r="U506" s="8">
        <f>0.8*SQRT(SUM(U472:U505))</f>
        <v>5.54740571087897E-2</v>
      </c>
    </row>
    <row r="507" spans="1:21" x14ac:dyDescent="0.25">
      <c r="A507" s="27" t="s">
        <v>46</v>
      </c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9"/>
    </row>
    <row r="508" spans="1:21" x14ac:dyDescent="0.25">
      <c r="A508" s="24">
        <v>250</v>
      </c>
      <c r="B508" s="24">
        <v>3</v>
      </c>
      <c r="C508" s="17">
        <v>0.5</v>
      </c>
      <c r="D508" s="24">
        <v>38</v>
      </c>
      <c r="E508" s="24">
        <v>4</v>
      </c>
      <c r="F508" s="25">
        <v>84</v>
      </c>
      <c r="G508" s="1">
        <v>175</v>
      </c>
      <c r="H508" s="2">
        <v>84.8</v>
      </c>
      <c r="I508" s="2">
        <v>-6</v>
      </c>
      <c r="J508" s="2">
        <v>-7.8</v>
      </c>
      <c r="K508" s="2">
        <f>I508</f>
        <v>-6</v>
      </c>
      <c r="L508" s="8">
        <f>10^((K508-H508)/10)</f>
        <v>8.3176377110266926E-10</v>
      </c>
      <c r="M508" s="26">
        <f>SUM(L508:L511)</f>
        <v>3.8181269777842968E-9</v>
      </c>
      <c r="N508" s="17">
        <f>10*LOG10(M508/E508)</f>
        <v>-90.202096238879008</v>
      </c>
      <c r="O508" s="9">
        <f>J508</f>
        <v>-7.8</v>
      </c>
      <c r="P508" s="8">
        <f>D508/B508*10^(O508/10)</f>
        <v>2.1021434160875758</v>
      </c>
      <c r="Q508" s="26">
        <f>SUM(P508:P511)</f>
        <v>13.961650178995054</v>
      </c>
      <c r="R508" s="17">
        <f>10*LOG10(Q508)</f>
        <v>11.449367521895402</v>
      </c>
      <c r="S508" s="18">
        <f>F508+N508-Kzt-H</f>
        <v>-6.2020962388790082</v>
      </c>
      <c r="T508" s="17">
        <v>0.2</v>
      </c>
      <c r="U508" s="21">
        <f>T508*10^((S508-R508)/10)</f>
        <v>3.4346589501669405E-3</v>
      </c>
    </row>
    <row r="509" spans="1:21" x14ac:dyDescent="0.25">
      <c r="A509" s="24"/>
      <c r="B509" s="24"/>
      <c r="C509" s="17"/>
      <c r="D509" s="24"/>
      <c r="E509" s="24"/>
      <c r="F509" s="25"/>
      <c r="G509" s="1">
        <v>225</v>
      </c>
      <c r="H509" s="2">
        <v>90</v>
      </c>
      <c r="I509" s="2">
        <v>3.3</v>
      </c>
      <c r="J509" s="2">
        <v>-5.0999999999999996</v>
      </c>
      <c r="K509" s="2">
        <f t="shared" ref="K509:K541" si="68">I509</f>
        <v>3.3</v>
      </c>
      <c r="L509" s="8">
        <f t="shared" ref="L509:L510" si="69">10^((K509-H509)/10)</f>
        <v>2.137962089502227E-9</v>
      </c>
      <c r="M509" s="26"/>
      <c r="N509" s="17"/>
      <c r="O509" s="9">
        <f t="shared" ref="O509:O541" si="70">J509</f>
        <v>-5.0999999999999996</v>
      </c>
      <c r="P509" s="8">
        <f>D508/B508*10^(O509/10)</f>
        <v>3.9143742145172133</v>
      </c>
      <c r="Q509" s="26"/>
      <c r="R509" s="17"/>
      <c r="S509" s="19"/>
      <c r="T509" s="17"/>
      <c r="U509" s="22"/>
    </row>
    <row r="510" spans="1:21" x14ac:dyDescent="0.25">
      <c r="A510" s="24"/>
      <c r="B510" s="24"/>
      <c r="C510" s="17"/>
      <c r="D510" s="24"/>
      <c r="E510" s="24"/>
      <c r="F510" s="25"/>
      <c r="G510" s="1">
        <v>275</v>
      </c>
      <c r="H510" s="2">
        <v>92.2</v>
      </c>
      <c r="I510" s="2">
        <v>-2.7</v>
      </c>
      <c r="J510" s="2">
        <v>-4.7</v>
      </c>
      <c r="K510" s="2">
        <f t="shared" si="68"/>
        <v>-2.7</v>
      </c>
      <c r="L510" s="8">
        <f t="shared" si="69"/>
        <v>3.2359365692962771E-10</v>
      </c>
      <c r="M510" s="26"/>
      <c r="N510" s="17"/>
      <c r="O510" s="9">
        <f t="shared" si="70"/>
        <v>-4.7</v>
      </c>
      <c r="P510" s="8">
        <f>D508/B508*10^(O510/10)</f>
        <v>4.292025977763231</v>
      </c>
      <c r="Q510" s="26"/>
      <c r="R510" s="17"/>
      <c r="S510" s="19"/>
      <c r="T510" s="17"/>
      <c r="U510" s="22"/>
    </row>
    <row r="511" spans="1:21" x14ac:dyDescent="0.25">
      <c r="A511" s="24"/>
      <c r="B511" s="24"/>
      <c r="C511" s="17"/>
      <c r="D511" s="24"/>
      <c r="E511" s="24"/>
      <c r="F511" s="25"/>
      <c r="G511" s="1">
        <v>325</v>
      </c>
      <c r="H511" s="2">
        <v>93.3</v>
      </c>
      <c r="I511" s="2">
        <v>0.5</v>
      </c>
      <c r="J511" s="2">
        <v>-5.4</v>
      </c>
      <c r="K511" s="2">
        <f t="shared" si="68"/>
        <v>0.5</v>
      </c>
      <c r="L511" s="8">
        <f>10^((K511-H511)/10)</f>
        <v>5.2480746024977249E-10</v>
      </c>
      <c r="M511" s="26"/>
      <c r="N511" s="17"/>
      <c r="O511" s="9">
        <f t="shared" si="70"/>
        <v>-5.4</v>
      </c>
      <c r="P511" s="8">
        <f>D508/B508*10^(O511/10)</f>
        <v>3.6531065706270338</v>
      </c>
      <c r="Q511" s="26"/>
      <c r="R511" s="17"/>
      <c r="S511" s="20"/>
      <c r="T511" s="17"/>
      <c r="U511" s="23"/>
    </row>
    <row r="512" spans="1:21" x14ac:dyDescent="0.25">
      <c r="A512" s="24">
        <v>500</v>
      </c>
      <c r="B512" s="24">
        <v>3</v>
      </c>
      <c r="C512" s="17">
        <v>0.5</v>
      </c>
      <c r="D512" s="24">
        <v>59</v>
      </c>
      <c r="E512" s="24">
        <v>6</v>
      </c>
      <c r="F512" s="25">
        <v>84</v>
      </c>
      <c r="G512" s="1">
        <v>375</v>
      </c>
      <c r="H512" s="2">
        <v>91.9</v>
      </c>
      <c r="I512" s="2">
        <v>-3.5999999999999996</v>
      </c>
      <c r="J512" s="2">
        <v>-4.0999999999999996</v>
      </c>
      <c r="K512" s="2">
        <f t="shared" si="68"/>
        <v>-3.5999999999999996</v>
      </c>
      <c r="L512" s="8">
        <f t="shared" ref="L512:L513" si="71">10^((K512-H512)/10)</f>
        <v>2.8183829312644407E-10</v>
      </c>
      <c r="M512" s="26">
        <f>SUM(L512:L517)</f>
        <v>3.9725459460184094E-9</v>
      </c>
      <c r="N512" s="17">
        <f>10*LOG10(M512/E512)</f>
        <v>-91.790823214741778</v>
      </c>
      <c r="O512" s="9">
        <f t="shared" si="70"/>
        <v>-4.0999999999999996</v>
      </c>
      <c r="P512" s="8">
        <f>D512/B512*10^(O512/10)</f>
        <v>7.6512211848875182</v>
      </c>
      <c r="Q512" s="26">
        <f>SUM(P512:P517)</f>
        <v>35.694097165629572</v>
      </c>
      <c r="R512" s="17">
        <f>10*LOG10(Q512)</f>
        <v>15.525964015364151</v>
      </c>
      <c r="S512" s="18">
        <f>F512+N512-Kzt-H</f>
        <v>-7.7908232147417777</v>
      </c>
      <c r="T512" s="17">
        <v>0.5</v>
      </c>
      <c r="U512" s="21">
        <f>T512*10^((S512-R512)/10)</f>
        <v>2.329653232309182E-3</v>
      </c>
    </row>
    <row r="513" spans="1:21" x14ac:dyDescent="0.25">
      <c r="A513" s="24"/>
      <c r="B513" s="24"/>
      <c r="C513" s="17"/>
      <c r="D513" s="24"/>
      <c r="E513" s="24"/>
      <c r="F513" s="25"/>
      <c r="G513" s="1">
        <v>425</v>
      </c>
      <c r="H513" s="2">
        <v>88.1</v>
      </c>
      <c r="I513" s="2">
        <v>2.2000000000000002</v>
      </c>
      <c r="J513" s="2">
        <v>-8.1999999999999993</v>
      </c>
      <c r="K513" s="2">
        <f t="shared" si="68"/>
        <v>2.2000000000000002</v>
      </c>
      <c r="L513" s="8">
        <f t="shared" si="71"/>
        <v>2.5703957827688555E-9</v>
      </c>
      <c r="M513" s="26"/>
      <c r="N513" s="17"/>
      <c r="O513" s="9">
        <f t="shared" si="70"/>
        <v>-8.1999999999999993</v>
      </c>
      <c r="P513" s="8">
        <f>D512/B512*10^(O513/10)</f>
        <v>2.9766704552578758</v>
      </c>
      <c r="Q513" s="26"/>
      <c r="R513" s="17"/>
      <c r="S513" s="19"/>
      <c r="T513" s="17"/>
      <c r="U513" s="22"/>
    </row>
    <row r="514" spans="1:21" x14ac:dyDescent="0.25">
      <c r="A514" s="24"/>
      <c r="B514" s="24"/>
      <c r="C514" s="17"/>
      <c r="D514" s="24"/>
      <c r="E514" s="24"/>
      <c r="F514" s="25"/>
      <c r="G514" s="1">
        <v>475</v>
      </c>
      <c r="H514" s="2">
        <v>90</v>
      </c>
      <c r="I514" s="2">
        <v>-3.6</v>
      </c>
      <c r="J514" s="2">
        <v>-5</v>
      </c>
      <c r="K514" s="2">
        <f t="shared" si="68"/>
        <v>-3.6</v>
      </c>
      <c r="L514" s="8">
        <f>10^((K514-H514)/10)</f>
        <v>4.3651583224016624E-10</v>
      </c>
      <c r="M514" s="26"/>
      <c r="N514" s="17"/>
      <c r="O514" s="9">
        <f t="shared" si="70"/>
        <v>-5</v>
      </c>
      <c r="P514" s="8">
        <f>D512/B512*10^(O514/10)</f>
        <v>6.2191460649978136</v>
      </c>
      <c r="Q514" s="26"/>
      <c r="R514" s="17"/>
      <c r="S514" s="19"/>
      <c r="T514" s="17"/>
      <c r="U514" s="22"/>
    </row>
    <row r="515" spans="1:21" x14ac:dyDescent="0.25">
      <c r="A515" s="24"/>
      <c r="B515" s="24"/>
      <c r="C515" s="17"/>
      <c r="D515" s="24"/>
      <c r="E515" s="24"/>
      <c r="F515" s="25"/>
      <c r="G515" s="1">
        <v>575</v>
      </c>
      <c r="H515" s="2">
        <v>97</v>
      </c>
      <c r="I515" s="2">
        <v>-5.4</v>
      </c>
      <c r="J515" s="2">
        <v>-6.4</v>
      </c>
      <c r="K515" s="2">
        <f t="shared" si="68"/>
        <v>-5.4</v>
      </c>
      <c r="L515" s="8">
        <f t="shared" ref="L515:L541" si="72">10^((K515-H515)/10)</f>
        <v>5.7543993733715601E-11</v>
      </c>
      <c r="M515" s="26"/>
      <c r="N515" s="17"/>
      <c r="O515" s="9">
        <f t="shared" si="70"/>
        <v>-6.4</v>
      </c>
      <c r="P515" s="8">
        <f>D512/B512*10^(O515/10)</f>
        <v>4.5053730504432874</v>
      </c>
      <c r="Q515" s="26"/>
      <c r="R515" s="17"/>
      <c r="S515" s="19"/>
      <c r="T515" s="17"/>
      <c r="U515" s="22"/>
    </row>
    <row r="516" spans="1:21" x14ac:dyDescent="0.25">
      <c r="A516" s="24"/>
      <c r="B516" s="24"/>
      <c r="C516" s="17"/>
      <c r="D516" s="24"/>
      <c r="E516" s="24"/>
      <c r="F516" s="25"/>
      <c r="G516" s="1">
        <v>625</v>
      </c>
      <c r="H516" s="2">
        <v>92</v>
      </c>
      <c r="I516" s="2">
        <v>-3.3</v>
      </c>
      <c r="J516" s="2">
        <v>-4</v>
      </c>
      <c r="K516" s="2">
        <f t="shared" si="68"/>
        <v>-3.3</v>
      </c>
      <c r="L516" s="8">
        <f t="shared" si="72"/>
        <v>2.9512092266663821E-10</v>
      </c>
      <c r="M516" s="26"/>
      <c r="N516" s="17"/>
      <c r="O516" s="9">
        <f t="shared" si="70"/>
        <v>-4</v>
      </c>
      <c r="P516" s="8">
        <f>D512/B512*10^(O516/10)</f>
        <v>7.8294410208854455</v>
      </c>
      <c r="Q516" s="26"/>
      <c r="R516" s="17"/>
      <c r="S516" s="19"/>
      <c r="T516" s="17"/>
      <c r="U516" s="22"/>
    </row>
    <row r="517" spans="1:21" x14ac:dyDescent="0.25">
      <c r="A517" s="24"/>
      <c r="B517" s="24"/>
      <c r="C517" s="17"/>
      <c r="D517" s="24"/>
      <c r="E517" s="24"/>
      <c r="F517" s="25"/>
      <c r="G517" s="1">
        <v>675</v>
      </c>
      <c r="H517" s="2">
        <v>94.5</v>
      </c>
      <c r="I517" s="2">
        <v>-0.3</v>
      </c>
      <c r="J517" s="2">
        <v>-4.8</v>
      </c>
      <c r="K517" s="2">
        <f t="shared" si="68"/>
        <v>-0.3</v>
      </c>
      <c r="L517" s="8">
        <f t="shared" si="72"/>
        <v>3.3113112148259045E-10</v>
      </c>
      <c r="M517" s="26"/>
      <c r="N517" s="17"/>
      <c r="O517" s="9">
        <f t="shared" si="70"/>
        <v>-4.8</v>
      </c>
      <c r="P517" s="8">
        <f>D512/B512*10^(O517/10)</f>
        <v>6.5122453891576244</v>
      </c>
      <c r="Q517" s="26"/>
      <c r="R517" s="17"/>
      <c r="S517" s="20"/>
      <c r="T517" s="17"/>
      <c r="U517" s="23"/>
    </row>
    <row r="518" spans="1:21" x14ac:dyDescent="0.25">
      <c r="A518" s="24">
        <v>1000</v>
      </c>
      <c r="B518" s="24">
        <v>3</v>
      </c>
      <c r="C518" s="17">
        <v>0.5</v>
      </c>
      <c r="D518" s="24">
        <v>117</v>
      </c>
      <c r="E518" s="24">
        <v>6</v>
      </c>
      <c r="F518" s="25">
        <v>76</v>
      </c>
      <c r="G518" s="1">
        <v>875</v>
      </c>
      <c r="H518" s="2">
        <v>91.1</v>
      </c>
      <c r="I518" s="2">
        <v>1.2</v>
      </c>
      <c r="J518" s="2">
        <v>-4.9000000000000004</v>
      </c>
      <c r="K518" s="2">
        <f t="shared" si="68"/>
        <v>1.2</v>
      </c>
      <c r="L518" s="8">
        <f t="shared" si="72"/>
        <v>1.0232929922807547E-9</v>
      </c>
      <c r="M518" s="26">
        <f>SUM(L518:L523)</f>
        <v>1.8244156880488313E-9</v>
      </c>
      <c r="N518" s="17">
        <f>10*LOG10(M518/E518)</f>
        <v>-95.170274523246391</v>
      </c>
      <c r="O518" s="9">
        <f t="shared" si="70"/>
        <v>-4.9000000000000004</v>
      </c>
      <c r="P518" s="8">
        <f>D518/B518*10^(O518/10)</f>
        <v>12.620152620255501</v>
      </c>
      <c r="Q518" s="26">
        <f>SUM(P518:P523)</f>
        <v>106.55111712122566</v>
      </c>
      <c r="R518" s="17">
        <f>10*LOG10(Q518)</f>
        <v>20.275580073776784</v>
      </c>
      <c r="S518" s="18">
        <f>F518+N518-Kzt-H</f>
        <v>-19.170274523246391</v>
      </c>
      <c r="T518" s="17">
        <v>0.8</v>
      </c>
      <c r="U518" s="21">
        <f>T518*10^((S518-R518)/10)</f>
        <v>9.0887577356408097E-5</v>
      </c>
    </row>
    <row r="519" spans="1:21" x14ac:dyDescent="0.25">
      <c r="A519" s="24"/>
      <c r="B519" s="24"/>
      <c r="C519" s="17"/>
      <c r="D519" s="24"/>
      <c r="E519" s="24"/>
      <c r="F519" s="25"/>
      <c r="G519" s="1">
        <v>975</v>
      </c>
      <c r="H519" s="2">
        <v>96.5</v>
      </c>
      <c r="I519" s="2">
        <v>-9.2999999999999989</v>
      </c>
      <c r="J519" s="2">
        <v>-10.1</v>
      </c>
      <c r="K519" s="2">
        <f t="shared" si="68"/>
        <v>-9.2999999999999989</v>
      </c>
      <c r="L519" s="8">
        <f t="shared" si="72"/>
        <v>2.6302679918953769E-11</v>
      </c>
      <c r="M519" s="26"/>
      <c r="N519" s="17"/>
      <c r="O519" s="9">
        <f t="shared" si="70"/>
        <v>-10.1</v>
      </c>
      <c r="P519" s="8">
        <f>D518/B518*10^(O519/10)</f>
        <v>3.8112251617276613</v>
      </c>
      <c r="Q519" s="26"/>
      <c r="R519" s="17"/>
      <c r="S519" s="19"/>
      <c r="T519" s="17"/>
      <c r="U519" s="22"/>
    </row>
    <row r="520" spans="1:21" x14ac:dyDescent="0.25">
      <c r="A520" s="24"/>
      <c r="B520" s="24"/>
      <c r="C520" s="17"/>
      <c r="D520" s="24"/>
      <c r="E520" s="24"/>
      <c r="F520" s="25"/>
      <c r="G520" s="1">
        <v>1075</v>
      </c>
      <c r="H520" s="2">
        <v>94.6</v>
      </c>
      <c r="I520" s="2">
        <v>0.2</v>
      </c>
      <c r="J520" s="2">
        <v>-3.6</v>
      </c>
      <c r="K520" s="2">
        <f t="shared" si="68"/>
        <v>0.2</v>
      </c>
      <c r="L520" s="8">
        <f t="shared" si="72"/>
        <v>3.6307805477010058E-10</v>
      </c>
      <c r="M520" s="26"/>
      <c r="N520" s="17"/>
      <c r="O520" s="9">
        <f t="shared" si="70"/>
        <v>-3.6</v>
      </c>
      <c r="P520" s="8">
        <f>D518/B518*10^(O520/10)</f>
        <v>17.024117457366472</v>
      </c>
      <c r="Q520" s="26"/>
      <c r="R520" s="17"/>
      <c r="S520" s="19"/>
      <c r="T520" s="17"/>
      <c r="U520" s="22"/>
    </row>
    <row r="521" spans="1:21" x14ac:dyDescent="0.25">
      <c r="A521" s="24"/>
      <c r="B521" s="24"/>
      <c r="C521" s="17"/>
      <c r="D521" s="24"/>
      <c r="E521" s="24"/>
      <c r="F521" s="25"/>
      <c r="G521" s="1">
        <v>1175</v>
      </c>
      <c r="H521" s="2">
        <v>97.8</v>
      </c>
      <c r="I521" s="2">
        <v>-6.7</v>
      </c>
      <c r="J521" s="2">
        <v>-6.8</v>
      </c>
      <c r="K521" s="2">
        <f t="shared" si="68"/>
        <v>-6.7</v>
      </c>
      <c r="L521" s="8">
        <f t="shared" si="72"/>
        <v>3.5481338923357562E-11</v>
      </c>
      <c r="M521" s="26"/>
      <c r="N521" s="17"/>
      <c r="O521" s="9">
        <f t="shared" si="70"/>
        <v>-6.8</v>
      </c>
      <c r="P521" s="8">
        <f>D518/B518*10^(O521/10)</f>
        <v>8.1482549103307544</v>
      </c>
      <c r="Q521" s="26"/>
      <c r="R521" s="17"/>
      <c r="S521" s="19"/>
      <c r="T521" s="17"/>
      <c r="U521" s="22"/>
    </row>
    <row r="522" spans="1:21" x14ac:dyDescent="0.25">
      <c r="A522" s="24"/>
      <c r="B522" s="24"/>
      <c r="C522" s="17"/>
      <c r="D522" s="24"/>
      <c r="E522" s="24"/>
      <c r="F522" s="25"/>
      <c r="G522" s="1">
        <v>1275</v>
      </c>
      <c r="H522" s="2">
        <v>100.1</v>
      </c>
      <c r="I522" s="2">
        <v>5.7</v>
      </c>
      <c r="J522" s="2">
        <v>1.7</v>
      </c>
      <c r="K522" s="2">
        <f t="shared" si="68"/>
        <v>5.7</v>
      </c>
      <c r="L522" s="8">
        <f t="shared" si="72"/>
        <v>3.6307805477010058E-10</v>
      </c>
      <c r="M522" s="26"/>
      <c r="N522" s="17"/>
      <c r="O522" s="9">
        <f t="shared" si="70"/>
        <v>1.7</v>
      </c>
      <c r="P522" s="8">
        <f>D518/B518*10^(O522/10)</f>
        <v>57.685227138560087</v>
      </c>
      <c r="Q522" s="26"/>
      <c r="R522" s="17"/>
      <c r="S522" s="19"/>
      <c r="T522" s="17"/>
      <c r="U522" s="22"/>
    </row>
    <row r="523" spans="1:21" x14ac:dyDescent="0.25">
      <c r="A523" s="24"/>
      <c r="B523" s="24"/>
      <c r="C523" s="17"/>
      <c r="D523" s="24"/>
      <c r="E523" s="24"/>
      <c r="F523" s="25"/>
      <c r="G523" s="1">
        <v>1375</v>
      </c>
      <c r="H523" s="2">
        <v>103</v>
      </c>
      <c r="I523" s="2">
        <v>-5.8</v>
      </c>
      <c r="J523" s="2">
        <v>-7.3</v>
      </c>
      <c r="K523" s="2">
        <f t="shared" si="68"/>
        <v>-5.8</v>
      </c>
      <c r="L523" s="8">
        <f t="shared" si="72"/>
        <v>1.3182567385564083E-11</v>
      </c>
      <c r="M523" s="26"/>
      <c r="N523" s="17"/>
      <c r="O523" s="9">
        <f t="shared" si="70"/>
        <v>-7.3</v>
      </c>
      <c r="P523" s="8">
        <f>D518/B518*10^(O523/10)</f>
        <v>7.2621398329851816</v>
      </c>
      <c r="Q523" s="26"/>
      <c r="R523" s="17"/>
      <c r="S523" s="20"/>
      <c r="T523" s="17"/>
      <c r="U523" s="23"/>
    </row>
    <row r="524" spans="1:21" x14ac:dyDescent="0.25">
      <c r="A524" s="24">
        <v>2000</v>
      </c>
      <c r="B524" s="24">
        <v>3</v>
      </c>
      <c r="C524" s="17">
        <v>0.5</v>
      </c>
      <c r="D524" s="24">
        <v>234</v>
      </c>
      <c r="E524" s="24">
        <v>6</v>
      </c>
      <c r="F524" s="25">
        <v>68</v>
      </c>
      <c r="G524" s="1">
        <v>1425</v>
      </c>
      <c r="H524" s="2">
        <v>102.8</v>
      </c>
      <c r="I524" s="2">
        <v>2.5</v>
      </c>
      <c r="J524" s="2">
        <v>-2.5</v>
      </c>
      <c r="K524" s="2">
        <f t="shared" si="68"/>
        <v>2.5</v>
      </c>
      <c r="L524" s="8">
        <f t="shared" si="72"/>
        <v>9.3325430079699086E-11</v>
      </c>
      <c r="M524" s="26">
        <f>SUM(L524:L529)</f>
        <v>5.8275082557546855E-10</v>
      </c>
      <c r="N524" s="17">
        <f>10*LOG10(M524/E524)</f>
        <v>-100.12668352931284</v>
      </c>
      <c r="O524" s="9">
        <f t="shared" si="70"/>
        <v>-2.5</v>
      </c>
      <c r="P524" s="8">
        <f>D524/B524*10^(O524/10)</f>
        <v>43.862623364847231</v>
      </c>
      <c r="Q524" s="26">
        <f>SUM(P524:P529)</f>
        <v>339.35121452069387</v>
      </c>
      <c r="R524" s="17">
        <f>10*LOG10(Q524)</f>
        <v>25.306494078480739</v>
      </c>
      <c r="S524" s="18">
        <f>F524+N524-Kzt-H</f>
        <v>-32.126683529312842</v>
      </c>
      <c r="T524" s="17">
        <v>1</v>
      </c>
      <c r="U524" s="21">
        <f>T524*10^((S524-R524)/10)</f>
        <v>1.8058523522995245E-6</v>
      </c>
    </row>
    <row r="525" spans="1:21" x14ac:dyDescent="0.25">
      <c r="A525" s="24"/>
      <c r="B525" s="24"/>
      <c r="C525" s="17"/>
      <c r="D525" s="24"/>
      <c r="E525" s="24"/>
      <c r="F525" s="25"/>
      <c r="G525" s="1">
        <v>1625</v>
      </c>
      <c r="H525" s="2">
        <v>104.1</v>
      </c>
      <c r="I525" s="2">
        <v>4.9000000000000004</v>
      </c>
      <c r="J525" s="2">
        <v>3.4</v>
      </c>
      <c r="K525" s="2">
        <f t="shared" si="68"/>
        <v>4.9000000000000004</v>
      </c>
      <c r="L525" s="8">
        <f t="shared" si="72"/>
        <v>1.2022644346174158E-10</v>
      </c>
      <c r="M525" s="26"/>
      <c r="N525" s="17"/>
      <c r="O525" s="9">
        <f t="shared" si="70"/>
        <v>3.4</v>
      </c>
      <c r="P525" s="8">
        <f>D524/B524*10^(O525/10)</f>
        <v>170.64540666806511</v>
      </c>
      <c r="Q525" s="26"/>
      <c r="R525" s="17"/>
      <c r="S525" s="19"/>
      <c r="T525" s="17"/>
      <c r="U525" s="22"/>
    </row>
    <row r="526" spans="1:21" x14ac:dyDescent="0.25">
      <c r="A526" s="24"/>
      <c r="B526" s="24"/>
      <c r="C526" s="17"/>
      <c r="D526" s="24"/>
      <c r="E526" s="24"/>
      <c r="F526" s="25"/>
      <c r="G526" s="1">
        <v>1825</v>
      </c>
      <c r="H526" s="2">
        <v>107.6</v>
      </c>
      <c r="I526" s="2">
        <v>-2.2000000000000002</v>
      </c>
      <c r="J526" s="2">
        <v>-3.2</v>
      </c>
      <c r="K526" s="2">
        <f t="shared" si="68"/>
        <v>-2.2000000000000002</v>
      </c>
      <c r="L526" s="8">
        <f t="shared" si="72"/>
        <v>1.0471285480508978E-11</v>
      </c>
      <c r="M526" s="26"/>
      <c r="N526" s="17"/>
      <c r="O526" s="9">
        <f t="shared" si="70"/>
        <v>-3.2</v>
      </c>
      <c r="P526" s="8">
        <f>D524/B524*10^(O526/10)</f>
        <v>37.333147201165787</v>
      </c>
      <c r="Q526" s="26"/>
      <c r="R526" s="17"/>
      <c r="S526" s="19"/>
      <c r="T526" s="17"/>
      <c r="U526" s="22"/>
    </row>
    <row r="527" spans="1:21" x14ac:dyDescent="0.25">
      <c r="A527" s="24"/>
      <c r="B527" s="24"/>
      <c r="C527" s="17"/>
      <c r="D527" s="24"/>
      <c r="E527" s="24"/>
      <c r="F527" s="25"/>
      <c r="G527" s="1">
        <v>2125</v>
      </c>
      <c r="H527" s="2">
        <v>104.2</v>
      </c>
      <c r="I527" s="2">
        <v>4.5999999999999996</v>
      </c>
      <c r="J527" s="2">
        <v>-2.8</v>
      </c>
      <c r="K527" s="2">
        <f t="shared" si="68"/>
        <v>4.5999999999999996</v>
      </c>
      <c r="L527" s="8">
        <f t="shared" si="72"/>
        <v>1.0964781961431802E-10</v>
      </c>
      <c r="M527" s="26"/>
      <c r="N527" s="17"/>
      <c r="O527" s="9">
        <f t="shared" si="70"/>
        <v>-2.8</v>
      </c>
      <c r="P527" s="8">
        <f>D524/B524*10^(O527/10)</f>
        <v>40.93498189948226</v>
      </c>
      <c r="Q527" s="26"/>
      <c r="R527" s="17"/>
      <c r="S527" s="19"/>
      <c r="T527" s="17"/>
      <c r="U527" s="22"/>
    </row>
    <row r="528" spans="1:21" x14ac:dyDescent="0.25">
      <c r="A528" s="24"/>
      <c r="B528" s="24"/>
      <c r="C528" s="17"/>
      <c r="D528" s="24"/>
      <c r="E528" s="24"/>
      <c r="F528" s="25"/>
      <c r="G528" s="1">
        <v>2425</v>
      </c>
      <c r="H528" s="2">
        <v>93.7</v>
      </c>
      <c r="I528" s="2">
        <v>-4.5</v>
      </c>
      <c r="J528" s="2">
        <v>-5.2</v>
      </c>
      <c r="K528" s="2">
        <f t="shared" si="68"/>
        <v>-4.5</v>
      </c>
      <c r="L528" s="8">
        <f t="shared" si="72"/>
        <v>1.5135612484362048E-10</v>
      </c>
      <c r="M528" s="26"/>
      <c r="N528" s="17"/>
      <c r="O528" s="9">
        <f t="shared" si="70"/>
        <v>-5.2</v>
      </c>
      <c r="P528" s="8">
        <f>D524/B524*10^(O528/10)</f>
        <v>23.555623419135721</v>
      </c>
      <c r="Q528" s="26"/>
      <c r="R528" s="17"/>
      <c r="S528" s="19"/>
      <c r="T528" s="17"/>
      <c r="U528" s="22"/>
    </row>
    <row r="529" spans="1:21" x14ac:dyDescent="0.25">
      <c r="A529" s="24"/>
      <c r="B529" s="24"/>
      <c r="C529" s="17"/>
      <c r="D529" s="24"/>
      <c r="E529" s="24"/>
      <c r="F529" s="25"/>
      <c r="G529" s="1">
        <v>2775</v>
      </c>
      <c r="H529" s="2">
        <v>100.2</v>
      </c>
      <c r="I529" s="2">
        <v>0.1</v>
      </c>
      <c r="J529" s="2">
        <v>-5.3</v>
      </c>
      <c r="K529" s="2">
        <f t="shared" si="68"/>
        <v>0.1</v>
      </c>
      <c r="L529" s="8">
        <f t="shared" si="72"/>
        <v>9.7723722095580348E-11</v>
      </c>
      <c r="M529" s="26"/>
      <c r="N529" s="17"/>
      <c r="O529" s="9">
        <f t="shared" si="70"/>
        <v>-5.3</v>
      </c>
      <c r="P529" s="8">
        <f>D524/B524*10^(O529/10)</f>
        <v>23.0194319679978</v>
      </c>
      <c r="Q529" s="26"/>
      <c r="R529" s="17"/>
      <c r="S529" s="20"/>
      <c r="T529" s="17"/>
      <c r="U529" s="23"/>
    </row>
    <row r="530" spans="1:21" x14ac:dyDescent="0.25">
      <c r="A530" s="24">
        <v>4000</v>
      </c>
      <c r="B530" s="24">
        <v>3</v>
      </c>
      <c r="C530" s="17">
        <v>0.5</v>
      </c>
      <c r="D530" s="24">
        <v>470</v>
      </c>
      <c r="E530" s="24">
        <v>6</v>
      </c>
      <c r="F530" s="25">
        <v>62</v>
      </c>
      <c r="G530" s="1">
        <v>2825</v>
      </c>
      <c r="H530" s="2">
        <v>99.4</v>
      </c>
      <c r="I530" s="2">
        <v>-3.5999999999999996</v>
      </c>
      <c r="J530" s="2">
        <v>-4.5999999999999996</v>
      </c>
      <c r="K530" s="2">
        <f t="shared" si="68"/>
        <v>-3.5999999999999996</v>
      </c>
      <c r="L530" s="8">
        <f t="shared" si="72"/>
        <v>5.0118723362726993E-11</v>
      </c>
      <c r="M530" s="26">
        <f>SUM(L530:L535)</f>
        <v>2.6512385996149913E-10</v>
      </c>
      <c r="N530" s="17">
        <f>10*LOG10(M530/E530)</f>
        <v>-103.54702436330952</v>
      </c>
      <c r="O530" s="9">
        <f t="shared" si="70"/>
        <v>-4.5999999999999996</v>
      </c>
      <c r="P530" s="8">
        <f>D530/B530*10^(O530/10)</f>
        <v>54.322106570896622</v>
      </c>
      <c r="Q530" s="26">
        <f>SUM(P530:P535)</f>
        <v>527.68215500008375</v>
      </c>
      <c r="R530" s="17">
        <f>10*LOG10(Q530)</f>
        <v>27.223724075824013</v>
      </c>
      <c r="S530" s="18">
        <f>F530+N530-Kzt-H</f>
        <v>-41.547024363309518</v>
      </c>
      <c r="T530" s="17">
        <v>0.9</v>
      </c>
      <c r="U530" s="21">
        <f>T530*10^((S530-R530)/10)</f>
        <v>1.1944491494465821E-7</v>
      </c>
    </row>
    <row r="531" spans="1:21" x14ac:dyDescent="0.25">
      <c r="A531" s="24"/>
      <c r="B531" s="24"/>
      <c r="C531" s="17"/>
      <c r="D531" s="24"/>
      <c r="E531" s="24"/>
      <c r="F531" s="25"/>
      <c r="G531" s="1">
        <v>3425</v>
      </c>
      <c r="H531" s="2">
        <v>103.5</v>
      </c>
      <c r="I531" s="2">
        <v>-5.8</v>
      </c>
      <c r="J531" s="2">
        <v>-6.6</v>
      </c>
      <c r="K531" s="2">
        <f t="shared" si="68"/>
        <v>-5.8</v>
      </c>
      <c r="L531" s="8">
        <f t="shared" si="72"/>
        <v>1.1748975549395269E-11</v>
      </c>
      <c r="M531" s="26"/>
      <c r="N531" s="17"/>
      <c r="O531" s="9">
        <f t="shared" si="70"/>
        <v>-6.6</v>
      </c>
      <c r="P531" s="8">
        <f>D530/B530*10^(O531/10)</f>
        <v>34.274932108542991</v>
      </c>
      <c r="Q531" s="26"/>
      <c r="R531" s="17"/>
      <c r="S531" s="19"/>
      <c r="T531" s="17"/>
      <c r="U531" s="22"/>
    </row>
    <row r="532" spans="1:21" x14ac:dyDescent="0.25">
      <c r="A532" s="24"/>
      <c r="B532" s="24"/>
      <c r="C532" s="17"/>
      <c r="D532" s="24"/>
      <c r="E532" s="24"/>
      <c r="F532" s="25"/>
      <c r="G532" s="1">
        <v>4025</v>
      </c>
      <c r="H532" s="2">
        <v>103.6</v>
      </c>
      <c r="I532" s="2">
        <v>-0.6</v>
      </c>
      <c r="J532" s="2">
        <v>-0.7</v>
      </c>
      <c r="K532" s="2">
        <f t="shared" si="68"/>
        <v>-0.6</v>
      </c>
      <c r="L532" s="8">
        <f t="shared" si="72"/>
        <v>3.8018939632056257E-11</v>
      </c>
      <c r="M532" s="26"/>
      <c r="N532" s="17"/>
      <c r="O532" s="9">
        <f t="shared" si="70"/>
        <v>-0.7</v>
      </c>
      <c r="P532" s="8">
        <f>D530/B530*10^(O532/10)</f>
        <v>133.3449593183723</v>
      </c>
      <c r="Q532" s="26"/>
      <c r="R532" s="17"/>
      <c r="S532" s="19"/>
      <c r="T532" s="17"/>
      <c r="U532" s="22"/>
    </row>
    <row r="533" spans="1:21" x14ac:dyDescent="0.25">
      <c r="A533" s="24"/>
      <c r="B533" s="24"/>
      <c r="C533" s="17"/>
      <c r="D533" s="24"/>
      <c r="E533" s="24"/>
      <c r="F533" s="25"/>
      <c r="G533" s="1">
        <v>4625</v>
      </c>
      <c r="H533" s="2">
        <v>105.6</v>
      </c>
      <c r="I533" s="2">
        <v>3.3</v>
      </c>
      <c r="J533" s="2">
        <v>1.4</v>
      </c>
      <c r="K533" s="2">
        <f t="shared" si="68"/>
        <v>3.3</v>
      </c>
      <c r="L533" s="8">
        <f t="shared" si="72"/>
        <v>5.8884365535558786E-11</v>
      </c>
      <c r="M533" s="26"/>
      <c r="N533" s="17"/>
      <c r="O533" s="9">
        <f t="shared" si="70"/>
        <v>1.4</v>
      </c>
      <c r="P533" s="8">
        <f>D530/B530*10^(O533/10)</f>
        <v>216.26020145445193</v>
      </c>
      <c r="Q533" s="26"/>
      <c r="R533" s="17"/>
      <c r="S533" s="19"/>
      <c r="T533" s="17"/>
      <c r="U533" s="22"/>
    </row>
    <row r="534" spans="1:21" x14ac:dyDescent="0.25">
      <c r="A534" s="24"/>
      <c r="B534" s="24"/>
      <c r="C534" s="17"/>
      <c r="D534" s="24"/>
      <c r="E534" s="24"/>
      <c r="F534" s="25"/>
      <c r="G534" s="1">
        <v>5225</v>
      </c>
      <c r="H534" s="2">
        <v>103.5</v>
      </c>
      <c r="I534" s="2">
        <v>1</v>
      </c>
      <c r="J534" s="2">
        <v>-5.7</v>
      </c>
      <c r="K534" s="2">
        <f t="shared" si="68"/>
        <v>1</v>
      </c>
      <c r="L534" s="8">
        <f t="shared" si="72"/>
        <v>5.6234132519034822E-11</v>
      </c>
      <c r="M534" s="26"/>
      <c r="N534" s="17"/>
      <c r="O534" s="9">
        <f t="shared" si="70"/>
        <v>-5.7</v>
      </c>
      <c r="P534" s="8">
        <f>D530/B530*10^(O534/10)</f>
        <v>42.167378594854995</v>
      </c>
      <c r="Q534" s="26"/>
      <c r="R534" s="17"/>
      <c r="S534" s="19"/>
      <c r="T534" s="17"/>
      <c r="U534" s="22"/>
    </row>
    <row r="535" spans="1:21" x14ac:dyDescent="0.25">
      <c r="A535" s="24"/>
      <c r="B535" s="24"/>
      <c r="C535" s="17"/>
      <c r="D535" s="24"/>
      <c r="E535" s="24"/>
      <c r="F535" s="25"/>
      <c r="G535" s="1">
        <v>5625</v>
      </c>
      <c r="H535" s="2">
        <v>99.5</v>
      </c>
      <c r="I535" s="2">
        <v>-3.5</v>
      </c>
      <c r="J535" s="2">
        <v>-5.2</v>
      </c>
      <c r="K535" s="2">
        <f t="shared" si="68"/>
        <v>-3.5</v>
      </c>
      <c r="L535" s="8">
        <f t="shared" si="72"/>
        <v>5.0118723362726993E-11</v>
      </c>
      <c r="M535" s="26"/>
      <c r="N535" s="17"/>
      <c r="O535" s="9">
        <f t="shared" si="70"/>
        <v>-5.2</v>
      </c>
      <c r="P535" s="8">
        <f>D530/B530*10^(O535/10)</f>
        <v>47.312576952964903</v>
      </c>
      <c r="Q535" s="26"/>
      <c r="R535" s="17"/>
      <c r="S535" s="20"/>
      <c r="T535" s="17"/>
      <c r="U535" s="23"/>
    </row>
    <row r="536" spans="1:21" x14ac:dyDescent="0.25">
      <c r="A536" s="24">
        <v>8000</v>
      </c>
      <c r="B536" s="24">
        <v>3</v>
      </c>
      <c r="C536" s="17">
        <v>0.5</v>
      </c>
      <c r="D536" s="24">
        <v>943</v>
      </c>
      <c r="E536" s="24">
        <v>6</v>
      </c>
      <c r="F536" s="25">
        <v>54</v>
      </c>
      <c r="G536" s="1">
        <v>6025</v>
      </c>
      <c r="H536" s="2">
        <v>95</v>
      </c>
      <c r="I536" s="2">
        <v>3.5</v>
      </c>
      <c r="J536" s="2">
        <v>-0.4</v>
      </c>
      <c r="K536" s="2">
        <f t="shared" si="68"/>
        <v>3.5</v>
      </c>
      <c r="L536" s="8">
        <f t="shared" si="72"/>
        <v>7.079457843841369E-10</v>
      </c>
      <c r="M536" s="26">
        <f>SUM(L536:L541)</f>
        <v>1.5284834107931005E-6</v>
      </c>
      <c r="N536" s="17">
        <f>10*LOG10(M536/E536)</f>
        <v>-65.938905208577566</v>
      </c>
      <c r="O536" s="9">
        <f t="shared" si="70"/>
        <v>-0.4</v>
      </c>
      <c r="P536" s="8">
        <f>D536/B536*10^(O536/10)</f>
        <v>286.67540717087422</v>
      </c>
      <c r="Q536" s="26">
        <f>SUM(P536:P541)</f>
        <v>11962.576781814849</v>
      </c>
      <c r="R536" s="17">
        <f>10*LOG10(Q536)</f>
        <v>40.778247383135508</v>
      </c>
      <c r="S536" s="18">
        <f>F536+N536-Kzt-H</f>
        <v>-11.938905208577566</v>
      </c>
      <c r="T536" s="17">
        <v>0.7</v>
      </c>
      <c r="U536" s="21">
        <f>T536*10^((S536-R536)/10)</f>
        <v>3.7444046926085667E-6</v>
      </c>
    </row>
    <row r="537" spans="1:21" x14ac:dyDescent="0.25">
      <c r="A537" s="24"/>
      <c r="B537" s="24"/>
      <c r="C537" s="17"/>
      <c r="D537" s="24"/>
      <c r="E537" s="24"/>
      <c r="F537" s="25"/>
      <c r="G537" s="1">
        <v>7025</v>
      </c>
      <c r="H537" s="2">
        <v>94.8</v>
      </c>
      <c r="I537" s="2">
        <v>3.2</v>
      </c>
      <c r="J537" s="2">
        <v>2.2000000000000002</v>
      </c>
      <c r="K537" s="2">
        <f t="shared" si="68"/>
        <v>3.2</v>
      </c>
      <c r="L537" s="8">
        <f t="shared" si="72"/>
        <v>6.9183097091893558E-10</v>
      </c>
      <c r="M537" s="26"/>
      <c r="N537" s="17"/>
      <c r="O537" s="9">
        <f t="shared" si="70"/>
        <v>2.2000000000000002</v>
      </c>
      <c r="P537" s="8">
        <f>D536/B536*10^(O537/10)</f>
        <v>521.6634845712066</v>
      </c>
      <c r="Q537" s="26"/>
      <c r="R537" s="17"/>
      <c r="S537" s="19"/>
      <c r="T537" s="17"/>
      <c r="U537" s="22"/>
    </row>
    <row r="538" spans="1:21" x14ac:dyDescent="0.25">
      <c r="A538" s="24"/>
      <c r="B538" s="24"/>
      <c r="C538" s="17"/>
      <c r="D538" s="24"/>
      <c r="E538" s="24"/>
      <c r="F538" s="25"/>
      <c r="G538" s="1">
        <v>8025</v>
      </c>
      <c r="H538" s="2">
        <v>101.9</v>
      </c>
      <c r="I538" s="2">
        <v>9.4</v>
      </c>
      <c r="J538" s="2">
        <v>9</v>
      </c>
      <c r="K538" s="2">
        <f t="shared" si="68"/>
        <v>9.4</v>
      </c>
      <c r="L538" s="8">
        <f t="shared" si="72"/>
        <v>5.6234132519034889E-10</v>
      </c>
      <c r="M538" s="26"/>
      <c r="N538" s="17"/>
      <c r="O538" s="9">
        <f t="shared" si="70"/>
        <v>9</v>
      </c>
      <c r="P538" s="8">
        <f>D536/B536*10^(O538/10)</f>
        <v>2496.8384178166589</v>
      </c>
      <c r="Q538" s="26"/>
      <c r="R538" s="17"/>
      <c r="S538" s="19"/>
      <c r="T538" s="17"/>
      <c r="U538" s="22"/>
    </row>
    <row r="539" spans="1:21" x14ac:dyDescent="0.25">
      <c r="A539" s="24"/>
      <c r="B539" s="24"/>
      <c r="C539" s="17"/>
      <c r="D539" s="24"/>
      <c r="E539" s="24"/>
      <c r="F539" s="25"/>
      <c r="G539" s="1">
        <v>9025</v>
      </c>
      <c r="H539" s="2">
        <v>93.2</v>
      </c>
      <c r="I539" s="2">
        <v>6.2</v>
      </c>
      <c r="J539" s="2">
        <v>4.7</v>
      </c>
      <c r="K539" s="2">
        <f t="shared" si="68"/>
        <v>6.2</v>
      </c>
      <c r="L539" s="8">
        <f t="shared" si="72"/>
        <v>1.9952623149688824E-9</v>
      </c>
      <c r="M539" s="26"/>
      <c r="N539" s="17"/>
      <c r="O539" s="9">
        <f t="shared" si="70"/>
        <v>4.7</v>
      </c>
      <c r="P539" s="8">
        <f>D536/B536*10^(O539/10)</f>
        <v>927.66343358213396</v>
      </c>
      <c r="Q539" s="26"/>
      <c r="R539" s="17"/>
      <c r="S539" s="19"/>
      <c r="T539" s="17"/>
      <c r="U539" s="22"/>
    </row>
    <row r="540" spans="1:21" x14ac:dyDescent="0.25">
      <c r="A540" s="24"/>
      <c r="B540" s="24"/>
      <c r="C540" s="17"/>
      <c r="D540" s="24"/>
      <c r="E540" s="24"/>
      <c r="F540" s="25"/>
      <c r="G540" s="1">
        <v>10025</v>
      </c>
      <c r="H540" s="2">
        <v>88.3</v>
      </c>
      <c r="I540" s="2">
        <v>8.6999999999999993</v>
      </c>
      <c r="J540" s="2">
        <v>-2.2000000000000002</v>
      </c>
      <c r="K540" s="2">
        <f t="shared" si="68"/>
        <v>8.6999999999999993</v>
      </c>
      <c r="L540" s="8">
        <f t="shared" si="72"/>
        <v>1.0964781961431866E-8</v>
      </c>
      <c r="M540" s="26"/>
      <c r="N540" s="17"/>
      <c r="O540" s="9">
        <f t="shared" si="70"/>
        <v>-2.2000000000000002</v>
      </c>
      <c r="P540" s="8">
        <f>D536/B536*10^(O540/10)</f>
        <v>189.40456322270643</v>
      </c>
      <c r="Q540" s="26"/>
      <c r="R540" s="17"/>
      <c r="S540" s="19"/>
      <c r="T540" s="17"/>
      <c r="U540" s="22"/>
    </row>
    <row r="541" spans="1:21" x14ac:dyDescent="0.25">
      <c r="A541" s="24"/>
      <c r="B541" s="24"/>
      <c r="C541" s="17"/>
      <c r="D541" s="24"/>
      <c r="E541" s="24"/>
      <c r="F541" s="25"/>
      <c r="G541" s="1">
        <v>11025</v>
      </c>
      <c r="H541" s="2">
        <v>86</v>
      </c>
      <c r="I541" s="2">
        <v>27.8</v>
      </c>
      <c r="J541" s="2">
        <v>13.8</v>
      </c>
      <c r="K541" s="2">
        <f t="shared" si="68"/>
        <v>27.8</v>
      </c>
      <c r="L541" s="8">
        <f t="shared" si="72"/>
        <v>1.5135612484362063E-6</v>
      </c>
      <c r="M541" s="26"/>
      <c r="N541" s="17"/>
      <c r="O541" s="9">
        <f t="shared" si="70"/>
        <v>13.8</v>
      </c>
      <c r="P541" s="8">
        <f>D536/B536*10^(O541/10)</f>
        <v>7540.3314754512685</v>
      </c>
      <c r="Q541" s="26"/>
      <c r="R541" s="17"/>
      <c r="S541" s="20"/>
      <c r="T541" s="17"/>
      <c r="U541" s="23"/>
    </row>
    <row r="542" spans="1:21" x14ac:dyDescent="0.25">
      <c r="A542" s="24" t="s">
        <v>20</v>
      </c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12">
        <f>U542</f>
        <v>6.1245052498525347E-2</v>
      </c>
      <c r="T542" s="2"/>
      <c r="U542" s="8">
        <f>0.8*SQRT(SUM(U508:U541))</f>
        <v>6.1245052498525347E-2</v>
      </c>
    </row>
    <row r="543" spans="1:21" x14ac:dyDescent="0.25">
      <c r="A543" s="27" t="s">
        <v>47</v>
      </c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9"/>
    </row>
    <row r="544" spans="1:21" x14ac:dyDescent="0.25">
      <c r="A544" s="24">
        <v>250</v>
      </c>
      <c r="B544" s="24">
        <v>3</v>
      </c>
      <c r="C544" s="17">
        <v>0.5</v>
      </c>
      <c r="D544" s="24">
        <v>38</v>
      </c>
      <c r="E544" s="24">
        <v>4</v>
      </c>
      <c r="F544" s="25">
        <v>84</v>
      </c>
      <c r="G544" s="1">
        <v>175</v>
      </c>
      <c r="H544" s="2">
        <v>84.8</v>
      </c>
      <c r="I544" s="2">
        <v>6</v>
      </c>
      <c r="J544" s="2">
        <v>-4.8</v>
      </c>
      <c r="K544" s="2">
        <f>I544</f>
        <v>6</v>
      </c>
      <c r="L544" s="8">
        <f>10^((K544-H544)/10)</f>
        <v>1.3182567385564031E-8</v>
      </c>
      <c r="M544" s="26">
        <f>SUM(L544:L547)</f>
        <v>1.5557475792398373E-8</v>
      </c>
      <c r="N544" s="17">
        <f>10*LOG10(M544/E544)</f>
        <v>-84.101208574378674</v>
      </c>
      <c r="O544" s="9">
        <f>J544</f>
        <v>-4.8</v>
      </c>
      <c r="P544" s="8">
        <f>D544/B544*10^(O544/10)</f>
        <v>4.1943275387794863</v>
      </c>
      <c r="Q544" s="26">
        <f>SUM(P544:P547)</f>
        <v>19.751247381150886</v>
      </c>
      <c r="R544" s="17">
        <f>10*LOG10(Q544)</f>
        <v>12.955945285014117</v>
      </c>
      <c r="S544" s="18">
        <f>F544+N544-Kzt-H</f>
        <v>-0.10120857437867414</v>
      </c>
      <c r="T544" s="17">
        <v>0.2</v>
      </c>
      <c r="U544" s="21">
        <f>T544*10^((S544-R544)/10)</f>
        <v>9.8926947744976332E-3</v>
      </c>
    </row>
    <row r="545" spans="1:21" x14ac:dyDescent="0.25">
      <c r="A545" s="24"/>
      <c r="B545" s="24"/>
      <c r="C545" s="17"/>
      <c r="D545" s="24"/>
      <c r="E545" s="24"/>
      <c r="F545" s="25"/>
      <c r="G545" s="1">
        <v>225</v>
      </c>
      <c r="H545" s="2">
        <v>90</v>
      </c>
      <c r="I545" s="2">
        <v>-6.8</v>
      </c>
      <c r="J545" s="2">
        <v>-9.1999999999999993</v>
      </c>
      <c r="K545" s="2">
        <f t="shared" ref="K545:K577" si="73">I545</f>
        <v>-6.8</v>
      </c>
      <c r="L545" s="8">
        <f t="shared" ref="L545:L546" si="74">10^((K545-H545)/10)</f>
        <v>2.0892961308540397E-10</v>
      </c>
      <c r="M545" s="26"/>
      <c r="N545" s="17"/>
      <c r="O545" s="9">
        <f t="shared" ref="O545:O577" si="75">J545</f>
        <v>-9.1999999999999993</v>
      </c>
      <c r="P545" s="8">
        <f>D544/B544*10^(O545/10)</f>
        <v>1.5228682838487229</v>
      </c>
      <c r="Q545" s="26"/>
      <c r="R545" s="17"/>
      <c r="S545" s="19"/>
      <c r="T545" s="17"/>
      <c r="U545" s="22"/>
    </row>
    <row r="546" spans="1:21" x14ac:dyDescent="0.25">
      <c r="A546" s="24"/>
      <c r="B546" s="24"/>
      <c r="C546" s="17"/>
      <c r="D546" s="24"/>
      <c r="E546" s="24"/>
      <c r="F546" s="25"/>
      <c r="G546" s="1">
        <v>275</v>
      </c>
      <c r="H546" s="2">
        <v>92.2</v>
      </c>
      <c r="I546" s="2">
        <v>-1.1000000000000001</v>
      </c>
      <c r="J546" s="2">
        <v>-5.3</v>
      </c>
      <c r="K546" s="2">
        <f t="shared" si="73"/>
        <v>-1.1000000000000001</v>
      </c>
      <c r="L546" s="8">
        <f t="shared" si="74"/>
        <v>4.6773514128719668E-10</v>
      </c>
      <c r="M546" s="26"/>
      <c r="N546" s="17"/>
      <c r="O546" s="9">
        <f t="shared" si="75"/>
        <v>-5.3</v>
      </c>
      <c r="P546" s="8">
        <f>D544/B544*10^(O546/10)</f>
        <v>3.7381983537774204</v>
      </c>
      <c r="Q546" s="26"/>
      <c r="R546" s="17"/>
      <c r="S546" s="19"/>
      <c r="T546" s="17"/>
      <c r="U546" s="22"/>
    </row>
    <row r="547" spans="1:21" x14ac:dyDescent="0.25">
      <c r="A547" s="24"/>
      <c r="B547" s="24"/>
      <c r="C547" s="17"/>
      <c r="D547" s="24"/>
      <c r="E547" s="24"/>
      <c r="F547" s="25"/>
      <c r="G547" s="1">
        <v>325</v>
      </c>
      <c r="H547" s="2">
        <v>93.3</v>
      </c>
      <c r="I547" s="2">
        <v>5.6</v>
      </c>
      <c r="J547" s="2">
        <v>-0.9</v>
      </c>
      <c r="K547" s="2">
        <f t="shared" si="73"/>
        <v>5.6</v>
      </c>
      <c r="L547" s="8">
        <f>10^((K547-H547)/10)</f>
        <v>1.6982436524617417E-9</v>
      </c>
      <c r="M547" s="26"/>
      <c r="N547" s="17"/>
      <c r="O547" s="9">
        <f t="shared" si="75"/>
        <v>-0.9</v>
      </c>
      <c r="P547" s="8">
        <f>D544/B544*10^(O547/10)</f>
        <v>10.295853204745256</v>
      </c>
      <c r="Q547" s="26"/>
      <c r="R547" s="17"/>
      <c r="S547" s="20"/>
      <c r="T547" s="17"/>
      <c r="U547" s="23"/>
    </row>
    <row r="548" spans="1:21" x14ac:dyDescent="0.25">
      <c r="A548" s="24">
        <v>500</v>
      </c>
      <c r="B548" s="24">
        <v>3</v>
      </c>
      <c r="C548" s="17">
        <v>0.5</v>
      </c>
      <c r="D548" s="24">
        <v>59</v>
      </c>
      <c r="E548" s="24">
        <v>6</v>
      </c>
      <c r="F548" s="25">
        <v>84</v>
      </c>
      <c r="G548" s="1">
        <v>375</v>
      </c>
      <c r="H548" s="2">
        <v>91.9</v>
      </c>
      <c r="I548" s="2">
        <v>4.4000000000000004</v>
      </c>
      <c r="J548" s="2">
        <v>-4.2</v>
      </c>
      <c r="K548" s="2">
        <f t="shared" si="73"/>
        <v>4.4000000000000004</v>
      </c>
      <c r="L548" s="8">
        <f t="shared" ref="L548:L549" si="76">10^((K548-H548)/10)</f>
        <v>1.7782794100389197E-9</v>
      </c>
      <c r="M548" s="26">
        <f>SUM(L548:L553)</f>
        <v>1.5935904411155444E-8</v>
      </c>
      <c r="N548" s="17">
        <f>10*LOG10(M548/E548)</f>
        <v>-85.757745343386745</v>
      </c>
      <c r="O548" s="9">
        <f t="shared" si="75"/>
        <v>-4.2</v>
      </c>
      <c r="P548" s="8">
        <f>D548/B548*10^(O548/10)</f>
        <v>7.4770581276377017</v>
      </c>
      <c r="Q548" s="26">
        <f>SUM(P548:P553)</f>
        <v>45.261399260869979</v>
      </c>
      <c r="R548" s="17">
        <f>10*LOG10(Q548)</f>
        <v>16.557279760853703</v>
      </c>
      <c r="S548" s="18">
        <f>F548+N548-Kzt-H</f>
        <v>-1.7577453433867447</v>
      </c>
      <c r="T548" s="17">
        <v>0.5</v>
      </c>
      <c r="U548" s="21">
        <f>T548*10^((S548-R548)/10)</f>
        <v>7.3700001027184117E-3</v>
      </c>
    </row>
    <row r="549" spans="1:21" x14ac:dyDescent="0.25">
      <c r="A549" s="24"/>
      <c r="B549" s="24"/>
      <c r="C549" s="17"/>
      <c r="D549" s="24"/>
      <c r="E549" s="24"/>
      <c r="F549" s="25"/>
      <c r="G549" s="1">
        <v>425</v>
      </c>
      <c r="H549" s="2">
        <v>88.1</v>
      </c>
      <c r="I549" s="2">
        <v>8.9</v>
      </c>
      <c r="J549" s="2">
        <v>-3.9</v>
      </c>
      <c r="K549" s="2">
        <f t="shared" si="73"/>
        <v>8.9</v>
      </c>
      <c r="L549" s="8">
        <f t="shared" si="76"/>
        <v>1.2022644346174142E-8</v>
      </c>
      <c r="M549" s="26"/>
      <c r="N549" s="17"/>
      <c r="O549" s="9">
        <f t="shared" si="75"/>
        <v>-3.9</v>
      </c>
      <c r="P549" s="8">
        <f>D548/B548*10^(O549/10)</f>
        <v>8.0118121301475504</v>
      </c>
      <c r="Q549" s="26"/>
      <c r="R549" s="17"/>
      <c r="S549" s="19"/>
      <c r="T549" s="17"/>
      <c r="U549" s="22"/>
    </row>
    <row r="550" spans="1:21" x14ac:dyDescent="0.25">
      <c r="A550" s="24"/>
      <c r="B550" s="24"/>
      <c r="C550" s="17"/>
      <c r="D550" s="24"/>
      <c r="E550" s="24"/>
      <c r="F550" s="25"/>
      <c r="G550" s="1">
        <v>475</v>
      </c>
      <c r="H550" s="2">
        <v>90</v>
      </c>
      <c r="I550" s="2">
        <v>-7.3999999999999995</v>
      </c>
      <c r="J550" s="2">
        <v>-8.1999999999999993</v>
      </c>
      <c r="K550" s="2">
        <f t="shared" si="73"/>
        <v>-7.3999999999999995</v>
      </c>
      <c r="L550" s="8">
        <f>10^((K550-H550)/10)</f>
        <v>1.8197008586099781E-10</v>
      </c>
      <c r="M550" s="26"/>
      <c r="N550" s="17"/>
      <c r="O550" s="9">
        <f t="shared" si="75"/>
        <v>-8.1999999999999993</v>
      </c>
      <c r="P550" s="8">
        <f>D548/B548*10^(O550/10)</f>
        <v>2.9766704552578758</v>
      </c>
      <c r="Q550" s="26"/>
      <c r="R550" s="17"/>
      <c r="S550" s="19"/>
      <c r="T550" s="17"/>
      <c r="U550" s="22"/>
    </row>
    <row r="551" spans="1:21" x14ac:dyDescent="0.25">
      <c r="A551" s="24"/>
      <c r="B551" s="24"/>
      <c r="C551" s="17"/>
      <c r="D551" s="24"/>
      <c r="E551" s="24"/>
      <c r="F551" s="25"/>
      <c r="G551" s="1">
        <v>575</v>
      </c>
      <c r="H551" s="2">
        <v>97</v>
      </c>
      <c r="I551" s="2">
        <v>5.9</v>
      </c>
      <c r="J551" s="2">
        <v>-3.1</v>
      </c>
      <c r="K551" s="2">
        <f t="shared" si="73"/>
        <v>5.9</v>
      </c>
      <c r="L551" s="8">
        <f t="shared" ref="L551:L577" si="77">10^((K551-H551)/10)</f>
        <v>7.7624711662869035E-10</v>
      </c>
      <c r="M551" s="26"/>
      <c r="N551" s="17"/>
      <c r="O551" s="9">
        <f t="shared" si="75"/>
        <v>-3.1</v>
      </c>
      <c r="P551" s="8">
        <f>D548/B548*10^(O551/10)</f>
        <v>9.6323167809127739</v>
      </c>
      <c r="Q551" s="26"/>
      <c r="R551" s="17"/>
      <c r="S551" s="19"/>
      <c r="T551" s="17"/>
      <c r="U551" s="22"/>
    </row>
    <row r="552" spans="1:21" x14ac:dyDescent="0.25">
      <c r="A552" s="24"/>
      <c r="B552" s="24"/>
      <c r="C552" s="17"/>
      <c r="D552" s="24"/>
      <c r="E552" s="24"/>
      <c r="F552" s="25"/>
      <c r="G552" s="1">
        <v>625</v>
      </c>
      <c r="H552" s="2">
        <v>92</v>
      </c>
      <c r="I552" s="2">
        <v>1.9</v>
      </c>
      <c r="J552" s="2">
        <v>-4.3</v>
      </c>
      <c r="K552" s="2">
        <f t="shared" si="73"/>
        <v>1.9</v>
      </c>
      <c r="L552" s="8">
        <f t="shared" si="77"/>
        <v>9.7723722095580808E-10</v>
      </c>
      <c r="M552" s="26"/>
      <c r="N552" s="17"/>
      <c r="O552" s="9">
        <f t="shared" si="75"/>
        <v>-4.3</v>
      </c>
      <c r="P552" s="8">
        <f>D548/B548*10^(O552/10)</f>
        <v>7.3068595055777266</v>
      </c>
      <c r="Q552" s="26"/>
      <c r="R552" s="17"/>
      <c r="S552" s="19"/>
      <c r="T552" s="17"/>
      <c r="U552" s="22"/>
    </row>
    <row r="553" spans="1:21" x14ac:dyDescent="0.25">
      <c r="A553" s="24"/>
      <c r="B553" s="24"/>
      <c r="C553" s="17"/>
      <c r="D553" s="24"/>
      <c r="E553" s="24"/>
      <c r="F553" s="25"/>
      <c r="G553" s="1">
        <v>675</v>
      </c>
      <c r="H553" s="2">
        <v>94.5</v>
      </c>
      <c r="I553" s="2">
        <v>-2.5</v>
      </c>
      <c r="J553" s="2">
        <v>-3</v>
      </c>
      <c r="K553" s="2">
        <f t="shared" si="73"/>
        <v>-2.5</v>
      </c>
      <c r="L553" s="8">
        <f t="shared" si="77"/>
        <v>1.9952623149688802E-10</v>
      </c>
      <c r="M553" s="26"/>
      <c r="N553" s="17"/>
      <c r="O553" s="9">
        <f t="shared" si="75"/>
        <v>-3</v>
      </c>
      <c r="P553" s="8">
        <f>D548/B548*10^(O553/10)</f>
        <v>9.8566822613363545</v>
      </c>
      <c r="Q553" s="26"/>
      <c r="R553" s="17"/>
      <c r="S553" s="20"/>
      <c r="T553" s="17"/>
      <c r="U553" s="23"/>
    </row>
    <row r="554" spans="1:21" x14ac:dyDescent="0.25">
      <c r="A554" s="24">
        <v>1000</v>
      </c>
      <c r="B554" s="24">
        <v>3</v>
      </c>
      <c r="C554" s="17">
        <v>0.5</v>
      </c>
      <c r="D554" s="24">
        <v>117</v>
      </c>
      <c r="E554" s="24">
        <v>6</v>
      </c>
      <c r="F554" s="25">
        <v>76</v>
      </c>
      <c r="G554" s="1">
        <v>875</v>
      </c>
      <c r="H554" s="2">
        <v>91.1</v>
      </c>
      <c r="I554" s="2">
        <v>1.7</v>
      </c>
      <c r="J554" s="2">
        <v>-3.7</v>
      </c>
      <c r="K554" s="2">
        <f t="shared" si="73"/>
        <v>1.7</v>
      </c>
      <c r="L554" s="8">
        <f t="shared" si="77"/>
        <v>1.1481536214968828E-9</v>
      </c>
      <c r="M554" s="26">
        <f>SUM(L554:L559)</f>
        <v>5.0565962373185889E-9</v>
      </c>
      <c r="N554" s="17">
        <f>10*LOG10(M554/E554)</f>
        <v>-90.74292973220382</v>
      </c>
      <c r="O554" s="9">
        <f t="shared" si="75"/>
        <v>-3.7</v>
      </c>
      <c r="P554" s="8">
        <f>D554/B554*10^(O554/10)</f>
        <v>16.636601233262112</v>
      </c>
      <c r="Q554" s="26">
        <f>SUM(P554:P559)</f>
        <v>124.62485753716139</v>
      </c>
      <c r="R554" s="17">
        <f>10*LOG10(Q554)</f>
        <v>20.95604674863463</v>
      </c>
      <c r="S554" s="18">
        <f>F554+N554-Kzt-H</f>
        <v>-14.74292973220382</v>
      </c>
      <c r="T554" s="17">
        <v>0.8</v>
      </c>
      <c r="U554" s="21">
        <f>T554*10^((S554-R554)/10)</f>
        <v>2.1537353627546713E-4</v>
      </c>
    </row>
    <row r="555" spans="1:21" x14ac:dyDescent="0.25">
      <c r="A555" s="24"/>
      <c r="B555" s="24"/>
      <c r="C555" s="17"/>
      <c r="D555" s="24"/>
      <c r="E555" s="24"/>
      <c r="F555" s="25"/>
      <c r="G555" s="1">
        <v>975</v>
      </c>
      <c r="H555" s="2">
        <v>96.5</v>
      </c>
      <c r="I555" s="2">
        <v>-1.5</v>
      </c>
      <c r="J555" s="2">
        <v>-4.7</v>
      </c>
      <c r="K555" s="2">
        <f t="shared" si="73"/>
        <v>-1.5</v>
      </c>
      <c r="L555" s="8">
        <f t="shared" si="77"/>
        <v>1.5848931924611098E-10</v>
      </c>
      <c r="M555" s="26"/>
      <c r="N555" s="17"/>
      <c r="O555" s="9">
        <f t="shared" si="75"/>
        <v>-4.7</v>
      </c>
      <c r="P555" s="8">
        <f>D554/B554*10^(O555/10)</f>
        <v>13.214922089428898</v>
      </c>
      <c r="Q555" s="26"/>
      <c r="R555" s="17"/>
      <c r="S555" s="19"/>
      <c r="T555" s="17"/>
      <c r="U555" s="22"/>
    </row>
    <row r="556" spans="1:21" x14ac:dyDescent="0.25">
      <c r="A556" s="24"/>
      <c r="B556" s="24"/>
      <c r="C556" s="17"/>
      <c r="D556" s="24"/>
      <c r="E556" s="24"/>
      <c r="F556" s="25"/>
      <c r="G556" s="1">
        <v>1075</v>
      </c>
      <c r="H556" s="2">
        <v>94.6</v>
      </c>
      <c r="I556" s="2">
        <v>10</v>
      </c>
      <c r="J556" s="2">
        <v>-0.1</v>
      </c>
      <c r="K556" s="2">
        <f t="shared" si="73"/>
        <v>10</v>
      </c>
      <c r="L556" s="8">
        <f t="shared" si="77"/>
        <v>3.4673685045253129E-9</v>
      </c>
      <c r="M556" s="26"/>
      <c r="N556" s="17"/>
      <c r="O556" s="9">
        <f t="shared" si="75"/>
        <v>-0.1</v>
      </c>
      <c r="P556" s="8">
        <f>D554/B554*10^(O556/10)</f>
        <v>38.112251617276613</v>
      </c>
      <c r="Q556" s="26"/>
      <c r="R556" s="17"/>
      <c r="S556" s="19"/>
      <c r="T556" s="17"/>
      <c r="U556" s="22"/>
    </row>
    <row r="557" spans="1:21" x14ac:dyDescent="0.25">
      <c r="A557" s="24"/>
      <c r="B557" s="24"/>
      <c r="C557" s="17"/>
      <c r="D557" s="24"/>
      <c r="E557" s="24"/>
      <c r="F557" s="25"/>
      <c r="G557" s="1">
        <v>1175</v>
      </c>
      <c r="H557" s="2">
        <v>97.8</v>
      </c>
      <c r="I557" s="2">
        <v>0.2</v>
      </c>
      <c r="J557" s="2">
        <v>-2</v>
      </c>
      <c r="K557" s="2">
        <f t="shared" si="73"/>
        <v>0.2</v>
      </c>
      <c r="L557" s="8">
        <f t="shared" si="77"/>
        <v>1.7378008287493709E-10</v>
      </c>
      <c r="M557" s="26"/>
      <c r="N557" s="17"/>
      <c r="O557" s="9">
        <f t="shared" si="75"/>
        <v>-2</v>
      </c>
      <c r="P557" s="8">
        <f>D554/B554*10^(O557/10)</f>
        <v>24.607336434727536</v>
      </c>
      <c r="Q557" s="26"/>
      <c r="R557" s="17"/>
      <c r="S557" s="19"/>
      <c r="T557" s="17"/>
      <c r="U557" s="22"/>
    </row>
    <row r="558" spans="1:21" x14ac:dyDescent="0.25">
      <c r="A558" s="24"/>
      <c r="B558" s="24"/>
      <c r="C558" s="17"/>
      <c r="D558" s="24"/>
      <c r="E558" s="24"/>
      <c r="F558" s="25"/>
      <c r="G558" s="1">
        <v>1275</v>
      </c>
      <c r="H558" s="2">
        <v>100.1</v>
      </c>
      <c r="I558" s="2">
        <v>-1.2</v>
      </c>
      <c r="J558" s="2">
        <v>-2.9</v>
      </c>
      <c r="K558" s="2">
        <f t="shared" si="73"/>
        <v>-1.2</v>
      </c>
      <c r="L558" s="8">
        <f t="shared" si="77"/>
        <v>7.413102413009181E-11</v>
      </c>
      <c r="M558" s="26"/>
      <c r="N558" s="17"/>
      <c r="O558" s="9">
        <f t="shared" si="75"/>
        <v>-2.9</v>
      </c>
      <c r="P558" s="8">
        <f>D554/B554*10^(O558/10)</f>
        <v>20.00159397566323</v>
      </c>
      <c r="Q558" s="26"/>
      <c r="R558" s="17"/>
      <c r="S558" s="19"/>
      <c r="T558" s="17"/>
      <c r="U558" s="22"/>
    </row>
    <row r="559" spans="1:21" x14ac:dyDescent="0.25">
      <c r="A559" s="24"/>
      <c r="B559" s="24"/>
      <c r="C559" s="17"/>
      <c r="D559" s="24"/>
      <c r="E559" s="24"/>
      <c r="F559" s="25"/>
      <c r="G559" s="1">
        <v>1375</v>
      </c>
      <c r="H559" s="2">
        <v>103</v>
      </c>
      <c r="I559" s="2">
        <v>-1.6</v>
      </c>
      <c r="J559" s="2">
        <v>-5.0999999999999996</v>
      </c>
      <c r="K559" s="2">
        <f t="shared" si="73"/>
        <v>-1.6</v>
      </c>
      <c r="L559" s="8">
        <f t="shared" si="77"/>
        <v>3.467368504525318E-11</v>
      </c>
      <c r="M559" s="26"/>
      <c r="N559" s="17"/>
      <c r="O559" s="9">
        <f t="shared" si="75"/>
        <v>-5.0999999999999996</v>
      </c>
      <c r="P559" s="8">
        <f>D554/B554*10^(O559/10)</f>
        <v>12.052152186802999</v>
      </c>
      <c r="Q559" s="26"/>
      <c r="R559" s="17"/>
      <c r="S559" s="20"/>
      <c r="T559" s="17"/>
      <c r="U559" s="23"/>
    </row>
    <row r="560" spans="1:21" x14ac:dyDescent="0.25">
      <c r="A560" s="24">
        <v>2000</v>
      </c>
      <c r="B560" s="24">
        <v>3</v>
      </c>
      <c r="C560" s="17">
        <v>0.5</v>
      </c>
      <c r="D560" s="24">
        <v>234</v>
      </c>
      <c r="E560" s="24">
        <v>6</v>
      </c>
      <c r="F560" s="25">
        <v>68</v>
      </c>
      <c r="G560" s="1">
        <v>1425</v>
      </c>
      <c r="H560" s="2">
        <v>102.8</v>
      </c>
      <c r="I560" s="2">
        <v>-0.1</v>
      </c>
      <c r="J560" s="2">
        <v>-0.2</v>
      </c>
      <c r="K560" s="2">
        <f t="shared" si="73"/>
        <v>-0.1</v>
      </c>
      <c r="L560" s="8">
        <f t="shared" si="77"/>
        <v>5.1286138399136428E-11</v>
      </c>
      <c r="M560" s="26">
        <f>SUM(L560:L565)</f>
        <v>2.9851572876836426E-9</v>
      </c>
      <c r="N560" s="17">
        <f>10*LOG10(M560/E560)</f>
        <v>-93.03184031376064</v>
      </c>
      <c r="O560" s="9">
        <f t="shared" si="75"/>
        <v>-0.2</v>
      </c>
      <c r="P560" s="8">
        <f>D560/B560*10^(O560/10)</f>
        <v>74.489421709672001</v>
      </c>
      <c r="Q560" s="26">
        <f>SUM(P560:P565)</f>
        <v>620.83412852571371</v>
      </c>
      <c r="R560" s="17">
        <f>10*LOG10(Q560)</f>
        <v>27.929755829650034</v>
      </c>
      <c r="S560" s="18">
        <f>F560+N560-Kzt-H</f>
        <v>-25.03184031376064</v>
      </c>
      <c r="T560" s="17">
        <v>1</v>
      </c>
      <c r="U560" s="21">
        <f>T560*10^((S560-R560)/10)</f>
        <v>5.0563879264748289E-6</v>
      </c>
    </row>
    <row r="561" spans="1:21" x14ac:dyDescent="0.25">
      <c r="A561" s="24"/>
      <c r="B561" s="24"/>
      <c r="C561" s="17"/>
      <c r="D561" s="24"/>
      <c r="E561" s="24"/>
      <c r="F561" s="25"/>
      <c r="G561" s="1">
        <v>1625</v>
      </c>
      <c r="H561" s="2">
        <v>104.1</v>
      </c>
      <c r="I561" s="2">
        <v>16.8</v>
      </c>
      <c r="J561" s="2">
        <v>5.2</v>
      </c>
      <c r="K561" s="2">
        <f t="shared" si="73"/>
        <v>16.8</v>
      </c>
      <c r="L561" s="8">
        <f t="shared" si="77"/>
        <v>1.8620871366628641E-9</v>
      </c>
      <c r="M561" s="26"/>
      <c r="N561" s="17"/>
      <c r="O561" s="9">
        <f t="shared" si="75"/>
        <v>5.2</v>
      </c>
      <c r="P561" s="8">
        <f>D560/B560*10^(O561/10)</f>
        <v>258.28227475642109</v>
      </c>
      <c r="Q561" s="26"/>
      <c r="R561" s="17"/>
      <c r="S561" s="19"/>
      <c r="T561" s="17"/>
      <c r="U561" s="22"/>
    </row>
    <row r="562" spans="1:21" x14ac:dyDescent="0.25">
      <c r="A562" s="24"/>
      <c r="B562" s="24"/>
      <c r="C562" s="17"/>
      <c r="D562" s="24"/>
      <c r="E562" s="24"/>
      <c r="F562" s="25"/>
      <c r="G562" s="1">
        <v>1825</v>
      </c>
      <c r="H562" s="2">
        <v>107.6</v>
      </c>
      <c r="I562" s="2">
        <v>-0.5</v>
      </c>
      <c r="J562" s="2">
        <v>-0.8</v>
      </c>
      <c r="K562" s="2">
        <f t="shared" si="73"/>
        <v>-0.5</v>
      </c>
      <c r="L562" s="8">
        <f t="shared" si="77"/>
        <v>1.5488166189124818E-11</v>
      </c>
      <c r="M562" s="26"/>
      <c r="N562" s="17"/>
      <c r="O562" s="9">
        <f t="shared" si="75"/>
        <v>-0.8</v>
      </c>
      <c r="P562" s="8">
        <f>D560/B560*10^(O562/10)</f>
        <v>64.877574146008342</v>
      </c>
      <c r="Q562" s="26"/>
      <c r="R562" s="17"/>
      <c r="S562" s="19"/>
      <c r="T562" s="17"/>
      <c r="U562" s="22"/>
    </row>
    <row r="563" spans="1:21" x14ac:dyDescent="0.25">
      <c r="A563" s="24"/>
      <c r="B563" s="24"/>
      <c r="C563" s="17"/>
      <c r="D563" s="24"/>
      <c r="E563" s="24"/>
      <c r="F563" s="25"/>
      <c r="G563" s="1">
        <v>2125</v>
      </c>
      <c r="H563" s="2">
        <v>104.2</v>
      </c>
      <c r="I563" s="2">
        <v>-1.4</v>
      </c>
      <c r="J563" s="2">
        <v>-1.7</v>
      </c>
      <c r="K563" s="2">
        <f t="shared" si="73"/>
        <v>-1.4</v>
      </c>
      <c r="L563" s="8">
        <f t="shared" si="77"/>
        <v>2.7542287033381602E-11</v>
      </c>
      <c r="M563" s="26"/>
      <c r="N563" s="17"/>
      <c r="O563" s="9">
        <f t="shared" si="75"/>
        <v>-1.7</v>
      </c>
      <c r="P563" s="8">
        <f>D560/B560*10^(O563/10)</f>
        <v>52.734472080574584</v>
      </c>
      <c r="Q563" s="26"/>
      <c r="R563" s="17"/>
      <c r="S563" s="19"/>
      <c r="T563" s="17"/>
      <c r="U563" s="22"/>
    </row>
    <row r="564" spans="1:21" x14ac:dyDescent="0.25">
      <c r="A564" s="24"/>
      <c r="B564" s="24"/>
      <c r="C564" s="17"/>
      <c r="D564" s="24"/>
      <c r="E564" s="24"/>
      <c r="F564" s="25"/>
      <c r="G564" s="1">
        <v>2425</v>
      </c>
      <c r="H564" s="2">
        <v>93.7</v>
      </c>
      <c r="I564" s="2">
        <v>3.4</v>
      </c>
      <c r="J564" s="2">
        <v>0.9</v>
      </c>
      <c r="K564" s="2">
        <f t="shared" si="73"/>
        <v>3.4</v>
      </c>
      <c r="L564" s="8">
        <f t="shared" si="77"/>
        <v>9.3325430079699202E-10</v>
      </c>
      <c r="M564" s="26"/>
      <c r="N564" s="17"/>
      <c r="O564" s="9">
        <f t="shared" si="75"/>
        <v>0.9</v>
      </c>
      <c r="P564" s="8">
        <f>D560/B560*10^(O564/10)</f>
        <v>95.96096412336577</v>
      </c>
      <c r="Q564" s="26"/>
      <c r="R564" s="17"/>
      <c r="S564" s="19"/>
      <c r="T564" s="17"/>
      <c r="U564" s="22"/>
    </row>
    <row r="565" spans="1:21" x14ac:dyDescent="0.25">
      <c r="A565" s="24"/>
      <c r="B565" s="24"/>
      <c r="C565" s="17"/>
      <c r="D565" s="24"/>
      <c r="E565" s="24"/>
      <c r="F565" s="25"/>
      <c r="G565" s="1">
        <v>2775</v>
      </c>
      <c r="H565" s="2">
        <v>100.2</v>
      </c>
      <c r="I565" s="2">
        <v>0</v>
      </c>
      <c r="J565" s="2">
        <v>-0.2</v>
      </c>
      <c r="K565" s="2">
        <f t="shared" si="73"/>
        <v>0</v>
      </c>
      <c r="L565" s="8">
        <f t="shared" si="77"/>
        <v>9.5499258602143585E-11</v>
      </c>
      <c r="M565" s="26"/>
      <c r="N565" s="17"/>
      <c r="O565" s="9">
        <f t="shared" si="75"/>
        <v>-0.2</v>
      </c>
      <c r="P565" s="8">
        <f>D560/B560*10^(O565/10)</f>
        <v>74.489421709672001</v>
      </c>
      <c r="Q565" s="26"/>
      <c r="R565" s="17"/>
      <c r="S565" s="20"/>
      <c r="T565" s="17"/>
      <c r="U565" s="23"/>
    </row>
    <row r="566" spans="1:21" x14ac:dyDescent="0.25">
      <c r="A566" s="24">
        <v>4000</v>
      </c>
      <c r="B566" s="24">
        <v>3</v>
      </c>
      <c r="C566" s="17">
        <v>0.5</v>
      </c>
      <c r="D566" s="24">
        <v>470</v>
      </c>
      <c r="E566" s="24">
        <v>6</v>
      </c>
      <c r="F566" s="25">
        <v>62</v>
      </c>
      <c r="G566" s="1">
        <v>2825</v>
      </c>
      <c r="H566" s="2">
        <v>99.4</v>
      </c>
      <c r="I566" s="2">
        <v>7.3</v>
      </c>
      <c r="J566" s="2">
        <v>2.7</v>
      </c>
      <c r="K566" s="2">
        <f t="shared" si="73"/>
        <v>7.3</v>
      </c>
      <c r="L566" s="8">
        <f t="shared" si="77"/>
        <v>6.1659500186147947E-10</v>
      </c>
      <c r="M566" s="26">
        <f>SUM(L566:L571)</f>
        <v>1.4586189828229967E-9</v>
      </c>
      <c r="N566" s="17">
        <f>10*LOG10(M566/E566)</f>
        <v>-96.142093891056334</v>
      </c>
      <c r="O566" s="9">
        <f t="shared" si="75"/>
        <v>2.7</v>
      </c>
      <c r="P566" s="8">
        <f>D566/B566*10^(O566/10)</f>
        <v>291.72698474384924</v>
      </c>
      <c r="Q566" s="26">
        <f>SUM(P566:P571)</f>
        <v>1536.1902108945942</v>
      </c>
      <c r="R566" s="17">
        <f>10*LOG10(Q566)</f>
        <v>31.864449933175511</v>
      </c>
      <c r="S566" s="18">
        <f>F566+N566-Kzt-H</f>
        <v>-34.142093891056334</v>
      </c>
      <c r="T566" s="17">
        <v>0.9</v>
      </c>
      <c r="U566" s="21">
        <f>T566*10^((S566-R566)/10)</f>
        <v>2.2572939990202904E-7</v>
      </c>
    </row>
    <row r="567" spans="1:21" x14ac:dyDescent="0.25">
      <c r="A567" s="24"/>
      <c r="B567" s="24"/>
      <c r="C567" s="17"/>
      <c r="D567" s="24"/>
      <c r="E567" s="24"/>
      <c r="F567" s="25"/>
      <c r="G567" s="1">
        <v>3425</v>
      </c>
      <c r="H567" s="2">
        <v>103.5</v>
      </c>
      <c r="I567" s="2">
        <v>2.4</v>
      </c>
      <c r="J567" s="2">
        <v>1.5</v>
      </c>
      <c r="K567" s="2">
        <f t="shared" si="73"/>
        <v>2.4</v>
      </c>
      <c r="L567" s="8">
        <f t="shared" si="77"/>
        <v>7.7624711662869221E-11</v>
      </c>
      <c r="M567" s="26"/>
      <c r="N567" s="17"/>
      <c r="O567" s="9">
        <f t="shared" si="75"/>
        <v>1.5</v>
      </c>
      <c r="P567" s="8">
        <f>D566/B566*10^(O567/10)</f>
        <v>221.29754865756485</v>
      </c>
      <c r="Q567" s="26"/>
      <c r="R567" s="17"/>
      <c r="S567" s="19"/>
      <c r="T567" s="17"/>
      <c r="U567" s="22"/>
    </row>
    <row r="568" spans="1:21" x14ac:dyDescent="0.25">
      <c r="A568" s="24"/>
      <c r="B568" s="24"/>
      <c r="C568" s="17"/>
      <c r="D568" s="24"/>
      <c r="E568" s="24"/>
      <c r="F568" s="25"/>
      <c r="G568" s="1">
        <v>4025</v>
      </c>
      <c r="H568" s="2">
        <v>103.6</v>
      </c>
      <c r="I568" s="2">
        <v>5</v>
      </c>
      <c r="J568" s="2">
        <v>3.5</v>
      </c>
      <c r="K568" s="2">
        <f t="shared" si="73"/>
        <v>5</v>
      </c>
      <c r="L568" s="8">
        <f t="shared" si="77"/>
        <v>1.3803842646028825E-10</v>
      </c>
      <c r="M568" s="26"/>
      <c r="N568" s="17"/>
      <c r="O568" s="9">
        <f t="shared" si="75"/>
        <v>3.5</v>
      </c>
      <c r="P568" s="8">
        <f>D566/B566*10^(O568/10)</f>
        <v>350.73297837570647</v>
      </c>
      <c r="Q568" s="26"/>
      <c r="R568" s="17"/>
      <c r="S568" s="19"/>
      <c r="T568" s="17"/>
      <c r="U568" s="22"/>
    </row>
    <row r="569" spans="1:21" x14ac:dyDescent="0.25">
      <c r="A569" s="24"/>
      <c r="B569" s="24"/>
      <c r="C569" s="17"/>
      <c r="D569" s="24"/>
      <c r="E569" s="24"/>
      <c r="F569" s="25"/>
      <c r="G569" s="1">
        <v>4625</v>
      </c>
      <c r="H569" s="2">
        <v>105.6</v>
      </c>
      <c r="I569" s="2">
        <v>2.5</v>
      </c>
      <c r="J569" s="2">
        <v>0.8</v>
      </c>
      <c r="K569" s="2">
        <f t="shared" si="73"/>
        <v>2.5</v>
      </c>
      <c r="L569" s="8">
        <f t="shared" si="77"/>
        <v>4.8977881936844573E-11</v>
      </c>
      <c r="M569" s="26"/>
      <c r="N569" s="17"/>
      <c r="O569" s="9">
        <f t="shared" si="75"/>
        <v>0.8</v>
      </c>
      <c r="P569" s="8">
        <f>D566/B566*10^(O569/10)</f>
        <v>188.35476142339468</v>
      </c>
      <c r="Q569" s="26"/>
      <c r="R569" s="17"/>
      <c r="S569" s="19"/>
      <c r="T569" s="17"/>
      <c r="U569" s="22"/>
    </row>
    <row r="570" spans="1:21" x14ac:dyDescent="0.25">
      <c r="A570" s="24"/>
      <c r="B570" s="24"/>
      <c r="C570" s="17"/>
      <c r="D570" s="24"/>
      <c r="E570" s="24"/>
      <c r="F570" s="25"/>
      <c r="G570" s="1">
        <v>5225</v>
      </c>
      <c r="H570" s="2">
        <v>103.5</v>
      </c>
      <c r="I570" s="2">
        <v>3.9</v>
      </c>
      <c r="J570" s="2">
        <v>-0.7</v>
      </c>
      <c r="K570" s="2">
        <f t="shared" si="73"/>
        <v>3.9</v>
      </c>
      <c r="L570" s="8">
        <f t="shared" si="77"/>
        <v>1.096478196143184E-10</v>
      </c>
      <c r="M570" s="26"/>
      <c r="N570" s="17"/>
      <c r="O570" s="9">
        <f t="shared" si="75"/>
        <v>-0.7</v>
      </c>
      <c r="P570" s="8">
        <f>D566/B566*10^(O570/10)</f>
        <v>133.3449593183723</v>
      </c>
      <c r="Q570" s="26"/>
      <c r="R570" s="17"/>
      <c r="S570" s="19"/>
      <c r="T570" s="17"/>
      <c r="U570" s="22"/>
    </row>
    <row r="571" spans="1:21" x14ac:dyDescent="0.25">
      <c r="A571" s="24"/>
      <c r="B571" s="24"/>
      <c r="C571" s="17"/>
      <c r="D571" s="24"/>
      <c r="E571" s="24"/>
      <c r="F571" s="25"/>
      <c r="G571" s="1">
        <v>5625</v>
      </c>
      <c r="H571" s="2">
        <v>99.5</v>
      </c>
      <c r="I571" s="2">
        <v>6.2</v>
      </c>
      <c r="J571" s="2">
        <v>3.5</v>
      </c>
      <c r="K571" s="2">
        <f t="shared" si="73"/>
        <v>6.2</v>
      </c>
      <c r="L571" s="8">
        <f t="shared" si="77"/>
        <v>4.6773514128719668E-10</v>
      </c>
      <c r="M571" s="26"/>
      <c r="N571" s="17"/>
      <c r="O571" s="9">
        <f t="shared" si="75"/>
        <v>3.5</v>
      </c>
      <c r="P571" s="8">
        <f>D566/B566*10^(O571/10)</f>
        <v>350.73297837570647</v>
      </c>
      <c r="Q571" s="26"/>
      <c r="R571" s="17"/>
      <c r="S571" s="20"/>
      <c r="T571" s="17"/>
      <c r="U571" s="23"/>
    </row>
    <row r="572" spans="1:21" x14ac:dyDescent="0.25">
      <c r="A572" s="24">
        <v>8000</v>
      </c>
      <c r="B572" s="24">
        <v>3</v>
      </c>
      <c r="C572" s="17">
        <v>0.5</v>
      </c>
      <c r="D572" s="24">
        <v>943</v>
      </c>
      <c r="E572" s="24">
        <v>6</v>
      </c>
      <c r="F572" s="25">
        <v>54</v>
      </c>
      <c r="G572" s="1">
        <v>6025</v>
      </c>
      <c r="H572" s="2">
        <v>95</v>
      </c>
      <c r="I572" s="2">
        <v>6</v>
      </c>
      <c r="J572" s="2">
        <v>1.1000000000000001</v>
      </c>
      <c r="K572" s="2">
        <f t="shared" si="73"/>
        <v>6</v>
      </c>
      <c r="L572" s="8">
        <f t="shared" si="77"/>
        <v>1.2589254117941623E-9</v>
      </c>
      <c r="M572" s="26">
        <f>SUM(L572:L577)</f>
        <v>1.1600015544044285E-7</v>
      </c>
      <c r="N572" s="17">
        <f>10*LOG10(M572/E572)</f>
        <v>-77.136926792008509</v>
      </c>
      <c r="O572" s="9">
        <f t="shared" si="75"/>
        <v>1.1000000000000001</v>
      </c>
      <c r="P572" s="8">
        <f>D572/B572*10^(O572/10)</f>
        <v>404.93977574887509</v>
      </c>
      <c r="Q572" s="26">
        <f>SUM(P572:P577)</f>
        <v>8967.9176126100665</v>
      </c>
      <c r="R572" s="17">
        <f>10*LOG10(Q572)</f>
        <v>39.526916097839305</v>
      </c>
      <c r="S572" s="18">
        <f>F572+N572-Kzt-H</f>
        <v>-23.136926792008509</v>
      </c>
      <c r="T572" s="17">
        <v>0.7</v>
      </c>
      <c r="U572" s="21">
        <f>T572*10^((S572-R572)/10)</f>
        <v>3.7906505605770553E-7</v>
      </c>
    </row>
    <row r="573" spans="1:21" x14ac:dyDescent="0.25">
      <c r="A573" s="24"/>
      <c r="B573" s="24"/>
      <c r="C573" s="17"/>
      <c r="D573" s="24"/>
      <c r="E573" s="24"/>
      <c r="F573" s="25"/>
      <c r="G573" s="1">
        <v>7025</v>
      </c>
      <c r="H573" s="2">
        <v>94.8</v>
      </c>
      <c r="I573" s="2">
        <v>6.1</v>
      </c>
      <c r="J573" s="2">
        <v>2.6</v>
      </c>
      <c r="K573" s="2">
        <f t="shared" si="73"/>
        <v>6.1</v>
      </c>
      <c r="L573" s="8">
        <f t="shared" si="77"/>
        <v>1.3489628825916481E-9</v>
      </c>
      <c r="M573" s="26"/>
      <c r="N573" s="17"/>
      <c r="O573" s="9">
        <f t="shared" si="75"/>
        <v>2.6</v>
      </c>
      <c r="P573" s="8">
        <f>D572/B572*10^(O573/10)</f>
        <v>571.99263655640482</v>
      </c>
      <c r="Q573" s="26"/>
      <c r="R573" s="17"/>
      <c r="S573" s="19"/>
      <c r="T573" s="17"/>
      <c r="U573" s="22"/>
    </row>
    <row r="574" spans="1:21" x14ac:dyDescent="0.25">
      <c r="A574" s="24"/>
      <c r="B574" s="24"/>
      <c r="C574" s="17"/>
      <c r="D574" s="24"/>
      <c r="E574" s="24"/>
      <c r="F574" s="25"/>
      <c r="G574" s="1">
        <v>8025</v>
      </c>
      <c r="H574" s="2">
        <v>101.9</v>
      </c>
      <c r="I574" s="2">
        <v>11.1</v>
      </c>
      <c r="J574" s="2">
        <v>9.1</v>
      </c>
      <c r="K574" s="2">
        <f t="shared" si="73"/>
        <v>11.1</v>
      </c>
      <c r="L574" s="8">
        <f t="shared" si="77"/>
        <v>8.3176377110266626E-10</v>
      </c>
      <c r="M574" s="26"/>
      <c r="N574" s="17"/>
      <c r="O574" s="9">
        <f t="shared" si="75"/>
        <v>9.1</v>
      </c>
      <c r="P574" s="8">
        <f>D572/B572*10^(O574/10)</f>
        <v>2554.9972558091522</v>
      </c>
      <c r="Q574" s="26"/>
      <c r="R574" s="17"/>
      <c r="S574" s="19"/>
      <c r="T574" s="17"/>
      <c r="U574" s="22"/>
    </row>
    <row r="575" spans="1:21" x14ac:dyDescent="0.25">
      <c r="A575" s="24"/>
      <c r="B575" s="24"/>
      <c r="C575" s="17"/>
      <c r="D575" s="24"/>
      <c r="E575" s="24"/>
      <c r="F575" s="25"/>
      <c r="G575" s="1">
        <v>9025</v>
      </c>
      <c r="H575" s="2">
        <v>93.2</v>
      </c>
      <c r="I575" s="2">
        <v>18.600000000000001</v>
      </c>
      <c r="J575" s="2">
        <v>2.7</v>
      </c>
      <c r="K575" s="2">
        <f t="shared" si="73"/>
        <v>18.600000000000001</v>
      </c>
      <c r="L575" s="8">
        <f t="shared" si="77"/>
        <v>3.4673685045253171E-8</v>
      </c>
      <c r="M575" s="26"/>
      <c r="N575" s="17"/>
      <c r="O575" s="9">
        <f t="shared" si="75"/>
        <v>2.7</v>
      </c>
      <c r="P575" s="8">
        <f>D572/B572*10^(O575/10)</f>
        <v>585.31605662436129</v>
      </c>
      <c r="Q575" s="26"/>
      <c r="R575" s="17"/>
      <c r="S575" s="19"/>
      <c r="T575" s="17"/>
      <c r="U575" s="22"/>
    </row>
    <row r="576" spans="1:21" x14ac:dyDescent="0.25">
      <c r="A576" s="24"/>
      <c r="B576" s="24"/>
      <c r="C576" s="17"/>
      <c r="D576" s="24"/>
      <c r="E576" s="24"/>
      <c r="F576" s="25"/>
      <c r="G576" s="1">
        <v>10025</v>
      </c>
      <c r="H576" s="2">
        <v>88.3</v>
      </c>
      <c r="I576" s="2">
        <v>16.3</v>
      </c>
      <c r="J576" s="2">
        <v>10.4</v>
      </c>
      <c r="K576" s="2">
        <f t="shared" si="73"/>
        <v>16.3</v>
      </c>
      <c r="L576" s="8">
        <f t="shared" si="77"/>
        <v>6.3095734448019177E-8</v>
      </c>
      <c r="M576" s="26"/>
      <c r="N576" s="17"/>
      <c r="O576" s="9">
        <f t="shared" si="75"/>
        <v>10.4</v>
      </c>
      <c r="P576" s="8">
        <f>D572/B572*10^(O576/10)</f>
        <v>3446.596463210079</v>
      </c>
      <c r="Q576" s="26"/>
      <c r="R576" s="17"/>
      <c r="S576" s="19"/>
      <c r="T576" s="17"/>
      <c r="U576" s="22"/>
    </row>
    <row r="577" spans="1:21" x14ac:dyDescent="0.25">
      <c r="A577" s="24"/>
      <c r="B577" s="24"/>
      <c r="C577" s="17"/>
      <c r="D577" s="24"/>
      <c r="E577" s="24"/>
      <c r="F577" s="25"/>
      <c r="G577" s="1">
        <v>11025</v>
      </c>
      <c r="H577" s="2">
        <v>86</v>
      </c>
      <c r="I577" s="2">
        <v>7.7</v>
      </c>
      <c r="J577" s="2">
        <v>6.5</v>
      </c>
      <c r="K577" s="2">
        <f t="shared" si="73"/>
        <v>7.7</v>
      </c>
      <c r="L577" s="8">
        <f t="shared" si="77"/>
        <v>1.4791083881682026E-8</v>
      </c>
      <c r="M577" s="26"/>
      <c r="N577" s="17"/>
      <c r="O577" s="9">
        <f t="shared" si="75"/>
        <v>6.5</v>
      </c>
      <c r="P577" s="8">
        <f>D572/B572*10^(O577/10)</f>
        <v>1404.0754246611941</v>
      </c>
      <c r="Q577" s="26"/>
      <c r="R577" s="17"/>
      <c r="S577" s="20"/>
      <c r="T577" s="17"/>
      <c r="U577" s="23"/>
    </row>
    <row r="578" spans="1:21" x14ac:dyDescent="0.25">
      <c r="A578" s="24" t="s">
        <v>20</v>
      </c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12">
        <f>U578</f>
        <v>0.10578084392440497</v>
      </c>
      <c r="T578" s="2"/>
      <c r="U578" s="8">
        <f>0.8*SQRT(SUM(U544:U577))</f>
        <v>0.10578084392440497</v>
      </c>
    </row>
    <row r="579" spans="1:21" x14ac:dyDescent="0.25">
      <c r="A579" s="27" t="s">
        <v>48</v>
      </c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9"/>
    </row>
    <row r="580" spans="1:21" x14ac:dyDescent="0.25">
      <c r="A580" s="24">
        <v>250</v>
      </c>
      <c r="B580" s="24">
        <v>3</v>
      </c>
      <c r="C580" s="17">
        <v>0.5</v>
      </c>
      <c r="D580" s="24">
        <v>38</v>
      </c>
      <c r="E580" s="24">
        <v>4</v>
      </c>
      <c r="F580" s="25">
        <v>84</v>
      </c>
      <c r="G580" s="1">
        <v>175</v>
      </c>
      <c r="H580" s="2">
        <v>84.8</v>
      </c>
      <c r="I580" s="2">
        <v>-2.5</v>
      </c>
      <c r="J580" s="2">
        <v>-3.4</v>
      </c>
      <c r="K580" s="2">
        <f>I580</f>
        <v>-2.5</v>
      </c>
      <c r="L580" s="8">
        <f>10^((K580-H580)/10)</f>
        <v>1.8620871366628641E-9</v>
      </c>
      <c r="M580" s="26">
        <f>SUM(L580:L583)</f>
        <v>5.2807238524396128E-9</v>
      </c>
      <c r="N580" s="17">
        <f>10*LOG10(M580/E580)</f>
        <v>-88.79366534026434</v>
      </c>
      <c r="O580" s="9">
        <f>J580</f>
        <v>-3.4</v>
      </c>
      <c r="P580" s="8">
        <f>D580/B580*10^(O580/10)</f>
        <v>5.78978373512175</v>
      </c>
      <c r="Q580" s="26">
        <f>SUM(P580:P583)</f>
        <v>42.334602347396199</v>
      </c>
      <c r="R580" s="17">
        <f>10*LOG10(Q580)</f>
        <v>16.266954847609714</v>
      </c>
      <c r="S580" s="18">
        <f>F580+N580-Kzt-H</f>
        <v>-4.7936653402643401</v>
      </c>
      <c r="T580" s="17">
        <v>0.2</v>
      </c>
      <c r="U580" s="21">
        <f>T580*10^((S580-R580)/10)</f>
        <v>1.5666355484626315E-3</v>
      </c>
    </row>
    <row r="581" spans="1:21" x14ac:dyDescent="0.25">
      <c r="A581" s="24"/>
      <c r="B581" s="24"/>
      <c r="C581" s="17"/>
      <c r="D581" s="24"/>
      <c r="E581" s="24"/>
      <c r="F581" s="25"/>
      <c r="G581" s="1">
        <v>225</v>
      </c>
      <c r="H581" s="2">
        <v>90</v>
      </c>
      <c r="I581" s="2">
        <v>-2.2999999999999998</v>
      </c>
      <c r="J581" s="2">
        <v>-2.9</v>
      </c>
      <c r="K581" s="2">
        <f t="shared" ref="K581:K613" si="78">I581</f>
        <v>-2.2999999999999998</v>
      </c>
      <c r="L581" s="8">
        <f t="shared" ref="L581:L582" si="79">10^((K581-H581)/10)</f>
        <v>5.8884365535558649E-10</v>
      </c>
      <c r="M581" s="26"/>
      <c r="N581" s="17"/>
      <c r="O581" s="9">
        <f t="shared" ref="O581:O613" si="80">J581</f>
        <v>-2.9</v>
      </c>
      <c r="P581" s="8">
        <f>D580/B580*10^(O581/10)</f>
        <v>6.4962441972239544</v>
      </c>
      <c r="Q581" s="26"/>
      <c r="R581" s="17"/>
      <c r="S581" s="19"/>
      <c r="T581" s="17"/>
      <c r="U581" s="22"/>
    </row>
    <row r="582" spans="1:21" x14ac:dyDescent="0.25">
      <c r="A582" s="24"/>
      <c r="B582" s="24"/>
      <c r="C582" s="17"/>
      <c r="D582" s="24"/>
      <c r="E582" s="24"/>
      <c r="F582" s="25"/>
      <c r="G582" s="1">
        <v>275</v>
      </c>
      <c r="H582" s="2">
        <v>92.2</v>
      </c>
      <c r="I582" s="2">
        <v>5.5</v>
      </c>
      <c r="J582" s="2">
        <v>1.3</v>
      </c>
      <c r="K582" s="2">
        <f t="shared" si="78"/>
        <v>5.5</v>
      </c>
      <c r="L582" s="8">
        <f t="shared" si="79"/>
        <v>2.137962089502227E-9</v>
      </c>
      <c r="M582" s="26"/>
      <c r="N582" s="17"/>
      <c r="O582" s="9">
        <f t="shared" si="80"/>
        <v>1.3</v>
      </c>
      <c r="P582" s="8">
        <f>D580/B580*10^(O582/10)</f>
        <v>17.08686317949428</v>
      </c>
      <c r="Q582" s="26"/>
      <c r="R582" s="17"/>
      <c r="S582" s="19"/>
      <c r="T582" s="17"/>
      <c r="U582" s="22"/>
    </row>
    <row r="583" spans="1:21" x14ac:dyDescent="0.25">
      <c r="A583" s="24"/>
      <c r="B583" s="24"/>
      <c r="C583" s="17"/>
      <c r="D583" s="24"/>
      <c r="E583" s="24"/>
      <c r="F583" s="25"/>
      <c r="G583" s="1">
        <v>325</v>
      </c>
      <c r="H583" s="2">
        <v>93.3</v>
      </c>
      <c r="I583" s="2">
        <v>1.7000000000000002</v>
      </c>
      <c r="J583" s="2">
        <v>0.1</v>
      </c>
      <c r="K583" s="2">
        <f t="shared" si="78"/>
        <v>1.7000000000000002</v>
      </c>
      <c r="L583" s="8">
        <f>10^((K583-H583)/10)</f>
        <v>6.9183097091893558E-10</v>
      </c>
      <c r="M583" s="26"/>
      <c r="N583" s="17"/>
      <c r="O583" s="9">
        <f t="shared" si="80"/>
        <v>0.1</v>
      </c>
      <c r="P583" s="8">
        <f>D580/B580*10^(O583/10)</f>
        <v>12.961711235556217</v>
      </c>
      <c r="Q583" s="26"/>
      <c r="R583" s="17"/>
      <c r="S583" s="20"/>
      <c r="T583" s="17"/>
      <c r="U583" s="23"/>
    </row>
    <row r="584" spans="1:21" x14ac:dyDescent="0.25">
      <c r="A584" s="24">
        <v>500</v>
      </c>
      <c r="B584" s="24">
        <v>3</v>
      </c>
      <c r="C584" s="17">
        <v>0.5</v>
      </c>
      <c r="D584" s="24">
        <v>59</v>
      </c>
      <c r="E584" s="24">
        <v>6</v>
      </c>
      <c r="F584" s="25">
        <v>84</v>
      </c>
      <c r="G584" s="1">
        <v>375</v>
      </c>
      <c r="H584" s="2">
        <v>91.9</v>
      </c>
      <c r="I584" s="2">
        <v>-1</v>
      </c>
      <c r="J584" s="2">
        <v>-2.9</v>
      </c>
      <c r="K584" s="2">
        <f t="shared" si="78"/>
        <v>-1</v>
      </c>
      <c r="L584" s="8">
        <f t="shared" ref="L584:L585" si="81">10^((K584-H584)/10)</f>
        <v>5.1286138399136304E-10</v>
      </c>
      <c r="M584" s="26">
        <f>SUM(L584:L589)</f>
        <v>8.2263766599594023E-9</v>
      </c>
      <c r="N584" s="17">
        <f>10*LOG10(M584/E584)</f>
        <v>-88.629426597744398</v>
      </c>
      <c r="O584" s="9">
        <f t="shared" si="80"/>
        <v>-2.9</v>
      </c>
      <c r="P584" s="8">
        <f>D584/B584*10^(O584/10)</f>
        <v>10.086273885163509</v>
      </c>
      <c r="Q584" s="26">
        <f>SUM(P584:P589)</f>
        <v>130.26074495367041</v>
      </c>
      <c r="R584" s="17">
        <f>10*LOG10(Q584)</f>
        <v>21.148135575502028</v>
      </c>
      <c r="S584" s="18">
        <f>F584+N584-Kzt-H</f>
        <v>-4.6294265977443985</v>
      </c>
      <c r="T584" s="17">
        <v>0.5</v>
      </c>
      <c r="U584" s="21">
        <f>T584*10^((S584-R584)/10)</f>
        <v>1.3219462189720912E-3</v>
      </c>
    </row>
    <row r="585" spans="1:21" x14ac:dyDescent="0.25">
      <c r="A585" s="24"/>
      <c r="B585" s="24"/>
      <c r="C585" s="17"/>
      <c r="D585" s="24"/>
      <c r="E585" s="24"/>
      <c r="F585" s="25"/>
      <c r="G585" s="1">
        <v>425</v>
      </c>
      <c r="H585" s="2">
        <v>88.1</v>
      </c>
      <c r="I585" s="2">
        <v>-0.6</v>
      </c>
      <c r="J585" s="2">
        <v>-3.3</v>
      </c>
      <c r="K585" s="2">
        <f t="shared" si="78"/>
        <v>-0.6</v>
      </c>
      <c r="L585" s="8">
        <f t="shared" si="81"/>
        <v>1.3489628825916529E-9</v>
      </c>
      <c r="M585" s="26"/>
      <c r="N585" s="17"/>
      <c r="O585" s="9">
        <f t="shared" si="80"/>
        <v>-3.3</v>
      </c>
      <c r="P585" s="8">
        <f>D584/B584*10^(O585/10)</f>
        <v>9.1987911119815653</v>
      </c>
      <c r="Q585" s="26"/>
      <c r="R585" s="17"/>
      <c r="S585" s="19"/>
      <c r="T585" s="17"/>
      <c r="U585" s="22"/>
    </row>
    <row r="586" spans="1:21" x14ac:dyDescent="0.25">
      <c r="A586" s="24"/>
      <c r="B586" s="24"/>
      <c r="C586" s="17"/>
      <c r="D586" s="24"/>
      <c r="E586" s="24"/>
      <c r="F586" s="25"/>
      <c r="G586" s="1">
        <v>475</v>
      </c>
      <c r="H586" s="2">
        <v>90</v>
      </c>
      <c r="I586" s="2">
        <v>5.0999999999999996</v>
      </c>
      <c r="J586" s="2">
        <v>3.4</v>
      </c>
      <c r="K586" s="2">
        <f t="shared" si="78"/>
        <v>5.0999999999999996</v>
      </c>
      <c r="L586" s="8">
        <f>10^((K586-H586)/10)</f>
        <v>3.2359365692962808E-9</v>
      </c>
      <c r="M586" s="26"/>
      <c r="N586" s="17"/>
      <c r="O586" s="9">
        <f t="shared" si="80"/>
        <v>3.4</v>
      </c>
      <c r="P586" s="8">
        <f>D584/B584*10^(O586/10)</f>
        <v>43.025978604341205</v>
      </c>
      <c r="Q586" s="26"/>
      <c r="R586" s="17"/>
      <c r="S586" s="19"/>
      <c r="T586" s="17"/>
      <c r="U586" s="22"/>
    </row>
    <row r="587" spans="1:21" x14ac:dyDescent="0.25">
      <c r="A587" s="24"/>
      <c r="B587" s="24"/>
      <c r="C587" s="17"/>
      <c r="D587" s="24"/>
      <c r="E587" s="24"/>
      <c r="F587" s="25"/>
      <c r="G587" s="1">
        <v>575</v>
      </c>
      <c r="H587" s="2">
        <v>97</v>
      </c>
      <c r="I587" s="2">
        <v>4.4000000000000004</v>
      </c>
      <c r="J587" s="2">
        <v>3</v>
      </c>
      <c r="K587" s="2">
        <f t="shared" si="78"/>
        <v>4.4000000000000004</v>
      </c>
      <c r="L587" s="8">
        <f t="shared" ref="L587:L613" si="82">10^((K587-H587)/10)</f>
        <v>5.495408738576243E-10</v>
      </c>
      <c r="M587" s="26"/>
      <c r="N587" s="17"/>
      <c r="O587" s="9">
        <f t="shared" si="80"/>
        <v>3</v>
      </c>
      <c r="P587" s="8">
        <f>D584/B584*10^(O587/10)</f>
        <v>39.240158861054638</v>
      </c>
      <c r="Q587" s="26"/>
      <c r="R587" s="17"/>
      <c r="S587" s="19"/>
      <c r="T587" s="17"/>
      <c r="U587" s="22"/>
    </row>
    <row r="588" spans="1:21" x14ac:dyDescent="0.25">
      <c r="A588" s="24"/>
      <c r="B588" s="24"/>
      <c r="C588" s="17"/>
      <c r="D588" s="24"/>
      <c r="E588" s="24"/>
      <c r="F588" s="25"/>
      <c r="G588" s="1">
        <v>625</v>
      </c>
      <c r="H588" s="2">
        <v>92</v>
      </c>
      <c r="I588" s="2">
        <v>5.2</v>
      </c>
      <c r="J588" s="2">
        <v>-2.2999999999999998</v>
      </c>
      <c r="K588" s="2">
        <f t="shared" si="78"/>
        <v>5.2</v>
      </c>
      <c r="L588" s="8">
        <f t="shared" si="82"/>
        <v>2.0892961308540348E-9</v>
      </c>
      <c r="M588" s="26"/>
      <c r="N588" s="17"/>
      <c r="O588" s="9">
        <f t="shared" si="80"/>
        <v>-2.2999999999999998</v>
      </c>
      <c r="P588" s="8">
        <f>D584/B584*10^(O588/10)</f>
        <v>11.580591888659916</v>
      </c>
      <c r="Q588" s="26"/>
      <c r="R588" s="17"/>
      <c r="S588" s="19"/>
      <c r="T588" s="17"/>
      <c r="U588" s="22"/>
    </row>
    <row r="589" spans="1:21" x14ac:dyDescent="0.25">
      <c r="A589" s="24"/>
      <c r="B589" s="24"/>
      <c r="C589" s="17"/>
      <c r="D589" s="24"/>
      <c r="E589" s="24"/>
      <c r="F589" s="25"/>
      <c r="G589" s="1">
        <v>675</v>
      </c>
      <c r="H589" s="2">
        <v>94.5</v>
      </c>
      <c r="I589" s="2">
        <v>1.4</v>
      </c>
      <c r="J589" s="2">
        <v>-0.6</v>
      </c>
      <c r="K589" s="2">
        <f t="shared" si="78"/>
        <v>1.4</v>
      </c>
      <c r="L589" s="8">
        <f t="shared" si="82"/>
        <v>4.8977881936844621E-10</v>
      </c>
      <c r="M589" s="26"/>
      <c r="N589" s="17"/>
      <c r="O589" s="9">
        <f t="shared" si="80"/>
        <v>-0.6</v>
      </c>
      <c r="P589" s="8">
        <f>D584/B584*10^(O589/10)</f>
        <v>17.128950602469587</v>
      </c>
      <c r="Q589" s="26"/>
      <c r="R589" s="17"/>
      <c r="S589" s="20"/>
      <c r="T589" s="17"/>
      <c r="U589" s="23"/>
    </row>
    <row r="590" spans="1:21" x14ac:dyDescent="0.25">
      <c r="A590" s="24">
        <v>1000</v>
      </c>
      <c r="B590" s="24">
        <v>3</v>
      </c>
      <c r="C590" s="17">
        <v>0.5</v>
      </c>
      <c r="D590" s="24">
        <v>117</v>
      </c>
      <c r="E590" s="24">
        <v>6</v>
      </c>
      <c r="F590" s="25">
        <v>76</v>
      </c>
      <c r="G590" s="1">
        <v>875</v>
      </c>
      <c r="H590" s="2">
        <v>91.1</v>
      </c>
      <c r="I590" s="2">
        <v>4.0999999999999996</v>
      </c>
      <c r="J590" s="2">
        <v>-2.2999999999999998</v>
      </c>
      <c r="K590" s="2">
        <f t="shared" si="78"/>
        <v>4.0999999999999996</v>
      </c>
      <c r="L590" s="8">
        <f t="shared" si="82"/>
        <v>1.9952623149688824E-9</v>
      </c>
      <c r="M590" s="26">
        <f>SUM(L590:L595)</f>
        <v>4.4369081582179996E-9</v>
      </c>
      <c r="N590" s="17">
        <f>10*LOG10(M590/E590)</f>
        <v>-91.310708112528317</v>
      </c>
      <c r="O590" s="9">
        <f t="shared" si="80"/>
        <v>-2.2999999999999998</v>
      </c>
      <c r="P590" s="8">
        <f>D590/B590*10^(O590/10)</f>
        <v>22.964902558867969</v>
      </c>
      <c r="Q590" s="26">
        <f>SUM(P590:P595)</f>
        <v>197.76450123709526</v>
      </c>
      <c r="R590" s="17">
        <f>10*LOG10(Q590)</f>
        <v>22.961483383206613</v>
      </c>
      <c r="S590" s="18">
        <f>F590+N590-Kzt-H</f>
        <v>-15.310708112528317</v>
      </c>
      <c r="T590" s="17">
        <v>0.8</v>
      </c>
      <c r="U590" s="21">
        <f>T590*10^((S590-R590)/10)</f>
        <v>1.1908877759992862E-4</v>
      </c>
    </row>
    <row r="591" spans="1:21" x14ac:dyDescent="0.25">
      <c r="A591" s="24"/>
      <c r="B591" s="24"/>
      <c r="C591" s="17"/>
      <c r="D591" s="24"/>
      <c r="E591" s="24"/>
      <c r="F591" s="25"/>
      <c r="G591" s="1">
        <v>975</v>
      </c>
      <c r="H591" s="2">
        <v>96.5</v>
      </c>
      <c r="I591" s="2">
        <v>2.5</v>
      </c>
      <c r="J591" s="2">
        <v>-1.6</v>
      </c>
      <c r="K591" s="2">
        <f t="shared" si="78"/>
        <v>2.5</v>
      </c>
      <c r="L591" s="8">
        <f t="shared" si="82"/>
        <v>3.9810717055349621E-10</v>
      </c>
      <c r="M591" s="26"/>
      <c r="N591" s="17"/>
      <c r="O591" s="9">
        <f t="shared" si="80"/>
        <v>-1.6</v>
      </c>
      <c r="P591" s="8">
        <f>D590/B590*10^(O591/10)</f>
        <v>26.981407865838523</v>
      </c>
      <c r="Q591" s="26"/>
      <c r="R591" s="17"/>
      <c r="S591" s="19"/>
      <c r="T591" s="17"/>
      <c r="U591" s="22"/>
    </row>
    <row r="592" spans="1:21" x14ac:dyDescent="0.25">
      <c r="A592" s="24"/>
      <c r="B592" s="24"/>
      <c r="C592" s="17"/>
      <c r="D592" s="24"/>
      <c r="E592" s="24"/>
      <c r="F592" s="25"/>
      <c r="G592" s="1">
        <v>1075</v>
      </c>
      <c r="H592" s="2">
        <v>94.6</v>
      </c>
      <c r="I592" s="2">
        <v>5.9</v>
      </c>
      <c r="J592" s="2">
        <v>-2</v>
      </c>
      <c r="K592" s="2">
        <f t="shared" si="78"/>
        <v>5.9</v>
      </c>
      <c r="L592" s="8">
        <f t="shared" si="82"/>
        <v>1.3489628825916529E-9</v>
      </c>
      <c r="M592" s="26"/>
      <c r="N592" s="17"/>
      <c r="O592" s="9">
        <f t="shared" si="80"/>
        <v>-2</v>
      </c>
      <c r="P592" s="8">
        <f>D590/B590*10^(O592/10)</f>
        <v>24.607336434727536</v>
      </c>
      <c r="Q592" s="26"/>
      <c r="R592" s="17"/>
      <c r="S592" s="19"/>
      <c r="T592" s="17"/>
      <c r="U592" s="22"/>
    </row>
    <row r="593" spans="1:21" x14ac:dyDescent="0.25">
      <c r="A593" s="24"/>
      <c r="B593" s="24"/>
      <c r="C593" s="17"/>
      <c r="D593" s="24"/>
      <c r="E593" s="24"/>
      <c r="F593" s="25"/>
      <c r="G593" s="1">
        <v>1175</v>
      </c>
      <c r="H593" s="2">
        <v>97.8</v>
      </c>
      <c r="I593" s="2">
        <v>-2.2000000000000002</v>
      </c>
      <c r="J593" s="2">
        <v>-3.5</v>
      </c>
      <c r="K593" s="2">
        <f t="shared" si="78"/>
        <v>-2.2000000000000002</v>
      </c>
      <c r="L593" s="8">
        <f t="shared" si="82"/>
        <v>1E-10</v>
      </c>
      <c r="M593" s="26"/>
      <c r="N593" s="17"/>
      <c r="O593" s="9">
        <f t="shared" si="80"/>
        <v>-3.5</v>
      </c>
      <c r="P593" s="8">
        <f>D590/B590*10^(O593/10)</f>
        <v>17.420660093887562</v>
      </c>
      <c r="Q593" s="26"/>
      <c r="R593" s="17"/>
      <c r="S593" s="19"/>
      <c r="T593" s="17"/>
      <c r="U593" s="22"/>
    </row>
    <row r="594" spans="1:21" x14ac:dyDescent="0.25">
      <c r="A594" s="24"/>
      <c r="B594" s="24"/>
      <c r="C594" s="17"/>
      <c r="D594" s="24"/>
      <c r="E594" s="24"/>
      <c r="F594" s="25"/>
      <c r="G594" s="1">
        <v>1275</v>
      </c>
      <c r="H594" s="2">
        <v>100.1</v>
      </c>
      <c r="I594" s="2">
        <v>-2.2999999999999998</v>
      </c>
      <c r="J594" s="2">
        <v>-2.8</v>
      </c>
      <c r="K594" s="2">
        <f t="shared" si="78"/>
        <v>-2.2999999999999998</v>
      </c>
      <c r="L594" s="8">
        <f t="shared" si="82"/>
        <v>5.7543993733715802E-11</v>
      </c>
      <c r="M594" s="26"/>
      <c r="N594" s="17"/>
      <c r="O594" s="9">
        <f t="shared" si="80"/>
        <v>-2.8</v>
      </c>
      <c r="P594" s="8">
        <f>D590/B590*10^(O594/10)</f>
        <v>20.46749094974113</v>
      </c>
      <c r="Q594" s="26"/>
      <c r="R594" s="17"/>
      <c r="S594" s="19"/>
      <c r="T594" s="17"/>
      <c r="U594" s="22"/>
    </row>
    <row r="595" spans="1:21" x14ac:dyDescent="0.25">
      <c r="A595" s="24"/>
      <c r="B595" s="24"/>
      <c r="C595" s="17"/>
      <c r="D595" s="24"/>
      <c r="E595" s="24"/>
      <c r="F595" s="25"/>
      <c r="G595" s="1">
        <v>1375</v>
      </c>
      <c r="H595" s="2">
        <v>103</v>
      </c>
      <c r="I595" s="2">
        <v>10.3</v>
      </c>
      <c r="J595" s="2">
        <v>3.4</v>
      </c>
      <c r="K595" s="2">
        <f t="shared" si="78"/>
        <v>10.3</v>
      </c>
      <c r="L595" s="8">
        <f t="shared" si="82"/>
        <v>5.3703179637025259E-10</v>
      </c>
      <c r="M595" s="26"/>
      <c r="N595" s="17"/>
      <c r="O595" s="9">
        <f t="shared" si="80"/>
        <v>3.4</v>
      </c>
      <c r="P595" s="8">
        <f>D590/B590*10^(O595/10)</f>
        <v>85.322703334032553</v>
      </c>
      <c r="Q595" s="26"/>
      <c r="R595" s="17"/>
      <c r="S595" s="20"/>
      <c r="T595" s="17"/>
      <c r="U595" s="23"/>
    </row>
    <row r="596" spans="1:21" x14ac:dyDescent="0.25">
      <c r="A596" s="24">
        <v>2000</v>
      </c>
      <c r="B596" s="24">
        <v>3</v>
      </c>
      <c r="C596" s="17">
        <v>0.5</v>
      </c>
      <c r="D596" s="24">
        <v>234</v>
      </c>
      <c r="E596" s="24">
        <v>6</v>
      </c>
      <c r="F596" s="25">
        <v>68</v>
      </c>
      <c r="G596" s="1">
        <v>1425</v>
      </c>
      <c r="H596" s="2">
        <v>102.8</v>
      </c>
      <c r="I596" s="2">
        <v>-0.70000000000000018</v>
      </c>
      <c r="J596" s="2">
        <v>-2.6</v>
      </c>
      <c r="K596" s="2">
        <f t="shared" si="78"/>
        <v>-0.70000000000000018</v>
      </c>
      <c r="L596" s="8">
        <f t="shared" si="82"/>
        <v>4.4668359215096281E-11</v>
      </c>
      <c r="M596" s="26">
        <f>SUM(L596:L601)</f>
        <v>1.3998216306798892E-9</v>
      </c>
      <c r="N596" s="17">
        <f>10*LOG10(M596/E596)</f>
        <v>-96.320785502387281</v>
      </c>
      <c r="O596" s="9">
        <f t="shared" si="80"/>
        <v>-2.6</v>
      </c>
      <c r="P596" s="8">
        <f>D596/B596*10^(O596/10)</f>
        <v>42.864188160894713</v>
      </c>
      <c r="Q596" s="26">
        <f>SUM(P596:P601)</f>
        <v>749.82735120578332</v>
      </c>
      <c r="R596" s="17">
        <f>10*LOG10(Q596)</f>
        <v>28.749612779915054</v>
      </c>
      <c r="S596" s="18">
        <f>F596+N596-Kzt-H</f>
        <v>-28.320785502387281</v>
      </c>
      <c r="T596" s="17">
        <v>1</v>
      </c>
      <c r="U596" s="21">
        <f>T596*10^((S596-R596)/10)</f>
        <v>1.9631802294652937E-6</v>
      </c>
    </row>
    <row r="597" spans="1:21" x14ac:dyDescent="0.25">
      <c r="A597" s="24"/>
      <c r="B597" s="24"/>
      <c r="C597" s="17"/>
      <c r="D597" s="24"/>
      <c r="E597" s="24"/>
      <c r="F597" s="25"/>
      <c r="G597" s="1">
        <v>1625</v>
      </c>
      <c r="H597" s="2">
        <v>104.1</v>
      </c>
      <c r="I597" s="2">
        <v>8.1</v>
      </c>
      <c r="J597" s="2">
        <v>7.3</v>
      </c>
      <c r="K597" s="2">
        <f t="shared" si="78"/>
        <v>8.1</v>
      </c>
      <c r="L597" s="8">
        <f t="shared" si="82"/>
        <v>2.5118864315095784E-10</v>
      </c>
      <c r="M597" s="26"/>
      <c r="N597" s="17"/>
      <c r="O597" s="9">
        <f t="shared" si="80"/>
        <v>7.3</v>
      </c>
      <c r="P597" s="8">
        <f>D596/B596*10^(O597/10)</f>
        <v>418.8848011687972</v>
      </c>
      <c r="Q597" s="26"/>
      <c r="R597" s="17"/>
      <c r="S597" s="19"/>
      <c r="T597" s="17"/>
      <c r="U597" s="22"/>
    </row>
    <row r="598" spans="1:21" x14ac:dyDescent="0.25">
      <c r="A598" s="24"/>
      <c r="B598" s="24"/>
      <c r="C598" s="17"/>
      <c r="D598" s="24"/>
      <c r="E598" s="24"/>
      <c r="F598" s="25"/>
      <c r="G598" s="1">
        <v>1825</v>
      </c>
      <c r="H598" s="2">
        <v>107.6</v>
      </c>
      <c r="I598" s="2">
        <v>1.7</v>
      </c>
      <c r="J598" s="2">
        <v>-3.6</v>
      </c>
      <c r="K598" s="2">
        <f t="shared" si="78"/>
        <v>1.7</v>
      </c>
      <c r="L598" s="8">
        <f t="shared" si="82"/>
        <v>2.5703957827688591E-11</v>
      </c>
      <c r="M598" s="26"/>
      <c r="N598" s="17"/>
      <c r="O598" s="9">
        <f t="shared" si="80"/>
        <v>-3.6</v>
      </c>
      <c r="P598" s="8">
        <f>D596/B596*10^(O598/10)</f>
        <v>34.048234914732944</v>
      </c>
      <c r="Q598" s="26"/>
      <c r="R598" s="17"/>
      <c r="S598" s="19"/>
      <c r="T598" s="17"/>
      <c r="U598" s="22"/>
    </row>
    <row r="599" spans="1:21" x14ac:dyDescent="0.25">
      <c r="A599" s="24"/>
      <c r="B599" s="24"/>
      <c r="C599" s="17"/>
      <c r="D599" s="24"/>
      <c r="E599" s="24"/>
      <c r="F599" s="25"/>
      <c r="G599" s="1">
        <v>2125</v>
      </c>
      <c r="H599" s="2">
        <v>104.2</v>
      </c>
      <c r="I599" s="2">
        <v>4.0999999999999996</v>
      </c>
      <c r="J599" s="2">
        <v>2.1</v>
      </c>
      <c r="K599" s="2">
        <f t="shared" si="78"/>
        <v>4.0999999999999996</v>
      </c>
      <c r="L599" s="8">
        <f t="shared" si="82"/>
        <v>9.7723722095580348E-11</v>
      </c>
      <c r="M599" s="26"/>
      <c r="N599" s="17"/>
      <c r="O599" s="9">
        <f t="shared" si="80"/>
        <v>2.1</v>
      </c>
      <c r="P599" s="8">
        <f>D596/B596*10^(O599/10)</f>
        <v>126.50118759399656</v>
      </c>
      <c r="Q599" s="26"/>
      <c r="R599" s="17"/>
      <c r="S599" s="19"/>
      <c r="T599" s="17"/>
      <c r="U599" s="22"/>
    </row>
    <row r="600" spans="1:21" x14ac:dyDescent="0.25">
      <c r="A600" s="24"/>
      <c r="B600" s="24"/>
      <c r="C600" s="17"/>
      <c r="D600" s="24"/>
      <c r="E600" s="24"/>
      <c r="F600" s="25"/>
      <c r="G600" s="1">
        <v>2425</v>
      </c>
      <c r="H600" s="2">
        <v>93.7</v>
      </c>
      <c r="I600" s="2">
        <v>2.7</v>
      </c>
      <c r="J600" s="2">
        <v>-4.5999999999999996</v>
      </c>
      <c r="K600" s="2">
        <f t="shared" si="78"/>
        <v>2.7</v>
      </c>
      <c r="L600" s="8">
        <f t="shared" si="82"/>
        <v>7.9432823472428E-10</v>
      </c>
      <c r="M600" s="26"/>
      <c r="N600" s="17"/>
      <c r="O600" s="9">
        <f t="shared" si="80"/>
        <v>-4.5999999999999996</v>
      </c>
      <c r="P600" s="8">
        <f>D596/B596*10^(O600/10)</f>
        <v>27.04547433529747</v>
      </c>
      <c r="Q600" s="26"/>
      <c r="R600" s="17"/>
      <c r="S600" s="19"/>
      <c r="T600" s="17"/>
      <c r="U600" s="22"/>
    </row>
    <row r="601" spans="1:21" x14ac:dyDescent="0.25">
      <c r="A601" s="24"/>
      <c r="B601" s="24"/>
      <c r="C601" s="17"/>
      <c r="D601" s="24"/>
      <c r="E601" s="24"/>
      <c r="F601" s="25"/>
      <c r="G601" s="1">
        <v>2775</v>
      </c>
      <c r="H601" s="2">
        <v>100.2</v>
      </c>
      <c r="I601" s="2">
        <v>2.9000000000000004</v>
      </c>
      <c r="J601" s="2">
        <v>1.1000000000000001</v>
      </c>
      <c r="K601" s="2">
        <f t="shared" si="78"/>
        <v>2.9000000000000004</v>
      </c>
      <c r="L601" s="8">
        <f t="shared" si="82"/>
        <v>1.862087136662862E-10</v>
      </c>
      <c r="M601" s="26"/>
      <c r="N601" s="17"/>
      <c r="O601" s="9">
        <f t="shared" si="80"/>
        <v>1.1000000000000001</v>
      </c>
      <c r="P601" s="8">
        <f>D596/B596*10^(O601/10)</f>
        <v>100.48346503206446</v>
      </c>
      <c r="Q601" s="26"/>
      <c r="R601" s="17"/>
      <c r="S601" s="20"/>
      <c r="T601" s="17"/>
      <c r="U601" s="23"/>
    </row>
    <row r="602" spans="1:21" x14ac:dyDescent="0.25">
      <c r="A602" s="24">
        <v>4000</v>
      </c>
      <c r="B602" s="24">
        <v>3</v>
      </c>
      <c r="C602" s="17">
        <v>0.5</v>
      </c>
      <c r="D602" s="24">
        <v>470</v>
      </c>
      <c r="E602" s="24">
        <v>6</v>
      </c>
      <c r="F602" s="25">
        <v>62</v>
      </c>
      <c r="G602" s="1">
        <v>2825</v>
      </c>
      <c r="H602" s="2">
        <v>99.4</v>
      </c>
      <c r="I602" s="2">
        <v>8.3000000000000007</v>
      </c>
      <c r="J602" s="2">
        <v>-3</v>
      </c>
      <c r="K602" s="2">
        <f t="shared" si="78"/>
        <v>8.3000000000000007</v>
      </c>
      <c r="L602" s="8">
        <f t="shared" si="82"/>
        <v>7.7624711662868766E-10</v>
      </c>
      <c r="M602" s="26">
        <f>SUM(L602:L607)</f>
        <v>4.4296009148880334E-9</v>
      </c>
      <c r="N602" s="17">
        <f>10*LOG10(M602/E602)</f>
        <v>-91.317866501807444</v>
      </c>
      <c r="O602" s="9">
        <f t="shared" si="80"/>
        <v>-3</v>
      </c>
      <c r="P602" s="8">
        <f>D602/B602*10^(O602/10)</f>
        <v>78.519333268272646</v>
      </c>
      <c r="Q602" s="26">
        <f>SUM(P602:P607)</f>
        <v>1713.4542321487988</v>
      </c>
      <c r="R602" s="17">
        <f>10*LOG10(Q602)</f>
        <v>32.338725085378812</v>
      </c>
      <c r="S602" s="18">
        <f>F602+N602-Kzt-H</f>
        <v>-29.317866501807444</v>
      </c>
      <c r="T602" s="17">
        <v>0.9</v>
      </c>
      <c r="U602" s="21">
        <f>T602*10^((S602-R602)/10)</f>
        <v>6.1458697322671618E-7</v>
      </c>
    </row>
    <row r="603" spans="1:21" x14ac:dyDescent="0.25">
      <c r="A603" s="24"/>
      <c r="B603" s="24"/>
      <c r="C603" s="17"/>
      <c r="D603" s="24"/>
      <c r="E603" s="24"/>
      <c r="F603" s="25"/>
      <c r="G603" s="1">
        <v>3425</v>
      </c>
      <c r="H603" s="2">
        <v>103.5</v>
      </c>
      <c r="I603" s="2">
        <v>5.2</v>
      </c>
      <c r="J603" s="2">
        <v>-3.5</v>
      </c>
      <c r="K603" s="2">
        <f t="shared" si="78"/>
        <v>5.2</v>
      </c>
      <c r="L603" s="8">
        <f t="shared" si="82"/>
        <v>1.4791083881682045E-10</v>
      </c>
      <c r="M603" s="26"/>
      <c r="N603" s="17"/>
      <c r="O603" s="9">
        <f t="shared" si="80"/>
        <v>-3.5</v>
      </c>
      <c r="P603" s="8">
        <f>D602/B602*10^(O603/10)</f>
        <v>69.980429436984224</v>
      </c>
      <c r="Q603" s="26"/>
      <c r="R603" s="17"/>
      <c r="S603" s="19"/>
      <c r="T603" s="17"/>
      <c r="U603" s="22"/>
    </row>
    <row r="604" spans="1:21" x14ac:dyDescent="0.25">
      <c r="A604" s="24"/>
      <c r="B604" s="24"/>
      <c r="C604" s="17"/>
      <c r="D604" s="24"/>
      <c r="E604" s="24"/>
      <c r="F604" s="25"/>
      <c r="G604" s="1">
        <v>4025</v>
      </c>
      <c r="H604" s="2">
        <v>103.6</v>
      </c>
      <c r="I604" s="2">
        <v>6.1</v>
      </c>
      <c r="J604" s="2">
        <v>3</v>
      </c>
      <c r="K604" s="2">
        <f t="shared" si="78"/>
        <v>6.1</v>
      </c>
      <c r="L604" s="8">
        <f t="shared" si="82"/>
        <v>1.778279410038918E-10</v>
      </c>
      <c r="M604" s="26"/>
      <c r="N604" s="17"/>
      <c r="O604" s="9">
        <f t="shared" si="80"/>
        <v>3</v>
      </c>
      <c r="P604" s="8">
        <f>D602/B602*10^(O604/10)</f>
        <v>312.59109601179114</v>
      </c>
      <c r="Q604" s="26"/>
      <c r="R604" s="17"/>
      <c r="S604" s="19"/>
      <c r="T604" s="17"/>
      <c r="U604" s="22"/>
    </row>
    <row r="605" spans="1:21" x14ac:dyDescent="0.25">
      <c r="A605" s="24"/>
      <c r="B605" s="24"/>
      <c r="C605" s="17"/>
      <c r="D605" s="24"/>
      <c r="E605" s="24"/>
      <c r="F605" s="25"/>
      <c r="G605" s="1">
        <v>4625</v>
      </c>
      <c r="H605" s="2">
        <v>105.6</v>
      </c>
      <c r="I605" s="2">
        <v>20.5</v>
      </c>
      <c r="J605" s="2">
        <v>8.1</v>
      </c>
      <c r="K605" s="2">
        <f t="shared" si="78"/>
        <v>20.5</v>
      </c>
      <c r="L605" s="8">
        <f t="shared" si="82"/>
        <v>3.0902954325135894E-9</v>
      </c>
      <c r="M605" s="26"/>
      <c r="N605" s="17"/>
      <c r="O605" s="9">
        <f t="shared" si="80"/>
        <v>8.1</v>
      </c>
      <c r="P605" s="8">
        <f>D602/B602*10^(O605/10)</f>
        <v>1011.5249588209603</v>
      </c>
      <c r="Q605" s="26"/>
      <c r="R605" s="17"/>
      <c r="S605" s="19"/>
      <c r="T605" s="17"/>
      <c r="U605" s="22"/>
    </row>
    <row r="606" spans="1:21" x14ac:dyDescent="0.25">
      <c r="A606" s="24"/>
      <c r="B606" s="24"/>
      <c r="C606" s="17"/>
      <c r="D606" s="24"/>
      <c r="E606" s="24"/>
      <c r="F606" s="25"/>
      <c r="G606" s="1">
        <v>5225</v>
      </c>
      <c r="H606" s="2">
        <v>103.5</v>
      </c>
      <c r="I606" s="2">
        <v>0.20000000000000018</v>
      </c>
      <c r="J606" s="2">
        <v>-1.4</v>
      </c>
      <c r="K606" s="2">
        <f t="shared" si="78"/>
        <v>0.20000000000000018</v>
      </c>
      <c r="L606" s="8">
        <f t="shared" si="82"/>
        <v>4.6773514128719782E-11</v>
      </c>
      <c r="M606" s="26"/>
      <c r="N606" s="17"/>
      <c r="O606" s="9">
        <f t="shared" si="80"/>
        <v>-1.4</v>
      </c>
      <c r="P606" s="8">
        <f>D602/B602*10^(O606/10)</f>
        <v>113.49496707841512</v>
      </c>
      <c r="Q606" s="26"/>
      <c r="R606" s="17"/>
      <c r="S606" s="19"/>
      <c r="T606" s="17"/>
      <c r="U606" s="22"/>
    </row>
    <row r="607" spans="1:21" x14ac:dyDescent="0.25">
      <c r="A607" s="24"/>
      <c r="B607" s="24"/>
      <c r="C607" s="17"/>
      <c r="D607" s="24"/>
      <c r="E607" s="24"/>
      <c r="F607" s="25"/>
      <c r="G607" s="1">
        <v>5625</v>
      </c>
      <c r="H607" s="2">
        <v>99.5</v>
      </c>
      <c r="I607" s="2">
        <v>2.2999999999999998</v>
      </c>
      <c r="J607" s="2">
        <v>-0.9</v>
      </c>
      <c r="K607" s="2">
        <f t="shared" si="78"/>
        <v>2.2999999999999998</v>
      </c>
      <c r="L607" s="8">
        <f t="shared" si="82"/>
        <v>1.9054607179632416E-10</v>
      </c>
      <c r="M607" s="26"/>
      <c r="N607" s="17"/>
      <c r="O607" s="9">
        <f t="shared" si="80"/>
        <v>-0.9</v>
      </c>
      <c r="P607" s="8">
        <f>D602/B602*10^(O607/10)</f>
        <v>127.34344753237554</v>
      </c>
      <c r="Q607" s="26"/>
      <c r="R607" s="17"/>
      <c r="S607" s="20"/>
      <c r="T607" s="17"/>
      <c r="U607" s="23"/>
    </row>
    <row r="608" spans="1:21" x14ac:dyDescent="0.25">
      <c r="A608" s="24">
        <v>8000</v>
      </c>
      <c r="B608" s="24">
        <v>3</v>
      </c>
      <c r="C608" s="17">
        <v>0.5</v>
      </c>
      <c r="D608" s="24">
        <v>943</v>
      </c>
      <c r="E608" s="24">
        <v>6</v>
      </c>
      <c r="F608" s="25">
        <v>54</v>
      </c>
      <c r="G608" s="1">
        <v>6025</v>
      </c>
      <c r="H608" s="2">
        <v>95</v>
      </c>
      <c r="I608" s="2">
        <v>-3.2</v>
      </c>
      <c r="J608" s="2">
        <v>-4.2</v>
      </c>
      <c r="K608" s="2">
        <f t="shared" si="78"/>
        <v>-3.2</v>
      </c>
      <c r="L608" s="8">
        <f t="shared" si="82"/>
        <v>1.5135612484362048E-10</v>
      </c>
      <c r="M608" s="26">
        <f>SUM(L608:L613)</f>
        <v>2.9424259581610069E-6</v>
      </c>
      <c r="N608" s="17">
        <f>10*LOG10(M608/E608)</f>
        <v>-63.094457071151311</v>
      </c>
      <c r="O608" s="9">
        <f t="shared" si="80"/>
        <v>-4.2</v>
      </c>
      <c r="P608" s="8">
        <f>D608/B608*10^(O608/10)</f>
        <v>119.50620024342969</v>
      </c>
      <c r="Q608" s="26">
        <f>SUM(P608:P613)</f>
        <v>50676.479252952304</v>
      </c>
      <c r="R608" s="17">
        <f>10*LOG10(Q608)</f>
        <v>47.048064346619007</v>
      </c>
      <c r="S608" s="18">
        <f>F608+N608-Kzt-H</f>
        <v>-9.0944570711513109</v>
      </c>
      <c r="T608" s="17">
        <v>0.7</v>
      </c>
      <c r="U608" s="21">
        <f>T608*10^((S608-R608)/10)</f>
        <v>1.7015546345125315E-6</v>
      </c>
    </row>
    <row r="609" spans="1:21" x14ac:dyDescent="0.25">
      <c r="A609" s="24"/>
      <c r="B609" s="24"/>
      <c r="C609" s="17"/>
      <c r="D609" s="24"/>
      <c r="E609" s="24"/>
      <c r="F609" s="25"/>
      <c r="G609" s="1">
        <v>7025</v>
      </c>
      <c r="H609" s="2">
        <v>94.8</v>
      </c>
      <c r="I609" s="2">
        <v>9.3000000000000007</v>
      </c>
      <c r="J609" s="2">
        <v>3.9</v>
      </c>
      <c r="K609" s="2">
        <f t="shared" si="78"/>
        <v>9.3000000000000007</v>
      </c>
      <c r="L609" s="8">
        <f t="shared" si="82"/>
        <v>2.818382931264444E-9</v>
      </c>
      <c r="M609" s="26"/>
      <c r="N609" s="17"/>
      <c r="O609" s="9">
        <f t="shared" si="80"/>
        <v>3.9</v>
      </c>
      <c r="P609" s="8">
        <f>D608/B608*10^(O609/10)</f>
        <v>771.5968358303279</v>
      </c>
      <c r="Q609" s="26"/>
      <c r="R609" s="17"/>
      <c r="S609" s="19"/>
      <c r="T609" s="17"/>
      <c r="U609" s="22"/>
    </row>
    <row r="610" spans="1:21" x14ac:dyDescent="0.25">
      <c r="A610" s="24"/>
      <c r="B610" s="24"/>
      <c r="C610" s="17"/>
      <c r="D610" s="24"/>
      <c r="E610" s="24"/>
      <c r="F610" s="25"/>
      <c r="G610" s="1">
        <v>8025</v>
      </c>
      <c r="H610" s="2">
        <v>101.9</v>
      </c>
      <c r="I610" s="2">
        <v>27.9</v>
      </c>
      <c r="J610" s="2">
        <v>17.5</v>
      </c>
      <c r="K610" s="2">
        <f t="shared" si="78"/>
        <v>27.9</v>
      </c>
      <c r="L610" s="8">
        <f t="shared" si="82"/>
        <v>3.981071705534957E-8</v>
      </c>
      <c r="M610" s="26"/>
      <c r="N610" s="17"/>
      <c r="O610" s="9">
        <f t="shared" si="80"/>
        <v>17.5</v>
      </c>
      <c r="P610" s="8">
        <f>D608/B608*10^(O610/10)</f>
        <v>17676.262321816641</v>
      </c>
      <c r="Q610" s="26"/>
      <c r="R610" s="17"/>
      <c r="S610" s="19"/>
      <c r="T610" s="17"/>
      <c r="U610" s="22"/>
    </row>
    <row r="611" spans="1:21" x14ac:dyDescent="0.25">
      <c r="A611" s="24"/>
      <c r="B611" s="24"/>
      <c r="C611" s="17"/>
      <c r="D611" s="24"/>
      <c r="E611" s="24"/>
      <c r="F611" s="25"/>
      <c r="G611" s="1">
        <v>9025</v>
      </c>
      <c r="H611" s="2">
        <v>93.2</v>
      </c>
      <c r="I611" s="2">
        <v>14.1</v>
      </c>
      <c r="J611" s="2">
        <v>13.5</v>
      </c>
      <c r="K611" s="2">
        <f t="shared" si="78"/>
        <v>14.1</v>
      </c>
      <c r="L611" s="8">
        <f t="shared" si="82"/>
        <v>1.2302687708123783E-8</v>
      </c>
      <c r="M611" s="26"/>
      <c r="N611" s="17"/>
      <c r="O611" s="9">
        <f t="shared" si="80"/>
        <v>13.5</v>
      </c>
      <c r="P611" s="8">
        <f>D608/B608*10^(O611/10)</f>
        <v>7037.0467788998167</v>
      </c>
      <c r="Q611" s="26"/>
      <c r="R611" s="17"/>
      <c r="S611" s="19"/>
      <c r="T611" s="17"/>
      <c r="U611" s="22"/>
    </row>
    <row r="612" spans="1:21" x14ac:dyDescent="0.25">
      <c r="A612" s="24"/>
      <c r="B612" s="24"/>
      <c r="C612" s="17"/>
      <c r="D612" s="24"/>
      <c r="E612" s="24"/>
      <c r="F612" s="25"/>
      <c r="G612" s="1">
        <v>10025</v>
      </c>
      <c r="H612" s="2">
        <v>88.3</v>
      </c>
      <c r="I612" s="2">
        <v>3.5</v>
      </c>
      <c r="J612" s="2">
        <v>3.3</v>
      </c>
      <c r="K612" s="2">
        <f t="shared" si="78"/>
        <v>3.5</v>
      </c>
      <c r="L612" s="8">
        <f t="shared" si="82"/>
        <v>3.3113112148258966E-9</v>
      </c>
      <c r="M612" s="26"/>
      <c r="N612" s="17"/>
      <c r="O612" s="9">
        <f t="shared" si="80"/>
        <v>3.3</v>
      </c>
      <c r="P612" s="8">
        <f>D608/B608*10^(O612/10)</f>
        <v>672.03275013353493</v>
      </c>
      <c r="Q612" s="26"/>
      <c r="R612" s="17"/>
      <c r="S612" s="19"/>
      <c r="T612" s="17"/>
      <c r="U612" s="22"/>
    </row>
    <row r="613" spans="1:21" x14ac:dyDescent="0.25">
      <c r="A613" s="24"/>
      <c r="B613" s="24"/>
      <c r="C613" s="17"/>
      <c r="D613" s="24"/>
      <c r="E613" s="24"/>
      <c r="F613" s="25"/>
      <c r="G613" s="1">
        <v>11025</v>
      </c>
      <c r="H613" s="2">
        <v>86</v>
      </c>
      <c r="I613" s="2">
        <v>30.6</v>
      </c>
      <c r="J613" s="2">
        <v>18.899999999999999</v>
      </c>
      <c r="K613" s="2">
        <f t="shared" si="78"/>
        <v>30.6</v>
      </c>
      <c r="L613" s="8">
        <f t="shared" si="82"/>
        <v>2.8840315031265995E-6</v>
      </c>
      <c r="M613" s="26"/>
      <c r="N613" s="17"/>
      <c r="O613" s="9">
        <f t="shared" si="80"/>
        <v>18.899999999999999</v>
      </c>
      <c r="P613" s="8">
        <f>D608/B608*10^(O613/10)</f>
        <v>24400.034366028554</v>
      </c>
      <c r="Q613" s="26"/>
      <c r="R613" s="17"/>
      <c r="S613" s="20"/>
      <c r="T613" s="17"/>
      <c r="U613" s="23"/>
    </row>
    <row r="614" spans="1:21" x14ac:dyDescent="0.25">
      <c r="A614" s="24" t="s">
        <v>20</v>
      </c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12">
        <f>U614</f>
        <v>4.3904987356768344E-2</v>
      </c>
      <c r="T614" s="2"/>
      <c r="U614" s="8">
        <f>0.8*SQRT(SUM(U580:U613))</f>
        <v>4.3904987356768344E-2</v>
      </c>
    </row>
    <row r="615" spans="1:21" x14ac:dyDescent="0.25">
      <c r="A615" s="27" t="s">
        <v>49</v>
      </c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9"/>
    </row>
    <row r="616" spans="1:21" x14ac:dyDescent="0.25">
      <c r="A616" s="24">
        <v>250</v>
      </c>
      <c r="B616" s="24">
        <v>3</v>
      </c>
      <c r="C616" s="17">
        <v>0.5</v>
      </c>
      <c r="D616" s="24">
        <v>38</v>
      </c>
      <c r="E616" s="24">
        <v>4</v>
      </c>
      <c r="F616" s="25">
        <v>84</v>
      </c>
      <c r="G616" s="1">
        <v>175</v>
      </c>
      <c r="H616" s="2">
        <v>84.8</v>
      </c>
      <c r="I616" s="2">
        <v>-2.1</v>
      </c>
      <c r="J616" s="2">
        <v>-3.7</v>
      </c>
      <c r="K616" s="2">
        <f>I616</f>
        <v>-2.1</v>
      </c>
      <c r="L616" s="8">
        <f>10^((K616-H616)/10)</f>
        <v>2.0417379446695247E-9</v>
      </c>
      <c r="M616" s="26">
        <f>SUM(L616:L619)</f>
        <v>5.8601667458362642E-9</v>
      </c>
      <c r="N616" s="17">
        <f>10*LOG10(M616/E616)</f>
        <v>-88.341500176705736</v>
      </c>
      <c r="O616" s="9">
        <f>J616</f>
        <v>-3.7</v>
      </c>
      <c r="P616" s="8">
        <f>D616/B616*10^(O616/10)</f>
        <v>5.4033405714868401</v>
      </c>
      <c r="Q616" s="26">
        <f>SUM(P616:P619)</f>
        <v>22.68083686905333</v>
      </c>
      <c r="R616" s="17">
        <f>10*LOG10(Q616)</f>
        <v>13.556590749522039</v>
      </c>
      <c r="S616" s="18">
        <f>F616+N616-Kzt-H</f>
        <v>-4.3415001767057362</v>
      </c>
      <c r="T616" s="17">
        <v>0.2</v>
      </c>
      <c r="U616" s="21">
        <f>T616*10^((S616-R616)/10)</f>
        <v>3.2450463402729337E-3</v>
      </c>
    </row>
    <row r="617" spans="1:21" x14ac:dyDescent="0.25">
      <c r="A617" s="24"/>
      <c r="B617" s="24"/>
      <c r="C617" s="17"/>
      <c r="D617" s="24"/>
      <c r="E617" s="24"/>
      <c r="F617" s="25"/>
      <c r="G617" s="1">
        <v>225</v>
      </c>
      <c r="H617" s="2">
        <v>90</v>
      </c>
      <c r="I617" s="2">
        <v>-2.6999999999999997</v>
      </c>
      <c r="J617" s="2">
        <v>-3.3</v>
      </c>
      <c r="K617" s="2">
        <f t="shared" ref="K617:K649" si="83">I617</f>
        <v>-2.6999999999999997</v>
      </c>
      <c r="L617" s="8">
        <f t="shared" ref="L617:L618" si="84">10^((K617-H617)/10)</f>
        <v>5.3703179637025259E-10</v>
      </c>
      <c r="M617" s="26"/>
      <c r="N617" s="17"/>
      <c r="O617" s="9">
        <f t="shared" ref="O617:O649" si="85">J617</f>
        <v>-3.3</v>
      </c>
      <c r="P617" s="8">
        <f>D616/B616*10^(O617/10)</f>
        <v>5.9246451229711763</v>
      </c>
      <c r="Q617" s="26"/>
      <c r="R617" s="17"/>
      <c r="S617" s="19"/>
      <c r="T617" s="17"/>
      <c r="U617" s="22"/>
    </row>
    <row r="618" spans="1:21" x14ac:dyDescent="0.25">
      <c r="A618" s="24"/>
      <c r="B618" s="24"/>
      <c r="C618" s="17"/>
      <c r="D618" s="24"/>
      <c r="E618" s="24"/>
      <c r="F618" s="25"/>
      <c r="G618" s="1">
        <v>275</v>
      </c>
      <c r="H618" s="2">
        <v>92.2</v>
      </c>
      <c r="I618" s="2">
        <v>4.4000000000000004</v>
      </c>
      <c r="J618" s="2">
        <v>-4.5999999999999996</v>
      </c>
      <c r="K618" s="2">
        <f t="shared" si="83"/>
        <v>4.4000000000000004</v>
      </c>
      <c r="L618" s="8">
        <f t="shared" si="84"/>
        <v>1.6595869074375584E-9</v>
      </c>
      <c r="M618" s="26"/>
      <c r="N618" s="17"/>
      <c r="O618" s="9">
        <f t="shared" si="85"/>
        <v>-4.5999999999999996</v>
      </c>
      <c r="P618" s="8">
        <f>D616/B616*10^(O618/10)</f>
        <v>4.3920001057320679</v>
      </c>
      <c r="Q618" s="26"/>
      <c r="R618" s="17"/>
      <c r="S618" s="19"/>
      <c r="T618" s="17"/>
      <c r="U618" s="22"/>
    </row>
    <row r="619" spans="1:21" x14ac:dyDescent="0.25">
      <c r="A619" s="24"/>
      <c r="B619" s="24"/>
      <c r="C619" s="17"/>
      <c r="D619" s="24"/>
      <c r="E619" s="24"/>
      <c r="F619" s="25"/>
      <c r="G619" s="1">
        <v>325</v>
      </c>
      <c r="H619" s="2">
        <v>93.3</v>
      </c>
      <c r="I619" s="2">
        <v>5.4</v>
      </c>
      <c r="J619" s="2">
        <v>-2.6</v>
      </c>
      <c r="K619" s="2">
        <f t="shared" si="83"/>
        <v>5.4</v>
      </c>
      <c r="L619" s="8">
        <f>10^((K619-H619)/10)</f>
        <v>1.6218100973589279E-9</v>
      </c>
      <c r="M619" s="26"/>
      <c r="N619" s="17"/>
      <c r="O619" s="9">
        <f t="shared" si="85"/>
        <v>-2.6</v>
      </c>
      <c r="P619" s="8">
        <f>D616/B616*10^(O619/10)</f>
        <v>6.9608510688632439</v>
      </c>
      <c r="Q619" s="26"/>
      <c r="R619" s="17"/>
      <c r="S619" s="20"/>
      <c r="T619" s="17"/>
      <c r="U619" s="23"/>
    </row>
    <row r="620" spans="1:21" x14ac:dyDescent="0.25">
      <c r="A620" s="24">
        <v>500</v>
      </c>
      <c r="B620" s="24">
        <v>3</v>
      </c>
      <c r="C620" s="17">
        <v>0.5</v>
      </c>
      <c r="D620" s="24">
        <v>59</v>
      </c>
      <c r="E620" s="24">
        <v>6</v>
      </c>
      <c r="F620" s="25">
        <v>84</v>
      </c>
      <c r="G620" s="1">
        <v>375</v>
      </c>
      <c r="H620" s="2">
        <v>91.9</v>
      </c>
      <c r="I620" s="2">
        <v>15.8</v>
      </c>
      <c r="J620" s="2">
        <v>0.3</v>
      </c>
      <c r="K620" s="2">
        <f t="shared" si="83"/>
        <v>15.8</v>
      </c>
      <c r="L620" s="8">
        <f t="shared" ref="L620:L621" si="86">10^((K620-H620)/10)</f>
        <v>2.454708915685017E-8</v>
      </c>
      <c r="M620" s="26">
        <f>SUM(L620:L625)</f>
        <v>2.9489250897279544E-8</v>
      </c>
      <c r="N620" s="17">
        <f>10*LOG10(M620/E620)</f>
        <v>-83.084875098871166</v>
      </c>
      <c r="O620" s="9">
        <f t="shared" si="85"/>
        <v>0.3</v>
      </c>
      <c r="P620" s="8">
        <f>D620/B620*10^(O620/10)</f>
        <v>21.073213003006259</v>
      </c>
      <c r="Q620" s="26">
        <f>SUM(P620:P625)</f>
        <v>74.469254740966903</v>
      </c>
      <c r="R620" s="17">
        <f>10*LOG10(Q620)</f>
        <v>18.719770076166313</v>
      </c>
      <c r="S620" s="18">
        <f>F620+N620-Kzt-H</f>
        <v>0.91512490112883427</v>
      </c>
      <c r="T620" s="17">
        <v>0.5</v>
      </c>
      <c r="U620" s="21">
        <f>T620*10^((S620-R620)/10)</f>
        <v>8.2890638852587874E-3</v>
      </c>
    </row>
    <row r="621" spans="1:21" x14ac:dyDescent="0.25">
      <c r="A621" s="24"/>
      <c r="B621" s="24"/>
      <c r="C621" s="17"/>
      <c r="D621" s="24"/>
      <c r="E621" s="24"/>
      <c r="F621" s="25"/>
      <c r="G621" s="1">
        <v>425</v>
      </c>
      <c r="H621" s="2">
        <v>88.1</v>
      </c>
      <c r="I621" s="2">
        <v>-4.4000000000000004</v>
      </c>
      <c r="J621" s="2">
        <v>-6</v>
      </c>
      <c r="K621" s="2">
        <f t="shared" si="83"/>
        <v>-4.4000000000000004</v>
      </c>
      <c r="L621" s="8">
        <f t="shared" si="86"/>
        <v>5.6234132519034889E-10</v>
      </c>
      <c r="M621" s="26"/>
      <c r="N621" s="17"/>
      <c r="O621" s="9">
        <f t="shared" si="85"/>
        <v>-6</v>
      </c>
      <c r="P621" s="8">
        <f>D620/B620*10^(O621/10)</f>
        <v>4.9400433153021748</v>
      </c>
      <c r="Q621" s="26"/>
      <c r="R621" s="17"/>
      <c r="S621" s="19"/>
      <c r="T621" s="17"/>
      <c r="U621" s="22"/>
    </row>
    <row r="622" spans="1:21" x14ac:dyDescent="0.25">
      <c r="A622" s="24"/>
      <c r="B622" s="24"/>
      <c r="C622" s="17"/>
      <c r="D622" s="24"/>
      <c r="E622" s="24"/>
      <c r="F622" s="25"/>
      <c r="G622" s="1">
        <v>475</v>
      </c>
      <c r="H622" s="2">
        <v>90</v>
      </c>
      <c r="I622" s="2">
        <v>0.19999999999999996</v>
      </c>
      <c r="J622" s="2">
        <v>-1.8</v>
      </c>
      <c r="K622" s="2">
        <f t="shared" si="83"/>
        <v>0.19999999999999996</v>
      </c>
      <c r="L622" s="8">
        <f>10^((K622-H622)/10)</f>
        <v>1.0471285480508964E-9</v>
      </c>
      <c r="M622" s="26"/>
      <c r="N622" s="17"/>
      <c r="O622" s="9">
        <f t="shared" si="85"/>
        <v>-1.8</v>
      </c>
      <c r="P622" s="8">
        <f>D620/B620*10^(O622/10)</f>
        <v>12.993637810816056</v>
      </c>
      <c r="Q622" s="26"/>
      <c r="R622" s="17"/>
      <c r="S622" s="19"/>
      <c r="T622" s="17"/>
      <c r="U622" s="22"/>
    </row>
    <row r="623" spans="1:21" x14ac:dyDescent="0.25">
      <c r="A623" s="24"/>
      <c r="B623" s="24"/>
      <c r="C623" s="17"/>
      <c r="D623" s="24"/>
      <c r="E623" s="24"/>
      <c r="F623" s="25"/>
      <c r="G623" s="1">
        <v>575</v>
      </c>
      <c r="H623" s="2">
        <v>97</v>
      </c>
      <c r="I623" s="2">
        <v>6.8</v>
      </c>
      <c r="J623" s="2">
        <v>-3.2</v>
      </c>
      <c r="K623" s="2">
        <f t="shared" si="83"/>
        <v>6.8</v>
      </c>
      <c r="L623" s="8">
        <f t="shared" ref="L623:L649" si="87">10^((K623-H623)/10)</f>
        <v>9.5499258602143329E-10</v>
      </c>
      <c r="M623" s="26"/>
      <c r="N623" s="17"/>
      <c r="O623" s="9">
        <f t="shared" si="85"/>
        <v>-3.2</v>
      </c>
      <c r="P623" s="8">
        <f>D620/B620*10^(O623/10)</f>
        <v>9.413058482345221</v>
      </c>
      <c r="Q623" s="26"/>
      <c r="R623" s="17"/>
      <c r="S623" s="19"/>
      <c r="T623" s="17"/>
      <c r="U623" s="22"/>
    </row>
    <row r="624" spans="1:21" x14ac:dyDescent="0.25">
      <c r="A624" s="24"/>
      <c r="B624" s="24"/>
      <c r="C624" s="17"/>
      <c r="D624" s="24"/>
      <c r="E624" s="24"/>
      <c r="F624" s="25"/>
      <c r="G624" s="1">
        <v>625</v>
      </c>
      <c r="H624" s="2">
        <v>92</v>
      </c>
      <c r="I624" s="2">
        <v>5.2</v>
      </c>
      <c r="J624" s="2">
        <v>-1.5</v>
      </c>
      <c r="K624" s="2">
        <f t="shared" si="83"/>
        <v>5.2</v>
      </c>
      <c r="L624" s="8">
        <f t="shared" si="87"/>
        <v>2.0892961308540348E-9</v>
      </c>
      <c r="M624" s="26"/>
      <c r="N624" s="17"/>
      <c r="O624" s="9">
        <f t="shared" si="85"/>
        <v>-1.5</v>
      </c>
      <c r="P624" s="8">
        <f>D620/B620*10^(O624/10)</f>
        <v>13.922933759554713</v>
      </c>
      <c r="Q624" s="26"/>
      <c r="R624" s="17"/>
      <c r="S624" s="19"/>
      <c r="T624" s="17"/>
      <c r="U624" s="22"/>
    </row>
    <row r="625" spans="1:21" x14ac:dyDescent="0.25">
      <c r="A625" s="24"/>
      <c r="B625" s="24"/>
      <c r="C625" s="17"/>
      <c r="D625" s="24"/>
      <c r="E625" s="24"/>
      <c r="F625" s="25"/>
      <c r="G625" s="1">
        <v>675</v>
      </c>
      <c r="H625" s="2">
        <v>94.5</v>
      </c>
      <c r="I625" s="2">
        <v>-0.90000000000000013</v>
      </c>
      <c r="J625" s="2">
        <v>-2.1</v>
      </c>
      <c r="K625" s="2">
        <f t="shared" si="83"/>
        <v>-0.90000000000000013</v>
      </c>
      <c r="L625" s="8">
        <f t="shared" si="87"/>
        <v>2.884031503126592E-10</v>
      </c>
      <c r="M625" s="26"/>
      <c r="N625" s="17"/>
      <c r="O625" s="9">
        <f t="shared" si="85"/>
        <v>-2.1</v>
      </c>
      <c r="P625" s="8">
        <f>D620/B620*10^(O625/10)</f>
        <v>12.126368369942481</v>
      </c>
      <c r="Q625" s="26"/>
      <c r="R625" s="17"/>
      <c r="S625" s="20"/>
      <c r="T625" s="17"/>
      <c r="U625" s="23"/>
    </row>
    <row r="626" spans="1:21" x14ac:dyDescent="0.25">
      <c r="A626" s="24">
        <v>1000</v>
      </c>
      <c r="B626" s="24">
        <v>3</v>
      </c>
      <c r="C626" s="17">
        <v>0.5</v>
      </c>
      <c r="D626" s="24">
        <v>117</v>
      </c>
      <c r="E626" s="24">
        <v>6</v>
      </c>
      <c r="F626" s="25">
        <v>76</v>
      </c>
      <c r="G626" s="1">
        <v>875</v>
      </c>
      <c r="H626" s="2">
        <v>91.1</v>
      </c>
      <c r="I626" s="2">
        <v>8.9</v>
      </c>
      <c r="J626" s="2">
        <v>-1.1000000000000001</v>
      </c>
      <c r="K626" s="2">
        <f t="shared" si="83"/>
        <v>8.9</v>
      </c>
      <c r="L626" s="8">
        <f t="shared" si="87"/>
        <v>6.0255958607435797E-9</v>
      </c>
      <c r="M626" s="26">
        <f>SUM(L626:L631)</f>
        <v>7.5249110639362332E-9</v>
      </c>
      <c r="N626" s="17">
        <f>10*LOG10(M626/E626)</f>
        <v>-89.016498789642725</v>
      </c>
      <c r="O626" s="9">
        <f t="shared" si="85"/>
        <v>-1.1000000000000001</v>
      </c>
      <c r="P626" s="8">
        <f>D626/B626*10^(O626/10)</f>
        <v>30.273637548518977</v>
      </c>
      <c r="Q626" s="26">
        <f>SUM(P626:P631)</f>
        <v>216.35318750185695</v>
      </c>
      <c r="R626" s="17">
        <f>10*LOG10(Q626)</f>
        <v>23.351632979829521</v>
      </c>
      <c r="S626" s="18">
        <f>F626+N626-Kzt-H</f>
        <v>-13.016498789642725</v>
      </c>
      <c r="T626" s="17">
        <v>0.8</v>
      </c>
      <c r="U626" s="21">
        <f>T626*10^((S626-R626)/10)</f>
        <v>1.8461917675265121E-4</v>
      </c>
    </row>
    <row r="627" spans="1:21" x14ac:dyDescent="0.25">
      <c r="A627" s="24"/>
      <c r="B627" s="24"/>
      <c r="C627" s="17"/>
      <c r="D627" s="24"/>
      <c r="E627" s="24"/>
      <c r="F627" s="25"/>
      <c r="G627" s="1">
        <v>975</v>
      </c>
      <c r="H627" s="2">
        <v>96.5</v>
      </c>
      <c r="I627" s="2">
        <v>-1.4</v>
      </c>
      <c r="J627" s="2">
        <v>-4.5</v>
      </c>
      <c r="K627" s="2">
        <f t="shared" si="83"/>
        <v>-1.4</v>
      </c>
      <c r="L627" s="8">
        <f t="shared" si="87"/>
        <v>1.6218100973589201E-10</v>
      </c>
      <c r="M627" s="26"/>
      <c r="N627" s="17"/>
      <c r="O627" s="9">
        <f t="shared" si="85"/>
        <v>-4.5</v>
      </c>
      <c r="P627" s="8">
        <f>D626/B626*10^(O627/10)</f>
        <v>13.837722180109441</v>
      </c>
      <c r="Q627" s="26"/>
      <c r="R627" s="17"/>
      <c r="S627" s="19"/>
      <c r="T627" s="17"/>
      <c r="U627" s="22"/>
    </row>
    <row r="628" spans="1:21" x14ac:dyDescent="0.25">
      <c r="A628" s="24"/>
      <c r="B628" s="24"/>
      <c r="C628" s="17"/>
      <c r="D628" s="24"/>
      <c r="E628" s="24"/>
      <c r="F628" s="25"/>
      <c r="G628" s="1">
        <v>1075</v>
      </c>
      <c r="H628" s="2">
        <v>94.6</v>
      </c>
      <c r="I628" s="2">
        <v>2.2999999999999998</v>
      </c>
      <c r="J628" s="2">
        <v>0</v>
      </c>
      <c r="K628" s="2">
        <f t="shared" si="83"/>
        <v>2.2999999999999998</v>
      </c>
      <c r="L628" s="8">
        <f t="shared" si="87"/>
        <v>5.8884365535558649E-10</v>
      </c>
      <c r="M628" s="26"/>
      <c r="N628" s="17"/>
      <c r="O628" s="9">
        <f t="shared" si="85"/>
        <v>0</v>
      </c>
      <c r="P628" s="8">
        <f>D626/B626*10^(O628/10)</f>
        <v>39</v>
      </c>
      <c r="Q628" s="26"/>
      <c r="R628" s="17"/>
      <c r="S628" s="19"/>
      <c r="T628" s="17"/>
      <c r="U628" s="22"/>
    </row>
    <row r="629" spans="1:21" x14ac:dyDescent="0.25">
      <c r="A629" s="24"/>
      <c r="B629" s="24"/>
      <c r="C629" s="17"/>
      <c r="D629" s="24"/>
      <c r="E629" s="24"/>
      <c r="F629" s="25"/>
      <c r="G629" s="1">
        <v>1175</v>
      </c>
      <c r="H629" s="2">
        <v>97.8</v>
      </c>
      <c r="I629" s="2">
        <v>-0.70000000000000018</v>
      </c>
      <c r="J629" s="2">
        <v>-2.7</v>
      </c>
      <c r="K629" s="2">
        <f t="shared" si="83"/>
        <v>-0.70000000000000018</v>
      </c>
      <c r="L629" s="8">
        <f t="shared" si="87"/>
        <v>1.4125375446227517E-10</v>
      </c>
      <c r="M629" s="26"/>
      <c r="N629" s="17"/>
      <c r="O629" s="9">
        <f t="shared" si="85"/>
        <v>-2.7</v>
      </c>
      <c r="P629" s="8">
        <f>D626/B626*10^(O629/10)</f>
        <v>20.944240058439853</v>
      </c>
      <c r="Q629" s="26"/>
      <c r="R629" s="17"/>
      <c r="S629" s="19"/>
      <c r="T629" s="17"/>
      <c r="U629" s="22"/>
    </row>
    <row r="630" spans="1:21" x14ac:dyDescent="0.25">
      <c r="A630" s="24"/>
      <c r="B630" s="24"/>
      <c r="C630" s="17"/>
      <c r="D630" s="24"/>
      <c r="E630" s="24"/>
      <c r="F630" s="25"/>
      <c r="G630" s="1">
        <v>1275</v>
      </c>
      <c r="H630" s="2">
        <v>100.1</v>
      </c>
      <c r="I630" s="2">
        <v>3.3</v>
      </c>
      <c r="J630" s="2">
        <v>-5.0999999999999996</v>
      </c>
      <c r="K630" s="2">
        <f t="shared" si="83"/>
        <v>3.3</v>
      </c>
      <c r="L630" s="8">
        <f t="shared" si="87"/>
        <v>2.0892961308540397E-10</v>
      </c>
      <c r="M630" s="26"/>
      <c r="N630" s="17"/>
      <c r="O630" s="9">
        <f t="shared" si="85"/>
        <v>-5.0999999999999996</v>
      </c>
      <c r="P630" s="8">
        <f>D626/B626*10^(O630/10)</f>
        <v>12.052152186802999</v>
      </c>
      <c r="Q630" s="26"/>
      <c r="R630" s="17"/>
      <c r="S630" s="19"/>
      <c r="T630" s="17"/>
      <c r="U630" s="22"/>
    </row>
    <row r="631" spans="1:21" x14ac:dyDescent="0.25">
      <c r="A631" s="24"/>
      <c r="B631" s="24"/>
      <c r="C631" s="17"/>
      <c r="D631" s="24"/>
      <c r="E631" s="24"/>
      <c r="F631" s="25"/>
      <c r="G631" s="1">
        <v>1375</v>
      </c>
      <c r="H631" s="2">
        <v>103</v>
      </c>
      <c r="I631" s="2">
        <v>9</v>
      </c>
      <c r="J631" s="2">
        <v>4.0999999999999996</v>
      </c>
      <c r="K631" s="2">
        <f t="shared" si="83"/>
        <v>9</v>
      </c>
      <c r="L631" s="8">
        <f t="shared" si="87"/>
        <v>3.9810717055349621E-10</v>
      </c>
      <c r="M631" s="26"/>
      <c r="N631" s="17"/>
      <c r="O631" s="9">
        <f t="shared" si="85"/>
        <v>4.0999999999999996</v>
      </c>
      <c r="P631" s="8">
        <f>D626/B626*10^(O631/10)</f>
        <v>100.24543552798569</v>
      </c>
      <c r="Q631" s="26"/>
      <c r="R631" s="17"/>
      <c r="S631" s="20"/>
      <c r="T631" s="17"/>
      <c r="U631" s="23"/>
    </row>
    <row r="632" spans="1:21" x14ac:dyDescent="0.25">
      <c r="A632" s="24">
        <v>2000</v>
      </c>
      <c r="B632" s="24">
        <v>3</v>
      </c>
      <c r="C632" s="17">
        <v>0.5</v>
      </c>
      <c r="D632" s="24">
        <v>234</v>
      </c>
      <c r="E632" s="24">
        <v>6</v>
      </c>
      <c r="F632" s="25">
        <v>68</v>
      </c>
      <c r="G632" s="1">
        <v>1425</v>
      </c>
      <c r="H632" s="2">
        <v>102.8</v>
      </c>
      <c r="I632" s="2">
        <v>1.2</v>
      </c>
      <c r="J632" s="2">
        <v>-0.3</v>
      </c>
      <c r="K632" s="2">
        <f t="shared" si="83"/>
        <v>1.2</v>
      </c>
      <c r="L632" s="8">
        <f t="shared" si="87"/>
        <v>6.9183097091893483E-11</v>
      </c>
      <c r="M632" s="26">
        <f>SUM(L632:L637)</f>
        <v>5.9077574495069535E-9</v>
      </c>
      <c r="N632" s="17">
        <f>10*LOG10(M632/E632)</f>
        <v>-90.067285938898181</v>
      </c>
      <c r="O632" s="9">
        <f t="shared" si="85"/>
        <v>-0.3</v>
      </c>
      <c r="P632" s="8">
        <f>D632/B632*10^(O632/10)</f>
        <v>72.793835462165305</v>
      </c>
      <c r="Q632" s="26">
        <f>SUM(P632:P637)</f>
        <v>598.50300133792621</v>
      </c>
      <c r="R632" s="17">
        <f>10*LOG10(Q632)</f>
        <v>27.770663326225154</v>
      </c>
      <c r="S632" s="18">
        <f>F632+N632-Kzt-H</f>
        <v>-22.067285938898181</v>
      </c>
      <c r="T632" s="17">
        <v>1</v>
      </c>
      <c r="U632" s="21">
        <f>T632*10^((S632-R632)/10)</f>
        <v>1.0380184515480676E-5</v>
      </c>
    </row>
    <row r="633" spans="1:21" x14ac:dyDescent="0.25">
      <c r="A633" s="24"/>
      <c r="B633" s="24"/>
      <c r="C633" s="17"/>
      <c r="D633" s="24"/>
      <c r="E633" s="24"/>
      <c r="F633" s="25"/>
      <c r="G633" s="1">
        <v>1625</v>
      </c>
      <c r="H633" s="2">
        <v>104.1</v>
      </c>
      <c r="I633" s="2">
        <v>18.3</v>
      </c>
      <c r="J633" s="2">
        <v>5.8</v>
      </c>
      <c r="K633" s="2">
        <f t="shared" si="83"/>
        <v>18.3</v>
      </c>
      <c r="L633" s="8">
        <f t="shared" si="87"/>
        <v>2.6302679918953733E-9</v>
      </c>
      <c r="M633" s="26"/>
      <c r="N633" s="17"/>
      <c r="O633" s="9">
        <f t="shared" si="85"/>
        <v>5.8</v>
      </c>
      <c r="P633" s="8">
        <f>D632/B632*10^(O633/10)</f>
        <v>296.54772913003774</v>
      </c>
      <c r="Q633" s="26"/>
      <c r="R633" s="17"/>
      <c r="S633" s="19"/>
      <c r="T633" s="17"/>
      <c r="U633" s="22"/>
    </row>
    <row r="634" spans="1:21" x14ac:dyDescent="0.25">
      <c r="A634" s="24"/>
      <c r="B634" s="24"/>
      <c r="C634" s="17"/>
      <c r="D634" s="24"/>
      <c r="E634" s="24"/>
      <c r="F634" s="25"/>
      <c r="G634" s="1">
        <v>1825</v>
      </c>
      <c r="H634" s="2">
        <v>107.6</v>
      </c>
      <c r="I634" s="2">
        <v>0.7</v>
      </c>
      <c r="J634" s="2">
        <v>-1.6</v>
      </c>
      <c r="K634" s="2">
        <f t="shared" si="83"/>
        <v>0.7</v>
      </c>
      <c r="L634" s="8">
        <f t="shared" si="87"/>
        <v>2.0417379446695275E-11</v>
      </c>
      <c r="M634" s="26"/>
      <c r="N634" s="17"/>
      <c r="O634" s="9">
        <f t="shared" si="85"/>
        <v>-1.6</v>
      </c>
      <c r="P634" s="8">
        <f>D632/B632*10^(O634/10)</f>
        <v>53.962815731677047</v>
      </c>
      <c r="Q634" s="26"/>
      <c r="R634" s="17"/>
      <c r="S634" s="19"/>
      <c r="T634" s="17"/>
      <c r="U634" s="22"/>
    </row>
    <row r="635" spans="1:21" x14ac:dyDescent="0.25">
      <c r="A635" s="24"/>
      <c r="B635" s="24"/>
      <c r="C635" s="17"/>
      <c r="D635" s="24"/>
      <c r="E635" s="24"/>
      <c r="F635" s="25"/>
      <c r="G635" s="1">
        <v>2125</v>
      </c>
      <c r="H635" s="2">
        <v>104.2</v>
      </c>
      <c r="I635" s="2">
        <v>-0.10000000000000009</v>
      </c>
      <c r="J635" s="2">
        <v>-2.1</v>
      </c>
      <c r="K635" s="2">
        <f t="shared" si="83"/>
        <v>-0.10000000000000009</v>
      </c>
      <c r="L635" s="8">
        <f t="shared" si="87"/>
        <v>3.7153522909717256E-11</v>
      </c>
      <c r="M635" s="26"/>
      <c r="N635" s="17"/>
      <c r="O635" s="9">
        <f t="shared" si="85"/>
        <v>-2.1</v>
      </c>
      <c r="P635" s="8">
        <f>D632/B632*10^(O635/10)</f>
        <v>48.094410145195603</v>
      </c>
      <c r="Q635" s="26"/>
      <c r="R635" s="17"/>
      <c r="S635" s="19"/>
      <c r="T635" s="17"/>
      <c r="U635" s="22"/>
    </row>
    <row r="636" spans="1:21" x14ac:dyDescent="0.25">
      <c r="A636" s="24"/>
      <c r="B636" s="24"/>
      <c r="C636" s="17"/>
      <c r="D636" s="24"/>
      <c r="E636" s="24"/>
      <c r="F636" s="25"/>
      <c r="G636" s="1">
        <v>2425</v>
      </c>
      <c r="H636" s="2">
        <v>93.7</v>
      </c>
      <c r="I636" s="2">
        <v>8.4</v>
      </c>
      <c r="J636" s="2">
        <v>-0.6</v>
      </c>
      <c r="K636" s="2">
        <f t="shared" si="83"/>
        <v>8.4</v>
      </c>
      <c r="L636" s="8">
        <f t="shared" si="87"/>
        <v>2.9512092266663855E-9</v>
      </c>
      <c r="M636" s="26"/>
      <c r="N636" s="17"/>
      <c r="O636" s="9">
        <f t="shared" si="85"/>
        <v>-0.6</v>
      </c>
      <c r="P636" s="8">
        <f>D632/B632*10^(O636/10)</f>
        <v>67.935160016574287</v>
      </c>
      <c r="Q636" s="26"/>
      <c r="R636" s="17"/>
      <c r="S636" s="19"/>
      <c r="T636" s="17"/>
      <c r="U636" s="22"/>
    </row>
    <row r="637" spans="1:21" x14ac:dyDescent="0.25">
      <c r="A637" s="24"/>
      <c r="B637" s="24"/>
      <c r="C637" s="17"/>
      <c r="D637" s="24"/>
      <c r="E637" s="24"/>
      <c r="F637" s="25"/>
      <c r="G637" s="1">
        <v>2775</v>
      </c>
      <c r="H637" s="2">
        <v>100.2</v>
      </c>
      <c r="I637" s="2">
        <v>3.2</v>
      </c>
      <c r="J637" s="2">
        <v>-1.2</v>
      </c>
      <c r="K637" s="2">
        <f t="shared" si="83"/>
        <v>3.2</v>
      </c>
      <c r="L637" s="8">
        <f t="shared" si="87"/>
        <v>1.9952623149688802E-10</v>
      </c>
      <c r="M637" s="26"/>
      <c r="N637" s="17"/>
      <c r="O637" s="9">
        <f t="shared" si="85"/>
        <v>-1.2</v>
      </c>
      <c r="P637" s="8">
        <f>D632/B632*10^(O637/10)</f>
        <v>59.169050852276328</v>
      </c>
      <c r="Q637" s="26"/>
      <c r="R637" s="17"/>
      <c r="S637" s="20"/>
      <c r="T637" s="17"/>
      <c r="U637" s="23"/>
    </row>
    <row r="638" spans="1:21" x14ac:dyDescent="0.25">
      <c r="A638" s="24">
        <v>4000</v>
      </c>
      <c r="B638" s="24">
        <v>3</v>
      </c>
      <c r="C638" s="17">
        <v>0.5</v>
      </c>
      <c r="D638" s="24">
        <v>470</v>
      </c>
      <c r="E638" s="24">
        <v>6</v>
      </c>
      <c r="F638" s="25">
        <v>62</v>
      </c>
      <c r="G638" s="1">
        <v>2825</v>
      </c>
      <c r="H638" s="2">
        <v>99.4</v>
      </c>
      <c r="I638" s="2">
        <v>11.3</v>
      </c>
      <c r="J638" s="2">
        <v>6.2</v>
      </c>
      <c r="K638" s="2">
        <f t="shared" si="83"/>
        <v>11.3</v>
      </c>
      <c r="L638" s="8">
        <f t="shared" si="87"/>
        <v>1.5488166189124741E-9</v>
      </c>
      <c r="M638" s="26">
        <f>SUM(L638:L643)</f>
        <v>2.8046951083765985E-9</v>
      </c>
      <c r="N638" s="17">
        <f>10*LOG10(M638/E638)</f>
        <v>-93.302655933285394</v>
      </c>
      <c r="O638" s="9">
        <f t="shared" si="85"/>
        <v>6.2</v>
      </c>
      <c r="P638" s="8">
        <f>D638/B638*10^(O638/10)</f>
        <v>653.09536743685885</v>
      </c>
      <c r="Q638" s="26">
        <f>SUM(P638:P643)</f>
        <v>1501.9969918318695</v>
      </c>
      <c r="R638" s="17">
        <f>10*LOG10(Q638)</f>
        <v>31.766690628731244</v>
      </c>
      <c r="S638" s="18">
        <f>F638+N638-Kzt-H</f>
        <v>-31.302655933285394</v>
      </c>
      <c r="T638" s="17">
        <v>0.9</v>
      </c>
      <c r="U638" s="21">
        <f>T638*10^((S638-R638)/10)</f>
        <v>4.439232110685172E-7</v>
      </c>
    </row>
    <row r="639" spans="1:21" x14ac:dyDescent="0.25">
      <c r="A639" s="24"/>
      <c r="B639" s="24"/>
      <c r="C639" s="17"/>
      <c r="D639" s="24"/>
      <c r="E639" s="24"/>
      <c r="F639" s="25"/>
      <c r="G639" s="1">
        <v>3425</v>
      </c>
      <c r="H639" s="2">
        <v>103.5</v>
      </c>
      <c r="I639" s="2">
        <v>0.19999999999999998</v>
      </c>
      <c r="J639" s="2">
        <v>-0.1</v>
      </c>
      <c r="K639" s="2">
        <f t="shared" si="83"/>
        <v>0.19999999999999998</v>
      </c>
      <c r="L639" s="8">
        <f t="shared" si="87"/>
        <v>4.6773514128719782E-11</v>
      </c>
      <c r="M639" s="26"/>
      <c r="N639" s="17"/>
      <c r="O639" s="9">
        <f t="shared" si="85"/>
        <v>-0.1</v>
      </c>
      <c r="P639" s="8">
        <f>D638/B638*10^(O639/10)</f>
        <v>153.10049794974367</v>
      </c>
      <c r="Q639" s="26"/>
      <c r="R639" s="17"/>
      <c r="S639" s="19"/>
      <c r="T639" s="17"/>
      <c r="U639" s="22"/>
    </row>
    <row r="640" spans="1:21" x14ac:dyDescent="0.25">
      <c r="A640" s="24"/>
      <c r="B640" s="24"/>
      <c r="C640" s="17"/>
      <c r="D640" s="24"/>
      <c r="E640" s="24"/>
      <c r="F640" s="25"/>
      <c r="G640" s="1">
        <v>4025</v>
      </c>
      <c r="H640" s="2">
        <v>103.6</v>
      </c>
      <c r="I640" s="2">
        <v>2.2000000000000002</v>
      </c>
      <c r="J640" s="2">
        <v>-1.3</v>
      </c>
      <c r="K640" s="2">
        <f t="shared" si="83"/>
        <v>2.2000000000000002</v>
      </c>
      <c r="L640" s="8">
        <f t="shared" si="87"/>
        <v>7.244359600749907E-11</v>
      </c>
      <c r="M640" s="26"/>
      <c r="N640" s="17"/>
      <c r="O640" s="9">
        <f t="shared" si="85"/>
        <v>-1.3</v>
      </c>
      <c r="P640" s="8">
        <f>D638/B638*10^(O640/10)</f>
        <v>116.13860447047705</v>
      </c>
      <c r="Q640" s="26"/>
      <c r="R640" s="17"/>
      <c r="S640" s="19"/>
      <c r="T640" s="17"/>
      <c r="U640" s="22"/>
    </row>
    <row r="641" spans="1:21" x14ac:dyDescent="0.25">
      <c r="A641" s="24"/>
      <c r="B641" s="24"/>
      <c r="C641" s="17"/>
      <c r="D641" s="24"/>
      <c r="E641" s="24"/>
      <c r="F641" s="25"/>
      <c r="G641" s="1">
        <v>4625</v>
      </c>
      <c r="H641" s="2">
        <v>105.6</v>
      </c>
      <c r="I641" s="2">
        <v>13.5</v>
      </c>
      <c r="J641" s="2">
        <v>2.6</v>
      </c>
      <c r="K641" s="2">
        <f t="shared" si="83"/>
        <v>13.5</v>
      </c>
      <c r="L641" s="8">
        <f t="shared" si="87"/>
        <v>6.1659500186148165E-10</v>
      </c>
      <c r="M641" s="26"/>
      <c r="N641" s="17"/>
      <c r="O641" s="9">
        <f t="shared" si="85"/>
        <v>2.6</v>
      </c>
      <c r="P641" s="8">
        <f>D638/B638*10^(O641/10)</f>
        <v>285.08646784889743</v>
      </c>
      <c r="Q641" s="26"/>
      <c r="R641" s="17"/>
      <c r="S641" s="19"/>
      <c r="T641" s="17"/>
      <c r="U641" s="22"/>
    </row>
    <row r="642" spans="1:21" x14ac:dyDescent="0.25">
      <c r="A642" s="24"/>
      <c r="B642" s="24"/>
      <c r="C642" s="17"/>
      <c r="D642" s="24"/>
      <c r="E642" s="24"/>
      <c r="F642" s="25"/>
      <c r="G642" s="1">
        <v>5225</v>
      </c>
      <c r="H642" s="2">
        <v>103.5</v>
      </c>
      <c r="I642" s="2">
        <v>7.6</v>
      </c>
      <c r="J642" s="2">
        <v>1.5</v>
      </c>
      <c r="K642" s="2">
        <f t="shared" si="83"/>
        <v>7.6</v>
      </c>
      <c r="L642" s="8">
        <f t="shared" si="87"/>
        <v>2.5703957827688617E-10</v>
      </c>
      <c r="M642" s="26"/>
      <c r="N642" s="17"/>
      <c r="O642" s="9">
        <f t="shared" si="85"/>
        <v>1.5</v>
      </c>
      <c r="P642" s="8">
        <f>D638/B638*10^(O642/10)</f>
        <v>221.29754865756485</v>
      </c>
      <c r="Q642" s="26"/>
      <c r="R642" s="17"/>
      <c r="S642" s="19"/>
      <c r="T642" s="17"/>
      <c r="U642" s="22"/>
    </row>
    <row r="643" spans="1:21" x14ac:dyDescent="0.25">
      <c r="A643" s="24"/>
      <c r="B643" s="24"/>
      <c r="C643" s="17"/>
      <c r="D643" s="24"/>
      <c r="E643" s="24"/>
      <c r="F643" s="25"/>
      <c r="G643" s="1">
        <v>5625</v>
      </c>
      <c r="H643" s="2">
        <v>99.5</v>
      </c>
      <c r="I643" s="2">
        <v>3.7</v>
      </c>
      <c r="J643" s="2">
        <v>-3.3</v>
      </c>
      <c r="K643" s="2">
        <f t="shared" si="83"/>
        <v>3.7</v>
      </c>
      <c r="L643" s="8">
        <f t="shared" si="87"/>
        <v>2.6302679918953798E-10</v>
      </c>
      <c r="M643" s="26"/>
      <c r="N643" s="17"/>
      <c r="O643" s="9">
        <f t="shared" si="85"/>
        <v>-3.3</v>
      </c>
      <c r="P643" s="8">
        <f>D638/B638*10^(O643/10)</f>
        <v>73.278505468327708</v>
      </c>
      <c r="Q643" s="26"/>
      <c r="R643" s="17"/>
      <c r="S643" s="20"/>
      <c r="T643" s="17"/>
      <c r="U643" s="23"/>
    </row>
    <row r="644" spans="1:21" x14ac:dyDescent="0.25">
      <c r="A644" s="24">
        <v>8000</v>
      </c>
      <c r="B644" s="24">
        <v>3</v>
      </c>
      <c r="C644" s="17">
        <v>0.5</v>
      </c>
      <c r="D644" s="24">
        <v>943</v>
      </c>
      <c r="E644" s="24">
        <v>6</v>
      </c>
      <c r="F644" s="25">
        <v>54</v>
      </c>
      <c r="G644" s="1">
        <v>6025</v>
      </c>
      <c r="H644" s="2">
        <v>95</v>
      </c>
      <c r="I644" s="2">
        <v>11.1</v>
      </c>
      <c r="J644" s="2">
        <v>-0.5</v>
      </c>
      <c r="K644" s="2">
        <f t="shared" si="83"/>
        <v>11.1</v>
      </c>
      <c r="L644" s="8">
        <f t="shared" si="87"/>
        <v>4.0738027780411214E-9</v>
      </c>
      <c r="M644" s="26">
        <f>SUM(L644:L649)</f>
        <v>9.8565528540872097E-7</v>
      </c>
      <c r="N644" s="17">
        <f>10*LOG10(M644/E644)</f>
        <v>-67.84426195300955</v>
      </c>
      <c r="O644" s="9">
        <f t="shared" si="85"/>
        <v>-0.5</v>
      </c>
      <c r="P644" s="8">
        <f>D644/B644*10^(O644/10)</f>
        <v>280.14987822004065</v>
      </c>
      <c r="Q644" s="26">
        <f>SUM(P644:P649)</f>
        <v>18862.640690612854</v>
      </c>
      <c r="R644" s="17">
        <f>10*LOG10(Q644)</f>
        <v>42.756024920641735</v>
      </c>
      <c r="S644" s="18">
        <f>F644+N644-Kzt-H</f>
        <v>-13.84426195300955</v>
      </c>
      <c r="T644" s="17">
        <v>0.7</v>
      </c>
      <c r="U644" s="21">
        <f>T644*10^((S644-R644)/10)</f>
        <v>1.5313319811377192E-6</v>
      </c>
    </row>
    <row r="645" spans="1:21" x14ac:dyDescent="0.25">
      <c r="A645" s="24"/>
      <c r="B645" s="24"/>
      <c r="C645" s="17"/>
      <c r="D645" s="24"/>
      <c r="E645" s="24"/>
      <c r="F645" s="25"/>
      <c r="G645" s="1">
        <v>7025</v>
      </c>
      <c r="H645" s="2">
        <v>94.8</v>
      </c>
      <c r="I645" s="2">
        <v>1.1000000000000001</v>
      </c>
      <c r="J645" s="2">
        <v>0.3</v>
      </c>
      <c r="K645" s="2">
        <f t="shared" si="83"/>
        <v>1.1000000000000001</v>
      </c>
      <c r="L645" s="8">
        <f t="shared" si="87"/>
        <v>4.2657951880159145E-10</v>
      </c>
      <c r="M645" s="26"/>
      <c r="N645" s="17"/>
      <c r="O645" s="9">
        <f t="shared" si="85"/>
        <v>0.3</v>
      </c>
      <c r="P645" s="8">
        <f>D644/B644*10^(O645/10)</f>
        <v>336.81423494635425</v>
      </c>
      <c r="Q645" s="26"/>
      <c r="R645" s="17"/>
      <c r="S645" s="19"/>
      <c r="T645" s="17"/>
      <c r="U645" s="22"/>
    </row>
    <row r="646" spans="1:21" x14ac:dyDescent="0.25">
      <c r="A646" s="24"/>
      <c r="B646" s="24"/>
      <c r="C646" s="17"/>
      <c r="D646" s="24"/>
      <c r="E646" s="24"/>
      <c r="F646" s="25"/>
      <c r="G646" s="1">
        <v>8025</v>
      </c>
      <c r="H646" s="2">
        <v>101.9</v>
      </c>
      <c r="I646" s="2">
        <v>20.3</v>
      </c>
      <c r="J646" s="2">
        <v>9.6999999999999993</v>
      </c>
      <c r="K646" s="2">
        <f t="shared" si="83"/>
        <v>20.3</v>
      </c>
      <c r="L646" s="8">
        <f t="shared" si="87"/>
        <v>6.9183097091893386E-9</v>
      </c>
      <c r="M646" s="26"/>
      <c r="N646" s="17"/>
      <c r="O646" s="9">
        <f t="shared" si="85"/>
        <v>9.6999999999999993</v>
      </c>
      <c r="P646" s="8">
        <f>D644/B644*10^(O646/10)</f>
        <v>2933.529352171875</v>
      </c>
      <c r="Q646" s="26"/>
      <c r="R646" s="17"/>
      <c r="S646" s="19"/>
      <c r="T646" s="17"/>
      <c r="U646" s="22"/>
    </row>
    <row r="647" spans="1:21" x14ac:dyDescent="0.25">
      <c r="A647" s="24"/>
      <c r="B647" s="24"/>
      <c r="C647" s="17"/>
      <c r="D647" s="24"/>
      <c r="E647" s="24"/>
      <c r="F647" s="25"/>
      <c r="G647" s="1">
        <v>9025</v>
      </c>
      <c r="H647" s="2">
        <v>93.2</v>
      </c>
      <c r="I647" s="2">
        <v>12.1</v>
      </c>
      <c r="J647" s="2">
        <v>11.9</v>
      </c>
      <c r="K647" s="2">
        <f t="shared" si="83"/>
        <v>12.1</v>
      </c>
      <c r="L647" s="8">
        <f t="shared" si="87"/>
        <v>7.7624711662868843E-9</v>
      </c>
      <c r="M647" s="26"/>
      <c r="N647" s="17"/>
      <c r="O647" s="9">
        <f t="shared" si="85"/>
        <v>11.9</v>
      </c>
      <c r="P647" s="8">
        <f>D644/B644*10^(O647/10)</f>
        <v>4868.4469054482333</v>
      </c>
      <c r="Q647" s="26"/>
      <c r="R647" s="17"/>
      <c r="S647" s="19"/>
      <c r="T647" s="17"/>
      <c r="U647" s="22"/>
    </row>
    <row r="648" spans="1:21" x14ac:dyDescent="0.25">
      <c r="A648" s="24"/>
      <c r="B648" s="24"/>
      <c r="C648" s="17"/>
      <c r="D648" s="24"/>
      <c r="E648" s="24"/>
      <c r="F648" s="25"/>
      <c r="G648" s="1">
        <v>10025</v>
      </c>
      <c r="H648" s="2">
        <v>88.3</v>
      </c>
      <c r="I648" s="2">
        <v>8.9</v>
      </c>
      <c r="J648" s="2">
        <v>8</v>
      </c>
      <c r="K648" s="2">
        <f t="shared" si="83"/>
        <v>8.9</v>
      </c>
      <c r="L648" s="8">
        <f t="shared" si="87"/>
        <v>1.14815362149688E-8</v>
      </c>
      <c r="M648" s="26"/>
      <c r="N648" s="17"/>
      <c r="O648" s="9">
        <f t="shared" si="85"/>
        <v>8</v>
      </c>
      <c r="P648" s="8">
        <f>D644/B644*10^(O648/10)</f>
        <v>1983.3092528160746</v>
      </c>
      <c r="Q648" s="26"/>
      <c r="R648" s="17"/>
      <c r="S648" s="19"/>
      <c r="T648" s="17"/>
      <c r="U648" s="22"/>
    </row>
    <row r="649" spans="1:21" x14ac:dyDescent="0.25">
      <c r="A649" s="24"/>
      <c r="B649" s="24"/>
      <c r="C649" s="17"/>
      <c r="D649" s="24"/>
      <c r="E649" s="24"/>
      <c r="F649" s="25"/>
      <c r="G649" s="1">
        <v>11025</v>
      </c>
      <c r="H649" s="2">
        <v>86</v>
      </c>
      <c r="I649" s="2">
        <v>25.8</v>
      </c>
      <c r="J649" s="2">
        <v>14.3</v>
      </c>
      <c r="K649" s="2">
        <f t="shared" si="83"/>
        <v>25.8</v>
      </c>
      <c r="L649" s="8">
        <f t="shared" si="87"/>
        <v>9.5499258602143328E-7</v>
      </c>
      <c r="M649" s="26"/>
      <c r="N649" s="17"/>
      <c r="O649" s="9">
        <f t="shared" si="85"/>
        <v>14.3</v>
      </c>
      <c r="P649" s="8">
        <f>D644/B644*10^(O649/10)</f>
        <v>8460.3910670102759</v>
      </c>
      <c r="Q649" s="26"/>
      <c r="R649" s="17"/>
      <c r="S649" s="20"/>
      <c r="T649" s="17"/>
      <c r="U649" s="23"/>
    </row>
    <row r="650" spans="1:21" x14ac:dyDescent="0.25">
      <c r="A650" s="24" t="s">
        <v>20</v>
      </c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12">
        <f>U650</f>
        <v>8.6648106147075826E-2</v>
      </c>
      <c r="T650" s="2"/>
      <c r="U650" s="8">
        <f>0.8*SQRT(SUM(U616:U649))</f>
        <v>8.6648106147075826E-2</v>
      </c>
    </row>
    <row r="651" spans="1:21" x14ac:dyDescent="0.25">
      <c r="A651" s="27" t="s">
        <v>50</v>
      </c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9"/>
    </row>
    <row r="652" spans="1:21" x14ac:dyDescent="0.25">
      <c r="A652" s="24">
        <v>250</v>
      </c>
      <c r="B652" s="24">
        <v>3</v>
      </c>
      <c r="C652" s="17">
        <v>0.5</v>
      </c>
      <c r="D652" s="24">
        <v>38</v>
      </c>
      <c r="E652" s="24">
        <v>4</v>
      </c>
      <c r="F652" s="25">
        <v>84</v>
      </c>
      <c r="G652" s="1">
        <v>175</v>
      </c>
      <c r="H652" s="2">
        <v>84.8</v>
      </c>
      <c r="I652" s="2">
        <v>-2.9</v>
      </c>
      <c r="J652" s="2">
        <v>-3.5</v>
      </c>
      <c r="K652" s="2">
        <f>I652</f>
        <v>-2.9</v>
      </c>
      <c r="L652" s="8">
        <f>10^((K652-H652)/10)</f>
        <v>1.6982436524617417E-9</v>
      </c>
      <c r="M652" s="26">
        <f>SUM(L652:L655)</f>
        <v>3.1325380551766251E-9</v>
      </c>
      <c r="N652" s="17">
        <f>10*LOG10(M652/E652)</f>
        <v>-91.061636356672565</v>
      </c>
      <c r="O652" s="9">
        <f>J652</f>
        <v>-3.5</v>
      </c>
      <c r="P652" s="8">
        <f>D652/B652*10^(O652/10)</f>
        <v>5.6579921672455331</v>
      </c>
      <c r="Q652" s="26">
        <f>SUM(P652:P655)</f>
        <v>19.437360628394103</v>
      </c>
      <c r="R652" s="17">
        <f>10*LOG10(Q652)</f>
        <v>12.886372923626103</v>
      </c>
      <c r="S652" s="18">
        <f>F652+N652-Kzt-H</f>
        <v>-7.0616363566725653</v>
      </c>
      <c r="T652" s="17">
        <v>0.2</v>
      </c>
      <c r="U652" s="21">
        <f>T652*10^((S652-R652)/10)</f>
        <v>2.0240864969833278E-3</v>
      </c>
    </row>
    <row r="653" spans="1:21" x14ac:dyDescent="0.25">
      <c r="A653" s="24"/>
      <c r="B653" s="24"/>
      <c r="C653" s="17"/>
      <c r="D653" s="24"/>
      <c r="E653" s="24"/>
      <c r="F653" s="25"/>
      <c r="G653" s="1">
        <v>225</v>
      </c>
      <c r="H653" s="2">
        <v>90</v>
      </c>
      <c r="I653" s="2">
        <v>-1.5</v>
      </c>
      <c r="J653" s="2">
        <v>-5</v>
      </c>
      <c r="K653" s="2">
        <f t="shared" ref="K653:K685" si="88">I653</f>
        <v>-1.5</v>
      </c>
      <c r="L653" s="8">
        <f t="shared" ref="L653:L654" si="89">10^((K653-H653)/10)</f>
        <v>7.079457843841369E-10</v>
      </c>
      <c r="M653" s="26"/>
      <c r="N653" s="17"/>
      <c r="O653" s="9">
        <f t="shared" ref="O653:O685" si="90">J653</f>
        <v>-5</v>
      </c>
      <c r="P653" s="8">
        <f>D652/B652*10^(O653/10)</f>
        <v>4.0055517028799468</v>
      </c>
      <c r="Q653" s="26"/>
      <c r="R653" s="17"/>
      <c r="S653" s="19"/>
      <c r="T653" s="17"/>
      <c r="U653" s="22"/>
    </row>
    <row r="654" spans="1:21" x14ac:dyDescent="0.25">
      <c r="A654" s="24"/>
      <c r="B654" s="24"/>
      <c r="C654" s="17"/>
      <c r="D654" s="24"/>
      <c r="E654" s="24"/>
      <c r="F654" s="25"/>
      <c r="G654" s="1">
        <v>275</v>
      </c>
      <c r="H654" s="2">
        <v>92.2</v>
      </c>
      <c r="I654" s="2">
        <v>-2.1</v>
      </c>
      <c r="J654" s="2">
        <v>-5.5</v>
      </c>
      <c r="K654" s="2">
        <f t="shared" si="88"/>
        <v>-2.1</v>
      </c>
      <c r="L654" s="8">
        <f t="shared" si="89"/>
        <v>3.7153522909717169E-10</v>
      </c>
      <c r="M654" s="26"/>
      <c r="N654" s="17"/>
      <c r="O654" s="9">
        <f t="shared" si="90"/>
        <v>-5.5</v>
      </c>
      <c r="P654" s="8">
        <f>D652/B652*10^(O654/10)</f>
        <v>3.5699517129349738</v>
      </c>
      <c r="Q654" s="26"/>
      <c r="R654" s="17"/>
      <c r="S654" s="19"/>
      <c r="T654" s="17"/>
      <c r="U654" s="22"/>
    </row>
    <row r="655" spans="1:21" x14ac:dyDescent="0.25">
      <c r="A655" s="24"/>
      <c r="B655" s="24"/>
      <c r="C655" s="17"/>
      <c r="D655" s="24"/>
      <c r="E655" s="24"/>
      <c r="F655" s="25"/>
      <c r="G655" s="1">
        <v>325</v>
      </c>
      <c r="H655" s="2">
        <v>93.3</v>
      </c>
      <c r="I655" s="2">
        <v>-1.2000000000000002</v>
      </c>
      <c r="J655" s="2">
        <v>-3.1</v>
      </c>
      <c r="K655" s="2">
        <f t="shared" si="88"/>
        <v>-1.2000000000000002</v>
      </c>
      <c r="L655" s="8">
        <f>10^((K655-H655)/10)</f>
        <v>3.5481338923357471E-10</v>
      </c>
      <c r="M655" s="26"/>
      <c r="N655" s="17"/>
      <c r="O655" s="9">
        <f t="shared" si="90"/>
        <v>-3.1</v>
      </c>
      <c r="P655" s="8">
        <f>D652/B652*10^(O655/10)</f>
        <v>6.203865045333651</v>
      </c>
      <c r="Q655" s="26"/>
      <c r="R655" s="17"/>
      <c r="S655" s="20"/>
      <c r="T655" s="17"/>
      <c r="U655" s="23"/>
    </row>
    <row r="656" spans="1:21" x14ac:dyDescent="0.25">
      <c r="A656" s="24">
        <v>500</v>
      </c>
      <c r="B656" s="24">
        <v>3</v>
      </c>
      <c r="C656" s="17">
        <v>0.5</v>
      </c>
      <c r="D656" s="24">
        <v>59</v>
      </c>
      <c r="E656" s="24">
        <v>6</v>
      </c>
      <c r="F656" s="25">
        <v>84</v>
      </c>
      <c r="G656" s="1">
        <v>375</v>
      </c>
      <c r="H656" s="2">
        <v>91.9</v>
      </c>
      <c r="I656" s="2">
        <v>-1.3</v>
      </c>
      <c r="J656" s="2">
        <v>-1.9</v>
      </c>
      <c r="K656" s="2">
        <f t="shared" si="88"/>
        <v>-1.3</v>
      </c>
      <c r="L656" s="8">
        <f t="shared" ref="L656:L657" si="91">10^((K656-H656)/10)</f>
        <v>4.7863009232263674E-10</v>
      </c>
      <c r="M656" s="26">
        <f>SUM(L656:L661)</f>
        <v>7.8319439613712814E-9</v>
      </c>
      <c r="N656" s="17">
        <f>10*LOG10(M656/E656)</f>
        <v>-88.842816790137789</v>
      </c>
      <c r="O656" s="9">
        <f t="shared" si="90"/>
        <v>-1.9</v>
      </c>
      <c r="P656" s="8">
        <f>D656/B656*10^(O656/10)</f>
        <v>12.697866504348223</v>
      </c>
      <c r="Q656" s="26">
        <f>SUM(P656:P661)</f>
        <v>56.091831621498613</v>
      </c>
      <c r="R656" s="17">
        <f>10*LOG10(Q656)</f>
        <v>17.488996216840064</v>
      </c>
      <c r="S656" s="18">
        <f>F656+N656-Kzt-H</f>
        <v>-4.842816790137789</v>
      </c>
      <c r="T656" s="17">
        <v>0.5</v>
      </c>
      <c r="U656" s="21">
        <f>T656*10^((S656-R656)/10)</f>
        <v>2.9227300422966468E-3</v>
      </c>
    </row>
    <row r="657" spans="1:21" x14ac:dyDescent="0.25">
      <c r="A657" s="24"/>
      <c r="B657" s="24"/>
      <c r="C657" s="17"/>
      <c r="D657" s="24"/>
      <c r="E657" s="24"/>
      <c r="F657" s="25"/>
      <c r="G657" s="1">
        <v>425</v>
      </c>
      <c r="H657" s="2">
        <v>88.1</v>
      </c>
      <c r="I657" s="2">
        <v>0.3</v>
      </c>
      <c r="J657" s="2">
        <v>-0.8</v>
      </c>
      <c r="K657" s="2">
        <f t="shared" si="88"/>
        <v>0.3</v>
      </c>
      <c r="L657" s="8">
        <f t="shared" si="91"/>
        <v>1.6595869074375584E-9</v>
      </c>
      <c r="M657" s="26"/>
      <c r="N657" s="17"/>
      <c r="O657" s="9">
        <f t="shared" si="90"/>
        <v>-0.8</v>
      </c>
      <c r="P657" s="8">
        <f>D656/B656*10^(O657/10)</f>
        <v>16.358020831685863</v>
      </c>
      <c r="Q657" s="26"/>
      <c r="R657" s="17"/>
      <c r="S657" s="19"/>
      <c r="T657" s="17"/>
      <c r="U657" s="22"/>
    </row>
    <row r="658" spans="1:21" x14ac:dyDescent="0.25">
      <c r="A658" s="24"/>
      <c r="B658" s="24"/>
      <c r="C658" s="17"/>
      <c r="D658" s="24"/>
      <c r="E658" s="24"/>
      <c r="F658" s="25"/>
      <c r="G658" s="1">
        <v>475</v>
      </c>
      <c r="H658" s="2">
        <v>90</v>
      </c>
      <c r="I658" s="2">
        <v>6.8</v>
      </c>
      <c r="J658" s="2">
        <v>-5.3</v>
      </c>
      <c r="K658" s="2">
        <f t="shared" si="88"/>
        <v>6.8</v>
      </c>
      <c r="L658" s="8">
        <f>10^((K658-H658)/10)</f>
        <v>4.7863009232263728E-9</v>
      </c>
      <c r="M658" s="26"/>
      <c r="N658" s="17"/>
      <c r="O658" s="9">
        <f t="shared" si="90"/>
        <v>-5.3</v>
      </c>
      <c r="P658" s="8">
        <f>D656/B656*10^(O658/10)</f>
        <v>5.8040448124438901</v>
      </c>
      <c r="Q658" s="26"/>
      <c r="R658" s="17"/>
      <c r="S658" s="19"/>
      <c r="T658" s="17"/>
      <c r="U658" s="22"/>
    </row>
    <row r="659" spans="1:21" x14ac:dyDescent="0.25">
      <c r="A659" s="24"/>
      <c r="B659" s="24"/>
      <c r="C659" s="17"/>
      <c r="D659" s="24"/>
      <c r="E659" s="24"/>
      <c r="F659" s="25"/>
      <c r="G659" s="1">
        <v>575</v>
      </c>
      <c r="H659" s="2">
        <v>97</v>
      </c>
      <c r="I659" s="2">
        <v>-3.8</v>
      </c>
      <c r="J659" s="2">
        <v>-4.5</v>
      </c>
      <c r="K659" s="2">
        <f t="shared" si="88"/>
        <v>-3.8</v>
      </c>
      <c r="L659" s="8">
        <f t="shared" ref="L659:L685" si="92">10^((K659-H659)/10)</f>
        <v>8.3176377110266833E-11</v>
      </c>
      <c r="M659" s="26"/>
      <c r="N659" s="17"/>
      <c r="O659" s="9">
        <f t="shared" si="90"/>
        <v>-4.5</v>
      </c>
      <c r="P659" s="8">
        <f>D656/B656*10^(O659/10)</f>
        <v>6.9779966549269838</v>
      </c>
      <c r="Q659" s="26"/>
      <c r="R659" s="17"/>
      <c r="S659" s="19"/>
      <c r="T659" s="17"/>
      <c r="U659" s="22"/>
    </row>
    <row r="660" spans="1:21" x14ac:dyDescent="0.25">
      <c r="A660" s="24"/>
      <c r="B660" s="24"/>
      <c r="C660" s="17"/>
      <c r="D660" s="24"/>
      <c r="E660" s="24"/>
      <c r="F660" s="25"/>
      <c r="G660" s="1">
        <v>625</v>
      </c>
      <c r="H660" s="2">
        <v>92</v>
      </c>
      <c r="I660" s="2">
        <v>-1.9</v>
      </c>
      <c r="J660" s="2">
        <v>-3.3</v>
      </c>
      <c r="K660" s="2">
        <f t="shared" si="88"/>
        <v>-1.9</v>
      </c>
      <c r="L660" s="8">
        <f t="shared" si="92"/>
        <v>4.073802778041116E-10</v>
      </c>
      <c r="M660" s="26"/>
      <c r="N660" s="17"/>
      <c r="O660" s="9">
        <f t="shared" si="90"/>
        <v>-3.3</v>
      </c>
      <c r="P660" s="8">
        <f>D656/B656*10^(O660/10)</f>
        <v>9.1987911119815653</v>
      </c>
      <c r="Q660" s="26"/>
      <c r="R660" s="17"/>
      <c r="S660" s="19"/>
      <c r="T660" s="17"/>
      <c r="U660" s="22"/>
    </row>
    <row r="661" spans="1:21" x14ac:dyDescent="0.25">
      <c r="A661" s="24"/>
      <c r="B661" s="24"/>
      <c r="C661" s="17"/>
      <c r="D661" s="24"/>
      <c r="E661" s="24"/>
      <c r="F661" s="25"/>
      <c r="G661" s="1">
        <v>675</v>
      </c>
      <c r="H661" s="2">
        <v>94.5</v>
      </c>
      <c r="I661" s="2">
        <v>0.7</v>
      </c>
      <c r="J661" s="2">
        <v>-5.9</v>
      </c>
      <c r="K661" s="2">
        <f t="shared" si="88"/>
        <v>0.7</v>
      </c>
      <c r="L661" s="8">
        <f t="shared" si="92"/>
        <v>4.1686938347033571E-10</v>
      </c>
      <c r="M661" s="26"/>
      <c r="N661" s="17"/>
      <c r="O661" s="9">
        <f t="shared" si="90"/>
        <v>-5.9</v>
      </c>
      <c r="P661" s="8">
        <f>D656/B656*10^(O661/10)</f>
        <v>5.0551117061120969</v>
      </c>
      <c r="Q661" s="26"/>
      <c r="R661" s="17"/>
      <c r="S661" s="20"/>
      <c r="T661" s="17"/>
      <c r="U661" s="23"/>
    </row>
    <row r="662" spans="1:21" x14ac:dyDescent="0.25">
      <c r="A662" s="24">
        <v>1000</v>
      </c>
      <c r="B662" s="24">
        <v>3</v>
      </c>
      <c r="C662" s="17">
        <v>0.5</v>
      </c>
      <c r="D662" s="24">
        <v>117</v>
      </c>
      <c r="E662" s="24">
        <v>6</v>
      </c>
      <c r="F662" s="25">
        <v>76</v>
      </c>
      <c r="G662" s="1">
        <v>875</v>
      </c>
      <c r="H662" s="2">
        <v>91.1</v>
      </c>
      <c r="I662" s="2">
        <v>6</v>
      </c>
      <c r="J662" s="2">
        <v>-5.4</v>
      </c>
      <c r="K662" s="2">
        <f t="shared" si="88"/>
        <v>6</v>
      </c>
      <c r="L662" s="8">
        <f t="shared" si="92"/>
        <v>3.0902954325135894E-9</v>
      </c>
      <c r="M662" s="26">
        <f>SUM(L662:L667)</f>
        <v>4.3416159296396309E-9</v>
      </c>
      <c r="N662" s="17">
        <f>10*LOG10(M662/E662)</f>
        <v>-91.404998483577614</v>
      </c>
      <c r="O662" s="9">
        <f t="shared" si="90"/>
        <v>-5.4</v>
      </c>
      <c r="P662" s="8">
        <f>D662/B662*10^(O662/10)</f>
        <v>11.247722862193761</v>
      </c>
      <c r="Q662" s="26">
        <f>SUM(P662:P667)</f>
        <v>118.0987254639616</v>
      </c>
      <c r="R662" s="17">
        <f>10*LOG10(Q662)</f>
        <v>20.722452106790922</v>
      </c>
      <c r="S662" s="18">
        <f>F662+N662-Kzt-H</f>
        <v>-15.404998483577614</v>
      </c>
      <c r="T662" s="17">
        <v>0.8</v>
      </c>
      <c r="U662" s="21">
        <f>T662*10^((S662-R662)/10)</f>
        <v>1.9513938321106956E-4</v>
      </c>
    </row>
    <row r="663" spans="1:21" x14ac:dyDescent="0.25">
      <c r="A663" s="24"/>
      <c r="B663" s="24"/>
      <c r="C663" s="17"/>
      <c r="D663" s="24"/>
      <c r="E663" s="24"/>
      <c r="F663" s="25"/>
      <c r="G663" s="1">
        <v>975</v>
      </c>
      <c r="H663" s="2">
        <v>96.5</v>
      </c>
      <c r="I663" s="2">
        <v>-5.0999999999999996</v>
      </c>
      <c r="J663" s="2">
        <v>-5.3</v>
      </c>
      <c r="K663" s="2">
        <f t="shared" si="88"/>
        <v>-5.0999999999999996</v>
      </c>
      <c r="L663" s="8">
        <f t="shared" si="92"/>
        <v>6.9183097091893483E-11</v>
      </c>
      <c r="M663" s="26"/>
      <c r="N663" s="17"/>
      <c r="O663" s="9">
        <f t="shared" si="90"/>
        <v>-5.3</v>
      </c>
      <c r="P663" s="8">
        <f>D662/B662*10^(O663/10)</f>
        <v>11.5097159839989</v>
      </c>
      <c r="Q663" s="26"/>
      <c r="R663" s="17"/>
      <c r="S663" s="19"/>
      <c r="T663" s="17"/>
      <c r="U663" s="22"/>
    </row>
    <row r="664" spans="1:21" x14ac:dyDescent="0.25">
      <c r="A664" s="24"/>
      <c r="B664" s="24"/>
      <c r="C664" s="17"/>
      <c r="D664" s="24"/>
      <c r="E664" s="24"/>
      <c r="F664" s="25"/>
      <c r="G664" s="1">
        <v>1075</v>
      </c>
      <c r="H664" s="2">
        <v>94.6</v>
      </c>
      <c r="I664" s="2">
        <v>-0.40000000000000013</v>
      </c>
      <c r="J664" s="2">
        <v>-1.6</v>
      </c>
      <c r="K664" s="2">
        <f t="shared" si="88"/>
        <v>-0.40000000000000013</v>
      </c>
      <c r="L664" s="8">
        <f t="shared" si="92"/>
        <v>3.1622776601683744E-10</v>
      </c>
      <c r="M664" s="26"/>
      <c r="N664" s="17"/>
      <c r="O664" s="9">
        <f t="shared" si="90"/>
        <v>-1.6</v>
      </c>
      <c r="P664" s="8">
        <f>D662/B662*10^(O664/10)</f>
        <v>26.981407865838523</v>
      </c>
      <c r="Q664" s="26"/>
      <c r="R664" s="17"/>
      <c r="S664" s="19"/>
      <c r="T664" s="17"/>
      <c r="U664" s="22"/>
    </row>
    <row r="665" spans="1:21" x14ac:dyDescent="0.25">
      <c r="A665" s="24"/>
      <c r="B665" s="24"/>
      <c r="C665" s="17"/>
      <c r="D665" s="24"/>
      <c r="E665" s="24"/>
      <c r="F665" s="25"/>
      <c r="G665" s="1">
        <v>1175</v>
      </c>
      <c r="H665" s="2">
        <v>97.8</v>
      </c>
      <c r="I665" s="2">
        <v>-2</v>
      </c>
      <c r="J665" s="2">
        <v>-2</v>
      </c>
      <c r="K665" s="2">
        <f t="shared" si="88"/>
        <v>-2</v>
      </c>
      <c r="L665" s="8">
        <f t="shared" si="92"/>
        <v>1.0471285480508951E-10</v>
      </c>
      <c r="M665" s="26"/>
      <c r="N665" s="17"/>
      <c r="O665" s="9">
        <f t="shared" si="90"/>
        <v>-2</v>
      </c>
      <c r="P665" s="8">
        <f>D662/B662*10^(O665/10)</f>
        <v>24.607336434727536</v>
      </c>
      <c r="Q665" s="26"/>
      <c r="R665" s="17"/>
      <c r="S665" s="19"/>
      <c r="T665" s="17"/>
      <c r="U665" s="22"/>
    </row>
    <row r="666" spans="1:21" x14ac:dyDescent="0.25">
      <c r="A666" s="24"/>
      <c r="B666" s="24"/>
      <c r="C666" s="17"/>
      <c r="D666" s="24"/>
      <c r="E666" s="24"/>
      <c r="F666" s="25"/>
      <c r="G666" s="1">
        <v>1275</v>
      </c>
      <c r="H666" s="2">
        <v>100.1</v>
      </c>
      <c r="I666" s="2">
        <v>8.4</v>
      </c>
      <c r="J666" s="2">
        <v>-5.0999999999999996</v>
      </c>
      <c r="K666" s="2">
        <f t="shared" si="88"/>
        <v>8.4</v>
      </c>
      <c r="L666" s="8">
        <f t="shared" si="92"/>
        <v>6.7608297539198334E-10</v>
      </c>
      <c r="M666" s="26"/>
      <c r="N666" s="17"/>
      <c r="O666" s="9">
        <f t="shared" si="90"/>
        <v>-5.0999999999999996</v>
      </c>
      <c r="P666" s="8">
        <f>D662/B662*10^(O666/10)</f>
        <v>12.052152186802999</v>
      </c>
      <c r="Q666" s="26"/>
      <c r="R666" s="17"/>
      <c r="S666" s="19"/>
      <c r="T666" s="17"/>
      <c r="U666" s="22"/>
    </row>
    <row r="667" spans="1:21" x14ac:dyDescent="0.25">
      <c r="A667" s="24"/>
      <c r="B667" s="24"/>
      <c r="C667" s="17"/>
      <c r="D667" s="24"/>
      <c r="E667" s="24"/>
      <c r="F667" s="25"/>
      <c r="G667" s="1">
        <v>1375</v>
      </c>
      <c r="H667" s="2">
        <v>103</v>
      </c>
      <c r="I667" s="2">
        <v>2.2999999999999998</v>
      </c>
      <c r="J667" s="2">
        <v>-0.9</v>
      </c>
      <c r="K667" s="2">
        <f t="shared" si="88"/>
        <v>2.2999999999999998</v>
      </c>
      <c r="L667" s="8">
        <f t="shared" si="92"/>
        <v>8.511380382023737E-11</v>
      </c>
      <c r="M667" s="26"/>
      <c r="N667" s="17"/>
      <c r="O667" s="9">
        <f t="shared" si="90"/>
        <v>-0.9</v>
      </c>
      <c r="P667" s="8">
        <f>D662/B662*10^(O667/10)</f>
        <v>31.700390130399867</v>
      </c>
      <c r="Q667" s="26"/>
      <c r="R667" s="17"/>
      <c r="S667" s="20"/>
      <c r="T667" s="17"/>
      <c r="U667" s="23"/>
    </row>
    <row r="668" spans="1:21" x14ac:dyDescent="0.25">
      <c r="A668" s="24">
        <v>2000</v>
      </c>
      <c r="B668" s="24">
        <v>3</v>
      </c>
      <c r="C668" s="17">
        <v>0.5</v>
      </c>
      <c r="D668" s="24">
        <v>234</v>
      </c>
      <c r="E668" s="24">
        <v>6</v>
      </c>
      <c r="F668" s="25">
        <v>68</v>
      </c>
      <c r="G668" s="1">
        <v>1425</v>
      </c>
      <c r="H668" s="2">
        <v>102.8</v>
      </c>
      <c r="I668" s="2">
        <v>10.3</v>
      </c>
      <c r="J668" s="2">
        <v>-0.5</v>
      </c>
      <c r="K668" s="2">
        <f t="shared" si="88"/>
        <v>10.3</v>
      </c>
      <c r="L668" s="8">
        <f t="shared" si="92"/>
        <v>5.6234132519034889E-10</v>
      </c>
      <c r="M668" s="26">
        <f>SUM(L668:L673)</f>
        <v>1.760392324638902E-9</v>
      </c>
      <c r="N668" s="17">
        <f>10*LOG10(M668/E668)</f>
        <v>-95.325417840250225</v>
      </c>
      <c r="O668" s="9">
        <f t="shared" si="90"/>
        <v>-0.5</v>
      </c>
      <c r="P668" s="8">
        <f>D668/B668*10^(O668/10)</f>
        <v>69.517573174432144</v>
      </c>
      <c r="Q668" s="26">
        <f>SUM(P668:P673)</f>
        <v>663.43647225099426</v>
      </c>
      <c r="R668" s="17">
        <f>10*LOG10(Q668)</f>
        <v>28.217993430682235</v>
      </c>
      <c r="S668" s="18">
        <f>F668+N668-Kzt-H</f>
        <v>-27.325417840250225</v>
      </c>
      <c r="T668" s="17">
        <v>1</v>
      </c>
      <c r="U668" s="21">
        <f>T668*10^((S668-R668)/10)</f>
        <v>2.7903512314420422E-6</v>
      </c>
    </row>
    <row r="669" spans="1:21" x14ac:dyDescent="0.25">
      <c r="A669" s="24"/>
      <c r="B669" s="24"/>
      <c r="C669" s="17"/>
      <c r="D669" s="24"/>
      <c r="E669" s="24"/>
      <c r="F669" s="25"/>
      <c r="G669" s="1">
        <v>1625</v>
      </c>
      <c r="H669" s="2">
        <v>104.1</v>
      </c>
      <c r="I669" s="2">
        <v>8.8000000000000007</v>
      </c>
      <c r="J669" s="2">
        <v>5.9</v>
      </c>
      <c r="K669" s="2">
        <f t="shared" si="88"/>
        <v>8.8000000000000007</v>
      </c>
      <c r="L669" s="8">
        <f t="shared" si="92"/>
        <v>2.9512092266663821E-10</v>
      </c>
      <c r="M669" s="26"/>
      <c r="N669" s="17"/>
      <c r="O669" s="9">
        <f t="shared" si="90"/>
        <v>5.9</v>
      </c>
      <c r="P669" s="8">
        <f>D668/B668*10^(O669/10)</f>
        <v>303.45521309553897</v>
      </c>
      <c r="Q669" s="26"/>
      <c r="R669" s="17"/>
      <c r="S669" s="19"/>
      <c r="T669" s="17"/>
      <c r="U669" s="22"/>
    </row>
    <row r="670" spans="1:21" x14ac:dyDescent="0.25">
      <c r="A670" s="24"/>
      <c r="B670" s="24"/>
      <c r="C670" s="17"/>
      <c r="D670" s="24"/>
      <c r="E670" s="24"/>
      <c r="F670" s="25"/>
      <c r="G670" s="1">
        <v>1825</v>
      </c>
      <c r="H670" s="2">
        <v>107.6</v>
      </c>
      <c r="I670" s="2">
        <v>1.8</v>
      </c>
      <c r="J670" s="2">
        <v>1.7</v>
      </c>
      <c r="K670" s="2">
        <f t="shared" si="88"/>
        <v>1.8</v>
      </c>
      <c r="L670" s="8">
        <f t="shared" si="92"/>
        <v>2.6302679918953769E-11</v>
      </c>
      <c r="M670" s="26"/>
      <c r="N670" s="17"/>
      <c r="O670" s="9">
        <f t="shared" si="90"/>
        <v>1.7</v>
      </c>
      <c r="P670" s="8">
        <f>D668/B668*10^(O670/10)</f>
        <v>115.37045427712017</v>
      </c>
      <c r="Q670" s="26"/>
      <c r="R670" s="17"/>
      <c r="S670" s="19"/>
      <c r="T670" s="17"/>
      <c r="U670" s="22"/>
    </row>
    <row r="671" spans="1:21" x14ac:dyDescent="0.25">
      <c r="A671" s="24"/>
      <c r="B671" s="24"/>
      <c r="C671" s="17"/>
      <c r="D671" s="24"/>
      <c r="E671" s="24"/>
      <c r="F671" s="25"/>
      <c r="G671" s="1">
        <v>2125</v>
      </c>
      <c r="H671" s="2">
        <v>104.2</v>
      </c>
      <c r="I671" s="2">
        <v>2.2000000000000002</v>
      </c>
      <c r="J671" s="2">
        <v>0.5</v>
      </c>
      <c r="K671" s="2">
        <f t="shared" si="88"/>
        <v>2.2000000000000002</v>
      </c>
      <c r="L671" s="8">
        <f t="shared" si="92"/>
        <v>6.3095734448019192E-11</v>
      </c>
      <c r="M671" s="26"/>
      <c r="N671" s="17"/>
      <c r="O671" s="9">
        <f t="shared" si="90"/>
        <v>0.5</v>
      </c>
      <c r="P671" s="8">
        <f>D668/B668*10^(O671/10)</f>
        <v>87.517439435553158</v>
      </c>
      <c r="Q671" s="26"/>
      <c r="R671" s="17"/>
      <c r="S671" s="19"/>
      <c r="T671" s="17"/>
      <c r="U671" s="22"/>
    </row>
    <row r="672" spans="1:21" x14ac:dyDescent="0.25">
      <c r="A672" s="24"/>
      <c r="B672" s="24"/>
      <c r="C672" s="17"/>
      <c r="D672" s="24"/>
      <c r="E672" s="24"/>
      <c r="F672" s="25"/>
      <c r="G672" s="1">
        <v>2425</v>
      </c>
      <c r="H672" s="2">
        <v>93.7</v>
      </c>
      <c r="I672" s="2">
        <v>2.5</v>
      </c>
      <c r="J672" s="2">
        <v>-1.7</v>
      </c>
      <c r="K672" s="2">
        <f t="shared" si="88"/>
        <v>2.5</v>
      </c>
      <c r="L672" s="8">
        <f t="shared" si="92"/>
        <v>7.5857757502917976E-10</v>
      </c>
      <c r="M672" s="26"/>
      <c r="N672" s="17"/>
      <c r="O672" s="9">
        <f t="shared" si="90"/>
        <v>-1.7</v>
      </c>
      <c r="P672" s="8">
        <f>D668/B668*10^(O672/10)</f>
        <v>52.734472080574584</v>
      </c>
      <c r="Q672" s="26"/>
      <c r="R672" s="17"/>
      <c r="S672" s="19"/>
      <c r="T672" s="17"/>
      <c r="U672" s="22"/>
    </row>
    <row r="673" spans="1:21" x14ac:dyDescent="0.25">
      <c r="A673" s="24"/>
      <c r="B673" s="24"/>
      <c r="C673" s="17"/>
      <c r="D673" s="24"/>
      <c r="E673" s="24"/>
      <c r="F673" s="25"/>
      <c r="G673" s="1">
        <v>2775</v>
      </c>
      <c r="H673" s="2">
        <v>100.2</v>
      </c>
      <c r="I673" s="2">
        <v>-2.4</v>
      </c>
      <c r="J673" s="2">
        <v>-3.5</v>
      </c>
      <c r="K673" s="2">
        <f t="shared" si="88"/>
        <v>-2.4</v>
      </c>
      <c r="L673" s="8">
        <f t="shared" si="92"/>
        <v>5.4954087385762175E-11</v>
      </c>
      <c r="M673" s="26"/>
      <c r="N673" s="17"/>
      <c r="O673" s="9">
        <f t="shared" si="90"/>
        <v>-3.5</v>
      </c>
      <c r="P673" s="8">
        <f>D668/B668*10^(O673/10)</f>
        <v>34.841320187775125</v>
      </c>
      <c r="Q673" s="26"/>
      <c r="R673" s="17"/>
      <c r="S673" s="20"/>
      <c r="T673" s="17"/>
      <c r="U673" s="23"/>
    </row>
    <row r="674" spans="1:21" x14ac:dyDescent="0.25">
      <c r="A674" s="24">
        <v>4000</v>
      </c>
      <c r="B674" s="24">
        <v>3</v>
      </c>
      <c r="C674" s="17">
        <v>0.5</v>
      </c>
      <c r="D674" s="24">
        <v>470</v>
      </c>
      <c r="E674" s="24">
        <v>6</v>
      </c>
      <c r="F674" s="25">
        <v>62</v>
      </c>
      <c r="G674" s="1">
        <v>2825</v>
      </c>
      <c r="H674" s="2">
        <v>99.4</v>
      </c>
      <c r="I674" s="2">
        <v>8</v>
      </c>
      <c r="J674" s="2">
        <v>6.3</v>
      </c>
      <c r="K674" s="2">
        <f t="shared" si="88"/>
        <v>8</v>
      </c>
      <c r="L674" s="8">
        <f t="shared" si="92"/>
        <v>7.2443596007498633E-10</v>
      </c>
      <c r="M674" s="26">
        <f>SUM(L674:L679)</f>
        <v>1.534495076895262E-9</v>
      </c>
      <c r="N674" s="17">
        <f>10*LOG10(M674/E674)</f>
        <v>-95.921857509560766</v>
      </c>
      <c r="O674" s="9">
        <f t="shared" si="90"/>
        <v>6.3</v>
      </c>
      <c r="P674" s="8">
        <f>D674/B674*10^(O674/10)</f>
        <v>668.30791278916183</v>
      </c>
      <c r="Q674" s="26">
        <f>SUM(P674:P679)</f>
        <v>1587.7282384000553</v>
      </c>
      <c r="R674" s="17">
        <f>10*LOG10(Q674)</f>
        <v>32.00776168957929</v>
      </c>
      <c r="S674" s="18">
        <f>F674+N674-Kzt-H</f>
        <v>-33.921857509560766</v>
      </c>
      <c r="T674" s="17">
        <v>0.9</v>
      </c>
      <c r="U674" s="21">
        <f>T674*10^((S674-R674)/10)</f>
        <v>2.2976326260536072E-7</v>
      </c>
    </row>
    <row r="675" spans="1:21" x14ac:dyDescent="0.25">
      <c r="A675" s="24"/>
      <c r="B675" s="24"/>
      <c r="C675" s="17"/>
      <c r="D675" s="24"/>
      <c r="E675" s="24"/>
      <c r="F675" s="25"/>
      <c r="G675" s="1">
        <v>3425</v>
      </c>
      <c r="H675" s="2">
        <v>103.5</v>
      </c>
      <c r="I675" s="2">
        <v>-0.10000000000000009</v>
      </c>
      <c r="J675" s="2">
        <v>-1.8</v>
      </c>
      <c r="K675" s="2">
        <f t="shared" si="88"/>
        <v>-0.10000000000000009</v>
      </c>
      <c r="L675" s="8">
        <f t="shared" si="92"/>
        <v>4.3651583224016577E-11</v>
      </c>
      <c r="M675" s="26"/>
      <c r="N675" s="17"/>
      <c r="O675" s="9">
        <f t="shared" si="90"/>
        <v>-1.8</v>
      </c>
      <c r="P675" s="8">
        <f>D674/B674*10^(O675/10)</f>
        <v>103.5086401878567</v>
      </c>
      <c r="Q675" s="26"/>
      <c r="R675" s="17"/>
      <c r="S675" s="19"/>
      <c r="T675" s="17"/>
      <c r="U675" s="22"/>
    </row>
    <row r="676" spans="1:21" x14ac:dyDescent="0.25">
      <c r="A676" s="24"/>
      <c r="B676" s="24"/>
      <c r="C676" s="17"/>
      <c r="D676" s="24"/>
      <c r="E676" s="24"/>
      <c r="F676" s="25"/>
      <c r="G676" s="1">
        <v>4025</v>
      </c>
      <c r="H676" s="2">
        <v>103.6</v>
      </c>
      <c r="I676" s="2">
        <v>9.1999999999999993</v>
      </c>
      <c r="J676" s="2">
        <v>0</v>
      </c>
      <c r="K676" s="2">
        <f t="shared" si="88"/>
        <v>9.1999999999999993</v>
      </c>
      <c r="L676" s="8">
        <f t="shared" si="92"/>
        <v>3.6307805477010058E-10</v>
      </c>
      <c r="M676" s="26"/>
      <c r="N676" s="17"/>
      <c r="O676" s="9">
        <f t="shared" si="90"/>
        <v>0</v>
      </c>
      <c r="P676" s="8">
        <f>D674/B674*10^(O676/10)</f>
        <v>156.66666666666666</v>
      </c>
      <c r="Q676" s="26"/>
      <c r="R676" s="17"/>
      <c r="S676" s="19"/>
      <c r="T676" s="17"/>
      <c r="U676" s="22"/>
    </row>
    <row r="677" spans="1:21" x14ac:dyDescent="0.25">
      <c r="A677" s="24"/>
      <c r="B677" s="24"/>
      <c r="C677" s="17"/>
      <c r="D677" s="24"/>
      <c r="E677" s="24"/>
      <c r="F677" s="25"/>
      <c r="G677" s="1">
        <v>4625</v>
      </c>
      <c r="H677" s="2">
        <v>105.6</v>
      </c>
      <c r="I677" s="2">
        <v>5.5</v>
      </c>
      <c r="J677" s="2">
        <v>3.5</v>
      </c>
      <c r="K677" s="2">
        <f t="shared" si="88"/>
        <v>5.5</v>
      </c>
      <c r="L677" s="8">
        <f t="shared" si="92"/>
        <v>9.7723722095581033E-11</v>
      </c>
      <c r="M677" s="26"/>
      <c r="N677" s="17"/>
      <c r="O677" s="9">
        <f t="shared" si="90"/>
        <v>3.5</v>
      </c>
      <c r="P677" s="8">
        <f>D674/B674*10^(O677/10)</f>
        <v>350.73297837570647</v>
      </c>
      <c r="Q677" s="26"/>
      <c r="R677" s="17"/>
      <c r="S677" s="19"/>
      <c r="T677" s="17"/>
      <c r="U677" s="22"/>
    </row>
    <row r="678" spans="1:21" x14ac:dyDescent="0.25">
      <c r="A678" s="24"/>
      <c r="B678" s="24"/>
      <c r="C678" s="17"/>
      <c r="D678" s="24"/>
      <c r="E678" s="24"/>
      <c r="F678" s="25"/>
      <c r="G678" s="1">
        <v>5225</v>
      </c>
      <c r="H678" s="2">
        <v>103.5</v>
      </c>
      <c r="I678" s="2">
        <v>5.9</v>
      </c>
      <c r="J678" s="2">
        <v>0.7</v>
      </c>
      <c r="K678" s="2">
        <f t="shared" si="88"/>
        <v>5.9</v>
      </c>
      <c r="L678" s="8">
        <f t="shared" si="92"/>
        <v>1.7378008287493709E-10</v>
      </c>
      <c r="M678" s="26"/>
      <c r="N678" s="17"/>
      <c r="O678" s="9">
        <f t="shared" si="90"/>
        <v>0.7</v>
      </c>
      <c r="P678" s="8">
        <f>D674/B674*10^(O678/10)</f>
        <v>184.06728360719293</v>
      </c>
      <c r="Q678" s="26"/>
      <c r="R678" s="17"/>
      <c r="S678" s="19"/>
      <c r="T678" s="17"/>
      <c r="U678" s="22"/>
    </row>
    <row r="679" spans="1:21" x14ac:dyDescent="0.25">
      <c r="A679" s="24"/>
      <c r="B679" s="24"/>
      <c r="C679" s="17"/>
      <c r="D679" s="24"/>
      <c r="E679" s="24"/>
      <c r="F679" s="25"/>
      <c r="G679" s="1">
        <v>5625</v>
      </c>
      <c r="H679" s="2">
        <v>99.5</v>
      </c>
      <c r="I679" s="2">
        <v>0.7</v>
      </c>
      <c r="J679" s="2">
        <v>-1</v>
      </c>
      <c r="K679" s="2">
        <f t="shared" si="88"/>
        <v>0.7</v>
      </c>
      <c r="L679" s="8">
        <f t="shared" si="92"/>
        <v>1.3182567385564051E-10</v>
      </c>
      <c r="M679" s="26"/>
      <c r="N679" s="17"/>
      <c r="O679" s="9">
        <f t="shared" si="90"/>
        <v>-1</v>
      </c>
      <c r="P679" s="8">
        <f>D674/B674*10^(O679/10)</f>
        <v>124.44475677347076</v>
      </c>
      <c r="Q679" s="26"/>
      <c r="R679" s="17"/>
      <c r="S679" s="20"/>
      <c r="T679" s="17"/>
      <c r="U679" s="23"/>
    </row>
    <row r="680" spans="1:21" x14ac:dyDescent="0.25">
      <c r="A680" s="24">
        <v>8000</v>
      </c>
      <c r="B680" s="24">
        <v>3</v>
      </c>
      <c r="C680" s="17">
        <v>0.5</v>
      </c>
      <c r="D680" s="24">
        <v>943</v>
      </c>
      <c r="E680" s="24">
        <v>6</v>
      </c>
      <c r="F680" s="25">
        <v>54</v>
      </c>
      <c r="G680" s="1">
        <v>6025</v>
      </c>
      <c r="H680" s="2">
        <v>95</v>
      </c>
      <c r="I680" s="2">
        <v>3.2</v>
      </c>
      <c r="J680" s="2">
        <v>3.2</v>
      </c>
      <c r="K680" s="2">
        <f t="shared" si="88"/>
        <v>3.2</v>
      </c>
      <c r="L680" s="8">
        <f t="shared" si="92"/>
        <v>6.6069344800759527E-10</v>
      </c>
      <c r="M680" s="26">
        <f>SUM(L680:L685)</f>
        <v>1.6021566603481733E-7</v>
      </c>
      <c r="N680" s="17">
        <f>10*LOG10(M680/E680)</f>
        <v>-75.734462708462303</v>
      </c>
      <c r="O680" s="9">
        <f t="shared" si="90"/>
        <v>3.2</v>
      </c>
      <c r="P680" s="8">
        <f>D680/B680*10^(O680/10)</f>
        <v>656.73541713178645</v>
      </c>
      <c r="Q680" s="26">
        <f>SUM(P680:P685)</f>
        <v>27022.752479222807</v>
      </c>
      <c r="R680" s="17">
        <f>10*LOG10(Q680)</f>
        <v>44.317295832373148</v>
      </c>
      <c r="S680" s="18">
        <f>F680+N680-Kzt-H</f>
        <v>-21.734462708462303</v>
      </c>
      <c r="T680" s="17">
        <v>0.7</v>
      </c>
      <c r="U680" s="21">
        <f>T680*10^((S680-R680)/10)</f>
        <v>1.7374894887576049E-7</v>
      </c>
    </row>
    <row r="681" spans="1:21" x14ac:dyDescent="0.25">
      <c r="A681" s="24"/>
      <c r="B681" s="24"/>
      <c r="C681" s="17"/>
      <c r="D681" s="24"/>
      <c r="E681" s="24"/>
      <c r="F681" s="25"/>
      <c r="G681" s="1">
        <v>7025</v>
      </c>
      <c r="H681" s="2">
        <v>94.8</v>
      </c>
      <c r="I681" s="2">
        <v>3.5</v>
      </c>
      <c r="J681" s="2">
        <v>2.5</v>
      </c>
      <c r="K681" s="2">
        <f t="shared" si="88"/>
        <v>3.5</v>
      </c>
      <c r="L681" s="8">
        <f t="shared" si="92"/>
        <v>7.4131024130091898E-10</v>
      </c>
      <c r="M681" s="26"/>
      <c r="N681" s="17"/>
      <c r="O681" s="9">
        <f t="shared" si="90"/>
        <v>2.5</v>
      </c>
      <c r="P681" s="8">
        <f>D680/B680*10^(O681/10)</f>
        <v>558.97249455556812</v>
      </c>
      <c r="Q681" s="26"/>
      <c r="R681" s="17"/>
      <c r="S681" s="19"/>
      <c r="T681" s="17"/>
      <c r="U681" s="22"/>
    </row>
    <row r="682" spans="1:21" x14ac:dyDescent="0.25">
      <c r="A682" s="24"/>
      <c r="B682" s="24"/>
      <c r="C682" s="17"/>
      <c r="D682" s="24"/>
      <c r="E682" s="24"/>
      <c r="F682" s="25"/>
      <c r="G682" s="1">
        <v>8025</v>
      </c>
      <c r="H682" s="2">
        <v>101.9</v>
      </c>
      <c r="I682" s="2">
        <v>28.4</v>
      </c>
      <c r="J682" s="2">
        <v>13.7</v>
      </c>
      <c r="K682" s="2">
        <f t="shared" si="88"/>
        <v>28.4</v>
      </c>
      <c r="L682" s="8">
        <f t="shared" si="92"/>
        <v>4.466835921509628E-8</v>
      </c>
      <c r="M682" s="26"/>
      <c r="N682" s="17"/>
      <c r="O682" s="9">
        <f t="shared" si="90"/>
        <v>13.7</v>
      </c>
      <c r="P682" s="8">
        <f>D680/B680*10^(O682/10)</f>
        <v>7368.6925761556231</v>
      </c>
      <c r="Q682" s="26"/>
      <c r="R682" s="17"/>
      <c r="S682" s="19"/>
      <c r="T682" s="17"/>
      <c r="U682" s="22"/>
    </row>
    <row r="683" spans="1:21" x14ac:dyDescent="0.25">
      <c r="A683" s="24"/>
      <c r="B683" s="24"/>
      <c r="C683" s="17"/>
      <c r="D683" s="24"/>
      <c r="E683" s="24"/>
      <c r="F683" s="25"/>
      <c r="G683" s="1">
        <v>9025</v>
      </c>
      <c r="H683" s="2">
        <v>93.2</v>
      </c>
      <c r="I683" s="2">
        <v>14.4</v>
      </c>
      <c r="J683" s="2">
        <v>13.3</v>
      </c>
      <c r="K683" s="2">
        <f t="shared" si="88"/>
        <v>14.4</v>
      </c>
      <c r="L683" s="8">
        <f t="shared" si="92"/>
        <v>1.3182567385564031E-8</v>
      </c>
      <c r="M683" s="26"/>
      <c r="N683" s="17"/>
      <c r="O683" s="9">
        <f t="shared" si="90"/>
        <v>13.3</v>
      </c>
      <c r="P683" s="8">
        <f>D680/B680*10^(O683/10)</f>
        <v>6720.3275013353532</v>
      </c>
      <c r="Q683" s="26"/>
      <c r="R683" s="17"/>
      <c r="S683" s="19"/>
      <c r="T683" s="17"/>
      <c r="U683" s="22"/>
    </row>
    <row r="684" spans="1:21" x14ac:dyDescent="0.25">
      <c r="A684" s="24"/>
      <c r="B684" s="24"/>
      <c r="C684" s="17"/>
      <c r="D684" s="24"/>
      <c r="E684" s="24"/>
      <c r="F684" s="25"/>
      <c r="G684" s="1">
        <v>10025</v>
      </c>
      <c r="H684" s="2">
        <v>88.3</v>
      </c>
      <c r="I684" s="2">
        <v>10.3</v>
      </c>
      <c r="J684" s="2">
        <v>8.5</v>
      </c>
      <c r="K684" s="2">
        <f t="shared" si="88"/>
        <v>10.3</v>
      </c>
      <c r="L684" s="8">
        <f t="shared" si="92"/>
        <v>1.5848931924611133E-8</v>
      </c>
      <c r="M684" s="26"/>
      <c r="N684" s="17"/>
      <c r="O684" s="9">
        <f t="shared" si="90"/>
        <v>8.5</v>
      </c>
      <c r="P684" s="8">
        <f>D680/B680*10^(O684/10)</f>
        <v>2225.3095822474734</v>
      </c>
      <c r="Q684" s="26"/>
      <c r="R684" s="17"/>
      <c r="S684" s="19"/>
      <c r="T684" s="17"/>
      <c r="U684" s="22"/>
    </row>
    <row r="685" spans="1:21" x14ac:dyDescent="0.25">
      <c r="A685" s="24"/>
      <c r="B685" s="24"/>
      <c r="C685" s="17"/>
      <c r="D685" s="24"/>
      <c r="E685" s="24"/>
      <c r="F685" s="25"/>
      <c r="G685" s="1">
        <v>11025</v>
      </c>
      <c r="H685" s="2">
        <v>86</v>
      </c>
      <c r="I685" s="2">
        <v>15.3</v>
      </c>
      <c r="J685" s="2">
        <v>14.8</v>
      </c>
      <c r="K685" s="2">
        <f t="shared" si="88"/>
        <v>15.3</v>
      </c>
      <c r="L685" s="8">
        <f t="shared" si="92"/>
        <v>8.5113803820237355E-8</v>
      </c>
      <c r="M685" s="26"/>
      <c r="N685" s="17"/>
      <c r="O685" s="9">
        <f t="shared" si="90"/>
        <v>14.8</v>
      </c>
      <c r="P685" s="8">
        <f>D680/B680*10^(O685/10)</f>
        <v>9492.7149077970043</v>
      </c>
      <c r="Q685" s="26"/>
      <c r="R685" s="17"/>
      <c r="S685" s="20"/>
      <c r="T685" s="17"/>
      <c r="U685" s="23"/>
    </row>
    <row r="686" spans="1:21" x14ac:dyDescent="0.25">
      <c r="A686" s="24" t="s">
        <v>20</v>
      </c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12">
        <f>U686</f>
        <v>5.7383759575316599E-2</v>
      </c>
      <c r="T686" s="2"/>
      <c r="U686" s="8">
        <f>0.8*SQRT(SUM(U652:U685))</f>
        <v>5.7383759575316599E-2</v>
      </c>
    </row>
    <row r="687" spans="1:21" x14ac:dyDescent="0.25">
      <c r="A687" s="27" t="s">
        <v>51</v>
      </c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9"/>
    </row>
    <row r="688" spans="1:21" x14ac:dyDescent="0.25">
      <c r="A688" s="24">
        <v>250</v>
      </c>
      <c r="B688" s="24">
        <v>3</v>
      </c>
      <c r="C688" s="17">
        <v>0.5</v>
      </c>
      <c r="D688" s="24">
        <v>38</v>
      </c>
      <c r="E688" s="24">
        <v>4</v>
      </c>
      <c r="F688" s="25">
        <v>84</v>
      </c>
      <c r="G688" s="1">
        <v>175</v>
      </c>
      <c r="H688" s="2">
        <v>84.8</v>
      </c>
      <c r="I688" s="2">
        <v>4</v>
      </c>
      <c r="J688" s="2">
        <v>-18.5</v>
      </c>
      <c r="K688" s="2">
        <f>I688</f>
        <v>4</v>
      </c>
      <c r="L688" s="8">
        <f>10^((K688-H688)/10)</f>
        <v>8.3176377110267021E-9</v>
      </c>
      <c r="M688" s="26">
        <f>SUM(L688:L691)</f>
        <v>1.0454376956549891E-8</v>
      </c>
      <c r="N688" s="17">
        <f>10*LOG10(M688/E688)</f>
        <v>-85.827618357998233</v>
      </c>
      <c r="O688" s="9">
        <f>J688</f>
        <v>-18.5</v>
      </c>
      <c r="P688" s="8">
        <f>D688/B688*10^(O688/10)</f>
        <v>0.178921422318882</v>
      </c>
      <c r="Q688" s="26">
        <f>SUM(P688:P691)</f>
        <v>16.527629840560884</v>
      </c>
      <c r="R688" s="17">
        <f>10*LOG10(Q688)</f>
        <v>12.182105776507377</v>
      </c>
      <c r="S688" s="18">
        <f>F688+N688-Kzt-H</f>
        <v>-1.827618357998233</v>
      </c>
      <c r="T688" s="17">
        <v>0.2</v>
      </c>
      <c r="U688" s="21">
        <f>T688*10^((S688-R688)/10)</f>
        <v>7.9443356005584661E-3</v>
      </c>
    </row>
    <row r="689" spans="1:21" x14ac:dyDescent="0.25">
      <c r="A689" s="24"/>
      <c r="B689" s="24"/>
      <c r="C689" s="17"/>
      <c r="D689" s="24"/>
      <c r="E689" s="24"/>
      <c r="F689" s="25"/>
      <c r="G689" s="1">
        <v>225</v>
      </c>
      <c r="H689" s="2">
        <v>90</v>
      </c>
      <c r="I689" s="2">
        <v>1.5</v>
      </c>
      <c r="J689" s="2">
        <v>-9.1999999999999993</v>
      </c>
      <c r="K689" s="2">
        <f t="shared" ref="K689:K721" si="93">I689</f>
        <v>1.5</v>
      </c>
      <c r="L689" s="8">
        <f t="shared" ref="L689:L690" si="94">10^((K689-H689)/10)</f>
        <v>1.4125375446227532E-9</v>
      </c>
      <c r="M689" s="26"/>
      <c r="N689" s="17"/>
      <c r="O689" s="9">
        <f t="shared" ref="O689:O721" si="95">J689</f>
        <v>-9.1999999999999993</v>
      </c>
      <c r="P689" s="8">
        <f>D688/B688*10^(O689/10)</f>
        <v>1.5228682838487229</v>
      </c>
      <c r="Q689" s="26"/>
      <c r="R689" s="17"/>
      <c r="S689" s="19"/>
      <c r="T689" s="17"/>
      <c r="U689" s="22"/>
    </row>
    <row r="690" spans="1:21" x14ac:dyDescent="0.25">
      <c r="A690" s="24"/>
      <c r="B690" s="24"/>
      <c r="C690" s="17"/>
      <c r="D690" s="24"/>
      <c r="E690" s="24"/>
      <c r="F690" s="25"/>
      <c r="G690" s="1">
        <v>275</v>
      </c>
      <c r="H690" s="2">
        <v>92.2</v>
      </c>
      <c r="I690" s="2">
        <v>-0.90000000000000013</v>
      </c>
      <c r="J690" s="2">
        <v>-1.6</v>
      </c>
      <c r="K690" s="2">
        <f t="shared" si="93"/>
        <v>-0.90000000000000013</v>
      </c>
      <c r="L690" s="8">
        <f t="shared" si="94"/>
        <v>4.8977881936844456E-10</v>
      </c>
      <c r="M690" s="26"/>
      <c r="N690" s="17"/>
      <c r="O690" s="9">
        <f t="shared" si="95"/>
        <v>-1.6</v>
      </c>
      <c r="P690" s="8">
        <f>D688/B688*10^(O690/10)</f>
        <v>8.7631922983065298</v>
      </c>
      <c r="Q690" s="26"/>
      <c r="R690" s="17"/>
      <c r="S690" s="19"/>
      <c r="T690" s="17"/>
      <c r="U690" s="22"/>
    </row>
    <row r="691" spans="1:21" x14ac:dyDescent="0.25">
      <c r="A691" s="24"/>
      <c r="B691" s="24"/>
      <c r="C691" s="17"/>
      <c r="D691" s="24"/>
      <c r="E691" s="24"/>
      <c r="F691" s="25"/>
      <c r="G691" s="1">
        <v>325</v>
      </c>
      <c r="H691" s="2">
        <v>93.3</v>
      </c>
      <c r="I691" s="2">
        <v>-3</v>
      </c>
      <c r="J691" s="2">
        <v>-3.2</v>
      </c>
      <c r="K691" s="2">
        <f t="shared" si="93"/>
        <v>-3</v>
      </c>
      <c r="L691" s="8">
        <f>10^((K691-H691)/10)</f>
        <v>2.3442288153199212E-10</v>
      </c>
      <c r="M691" s="26"/>
      <c r="N691" s="17"/>
      <c r="O691" s="9">
        <f t="shared" si="95"/>
        <v>-3.2</v>
      </c>
      <c r="P691" s="8">
        <f>D688/B688*10^(O691/10)</f>
        <v>6.062647836086752</v>
      </c>
      <c r="Q691" s="26"/>
      <c r="R691" s="17"/>
      <c r="S691" s="20"/>
      <c r="T691" s="17"/>
      <c r="U691" s="23"/>
    </row>
    <row r="692" spans="1:21" x14ac:dyDescent="0.25">
      <c r="A692" s="24">
        <v>500</v>
      </c>
      <c r="B692" s="24">
        <v>3</v>
      </c>
      <c r="C692" s="17">
        <v>0.5</v>
      </c>
      <c r="D692" s="24">
        <v>59</v>
      </c>
      <c r="E692" s="24">
        <v>6</v>
      </c>
      <c r="F692" s="25">
        <v>84</v>
      </c>
      <c r="G692" s="1">
        <v>375</v>
      </c>
      <c r="H692" s="2">
        <v>91.9</v>
      </c>
      <c r="I692" s="2">
        <v>2.6</v>
      </c>
      <c r="J692" s="2">
        <v>0.8</v>
      </c>
      <c r="K692" s="2">
        <f t="shared" si="93"/>
        <v>2.6</v>
      </c>
      <c r="L692" s="8">
        <f t="shared" ref="L692:L693" si="96">10^((K692-H692)/10)</f>
        <v>1.1748975549395212E-9</v>
      </c>
      <c r="M692" s="26">
        <f>SUM(L692:L697)</f>
        <v>2.9451300112891386E-9</v>
      </c>
      <c r="N692" s="17">
        <f>10*LOG10(M692/E692)</f>
        <v>-93.090467791249822</v>
      </c>
      <c r="O692" s="9">
        <f t="shared" si="95"/>
        <v>0.8</v>
      </c>
      <c r="P692" s="8">
        <f>D692/B692*10^(O692/10)</f>
        <v>23.644533880809124</v>
      </c>
      <c r="Q692" s="26">
        <f>SUM(P692:P697)</f>
        <v>58.844241315492106</v>
      </c>
      <c r="R692" s="17">
        <f>10*LOG10(Q692)</f>
        <v>17.697039678204561</v>
      </c>
      <c r="S692" s="18">
        <f>F692+N692-Kzt-H</f>
        <v>-9.0904677912498215</v>
      </c>
      <c r="T692" s="17">
        <v>0.5</v>
      </c>
      <c r="U692" s="21">
        <f>T692*10^((S692-R692)/10)</f>
        <v>1.0476573335819318E-3</v>
      </c>
    </row>
    <row r="693" spans="1:21" x14ac:dyDescent="0.25">
      <c r="A693" s="24"/>
      <c r="B693" s="24"/>
      <c r="C693" s="17"/>
      <c r="D693" s="24"/>
      <c r="E693" s="24"/>
      <c r="F693" s="25"/>
      <c r="G693" s="1">
        <v>425</v>
      </c>
      <c r="H693" s="2">
        <v>88.1</v>
      </c>
      <c r="I693" s="2">
        <v>-6.3999999999999995</v>
      </c>
      <c r="J693" s="2">
        <v>-6.8</v>
      </c>
      <c r="K693" s="2">
        <f t="shared" si="93"/>
        <v>-6.3999999999999995</v>
      </c>
      <c r="L693" s="8">
        <f t="shared" si="96"/>
        <v>3.5481338923357471E-10</v>
      </c>
      <c r="M693" s="26"/>
      <c r="N693" s="17"/>
      <c r="O693" s="9">
        <f t="shared" si="95"/>
        <v>-6.8</v>
      </c>
      <c r="P693" s="8">
        <f>D692/B692*10^(O693/10)</f>
        <v>4.1089490573462788</v>
      </c>
      <c r="Q693" s="26"/>
      <c r="R693" s="17"/>
      <c r="S693" s="19"/>
      <c r="T693" s="17"/>
      <c r="U693" s="22"/>
    </row>
    <row r="694" spans="1:21" x14ac:dyDescent="0.25">
      <c r="A694" s="24"/>
      <c r="B694" s="24"/>
      <c r="C694" s="17"/>
      <c r="D694" s="24"/>
      <c r="E694" s="24"/>
      <c r="F694" s="25"/>
      <c r="G694" s="1">
        <v>475</v>
      </c>
      <c r="H694" s="2">
        <v>90</v>
      </c>
      <c r="I694" s="2">
        <v>-3.2</v>
      </c>
      <c r="J694" s="2">
        <v>-5.9</v>
      </c>
      <c r="K694" s="2">
        <f t="shared" si="93"/>
        <v>-3.2</v>
      </c>
      <c r="L694" s="8">
        <f>10^((K694-H694)/10)</f>
        <v>4.7863009232263674E-10</v>
      </c>
      <c r="M694" s="26"/>
      <c r="N694" s="17"/>
      <c r="O694" s="9">
        <f t="shared" si="95"/>
        <v>-5.9</v>
      </c>
      <c r="P694" s="8">
        <f>D692/B692*10^(O694/10)</f>
        <v>5.0551117061120969</v>
      </c>
      <c r="Q694" s="26"/>
      <c r="R694" s="17"/>
      <c r="S694" s="19"/>
      <c r="T694" s="17"/>
      <c r="U694" s="22"/>
    </row>
    <row r="695" spans="1:21" x14ac:dyDescent="0.25">
      <c r="A695" s="24"/>
      <c r="B695" s="24"/>
      <c r="C695" s="17"/>
      <c r="D695" s="24"/>
      <c r="E695" s="24"/>
      <c r="F695" s="25"/>
      <c r="G695" s="1">
        <v>575</v>
      </c>
      <c r="H695" s="2">
        <v>97</v>
      </c>
      <c r="I695" s="2">
        <v>3.5</v>
      </c>
      <c r="J695" s="2">
        <v>-2.2999999999999998</v>
      </c>
      <c r="K695" s="2">
        <f t="shared" si="93"/>
        <v>3.5</v>
      </c>
      <c r="L695" s="8">
        <f t="shared" ref="L695:L721" si="97">10^((K695-H695)/10)</f>
        <v>4.4668359215096336E-10</v>
      </c>
      <c r="M695" s="26"/>
      <c r="N695" s="17"/>
      <c r="O695" s="9">
        <f t="shared" si="95"/>
        <v>-2.2999999999999998</v>
      </c>
      <c r="P695" s="8">
        <f>D692/B692*10^(O695/10)</f>
        <v>11.580591888659916</v>
      </c>
      <c r="Q695" s="26"/>
      <c r="R695" s="17"/>
      <c r="S695" s="19"/>
      <c r="T695" s="17"/>
      <c r="U695" s="22"/>
    </row>
    <row r="696" spans="1:21" x14ac:dyDescent="0.25">
      <c r="A696" s="24"/>
      <c r="B696" s="24"/>
      <c r="C696" s="17"/>
      <c r="D696" s="24"/>
      <c r="E696" s="24"/>
      <c r="F696" s="25"/>
      <c r="G696" s="1">
        <v>625</v>
      </c>
      <c r="H696" s="2">
        <v>92</v>
      </c>
      <c r="I696" s="2">
        <v>-3.3</v>
      </c>
      <c r="J696" s="2">
        <v>-4.5</v>
      </c>
      <c r="K696" s="2">
        <f t="shared" si="93"/>
        <v>-3.3</v>
      </c>
      <c r="L696" s="8">
        <f t="shared" si="97"/>
        <v>2.9512092266663821E-10</v>
      </c>
      <c r="M696" s="26"/>
      <c r="N696" s="17"/>
      <c r="O696" s="9">
        <f t="shared" si="95"/>
        <v>-4.5</v>
      </c>
      <c r="P696" s="8">
        <f>D692/B692*10^(O696/10)</f>
        <v>6.9779966549269838</v>
      </c>
      <c r="Q696" s="26"/>
      <c r="R696" s="17"/>
      <c r="S696" s="19"/>
      <c r="T696" s="17"/>
      <c r="U696" s="22"/>
    </row>
    <row r="697" spans="1:21" x14ac:dyDescent="0.25">
      <c r="A697" s="24"/>
      <c r="B697" s="24"/>
      <c r="C697" s="17"/>
      <c r="D697" s="24"/>
      <c r="E697" s="24"/>
      <c r="F697" s="25"/>
      <c r="G697" s="1">
        <v>675</v>
      </c>
      <c r="H697" s="2">
        <v>94.5</v>
      </c>
      <c r="I697" s="2">
        <v>-2.6</v>
      </c>
      <c r="J697" s="2">
        <v>-4.2</v>
      </c>
      <c r="K697" s="2">
        <f t="shared" si="93"/>
        <v>-2.6</v>
      </c>
      <c r="L697" s="8">
        <f t="shared" si="97"/>
        <v>1.949844599758046E-10</v>
      </c>
      <c r="M697" s="26"/>
      <c r="N697" s="17"/>
      <c r="O697" s="9">
        <f t="shared" si="95"/>
        <v>-4.2</v>
      </c>
      <c r="P697" s="8">
        <f>D692/B692*10^(O697/10)</f>
        <v>7.4770581276377017</v>
      </c>
      <c r="Q697" s="26"/>
      <c r="R697" s="17"/>
      <c r="S697" s="20"/>
      <c r="T697" s="17"/>
      <c r="U697" s="23"/>
    </row>
    <row r="698" spans="1:21" x14ac:dyDescent="0.25">
      <c r="A698" s="24">
        <v>1000</v>
      </c>
      <c r="B698" s="24">
        <v>3</v>
      </c>
      <c r="C698" s="17">
        <v>0.5</v>
      </c>
      <c r="D698" s="24">
        <v>117</v>
      </c>
      <c r="E698" s="24">
        <v>6</v>
      </c>
      <c r="F698" s="25">
        <v>76</v>
      </c>
      <c r="G698" s="1">
        <v>875</v>
      </c>
      <c r="H698" s="2">
        <v>91.1</v>
      </c>
      <c r="I698" s="2">
        <v>0.7</v>
      </c>
      <c r="J698" s="2">
        <v>0.5</v>
      </c>
      <c r="K698" s="2">
        <f t="shared" si="93"/>
        <v>0.7</v>
      </c>
      <c r="L698" s="8">
        <f t="shared" si="97"/>
        <v>9.1201083935591081E-10</v>
      </c>
      <c r="M698" s="26">
        <f>SUM(L698:L703)</f>
        <v>3.7957049295243276E-9</v>
      </c>
      <c r="N698" s="17">
        <f>10*LOG10(M698/E698)</f>
        <v>-91.988588064967217</v>
      </c>
      <c r="O698" s="9">
        <f t="shared" si="95"/>
        <v>0.5</v>
      </c>
      <c r="P698" s="8">
        <f>D698/B698*10^(O698/10)</f>
        <v>43.758719717776579</v>
      </c>
      <c r="Q698" s="26">
        <f>SUM(P698:P703)</f>
        <v>338.54988535473024</v>
      </c>
      <c r="R698" s="17">
        <f>10*LOG10(Q698)</f>
        <v>25.296226710656057</v>
      </c>
      <c r="S698" s="18">
        <f>F698+N698-Kzt-H</f>
        <v>-15.988588064967217</v>
      </c>
      <c r="T698" s="17">
        <v>0.8</v>
      </c>
      <c r="U698" s="21">
        <f>T698*10^((S698-R698)/10)</f>
        <v>5.9512543158027136E-5</v>
      </c>
    </row>
    <row r="699" spans="1:21" x14ac:dyDescent="0.25">
      <c r="A699" s="24"/>
      <c r="B699" s="24"/>
      <c r="C699" s="17"/>
      <c r="D699" s="24"/>
      <c r="E699" s="24"/>
      <c r="F699" s="25"/>
      <c r="G699" s="1">
        <v>975</v>
      </c>
      <c r="H699" s="2">
        <v>96.5</v>
      </c>
      <c r="I699" s="2">
        <v>0</v>
      </c>
      <c r="J699" s="2">
        <v>-1.6</v>
      </c>
      <c r="K699" s="2">
        <f t="shared" si="93"/>
        <v>0</v>
      </c>
      <c r="L699" s="8">
        <f t="shared" si="97"/>
        <v>2.238721138568331E-10</v>
      </c>
      <c r="M699" s="26"/>
      <c r="N699" s="17"/>
      <c r="O699" s="9">
        <f t="shared" si="95"/>
        <v>-1.6</v>
      </c>
      <c r="P699" s="8">
        <f>D698/B698*10^(O699/10)</f>
        <v>26.981407865838523</v>
      </c>
      <c r="Q699" s="26"/>
      <c r="R699" s="17"/>
      <c r="S699" s="19"/>
      <c r="T699" s="17"/>
      <c r="U699" s="22"/>
    </row>
    <row r="700" spans="1:21" x14ac:dyDescent="0.25">
      <c r="A700" s="24"/>
      <c r="B700" s="24"/>
      <c r="C700" s="17"/>
      <c r="D700" s="24"/>
      <c r="E700" s="24"/>
      <c r="F700" s="25"/>
      <c r="G700" s="1">
        <v>1075</v>
      </c>
      <c r="H700" s="2">
        <v>94.6</v>
      </c>
      <c r="I700" s="2">
        <v>5.4</v>
      </c>
      <c r="J700" s="2">
        <v>-7.5</v>
      </c>
      <c r="K700" s="2">
        <f t="shared" si="93"/>
        <v>5.4</v>
      </c>
      <c r="L700" s="8">
        <f t="shared" si="97"/>
        <v>1.2022644346174171E-9</v>
      </c>
      <c r="M700" s="26"/>
      <c r="N700" s="17"/>
      <c r="O700" s="9">
        <f t="shared" si="95"/>
        <v>-7.5</v>
      </c>
      <c r="P700" s="8">
        <f>D698/B698*10^(O700/10)</f>
        <v>6.9352896991517969</v>
      </c>
      <c r="Q700" s="26"/>
      <c r="R700" s="17"/>
      <c r="S700" s="19"/>
      <c r="T700" s="17"/>
      <c r="U700" s="22"/>
    </row>
    <row r="701" spans="1:21" x14ac:dyDescent="0.25">
      <c r="A701" s="24"/>
      <c r="B701" s="24"/>
      <c r="C701" s="17"/>
      <c r="D701" s="24"/>
      <c r="E701" s="24"/>
      <c r="F701" s="25"/>
      <c r="G701" s="1">
        <v>1175</v>
      </c>
      <c r="H701" s="2">
        <v>97.8</v>
      </c>
      <c r="I701" s="2">
        <v>-2.2999999999999998</v>
      </c>
      <c r="J701" s="2">
        <v>-3.6</v>
      </c>
      <c r="K701" s="2">
        <f t="shared" si="93"/>
        <v>-2.2999999999999998</v>
      </c>
      <c r="L701" s="8">
        <f t="shared" si="97"/>
        <v>9.7723722095581033E-11</v>
      </c>
      <c r="M701" s="26"/>
      <c r="N701" s="17"/>
      <c r="O701" s="9">
        <f t="shared" si="95"/>
        <v>-3.6</v>
      </c>
      <c r="P701" s="8">
        <f>D698/B698*10^(O701/10)</f>
        <v>17.024117457366472</v>
      </c>
      <c r="Q701" s="26"/>
      <c r="R701" s="17"/>
      <c r="S701" s="19"/>
      <c r="T701" s="17"/>
      <c r="U701" s="22"/>
    </row>
    <row r="702" spans="1:21" x14ac:dyDescent="0.25">
      <c r="A702" s="24"/>
      <c r="B702" s="24"/>
      <c r="C702" s="17"/>
      <c r="D702" s="24"/>
      <c r="E702" s="24"/>
      <c r="F702" s="25"/>
      <c r="G702" s="1">
        <v>1275</v>
      </c>
      <c r="H702" s="2">
        <v>100.1</v>
      </c>
      <c r="I702" s="2">
        <v>6.4</v>
      </c>
      <c r="J702" s="2">
        <v>4.9000000000000004</v>
      </c>
      <c r="K702" s="2">
        <f t="shared" si="93"/>
        <v>6.4</v>
      </c>
      <c r="L702" s="8">
        <f t="shared" si="97"/>
        <v>4.2657951880159295E-10</v>
      </c>
      <c r="M702" s="26"/>
      <c r="N702" s="17"/>
      <c r="O702" s="9">
        <f t="shared" si="95"/>
        <v>4.9000000000000004</v>
      </c>
      <c r="P702" s="8">
        <f>D698/B698*10^(O702/10)</f>
        <v>120.52152186803005</v>
      </c>
      <c r="Q702" s="26"/>
      <c r="R702" s="17"/>
      <c r="S702" s="19"/>
      <c r="T702" s="17"/>
      <c r="U702" s="22"/>
    </row>
    <row r="703" spans="1:21" x14ac:dyDescent="0.25">
      <c r="A703" s="24"/>
      <c r="B703" s="24"/>
      <c r="C703" s="17"/>
      <c r="D703" s="24"/>
      <c r="E703" s="24"/>
      <c r="F703" s="25"/>
      <c r="G703" s="1">
        <v>1375</v>
      </c>
      <c r="H703" s="2">
        <v>103</v>
      </c>
      <c r="I703" s="2">
        <v>12.7</v>
      </c>
      <c r="J703" s="2">
        <v>5</v>
      </c>
      <c r="K703" s="2">
        <f t="shared" si="93"/>
        <v>12.7</v>
      </c>
      <c r="L703" s="8">
        <f t="shared" si="97"/>
        <v>9.3325430079699202E-10</v>
      </c>
      <c r="M703" s="26"/>
      <c r="N703" s="17"/>
      <c r="O703" s="9">
        <f t="shared" si="95"/>
        <v>5</v>
      </c>
      <c r="P703" s="8">
        <f>D698/B698*10^(O703/10)</f>
        <v>123.3288287465668</v>
      </c>
      <c r="Q703" s="26"/>
      <c r="R703" s="17"/>
      <c r="S703" s="20"/>
      <c r="T703" s="17"/>
      <c r="U703" s="23"/>
    </row>
    <row r="704" spans="1:21" x14ac:dyDescent="0.25">
      <c r="A704" s="24">
        <v>2000</v>
      </c>
      <c r="B704" s="24">
        <v>3</v>
      </c>
      <c r="C704" s="17">
        <v>0.5</v>
      </c>
      <c r="D704" s="24">
        <v>234</v>
      </c>
      <c r="E704" s="24">
        <v>6</v>
      </c>
      <c r="F704" s="25">
        <v>68</v>
      </c>
      <c r="G704" s="1">
        <v>1425</v>
      </c>
      <c r="H704" s="2">
        <v>102.8</v>
      </c>
      <c r="I704" s="2">
        <v>-2.6999999999999997</v>
      </c>
      <c r="J704" s="2">
        <v>-4.3</v>
      </c>
      <c r="K704" s="2">
        <f t="shared" si="93"/>
        <v>-2.6999999999999997</v>
      </c>
      <c r="L704" s="8">
        <f t="shared" si="97"/>
        <v>2.8183829312644474E-11</v>
      </c>
      <c r="M704" s="26">
        <f>SUM(L704:L709)</f>
        <v>2.4805405873911366E-9</v>
      </c>
      <c r="N704" s="17">
        <f>10*LOG10(M704/E704)</f>
        <v>-93.836049128893677</v>
      </c>
      <c r="O704" s="9">
        <f t="shared" si="95"/>
        <v>-4.3</v>
      </c>
      <c r="P704" s="8">
        <f>D704/B704*10^(O704/10)</f>
        <v>28.979747869579455</v>
      </c>
      <c r="Q704" s="26">
        <f>SUM(P704:P709)</f>
        <v>998.83985022874583</v>
      </c>
      <c r="R704" s="17">
        <f>10*LOG10(Q704)</f>
        <v>29.994958608611313</v>
      </c>
      <c r="S704" s="18">
        <f>F704+N704-Kzt-H</f>
        <v>-25.836049128893677</v>
      </c>
      <c r="T704" s="17">
        <v>1</v>
      </c>
      <c r="U704" s="21">
        <f>T704*10^((S704-R704)/10)</f>
        <v>2.6115552984415218E-6</v>
      </c>
    </row>
    <row r="705" spans="1:21" x14ac:dyDescent="0.25">
      <c r="A705" s="24"/>
      <c r="B705" s="24"/>
      <c r="C705" s="17"/>
      <c r="D705" s="24"/>
      <c r="E705" s="24"/>
      <c r="F705" s="25"/>
      <c r="G705" s="1">
        <v>1625</v>
      </c>
      <c r="H705" s="2">
        <v>104.1</v>
      </c>
      <c r="I705" s="2">
        <v>16.399999999999999</v>
      </c>
      <c r="J705" s="2">
        <v>6.8</v>
      </c>
      <c r="K705" s="2">
        <f t="shared" si="93"/>
        <v>16.399999999999999</v>
      </c>
      <c r="L705" s="8">
        <f t="shared" si="97"/>
        <v>1.6982436524617417E-9</v>
      </c>
      <c r="M705" s="26"/>
      <c r="N705" s="17"/>
      <c r="O705" s="9">
        <f t="shared" si="95"/>
        <v>6.8</v>
      </c>
      <c r="P705" s="8">
        <f>D704/B704*10^(O705/10)</f>
        <v>373.33147201165787</v>
      </c>
      <c r="Q705" s="26"/>
      <c r="R705" s="17"/>
      <c r="S705" s="19"/>
      <c r="T705" s="17"/>
      <c r="U705" s="22"/>
    </row>
    <row r="706" spans="1:21" x14ac:dyDescent="0.25">
      <c r="A706" s="24"/>
      <c r="B706" s="24"/>
      <c r="C706" s="17"/>
      <c r="D706" s="24"/>
      <c r="E706" s="24"/>
      <c r="F706" s="25"/>
      <c r="G706" s="1">
        <v>1825</v>
      </c>
      <c r="H706" s="2">
        <v>107.6</v>
      </c>
      <c r="I706" s="2">
        <v>-0.8</v>
      </c>
      <c r="J706" s="2">
        <v>-5.8</v>
      </c>
      <c r="K706" s="2">
        <f t="shared" si="93"/>
        <v>-0.8</v>
      </c>
      <c r="L706" s="8">
        <f t="shared" si="97"/>
        <v>1.4454397707459232E-11</v>
      </c>
      <c r="M706" s="26"/>
      <c r="N706" s="17"/>
      <c r="O706" s="9">
        <f t="shared" si="95"/>
        <v>-5.8</v>
      </c>
      <c r="P706" s="8">
        <f>D704/B704*10^(O706/10)</f>
        <v>20.516090336783979</v>
      </c>
      <c r="Q706" s="26"/>
      <c r="R706" s="17"/>
      <c r="S706" s="19"/>
      <c r="T706" s="17"/>
      <c r="U706" s="22"/>
    </row>
    <row r="707" spans="1:21" x14ac:dyDescent="0.25">
      <c r="A707" s="24"/>
      <c r="B707" s="24"/>
      <c r="C707" s="17"/>
      <c r="D707" s="24"/>
      <c r="E707" s="24"/>
      <c r="F707" s="25"/>
      <c r="G707" s="1">
        <v>2125</v>
      </c>
      <c r="H707" s="2">
        <v>104.2</v>
      </c>
      <c r="I707" s="2">
        <v>8.1</v>
      </c>
      <c r="J707" s="2">
        <v>8</v>
      </c>
      <c r="K707" s="2">
        <f t="shared" si="93"/>
        <v>8.1</v>
      </c>
      <c r="L707" s="8">
        <f t="shared" si="97"/>
        <v>2.4547089156850201E-10</v>
      </c>
      <c r="M707" s="26"/>
      <c r="N707" s="17"/>
      <c r="O707" s="9">
        <f t="shared" si="95"/>
        <v>8</v>
      </c>
      <c r="P707" s="8">
        <f>D704/B704*10^(O707/10)</f>
        <v>492.14672869455086</v>
      </c>
      <c r="Q707" s="26"/>
      <c r="R707" s="17"/>
      <c r="S707" s="19"/>
      <c r="T707" s="17"/>
      <c r="U707" s="22"/>
    </row>
    <row r="708" spans="1:21" x14ac:dyDescent="0.25">
      <c r="A708" s="24"/>
      <c r="B708" s="24"/>
      <c r="C708" s="17"/>
      <c r="D708" s="24"/>
      <c r="E708" s="24"/>
      <c r="F708" s="25"/>
      <c r="G708" s="1">
        <v>2425</v>
      </c>
      <c r="H708" s="2">
        <v>93.7</v>
      </c>
      <c r="I708" s="2">
        <v>0</v>
      </c>
      <c r="J708" s="2">
        <v>-2.9</v>
      </c>
      <c r="K708" s="2">
        <f t="shared" si="93"/>
        <v>0</v>
      </c>
      <c r="L708" s="8">
        <f t="shared" si="97"/>
        <v>4.2657951880159145E-10</v>
      </c>
      <c r="M708" s="26"/>
      <c r="N708" s="17"/>
      <c r="O708" s="9">
        <f t="shared" si="95"/>
        <v>-2.9</v>
      </c>
      <c r="P708" s="8">
        <f>D704/B704*10^(O708/10)</f>
        <v>40.00318795132646</v>
      </c>
      <c r="Q708" s="26"/>
      <c r="R708" s="17"/>
      <c r="S708" s="19"/>
      <c r="T708" s="17"/>
      <c r="U708" s="22"/>
    </row>
    <row r="709" spans="1:21" x14ac:dyDescent="0.25">
      <c r="A709" s="24"/>
      <c r="B709" s="24"/>
      <c r="C709" s="17"/>
      <c r="D709" s="24"/>
      <c r="E709" s="24"/>
      <c r="F709" s="25"/>
      <c r="G709" s="1">
        <v>2775</v>
      </c>
      <c r="H709" s="2">
        <v>100.2</v>
      </c>
      <c r="I709" s="2">
        <v>-1.5</v>
      </c>
      <c r="J709" s="2">
        <v>-2.5</v>
      </c>
      <c r="K709" s="2">
        <f t="shared" si="93"/>
        <v>-1.5</v>
      </c>
      <c r="L709" s="8">
        <f t="shared" si="97"/>
        <v>6.7608297539198024E-11</v>
      </c>
      <c r="M709" s="26"/>
      <c r="N709" s="17"/>
      <c r="O709" s="9">
        <f t="shared" si="95"/>
        <v>-2.5</v>
      </c>
      <c r="P709" s="8">
        <f>D704/B704*10^(O709/10)</f>
        <v>43.862623364847231</v>
      </c>
      <c r="Q709" s="26"/>
      <c r="R709" s="17"/>
      <c r="S709" s="20"/>
      <c r="T709" s="17"/>
      <c r="U709" s="23"/>
    </row>
    <row r="710" spans="1:21" x14ac:dyDescent="0.25">
      <c r="A710" s="24">
        <v>4000</v>
      </c>
      <c r="B710" s="24">
        <v>3</v>
      </c>
      <c r="C710" s="17">
        <v>0.5</v>
      </c>
      <c r="D710" s="24">
        <v>470</v>
      </c>
      <c r="E710" s="24">
        <v>6</v>
      </c>
      <c r="F710" s="25">
        <v>62</v>
      </c>
      <c r="G710" s="1">
        <v>2825</v>
      </c>
      <c r="H710" s="2">
        <v>99.4</v>
      </c>
      <c r="I710" s="2">
        <v>4.9000000000000004</v>
      </c>
      <c r="J710" s="2">
        <v>-4.2</v>
      </c>
      <c r="K710" s="2">
        <f t="shared" si="93"/>
        <v>4.9000000000000004</v>
      </c>
      <c r="L710" s="8">
        <f t="shared" si="97"/>
        <v>3.5481338923357471E-10</v>
      </c>
      <c r="M710" s="26">
        <f>SUM(L710:L715)</f>
        <v>1.3226326252995033E-9</v>
      </c>
      <c r="N710" s="17">
        <f>10*LOG10(M710/E710)</f>
        <v>-96.567120191676622</v>
      </c>
      <c r="O710" s="9">
        <f t="shared" si="95"/>
        <v>-4.2</v>
      </c>
      <c r="P710" s="8">
        <f>D710/B710*10^(O710/10)</f>
        <v>59.563005423554564</v>
      </c>
      <c r="Q710" s="26">
        <f>SUM(P710:P715)</f>
        <v>707.35736890266526</v>
      </c>
      <c r="R710" s="17">
        <f>10*LOG10(Q710)</f>
        <v>28.496388821563773</v>
      </c>
      <c r="S710" s="18">
        <f>F710+N710-Kzt-H</f>
        <v>-34.567120191676622</v>
      </c>
      <c r="T710" s="17">
        <v>0.9</v>
      </c>
      <c r="U710" s="21">
        <f>T710*10^((S710-R710)/10)</f>
        <v>4.4452030956065288E-7</v>
      </c>
    </row>
    <row r="711" spans="1:21" x14ac:dyDescent="0.25">
      <c r="A711" s="24"/>
      <c r="B711" s="24"/>
      <c r="C711" s="17"/>
      <c r="D711" s="24"/>
      <c r="E711" s="24"/>
      <c r="F711" s="25"/>
      <c r="G711" s="1">
        <v>3425</v>
      </c>
      <c r="H711" s="2">
        <v>103.5</v>
      </c>
      <c r="I711" s="2">
        <v>-0.8</v>
      </c>
      <c r="J711" s="2">
        <v>-3.4</v>
      </c>
      <c r="K711" s="2">
        <f t="shared" si="93"/>
        <v>-0.8</v>
      </c>
      <c r="L711" s="8">
        <f t="shared" si="97"/>
        <v>3.7153522909717256E-11</v>
      </c>
      <c r="M711" s="26"/>
      <c r="N711" s="17"/>
      <c r="O711" s="9">
        <f t="shared" si="95"/>
        <v>-3.4</v>
      </c>
      <c r="P711" s="8">
        <f>D710/B710*10^(O711/10)</f>
        <v>71.610483039663748</v>
      </c>
      <c r="Q711" s="26"/>
      <c r="R711" s="17"/>
      <c r="S711" s="19"/>
      <c r="T711" s="17"/>
      <c r="U711" s="22"/>
    </row>
    <row r="712" spans="1:21" x14ac:dyDescent="0.25">
      <c r="A712" s="24"/>
      <c r="B712" s="24"/>
      <c r="C712" s="17"/>
      <c r="D712" s="24"/>
      <c r="E712" s="24"/>
      <c r="F712" s="25"/>
      <c r="G712" s="1">
        <v>4025</v>
      </c>
      <c r="H712" s="2">
        <v>103.6</v>
      </c>
      <c r="I712" s="2">
        <v>1.7999999999999998</v>
      </c>
      <c r="J712" s="2">
        <v>1.2</v>
      </c>
      <c r="K712" s="2">
        <f t="shared" si="93"/>
        <v>1.7999999999999998</v>
      </c>
      <c r="L712" s="8">
        <f t="shared" si="97"/>
        <v>6.606934480075945E-11</v>
      </c>
      <c r="M712" s="26"/>
      <c r="N712" s="17"/>
      <c r="O712" s="9">
        <f t="shared" si="95"/>
        <v>1.2</v>
      </c>
      <c r="P712" s="8">
        <f>D710/B710*10^(O712/10)</f>
        <v>206.52688904050379</v>
      </c>
      <c r="Q712" s="26"/>
      <c r="R712" s="17"/>
      <c r="S712" s="19"/>
      <c r="T712" s="17"/>
      <c r="U712" s="22"/>
    </row>
    <row r="713" spans="1:21" x14ac:dyDescent="0.25">
      <c r="A713" s="24"/>
      <c r="B713" s="24"/>
      <c r="C713" s="17"/>
      <c r="D713" s="24"/>
      <c r="E713" s="24"/>
      <c r="F713" s="25"/>
      <c r="G713" s="1">
        <v>4625</v>
      </c>
      <c r="H713" s="2">
        <v>105.6</v>
      </c>
      <c r="I713" s="2">
        <v>13.1</v>
      </c>
      <c r="J713" s="2">
        <v>1.5</v>
      </c>
      <c r="K713" s="2">
        <f t="shared" si="93"/>
        <v>13.1</v>
      </c>
      <c r="L713" s="8">
        <f t="shared" si="97"/>
        <v>5.6234132519034889E-10</v>
      </c>
      <c r="M713" s="26"/>
      <c r="N713" s="17"/>
      <c r="O713" s="9">
        <f t="shared" si="95"/>
        <v>1.5</v>
      </c>
      <c r="P713" s="8">
        <f>D710/B710*10^(O713/10)</f>
        <v>221.29754865756485</v>
      </c>
      <c r="Q713" s="26"/>
      <c r="R713" s="17"/>
      <c r="S713" s="19"/>
      <c r="T713" s="17"/>
      <c r="U713" s="22"/>
    </row>
    <row r="714" spans="1:21" x14ac:dyDescent="0.25">
      <c r="A714" s="24"/>
      <c r="B714" s="24"/>
      <c r="C714" s="17"/>
      <c r="D714" s="24"/>
      <c r="E714" s="24"/>
      <c r="F714" s="25"/>
      <c r="G714" s="1">
        <v>5225</v>
      </c>
      <c r="H714" s="2">
        <v>103.5</v>
      </c>
      <c r="I714" s="2">
        <v>3.2</v>
      </c>
      <c r="J714" s="2">
        <v>-4.3</v>
      </c>
      <c r="K714" s="2">
        <f t="shared" si="93"/>
        <v>3.2</v>
      </c>
      <c r="L714" s="8">
        <f t="shared" si="97"/>
        <v>9.3325430079699086E-11</v>
      </c>
      <c r="M714" s="26"/>
      <c r="N714" s="17"/>
      <c r="O714" s="9">
        <f t="shared" si="95"/>
        <v>-4.3</v>
      </c>
      <c r="P714" s="8">
        <f>D710/B710*10^(O714/10)</f>
        <v>58.207185891890354</v>
      </c>
      <c r="Q714" s="26"/>
      <c r="R714" s="17"/>
      <c r="S714" s="19"/>
      <c r="T714" s="17"/>
      <c r="U714" s="22"/>
    </row>
    <row r="715" spans="1:21" x14ac:dyDescent="0.25">
      <c r="A715" s="24"/>
      <c r="B715" s="24"/>
      <c r="C715" s="17"/>
      <c r="D715" s="24"/>
      <c r="E715" s="24"/>
      <c r="F715" s="25"/>
      <c r="G715" s="1">
        <v>5625</v>
      </c>
      <c r="H715" s="2">
        <v>99.5</v>
      </c>
      <c r="I715" s="2">
        <v>2.7</v>
      </c>
      <c r="J715" s="2">
        <v>-2.4</v>
      </c>
      <c r="K715" s="2">
        <f t="shared" si="93"/>
        <v>2.7</v>
      </c>
      <c r="L715" s="8">
        <f t="shared" si="97"/>
        <v>2.0892961308540397E-10</v>
      </c>
      <c r="M715" s="26"/>
      <c r="N715" s="17"/>
      <c r="O715" s="9">
        <f t="shared" si="95"/>
        <v>-2.4</v>
      </c>
      <c r="P715" s="8">
        <f>D710/B710*10^(O715/10)</f>
        <v>90.152256849487912</v>
      </c>
      <c r="Q715" s="26"/>
      <c r="R715" s="17"/>
      <c r="S715" s="20"/>
      <c r="T715" s="17"/>
      <c r="U715" s="23"/>
    </row>
    <row r="716" spans="1:21" x14ac:dyDescent="0.25">
      <c r="A716" s="24">
        <v>8000</v>
      </c>
      <c r="B716" s="24">
        <v>3</v>
      </c>
      <c r="C716" s="17">
        <v>0.5</v>
      </c>
      <c r="D716" s="24">
        <v>943</v>
      </c>
      <c r="E716" s="24">
        <v>6</v>
      </c>
      <c r="F716" s="25">
        <v>54</v>
      </c>
      <c r="G716" s="1">
        <v>6025</v>
      </c>
      <c r="H716" s="2">
        <v>95</v>
      </c>
      <c r="I716" s="2">
        <v>10</v>
      </c>
      <c r="J716" s="2">
        <v>-0.3</v>
      </c>
      <c r="K716" s="2">
        <f t="shared" si="93"/>
        <v>10</v>
      </c>
      <c r="L716" s="8">
        <f t="shared" si="97"/>
        <v>3.1622776601683779E-9</v>
      </c>
      <c r="M716" s="26">
        <f>SUM(L716:L721)</f>
        <v>4.9065529033249552E-7</v>
      </c>
      <c r="N716" s="17">
        <f>10*LOG10(M716/E716)</f>
        <v>-70.873747645374877</v>
      </c>
      <c r="O716" s="9">
        <f t="shared" si="95"/>
        <v>-0.3</v>
      </c>
      <c r="P716" s="8">
        <f>D716/B716*10^(O716/10)</f>
        <v>293.35293521718751</v>
      </c>
      <c r="Q716" s="26">
        <f>SUM(P716:P721)</f>
        <v>45328.994022572602</v>
      </c>
      <c r="R716" s="17">
        <f>10*LOG10(Q716)</f>
        <v>46.56376080953823</v>
      </c>
      <c r="S716" s="18">
        <f>F716+N716-Kzt-H</f>
        <v>-16.873747645374877</v>
      </c>
      <c r="T716" s="17">
        <v>0.7</v>
      </c>
      <c r="U716" s="21">
        <f>T716*10^((S716-R716)/10)</f>
        <v>3.1721023708158963E-7</v>
      </c>
    </row>
    <row r="717" spans="1:21" x14ac:dyDescent="0.25">
      <c r="A717" s="24"/>
      <c r="B717" s="24"/>
      <c r="C717" s="17"/>
      <c r="D717" s="24"/>
      <c r="E717" s="24"/>
      <c r="F717" s="25"/>
      <c r="G717" s="1">
        <v>7025</v>
      </c>
      <c r="H717" s="2">
        <v>94.8</v>
      </c>
      <c r="I717" s="2">
        <v>5.5</v>
      </c>
      <c r="J717" s="2">
        <v>5</v>
      </c>
      <c r="K717" s="2">
        <f t="shared" si="93"/>
        <v>5.5</v>
      </c>
      <c r="L717" s="8">
        <f t="shared" si="97"/>
        <v>1.1748975549395295E-9</v>
      </c>
      <c r="M717" s="26"/>
      <c r="N717" s="17"/>
      <c r="O717" s="9">
        <f t="shared" si="95"/>
        <v>5</v>
      </c>
      <c r="P717" s="8">
        <f>D716/B716*10^(O717/10)</f>
        <v>994.0092778462606</v>
      </c>
      <c r="Q717" s="26"/>
      <c r="R717" s="17"/>
      <c r="S717" s="19"/>
      <c r="T717" s="17"/>
      <c r="U717" s="22"/>
    </row>
    <row r="718" spans="1:21" x14ac:dyDescent="0.25">
      <c r="A718" s="24"/>
      <c r="B718" s="24"/>
      <c r="C718" s="17"/>
      <c r="D718" s="24"/>
      <c r="E718" s="24"/>
      <c r="F718" s="25"/>
      <c r="G718" s="1">
        <v>8025</v>
      </c>
      <c r="H718" s="2">
        <v>101.9</v>
      </c>
      <c r="I718" s="2">
        <v>11.799999999999999</v>
      </c>
      <c r="J718" s="2">
        <v>10.7</v>
      </c>
      <c r="K718" s="2">
        <f t="shared" si="93"/>
        <v>11.799999999999999</v>
      </c>
      <c r="L718" s="8">
        <f t="shared" si="97"/>
        <v>9.7723722095580456E-10</v>
      </c>
      <c r="M718" s="26"/>
      <c r="N718" s="17"/>
      <c r="O718" s="9">
        <f t="shared" si="95"/>
        <v>10.7</v>
      </c>
      <c r="P718" s="8">
        <f>D716/B716*10^(O718/10)</f>
        <v>3693.094647693254</v>
      </c>
      <c r="Q718" s="26"/>
      <c r="R718" s="17"/>
      <c r="S718" s="19"/>
      <c r="T718" s="17"/>
      <c r="U718" s="22"/>
    </row>
    <row r="719" spans="1:21" x14ac:dyDescent="0.25">
      <c r="A719" s="24"/>
      <c r="B719" s="24"/>
      <c r="C719" s="17"/>
      <c r="D719" s="24"/>
      <c r="E719" s="24"/>
      <c r="F719" s="25"/>
      <c r="G719" s="1">
        <v>9025</v>
      </c>
      <c r="H719" s="2">
        <v>93.2</v>
      </c>
      <c r="I719" s="2">
        <v>14.6</v>
      </c>
      <c r="J719" s="2">
        <v>14.5</v>
      </c>
      <c r="K719" s="2">
        <f t="shared" si="93"/>
        <v>14.6</v>
      </c>
      <c r="L719" s="8">
        <f t="shared" si="97"/>
        <v>1.3803842646028805E-8</v>
      </c>
      <c r="M719" s="26"/>
      <c r="N719" s="17"/>
      <c r="O719" s="9">
        <f t="shared" si="95"/>
        <v>14.5</v>
      </c>
      <c r="P719" s="8">
        <f>D716/B716*10^(O719/10)</f>
        <v>8859.1170139412698</v>
      </c>
      <c r="Q719" s="26"/>
      <c r="R719" s="17"/>
      <c r="S719" s="19"/>
      <c r="T719" s="17"/>
      <c r="U719" s="22"/>
    </row>
    <row r="720" spans="1:21" x14ac:dyDescent="0.25">
      <c r="A720" s="24"/>
      <c r="B720" s="24"/>
      <c r="C720" s="17"/>
      <c r="D720" s="24"/>
      <c r="E720" s="24"/>
      <c r="F720" s="25"/>
      <c r="G720" s="1">
        <v>10025</v>
      </c>
      <c r="H720" s="2">
        <v>88.3</v>
      </c>
      <c r="I720" s="2">
        <v>4.0999999999999996</v>
      </c>
      <c r="J720" s="2">
        <v>3.9</v>
      </c>
      <c r="K720" s="2">
        <f t="shared" si="93"/>
        <v>4.0999999999999996</v>
      </c>
      <c r="L720" s="8">
        <f t="shared" si="97"/>
        <v>3.8018939632056068E-9</v>
      </c>
      <c r="M720" s="26"/>
      <c r="N720" s="17"/>
      <c r="O720" s="9">
        <f t="shared" si="95"/>
        <v>3.9</v>
      </c>
      <c r="P720" s="8">
        <f>D716/B716*10^(O720/10)</f>
        <v>771.5968358303279</v>
      </c>
      <c r="Q720" s="26"/>
      <c r="R720" s="17"/>
      <c r="S720" s="19"/>
      <c r="T720" s="17"/>
      <c r="U720" s="22"/>
    </row>
    <row r="721" spans="1:21" x14ac:dyDescent="0.25">
      <c r="A721" s="24"/>
      <c r="B721" s="24"/>
      <c r="C721" s="17"/>
      <c r="D721" s="24"/>
      <c r="E721" s="24"/>
      <c r="F721" s="25"/>
      <c r="G721" s="1">
        <v>11025</v>
      </c>
      <c r="H721" s="2">
        <v>86</v>
      </c>
      <c r="I721" s="2">
        <v>22.7</v>
      </c>
      <c r="J721" s="2">
        <v>19.899999999999999</v>
      </c>
      <c r="K721" s="2">
        <f t="shared" si="93"/>
        <v>22.7</v>
      </c>
      <c r="L721" s="8">
        <f t="shared" si="97"/>
        <v>4.6773514128719735E-7</v>
      </c>
      <c r="M721" s="26"/>
      <c r="N721" s="17"/>
      <c r="O721" s="9">
        <f t="shared" si="95"/>
        <v>19.899999999999999</v>
      </c>
      <c r="P721" s="8">
        <f>D716/B716*10^(O721/10)</f>
        <v>30717.823312044304</v>
      </c>
      <c r="Q721" s="26"/>
      <c r="R721" s="17"/>
      <c r="S721" s="20"/>
      <c r="T721" s="17"/>
      <c r="U721" s="23"/>
    </row>
    <row r="722" spans="1:21" x14ac:dyDescent="0.25">
      <c r="A722" s="24" t="s">
        <v>20</v>
      </c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12">
        <f>U722</f>
        <v>7.6125701365648155E-2</v>
      </c>
      <c r="T722" s="2"/>
      <c r="U722" s="8">
        <f>0.8*SQRT(SUM(U688:U721))</f>
        <v>7.6125701365648155E-2</v>
      </c>
    </row>
  </sheetData>
  <mergeCells count="1600">
    <mergeCell ref="R212:R217"/>
    <mergeCell ref="S212:S217"/>
    <mergeCell ref="T212:T217"/>
    <mergeCell ref="U212:U217"/>
    <mergeCell ref="A218:R218"/>
    <mergeCell ref="A212:A217"/>
    <mergeCell ref="B212:B217"/>
    <mergeCell ref="C212:C217"/>
    <mergeCell ref="D212:D217"/>
    <mergeCell ref="E212:E217"/>
    <mergeCell ref="F212:F217"/>
    <mergeCell ref="M212:M217"/>
    <mergeCell ref="N212:N217"/>
    <mergeCell ref="Q212:Q217"/>
    <mergeCell ref="A206:A211"/>
    <mergeCell ref="B206:B211"/>
    <mergeCell ref="C206:C211"/>
    <mergeCell ref="D206:D211"/>
    <mergeCell ref="E206:E211"/>
    <mergeCell ref="F206:F211"/>
    <mergeCell ref="M206:M211"/>
    <mergeCell ref="N206:N211"/>
    <mergeCell ref="Q206:Q211"/>
    <mergeCell ref="R206:R211"/>
    <mergeCell ref="S206:S211"/>
    <mergeCell ref="T206:T211"/>
    <mergeCell ref="U206:U211"/>
    <mergeCell ref="E200:E205"/>
    <mergeCell ref="F200:F205"/>
    <mergeCell ref="M200:M205"/>
    <mergeCell ref="N200:N205"/>
    <mergeCell ref="Q200:Q205"/>
    <mergeCell ref="R188:R193"/>
    <mergeCell ref="S188:S193"/>
    <mergeCell ref="T188:T193"/>
    <mergeCell ref="U188:U193"/>
    <mergeCell ref="A194:A199"/>
    <mergeCell ref="B194:B199"/>
    <mergeCell ref="C194:C199"/>
    <mergeCell ref="D194:D199"/>
    <mergeCell ref="E194:E199"/>
    <mergeCell ref="F194:F199"/>
    <mergeCell ref="M194:M199"/>
    <mergeCell ref="N194:N199"/>
    <mergeCell ref="Q194:Q199"/>
    <mergeCell ref="R194:R199"/>
    <mergeCell ref="S194:S199"/>
    <mergeCell ref="T194:T199"/>
    <mergeCell ref="U194:U199"/>
    <mergeCell ref="A188:A193"/>
    <mergeCell ref="B188:B193"/>
    <mergeCell ref="C188:C193"/>
    <mergeCell ref="D188:D193"/>
    <mergeCell ref="E188:E193"/>
    <mergeCell ref="R200:R205"/>
    <mergeCell ref="S200:S205"/>
    <mergeCell ref="T200:T205"/>
    <mergeCell ref="U200:U205"/>
    <mergeCell ref="A200:A205"/>
    <mergeCell ref="U176:U181"/>
    <mergeCell ref="A182:R182"/>
    <mergeCell ref="A183:U183"/>
    <mergeCell ref="A184:A187"/>
    <mergeCell ref="B184:B187"/>
    <mergeCell ref="C184:C187"/>
    <mergeCell ref="D184:D187"/>
    <mergeCell ref="E184:E187"/>
    <mergeCell ref="F184:F187"/>
    <mergeCell ref="M184:M187"/>
    <mergeCell ref="N184:N187"/>
    <mergeCell ref="Q184:Q187"/>
    <mergeCell ref="R184:R187"/>
    <mergeCell ref="S184:S187"/>
    <mergeCell ref="T184:T187"/>
    <mergeCell ref="U184:U187"/>
    <mergeCell ref="A176:A181"/>
    <mergeCell ref="B176:B181"/>
    <mergeCell ref="C176:C181"/>
    <mergeCell ref="D176:D181"/>
    <mergeCell ref="E176:E181"/>
    <mergeCell ref="F176:F181"/>
    <mergeCell ref="M176:M181"/>
    <mergeCell ref="N176:N181"/>
    <mergeCell ref="Q176:Q181"/>
    <mergeCell ref="B200:B205"/>
    <mergeCell ref="C200:C205"/>
    <mergeCell ref="D200:D205"/>
    <mergeCell ref="R164:R169"/>
    <mergeCell ref="Q164:Q169"/>
    <mergeCell ref="F188:F193"/>
    <mergeCell ref="M188:M193"/>
    <mergeCell ref="N188:N193"/>
    <mergeCell ref="Q188:Q193"/>
    <mergeCell ref="R176:R181"/>
    <mergeCell ref="S176:S181"/>
    <mergeCell ref="T176:T181"/>
    <mergeCell ref="S164:S169"/>
    <mergeCell ref="T164:T169"/>
    <mergeCell ref="U164:U169"/>
    <mergeCell ref="A170:A175"/>
    <mergeCell ref="B170:B175"/>
    <mergeCell ref="C170:C175"/>
    <mergeCell ref="D170:D175"/>
    <mergeCell ref="E170:E175"/>
    <mergeCell ref="F170:F175"/>
    <mergeCell ref="M170:M175"/>
    <mergeCell ref="N170:N175"/>
    <mergeCell ref="Q170:Q175"/>
    <mergeCell ref="R170:R175"/>
    <mergeCell ref="S170:S175"/>
    <mergeCell ref="T170:T175"/>
    <mergeCell ref="U170:U175"/>
    <mergeCell ref="A164:A169"/>
    <mergeCell ref="B164:B169"/>
    <mergeCell ref="C164:C169"/>
    <mergeCell ref="D164:D169"/>
    <mergeCell ref="E164:E169"/>
    <mergeCell ref="F164:F169"/>
    <mergeCell ref="M164:M169"/>
    <mergeCell ref="N164:N169"/>
    <mergeCell ref="C140:C145"/>
    <mergeCell ref="R152:R157"/>
    <mergeCell ref="S152:S157"/>
    <mergeCell ref="T152:T157"/>
    <mergeCell ref="U152:U157"/>
    <mergeCell ref="A158:A163"/>
    <mergeCell ref="B158:B163"/>
    <mergeCell ref="C158:C163"/>
    <mergeCell ref="D158:D163"/>
    <mergeCell ref="E158:E163"/>
    <mergeCell ref="F158:F163"/>
    <mergeCell ref="M158:M163"/>
    <mergeCell ref="N158:N163"/>
    <mergeCell ref="Q158:Q163"/>
    <mergeCell ref="R158:R163"/>
    <mergeCell ref="S158:S163"/>
    <mergeCell ref="T158:T163"/>
    <mergeCell ref="U158:U163"/>
    <mergeCell ref="A152:A157"/>
    <mergeCell ref="B152:B157"/>
    <mergeCell ref="C152:C157"/>
    <mergeCell ref="D152:D157"/>
    <mergeCell ref="E152:E157"/>
    <mergeCell ref="F152:F157"/>
    <mergeCell ref="M152:M157"/>
    <mergeCell ref="D140:D145"/>
    <mergeCell ref="E140:E145"/>
    <mergeCell ref="F140:F145"/>
    <mergeCell ref="M140:M145"/>
    <mergeCell ref="N140:N145"/>
    <mergeCell ref="Q140:Q145"/>
    <mergeCell ref="N152:N157"/>
    <mergeCell ref="Q152:Q157"/>
    <mergeCell ref="R140:R145"/>
    <mergeCell ref="S140:S145"/>
    <mergeCell ref="T140:T145"/>
    <mergeCell ref="U140:U145"/>
    <mergeCell ref="A146:R146"/>
    <mergeCell ref="A147:U147"/>
    <mergeCell ref="A148:A151"/>
    <mergeCell ref="B148:B151"/>
    <mergeCell ref="C148:C151"/>
    <mergeCell ref="D148:D151"/>
    <mergeCell ref="E148:E151"/>
    <mergeCell ref="F148:F151"/>
    <mergeCell ref="M148:M151"/>
    <mergeCell ref="N148:N151"/>
    <mergeCell ref="Q148:Q151"/>
    <mergeCell ref="R148:R151"/>
    <mergeCell ref="S148:S151"/>
    <mergeCell ref="T148:T151"/>
    <mergeCell ref="U148:U151"/>
    <mergeCell ref="A140:A145"/>
    <mergeCell ref="B140:B145"/>
    <mergeCell ref="F134:F139"/>
    <mergeCell ref="M134:M139"/>
    <mergeCell ref="N134:N139"/>
    <mergeCell ref="Q134:Q139"/>
    <mergeCell ref="R134:R139"/>
    <mergeCell ref="S134:S139"/>
    <mergeCell ref="T134:T139"/>
    <mergeCell ref="U134:U139"/>
    <mergeCell ref="A128:A133"/>
    <mergeCell ref="B128:B133"/>
    <mergeCell ref="C128:C133"/>
    <mergeCell ref="D128:D133"/>
    <mergeCell ref="E128:E133"/>
    <mergeCell ref="F128:F133"/>
    <mergeCell ref="M128:M133"/>
    <mergeCell ref="N128:N133"/>
    <mergeCell ref="Q128:Q133"/>
    <mergeCell ref="R128:R133"/>
    <mergeCell ref="S128:S133"/>
    <mergeCell ref="T128:T133"/>
    <mergeCell ref="U128:U133"/>
    <mergeCell ref="A134:A139"/>
    <mergeCell ref="B134:B139"/>
    <mergeCell ref="C134:C139"/>
    <mergeCell ref="D134:D139"/>
    <mergeCell ref="E134:E139"/>
    <mergeCell ref="E122:E127"/>
    <mergeCell ref="F122:F127"/>
    <mergeCell ref="M122:M127"/>
    <mergeCell ref="N122:N127"/>
    <mergeCell ref="Q122:Q127"/>
    <mergeCell ref="R122:R127"/>
    <mergeCell ref="S122:S127"/>
    <mergeCell ref="T122:T127"/>
    <mergeCell ref="U122:U127"/>
    <mergeCell ref="A116:A121"/>
    <mergeCell ref="B116:B121"/>
    <mergeCell ref="C116:C121"/>
    <mergeCell ref="D116:D121"/>
    <mergeCell ref="E116:E121"/>
    <mergeCell ref="F116:F121"/>
    <mergeCell ref="M116:M121"/>
    <mergeCell ref="N116:N121"/>
    <mergeCell ref="Q116:Q121"/>
    <mergeCell ref="R116:R121"/>
    <mergeCell ref="S116:S121"/>
    <mergeCell ref="T116:T121"/>
    <mergeCell ref="U116:U121"/>
    <mergeCell ref="A122:A127"/>
    <mergeCell ref="B122:B127"/>
    <mergeCell ref="C122:C127"/>
    <mergeCell ref="D122:D127"/>
    <mergeCell ref="R104:R109"/>
    <mergeCell ref="S104:S109"/>
    <mergeCell ref="T104:T109"/>
    <mergeCell ref="U104:U109"/>
    <mergeCell ref="A110:R110"/>
    <mergeCell ref="A111:U111"/>
    <mergeCell ref="A112:A115"/>
    <mergeCell ref="B112:B115"/>
    <mergeCell ref="C112:C115"/>
    <mergeCell ref="D112:D115"/>
    <mergeCell ref="E112:E115"/>
    <mergeCell ref="F112:F115"/>
    <mergeCell ref="M112:M115"/>
    <mergeCell ref="N112:N115"/>
    <mergeCell ref="Q112:Q115"/>
    <mergeCell ref="R112:R115"/>
    <mergeCell ref="S112:S115"/>
    <mergeCell ref="T112:T115"/>
    <mergeCell ref="U112:U115"/>
    <mergeCell ref="A104:A109"/>
    <mergeCell ref="B104:B109"/>
    <mergeCell ref="C104:C109"/>
    <mergeCell ref="D104:D109"/>
    <mergeCell ref="E104:E109"/>
    <mergeCell ref="F104:F109"/>
    <mergeCell ref="M104:M109"/>
    <mergeCell ref="N104:N109"/>
    <mergeCell ref="Q104:Q109"/>
    <mergeCell ref="F98:F103"/>
    <mergeCell ref="M98:M103"/>
    <mergeCell ref="N98:N103"/>
    <mergeCell ref="Q98:Q103"/>
    <mergeCell ref="R98:R103"/>
    <mergeCell ref="S98:S103"/>
    <mergeCell ref="T98:T103"/>
    <mergeCell ref="U98:U103"/>
    <mergeCell ref="A92:A97"/>
    <mergeCell ref="B92:B97"/>
    <mergeCell ref="C92:C97"/>
    <mergeCell ref="D92:D97"/>
    <mergeCell ref="E92:E97"/>
    <mergeCell ref="F92:F97"/>
    <mergeCell ref="M92:M97"/>
    <mergeCell ref="N92:N97"/>
    <mergeCell ref="Q92:Q97"/>
    <mergeCell ref="R92:R97"/>
    <mergeCell ref="S92:S97"/>
    <mergeCell ref="T92:T97"/>
    <mergeCell ref="U92:U97"/>
    <mergeCell ref="A98:A103"/>
    <mergeCell ref="B98:B103"/>
    <mergeCell ref="C98:C103"/>
    <mergeCell ref="D98:D103"/>
    <mergeCell ref="E98:E103"/>
    <mergeCell ref="A86:A91"/>
    <mergeCell ref="B86:B91"/>
    <mergeCell ref="C86:C91"/>
    <mergeCell ref="D86:D91"/>
    <mergeCell ref="E86:E91"/>
    <mergeCell ref="F86:F91"/>
    <mergeCell ref="M86:M91"/>
    <mergeCell ref="N86:N91"/>
    <mergeCell ref="Q86:Q91"/>
    <mergeCell ref="R86:R91"/>
    <mergeCell ref="S86:S91"/>
    <mergeCell ref="T86:T91"/>
    <mergeCell ref="U86:U91"/>
    <mergeCell ref="A80:A85"/>
    <mergeCell ref="B80:B85"/>
    <mergeCell ref="C80:C85"/>
    <mergeCell ref="D80:D85"/>
    <mergeCell ref="E80:E85"/>
    <mergeCell ref="F80:F85"/>
    <mergeCell ref="M80:M85"/>
    <mergeCell ref="N80:N85"/>
    <mergeCell ref="Q80:Q85"/>
    <mergeCell ref="A75:U75"/>
    <mergeCell ref="A76:A79"/>
    <mergeCell ref="B76:B79"/>
    <mergeCell ref="C76:C79"/>
    <mergeCell ref="D76:D79"/>
    <mergeCell ref="E76:E79"/>
    <mergeCell ref="F76:F79"/>
    <mergeCell ref="M76:M79"/>
    <mergeCell ref="N76:N79"/>
    <mergeCell ref="Q76:Q79"/>
    <mergeCell ref="R76:R79"/>
    <mergeCell ref="S76:S79"/>
    <mergeCell ref="T76:T79"/>
    <mergeCell ref="U76:U79"/>
    <mergeCell ref="R80:R85"/>
    <mergeCell ref="S80:S85"/>
    <mergeCell ref="T80:T85"/>
    <mergeCell ref="U80:U85"/>
    <mergeCell ref="U68:U73"/>
    <mergeCell ref="A74:R74"/>
    <mergeCell ref="F68:F73"/>
    <mergeCell ref="M68:M73"/>
    <mergeCell ref="N68:N73"/>
    <mergeCell ref="Q68:Q73"/>
    <mergeCell ref="R68:R73"/>
    <mergeCell ref="A68:A73"/>
    <mergeCell ref="B68:B73"/>
    <mergeCell ref="C68:C73"/>
    <mergeCell ref="D68:D73"/>
    <mergeCell ref="E68:E73"/>
    <mergeCell ref="S68:S73"/>
    <mergeCell ref="T68:T73"/>
    <mergeCell ref="U56:U61"/>
    <mergeCell ref="A62:A67"/>
    <mergeCell ref="C44:C49"/>
    <mergeCell ref="D44:D49"/>
    <mergeCell ref="E44:E49"/>
    <mergeCell ref="B62:B67"/>
    <mergeCell ref="C62:C67"/>
    <mergeCell ref="D62:D67"/>
    <mergeCell ref="E62:E67"/>
    <mergeCell ref="F62:F67"/>
    <mergeCell ref="M62:M67"/>
    <mergeCell ref="N62:N67"/>
    <mergeCell ref="Q62:Q67"/>
    <mergeCell ref="R62:R67"/>
    <mergeCell ref="S62:S67"/>
    <mergeCell ref="T62:T67"/>
    <mergeCell ref="U62:U67"/>
    <mergeCell ref="F56:F61"/>
    <mergeCell ref="D56:D61"/>
    <mergeCell ref="E56:E61"/>
    <mergeCell ref="S44:S49"/>
    <mergeCell ref="T44:T49"/>
    <mergeCell ref="S56:S61"/>
    <mergeCell ref="T56:T61"/>
    <mergeCell ref="D50:D55"/>
    <mergeCell ref="E50:E55"/>
    <mergeCell ref="F50:F55"/>
    <mergeCell ref="M50:M55"/>
    <mergeCell ref="N50:N55"/>
    <mergeCell ref="Q50:Q55"/>
    <mergeCell ref="R50:R55"/>
    <mergeCell ref="S50:S55"/>
    <mergeCell ref="T50:T55"/>
    <mergeCell ref="A39:U39"/>
    <mergeCell ref="A40:A43"/>
    <mergeCell ref="B40:B43"/>
    <mergeCell ref="C40:C43"/>
    <mergeCell ref="D40:D43"/>
    <mergeCell ref="E40:E43"/>
    <mergeCell ref="F40:F43"/>
    <mergeCell ref="M40:M43"/>
    <mergeCell ref="N40:N43"/>
    <mergeCell ref="Q40:Q43"/>
    <mergeCell ref="R40:R43"/>
    <mergeCell ref="S40:S43"/>
    <mergeCell ref="T40:T43"/>
    <mergeCell ref="U40:U43"/>
    <mergeCell ref="M56:M61"/>
    <mergeCell ref="N56:N61"/>
    <mergeCell ref="U44:U49"/>
    <mergeCell ref="U14:U19"/>
    <mergeCell ref="R14:R19"/>
    <mergeCell ref="S14:S19"/>
    <mergeCell ref="T14:T19"/>
    <mergeCell ref="F8:F13"/>
    <mergeCell ref="M8:M13"/>
    <mergeCell ref="N8:N13"/>
    <mergeCell ref="Q8:Q13"/>
    <mergeCell ref="M14:M19"/>
    <mergeCell ref="U50:U55"/>
    <mergeCell ref="F44:F49"/>
    <mergeCell ref="M44:M49"/>
    <mergeCell ref="N44:N49"/>
    <mergeCell ref="Q44:Q49"/>
    <mergeCell ref="R44:R49"/>
    <mergeCell ref="A44:A49"/>
    <mergeCell ref="B44:B49"/>
    <mergeCell ref="A50:A55"/>
    <mergeCell ref="B50:B55"/>
    <mergeCell ref="C50:C55"/>
    <mergeCell ref="S20:S25"/>
    <mergeCell ref="T20:T25"/>
    <mergeCell ref="U20:U25"/>
    <mergeCell ref="A26:A31"/>
    <mergeCell ref="B26:B31"/>
    <mergeCell ref="C26:C31"/>
    <mergeCell ref="D26:D31"/>
    <mergeCell ref="E26:E31"/>
    <mergeCell ref="F26:F31"/>
    <mergeCell ref="U26:U31"/>
    <mergeCell ref="R26:R31"/>
    <mergeCell ref="S26:S31"/>
    <mergeCell ref="A3:U3"/>
    <mergeCell ref="F4:F7"/>
    <mergeCell ref="A4:A7"/>
    <mergeCell ref="B4:B7"/>
    <mergeCell ref="C4:C7"/>
    <mergeCell ref="D4:D7"/>
    <mergeCell ref="E4:E7"/>
    <mergeCell ref="U4:U7"/>
    <mergeCell ref="R4:R7"/>
    <mergeCell ref="S4:S7"/>
    <mergeCell ref="T4:T7"/>
    <mergeCell ref="M4:M7"/>
    <mergeCell ref="N4:N7"/>
    <mergeCell ref="Q4:Q7"/>
    <mergeCell ref="S8:S13"/>
    <mergeCell ref="T8:T13"/>
    <mergeCell ref="U8:U13"/>
    <mergeCell ref="T26:T31"/>
    <mergeCell ref="F20:F25"/>
    <mergeCell ref="M20:M25"/>
    <mergeCell ref="S32:S37"/>
    <mergeCell ref="M26:M31"/>
    <mergeCell ref="N26:N31"/>
    <mergeCell ref="Q26:Q31"/>
    <mergeCell ref="A20:A25"/>
    <mergeCell ref="B20:B25"/>
    <mergeCell ref="C20:C25"/>
    <mergeCell ref="D20:D25"/>
    <mergeCell ref="E20:E25"/>
    <mergeCell ref="N20:N25"/>
    <mergeCell ref="Q20:Q25"/>
    <mergeCell ref="N14:N19"/>
    <mergeCell ref="Q14:Q19"/>
    <mergeCell ref="R8:R13"/>
    <mergeCell ref="A14:A19"/>
    <mergeCell ref="B14:B19"/>
    <mergeCell ref="C14:C19"/>
    <mergeCell ref="D14:D19"/>
    <mergeCell ref="E14:E19"/>
    <mergeCell ref="A8:A13"/>
    <mergeCell ref="B8:B13"/>
    <mergeCell ref="C8:C13"/>
    <mergeCell ref="D8:D13"/>
    <mergeCell ref="E8:E13"/>
    <mergeCell ref="R20:R25"/>
    <mergeCell ref="F14:F19"/>
    <mergeCell ref="A219:U219"/>
    <mergeCell ref="A220:A223"/>
    <mergeCell ref="B220:B223"/>
    <mergeCell ref="C220:C223"/>
    <mergeCell ref="D220:D223"/>
    <mergeCell ref="E220:E223"/>
    <mergeCell ref="F220:F223"/>
    <mergeCell ref="M220:M223"/>
    <mergeCell ref="N220:N223"/>
    <mergeCell ref="Q220:Q223"/>
    <mergeCell ref="R220:R223"/>
    <mergeCell ref="S220:S223"/>
    <mergeCell ref="T220:T223"/>
    <mergeCell ref="U220:U223"/>
    <mergeCell ref="A38:R38"/>
    <mergeCell ref="F32:F37"/>
    <mergeCell ref="M32:M37"/>
    <mergeCell ref="N32:N37"/>
    <mergeCell ref="Q32:Q37"/>
    <mergeCell ref="A32:A37"/>
    <mergeCell ref="B32:B37"/>
    <mergeCell ref="C32:C37"/>
    <mergeCell ref="D32:D37"/>
    <mergeCell ref="E32:E37"/>
    <mergeCell ref="R32:R37"/>
    <mergeCell ref="T32:T37"/>
    <mergeCell ref="U32:U37"/>
    <mergeCell ref="Q56:Q61"/>
    <mergeCell ref="R56:R61"/>
    <mergeCell ref="A56:A61"/>
    <mergeCell ref="B56:B61"/>
    <mergeCell ref="C56:C61"/>
    <mergeCell ref="R224:R229"/>
    <mergeCell ref="S224:S229"/>
    <mergeCell ref="T224:T229"/>
    <mergeCell ref="U224:U229"/>
    <mergeCell ref="A230:A235"/>
    <mergeCell ref="B230:B235"/>
    <mergeCell ref="C230:C235"/>
    <mergeCell ref="D230:D235"/>
    <mergeCell ref="E230:E235"/>
    <mergeCell ref="F230:F235"/>
    <mergeCell ref="M230:M235"/>
    <mergeCell ref="N230:N235"/>
    <mergeCell ref="Q230:Q235"/>
    <mergeCell ref="R230:R235"/>
    <mergeCell ref="S230:S235"/>
    <mergeCell ref="T230:T235"/>
    <mergeCell ref="U230:U235"/>
    <mergeCell ref="A224:A229"/>
    <mergeCell ref="B224:B229"/>
    <mergeCell ref="C224:C229"/>
    <mergeCell ref="D224:D229"/>
    <mergeCell ref="E224:E229"/>
    <mergeCell ref="F224:F229"/>
    <mergeCell ref="M224:M229"/>
    <mergeCell ref="N224:N229"/>
    <mergeCell ref="Q224:Q229"/>
    <mergeCell ref="R236:R241"/>
    <mergeCell ref="S236:S241"/>
    <mergeCell ref="T236:T241"/>
    <mergeCell ref="U236:U241"/>
    <mergeCell ref="A242:A247"/>
    <mergeCell ref="B242:B247"/>
    <mergeCell ref="C242:C247"/>
    <mergeCell ref="D242:D247"/>
    <mergeCell ref="E242:E247"/>
    <mergeCell ref="F242:F247"/>
    <mergeCell ref="M242:M247"/>
    <mergeCell ref="N242:N247"/>
    <mergeCell ref="Q242:Q247"/>
    <mergeCell ref="R242:R247"/>
    <mergeCell ref="S242:S247"/>
    <mergeCell ref="T242:T247"/>
    <mergeCell ref="U242:U247"/>
    <mergeCell ref="A236:A241"/>
    <mergeCell ref="B236:B241"/>
    <mergeCell ref="C236:C241"/>
    <mergeCell ref="D236:D241"/>
    <mergeCell ref="E236:E241"/>
    <mergeCell ref="F236:F241"/>
    <mergeCell ref="M236:M241"/>
    <mergeCell ref="N236:N241"/>
    <mergeCell ref="Q236:Q241"/>
    <mergeCell ref="R248:R253"/>
    <mergeCell ref="S248:S253"/>
    <mergeCell ref="T248:T253"/>
    <mergeCell ref="U248:U253"/>
    <mergeCell ref="A254:R254"/>
    <mergeCell ref="A255:U255"/>
    <mergeCell ref="A256:A259"/>
    <mergeCell ref="B256:B259"/>
    <mergeCell ref="C256:C259"/>
    <mergeCell ref="D256:D259"/>
    <mergeCell ref="E256:E259"/>
    <mergeCell ref="F256:F259"/>
    <mergeCell ref="M256:M259"/>
    <mergeCell ref="N256:N259"/>
    <mergeCell ref="Q256:Q259"/>
    <mergeCell ref="R256:R259"/>
    <mergeCell ref="S256:S259"/>
    <mergeCell ref="T256:T259"/>
    <mergeCell ref="U256:U259"/>
    <mergeCell ref="A248:A253"/>
    <mergeCell ref="B248:B253"/>
    <mergeCell ref="C248:C253"/>
    <mergeCell ref="D248:D253"/>
    <mergeCell ref="E248:E253"/>
    <mergeCell ref="F248:F253"/>
    <mergeCell ref="M248:M253"/>
    <mergeCell ref="N248:N253"/>
    <mergeCell ref="Q248:Q253"/>
    <mergeCell ref="R260:R265"/>
    <mergeCell ref="S260:S265"/>
    <mergeCell ref="T260:T265"/>
    <mergeCell ref="U260:U265"/>
    <mergeCell ref="A266:A271"/>
    <mergeCell ref="B266:B271"/>
    <mergeCell ref="C266:C271"/>
    <mergeCell ref="D266:D271"/>
    <mergeCell ref="E266:E271"/>
    <mergeCell ref="F266:F271"/>
    <mergeCell ref="M266:M271"/>
    <mergeCell ref="N266:N271"/>
    <mergeCell ref="Q266:Q271"/>
    <mergeCell ref="R266:R271"/>
    <mergeCell ref="S266:S271"/>
    <mergeCell ref="T266:T271"/>
    <mergeCell ref="U266:U271"/>
    <mergeCell ref="A260:A265"/>
    <mergeCell ref="B260:B265"/>
    <mergeCell ref="C260:C265"/>
    <mergeCell ref="D260:D265"/>
    <mergeCell ref="E260:E265"/>
    <mergeCell ref="F260:F265"/>
    <mergeCell ref="M260:M265"/>
    <mergeCell ref="N260:N265"/>
    <mergeCell ref="Q260:Q265"/>
    <mergeCell ref="R272:R277"/>
    <mergeCell ref="S272:S277"/>
    <mergeCell ref="T272:T277"/>
    <mergeCell ref="U272:U277"/>
    <mergeCell ref="A278:A283"/>
    <mergeCell ref="B278:B283"/>
    <mergeCell ref="C278:C283"/>
    <mergeCell ref="D278:D283"/>
    <mergeCell ref="E278:E283"/>
    <mergeCell ref="F278:F283"/>
    <mergeCell ref="M278:M283"/>
    <mergeCell ref="N278:N283"/>
    <mergeCell ref="Q278:Q283"/>
    <mergeCell ref="R278:R283"/>
    <mergeCell ref="S278:S283"/>
    <mergeCell ref="T278:T283"/>
    <mergeCell ref="U278:U283"/>
    <mergeCell ref="A272:A277"/>
    <mergeCell ref="B272:B277"/>
    <mergeCell ref="C272:C277"/>
    <mergeCell ref="D272:D277"/>
    <mergeCell ref="E272:E277"/>
    <mergeCell ref="F272:F277"/>
    <mergeCell ref="M272:M277"/>
    <mergeCell ref="N272:N277"/>
    <mergeCell ref="Q272:Q277"/>
    <mergeCell ref="R284:R289"/>
    <mergeCell ref="S284:S289"/>
    <mergeCell ref="T284:T289"/>
    <mergeCell ref="U284:U289"/>
    <mergeCell ref="A290:R290"/>
    <mergeCell ref="A291:U291"/>
    <mergeCell ref="A292:A295"/>
    <mergeCell ref="B292:B295"/>
    <mergeCell ref="C292:C295"/>
    <mergeCell ref="D292:D295"/>
    <mergeCell ref="E292:E295"/>
    <mergeCell ref="F292:F295"/>
    <mergeCell ref="M292:M295"/>
    <mergeCell ref="N292:N295"/>
    <mergeCell ref="Q292:Q295"/>
    <mergeCell ref="R292:R295"/>
    <mergeCell ref="S292:S295"/>
    <mergeCell ref="T292:T295"/>
    <mergeCell ref="U292:U295"/>
    <mergeCell ref="A284:A289"/>
    <mergeCell ref="B284:B289"/>
    <mergeCell ref="C284:C289"/>
    <mergeCell ref="D284:D289"/>
    <mergeCell ref="E284:E289"/>
    <mergeCell ref="F284:F289"/>
    <mergeCell ref="M284:M289"/>
    <mergeCell ref="N284:N289"/>
    <mergeCell ref="Q284:Q289"/>
    <mergeCell ref="R296:R301"/>
    <mergeCell ref="S296:S301"/>
    <mergeCell ref="T296:T301"/>
    <mergeCell ref="U296:U301"/>
    <mergeCell ref="A302:A307"/>
    <mergeCell ref="B302:B307"/>
    <mergeCell ref="C302:C307"/>
    <mergeCell ref="D302:D307"/>
    <mergeCell ref="E302:E307"/>
    <mergeCell ref="F302:F307"/>
    <mergeCell ref="M302:M307"/>
    <mergeCell ref="N302:N307"/>
    <mergeCell ref="Q302:Q307"/>
    <mergeCell ref="R302:R307"/>
    <mergeCell ref="S302:S307"/>
    <mergeCell ref="T302:T307"/>
    <mergeCell ref="U302:U307"/>
    <mergeCell ref="A296:A301"/>
    <mergeCell ref="B296:B301"/>
    <mergeCell ref="C296:C301"/>
    <mergeCell ref="D296:D301"/>
    <mergeCell ref="E296:E301"/>
    <mergeCell ref="F296:F301"/>
    <mergeCell ref="M296:M301"/>
    <mergeCell ref="N296:N301"/>
    <mergeCell ref="Q296:Q301"/>
    <mergeCell ref="R308:R313"/>
    <mergeCell ref="S308:S313"/>
    <mergeCell ref="T308:T313"/>
    <mergeCell ref="U308:U313"/>
    <mergeCell ref="A314:A319"/>
    <mergeCell ref="B314:B319"/>
    <mergeCell ref="C314:C319"/>
    <mergeCell ref="D314:D319"/>
    <mergeCell ref="E314:E319"/>
    <mergeCell ref="F314:F319"/>
    <mergeCell ref="M314:M319"/>
    <mergeCell ref="N314:N319"/>
    <mergeCell ref="Q314:Q319"/>
    <mergeCell ref="R314:R319"/>
    <mergeCell ref="S314:S319"/>
    <mergeCell ref="T314:T319"/>
    <mergeCell ref="U314:U319"/>
    <mergeCell ref="A308:A313"/>
    <mergeCell ref="B308:B313"/>
    <mergeCell ref="C308:C313"/>
    <mergeCell ref="D308:D313"/>
    <mergeCell ref="E308:E313"/>
    <mergeCell ref="F308:F313"/>
    <mergeCell ref="M308:M313"/>
    <mergeCell ref="N308:N313"/>
    <mergeCell ref="Q308:Q313"/>
    <mergeCell ref="R320:R325"/>
    <mergeCell ref="S320:S325"/>
    <mergeCell ref="T320:T325"/>
    <mergeCell ref="U320:U325"/>
    <mergeCell ref="A326:R326"/>
    <mergeCell ref="A327:U327"/>
    <mergeCell ref="A328:A331"/>
    <mergeCell ref="B328:B331"/>
    <mergeCell ref="C328:C331"/>
    <mergeCell ref="D328:D331"/>
    <mergeCell ref="E328:E331"/>
    <mergeCell ref="F328:F331"/>
    <mergeCell ref="M328:M331"/>
    <mergeCell ref="N328:N331"/>
    <mergeCell ref="Q328:Q331"/>
    <mergeCell ref="R328:R331"/>
    <mergeCell ref="S328:S331"/>
    <mergeCell ref="T328:T331"/>
    <mergeCell ref="U328:U331"/>
    <mergeCell ref="A320:A325"/>
    <mergeCell ref="B320:B325"/>
    <mergeCell ref="C320:C325"/>
    <mergeCell ref="D320:D325"/>
    <mergeCell ref="E320:E325"/>
    <mergeCell ref="F320:F325"/>
    <mergeCell ref="M320:M325"/>
    <mergeCell ref="N320:N325"/>
    <mergeCell ref="Q320:Q325"/>
    <mergeCell ref="R332:R337"/>
    <mergeCell ref="S332:S337"/>
    <mergeCell ref="T332:T337"/>
    <mergeCell ref="U332:U337"/>
    <mergeCell ref="A338:A343"/>
    <mergeCell ref="B338:B343"/>
    <mergeCell ref="C338:C343"/>
    <mergeCell ref="D338:D343"/>
    <mergeCell ref="E338:E343"/>
    <mergeCell ref="F338:F343"/>
    <mergeCell ref="M338:M343"/>
    <mergeCell ref="N338:N343"/>
    <mergeCell ref="Q338:Q343"/>
    <mergeCell ref="R338:R343"/>
    <mergeCell ref="S338:S343"/>
    <mergeCell ref="T338:T343"/>
    <mergeCell ref="U338:U343"/>
    <mergeCell ref="A332:A337"/>
    <mergeCell ref="B332:B337"/>
    <mergeCell ref="C332:C337"/>
    <mergeCell ref="D332:D337"/>
    <mergeCell ref="E332:E337"/>
    <mergeCell ref="F332:F337"/>
    <mergeCell ref="M332:M337"/>
    <mergeCell ref="N332:N337"/>
    <mergeCell ref="Q332:Q337"/>
    <mergeCell ref="R344:R349"/>
    <mergeCell ref="S344:S349"/>
    <mergeCell ref="T344:T349"/>
    <mergeCell ref="U344:U349"/>
    <mergeCell ref="A350:A355"/>
    <mergeCell ref="B350:B355"/>
    <mergeCell ref="C350:C355"/>
    <mergeCell ref="D350:D355"/>
    <mergeCell ref="E350:E355"/>
    <mergeCell ref="F350:F355"/>
    <mergeCell ref="M350:M355"/>
    <mergeCell ref="N350:N355"/>
    <mergeCell ref="Q350:Q355"/>
    <mergeCell ref="R350:R355"/>
    <mergeCell ref="S350:S355"/>
    <mergeCell ref="T350:T355"/>
    <mergeCell ref="U350:U355"/>
    <mergeCell ref="A344:A349"/>
    <mergeCell ref="B344:B349"/>
    <mergeCell ref="C344:C349"/>
    <mergeCell ref="D344:D349"/>
    <mergeCell ref="E344:E349"/>
    <mergeCell ref="F344:F349"/>
    <mergeCell ref="M344:M349"/>
    <mergeCell ref="N344:N349"/>
    <mergeCell ref="Q344:Q349"/>
    <mergeCell ref="R356:R361"/>
    <mergeCell ref="S356:S361"/>
    <mergeCell ref="T356:T361"/>
    <mergeCell ref="U356:U361"/>
    <mergeCell ref="A362:R362"/>
    <mergeCell ref="A363:U363"/>
    <mergeCell ref="A364:A367"/>
    <mergeCell ref="B364:B367"/>
    <mergeCell ref="C364:C367"/>
    <mergeCell ref="D364:D367"/>
    <mergeCell ref="E364:E367"/>
    <mergeCell ref="F364:F367"/>
    <mergeCell ref="M364:M367"/>
    <mergeCell ref="N364:N367"/>
    <mergeCell ref="Q364:Q367"/>
    <mergeCell ref="R364:R367"/>
    <mergeCell ref="S364:S367"/>
    <mergeCell ref="T364:T367"/>
    <mergeCell ref="U364:U367"/>
    <mergeCell ref="A356:A361"/>
    <mergeCell ref="B356:B361"/>
    <mergeCell ref="C356:C361"/>
    <mergeCell ref="D356:D361"/>
    <mergeCell ref="E356:E361"/>
    <mergeCell ref="F356:F361"/>
    <mergeCell ref="M356:M361"/>
    <mergeCell ref="N356:N361"/>
    <mergeCell ref="Q356:Q361"/>
    <mergeCell ref="R368:R373"/>
    <mergeCell ref="S368:S373"/>
    <mergeCell ref="T368:T373"/>
    <mergeCell ref="U368:U373"/>
    <mergeCell ref="A374:A379"/>
    <mergeCell ref="B374:B379"/>
    <mergeCell ref="C374:C379"/>
    <mergeCell ref="D374:D379"/>
    <mergeCell ref="E374:E379"/>
    <mergeCell ref="F374:F379"/>
    <mergeCell ref="M374:M379"/>
    <mergeCell ref="N374:N379"/>
    <mergeCell ref="Q374:Q379"/>
    <mergeCell ref="R374:R379"/>
    <mergeCell ref="S374:S379"/>
    <mergeCell ref="T374:T379"/>
    <mergeCell ref="U374:U379"/>
    <mergeCell ref="A368:A373"/>
    <mergeCell ref="B368:B373"/>
    <mergeCell ref="C368:C373"/>
    <mergeCell ref="D368:D373"/>
    <mergeCell ref="E368:E373"/>
    <mergeCell ref="F368:F373"/>
    <mergeCell ref="M368:M373"/>
    <mergeCell ref="N368:N373"/>
    <mergeCell ref="Q368:Q373"/>
    <mergeCell ref="R380:R385"/>
    <mergeCell ref="S380:S385"/>
    <mergeCell ref="T380:T385"/>
    <mergeCell ref="U380:U385"/>
    <mergeCell ref="A386:A391"/>
    <mergeCell ref="B386:B391"/>
    <mergeCell ref="C386:C391"/>
    <mergeCell ref="D386:D391"/>
    <mergeCell ref="E386:E391"/>
    <mergeCell ref="F386:F391"/>
    <mergeCell ref="M386:M391"/>
    <mergeCell ref="N386:N391"/>
    <mergeCell ref="Q386:Q391"/>
    <mergeCell ref="R386:R391"/>
    <mergeCell ref="S386:S391"/>
    <mergeCell ref="T386:T391"/>
    <mergeCell ref="U386:U391"/>
    <mergeCell ref="A380:A385"/>
    <mergeCell ref="B380:B385"/>
    <mergeCell ref="C380:C385"/>
    <mergeCell ref="D380:D385"/>
    <mergeCell ref="E380:E385"/>
    <mergeCell ref="F380:F385"/>
    <mergeCell ref="M380:M385"/>
    <mergeCell ref="N380:N385"/>
    <mergeCell ref="Q380:Q385"/>
    <mergeCell ref="R392:R397"/>
    <mergeCell ref="S392:S397"/>
    <mergeCell ref="T392:T397"/>
    <mergeCell ref="U392:U397"/>
    <mergeCell ref="A398:R398"/>
    <mergeCell ref="A399:U399"/>
    <mergeCell ref="A400:A403"/>
    <mergeCell ref="B400:B403"/>
    <mergeCell ref="C400:C403"/>
    <mergeCell ref="D400:D403"/>
    <mergeCell ref="E400:E403"/>
    <mergeCell ref="F400:F403"/>
    <mergeCell ref="M400:M403"/>
    <mergeCell ref="N400:N403"/>
    <mergeCell ref="Q400:Q403"/>
    <mergeCell ref="R400:R403"/>
    <mergeCell ref="S400:S403"/>
    <mergeCell ref="T400:T403"/>
    <mergeCell ref="U400:U403"/>
    <mergeCell ref="A392:A397"/>
    <mergeCell ref="B392:B397"/>
    <mergeCell ref="C392:C397"/>
    <mergeCell ref="D392:D397"/>
    <mergeCell ref="E392:E397"/>
    <mergeCell ref="F392:F397"/>
    <mergeCell ref="M392:M397"/>
    <mergeCell ref="N392:N397"/>
    <mergeCell ref="Q392:Q397"/>
    <mergeCell ref="R404:R409"/>
    <mergeCell ref="S404:S409"/>
    <mergeCell ref="T404:T409"/>
    <mergeCell ref="U404:U409"/>
    <mergeCell ref="A410:A415"/>
    <mergeCell ref="B410:B415"/>
    <mergeCell ref="C410:C415"/>
    <mergeCell ref="D410:D415"/>
    <mergeCell ref="E410:E415"/>
    <mergeCell ref="F410:F415"/>
    <mergeCell ref="M410:M415"/>
    <mergeCell ref="N410:N415"/>
    <mergeCell ref="Q410:Q415"/>
    <mergeCell ref="R410:R415"/>
    <mergeCell ref="S410:S415"/>
    <mergeCell ref="T410:T415"/>
    <mergeCell ref="U410:U415"/>
    <mergeCell ref="A404:A409"/>
    <mergeCell ref="B404:B409"/>
    <mergeCell ref="C404:C409"/>
    <mergeCell ref="D404:D409"/>
    <mergeCell ref="E404:E409"/>
    <mergeCell ref="F404:F409"/>
    <mergeCell ref="M404:M409"/>
    <mergeCell ref="N404:N409"/>
    <mergeCell ref="Q404:Q409"/>
    <mergeCell ref="R416:R421"/>
    <mergeCell ref="S416:S421"/>
    <mergeCell ref="T416:T421"/>
    <mergeCell ref="U416:U421"/>
    <mergeCell ref="A422:A427"/>
    <mergeCell ref="B422:B427"/>
    <mergeCell ref="C422:C427"/>
    <mergeCell ref="D422:D427"/>
    <mergeCell ref="E422:E427"/>
    <mergeCell ref="F422:F427"/>
    <mergeCell ref="M422:M427"/>
    <mergeCell ref="N422:N427"/>
    <mergeCell ref="Q422:Q427"/>
    <mergeCell ref="R422:R427"/>
    <mergeCell ref="S422:S427"/>
    <mergeCell ref="T422:T427"/>
    <mergeCell ref="U422:U427"/>
    <mergeCell ref="A416:A421"/>
    <mergeCell ref="B416:B421"/>
    <mergeCell ref="C416:C421"/>
    <mergeCell ref="D416:D421"/>
    <mergeCell ref="E416:E421"/>
    <mergeCell ref="F416:F421"/>
    <mergeCell ref="M416:M421"/>
    <mergeCell ref="N416:N421"/>
    <mergeCell ref="Q416:Q421"/>
    <mergeCell ref="R428:R433"/>
    <mergeCell ref="S428:S433"/>
    <mergeCell ref="T428:T433"/>
    <mergeCell ref="U428:U433"/>
    <mergeCell ref="A434:R434"/>
    <mergeCell ref="A435:U435"/>
    <mergeCell ref="A436:A439"/>
    <mergeCell ref="B436:B439"/>
    <mergeCell ref="C436:C439"/>
    <mergeCell ref="D436:D439"/>
    <mergeCell ref="E436:E439"/>
    <mergeCell ref="F436:F439"/>
    <mergeCell ref="M436:M439"/>
    <mergeCell ref="N436:N439"/>
    <mergeCell ref="Q436:Q439"/>
    <mergeCell ref="R436:R439"/>
    <mergeCell ref="S436:S439"/>
    <mergeCell ref="T436:T439"/>
    <mergeCell ref="U436:U439"/>
    <mergeCell ref="A428:A433"/>
    <mergeCell ref="B428:B433"/>
    <mergeCell ref="C428:C433"/>
    <mergeCell ref="D428:D433"/>
    <mergeCell ref="E428:E433"/>
    <mergeCell ref="F428:F433"/>
    <mergeCell ref="M428:M433"/>
    <mergeCell ref="N428:N433"/>
    <mergeCell ref="Q428:Q433"/>
    <mergeCell ref="R440:R445"/>
    <mergeCell ref="S440:S445"/>
    <mergeCell ref="T440:T445"/>
    <mergeCell ref="U440:U445"/>
    <mergeCell ref="A446:A451"/>
    <mergeCell ref="B446:B451"/>
    <mergeCell ref="C446:C451"/>
    <mergeCell ref="D446:D451"/>
    <mergeCell ref="E446:E451"/>
    <mergeCell ref="F446:F451"/>
    <mergeCell ref="M446:M451"/>
    <mergeCell ref="N446:N451"/>
    <mergeCell ref="Q446:Q451"/>
    <mergeCell ref="R446:R451"/>
    <mergeCell ref="S446:S451"/>
    <mergeCell ref="T446:T451"/>
    <mergeCell ref="U446:U451"/>
    <mergeCell ref="A440:A445"/>
    <mergeCell ref="B440:B445"/>
    <mergeCell ref="C440:C445"/>
    <mergeCell ref="D440:D445"/>
    <mergeCell ref="E440:E445"/>
    <mergeCell ref="F440:F445"/>
    <mergeCell ref="M440:M445"/>
    <mergeCell ref="N440:N445"/>
    <mergeCell ref="Q440:Q445"/>
    <mergeCell ref="R452:R457"/>
    <mergeCell ref="S452:S457"/>
    <mergeCell ref="T452:T457"/>
    <mergeCell ref="U452:U457"/>
    <mergeCell ref="A458:A463"/>
    <mergeCell ref="B458:B463"/>
    <mergeCell ref="C458:C463"/>
    <mergeCell ref="D458:D463"/>
    <mergeCell ref="E458:E463"/>
    <mergeCell ref="F458:F463"/>
    <mergeCell ref="M458:M463"/>
    <mergeCell ref="N458:N463"/>
    <mergeCell ref="Q458:Q463"/>
    <mergeCell ref="R458:R463"/>
    <mergeCell ref="S458:S463"/>
    <mergeCell ref="T458:T463"/>
    <mergeCell ref="U458:U463"/>
    <mergeCell ref="A452:A457"/>
    <mergeCell ref="B452:B457"/>
    <mergeCell ref="C452:C457"/>
    <mergeCell ref="D452:D457"/>
    <mergeCell ref="E452:E457"/>
    <mergeCell ref="F452:F457"/>
    <mergeCell ref="M452:M457"/>
    <mergeCell ref="N452:N457"/>
    <mergeCell ref="Q452:Q457"/>
    <mergeCell ref="R464:R469"/>
    <mergeCell ref="S464:S469"/>
    <mergeCell ref="T464:T469"/>
    <mergeCell ref="U464:U469"/>
    <mergeCell ref="A470:R470"/>
    <mergeCell ref="A471:U471"/>
    <mergeCell ref="A472:A475"/>
    <mergeCell ref="B472:B475"/>
    <mergeCell ref="C472:C475"/>
    <mergeCell ref="D472:D475"/>
    <mergeCell ref="E472:E475"/>
    <mergeCell ref="F472:F475"/>
    <mergeCell ref="M472:M475"/>
    <mergeCell ref="N472:N475"/>
    <mergeCell ref="Q472:Q475"/>
    <mergeCell ref="R472:R475"/>
    <mergeCell ref="S472:S475"/>
    <mergeCell ref="T472:T475"/>
    <mergeCell ref="U472:U475"/>
    <mergeCell ref="A464:A469"/>
    <mergeCell ref="B464:B469"/>
    <mergeCell ref="C464:C469"/>
    <mergeCell ref="D464:D469"/>
    <mergeCell ref="E464:E469"/>
    <mergeCell ref="F464:F469"/>
    <mergeCell ref="M464:M469"/>
    <mergeCell ref="N464:N469"/>
    <mergeCell ref="Q464:Q469"/>
    <mergeCell ref="R476:R481"/>
    <mergeCell ref="S476:S481"/>
    <mergeCell ref="T476:T481"/>
    <mergeCell ref="U476:U481"/>
    <mergeCell ref="A482:A487"/>
    <mergeCell ref="B482:B487"/>
    <mergeCell ref="C482:C487"/>
    <mergeCell ref="D482:D487"/>
    <mergeCell ref="E482:E487"/>
    <mergeCell ref="F482:F487"/>
    <mergeCell ref="M482:M487"/>
    <mergeCell ref="N482:N487"/>
    <mergeCell ref="Q482:Q487"/>
    <mergeCell ref="R482:R487"/>
    <mergeCell ref="S482:S487"/>
    <mergeCell ref="T482:T487"/>
    <mergeCell ref="U482:U487"/>
    <mergeCell ref="A476:A481"/>
    <mergeCell ref="B476:B481"/>
    <mergeCell ref="C476:C481"/>
    <mergeCell ref="D476:D481"/>
    <mergeCell ref="E476:E481"/>
    <mergeCell ref="F476:F481"/>
    <mergeCell ref="M476:M481"/>
    <mergeCell ref="N476:N481"/>
    <mergeCell ref="Q476:Q481"/>
    <mergeCell ref="R488:R493"/>
    <mergeCell ref="S488:S493"/>
    <mergeCell ref="T488:T493"/>
    <mergeCell ref="U488:U493"/>
    <mergeCell ref="A494:A499"/>
    <mergeCell ref="B494:B499"/>
    <mergeCell ref="C494:C499"/>
    <mergeCell ref="D494:D499"/>
    <mergeCell ref="E494:E499"/>
    <mergeCell ref="F494:F499"/>
    <mergeCell ref="M494:M499"/>
    <mergeCell ref="N494:N499"/>
    <mergeCell ref="Q494:Q499"/>
    <mergeCell ref="R494:R499"/>
    <mergeCell ref="S494:S499"/>
    <mergeCell ref="T494:T499"/>
    <mergeCell ref="U494:U499"/>
    <mergeCell ref="A488:A493"/>
    <mergeCell ref="B488:B493"/>
    <mergeCell ref="C488:C493"/>
    <mergeCell ref="D488:D493"/>
    <mergeCell ref="E488:E493"/>
    <mergeCell ref="F488:F493"/>
    <mergeCell ref="M488:M493"/>
    <mergeCell ref="N488:N493"/>
    <mergeCell ref="Q488:Q493"/>
    <mergeCell ref="R500:R505"/>
    <mergeCell ref="S500:S505"/>
    <mergeCell ref="T500:T505"/>
    <mergeCell ref="U500:U505"/>
    <mergeCell ref="A506:R506"/>
    <mergeCell ref="A507:U507"/>
    <mergeCell ref="A508:A511"/>
    <mergeCell ref="B508:B511"/>
    <mergeCell ref="C508:C511"/>
    <mergeCell ref="D508:D511"/>
    <mergeCell ref="E508:E511"/>
    <mergeCell ref="F508:F511"/>
    <mergeCell ref="M508:M511"/>
    <mergeCell ref="N508:N511"/>
    <mergeCell ref="Q508:Q511"/>
    <mergeCell ref="R508:R511"/>
    <mergeCell ref="S508:S511"/>
    <mergeCell ref="T508:T511"/>
    <mergeCell ref="U508:U511"/>
    <mergeCell ref="A500:A505"/>
    <mergeCell ref="B500:B505"/>
    <mergeCell ref="C500:C505"/>
    <mergeCell ref="D500:D505"/>
    <mergeCell ref="E500:E505"/>
    <mergeCell ref="F500:F505"/>
    <mergeCell ref="M500:M505"/>
    <mergeCell ref="N500:N505"/>
    <mergeCell ref="Q500:Q505"/>
    <mergeCell ref="R512:R517"/>
    <mergeCell ref="S512:S517"/>
    <mergeCell ref="T512:T517"/>
    <mergeCell ref="U512:U517"/>
    <mergeCell ref="A518:A523"/>
    <mergeCell ref="B518:B523"/>
    <mergeCell ref="C518:C523"/>
    <mergeCell ref="D518:D523"/>
    <mergeCell ref="E518:E523"/>
    <mergeCell ref="F518:F523"/>
    <mergeCell ref="M518:M523"/>
    <mergeCell ref="N518:N523"/>
    <mergeCell ref="Q518:Q523"/>
    <mergeCell ref="R518:R523"/>
    <mergeCell ref="S518:S523"/>
    <mergeCell ref="T518:T523"/>
    <mergeCell ref="U518:U523"/>
    <mergeCell ref="A512:A517"/>
    <mergeCell ref="B512:B517"/>
    <mergeCell ref="C512:C517"/>
    <mergeCell ref="D512:D517"/>
    <mergeCell ref="E512:E517"/>
    <mergeCell ref="F512:F517"/>
    <mergeCell ref="M512:M517"/>
    <mergeCell ref="N512:N517"/>
    <mergeCell ref="Q512:Q517"/>
    <mergeCell ref="R524:R529"/>
    <mergeCell ref="S524:S529"/>
    <mergeCell ref="T524:T529"/>
    <mergeCell ref="U524:U529"/>
    <mergeCell ref="A530:A535"/>
    <mergeCell ref="B530:B535"/>
    <mergeCell ref="C530:C535"/>
    <mergeCell ref="D530:D535"/>
    <mergeCell ref="E530:E535"/>
    <mergeCell ref="F530:F535"/>
    <mergeCell ref="M530:M535"/>
    <mergeCell ref="N530:N535"/>
    <mergeCell ref="Q530:Q535"/>
    <mergeCell ref="R530:R535"/>
    <mergeCell ref="S530:S535"/>
    <mergeCell ref="T530:T535"/>
    <mergeCell ref="U530:U535"/>
    <mergeCell ref="A524:A529"/>
    <mergeCell ref="B524:B529"/>
    <mergeCell ref="C524:C529"/>
    <mergeCell ref="D524:D529"/>
    <mergeCell ref="E524:E529"/>
    <mergeCell ref="F524:F529"/>
    <mergeCell ref="M524:M529"/>
    <mergeCell ref="N524:N529"/>
    <mergeCell ref="Q524:Q529"/>
    <mergeCell ref="R536:R541"/>
    <mergeCell ref="S536:S541"/>
    <mergeCell ref="T536:T541"/>
    <mergeCell ref="U536:U541"/>
    <mergeCell ref="A542:R542"/>
    <mergeCell ref="A543:U543"/>
    <mergeCell ref="A544:A547"/>
    <mergeCell ref="B544:B547"/>
    <mergeCell ref="C544:C547"/>
    <mergeCell ref="D544:D547"/>
    <mergeCell ref="E544:E547"/>
    <mergeCell ref="F544:F547"/>
    <mergeCell ref="M544:M547"/>
    <mergeCell ref="N544:N547"/>
    <mergeCell ref="Q544:Q547"/>
    <mergeCell ref="R544:R547"/>
    <mergeCell ref="S544:S547"/>
    <mergeCell ref="T544:T547"/>
    <mergeCell ref="U544:U547"/>
    <mergeCell ref="A536:A541"/>
    <mergeCell ref="B536:B541"/>
    <mergeCell ref="C536:C541"/>
    <mergeCell ref="D536:D541"/>
    <mergeCell ref="E536:E541"/>
    <mergeCell ref="F536:F541"/>
    <mergeCell ref="M536:M541"/>
    <mergeCell ref="N536:N541"/>
    <mergeCell ref="Q536:Q541"/>
    <mergeCell ref="R548:R553"/>
    <mergeCell ref="S548:S553"/>
    <mergeCell ref="T548:T553"/>
    <mergeCell ref="U548:U553"/>
    <mergeCell ref="A554:A559"/>
    <mergeCell ref="B554:B559"/>
    <mergeCell ref="C554:C559"/>
    <mergeCell ref="D554:D559"/>
    <mergeCell ref="E554:E559"/>
    <mergeCell ref="F554:F559"/>
    <mergeCell ref="M554:M559"/>
    <mergeCell ref="N554:N559"/>
    <mergeCell ref="Q554:Q559"/>
    <mergeCell ref="R554:R559"/>
    <mergeCell ref="S554:S559"/>
    <mergeCell ref="T554:T559"/>
    <mergeCell ref="U554:U559"/>
    <mergeCell ref="A548:A553"/>
    <mergeCell ref="B548:B553"/>
    <mergeCell ref="C548:C553"/>
    <mergeCell ref="D548:D553"/>
    <mergeCell ref="E548:E553"/>
    <mergeCell ref="F548:F553"/>
    <mergeCell ref="M548:M553"/>
    <mergeCell ref="N548:N553"/>
    <mergeCell ref="Q548:Q553"/>
    <mergeCell ref="R560:R565"/>
    <mergeCell ref="S560:S565"/>
    <mergeCell ref="T560:T565"/>
    <mergeCell ref="U560:U565"/>
    <mergeCell ref="A566:A571"/>
    <mergeCell ref="B566:B571"/>
    <mergeCell ref="C566:C571"/>
    <mergeCell ref="D566:D571"/>
    <mergeCell ref="E566:E571"/>
    <mergeCell ref="F566:F571"/>
    <mergeCell ref="M566:M571"/>
    <mergeCell ref="N566:N571"/>
    <mergeCell ref="Q566:Q571"/>
    <mergeCell ref="R566:R571"/>
    <mergeCell ref="S566:S571"/>
    <mergeCell ref="T566:T571"/>
    <mergeCell ref="U566:U571"/>
    <mergeCell ref="A560:A565"/>
    <mergeCell ref="B560:B565"/>
    <mergeCell ref="C560:C565"/>
    <mergeCell ref="D560:D565"/>
    <mergeCell ref="E560:E565"/>
    <mergeCell ref="F560:F565"/>
    <mergeCell ref="M560:M565"/>
    <mergeCell ref="N560:N565"/>
    <mergeCell ref="Q560:Q565"/>
    <mergeCell ref="R572:R577"/>
    <mergeCell ref="S572:S577"/>
    <mergeCell ref="T572:T577"/>
    <mergeCell ref="U572:U577"/>
    <mergeCell ref="A578:R578"/>
    <mergeCell ref="A579:U579"/>
    <mergeCell ref="A580:A583"/>
    <mergeCell ref="B580:B583"/>
    <mergeCell ref="C580:C583"/>
    <mergeCell ref="D580:D583"/>
    <mergeCell ref="E580:E583"/>
    <mergeCell ref="F580:F583"/>
    <mergeCell ref="M580:M583"/>
    <mergeCell ref="N580:N583"/>
    <mergeCell ref="Q580:Q583"/>
    <mergeCell ref="R580:R583"/>
    <mergeCell ref="S580:S583"/>
    <mergeCell ref="T580:T583"/>
    <mergeCell ref="U580:U583"/>
    <mergeCell ref="A572:A577"/>
    <mergeCell ref="B572:B577"/>
    <mergeCell ref="C572:C577"/>
    <mergeCell ref="D572:D577"/>
    <mergeCell ref="E572:E577"/>
    <mergeCell ref="F572:F577"/>
    <mergeCell ref="M572:M577"/>
    <mergeCell ref="N572:N577"/>
    <mergeCell ref="Q572:Q577"/>
    <mergeCell ref="R584:R589"/>
    <mergeCell ref="S584:S589"/>
    <mergeCell ref="T584:T589"/>
    <mergeCell ref="U584:U589"/>
    <mergeCell ref="A590:A595"/>
    <mergeCell ref="B590:B595"/>
    <mergeCell ref="C590:C595"/>
    <mergeCell ref="D590:D595"/>
    <mergeCell ref="E590:E595"/>
    <mergeCell ref="F590:F595"/>
    <mergeCell ref="M590:M595"/>
    <mergeCell ref="N590:N595"/>
    <mergeCell ref="Q590:Q595"/>
    <mergeCell ref="R590:R595"/>
    <mergeCell ref="S590:S595"/>
    <mergeCell ref="T590:T595"/>
    <mergeCell ref="U590:U595"/>
    <mergeCell ref="A584:A589"/>
    <mergeCell ref="B584:B589"/>
    <mergeCell ref="C584:C589"/>
    <mergeCell ref="D584:D589"/>
    <mergeCell ref="E584:E589"/>
    <mergeCell ref="F584:F589"/>
    <mergeCell ref="M584:M589"/>
    <mergeCell ref="N584:N589"/>
    <mergeCell ref="Q584:Q589"/>
    <mergeCell ref="R596:R601"/>
    <mergeCell ref="S596:S601"/>
    <mergeCell ref="T596:T601"/>
    <mergeCell ref="U596:U601"/>
    <mergeCell ref="A602:A607"/>
    <mergeCell ref="B602:B607"/>
    <mergeCell ref="C602:C607"/>
    <mergeCell ref="D602:D607"/>
    <mergeCell ref="E602:E607"/>
    <mergeCell ref="F602:F607"/>
    <mergeCell ref="M602:M607"/>
    <mergeCell ref="N602:N607"/>
    <mergeCell ref="Q602:Q607"/>
    <mergeCell ref="R602:R607"/>
    <mergeCell ref="S602:S607"/>
    <mergeCell ref="T602:T607"/>
    <mergeCell ref="U602:U607"/>
    <mergeCell ref="A596:A601"/>
    <mergeCell ref="B596:B601"/>
    <mergeCell ref="C596:C601"/>
    <mergeCell ref="D596:D601"/>
    <mergeCell ref="E596:E601"/>
    <mergeCell ref="F596:F601"/>
    <mergeCell ref="M596:M601"/>
    <mergeCell ref="N596:N601"/>
    <mergeCell ref="Q596:Q601"/>
    <mergeCell ref="R608:R613"/>
    <mergeCell ref="S608:S613"/>
    <mergeCell ref="T608:T613"/>
    <mergeCell ref="U608:U613"/>
    <mergeCell ref="A614:R614"/>
    <mergeCell ref="A615:U615"/>
    <mergeCell ref="A616:A619"/>
    <mergeCell ref="B616:B619"/>
    <mergeCell ref="C616:C619"/>
    <mergeCell ref="D616:D619"/>
    <mergeCell ref="E616:E619"/>
    <mergeCell ref="F616:F619"/>
    <mergeCell ref="M616:M619"/>
    <mergeCell ref="N616:N619"/>
    <mergeCell ref="Q616:Q619"/>
    <mergeCell ref="R616:R619"/>
    <mergeCell ref="S616:S619"/>
    <mergeCell ref="T616:T619"/>
    <mergeCell ref="U616:U619"/>
    <mergeCell ref="A608:A613"/>
    <mergeCell ref="B608:B613"/>
    <mergeCell ref="C608:C613"/>
    <mergeCell ref="D608:D613"/>
    <mergeCell ref="E608:E613"/>
    <mergeCell ref="F608:F613"/>
    <mergeCell ref="M608:M613"/>
    <mergeCell ref="N608:N613"/>
    <mergeCell ref="Q608:Q613"/>
    <mergeCell ref="R620:R625"/>
    <mergeCell ref="S620:S625"/>
    <mergeCell ref="T620:T625"/>
    <mergeCell ref="U620:U625"/>
    <mergeCell ref="A626:A631"/>
    <mergeCell ref="B626:B631"/>
    <mergeCell ref="C626:C631"/>
    <mergeCell ref="D626:D631"/>
    <mergeCell ref="E626:E631"/>
    <mergeCell ref="F626:F631"/>
    <mergeCell ref="M626:M631"/>
    <mergeCell ref="N626:N631"/>
    <mergeCell ref="Q626:Q631"/>
    <mergeCell ref="R626:R631"/>
    <mergeCell ref="S626:S631"/>
    <mergeCell ref="T626:T631"/>
    <mergeCell ref="U626:U631"/>
    <mergeCell ref="A620:A625"/>
    <mergeCell ref="B620:B625"/>
    <mergeCell ref="C620:C625"/>
    <mergeCell ref="D620:D625"/>
    <mergeCell ref="E620:E625"/>
    <mergeCell ref="F620:F625"/>
    <mergeCell ref="M620:M625"/>
    <mergeCell ref="N620:N625"/>
    <mergeCell ref="Q620:Q625"/>
    <mergeCell ref="R632:R637"/>
    <mergeCell ref="S632:S637"/>
    <mergeCell ref="T632:T637"/>
    <mergeCell ref="U632:U637"/>
    <mergeCell ref="A638:A643"/>
    <mergeCell ref="B638:B643"/>
    <mergeCell ref="C638:C643"/>
    <mergeCell ref="D638:D643"/>
    <mergeCell ref="E638:E643"/>
    <mergeCell ref="F638:F643"/>
    <mergeCell ref="M638:M643"/>
    <mergeCell ref="N638:N643"/>
    <mergeCell ref="Q638:Q643"/>
    <mergeCell ref="R638:R643"/>
    <mergeCell ref="S638:S643"/>
    <mergeCell ref="T638:T643"/>
    <mergeCell ref="U638:U643"/>
    <mergeCell ref="A632:A637"/>
    <mergeCell ref="B632:B637"/>
    <mergeCell ref="C632:C637"/>
    <mergeCell ref="D632:D637"/>
    <mergeCell ref="E632:E637"/>
    <mergeCell ref="F632:F637"/>
    <mergeCell ref="M632:M637"/>
    <mergeCell ref="N632:N637"/>
    <mergeCell ref="Q632:Q637"/>
    <mergeCell ref="R644:R649"/>
    <mergeCell ref="S644:S649"/>
    <mergeCell ref="T644:T649"/>
    <mergeCell ref="U644:U649"/>
    <mergeCell ref="A650:R650"/>
    <mergeCell ref="A651:U651"/>
    <mergeCell ref="A652:A655"/>
    <mergeCell ref="B652:B655"/>
    <mergeCell ref="C652:C655"/>
    <mergeCell ref="D652:D655"/>
    <mergeCell ref="E652:E655"/>
    <mergeCell ref="F652:F655"/>
    <mergeCell ref="M652:M655"/>
    <mergeCell ref="N652:N655"/>
    <mergeCell ref="Q652:Q655"/>
    <mergeCell ref="R652:R655"/>
    <mergeCell ref="S652:S655"/>
    <mergeCell ref="T652:T655"/>
    <mergeCell ref="U652:U655"/>
    <mergeCell ref="A644:A649"/>
    <mergeCell ref="B644:B649"/>
    <mergeCell ref="C644:C649"/>
    <mergeCell ref="D644:D649"/>
    <mergeCell ref="E644:E649"/>
    <mergeCell ref="F644:F649"/>
    <mergeCell ref="M644:M649"/>
    <mergeCell ref="N644:N649"/>
    <mergeCell ref="Q644:Q649"/>
    <mergeCell ref="R656:R661"/>
    <mergeCell ref="S656:S661"/>
    <mergeCell ref="T656:T661"/>
    <mergeCell ref="U656:U661"/>
    <mergeCell ref="A662:A667"/>
    <mergeCell ref="B662:B667"/>
    <mergeCell ref="C662:C667"/>
    <mergeCell ref="D662:D667"/>
    <mergeCell ref="E662:E667"/>
    <mergeCell ref="F662:F667"/>
    <mergeCell ref="M662:M667"/>
    <mergeCell ref="N662:N667"/>
    <mergeCell ref="Q662:Q667"/>
    <mergeCell ref="R662:R667"/>
    <mergeCell ref="S662:S667"/>
    <mergeCell ref="T662:T667"/>
    <mergeCell ref="U662:U667"/>
    <mergeCell ref="A656:A661"/>
    <mergeCell ref="B656:B661"/>
    <mergeCell ref="C656:C661"/>
    <mergeCell ref="D656:D661"/>
    <mergeCell ref="E656:E661"/>
    <mergeCell ref="F656:F661"/>
    <mergeCell ref="M656:M661"/>
    <mergeCell ref="N656:N661"/>
    <mergeCell ref="Q656:Q661"/>
    <mergeCell ref="R668:R673"/>
    <mergeCell ref="S668:S673"/>
    <mergeCell ref="T668:T673"/>
    <mergeCell ref="U668:U673"/>
    <mergeCell ref="A674:A679"/>
    <mergeCell ref="B674:B679"/>
    <mergeCell ref="C674:C679"/>
    <mergeCell ref="D674:D679"/>
    <mergeCell ref="E674:E679"/>
    <mergeCell ref="F674:F679"/>
    <mergeCell ref="M674:M679"/>
    <mergeCell ref="N674:N679"/>
    <mergeCell ref="Q674:Q679"/>
    <mergeCell ref="R674:R679"/>
    <mergeCell ref="S674:S679"/>
    <mergeCell ref="T674:T679"/>
    <mergeCell ref="U674:U679"/>
    <mergeCell ref="A668:A673"/>
    <mergeCell ref="B668:B673"/>
    <mergeCell ref="C668:C673"/>
    <mergeCell ref="D668:D673"/>
    <mergeCell ref="E668:E673"/>
    <mergeCell ref="F668:F673"/>
    <mergeCell ref="M668:M673"/>
    <mergeCell ref="N668:N673"/>
    <mergeCell ref="Q668:Q673"/>
    <mergeCell ref="N692:N697"/>
    <mergeCell ref="Q692:Q697"/>
    <mergeCell ref="R680:R685"/>
    <mergeCell ref="S680:S685"/>
    <mergeCell ref="T680:T685"/>
    <mergeCell ref="U680:U685"/>
    <mergeCell ref="A686:R686"/>
    <mergeCell ref="A687:U687"/>
    <mergeCell ref="A688:A691"/>
    <mergeCell ref="B688:B691"/>
    <mergeCell ref="C688:C691"/>
    <mergeCell ref="D688:D691"/>
    <mergeCell ref="E688:E691"/>
    <mergeCell ref="F688:F691"/>
    <mergeCell ref="M688:M691"/>
    <mergeCell ref="N688:N691"/>
    <mergeCell ref="Q688:Q691"/>
    <mergeCell ref="R688:R691"/>
    <mergeCell ref="S688:S691"/>
    <mergeCell ref="T688:T691"/>
    <mergeCell ref="U688:U691"/>
    <mergeCell ref="A680:A685"/>
    <mergeCell ref="B680:B685"/>
    <mergeCell ref="C680:C685"/>
    <mergeCell ref="D680:D685"/>
    <mergeCell ref="E680:E685"/>
    <mergeCell ref="F680:F685"/>
    <mergeCell ref="M680:M685"/>
    <mergeCell ref="N680:N685"/>
    <mergeCell ref="Q680:Q685"/>
    <mergeCell ref="B704:B709"/>
    <mergeCell ref="C704:C709"/>
    <mergeCell ref="D704:D709"/>
    <mergeCell ref="E704:E709"/>
    <mergeCell ref="F704:F709"/>
    <mergeCell ref="M704:M709"/>
    <mergeCell ref="N704:N709"/>
    <mergeCell ref="Q704:Q709"/>
    <mergeCell ref="R692:R697"/>
    <mergeCell ref="S692:S697"/>
    <mergeCell ref="T692:T697"/>
    <mergeCell ref="U692:U697"/>
    <mergeCell ref="A698:A703"/>
    <mergeCell ref="B698:B703"/>
    <mergeCell ref="C698:C703"/>
    <mergeCell ref="D698:D703"/>
    <mergeCell ref="E698:E703"/>
    <mergeCell ref="F698:F703"/>
    <mergeCell ref="M698:M703"/>
    <mergeCell ref="N698:N703"/>
    <mergeCell ref="Q698:Q703"/>
    <mergeCell ref="R698:R703"/>
    <mergeCell ref="S698:S703"/>
    <mergeCell ref="T698:T703"/>
    <mergeCell ref="U698:U703"/>
    <mergeCell ref="A692:A697"/>
    <mergeCell ref="B692:B697"/>
    <mergeCell ref="C692:C697"/>
    <mergeCell ref="D692:D697"/>
    <mergeCell ref="E692:E697"/>
    <mergeCell ref="F692:F697"/>
    <mergeCell ref="M692:M697"/>
    <mergeCell ref="R716:R721"/>
    <mergeCell ref="S716:S721"/>
    <mergeCell ref="T716:T721"/>
    <mergeCell ref="U716:U721"/>
    <mergeCell ref="A722:R722"/>
    <mergeCell ref="A716:A721"/>
    <mergeCell ref="B716:B721"/>
    <mergeCell ref="C716:C721"/>
    <mergeCell ref="D716:D721"/>
    <mergeCell ref="E716:E721"/>
    <mergeCell ref="F716:F721"/>
    <mergeCell ref="M716:M721"/>
    <mergeCell ref="N716:N721"/>
    <mergeCell ref="Q716:Q721"/>
    <mergeCell ref="R704:R709"/>
    <mergeCell ref="S704:S709"/>
    <mergeCell ref="T704:T709"/>
    <mergeCell ref="U704:U709"/>
    <mergeCell ref="A710:A715"/>
    <mergeCell ref="B710:B715"/>
    <mergeCell ref="C710:C715"/>
    <mergeCell ref="D710:D715"/>
    <mergeCell ref="E710:E715"/>
    <mergeCell ref="F710:F715"/>
    <mergeCell ref="M710:M715"/>
    <mergeCell ref="N710:N715"/>
    <mergeCell ref="Q710:Q715"/>
    <mergeCell ref="R710:R715"/>
    <mergeCell ref="S710:S715"/>
    <mergeCell ref="T710:T715"/>
    <mergeCell ref="U710:U715"/>
    <mergeCell ref="A704:A70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U722"/>
  <sheetViews>
    <sheetView workbookViewId="0">
      <selection activeCell="V14" sqref="V14"/>
    </sheetView>
  </sheetViews>
  <sheetFormatPr defaultRowHeight="15" x14ac:dyDescent="0.25"/>
  <cols>
    <col min="1" max="1" width="9.140625" style="16"/>
    <col min="2" max="5" width="0" style="16" hidden="1" customWidth="1"/>
    <col min="6" max="8" width="9.140625" style="16"/>
    <col min="9" max="10" width="0" style="16" hidden="1" customWidth="1"/>
    <col min="11" max="11" width="9.140625" style="16"/>
    <col min="12" max="13" width="0" style="16" hidden="1" customWidth="1"/>
    <col min="14" max="15" width="9.140625" style="16"/>
    <col min="16" max="17" width="0" style="16" hidden="1" customWidth="1"/>
    <col min="18" max="19" width="9.140625" style="16"/>
    <col min="20" max="21" width="0" style="16" hidden="1" customWidth="1"/>
  </cols>
  <sheetData>
    <row r="1" spans="1:21" ht="45" x14ac:dyDescent="0.25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3" t="s">
        <v>5</v>
      </c>
      <c r="G1" s="13" t="s">
        <v>6</v>
      </c>
      <c r="H1" s="13" t="s">
        <v>7</v>
      </c>
      <c r="I1" s="15" t="s">
        <v>8</v>
      </c>
      <c r="J1" s="15" t="s">
        <v>9</v>
      </c>
      <c r="K1" s="13" t="s">
        <v>31</v>
      </c>
      <c r="L1" s="14" t="s">
        <v>10</v>
      </c>
      <c r="M1" s="14" t="s">
        <v>11</v>
      </c>
      <c r="N1" s="13" t="s">
        <v>12</v>
      </c>
      <c r="O1" s="13" t="s">
        <v>13</v>
      </c>
      <c r="P1" s="14" t="s">
        <v>14</v>
      </c>
      <c r="Q1" s="14" t="s">
        <v>15</v>
      </c>
      <c r="R1" s="13" t="s">
        <v>16</v>
      </c>
      <c r="S1" s="13" t="s">
        <v>17</v>
      </c>
      <c r="T1" s="14" t="s">
        <v>18</v>
      </c>
      <c r="U1" s="14" t="s">
        <v>19</v>
      </c>
    </row>
    <row r="2" spans="1:21" x14ac:dyDescent="0.25">
      <c r="A2" s="3">
        <v>1</v>
      </c>
      <c r="B2" s="4"/>
      <c r="C2" s="4"/>
      <c r="D2" s="4"/>
      <c r="E2" s="4"/>
      <c r="F2" s="3">
        <v>2</v>
      </c>
      <c r="G2" s="3">
        <v>3</v>
      </c>
      <c r="H2" s="3">
        <v>4</v>
      </c>
      <c r="I2" s="5"/>
      <c r="J2" s="6"/>
      <c r="K2" s="3">
        <v>5</v>
      </c>
      <c r="L2" s="4"/>
      <c r="M2" s="5"/>
      <c r="N2" s="3">
        <v>6</v>
      </c>
      <c r="O2" s="3">
        <v>7</v>
      </c>
      <c r="P2" s="4"/>
      <c r="Q2" s="5"/>
      <c r="R2" s="7">
        <v>8</v>
      </c>
      <c r="S2" s="7">
        <v>9</v>
      </c>
      <c r="T2" s="4"/>
      <c r="U2" s="4"/>
    </row>
    <row r="3" spans="1:21" x14ac:dyDescent="0.25">
      <c r="A3" s="27" t="s">
        <v>52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9"/>
    </row>
    <row r="4" spans="1:21" x14ac:dyDescent="0.25">
      <c r="A4" s="24">
        <v>250</v>
      </c>
      <c r="B4" s="24">
        <v>3</v>
      </c>
      <c r="C4" s="17">
        <v>0.5</v>
      </c>
      <c r="D4" s="24">
        <v>38</v>
      </c>
      <c r="E4" s="24">
        <v>4</v>
      </c>
      <c r="F4" s="25">
        <v>84</v>
      </c>
      <c r="G4" s="1">
        <v>175</v>
      </c>
      <c r="H4" s="2">
        <v>84.8</v>
      </c>
      <c r="I4" s="2">
        <v>-10.9</v>
      </c>
      <c r="J4" s="2">
        <v>-17</v>
      </c>
      <c r="K4" s="2">
        <f>I4</f>
        <v>-10.9</v>
      </c>
      <c r="L4" s="8">
        <f>10^((K4-H4)/10)</f>
        <v>2.6915348039269034E-10</v>
      </c>
      <c r="M4" s="26">
        <f>SUM(L4:L7)</f>
        <v>2.9225729621401879E-10</v>
      </c>
      <c r="N4" s="17">
        <f>10*LOG10(M4/E4)</f>
        <v>-101.36294629181224</v>
      </c>
      <c r="O4" s="9">
        <f>J4</f>
        <v>-17</v>
      </c>
      <c r="P4" s="8">
        <f>D4/B4*10^(O4/10)</f>
        <v>0.25273322656272468</v>
      </c>
      <c r="Q4" s="26">
        <f>SUM(P4:P7)</f>
        <v>0.55371730331132907</v>
      </c>
      <c r="R4" s="17">
        <f>10*LOG10(Q4)</f>
        <v>-2.5671190485141797</v>
      </c>
      <c r="S4" s="18">
        <f>F4+N4-Kzt-H</f>
        <v>-17.362946291812236</v>
      </c>
      <c r="T4" s="17">
        <v>0.2</v>
      </c>
      <c r="U4" s="21">
        <f>T4*10^((S4-R4)/10)</f>
        <v>6.628988587493282E-3</v>
      </c>
    </row>
    <row r="5" spans="1:21" x14ac:dyDescent="0.25">
      <c r="A5" s="24"/>
      <c r="B5" s="24"/>
      <c r="C5" s="17"/>
      <c r="D5" s="24"/>
      <c r="E5" s="24"/>
      <c r="F5" s="25"/>
      <c r="G5" s="1">
        <v>225</v>
      </c>
      <c r="H5" s="2">
        <v>90</v>
      </c>
      <c r="I5" s="2">
        <v>-22.2</v>
      </c>
      <c r="J5" s="2">
        <v>-22.9</v>
      </c>
      <c r="K5" s="2">
        <f t="shared" ref="K5:K37" si="0">I5</f>
        <v>-22.2</v>
      </c>
      <c r="L5" s="8">
        <f t="shared" ref="L5:L37" si="1">10^((K5-H5)/10)</f>
        <v>6.0255958607435596E-12</v>
      </c>
      <c r="M5" s="26"/>
      <c r="N5" s="17"/>
      <c r="O5" s="9">
        <f t="shared" ref="O5:O37" si="2">J5</f>
        <v>-22.9</v>
      </c>
      <c r="P5" s="8">
        <f>D4/B4*10^(O5/10)</f>
        <v>6.4962441972239521E-2</v>
      </c>
      <c r="Q5" s="26"/>
      <c r="R5" s="17"/>
      <c r="S5" s="19"/>
      <c r="T5" s="17"/>
      <c r="U5" s="22"/>
    </row>
    <row r="6" spans="1:21" x14ac:dyDescent="0.25">
      <c r="A6" s="24"/>
      <c r="B6" s="24"/>
      <c r="C6" s="17"/>
      <c r="D6" s="24"/>
      <c r="E6" s="24"/>
      <c r="F6" s="25"/>
      <c r="G6" s="1">
        <v>275</v>
      </c>
      <c r="H6" s="2">
        <v>92.2</v>
      </c>
      <c r="I6" s="2">
        <v>-17.600000000000001</v>
      </c>
      <c r="J6" s="2">
        <v>-21.3</v>
      </c>
      <c r="K6" s="2">
        <f t="shared" si="0"/>
        <v>-17.600000000000001</v>
      </c>
      <c r="L6" s="8">
        <f t="shared" si="1"/>
        <v>1.0471285480508978E-11</v>
      </c>
      <c r="M6" s="26"/>
      <c r="N6" s="17"/>
      <c r="O6" s="9">
        <f t="shared" si="2"/>
        <v>-21.3</v>
      </c>
      <c r="P6" s="8">
        <f>D4/B4*10^(O6/10)</f>
        <v>9.3899297231449533E-2</v>
      </c>
      <c r="Q6" s="26"/>
      <c r="R6" s="17"/>
      <c r="S6" s="19"/>
      <c r="T6" s="17"/>
      <c r="U6" s="22"/>
    </row>
    <row r="7" spans="1:21" x14ac:dyDescent="0.25">
      <c r="A7" s="24"/>
      <c r="B7" s="24"/>
      <c r="C7" s="17"/>
      <c r="D7" s="24"/>
      <c r="E7" s="24"/>
      <c r="F7" s="25"/>
      <c r="G7" s="1">
        <v>325</v>
      </c>
      <c r="H7" s="2">
        <v>93.3</v>
      </c>
      <c r="I7" s="2">
        <v>-18.5</v>
      </c>
      <c r="J7" s="2">
        <v>-19.5</v>
      </c>
      <c r="K7" s="2">
        <f t="shared" si="0"/>
        <v>-18.5</v>
      </c>
      <c r="L7" s="8">
        <f>10^((K7-H7)/10)</f>
        <v>6.6069344800759387E-12</v>
      </c>
      <c r="M7" s="26"/>
      <c r="N7" s="17"/>
      <c r="O7" s="9">
        <f t="shared" si="2"/>
        <v>-19.5</v>
      </c>
      <c r="P7" s="8">
        <f>D4/B4*10^(O7/10)</f>
        <v>0.14212233754491535</v>
      </c>
      <c r="Q7" s="26"/>
      <c r="R7" s="17"/>
      <c r="S7" s="20"/>
      <c r="T7" s="17"/>
      <c r="U7" s="23"/>
    </row>
    <row r="8" spans="1:21" x14ac:dyDescent="0.25">
      <c r="A8" s="24">
        <v>500</v>
      </c>
      <c r="B8" s="24">
        <v>3</v>
      </c>
      <c r="C8" s="17">
        <v>0.5</v>
      </c>
      <c r="D8" s="24">
        <v>59</v>
      </c>
      <c r="E8" s="24">
        <v>6</v>
      </c>
      <c r="F8" s="25">
        <v>84</v>
      </c>
      <c r="G8" s="1">
        <v>375</v>
      </c>
      <c r="H8" s="2">
        <v>91.9</v>
      </c>
      <c r="I8" s="2">
        <v>-16.8</v>
      </c>
      <c r="J8" s="2">
        <v>-22.5</v>
      </c>
      <c r="K8" s="2">
        <f t="shared" si="0"/>
        <v>-16.8</v>
      </c>
      <c r="L8" s="8">
        <f t="shared" si="1"/>
        <v>1.348962882591645E-11</v>
      </c>
      <c r="M8" s="26">
        <f>SUM(L8:L13)</f>
        <v>4.1376997859020043E-11</v>
      </c>
      <c r="N8" s="17">
        <f>10*LOG10(M8/E8)</f>
        <v>-111.61392273492302</v>
      </c>
      <c r="O8" s="9">
        <f t="shared" si="2"/>
        <v>-22.5</v>
      </c>
      <c r="P8" s="8">
        <f>D8/B8*10^(O8/10)</f>
        <v>0.1105937939541019</v>
      </c>
      <c r="Q8" s="26">
        <f>SUM(P8:P13)</f>
        <v>0.41270753019833006</v>
      </c>
      <c r="R8" s="17">
        <f>10*LOG10(Q8)</f>
        <v>-3.8435760697975074</v>
      </c>
      <c r="S8" s="18">
        <f>F8+N8-Kzt-H</f>
        <v>-27.613922734923023</v>
      </c>
      <c r="T8" s="17">
        <v>0.5</v>
      </c>
      <c r="U8" s="21">
        <f>T8*10^((S8-R8)/10)</f>
        <v>2.0986273953843087E-3</v>
      </c>
    </row>
    <row r="9" spans="1:21" x14ac:dyDescent="0.25">
      <c r="A9" s="24"/>
      <c r="B9" s="24"/>
      <c r="C9" s="17"/>
      <c r="D9" s="24"/>
      <c r="E9" s="24"/>
      <c r="F9" s="25"/>
      <c r="G9" s="1">
        <v>425</v>
      </c>
      <c r="H9" s="2">
        <v>88.1</v>
      </c>
      <c r="I9" s="2">
        <v>-21.3</v>
      </c>
      <c r="J9" s="2">
        <v>-21.4</v>
      </c>
      <c r="K9" s="2">
        <f t="shared" si="0"/>
        <v>-21.3</v>
      </c>
      <c r="L9" s="8">
        <f t="shared" si="1"/>
        <v>1.1481536214968803E-11</v>
      </c>
      <c r="M9" s="26"/>
      <c r="N9" s="17"/>
      <c r="O9" s="9">
        <f t="shared" si="2"/>
        <v>-21.4</v>
      </c>
      <c r="P9" s="8">
        <f>D8/B8*10^(O9/10)</f>
        <v>0.14247240548141471</v>
      </c>
      <c r="Q9" s="26"/>
      <c r="R9" s="17"/>
      <c r="S9" s="19"/>
      <c r="T9" s="17"/>
      <c r="U9" s="22"/>
    </row>
    <row r="10" spans="1:21" x14ac:dyDescent="0.25">
      <c r="A10" s="24"/>
      <c r="B10" s="24"/>
      <c r="C10" s="17"/>
      <c r="D10" s="24"/>
      <c r="E10" s="24"/>
      <c r="F10" s="25"/>
      <c r="G10" s="1">
        <v>475</v>
      </c>
      <c r="H10" s="2">
        <v>90</v>
      </c>
      <c r="I10" s="2">
        <v>-24.3</v>
      </c>
      <c r="J10" s="2">
        <v>-24.6</v>
      </c>
      <c r="K10" s="2">
        <f t="shared" si="0"/>
        <v>-24.3</v>
      </c>
      <c r="L10" s="8">
        <f>10^((K10-H10)/10)</f>
        <v>3.7153522909717219E-12</v>
      </c>
      <c r="M10" s="26"/>
      <c r="N10" s="17"/>
      <c r="O10" s="9">
        <f t="shared" si="2"/>
        <v>-24.6</v>
      </c>
      <c r="P10" s="8">
        <f>D8/B8*10^(O10/10)</f>
        <v>6.8191580588997866E-2</v>
      </c>
      <c r="Q10" s="26"/>
      <c r="R10" s="17"/>
      <c r="S10" s="19"/>
      <c r="T10" s="17"/>
      <c r="U10" s="22"/>
    </row>
    <row r="11" spans="1:21" x14ac:dyDescent="0.25">
      <c r="A11" s="24"/>
      <c r="B11" s="24"/>
      <c r="C11" s="17"/>
      <c r="D11" s="24"/>
      <c r="E11" s="24"/>
      <c r="F11" s="25"/>
      <c r="G11" s="1">
        <v>575</v>
      </c>
      <c r="H11" s="2">
        <v>97</v>
      </c>
      <c r="I11" s="2">
        <v>-20.100000000000001</v>
      </c>
      <c r="J11" s="2">
        <v>-26.8</v>
      </c>
      <c r="K11" s="2">
        <f t="shared" si="0"/>
        <v>-20.100000000000001</v>
      </c>
      <c r="L11" s="8">
        <f t="shared" si="1"/>
        <v>1.9498445997580419E-12</v>
      </c>
      <c r="M11" s="26"/>
      <c r="N11" s="17"/>
      <c r="O11" s="9">
        <f t="shared" si="2"/>
        <v>-26.8</v>
      </c>
      <c r="P11" s="8">
        <f>D8/B8*10^(O11/10)</f>
        <v>4.1089490573462735E-2</v>
      </c>
      <c r="Q11" s="26"/>
      <c r="R11" s="17"/>
      <c r="S11" s="19"/>
      <c r="T11" s="17"/>
      <c r="U11" s="22"/>
    </row>
    <row r="12" spans="1:21" x14ac:dyDescent="0.25">
      <c r="A12" s="24"/>
      <c r="B12" s="24"/>
      <c r="C12" s="17"/>
      <c r="D12" s="24"/>
      <c r="E12" s="24"/>
      <c r="F12" s="25"/>
      <c r="G12" s="1">
        <v>625</v>
      </c>
      <c r="H12" s="2">
        <v>92</v>
      </c>
      <c r="I12" s="2">
        <v>-20.7</v>
      </c>
      <c r="J12" s="2">
        <v>-28.5</v>
      </c>
      <c r="K12" s="2">
        <f t="shared" si="0"/>
        <v>-20.7</v>
      </c>
      <c r="L12" s="8">
        <f t="shared" si="1"/>
        <v>5.3703179637025143E-12</v>
      </c>
      <c r="M12" s="26"/>
      <c r="N12" s="17"/>
      <c r="O12" s="9">
        <f t="shared" si="2"/>
        <v>-28.5</v>
      </c>
      <c r="P12" s="8">
        <f>D8/B8*10^(O12/10)</f>
        <v>2.7779905044247471E-2</v>
      </c>
      <c r="Q12" s="26"/>
      <c r="R12" s="17"/>
      <c r="S12" s="19"/>
      <c r="T12" s="17"/>
      <c r="U12" s="22"/>
    </row>
    <row r="13" spans="1:21" x14ac:dyDescent="0.25">
      <c r="A13" s="24"/>
      <c r="B13" s="24"/>
      <c r="C13" s="17"/>
      <c r="D13" s="24"/>
      <c r="E13" s="24"/>
      <c r="F13" s="25"/>
      <c r="G13" s="1">
        <v>675</v>
      </c>
      <c r="H13" s="2">
        <v>94.5</v>
      </c>
      <c r="I13" s="2">
        <v>-18.2</v>
      </c>
      <c r="J13" s="2">
        <v>-29.4</v>
      </c>
      <c r="K13" s="2">
        <f t="shared" si="0"/>
        <v>-18.2</v>
      </c>
      <c r="L13" s="8">
        <f t="shared" si="1"/>
        <v>5.3703179637025143E-12</v>
      </c>
      <c r="M13" s="26"/>
      <c r="N13" s="17"/>
      <c r="O13" s="9">
        <f t="shared" si="2"/>
        <v>-29.4</v>
      </c>
      <c r="P13" s="8">
        <f>D8/B8*10^(O13/10)</f>
        <v>2.2580354556105357E-2</v>
      </c>
      <c r="Q13" s="26"/>
      <c r="R13" s="17"/>
      <c r="S13" s="20"/>
      <c r="T13" s="17"/>
      <c r="U13" s="23"/>
    </row>
    <row r="14" spans="1:21" x14ac:dyDescent="0.25">
      <c r="A14" s="24">
        <v>1000</v>
      </c>
      <c r="B14" s="24">
        <v>3</v>
      </c>
      <c r="C14" s="17">
        <v>0.5</v>
      </c>
      <c r="D14" s="24">
        <v>117</v>
      </c>
      <c r="E14" s="24">
        <v>6</v>
      </c>
      <c r="F14" s="25">
        <v>76</v>
      </c>
      <c r="G14" s="1">
        <v>875</v>
      </c>
      <c r="H14" s="2">
        <v>91.1</v>
      </c>
      <c r="I14" s="2">
        <v>-18.7</v>
      </c>
      <c r="J14" s="2">
        <v>-25.8</v>
      </c>
      <c r="K14" s="2">
        <f t="shared" si="0"/>
        <v>-18.7</v>
      </c>
      <c r="L14" s="8">
        <f t="shared" si="1"/>
        <v>1.0471285480508978E-11</v>
      </c>
      <c r="M14" s="26">
        <f>SUM(L14:L19)</f>
        <v>1.6309131705217299E-11</v>
      </c>
      <c r="N14" s="17">
        <f>10*LOG10(M14/E14)</f>
        <v>-115.65720410475855</v>
      </c>
      <c r="O14" s="9">
        <f t="shared" si="2"/>
        <v>-25.8</v>
      </c>
      <c r="P14" s="8">
        <f>D14/B14*10^(O14/10)</f>
        <v>0.10258045168391978</v>
      </c>
      <c r="Q14" s="26">
        <f>SUM(P14:P19)</f>
        <v>0.66802255829167712</v>
      </c>
      <c r="R14" s="17">
        <f>10*LOG10(Q14)</f>
        <v>-1.7520887169185042</v>
      </c>
      <c r="S14" s="18">
        <f>F14+N14-Kzt-H</f>
        <v>-39.657204104758549</v>
      </c>
      <c r="T14" s="17">
        <v>0.8</v>
      </c>
      <c r="U14" s="21">
        <f>T14*10^((S14-R14)/10)</f>
        <v>1.2959207633052151E-4</v>
      </c>
    </row>
    <row r="15" spans="1:21" x14ac:dyDescent="0.25">
      <c r="A15" s="24"/>
      <c r="B15" s="24"/>
      <c r="C15" s="17"/>
      <c r="D15" s="24"/>
      <c r="E15" s="24"/>
      <c r="F15" s="25"/>
      <c r="G15" s="1">
        <v>975</v>
      </c>
      <c r="H15" s="2">
        <v>96.5</v>
      </c>
      <c r="I15" s="2">
        <v>-20.9</v>
      </c>
      <c r="J15" s="2">
        <v>-26.9</v>
      </c>
      <c r="K15" s="2">
        <f t="shared" si="0"/>
        <v>-20.9</v>
      </c>
      <c r="L15" s="8">
        <f t="shared" si="1"/>
        <v>1.8197008586099809E-12</v>
      </c>
      <c r="M15" s="26"/>
      <c r="N15" s="17"/>
      <c r="O15" s="9">
        <f t="shared" si="2"/>
        <v>-26.9</v>
      </c>
      <c r="P15" s="8">
        <f>D14/B14*10^(O15/10)</f>
        <v>7.962777984211164E-2</v>
      </c>
      <c r="Q15" s="26"/>
      <c r="R15" s="17"/>
      <c r="S15" s="19"/>
      <c r="T15" s="17"/>
      <c r="U15" s="22"/>
    </row>
    <row r="16" spans="1:21" x14ac:dyDescent="0.25">
      <c r="A16" s="24"/>
      <c r="B16" s="24"/>
      <c r="C16" s="17"/>
      <c r="D16" s="24"/>
      <c r="E16" s="24"/>
      <c r="F16" s="25"/>
      <c r="G16" s="1">
        <v>1075</v>
      </c>
      <c r="H16" s="2">
        <v>94.6</v>
      </c>
      <c r="I16" s="2">
        <v>-25</v>
      </c>
      <c r="J16" s="2">
        <v>-26.1</v>
      </c>
      <c r="K16" s="2">
        <f t="shared" si="0"/>
        <v>-25</v>
      </c>
      <c r="L16" s="8">
        <f t="shared" si="1"/>
        <v>1.0964781961431857E-12</v>
      </c>
      <c r="M16" s="26"/>
      <c r="N16" s="17"/>
      <c r="O16" s="9">
        <f t="shared" si="2"/>
        <v>-26.1</v>
      </c>
      <c r="P16" s="8">
        <f>D14/B14*10^(O16/10)</f>
        <v>9.5733647711716024E-2</v>
      </c>
      <c r="Q16" s="26"/>
      <c r="R16" s="17"/>
      <c r="S16" s="19"/>
      <c r="T16" s="17"/>
      <c r="U16" s="22"/>
    </row>
    <row r="17" spans="1:21" x14ac:dyDescent="0.25">
      <c r="A17" s="24"/>
      <c r="B17" s="24"/>
      <c r="C17" s="17"/>
      <c r="D17" s="24"/>
      <c r="E17" s="24"/>
      <c r="F17" s="25"/>
      <c r="G17" s="1">
        <v>1175</v>
      </c>
      <c r="H17" s="2">
        <v>97.8</v>
      </c>
      <c r="I17" s="2">
        <v>-20.9</v>
      </c>
      <c r="J17" s="2">
        <v>-32.799999999999997</v>
      </c>
      <c r="K17" s="2">
        <f t="shared" si="0"/>
        <v>-20.9</v>
      </c>
      <c r="L17" s="8">
        <f t="shared" si="1"/>
        <v>1.3489628825916532E-12</v>
      </c>
      <c r="M17" s="26"/>
      <c r="N17" s="17"/>
      <c r="O17" s="9">
        <f t="shared" si="2"/>
        <v>-32.799999999999997</v>
      </c>
      <c r="P17" s="8">
        <f>D14/B14*10^(O17/10)</f>
        <v>2.046749094974112E-2</v>
      </c>
      <c r="Q17" s="26"/>
      <c r="R17" s="17"/>
      <c r="S17" s="19"/>
      <c r="T17" s="17"/>
      <c r="U17" s="22"/>
    </row>
    <row r="18" spans="1:21" x14ac:dyDescent="0.25">
      <c r="A18" s="24"/>
      <c r="B18" s="24"/>
      <c r="C18" s="17"/>
      <c r="D18" s="24"/>
      <c r="E18" s="24"/>
      <c r="F18" s="25"/>
      <c r="G18" s="1">
        <v>1275</v>
      </c>
      <c r="H18" s="2">
        <v>100.1</v>
      </c>
      <c r="I18" s="2">
        <v>-20.3</v>
      </c>
      <c r="J18" s="2">
        <v>-22.1</v>
      </c>
      <c r="K18" s="2">
        <f t="shared" si="0"/>
        <v>-20.3</v>
      </c>
      <c r="L18" s="8">
        <f t="shared" si="1"/>
        <v>9.1201083935590769E-13</v>
      </c>
      <c r="M18" s="26"/>
      <c r="N18" s="17"/>
      <c r="O18" s="9">
        <f t="shared" si="2"/>
        <v>-22.1</v>
      </c>
      <c r="P18" s="8">
        <f>D14/B14*10^(O18/10)</f>
        <v>0.24047205072597796</v>
      </c>
      <c r="Q18" s="26"/>
      <c r="R18" s="17"/>
      <c r="S18" s="19"/>
      <c r="T18" s="17"/>
      <c r="U18" s="22"/>
    </row>
    <row r="19" spans="1:21" x14ac:dyDescent="0.25">
      <c r="A19" s="24"/>
      <c r="B19" s="24"/>
      <c r="C19" s="17"/>
      <c r="D19" s="24"/>
      <c r="E19" s="24"/>
      <c r="F19" s="25"/>
      <c r="G19" s="1">
        <v>1375</v>
      </c>
      <c r="H19" s="2">
        <v>103</v>
      </c>
      <c r="I19" s="2">
        <v>-18.8</v>
      </c>
      <c r="J19" s="2">
        <v>-24.8</v>
      </c>
      <c r="K19" s="2">
        <f t="shared" si="0"/>
        <v>-18.8</v>
      </c>
      <c r="L19" s="8">
        <f t="shared" si="1"/>
        <v>6.606934480075954E-13</v>
      </c>
      <c r="M19" s="26"/>
      <c r="N19" s="17"/>
      <c r="O19" s="9">
        <f t="shared" si="2"/>
        <v>-24.8</v>
      </c>
      <c r="P19" s="8">
        <f>D14/B14*10^(O19/10)</f>
        <v>0.12914113737821051</v>
      </c>
      <c r="Q19" s="26"/>
      <c r="R19" s="17"/>
      <c r="S19" s="20"/>
      <c r="T19" s="17"/>
      <c r="U19" s="23"/>
    </row>
    <row r="20" spans="1:21" x14ac:dyDescent="0.25">
      <c r="A20" s="24">
        <v>2000</v>
      </c>
      <c r="B20" s="24">
        <v>3</v>
      </c>
      <c r="C20" s="17">
        <v>0.5</v>
      </c>
      <c r="D20" s="24">
        <v>234</v>
      </c>
      <c r="E20" s="24">
        <v>6</v>
      </c>
      <c r="F20" s="25">
        <v>68</v>
      </c>
      <c r="G20" s="1">
        <v>1425</v>
      </c>
      <c r="H20" s="2">
        <v>102.8</v>
      </c>
      <c r="I20" s="2">
        <v>-17.5</v>
      </c>
      <c r="J20" s="2">
        <v>-24.2</v>
      </c>
      <c r="K20" s="2">
        <f t="shared" si="0"/>
        <v>-17.5</v>
      </c>
      <c r="L20" s="8">
        <f t="shared" si="1"/>
        <v>9.3325430079698887E-13</v>
      </c>
      <c r="M20" s="26">
        <f>SUM(L20:L25)</f>
        <v>6.2553084253511735E-12</v>
      </c>
      <c r="N20" s="17">
        <f>10*LOG10(M20/E20)</f>
        <v>-119.81902522425216</v>
      </c>
      <c r="O20" s="9">
        <f t="shared" si="2"/>
        <v>-24.2</v>
      </c>
      <c r="P20" s="8">
        <f>D20/B20*10^(O20/10)</f>
        <v>0.29654772913003774</v>
      </c>
      <c r="Q20" s="26">
        <f>SUM(P20:P25)</f>
        <v>1.8043739905726746</v>
      </c>
      <c r="R20" s="17">
        <f>10*LOG10(Q20)</f>
        <v>2.5632655826596511</v>
      </c>
      <c r="S20" s="18">
        <f>F20+N20-Kzt-H</f>
        <v>-51.819025224252158</v>
      </c>
      <c r="T20" s="17">
        <v>1</v>
      </c>
      <c r="U20" s="21">
        <f>T20*10^((S20-R20)/10)</f>
        <v>3.6456159805609398E-6</v>
      </c>
    </row>
    <row r="21" spans="1:21" x14ac:dyDescent="0.25">
      <c r="A21" s="24"/>
      <c r="B21" s="24"/>
      <c r="C21" s="17"/>
      <c r="D21" s="24"/>
      <c r="E21" s="24"/>
      <c r="F21" s="25"/>
      <c r="G21" s="1">
        <v>1625</v>
      </c>
      <c r="H21" s="2">
        <v>104.1</v>
      </c>
      <c r="I21" s="2">
        <v>-21.8</v>
      </c>
      <c r="J21" s="2">
        <v>-22.8</v>
      </c>
      <c r="K21" s="2">
        <f t="shared" si="0"/>
        <v>-21.8</v>
      </c>
      <c r="L21" s="8">
        <f t="shared" si="1"/>
        <v>2.5703957827688533E-13</v>
      </c>
      <c r="M21" s="26"/>
      <c r="N21" s="17"/>
      <c r="O21" s="9">
        <f t="shared" si="2"/>
        <v>-22.8</v>
      </c>
      <c r="P21" s="8">
        <f>D20/B20*10^(O21/10)</f>
        <v>0.40934981899482203</v>
      </c>
      <c r="Q21" s="26"/>
      <c r="R21" s="17"/>
      <c r="S21" s="19"/>
      <c r="T21" s="17"/>
      <c r="U21" s="22"/>
    </row>
    <row r="22" spans="1:21" x14ac:dyDescent="0.25">
      <c r="A22" s="24"/>
      <c r="B22" s="24"/>
      <c r="C22" s="17"/>
      <c r="D22" s="24"/>
      <c r="E22" s="24"/>
      <c r="F22" s="25"/>
      <c r="G22" s="1">
        <v>1825</v>
      </c>
      <c r="H22" s="2">
        <v>107.6</v>
      </c>
      <c r="I22" s="2">
        <v>-15.1</v>
      </c>
      <c r="J22" s="2">
        <v>-24.6</v>
      </c>
      <c r="K22" s="2">
        <f t="shared" si="0"/>
        <v>-15.1</v>
      </c>
      <c r="L22" s="8">
        <f t="shared" si="1"/>
        <v>5.3703179637025273E-13</v>
      </c>
      <c r="M22" s="26"/>
      <c r="N22" s="17"/>
      <c r="O22" s="9">
        <f t="shared" si="2"/>
        <v>-24.6</v>
      </c>
      <c r="P22" s="8">
        <f>D20/B20*10^(O22/10)</f>
        <v>0.27045474335297459</v>
      </c>
      <c r="Q22" s="26"/>
      <c r="R22" s="17"/>
      <c r="S22" s="19"/>
      <c r="T22" s="17"/>
      <c r="U22" s="22"/>
    </row>
    <row r="23" spans="1:21" x14ac:dyDescent="0.25">
      <c r="A23" s="24"/>
      <c r="B23" s="24"/>
      <c r="C23" s="17"/>
      <c r="D23" s="24"/>
      <c r="E23" s="24"/>
      <c r="F23" s="25"/>
      <c r="G23" s="1">
        <v>2125</v>
      </c>
      <c r="H23" s="2">
        <v>104.2</v>
      </c>
      <c r="I23" s="2">
        <v>-21.2</v>
      </c>
      <c r="J23" s="2">
        <v>-22.4</v>
      </c>
      <c r="K23" s="2">
        <f t="shared" si="0"/>
        <v>-21.2</v>
      </c>
      <c r="L23" s="8">
        <f t="shared" si="1"/>
        <v>2.8840315031265929E-13</v>
      </c>
      <c r="M23" s="26"/>
      <c r="N23" s="17"/>
      <c r="O23" s="9">
        <f t="shared" si="2"/>
        <v>-22.4</v>
      </c>
      <c r="P23" s="8">
        <f>D20/B20*10^(O23/10)</f>
        <v>0.44884315112298245</v>
      </c>
      <c r="Q23" s="26"/>
      <c r="R23" s="17"/>
      <c r="S23" s="19"/>
      <c r="T23" s="17"/>
      <c r="U23" s="22"/>
    </row>
    <row r="24" spans="1:21" x14ac:dyDescent="0.25">
      <c r="A24" s="24"/>
      <c r="B24" s="24"/>
      <c r="C24" s="17"/>
      <c r="D24" s="24"/>
      <c r="E24" s="24"/>
      <c r="F24" s="25"/>
      <c r="G24" s="1">
        <v>2425</v>
      </c>
      <c r="H24" s="2">
        <v>93.7</v>
      </c>
      <c r="I24" s="2">
        <v>-21</v>
      </c>
      <c r="J24" s="2">
        <v>-25.9</v>
      </c>
      <c r="K24" s="2">
        <f t="shared" si="0"/>
        <v>-21</v>
      </c>
      <c r="L24" s="8">
        <f t="shared" si="1"/>
        <v>3.3884415613920115E-12</v>
      </c>
      <c r="M24" s="26"/>
      <c r="N24" s="17"/>
      <c r="O24" s="9">
        <f t="shared" si="2"/>
        <v>-25.9</v>
      </c>
      <c r="P24" s="8">
        <f>D20/B20*10^(O24/10)</f>
        <v>0.20049087105597135</v>
      </c>
      <c r="Q24" s="26"/>
      <c r="R24" s="17"/>
      <c r="S24" s="19"/>
      <c r="T24" s="17"/>
      <c r="U24" s="22"/>
    </row>
    <row r="25" spans="1:21" x14ac:dyDescent="0.25">
      <c r="A25" s="24"/>
      <c r="B25" s="24"/>
      <c r="C25" s="17"/>
      <c r="D25" s="24"/>
      <c r="E25" s="24"/>
      <c r="F25" s="25"/>
      <c r="G25" s="1">
        <v>2775</v>
      </c>
      <c r="H25" s="2">
        <v>100.2</v>
      </c>
      <c r="I25" s="2">
        <v>-20.5</v>
      </c>
      <c r="J25" s="2">
        <v>-26.4</v>
      </c>
      <c r="K25" s="2">
        <f t="shared" si="0"/>
        <v>-20.5</v>
      </c>
      <c r="L25" s="8">
        <f t="shared" si="1"/>
        <v>8.5113803820237492E-13</v>
      </c>
      <c r="M25" s="26"/>
      <c r="N25" s="17"/>
      <c r="O25" s="9">
        <f t="shared" si="2"/>
        <v>-26.4</v>
      </c>
      <c r="P25" s="8">
        <f>D20/B20*10^(O25/10)</f>
        <v>0.17868767691588636</v>
      </c>
      <c r="Q25" s="26"/>
      <c r="R25" s="17"/>
      <c r="S25" s="20"/>
      <c r="T25" s="17"/>
      <c r="U25" s="23"/>
    </row>
    <row r="26" spans="1:21" x14ac:dyDescent="0.25">
      <c r="A26" s="24">
        <v>4000</v>
      </c>
      <c r="B26" s="24">
        <v>3</v>
      </c>
      <c r="C26" s="17">
        <v>0.5</v>
      </c>
      <c r="D26" s="24">
        <v>470</v>
      </c>
      <c r="E26" s="24">
        <v>6</v>
      </c>
      <c r="F26" s="25">
        <v>62</v>
      </c>
      <c r="G26" s="1">
        <v>2825</v>
      </c>
      <c r="H26" s="2">
        <v>99.4</v>
      </c>
      <c r="I26" s="2">
        <v>-24.4</v>
      </c>
      <c r="J26" s="2">
        <v>-25.8</v>
      </c>
      <c r="K26" s="2">
        <f t="shared" si="0"/>
        <v>-24.4</v>
      </c>
      <c r="L26" s="8">
        <f t="shared" si="1"/>
        <v>4.1686938347033292E-13</v>
      </c>
      <c r="M26" s="26">
        <f>SUM(L26:L31)</f>
        <v>2.1930925396535265E-12</v>
      </c>
      <c r="N26" s="17">
        <f>10*LOG10(M26/E26)</f>
        <v>-124.37094292845219</v>
      </c>
      <c r="O26" s="9">
        <f t="shared" si="2"/>
        <v>-25.8</v>
      </c>
      <c r="P26" s="8">
        <f>D26/B26*10^(O26/10)</f>
        <v>0.41207531873027603</v>
      </c>
      <c r="Q26" s="26">
        <f>SUM(P26:P31)</f>
        <v>2.6547993610255922</v>
      </c>
      <c r="R26" s="17">
        <f>10*LOG10(Q26)</f>
        <v>4.2403170444119223</v>
      </c>
      <c r="S26" s="18">
        <f>F26+N26-Kzt-H</f>
        <v>-62.370942928452195</v>
      </c>
      <c r="T26" s="17">
        <v>0.9</v>
      </c>
      <c r="U26" s="21">
        <f>T26*10^((S26-R26)/10)</f>
        <v>1.96388707611676E-7</v>
      </c>
    </row>
    <row r="27" spans="1:21" x14ac:dyDescent="0.25">
      <c r="A27" s="24"/>
      <c r="B27" s="24"/>
      <c r="C27" s="17"/>
      <c r="D27" s="24"/>
      <c r="E27" s="24"/>
      <c r="F27" s="25"/>
      <c r="G27" s="1">
        <v>3425</v>
      </c>
      <c r="H27" s="2">
        <v>103.5</v>
      </c>
      <c r="I27" s="2">
        <v>-20.8</v>
      </c>
      <c r="J27" s="2">
        <v>-25.2</v>
      </c>
      <c r="K27" s="2">
        <f t="shared" si="0"/>
        <v>-20.8</v>
      </c>
      <c r="L27" s="8">
        <f t="shared" si="1"/>
        <v>3.7153522909717175E-13</v>
      </c>
      <c r="M27" s="26"/>
      <c r="N27" s="17"/>
      <c r="O27" s="9">
        <f t="shared" si="2"/>
        <v>-25.2</v>
      </c>
      <c r="P27" s="8">
        <f>D26/B26*10^(O27/10)</f>
        <v>0.47312576952964874</v>
      </c>
      <c r="Q27" s="26"/>
      <c r="R27" s="17"/>
      <c r="S27" s="19"/>
      <c r="T27" s="17"/>
      <c r="U27" s="22"/>
    </row>
    <row r="28" spans="1:21" x14ac:dyDescent="0.25">
      <c r="A28" s="24"/>
      <c r="B28" s="24"/>
      <c r="C28" s="17"/>
      <c r="D28" s="24"/>
      <c r="E28" s="24"/>
      <c r="F28" s="25"/>
      <c r="G28" s="1">
        <v>4025</v>
      </c>
      <c r="H28" s="2">
        <v>103.6</v>
      </c>
      <c r="I28" s="2">
        <v>-25.5</v>
      </c>
      <c r="J28" s="2">
        <v>-26.4</v>
      </c>
      <c r="K28" s="2">
        <f t="shared" si="0"/>
        <v>-25.5</v>
      </c>
      <c r="L28" s="8">
        <f t="shared" si="1"/>
        <v>1.2302687708123759E-13</v>
      </c>
      <c r="M28" s="26"/>
      <c r="N28" s="17"/>
      <c r="O28" s="9">
        <f t="shared" si="2"/>
        <v>-26.4</v>
      </c>
      <c r="P28" s="8">
        <f>D26/B26*10^(O28/10)</f>
        <v>0.35890259893361787</v>
      </c>
      <c r="Q28" s="26"/>
      <c r="R28" s="17"/>
      <c r="S28" s="19"/>
      <c r="T28" s="17"/>
      <c r="U28" s="22"/>
    </row>
    <row r="29" spans="1:21" x14ac:dyDescent="0.25">
      <c r="A29" s="24"/>
      <c r="B29" s="24"/>
      <c r="C29" s="17"/>
      <c r="D29" s="24"/>
      <c r="E29" s="24"/>
      <c r="F29" s="25"/>
      <c r="G29" s="1">
        <v>4625</v>
      </c>
      <c r="H29" s="2">
        <v>105.6</v>
      </c>
      <c r="I29" s="2">
        <v>-22.6</v>
      </c>
      <c r="J29" s="2">
        <v>-24.3</v>
      </c>
      <c r="K29" s="2">
        <f t="shared" si="0"/>
        <v>-22.6</v>
      </c>
      <c r="L29" s="8">
        <f t="shared" si="1"/>
        <v>1.5135612484362107E-13</v>
      </c>
      <c r="M29" s="26"/>
      <c r="N29" s="17"/>
      <c r="O29" s="9">
        <f t="shared" si="2"/>
        <v>-24.3</v>
      </c>
      <c r="P29" s="8">
        <f>D26/B26*10^(O29/10)</f>
        <v>0.58207185891890312</v>
      </c>
      <c r="Q29" s="26"/>
      <c r="R29" s="17"/>
      <c r="S29" s="19"/>
      <c r="T29" s="17"/>
      <c r="U29" s="22"/>
    </row>
    <row r="30" spans="1:21" x14ac:dyDescent="0.25">
      <c r="A30" s="24"/>
      <c r="B30" s="24"/>
      <c r="C30" s="17"/>
      <c r="D30" s="24"/>
      <c r="E30" s="24"/>
      <c r="F30" s="25"/>
      <c r="G30" s="1">
        <v>5225</v>
      </c>
      <c r="H30" s="2">
        <v>103.5</v>
      </c>
      <c r="I30" s="2">
        <v>-27.3</v>
      </c>
      <c r="J30" s="2">
        <v>-29.9</v>
      </c>
      <c r="K30" s="2">
        <f t="shared" si="0"/>
        <v>-27.3</v>
      </c>
      <c r="L30" s="8">
        <f t="shared" si="1"/>
        <v>8.3176377110266555E-14</v>
      </c>
      <c r="M30" s="26"/>
      <c r="N30" s="17"/>
      <c r="O30" s="9">
        <f t="shared" si="2"/>
        <v>-29.9</v>
      </c>
      <c r="P30" s="8">
        <f>D26/B26*10^(O30/10)</f>
        <v>0.1603159021239848</v>
      </c>
      <c r="Q30" s="26"/>
      <c r="R30" s="17"/>
      <c r="S30" s="19"/>
      <c r="T30" s="17"/>
      <c r="U30" s="22"/>
    </row>
    <row r="31" spans="1:21" x14ac:dyDescent="0.25">
      <c r="A31" s="24"/>
      <c r="B31" s="24"/>
      <c r="C31" s="17"/>
      <c r="D31" s="24"/>
      <c r="E31" s="24"/>
      <c r="F31" s="25"/>
      <c r="G31" s="1">
        <v>5625</v>
      </c>
      <c r="H31" s="2">
        <v>99.5</v>
      </c>
      <c r="I31" s="2">
        <v>-20.3</v>
      </c>
      <c r="J31" s="2">
        <v>-23.7</v>
      </c>
      <c r="K31" s="2">
        <f t="shared" si="0"/>
        <v>-20.3</v>
      </c>
      <c r="L31" s="8">
        <f t="shared" si="1"/>
        <v>1.0471285480508967E-12</v>
      </c>
      <c r="M31" s="26"/>
      <c r="N31" s="17"/>
      <c r="O31" s="9">
        <f t="shared" si="2"/>
        <v>-23.7</v>
      </c>
      <c r="P31" s="8">
        <f>D26/B26*10^(O31/10)</f>
        <v>0.66830791278916157</v>
      </c>
      <c r="Q31" s="26"/>
      <c r="R31" s="17"/>
      <c r="S31" s="20"/>
      <c r="T31" s="17"/>
      <c r="U31" s="23"/>
    </row>
    <row r="32" spans="1:21" x14ac:dyDescent="0.25">
      <c r="A32" s="24">
        <v>8000</v>
      </c>
      <c r="B32" s="24">
        <v>3</v>
      </c>
      <c r="C32" s="17">
        <v>0.5</v>
      </c>
      <c r="D32" s="24">
        <v>943</v>
      </c>
      <c r="E32" s="24">
        <v>6</v>
      </c>
      <c r="F32" s="25">
        <v>54</v>
      </c>
      <c r="G32" s="1">
        <v>6025</v>
      </c>
      <c r="H32" s="2">
        <v>95</v>
      </c>
      <c r="I32" s="2">
        <v>-25.7</v>
      </c>
      <c r="J32" s="2">
        <v>-26.9</v>
      </c>
      <c r="K32" s="2">
        <f t="shared" si="0"/>
        <v>-25.7</v>
      </c>
      <c r="L32" s="8">
        <f t="shared" si="1"/>
        <v>8.5113803820237492E-13</v>
      </c>
      <c r="M32" s="26">
        <f>SUM(L32:L37)</f>
        <v>2.1381161427994781E-11</v>
      </c>
      <c r="N32" s="17">
        <f>10*LOG10(M32/E32)</f>
        <v>-114.48119957926721</v>
      </c>
      <c r="O32" s="9">
        <f t="shared" si="2"/>
        <v>-26.9</v>
      </c>
      <c r="P32" s="8">
        <f>D32/B32*10^(O32/10)</f>
        <v>0.64178629394112197</v>
      </c>
      <c r="Q32" s="26">
        <f>SUM(P32:P37)</f>
        <v>3.401164952122496</v>
      </c>
      <c r="R32" s="17">
        <f>10*LOG10(Q32)</f>
        <v>5.3162769516688257</v>
      </c>
      <c r="S32" s="18">
        <f>F32+N32-Kzt-H</f>
        <v>-60.481199579267212</v>
      </c>
      <c r="T32" s="17">
        <v>0.7</v>
      </c>
      <c r="U32" s="21">
        <f>T32*10^((S32-R32)/10)</f>
        <v>1.8422577276630908E-7</v>
      </c>
    </row>
    <row r="33" spans="1:21" x14ac:dyDescent="0.25">
      <c r="A33" s="24"/>
      <c r="B33" s="24"/>
      <c r="C33" s="17"/>
      <c r="D33" s="24"/>
      <c r="E33" s="24"/>
      <c r="F33" s="25"/>
      <c r="G33" s="1">
        <v>7025</v>
      </c>
      <c r="H33" s="2">
        <v>94.8</v>
      </c>
      <c r="I33" s="2">
        <v>-22</v>
      </c>
      <c r="J33" s="2">
        <v>-25.3</v>
      </c>
      <c r="K33" s="2">
        <f t="shared" si="0"/>
        <v>-22</v>
      </c>
      <c r="L33" s="8">
        <f t="shared" si="1"/>
        <v>2.0892961308540349E-12</v>
      </c>
      <c r="M33" s="26"/>
      <c r="N33" s="17"/>
      <c r="O33" s="9">
        <f t="shared" si="2"/>
        <v>-25.3</v>
      </c>
      <c r="P33" s="8">
        <f>D32/B32*10^(O33/10)</f>
        <v>0.92766343358213321</v>
      </c>
      <c r="Q33" s="26"/>
      <c r="R33" s="17"/>
      <c r="S33" s="19"/>
      <c r="T33" s="17"/>
      <c r="U33" s="22"/>
    </row>
    <row r="34" spans="1:21" x14ac:dyDescent="0.25">
      <c r="A34" s="24"/>
      <c r="B34" s="24"/>
      <c r="C34" s="17"/>
      <c r="D34" s="24"/>
      <c r="E34" s="24"/>
      <c r="F34" s="25"/>
      <c r="G34" s="1">
        <v>8025</v>
      </c>
      <c r="H34" s="2">
        <v>101.9</v>
      </c>
      <c r="I34" s="2">
        <v>-22.6</v>
      </c>
      <c r="J34" s="2">
        <v>-30.1</v>
      </c>
      <c r="K34" s="2">
        <f t="shared" si="0"/>
        <v>-22.6</v>
      </c>
      <c r="L34" s="8">
        <f t="shared" si="1"/>
        <v>3.5481338923357479E-13</v>
      </c>
      <c r="M34" s="26"/>
      <c r="N34" s="17"/>
      <c r="O34" s="9">
        <f t="shared" si="2"/>
        <v>-30.1</v>
      </c>
      <c r="P34" s="8">
        <f>D32/B32*10^(O34/10)</f>
        <v>0.30717823312044273</v>
      </c>
      <c r="Q34" s="26"/>
      <c r="R34" s="17"/>
      <c r="S34" s="19"/>
      <c r="T34" s="17"/>
      <c r="U34" s="22"/>
    </row>
    <row r="35" spans="1:21" x14ac:dyDescent="0.25">
      <c r="A35" s="24"/>
      <c r="B35" s="24"/>
      <c r="C35" s="17"/>
      <c r="D35" s="24"/>
      <c r="E35" s="24"/>
      <c r="F35" s="25"/>
      <c r="G35" s="1">
        <v>9025</v>
      </c>
      <c r="H35" s="2">
        <v>93.2</v>
      </c>
      <c r="I35" s="2">
        <v>-24.6</v>
      </c>
      <c r="J35" s="2">
        <v>-28.6</v>
      </c>
      <c r="K35" s="2">
        <f t="shared" si="0"/>
        <v>-24.6</v>
      </c>
      <c r="L35" s="8">
        <f t="shared" si="1"/>
        <v>1.6595869074375527E-12</v>
      </c>
      <c r="M35" s="26"/>
      <c r="N35" s="17"/>
      <c r="O35" s="9">
        <f t="shared" si="2"/>
        <v>-28.6</v>
      </c>
      <c r="P35" s="8">
        <f>D32/B32*10^(O35/10)</f>
        <v>0.43390078717350633</v>
      </c>
      <c r="Q35" s="26"/>
      <c r="R35" s="17"/>
      <c r="S35" s="19"/>
      <c r="T35" s="17"/>
      <c r="U35" s="22"/>
    </row>
    <row r="36" spans="1:21" x14ac:dyDescent="0.25">
      <c r="A36" s="24"/>
      <c r="B36" s="24"/>
      <c r="C36" s="17"/>
      <c r="D36" s="24"/>
      <c r="E36" s="24"/>
      <c r="F36" s="25"/>
      <c r="G36" s="1">
        <v>10025</v>
      </c>
      <c r="H36" s="2">
        <v>88.3</v>
      </c>
      <c r="I36" s="2">
        <v>-25</v>
      </c>
      <c r="J36" s="2">
        <v>-26.8</v>
      </c>
      <c r="K36" s="2">
        <f t="shared" si="0"/>
        <v>-25</v>
      </c>
      <c r="L36" s="8">
        <f t="shared" si="1"/>
        <v>4.6773514128719737E-12</v>
      </c>
      <c r="M36" s="26"/>
      <c r="N36" s="17"/>
      <c r="O36" s="9">
        <f t="shared" si="2"/>
        <v>-26.8</v>
      </c>
      <c r="P36" s="8">
        <f>D32/B32*10^(O36/10)</f>
        <v>0.65673541713178563</v>
      </c>
      <c r="Q36" s="26"/>
      <c r="R36" s="17"/>
      <c r="S36" s="19"/>
      <c r="T36" s="17"/>
      <c r="U36" s="22"/>
    </row>
    <row r="37" spans="1:21" x14ac:dyDescent="0.25">
      <c r="A37" s="24"/>
      <c r="B37" s="24"/>
      <c r="C37" s="17"/>
      <c r="D37" s="24"/>
      <c r="E37" s="24"/>
      <c r="F37" s="25"/>
      <c r="G37" s="1">
        <v>11025</v>
      </c>
      <c r="H37" s="2">
        <v>86</v>
      </c>
      <c r="I37" s="2">
        <v>-23.3</v>
      </c>
      <c r="J37" s="2">
        <v>-28.6</v>
      </c>
      <c r="K37" s="2">
        <f t="shared" si="0"/>
        <v>-23.3</v>
      </c>
      <c r="L37" s="8">
        <f t="shared" si="1"/>
        <v>1.1748975549395269E-11</v>
      </c>
      <c r="M37" s="26"/>
      <c r="N37" s="17"/>
      <c r="O37" s="9">
        <f t="shared" si="2"/>
        <v>-28.6</v>
      </c>
      <c r="P37" s="8">
        <f>D32/B32*10^(O37/10)</f>
        <v>0.43390078717350633</v>
      </c>
      <c r="Q37" s="26"/>
      <c r="R37" s="17"/>
      <c r="S37" s="20"/>
      <c r="T37" s="17"/>
      <c r="U37" s="23"/>
    </row>
    <row r="38" spans="1:21" x14ac:dyDescent="0.25">
      <c r="A38" s="24" t="s">
        <v>20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12">
        <f>U38</f>
        <v>7.5307303400056716E-2</v>
      </c>
      <c r="T38" s="2"/>
      <c r="U38" s="8">
        <f>0.8*SQRT(SUM(U4:U37))</f>
        <v>7.5307303400056716E-2</v>
      </c>
    </row>
    <row r="39" spans="1:21" x14ac:dyDescent="0.25">
      <c r="A39" s="27" t="s">
        <v>53</v>
      </c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9"/>
    </row>
    <row r="40" spans="1:21" x14ac:dyDescent="0.25">
      <c r="A40" s="24">
        <v>250</v>
      </c>
      <c r="B40" s="24">
        <v>3</v>
      </c>
      <c r="C40" s="17">
        <v>0.5</v>
      </c>
      <c r="D40" s="24">
        <v>38</v>
      </c>
      <c r="E40" s="24">
        <v>4</v>
      </c>
      <c r="F40" s="25">
        <v>84</v>
      </c>
      <c r="G40" s="1">
        <v>175</v>
      </c>
      <c r="H40" s="2">
        <v>84.8</v>
      </c>
      <c r="I40" s="2">
        <v>-15.4</v>
      </c>
      <c r="J40" s="2">
        <v>-25.3</v>
      </c>
      <c r="K40" s="2">
        <f>I40</f>
        <v>-15.4</v>
      </c>
      <c r="L40" s="8">
        <f>10^((K40-H40)/10)</f>
        <v>9.5499258602143585E-11</v>
      </c>
      <c r="M40" s="26">
        <f>SUM(L40:L43)</f>
        <v>1.2373617495547116E-10</v>
      </c>
      <c r="N40" s="17">
        <f>10*LOG10(M40/E40)</f>
        <v>-105.09563304740213</v>
      </c>
      <c r="O40" s="9">
        <f>J40</f>
        <v>-25.3</v>
      </c>
      <c r="P40" s="8">
        <f>D40/B40*10^(O40/10)</f>
        <v>3.7381983537774194E-2</v>
      </c>
      <c r="Q40" s="26">
        <f>SUM(P40:P43)</f>
        <v>0.18290738696266462</v>
      </c>
      <c r="R40" s="17">
        <f>10*LOG10(Q40)</f>
        <v>-7.3776875459826696</v>
      </c>
      <c r="S40" s="18">
        <f>F40+N40-Kzt-H</f>
        <v>-21.095633047402131</v>
      </c>
      <c r="T40" s="17">
        <v>0.2</v>
      </c>
      <c r="U40" s="21">
        <f>T40*10^((S40-R40)/10)</f>
        <v>8.4964096890462592E-3</v>
      </c>
    </row>
    <row r="41" spans="1:21" x14ac:dyDescent="0.25">
      <c r="A41" s="24"/>
      <c r="B41" s="24"/>
      <c r="C41" s="17"/>
      <c r="D41" s="24"/>
      <c r="E41" s="24"/>
      <c r="F41" s="25"/>
      <c r="G41" s="1">
        <v>225</v>
      </c>
      <c r="H41" s="2">
        <v>90</v>
      </c>
      <c r="I41" s="2">
        <v>-20.100000000000001</v>
      </c>
      <c r="J41" s="2">
        <v>-24.5</v>
      </c>
      <c r="K41" s="2">
        <f t="shared" ref="K41:K73" si="3">I41</f>
        <v>-20.100000000000001</v>
      </c>
      <c r="L41" s="8">
        <f t="shared" ref="L41:L42" si="4">10^((K41-H41)/10)</f>
        <v>9.7723722095580929E-12</v>
      </c>
      <c r="M41" s="26"/>
      <c r="N41" s="17"/>
      <c r="O41" s="9">
        <f t="shared" ref="O41:O73" si="5">J41</f>
        <v>-24.5</v>
      </c>
      <c r="P41" s="8">
        <f>D40/B40*10^(O41/10)</f>
        <v>4.4943029302919532E-2</v>
      </c>
      <c r="Q41" s="26"/>
      <c r="R41" s="17"/>
      <c r="S41" s="19"/>
      <c r="T41" s="17"/>
      <c r="U41" s="22"/>
    </row>
    <row r="42" spans="1:21" x14ac:dyDescent="0.25">
      <c r="A42" s="24"/>
      <c r="B42" s="24"/>
      <c r="C42" s="17"/>
      <c r="D42" s="24"/>
      <c r="E42" s="24"/>
      <c r="F42" s="25"/>
      <c r="G42" s="1">
        <v>275</v>
      </c>
      <c r="H42" s="2">
        <v>92.2</v>
      </c>
      <c r="I42" s="2">
        <v>-17.3</v>
      </c>
      <c r="J42" s="2">
        <v>-22.7</v>
      </c>
      <c r="K42" s="2">
        <f t="shared" si="3"/>
        <v>-17.3</v>
      </c>
      <c r="L42" s="8">
        <f t="shared" si="4"/>
        <v>1.1220184543019613E-11</v>
      </c>
      <c r="M42" s="26"/>
      <c r="N42" s="17"/>
      <c r="O42" s="9">
        <f t="shared" si="5"/>
        <v>-22.7</v>
      </c>
      <c r="P42" s="8">
        <f>D40/B40*10^(O42/10)</f>
        <v>6.8024027540231971E-2</v>
      </c>
      <c r="Q42" s="26"/>
      <c r="R42" s="17"/>
      <c r="S42" s="19"/>
      <c r="T42" s="17"/>
      <c r="U42" s="22"/>
    </row>
    <row r="43" spans="1:21" x14ac:dyDescent="0.25">
      <c r="A43" s="24"/>
      <c r="B43" s="24"/>
      <c r="C43" s="17"/>
      <c r="D43" s="24"/>
      <c r="E43" s="24"/>
      <c r="F43" s="25"/>
      <c r="G43" s="1">
        <v>325</v>
      </c>
      <c r="H43" s="2">
        <v>93.3</v>
      </c>
      <c r="I43" s="2">
        <v>-18.100000000000001</v>
      </c>
      <c r="J43" s="2">
        <v>-25.9</v>
      </c>
      <c r="K43" s="2">
        <f t="shared" si="3"/>
        <v>-18.100000000000001</v>
      </c>
      <c r="L43" s="8">
        <f>10^((K43-H43)/10)</f>
        <v>7.2443596007498734E-12</v>
      </c>
      <c r="M43" s="26"/>
      <c r="N43" s="17"/>
      <c r="O43" s="9">
        <f t="shared" si="5"/>
        <v>-25.9</v>
      </c>
      <c r="P43" s="8">
        <f>D40/B40*10^(O43/10)</f>
        <v>3.2558346581738937E-2</v>
      </c>
      <c r="Q43" s="26"/>
      <c r="R43" s="17"/>
      <c r="S43" s="20"/>
      <c r="T43" s="17"/>
      <c r="U43" s="23"/>
    </row>
    <row r="44" spans="1:21" x14ac:dyDescent="0.25">
      <c r="A44" s="24">
        <v>500</v>
      </c>
      <c r="B44" s="24">
        <v>3</v>
      </c>
      <c r="C44" s="17">
        <v>0.5</v>
      </c>
      <c r="D44" s="24">
        <v>59</v>
      </c>
      <c r="E44" s="24">
        <v>6</v>
      </c>
      <c r="F44" s="25">
        <v>84</v>
      </c>
      <c r="G44" s="1">
        <v>375</v>
      </c>
      <c r="H44" s="2">
        <v>91.9</v>
      </c>
      <c r="I44" s="2">
        <v>-19</v>
      </c>
      <c r="J44" s="2">
        <v>-20.100000000000001</v>
      </c>
      <c r="K44" s="2">
        <f t="shared" si="3"/>
        <v>-19</v>
      </c>
      <c r="L44" s="8">
        <f t="shared" ref="L44:L45" si="6">10^((K44-H44)/10)</f>
        <v>8.1283051616409864E-12</v>
      </c>
      <c r="M44" s="26">
        <f>SUM(L44:L49)</f>
        <v>4.6890938526856908E-11</v>
      </c>
      <c r="N44" s="17">
        <f>10*LOG10(M44/E44)</f>
        <v>-111.0706232511001</v>
      </c>
      <c r="O44" s="9">
        <f t="shared" si="5"/>
        <v>-20.100000000000001</v>
      </c>
      <c r="P44" s="8">
        <f>D44/B44*10^(O44/10)</f>
        <v>0.19218998678797586</v>
      </c>
      <c r="Q44" s="26">
        <f>SUM(P44:P49)</f>
        <v>0.5098997844912293</v>
      </c>
      <c r="R44" s="17">
        <f>10*LOG10(Q44)</f>
        <v>-2.925151715867325</v>
      </c>
      <c r="S44" s="18">
        <f>F44+N44-Kzt-H</f>
        <v>-27.070623251100102</v>
      </c>
      <c r="T44" s="17">
        <v>0.5</v>
      </c>
      <c r="U44" s="21">
        <f>T44*10^((S44-R44)/10)</f>
        <v>1.9249650589655525E-3</v>
      </c>
    </row>
    <row r="45" spans="1:21" x14ac:dyDescent="0.25">
      <c r="A45" s="24"/>
      <c r="B45" s="24"/>
      <c r="C45" s="17"/>
      <c r="D45" s="24"/>
      <c r="E45" s="24"/>
      <c r="F45" s="25"/>
      <c r="G45" s="1">
        <v>425</v>
      </c>
      <c r="H45" s="2">
        <v>88.1</v>
      </c>
      <c r="I45" s="2">
        <v>-17.7</v>
      </c>
      <c r="J45" s="2">
        <v>-23.4</v>
      </c>
      <c r="K45" s="2">
        <f t="shared" si="3"/>
        <v>-17.7</v>
      </c>
      <c r="L45" s="8">
        <f t="shared" si="6"/>
        <v>2.6302679918953769E-11</v>
      </c>
      <c r="M45" s="26"/>
      <c r="N45" s="17"/>
      <c r="O45" s="9">
        <f t="shared" si="5"/>
        <v>-23.4</v>
      </c>
      <c r="P45" s="8">
        <f>D44/B44*10^(O45/10)</f>
        <v>8.9894010624258766E-2</v>
      </c>
      <c r="Q45" s="26"/>
      <c r="R45" s="17"/>
      <c r="S45" s="19"/>
      <c r="T45" s="17"/>
      <c r="U45" s="22"/>
    </row>
    <row r="46" spans="1:21" x14ac:dyDescent="0.25">
      <c r="A46" s="24"/>
      <c r="B46" s="24"/>
      <c r="C46" s="17"/>
      <c r="D46" s="24"/>
      <c r="E46" s="24"/>
      <c r="F46" s="25"/>
      <c r="G46" s="1">
        <v>475</v>
      </c>
      <c r="H46" s="2">
        <v>90</v>
      </c>
      <c r="I46" s="2">
        <v>-21</v>
      </c>
      <c r="J46" s="2">
        <v>-24.4</v>
      </c>
      <c r="K46" s="2">
        <f t="shared" si="3"/>
        <v>-21</v>
      </c>
      <c r="L46" s="8">
        <f>10^((K46-H46)/10)</f>
        <v>7.9432823472428101E-12</v>
      </c>
      <c r="M46" s="26"/>
      <c r="N46" s="17"/>
      <c r="O46" s="9">
        <f t="shared" si="5"/>
        <v>-24.4</v>
      </c>
      <c r="P46" s="8">
        <f>D44/B44*10^(O46/10)</f>
        <v>7.1405350771453213E-2</v>
      </c>
      <c r="Q46" s="26"/>
      <c r="R46" s="17"/>
      <c r="S46" s="19"/>
      <c r="T46" s="17"/>
      <c r="U46" s="22"/>
    </row>
    <row r="47" spans="1:21" x14ac:dyDescent="0.25">
      <c r="A47" s="24"/>
      <c r="B47" s="24"/>
      <c r="C47" s="17"/>
      <c r="D47" s="24"/>
      <c r="E47" s="24"/>
      <c r="F47" s="25"/>
      <c r="G47" s="1">
        <v>575</v>
      </c>
      <c r="H47" s="2">
        <v>97</v>
      </c>
      <c r="I47" s="2">
        <v>-21.1</v>
      </c>
      <c r="J47" s="2">
        <v>-25.2</v>
      </c>
      <c r="K47" s="2">
        <f t="shared" si="3"/>
        <v>-21.1</v>
      </c>
      <c r="L47" s="8">
        <f t="shared" ref="L47:L73" si="7">10^((K47-H47)/10)</f>
        <v>1.5488166189124799E-12</v>
      </c>
      <c r="M47" s="26"/>
      <c r="N47" s="17"/>
      <c r="O47" s="9">
        <f t="shared" si="5"/>
        <v>-25.2</v>
      </c>
      <c r="P47" s="8">
        <f>D44/B44*10^(O47/10)</f>
        <v>5.9392383834572939E-2</v>
      </c>
      <c r="Q47" s="26"/>
      <c r="R47" s="17"/>
      <c r="S47" s="19"/>
      <c r="T47" s="17"/>
      <c r="U47" s="22"/>
    </row>
    <row r="48" spans="1:21" x14ac:dyDescent="0.25">
      <c r="A48" s="24"/>
      <c r="B48" s="24"/>
      <c r="C48" s="17"/>
      <c r="D48" s="24"/>
      <c r="E48" s="24"/>
      <c r="F48" s="25"/>
      <c r="G48" s="1">
        <v>625</v>
      </c>
      <c r="H48" s="2">
        <v>92</v>
      </c>
      <c r="I48" s="2">
        <v>-27.4</v>
      </c>
      <c r="J48" s="2">
        <v>-27.9</v>
      </c>
      <c r="K48" s="2">
        <f t="shared" si="3"/>
        <v>-27.4</v>
      </c>
      <c r="L48" s="8">
        <f t="shared" si="7"/>
        <v>1.1481536214968749E-12</v>
      </c>
      <c r="M48" s="26"/>
      <c r="N48" s="17"/>
      <c r="O48" s="9">
        <f t="shared" si="5"/>
        <v>-27.9</v>
      </c>
      <c r="P48" s="8">
        <f>D44/B44*10^(O48/10)</f>
        <v>3.1895598581392258E-2</v>
      </c>
      <c r="Q48" s="26"/>
      <c r="R48" s="17"/>
      <c r="S48" s="19"/>
      <c r="T48" s="17"/>
      <c r="U48" s="22"/>
    </row>
    <row r="49" spans="1:21" x14ac:dyDescent="0.25">
      <c r="A49" s="24"/>
      <c r="B49" s="24"/>
      <c r="C49" s="17"/>
      <c r="D49" s="24"/>
      <c r="E49" s="24"/>
      <c r="F49" s="25"/>
      <c r="G49" s="1">
        <v>675</v>
      </c>
      <c r="H49" s="2">
        <v>94.5</v>
      </c>
      <c r="I49" s="2">
        <v>-22.9</v>
      </c>
      <c r="J49" s="2">
        <v>-24.8</v>
      </c>
      <c r="K49" s="2">
        <f t="shared" si="3"/>
        <v>-22.9</v>
      </c>
      <c r="L49" s="8">
        <f t="shared" si="7"/>
        <v>1.8197008586099809E-12</v>
      </c>
      <c r="M49" s="26"/>
      <c r="N49" s="17"/>
      <c r="O49" s="9">
        <f t="shared" si="5"/>
        <v>-24.8</v>
      </c>
      <c r="P49" s="8">
        <f>D44/B44*10^(O49/10)</f>
        <v>6.512245389157624E-2</v>
      </c>
      <c r="Q49" s="26"/>
      <c r="R49" s="17"/>
      <c r="S49" s="20"/>
      <c r="T49" s="17"/>
      <c r="U49" s="23"/>
    </row>
    <row r="50" spans="1:21" x14ac:dyDescent="0.25">
      <c r="A50" s="24">
        <v>1000</v>
      </c>
      <c r="B50" s="24">
        <v>3</v>
      </c>
      <c r="C50" s="17">
        <v>0.5</v>
      </c>
      <c r="D50" s="24">
        <v>117</v>
      </c>
      <c r="E50" s="24">
        <v>6</v>
      </c>
      <c r="F50" s="25">
        <v>76</v>
      </c>
      <c r="G50" s="1">
        <v>875</v>
      </c>
      <c r="H50" s="2">
        <v>91.1</v>
      </c>
      <c r="I50" s="2">
        <v>-18.600000000000001</v>
      </c>
      <c r="J50" s="2">
        <v>-29.4</v>
      </c>
      <c r="K50" s="2">
        <f t="shared" si="3"/>
        <v>-18.600000000000001</v>
      </c>
      <c r="L50" s="8">
        <f t="shared" si="7"/>
        <v>1.0715193052376083E-11</v>
      </c>
      <c r="M50" s="26">
        <f>SUM(L50:L55)</f>
        <v>1.7883287437336194E-11</v>
      </c>
      <c r="N50" s="17">
        <f>10*LOG10(M50/E50)</f>
        <v>-115.25703893381235</v>
      </c>
      <c r="O50" s="9">
        <f t="shared" si="5"/>
        <v>-29.4</v>
      </c>
      <c r="P50" s="8">
        <f>D50/B50*10^(O50/10)</f>
        <v>4.4777991238378417E-2</v>
      </c>
      <c r="Q50" s="26">
        <f>SUM(P50:P55)</f>
        <v>1.0372665145654265</v>
      </c>
      <c r="R50" s="17">
        <f>10*LOG10(Q50)</f>
        <v>0.15890358061184584</v>
      </c>
      <c r="S50" s="18">
        <f>F50+N50-Kzt-H</f>
        <v>-39.257038933812353</v>
      </c>
      <c r="T50" s="17">
        <v>0.8</v>
      </c>
      <c r="U50" s="21">
        <f>T50*10^((S50-R50)/10)</f>
        <v>9.1515727306986264E-5</v>
      </c>
    </row>
    <row r="51" spans="1:21" x14ac:dyDescent="0.25">
      <c r="A51" s="24"/>
      <c r="B51" s="24"/>
      <c r="C51" s="17"/>
      <c r="D51" s="24"/>
      <c r="E51" s="24"/>
      <c r="F51" s="25"/>
      <c r="G51" s="1">
        <v>975</v>
      </c>
      <c r="H51" s="2">
        <v>96.5</v>
      </c>
      <c r="I51" s="2">
        <v>-21.8</v>
      </c>
      <c r="J51" s="2">
        <v>-23.3</v>
      </c>
      <c r="K51" s="2">
        <f t="shared" si="3"/>
        <v>-21.8</v>
      </c>
      <c r="L51" s="8">
        <f t="shared" si="7"/>
        <v>1.4791083881682012E-12</v>
      </c>
      <c r="M51" s="26"/>
      <c r="N51" s="17"/>
      <c r="O51" s="9">
        <f t="shared" si="5"/>
        <v>-23.3</v>
      </c>
      <c r="P51" s="8">
        <f>D50/B50*10^(O51/10)</f>
        <v>0.18241670510200714</v>
      </c>
      <c r="Q51" s="26"/>
      <c r="R51" s="17"/>
      <c r="S51" s="19"/>
      <c r="T51" s="17"/>
      <c r="U51" s="22"/>
    </row>
    <row r="52" spans="1:21" x14ac:dyDescent="0.25">
      <c r="A52" s="24"/>
      <c r="B52" s="24"/>
      <c r="C52" s="17"/>
      <c r="D52" s="24"/>
      <c r="E52" s="24"/>
      <c r="F52" s="25"/>
      <c r="G52" s="1">
        <v>1075</v>
      </c>
      <c r="H52" s="2">
        <v>94.6</v>
      </c>
      <c r="I52" s="2">
        <v>-20.3</v>
      </c>
      <c r="J52" s="2">
        <v>-27.4</v>
      </c>
      <c r="K52" s="2">
        <f t="shared" si="3"/>
        <v>-20.3</v>
      </c>
      <c r="L52" s="8">
        <f t="shared" si="7"/>
        <v>3.2359365692962812E-12</v>
      </c>
      <c r="M52" s="26"/>
      <c r="N52" s="17"/>
      <c r="O52" s="9">
        <f t="shared" si="5"/>
        <v>-27.4</v>
      </c>
      <c r="P52" s="8">
        <f>D50/B50*10^(O52/10)</f>
        <v>7.096833348578932E-2</v>
      </c>
      <c r="Q52" s="26"/>
      <c r="R52" s="17"/>
      <c r="S52" s="19"/>
      <c r="T52" s="17"/>
      <c r="U52" s="22"/>
    </row>
    <row r="53" spans="1:21" x14ac:dyDescent="0.25">
      <c r="A53" s="24"/>
      <c r="B53" s="24"/>
      <c r="C53" s="17"/>
      <c r="D53" s="24"/>
      <c r="E53" s="24"/>
      <c r="F53" s="25"/>
      <c r="G53" s="1">
        <v>1175</v>
      </c>
      <c r="H53" s="2">
        <v>97.8</v>
      </c>
      <c r="I53" s="2">
        <v>-23</v>
      </c>
      <c r="J53" s="2">
        <v>-25</v>
      </c>
      <c r="K53" s="2">
        <f t="shared" si="3"/>
        <v>-23</v>
      </c>
      <c r="L53" s="8">
        <f t="shared" si="7"/>
        <v>8.3176377110266952E-13</v>
      </c>
      <c r="M53" s="26"/>
      <c r="N53" s="17"/>
      <c r="O53" s="9">
        <f t="shared" si="5"/>
        <v>-25</v>
      </c>
      <c r="P53" s="8">
        <f>D50/B50*10^(O53/10)</f>
        <v>0.12332882874656667</v>
      </c>
      <c r="Q53" s="26"/>
      <c r="R53" s="17"/>
      <c r="S53" s="19"/>
      <c r="T53" s="17"/>
      <c r="U53" s="22"/>
    </row>
    <row r="54" spans="1:21" x14ac:dyDescent="0.25">
      <c r="A54" s="24"/>
      <c r="B54" s="24"/>
      <c r="C54" s="17"/>
      <c r="D54" s="24"/>
      <c r="E54" s="24"/>
      <c r="F54" s="25"/>
      <c r="G54" s="1">
        <v>1275</v>
      </c>
      <c r="H54" s="2">
        <v>100.1</v>
      </c>
      <c r="I54" s="2">
        <v>-19.5</v>
      </c>
      <c r="J54" s="2">
        <v>-20.6</v>
      </c>
      <c r="K54" s="2">
        <f t="shared" si="3"/>
        <v>-19.5</v>
      </c>
      <c r="L54" s="8">
        <f t="shared" si="7"/>
        <v>1.0964781961431857E-12</v>
      </c>
      <c r="M54" s="26"/>
      <c r="N54" s="17"/>
      <c r="O54" s="9">
        <f t="shared" si="5"/>
        <v>-20.6</v>
      </c>
      <c r="P54" s="8">
        <f>D50/B50*10^(O54/10)</f>
        <v>0.33967580008287124</v>
      </c>
      <c r="Q54" s="26"/>
      <c r="R54" s="17"/>
      <c r="S54" s="19"/>
      <c r="T54" s="17"/>
      <c r="U54" s="22"/>
    </row>
    <row r="55" spans="1:21" x14ac:dyDescent="0.25">
      <c r="A55" s="24"/>
      <c r="B55" s="24"/>
      <c r="C55" s="17"/>
      <c r="D55" s="24"/>
      <c r="E55" s="24"/>
      <c r="F55" s="25"/>
      <c r="G55" s="1">
        <v>1375</v>
      </c>
      <c r="H55" s="2">
        <v>103</v>
      </c>
      <c r="I55" s="2">
        <v>-19.8</v>
      </c>
      <c r="J55" s="2">
        <v>-21.5</v>
      </c>
      <c r="K55" s="2">
        <f t="shared" si="3"/>
        <v>-19.8</v>
      </c>
      <c r="L55" s="8">
        <f t="shared" si="7"/>
        <v>5.2480746024977259E-13</v>
      </c>
      <c r="M55" s="26"/>
      <c r="N55" s="17"/>
      <c r="O55" s="9">
        <f t="shared" si="5"/>
        <v>-21.5</v>
      </c>
      <c r="P55" s="8">
        <f>D50/B50*10^(O55/10)</f>
        <v>0.27609885590981381</v>
      </c>
      <c r="Q55" s="26"/>
      <c r="R55" s="17"/>
      <c r="S55" s="20"/>
      <c r="T55" s="17"/>
      <c r="U55" s="23"/>
    </row>
    <row r="56" spans="1:21" x14ac:dyDescent="0.25">
      <c r="A56" s="24">
        <v>2000</v>
      </c>
      <c r="B56" s="24">
        <v>3</v>
      </c>
      <c r="C56" s="17">
        <v>0.5</v>
      </c>
      <c r="D56" s="24">
        <v>234</v>
      </c>
      <c r="E56" s="24">
        <v>6</v>
      </c>
      <c r="F56" s="25">
        <v>68</v>
      </c>
      <c r="G56" s="1">
        <v>1425</v>
      </c>
      <c r="H56" s="2">
        <v>102.8</v>
      </c>
      <c r="I56" s="2">
        <v>-21.9</v>
      </c>
      <c r="J56" s="2">
        <v>-23.2</v>
      </c>
      <c r="K56" s="2">
        <f t="shared" si="3"/>
        <v>-21.9</v>
      </c>
      <c r="L56" s="8">
        <f t="shared" si="7"/>
        <v>3.38844156139202E-13</v>
      </c>
      <c r="M56" s="26">
        <f>SUM(L56:L61)</f>
        <v>3.04134350468417E-12</v>
      </c>
      <c r="N56" s="17">
        <f>10*LOG10(M56/E56)</f>
        <v>-122.95085776058706</v>
      </c>
      <c r="O56" s="9">
        <f t="shared" si="5"/>
        <v>-23.2</v>
      </c>
      <c r="P56" s="8">
        <f>D56/B56*10^(O56/10)</f>
        <v>0.37333147201165795</v>
      </c>
      <c r="Q56" s="26">
        <f>SUM(P56:P61)</f>
        <v>1.400275490188001</v>
      </c>
      <c r="R56" s="17">
        <f>10*LOG10(Q56)</f>
        <v>1.4621348717704417</v>
      </c>
      <c r="S56" s="18">
        <f>F56+N56-Kzt-H</f>
        <v>-54.950857760587056</v>
      </c>
      <c r="T56" s="17">
        <v>1</v>
      </c>
      <c r="U56" s="21">
        <f>T56*10^((S56-R56)/10)</f>
        <v>2.2840243875986212E-6</v>
      </c>
    </row>
    <row r="57" spans="1:21" x14ac:dyDescent="0.25">
      <c r="A57" s="24"/>
      <c r="B57" s="24"/>
      <c r="C57" s="17"/>
      <c r="D57" s="24"/>
      <c r="E57" s="24"/>
      <c r="F57" s="25"/>
      <c r="G57" s="1">
        <v>1625</v>
      </c>
      <c r="H57" s="2">
        <v>104.1</v>
      </c>
      <c r="I57" s="2">
        <v>-19.8</v>
      </c>
      <c r="J57" s="2">
        <v>-25.9</v>
      </c>
      <c r="K57" s="2">
        <f t="shared" si="3"/>
        <v>-19.8</v>
      </c>
      <c r="L57" s="8">
        <f t="shared" si="7"/>
        <v>4.0738027780411313E-13</v>
      </c>
      <c r="M57" s="26"/>
      <c r="N57" s="17"/>
      <c r="O57" s="9">
        <f t="shared" si="5"/>
        <v>-25.9</v>
      </c>
      <c r="P57" s="8">
        <f>D56/B56*10^(O57/10)</f>
        <v>0.20049087105597135</v>
      </c>
      <c r="Q57" s="26"/>
      <c r="R57" s="17"/>
      <c r="S57" s="19"/>
      <c r="T57" s="17"/>
      <c r="U57" s="22"/>
    </row>
    <row r="58" spans="1:21" x14ac:dyDescent="0.25">
      <c r="A58" s="24"/>
      <c r="B58" s="24"/>
      <c r="C58" s="17"/>
      <c r="D58" s="24"/>
      <c r="E58" s="24"/>
      <c r="F58" s="25"/>
      <c r="G58" s="1">
        <v>1825</v>
      </c>
      <c r="H58" s="2">
        <v>107.6</v>
      </c>
      <c r="I58" s="2">
        <v>-17.2</v>
      </c>
      <c r="J58" s="2">
        <v>-23.4</v>
      </c>
      <c r="K58" s="2">
        <f t="shared" si="3"/>
        <v>-17.2</v>
      </c>
      <c r="L58" s="8">
        <f t="shared" si="7"/>
        <v>3.311311214825894E-13</v>
      </c>
      <c r="M58" s="26"/>
      <c r="N58" s="17"/>
      <c r="O58" s="9">
        <f t="shared" si="5"/>
        <v>-23.4</v>
      </c>
      <c r="P58" s="8">
        <f>D56/B56*10^(O58/10)</f>
        <v>0.35652878789960252</v>
      </c>
      <c r="Q58" s="26"/>
      <c r="R58" s="17"/>
      <c r="S58" s="19"/>
      <c r="T58" s="17"/>
      <c r="U58" s="22"/>
    </row>
    <row r="59" spans="1:21" x14ac:dyDescent="0.25">
      <c r="A59" s="24"/>
      <c r="B59" s="24"/>
      <c r="C59" s="17"/>
      <c r="D59" s="24"/>
      <c r="E59" s="24"/>
      <c r="F59" s="25"/>
      <c r="G59" s="1">
        <v>2125</v>
      </c>
      <c r="H59" s="2">
        <v>104.2</v>
      </c>
      <c r="I59" s="2">
        <v>-24.2</v>
      </c>
      <c r="J59" s="2">
        <v>-26.9</v>
      </c>
      <c r="K59" s="2">
        <f t="shared" si="3"/>
        <v>-24.2</v>
      </c>
      <c r="L59" s="8">
        <f t="shared" si="7"/>
        <v>1.4454397707459251E-13</v>
      </c>
      <c r="M59" s="26"/>
      <c r="N59" s="17"/>
      <c r="O59" s="9">
        <f t="shared" si="5"/>
        <v>-26.9</v>
      </c>
      <c r="P59" s="8">
        <f>D56/B56*10^(O59/10)</f>
        <v>0.15925555968422328</v>
      </c>
      <c r="Q59" s="26"/>
      <c r="R59" s="17"/>
      <c r="S59" s="19"/>
      <c r="T59" s="17"/>
      <c r="U59" s="22"/>
    </row>
    <row r="60" spans="1:21" x14ac:dyDescent="0.25">
      <c r="A60" s="24"/>
      <c r="B60" s="24"/>
      <c r="C60" s="17"/>
      <c r="D60" s="24"/>
      <c r="E60" s="24"/>
      <c r="F60" s="25"/>
      <c r="G60" s="1">
        <v>2425</v>
      </c>
      <c r="H60" s="2">
        <v>93.7</v>
      </c>
      <c r="I60" s="2">
        <v>-25.1</v>
      </c>
      <c r="J60" s="2">
        <v>-25.9</v>
      </c>
      <c r="K60" s="2">
        <f t="shared" si="3"/>
        <v>-25.1</v>
      </c>
      <c r="L60" s="8">
        <f t="shared" si="7"/>
        <v>1.3182567385564021E-12</v>
      </c>
      <c r="M60" s="26"/>
      <c r="N60" s="17"/>
      <c r="O60" s="9">
        <f t="shared" si="5"/>
        <v>-25.9</v>
      </c>
      <c r="P60" s="8">
        <f>D56/B56*10^(O60/10)</f>
        <v>0.20049087105597135</v>
      </c>
      <c r="Q60" s="26"/>
      <c r="R60" s="17"/>
      <c r="S60" s="19"/>
      <c r="T60" s="17"/>
      <c r="U60" s="22"/>
    </row>
    <row r="61" spans="1:21" x14ac:dyDescent="0.25">
      <c r="A61" s="24"/>
      <c r="B61" s="24"/>
      <c r="C61" s="17"/>
      <c r="D61" s="24"/>
      <c r="E61" s="24"/>
      <c r="F61" s="25"/>
      <c r="G61" s="1">
        <v>2775</v>
      </c>
      <c r="H61" s="2">
        <v>100.2</v>
      </c>
      <c r="I61" s="2">
        <v>-22.8</v>
      </c>
      <c r="J61" s="2">
        <v>-28.5</v>
      </c>
      <c r="K61" s="2">
        <f t="shared" si="3"/>
        <v>-22.8</v>
      </c>
      <c r="L61" s="8">
        <f t="shared" si="7"/>
        <v>5.0118723362727066E-13</v>
      </c>
      <c r="M61" s="26"/>
      <c r="N61" s="17"/>
      <c r="O61" s="9">
        <f t="shared" si="5"/>
        <v>-28.5</v>
      </c>
      <c r="P61" s="8">
        <f>D56/B56*10^(O61/10)</f>
        <v>0.11017792848057471</v>
      </c>
      <c r="Q61" s="26"/>
      <c r="R61" s="17"/>
      <c r="S61" s="20"/>
      <c r="T61" s="17"/>
      <c r="U61" s="23"/>
    </row>
    <row r="62" spans="1:21" x14ac:dyDescent="0.25">
      <c r="A62" s="24">
        <v>4000</v>
      </c>
      <c r="B62" s="24">
        <v>3</v>
      </c>
      <c r="C62" s="17">
        <v>0.5</v>
      </c>
      <c r="D62" s="24">
        <v>470</v>
      </c>
      <c r="E62" s="24">
        <v>6</v>
      </c>
      <c r="F62" s="25">
        <v>62</v>
      </c>
      <c r="G62" s="1">
        <v>2825</v>
      </c>
      <c r="H62" s="2">
        <v>99.4</v>
      </c>
      <c r="I62" s="2">
        <v>-19.899999999999999</v>
      </c>
      <c r="J62" s="2">
        <v>-26.3</v>
      </c>
      <c r="K62" s="2">
        <f t="shared" si="3"/>
        <v>-19.899999999999999</v>
      </c>
      <c r="L62" s="8">
        <f t="shared" si="7"/>
        <v>1.1748975549395215E-12</v>
      </c>
      <c r="M62" s="26">
        <f>SUM(L62:L67)</f>
        <v>4.0279764782791753E-12</v>
      </c>
      <c r="N62" s="17">
        <f>10*LOG10(M62/E62)</f>
        <v>-121.73064324595258</v>
      </c>
      <c r="O62" s="9">
        <f t="shared" si="5"/>
        <v>-26.3</v>
      </c>
      <c r="P62" s="8">
        <f>D62/B62*10^(O62/10)</f>
        <v>0.36726251440012081</v>
      </c>
      <c r="Q62" s="26">
        <f>SUM(P62:P67)</f>
        <v>3.8958901515421998</v>
      </c>
      <c r="R62" s="17">
        <f>10*LOG10(Q62)</f>
        <v>5.9060670301878817</v>
      </c>
      <c r="S62" s="18">
        <f>F62+N62-Kzt-H</f>
        <v>-59.730643245952578</v>
      </c>
      <c r="T62" s="17">
        <v>0.9</v>
      </c>
      <c r="U62" s="21">
        <f>T62*10^((S62-R62)/10)</f>
        <v>2.4579411577958803E-7</v>
      </c>
    </row>
    <row r="63" spans="1:21" x14ac:dyDescent="0.25">
      <c r="A63" s="24"/>
      <c r="B63" s="24"/>
      <c r="C63" s="17"/>
      <c r="D63" s="24"/>
      <c r="E63" s="24"/>
      <c r="F63" s="25"/>
      <c r="G63" s="1">
        <v>3425</v>
      </c>
      <c r="H63" s="2">
        <v>103.5</v>
      </c>
      <c r="I63" s="2">
        <v>-19.900000000000002</v>
      </c>
      <c r="J63" s="2">
        <v>-21.8</v>
      </c>
      <c r="K63" s="2">
        <f t="shared" si="3"/>
        <v>-19.900000000000002</v>
      </c>
      <c r="L63" s="8">
        <f t="shared" si="7"/>
        <v>4.5708818961487372E-13</v>
      </c>
      <c r="M63" s="26"/>
      <c r="N63" s="17"/>
      <c r="O63" s="9">
        <f t="shared" si="5"/>
        <v>-21.8</v>
      </c>
      <c r="P63" s="8">
        <f>D62/B62*10^(O63/10)</f>
        <v>1.0350864018785664</v>
      </c>
      <c r="Q63" s="26"/>
      <c r="R63" s="17"/>
      <c r="S63" s="19"/>
      <c r="T63" s="17"/>
      <c r="U63" s="22"/>
    </row>
    <row r="64" spans="1:21" x14ac:dyDescent="0.25">
      <c r="A64" s="24"/>
      <c r="B64" s="24"/>
      <c r="C64" s="17"/>
      <c r="D64" s="24"/>
      <c r="E64" s="24"/>
      <c r="F64" s="25"/>
      <c r="G64" s="1">
        <v>4025</v>
      </c>
      <c r="H64" s="2">
        <v>103.6</v>
      </c>
      <c r="I64" s="2">
        <v>-23</v>
      </c>
      <c r="J64" s="2">
        <v>-23.2</v>
      </c>
      <c r="K64" s="2">
        <f t="shared" si="3"/>
        <v>-23</v>
      </c>
      <c r="L64" s="8">
        <f t="shared" si="7"/>
        <v>2.1877616239495453E-13</v>
      </c>
      <c r="M64" s="26"/>
      <c r="N64" s="17"/>
      <c r="O64" s="9">
        <f t="shared" si="5"/>
        <v>-23.2</v>
      </c>
      <c r="P64" s="8">
        <f>D62/B62*10^(O64/10)</f>
        <v>0.74985381130546669</v>
      </c>
      <c r="Q64" s="26"/>
      <c r="R64" s="17"/>
      <c r="S64" s="19"/>
      <c r="T64" s="17"/>
      <c r="U64" s="22"/>
    </row>
    <row r="65" spans="1:21" x14ac:dyDescent="0.25">
      <c r="A65" s="24"/>
      <c r="B65" s="24"/>
      <c r="C65" s="17"/>
      <c r="D65" s="24"/>
      <c r="E65" s="24"/>
      <c r="F65" s="25"/>
      <c r="G65" s="1">
        <v>4625</v>
      </c>
      <c r="H65" s="2">
        <v>105.6</v>
      </c>
      <c r="I65" s="2">
        <v>-23.3</v>
      </c>
      <c r="J65" s="2">
        <v>-26.3</v>
      </c>
      <c r="K65" s="2">
        <f t="shared" si="3"/>
        <v>-23.3</v>
      </c>
      <c r="L65" s="8">
        <f t="shared" si="7"/>
        <v>1.288249551693128E-13</v>
      </c>
      <c r="M65" s="26"/>
      <c r="N65" s="17"/>
      <c r="O65" s="9">
        <f t="shared" si="5"/>
        <v>-26.3</v>
      </c>
      <c r="P65" s="8">
        <f>D62/B62*10^(O65/10)</f>
        <v>0.36726251440012081</v>
      </c>
      <c r="Q65" s="26"/>
      <c r="R65" s="17"/>
      <c r="S65" s="19"/>
      <c r="T65" s="17"/>
      <c r="U65" s="22"/>
    </row>
    <row r="66" spans="1:21" x14ac:dyDescent="0.25">
      <c r="A66" s="24"/>
      <c r="B66" s="24"/>
      <c r="C66" s="17"/>
      <c r="D66" s="24"/>
      <c r="E66" s="24"/>
      <c r="F66" s="25"/>
      <c r="G66" s="1">
        <v>5225</v>
      </c>
      <c r="H66" s="2">
        <v>103.5</v>
      </c>
      <c r="I66" s="2">
        <v>-20.2</v>
      </c>
      <c r="J66" s="2">
        <v>-22.5</v>
      </c>
      <c r="K66" s="2">
        <f t="shared" si="3"/>
        <v>-20.2</v>
      </c>
      <c r="L66" s="8">
        <f t="shared" si="7"/>
        <v>4.2657951880159005E-13</v>
      </c>
      <c r="M66" s="26"/>
      <c r="N66" s="17"/>
      <c r="O66" s="9">
        <f t="shared" si="5"/>
        <v>-22.5</v>
      </c>
      <c r="P66" s="8">
        <f>D62/B62*10^(O66/10)</f>
        <v>0.88100140946487948</v>
      </c>
      <c r="Q66" s="26"/>
      <c r="R66" s="17"/>
      <c r="S66" s="19"/>
      <c r="T66" s="17"/>
      <c r="U66" s="22"/>
    </row>
    <row r="67" spans="1:21" x14ac:dyDescent="0.25">
      <c r="A67" s="24"/>
      <c r="B67" s="24"/>
      <c r="C67" s="17"/>
      <c r="D67" s="24"/>
      <c r="E67" s="24"/>
      <c r="F67" s="25"/>
      <c r="G67" s="1">
        <v>5625</v>
      </c>
      <c r="H67" s="2">
        <v>99.5</v>
      </c>
      <c r="I67" s="2">
        <v>-18.399999999999999</v>
      </c>
      <c r="J67" s="2">
        <v>-25</v>
      </c>
      <c r="K67" s="2">
        <f t="shared" si="3"/>
        <v>-18.399999999999999</v>
      </c>
      <c r="L67" s="8">
        <f t="shared" si="7"/>
        <v>1.6218100973589226E-12</v>
      </c>
      <c r="M67" s="26"/>
      <c r="N67" s="17"/>
      <c r="O67" s="9">
        <f t="shared" si="5"/>
        <v>-25</v>
      </c>
      <c r="P67" s="8">
        <f>D62/B62*10^(O67/10)</f>
        <v>0.49542350009304559</v>
      </c>
      <c r="Q67" s="26"/>
      <c r="R67" s="17"/>
      <c r="S67" s="20"/>
      <c r="T67" s="17"/>
      <c r="U67" s="23"/>
    </row>
    <row r="68" spans="1:21" x14ac:dyDescent="0.25">
      <c r="A68" s="24">
        <v>8000</v>
      </c>
      <c r="B68" s="24">
        <v>3</v>
      </c>
      <c r="C68" s="17">
        <v>0.5</v>
      </c>
      <c r="D68" s="24">
        <v>943</v>
      </c>
      <c r="E68" s="24">
        <v>6</v>
      </c>
      <c r="F68" s="25">
        <v>54</v>
      </c>
      <c r="G68" s="1">
        <v>6025</v>
      </c>
      <c r="H68" s="2">
        <v>95</v>
      </c>
      <c r="I68" s="2">
        <v>-19.399999999999999</v>
      </c>
      <c r="J68" s="2">
        <v>-21.6</v>
      </c>
      <c r="K68" s="2">
        <f t="shared" si="3"/>
        <v>-19.399999999999999</v>
      </c>
      <c r="L68" s="8">
        <f t="shared" si="7"/>
        <v>3.6307805477009972E-12</v>
      </c>
      <c r="M68" s="26">
        <f>SUM(L68:L73)</f>
        <v>2.8738553591144826E-11</v>
      </c>
      <c r="N68" s="17">
        <f>10*LOG10(M68/E68)</f>
        <v>-113.19686344038182</v>
      </c>
      <c r="O68" s="9">
        <f t="shared" si="5"/>
        <v>-21.6</v>
      </c>
      <c r="P68" s="8">
        <f>D68/B68*10^(O68/10)</f>
        <v>2.1746553519218552</v>
      </c>
      <c r="Q68" s="26">
        <f>SUM(P68:P73)</f>
        <v>4.7821682629996287</v>
      </c>
      <c r="R68" s="17">
        <f>10*LOG10(Q68)</f>
        <v>6.796248529187416</v>
      </c>
      <c r="S68" s="18">
        <f>F68+N68-Kzt-H</f>
        <v>-59.196863440381819</v>
      </c>
      <c r="T68" s="17">
        <v>0.7</v>
      </c>
      <c r="U68" s="21">
        <f>T68*10^((S68-R68)/10)</f>
        <v>1.7611114596188519E-7</v>
      </c>
    </row>
    <row r="69" spans="1:21" x14ac:dyDescent="0.25">
      <c r="A69" s="24"/>
      <c r="B69" s="24"/>
      <c r="C69" s="17"/>
      <c r="D69" s="24"/>
      <c r="E69" s="24"/>
      <c r="F69" s="25"/>
      <c r="G69" s="1">
        <v>7025</v>
      </c>
      <c r="H69" s="2">
        <v>94.8</v>
      </c>
      <c r="I69" s="2">
        <v>-20.6</v>
      </c>
      <c r="J69" s="2">
        <v>-25.6</v>
      </c>
      <c r="K69" s="2">
        <f t="shared" si="3"/>
        <v>-20.6</v>
      </c>
      <c r="L69" s="8">
        <f t="shared" si="7"/>
        <v>2.8840315031265959E-12</v>
      </c>
      <c r="M69" s="26"/>
      <c r="N69" s="17"/>
      <c r="O69" s="9">
        <f t="shared" si="5"/>
        <v>-25.6</v>
      </c>
      <c r="P69" s="8">
        <f>D68/B68*10^(O69/10)</f>
        <v>0.86574588908262984</v>
      </c>
      <c r="Q69" s="26"/>
      <c r="R69" s="17"/>
      <c r="S69" s="19"/>
      <c r="T69" s="17"/>
      <c r="U69" s="22"/>
    </row>
    <row r="70" spans="1:21" x14ac:dyDescent="0.25">
      <c r="A70" s="24"/>
      <c r="B70" s="24"/>
      <c r="C70" s="17"/>
      <c r="D70" s="24"/>
      <c r="E70" s="24"/>
      <c r="F70" s="25"/>
      <c r="G70" s="1">
        <v>8025</v>
      </c>
      <c r="H70" s="2">
        <v>101.9</v>
      </c>
      <c r="I70" s="2">
        <v>-20.7</v>
      </c>
      <c r="J70" s="2">
        <v>-27.2</v>
      </c>
      <c r="K70" s="2">
        <f t="shared" si="3"/>
        <v>-20.7</v>
      </c>
      <c r="L70" s="8">
        <f t="shared" si="7"/>
        <v>5.4954087385762056E-13</v>
      </c>
      <c r="M70" s="26"/>
      <c r="N70" s="17"/>
      <c r="O70" s="9">
        <f t="shared" si="5"/>
        <v>-27.2</v>
      </c>
      <c r="P70" s="8">
        <f>D68/B68*10^(O70/10)</f>
        <v>0.59894981901311406</v>
      </c>
      <c r="Q70" s="26"/>
      <c r="R70" s="17"/>
      <c r="S70" s="19"/>
      <c r="T70" s="17"/>
      <c r="U70" s="22"/>
    </row>
    <row r="71" spans="1:21" x14ac:dyDescent="0.25">
      <c r="A71" s="24"/>
      <c r="B71" s="24"/>
      <c r="C71" s="17"/>
      <c r="D71" s="24"/>
      <c r="E71" s="24"/>
      <c r="F71" s="25"/>
      <c r="G71" s="1">
        <v>9025</v>
      </c>
      <c r="H71" s="2">
        <v>93.2</v>
      </c>
      <c r="I71" s="2">
        <v>-22.5</v>
      </c>
      <c r="J71" s="2">
        <v>-31.8</v>
      </c>
      <c r="K71" s="2">
        <f t="shared" si="3"/>
        <v>-22.5</v>
      </c>
      <c r="L71" s="8">
        <f t="shared" si="7"/>
        <v>2.6915348039269074E-12</v>
      </c>
      <c r="M71" s="26"/>
      <c r="N71" s="17"/>
      <c r="O71" s="9">
        <f t="shared" si="5"/>
        <v>-31.8</v>
      </c>
      <c r="P71" s="8">
        <f>D68/B68*10^(O71/10)</f>
        <v>0.20767797382372083</v>
      </c>
      <c r="Q71" s="26"/>
      <c r="R71" s="17"/>
      <c r="S71" s="19"/>
      <c r="T71" s="17"/>
      <c r="U71" s="22"/>
    </row>
    <row r="72" spans="1:21" x14ac:dyDescent="0.25">
      <c r="A72" s="24"/>
      <c r="B72" s="24"/>
      <c r="C72" s="17"/>
      <c r="D72" s="24"/>
      <c r="E72" s="24"/>
      <c r="F72" s="25"/>
      <c r="G72" s="1">
        <v>10025</v>
      </c>
      <c r="H72" s="2">
        <v>88.3</v>
      </c>
      <c r="I72" s="2">
        <v>-21.5</v>
      </c>
      <c r="J72" s="2">
        <v>-26.9</v>
      </c>
      <c r="K72" s="2">
        <f t="shared" si="3"/>
        <v>-21.5</v>
      </c>
      <c r="L72" s="8">
        <f t="shared" si="7"/>
        <v>1.0471285480508978E-11</v>
      </c>
      <c r="M72" s="26"/>
      <c r="N72" s="17"/>
      <c r="O72" s="9">
        <f t="shared" si="5"/>
        <v>-26.9</v>
      </c>
      <c r="P72" s="8">
        <f>D68/B68*10^(O72/10)</f>
        <v>0.64178629394112197</v>
      </c>
      <c r="Q72" s="26"/>
      <c r="R72" s="17"/>
      <c r="S72" s="19"/>
      <c r="T72" s="17"/>
      <c r="U72" s="22"/>
    </row>
    <row r="73" spans="1:21" x14ac:dyDescent="0.25">
      <c r="A73" s="24"/>
      <c r="B73" s="24"/>
      <c r="C73" s="17"/>
      <c r="D73" s="24"/>
      <c r="E73" s="24"/>
      <c r="F73" s="25"/>
      <c r="G73" s="1">
        <v>11025</v>
      </c>
      <c r="H73" s="2">
        <v>86</v>
      </c>
      <c r="I73" s="2">
        <v>-24.7</v>
      </c>
      <c r="J73" s="2">
        <v>-30.3</v>
      </c>
      <c r="K73" s="2">
        <f t="shared" si="3"/>
        <v>-24.7</v>
      </c>
      <c r="L73" s="8">
        <f t="shared" si="7"/>
        <v>8.5113803820237273E-12</v>
      </c>
      <c r="M73" s="26"/>
      <c r="N73" s="17"/>
      <c r="O73" s="9">
        <f t="shared" si="5"/>
        <v>-30.3</v>
      </c>
      <c r="P73" s="8">
        <f>D68/B68*10^(O73/10)</f>
        <v>0.29335293521718714</v>
      </c>
      <c r="Q73" s="26"/>
      <c r="R73" s="17"/>
      <c r="S73" s="20"/>
      <c r="T73" s="17"/>
      <c r="U73" s="23"/>
    </row>
    <row r="74" spans="1:21" x14ac:dyDescent="0.25">
      <c r="A74" s="24" t="s">
        <v>20</v>
      </c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12">
        <f>U74</f>
        <v>8.2036465667284855E-2</v>
      </c>
      <c r="T74" s="2"/>
      <c r="U74" s="8">
        <f>0.8*SQRT(SUM(U40:U73))</f>
        <v>8.2036465667284855E-2</v>
      </c>
    </row>
    <row r="75" spans="1:21" x14ac:dyDescent="0.25">
      <c r="A75" s="27" t="s">
        <v>54</v>
      </c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9"/>
    </row>
    <row r="76" spans="1:21" x14ac:dyDescent="0.25">
      <c r="A76" s="24">
        <v>250</v>
      </c>
      <c r="B76" s="24">
        <v>3</v>
      </c>
      <c r="C76" s="17">
        <v>0.5</v>
      </c>
      <c r="D76" s="24">
        <v>38</v>
      </c>
      <c r="E76" s="24">
        <v>4</v>
      </c>
      <c r="F76" s="25">
        <v>84</v>
      </c>
      <c r="G76" s="1">
        <v>175</v>
      </c>
      <c r="H76" s="2">
        <v>84.8</v>
      </c>
      <c r="I76" s="2">
        <v>-16.5</v>
      </c>
      <c r="J76" s="2">
        <v>-19.5</v>
      </c>
      <c r="K76" s="2">
        <f>I76</f>
        <v>-16.5</v>
      </c>
      <c r="L76" s="8">
        <f>10^((K76-H76)/10)</f>
        <v>7.413102413009181E-11</v>
      </c>
      <c r="M76" s="26">
        <f>SUM(L76:L79)</f>
        <v>1.1365910152733405E-10</v>
      </c>
      <c r="N76" s="17">
        <f>10*LOG10(M76/E76)</f>
        <v>-105.46455772693888</v>
      </c>
      <c r="O76" s="9">
        <f>J76</f>
        <v>-19.5</v>
      </c>
      <c r="P76" s="8">
        <f>D76/B76*10^(O76/10)</f>
        <v>0.14212233754491535</v>
      </c>
      <c r="Q76" s="26">
        <f>SUM(P76:P79)</f>
        <v>0.33810414171521619</v>
      </c>
      <c r="R76" s="17">
        <f>10*LOG10(Q76)</f>
        <v>-4.7094950917198037</v>
      </c>
      <c r="S76" s="18">
        <f>F76+N76-Kzt-H</f>
        <v>-21.464557726938878</v>
      </c>
      <c r="T76" s="17">
        <v>0.2</v>
      </c>
      <c r="U76" s="21">
        <f>T76*10^((S76-R76)/10)</f>
        <v>4.2220534994888426E-3</v>
      </c>
    </row>
    <row r="77" spans="1:21" x14ac:dyDescent="0.25">
      <c r="A77" s="24"/>
      <c r="B77" s="24"/>
      <c r="C77" s="17"/>
      <c r="D77" s="24"/>
      <c r="E77" s="24"/>
      <c r="F77" s="25"/>
      <c r="G77" s="1">
        <v>225</v>
      </c>
      <c r="H77" s="2">
        <v>90</v>
      </c>
      <c r="I77" s="2">
        <v>-16.100000000000001</v>
      </c>
      <c r="J77" s="2">
        <v>-21.3</v>
      </c>
      <c r="K77" s="2">
        <f t="shared" ref="K77:K109" si="8">I77</f>
        <v>-16.100000000000001</v>
      </c>
      <c r="L77" s="8">
        <f t="shared" ref="L77:L78" si="9">10^((K77-H77)/10)</f>
        <v>2.4547089156850264E-11</v>
      </c>
      <c r="M77" s="26"/>
      <c r="N77" s="17"/>
      <c r="O77" s="9">
        <f t="shared" ref="O77:O109" si="10">J77</f>
        <v>-21.3</v>
      </c>
      <c r="P77" s="8">
        <f>D76/B76*10^(O77/10)</f>
        <v>9.3899297231449533E-2</v>
      </c>
      <c r="Q77" s="26"/>
      <c r="R77" s="17"/>
      <c r="S77" s="19"/>
      <c r="T77" s="17"/>
      <c r="U77" s="22"/>
    </row>
    <row r="78" spans="1:21" x14ac:dyDescent="0.25">
      <c r="A78" s="24"/>
      <c r="B78" s="24"/>
      <c r="C78" s="17"/>
      <c r="D78" s="24"/>
      <c r="E78" s="24"/>
      <c r="F78" s="25"/>
      <c r="G78" s="1">
        <v>275</v>
      </c>
      <c r="H78" s="2">
        <v>92.2</v>
      </c>
      <c r="I78" s="2">
        <v>-21.5</v>
      </c>
      <c r="J78" s="2">
        <v>-23.8</v>
      </c>
      <c r="K78" s="2">
        <f t="shared" si="8"/>
        <v>-21.5</v>
      </c>
      <c r="L78" s="8">
        <f t="shared" si="9"/>
        <v>4.2657951880159045E-12</v>
      </c>
      <c r="M78" s="26"/>
      <c r="N78" s="17"/>
      <c r="O78" s="9">
        <f t="shared" si="10"/>
        <v>-23.8</v>
      </c>
      <c r="P78" s="8">
        <f>D76/B76*10^(O78/10)</f>
        <v>5.2803455239575796E-2</v>
      </c>
      <c r="Q78" s="26"/>
      <c r="R78" s="17"/>
      <c r="S78" s="19"/>
      <c r="T78" s="17"/>
      <c r="U78" s="22"/>
    </row>
    <row r="79" spans="1:21" x14ac:dyDescent="0.25">
      <c r="A79" s="24"/>
      <c r="B79" s="24"/>
      <c r="C79" s="17"/>
      <c r="D79" s="24"/>
      <c r="E79" s="24"/>
      <c r="F79" s="25"/>
      <c r="G79" s="1">
        <v>325</v>
      </c>
      <c r="H79" s="2">
        <v>93.3</v>
      </c>
      <c r="I79" s="2">
        <v>-16.399999999999999</v>
      </c>
      <c r="J79" s="2">
        <v>-24.1</v>
      </c>
      <c r="K79" s="2">
        <f t="shared" si="8"/>
        <v>-16.399999999999999</v>
      </c>
      <c r="L79" s="8">
        <f>10^((K79-H79)/10)</f>
        <v>1.0715193052376083E-11</v>
      </c>
      <c r="M79" s="26"/>
      <c r="N79" s="17"/>
      <c r="O79" s="9">
        <f t="shared" si="10"/>
        <v>-24.1</v>
      </c>
      <c r="P79" s="8">
        <f>D76/B76*10^(O79/10)</f>
        <v>4.9279051699275496E-2</v>
      </c>
      <c r="Q79" s="26"/>
      <c r="R79" s="17"/>
      <c r="S79" s="20"/>
      <c r="T79" s="17"/>
      <c r="U79" s="23"/>
    </row>
    <row r="80" spans="1:21" x14ac:dyDescent="0.25">
      <c r="A80" s="24">
        <v>500</v>
      </c>
      <c r="B80" s="24">
        <v>3</v>
      </c>
      <c r="C80" s="17">
        <v>0.5</v>
      </c>
      <c r="D80" s="24">
        <v>59</v>
      </c>
      <c r="E80" s="24">
        <v>6</v>
      </c>
      <c r="F80" s="25">
        <v>84</v>
      </c>
      <c r="G80" s="1">
        <v>375</v>
      </c>
      <c r="H80" s="2">
        <v>91.9</v>
      </c>
      <c r="I80" s="2">
        <v>-23.3</v>
      </c>
      <c r="J80" s="2">
        <v>-23.6</v>
      </c>
      <c r="K80" s="2">
        <f t="shared" si="8"/>
        <v>-23.3</v>
      </c>
      <c r="L80" s="8">
        <f t="shared" ref="L80:L81" si="11">10^((K80-H80)/10)</f>
        <v>3.0199517204020161E-12</v>
      </c>
      <c r="M80" s="26">
        <f>SUM(L80:L85)</f>
        <v>2.5864886540443602E-11</v>
      </c>
      <c r="N80" s="17">
        <f>10*LOG10(M80/E80)</f>
        <v>-113.6544067272137</v>
      </c>
      <c r="O80" s="9">
        <f t="shared" si="10"/>
        <v>-23.6</v>
      </c>
      <c r="P80" s="8">
        <f>D80/B80*10^(O80/10)</f>
        <v>8.584811367389919E-2</v>
      </c>
      <c r="Q80" s="26">
        <f>SUM(P80:P85)</f>
        <v>0.42741001090888697</v>
      </c>
      <c r="R80" s="17">
        <f>10*LOG10(Q80)</f>
        <v>-3.6915530989405569</v>
      </c>
      <c r="S80" s="18">
        <f>F80+N80-Kzt-H</f>
        <v>-29.654406727213697</v>
      </c>
      <c r="T80" s="17">
        <v>0.5</v>
      </c>
      <c r="U80" s="21">
        <f>T80*10^((S80-R80)/10)</f>
        <v>1.2667317075571287E-3</v>
      </c>
    </row>
    <row r="81" spans="1:21" x14ac:dyDescent="0.25">
      <c r="A81" s="24"/>
      <c r="B81" s="24"/>
      <c r="C81" s="17"/>
      <c r="D81" s="24"/>
      <c r="E81" s="24"/>
      <c r="F81" s="25"/>
      <c r="G81" s="1">
        <v>425</v>
      </c>
      <c r="H81" s="2">
        <v>88.1</v>
      </c>
      <c r="I81" s="2">
        <v>-21.5</v>
      </c>
      <c r="J81" s="2">
        <v>-22</v>
      </c>
      <c r="K81" s="2">
        <f t="shared" si="8"/>
        <v>-21.5</v>
      </c>
      <c r="L81" s="8">
        <f t="shared" si="11"/>
        <v>1.096478196143183E-11</v>
      </c>
      <c r="M81" s="26"/>
      <c r="N81" s="17"/>
      <c r="O81" s="9">
        <f t="shared" si="10"/>
        <v>-22</v>
      </c>
      <c r="P81" s="8">
        <f>D80/B80*10^(O81/10)</f>
        <v>0.1240882777477712</v>
      </c>
      <c r="Q81" s="26"/>
      <c r="R81" s="17"/>
      <c r="S81" s="19"/>
      <c r="T81" s="17"/>
      <c r="U81" s="22"/>
    </row>
    <row r="82" spans="1:21" x14ac:dyDescent="0.25">
      <c r="A82" s="24"/>
      <c r="B82" s="24"/>
      <c r="C82" s="17"/>
      <c r="D82" s="24"/>
      <c r="E82" s="24"/>
      <c r="F82" s="25"/>
      <c r="G82" s="1">
        <v>475</v>
      </c>
      <c r="H82" s="2">
        <v>90</v>
      </c>
      <c r="I82" s="2">
        <v>-22</v>
      </c>
      <c r="J82" s="2">
        <v>-24.5</v>
      </c>
      <c r="K82" s="2">
        <f t="shared" si="8"/>
        <v>-22</v>
      </c>
      <c r="L82" s="8">
        <f>10^((K82-H82)/10)</f>
        <v>6.3095734448019345E-12</v>
      </c>
      <c r="M82" s="26"/>
      <c r="N82" s="17"/>
      <c r="O82" s="9">
        <f t="shared" si="10"/>
        <v>-24.5</v>
      </c>
      <c r="P82" s="8">
        <f>D80/B80*10^(O82/10)</f>
        <v>6.9779966549269809E-2</v>
      </c>
      <c r="Q82" s="26"/>
      <c r="R82" s="17"/>
      <c r="S82" s="19"/>
      <c r="T82" s="17"/>
      <c r="U82" s="22"/>
    </row>
    <row r="83" spans="1:21" x14ac:dyDescent="0.25">
      <c r="A83" s="24"/>
      <c r="B83" s="24"/>
      <c r="C83" s="17"/>
      <c r="D83" s="24"/>
      <c r="E83" s="24"/>
      <c r="F83" s="25"/>
      <c r="G83" s="1">
        <v>575</v>
      </c>
      <c r="H83" s="2">
        <v>97</v>
      </c>
      <c r="I83" s="2">
        <v>-22.7</v>
      </c>
      <c r="J83" s="2">
        <v>-25.6</v>
      </c>
      <c r="K83" s="2">
        <f t="shared" si="8"/>
        <v>-22.7</v>
      </c>
      <c r="L83" s="8">
        <f t="shared" ref="L83:L109" si="12">10^((K83-H83)/10)</f>
        <v>1.0715193052376033E-12</v>
      </c>
      <c r="M83" s="26"/>
      <c r="N83" s="17"/>
      <c r="O83" s="9">
        <f t="shared" si="10"/>
        <v>-25.6</v>
      </c>
      <c r="P83" s="8">
        <f>D80/B80*10^(O83/10)</f>
        <v>5.4166497832317251E-2</v>
      </c>
      <c r="Q83" s="26"/>
      <c r="R83" s="17"/>
      <c r="S83" s="19"/>
      <c r="T83" s="17"/>
      <c r="U83" s="22"/>
    </row>
    <row r="84" spans="1:21" x14ac:dyDescent="0.25">
      <c r="A84" s="24"/>
      <c r="B84" s="24"/>
      <c r="C84" s="17"/>
      <c r="D84" s="24"/>
      <c r="E84" s="24"/>
      <c r="F84" s="25"/>
      <c r="G84" s="1">
        <v>625</v>
      </c>
      <c r="H84" s="2">
        <v>92</v>
      </c>
      <c r="I84" s="2">
        <v>-23.2</v>
      </c>
      <c r="J84" s="2">
        <v>-24.6</v>
      </c>
      <c r="K84" s="2">
        <f t="shared" si="8"/>
        <v>-23.2</v>
      </c>
      <c r="L84" s="8">
        <f t="shared" si="12"/>
        <v>3.0199517204020161E-12</v>
      </c>
      <c r="M84" s="26"/>
      <c r="N84" s="17"/>
      <c r="O84" s="9">
        <f t="shared" si="10"/>
        <v>-24.6</v>
      </c>
      <c r="P84" s="8">
        <f>D80/B80*10^(O84/10)</f>
        <v>6.8191580588997866E-2</v>
      </c>
      <c r="Q84" s="26"/>
      <c r="R84" s="17"/>
      <c r="S84" s="19"/>
      <c r="T84" s="17"/>
      <c r="U84" s="22"/>
    </row>
    <row r="85" spans="1:21" x14ac:dyDescent="0.25">
      <c r="A85" s="24"/>
      <c r="B85" s="24"/>
      <c r="C85" s="17"/>
      <c r="D85" s="24"/>
      <c r="E85" s="24"/>
      <c r="F85" s="25"/>
      <c r="G85" s="1">
        <v>675</v>
      </c>
      <c r="H85" s="2">
        <v>94.5</v>
      </c>
      <c r="I85" s="2">
        <v>-23.8</v>
      </c>
      <c r="J85" s="2">
        <v>-28.9</v>
      </c>
      <c r="K85" s="2">
        <f t="shared" si="8"/>
        <v>-23.8</v>
      </c>
      <c r="L85" s="8">
        <f t="shared" si="12"/>
        <v>1.4791083881682012E-12</v>
      </c>
      <c r="M85" s="26"/>
      <c r="N85" s="17"/>
      <c r="O85" s="9">
        <f t="shared" si="10"/>
        <v>-28.9</v>
      </c>
      <c r="P85" s="8">
        <f>D80/B80*10^(O85/10)</f>
        <v>2.533557451663164E-2</v>
      </c>
      <c r="Q85" s="26"/>
      <c r="R85" s="17"/>
      <c r="S85" s="20"/>
      <c r="T85" s="17"/>
      <c r="U85" s="23"/>
    </row>
    <row r="86" spans="1:21" x14ac:dyDescent="0.25">
      <c r="A86" s="24">
        <v>1000</v>
      </c>
      <c r="B86" s="24">
        <v>3</v>
      </c>
      <c r="C86" s="17">
        <v>0.5</v>
      </c>
      <c r="D86" s="24">
        <v>117</v>
      </c>
      <c r="E86" s="24">
        <v>6</v>
      </c>
      <c r="F86" s="25">
        <v>76</v>
      </c>
      <c r="G86" s="1">
        <v>875</v>
      </c>
      <c r="H86" s="2">
        <v>91.1</v>
      </c>
      <c r="I86" s="2">
        <v>-19</v>
      </c>
      <c r="J86" s="2">
        <v>-25.7</v>
      </c>
      <c r="K86" s="2">
        <f t="shared" si="8"/>
        <v>-19</v>
      </c>
      <c r="L86" s="8">
        <f t="shared" si="12"/>
        <v>9.7723722095580929E-12</v>
      </c>
      <c r="M86" s="26">
        <f>SUM(L86:L91)</f>
        <v>1.287669130313077E-11</v>
      </c>
      <c r="N86" s="17">
        <f>10*LOG10(M86/E86)</f>
        <v>-116.68346966039238</v>
      </c>
      <c r="O86" s="9">
        <f t="shared" si="10"/>
        <v>-25.7</v>
      </c>
      <c r="P86" s="8">
        <f>D86/B86*10^(O86/10)</f>
        <v>0.10496985735314968</v>
      </c>
      <c r="Q86" s="26">
        <f>SUM(P86:P91)</f>
        <v>0.54970270151198974</v>
      </c>
      <c r="R86" s="17">
        <f>10*LOG10(Q86)</f>
        <v>-2.5987212869032374</v>
      </c>
      <c r="S86" s="18">
        <f>F86+N86-Kzt-H</f>
        <v>-40.683469660392376</v>
      </c>
      <c r="T86" s="17">
        <v>0.8</v>
      </c>
      <c r="U86" s="21">
        <f>T86*10^((S86-R86)/10)</f>
        <v>1.2434122727746023E-4</v>
      </c>
    </row>
    <row r="87" spans="1:21" x14ac:dyDescent="0.25">
      <c r="A87" s="24"/>
      <c r="B87" s="24"/>
      <c r="C87" s="17"/>
      <c r="D87" s="24"/>
      <c r="E87" s="24"/>
      <c r="F87" s="25"/>
      <c r="G87" s="1">
        <v>975</v>
      </c>
      <c r="H87" s="2">
        <v>96.5</v>
      </c>
      <c r="I87" s="2">
        <v>-23.7</v>
      </c>
      <c r="J87" s="2">
        <v>-25.3</v>
      </c>
      <c r="K87" s="2">
        <f t="shared" si="8"/>
        <v>-23.7</v>
      </c>
      <c r="L87" s="8">
        <f t="shared" si="12"/>
        <v>9.5499258602143367E-13</v>
      </c>
      <c r="M87" s="26"/>
      <c r="N87" s="17"/>
      <c r="O87" s="9">
        <f t="shared" si="10"/>
        <v>-25.3</v>
      </c>
      <c r="P87" s="8">
        <f>D86/B86*10^(O87/10)</f>
        <v>0.11509715983998897</v>
      </c>
      <c r="Q87" s="26"/>
      <c r="R87" s="17"/>
      <c r="S87" s="19"/>
      <c r="T87" s="17"/>
      <c r="U87" s="22"/>
    </row>
    <row r="88" spans="1:21" x14ac:dyDescent="0.25">
      <c r="A88" s="24"/>
      <c r="B88" s="24"/>
      <c r="C88" s="17"/>
      <c r="D88" s="24"/>
      <c r="E88" s="24"/>
      <c r="F88" s="25"/>
      <c r="G88" s="1">
        <v>1075</v>
      </c>
      <c r="H88" s="2">
        <v>94.6</v>
      </c>
      <c r="I88" s="2">
        <v>-26.9</v>
      </c>
      <c r="J88" s="2">
        <v>-27.3</v>
      </c>
      <c r="K88" s="2">
        <f t="shared" si="8"/>
        <v>-26.9</v>
      </c>
      <c r="L88" s="8">
        <f t="shared" si="12"/>
        <v>7.0794578438413455E-13</v>
      </c>
      <c r="M88" s="26"/>
      <c r="N88" s="17"/>
      <c r="O88" s="9">
        <f t="shared" si="10"/>
        <v>-27.3</v>
      </c>
      <c r="P88" s="8">
        <f>D86/B86*10^(O88/10)</f>
        <v>7.2621398329851788E-2</v>
      </c>
      <c r="Q88" s="26"/>
      <c r="R88" s="17"/>
      <c r="S88" s="19"/>
      <c r="T88" s="17"/>
      <c r="U88" s="22"/>
    </row>
    <row r="89" spans="1:21" x14ac:dyDescent="0.25">
      <c r="A89" s="24"/>
      <c r="B89" s="24"/>
      <c r="C89" s="17"/>
      <c r="D89" s="24"/>
      <c r="E89" s="24"/>
      <c r="F89" s="25"/>
      <c r="G89" s="1">
        <v>1175</v>
      </c>
      <c r="H89" s="2">
        <v>97.8</v>
      </c>
      <c r="I89" s="2">
        <v>-26.1</v>
      </c>
      <c r="J89" s="2">
        <v>-29.6</v>
      </c>
      <c r="K89" s="2">
        <f t="shared" si="8"/>
        <v>-26.1</v>
      </c>
      <c r="L89" s="8">
        <f t="shared" si="12"/>
        <v>4.0738027780411177E-13</v>
      </c>
      <c r="M89" s="26"/>
      <c r="N89" s="17"/>
      <c r="O89" s="9">
        <f t="shared" si="10"/>
        <v>-29.6</v>
      </c>
      <c r="P89" s="8">
        <f>D86/B86*10^(O89/10)</f>
        <v>4.2762649649584213E-2</v>
      </c>
      <c r="Q89" s="26"/>
      <c r="R89" s="17"/>
      <c r="S89" s="19"/>
      <c r="T89" s="17"/>
      <c r="U89" s="22"/>
    </row>
    <row r="90" spans="1:21" x14ac:dyDescent="0.25">
      <c r="A90" s="24"/>
      <c r="B90" s="24"/>
      <c r="C90" s="17"/>
      <c r="D90" s="24"/>
      <c r="E90" s="24"/>
      <c r="F90" s="25"/>
      <c r="G90" s="1">
        <v>1275</v>
      </c>
      <c r="H90" s="2">
        <v>100.1</v>
      </c>
      <c r="I90" s="2">
        <v>-21.1</v>
      </c>
      <c r="J90" s="2">
        <v>-27.5</v>
      </c>
      <c r="K90" s="2">
        <f t="shared" si="8"/>
        <v>-21.1</v>
      </c>
      <c r="L90" s="8">
        <f t="shared" si="12"/>
        <v>7.5857757502918275E-13</v>
      </c>
      <c r="M90" s="26"/>
      <c r="N90" s="17"/>
      <c r="O90" s="9">
        <f t="shared" si="10"/>
        <v>-27.5</v>
      </c>
      <c r="P90" s="8">
        <f>D86/B86*10^(O90/10)</f>
        <v>6.9352896991517976E-2</v>
      </c>
      <c r="Q90" s="26"/>
      <c r="R90" s="17"/>
      <c r="S90" s="19"/>
      <c r="T90" s="17"/>
      <c r="U90" s="22"/>
    </row>
    <row r="91" spans="1:21" x14ac:dyDescent="0.25">
      <c r="A91" s="24"/>
      <c r="B91" s="24"/>
      <c r="C91" s="17"/>
      <c r="D91" s="24"/>
      <c r="E91" s="24"/>
      <c r="F91" s="25"/>
      <c r="G91" s="1">
        <v>1375</v>
      </c>
      <c r="H91" s="2">
        <v>103</v>
      </c>
      <c r="I91" s="2">
        <v>-22.6</v>
      </c>
      <c r="J91" s="2">
        <v>-24.3</v>
      </c>
      <c r="K91" s="2">
        <f t="shared" si="8"/>
        <v>-22.6</v>
      </c>
      <c r="L91" s="8">
        <f t="shared" si="12"/>
        <v>2.754228703338164E-13</v>
      </c>
      <c r="M91" s="26"/>
      <c r="N91" s="17"/>
      <c r="O91" s="9">
        <f t="shared" si="10"/>
        <v>-24.3</v>
      </c>
      <c r="P91" s="8">
        <f>D86/B86*10^(O91/10)</f>
        <v>0.14489873934789718</v>
      </c>
      <c r="Q91" s="26"/>
      <c r="R91" s="17"/>
      <c r="S91" s="20"/>
      <c r="T91" s="17"/>
      <c r="U91" s="23"/>
    </row>
    <row r="92" spans="1:21" x14ac:dyDescent="0.25">
      <c r="A92" s="24">
        <v>2000</v>
      </c>
      <c r="B92" s="24">
        <v>3</v>
      </c>
      <c r="C92" s="17">
        <v>0.5</v>
      </c>
      <c r="D92" s="24">
        <v>234</v>
      </c>
      <c r="E92" s="24">
        <v>6</v>
      </c>
      <c r="F92" s="25">
        <v>68</v>
      </c>
      <c r="G92" s="1">
        <v>1425</v>
      </c>
      <c r="H92" s="2">
        <v>102.8</v>
      </c>
      <c r="I92" s="2">
        <v>-23.4</v>
      </c>
      <c r="J92" s="2">
        <v>-26.3</v>
      </c>
      <c r="K92" s="2">
        <f t="shared" si="8"/>
        <v>-23.4</v>
      </c>
      <c r="L92" s="8">
        <f t="shared" si="12"/>
        <v>2.3988329190194898E-13</v>
      </c>
      <c r="M92" s="26">
        <f>SUM(L92:L97)</f>
        <v>4.0954834460646206E-12</v>
      </c>
      <c r="N92" s="17">
        <f>10*LOG10(M92/E92)</f>
        <v>-121.65846075528826</v>
      </c>
      <c r="O92" s="9">
        <f t="shared" si="10"/>
        <v>-26.3</v>
      </c>
      <c r="P92" s="8">
        <f>D92/B92*10^(O92/10)</f>
        <v>0.18284984759495379</v>
      </c>
      <c r="Q92" s="26">
        <f>SUM(P92:P97)</f>
        <v>1.0271363763133294</v>
      </c>
      <c r="R92" s="17">
        <f>10*LOG10(Q92)</f>
        <v>0.1162811014864379</v>
      </c>
      <c r="S92" s="18">
        <f>F92+N92-Kzt-H</f>
        <v>-53.65846075528826</v>
      </c>
      <c r="T92" s="17">
        <v>1</v>
      </c>
      <c r="U92" s="21">
        <f>T92*10^((S92-R92)/10)</f>
        <v>4.1930091905394804E-6</v>
      </c>
    </row>
    <row r="93" spans="1:21" x14ac:dyDescent="0.25">
      <c r="A93" s="24"/>
      <c r="B93" s="24"/>
      <c r="C93" s="17"/>
      <c r="D93" s="24"/>
      <c r="E93" s="24"/>
      <c r="F93" s="25"/>
      <c r="G93" s="1">
        <v>1625</v>
      </c>
      <c r="H93" s="2">
        <v>104.1</v>
      </c>
      <c r="I93" s="2">
        <v>-22.4</v>
      </c>
      <c r="J93" s="2">
        <v>-30.3</v>
      </c>
      <c r="K93" s="2">
        <f t="shared" si="8"/>
        <v>-22.4</v>
      </c>
      <c r="L93" s="8">
        <f t="shared" si="12"/>
        <v>2.238721138568332E-13</v>
      </c>
      <c r="M93" s="26"/>
      <c r="N93" s="17"/>
      <c r="O93" s="9">
        <f t="shared" si="10"/>
        <v>-30.3</v>
      </c>
      <c r="P93" s="8">
        <f>D92/B92*10^(O93/10)</f>
        <v>7.279383546216521E-2</v>
      </c>
      <c r="Q93" s="26"/>
      <c r="R93" s="17"/>
      <c r="S93" s="19"/>
      <c r="T93" s="17"/>
      <c r="U93" s="22"/>
    </row>
    <row r="94" spans="1:21" x14ac:dyDescent="0.25">
      <c r="A94" s="24"/>
      <c r="B94" s="24"/>
      <c r="C94" s="17"/>
      <c r="D94" s="24"/>
      <c r="E94" s="24"/>
      <c r="F94" s="25"/>
      <c r="G94" s="1">
        <v>1825</v>
      </c>
      <c r="H94" s="2">
        <v>107.6</v>
      </c>
      <c r="I94" s="2">
        <v>-23</v>
      </c>
      <c r="J94" s="2">
        <v>-26.4</v>
      </c>
      <c r="K94" s="2">
        <f t="shared" si="8"/>
        <v>-23</v>
      </c>
      <c r="L94" s="8">
        <f t="shared" si="12"/>
        <v>8.7096358995608097E-14</v>
      </c>
      <c r="M94" s="26"/>
      <c r="N94" s="17"/>
      <c r="O94" s="9">
        <f t="shared" si="10"/>
        <v>-26.4</v>
      </c>
      <c r="P94" s="8">
        <f>D92/B92*10^(O94/10)</f>
        <v>0.17868767691588636</v>
      </c>
      <c r="Q94" s="26"/>
      <c r="R94" s="17"/>
      <c r="S94" s="19"/>
      <c r="T94" s="17"/>
      <c r="U94" s="22"/>
    </row>
    <row r="95" spans="1:21" x14ac:dyDescent="0.25">
      <c r="A95" s="24"/>
      <c r="B95" s="24"/>
      <c r="C95" s="17"/>
      <c r="D95" s="24"/>
      <c r="E95" s="24"/>
      <c r="F95" s="25"/>
      <c r="G95" s="1">
        <v>2125</v>
      </c>
      <c r="H95" s="2">
        <v>104.2</v>
      </c>
      <c r="I95" s="2">
        <v>-23.2</v>
      </c>
      <c r="J95" s="2">
        <v>-25.2</v>
      </c>
      <c r="K95" s="2">
        <f t="shared" si="8"/>
        <v>-23.2</v>
      </c>
      <c r="L95" s="8">
        <f t="shared" si="12"/>
        <v>1.8197008586099787E-13</v>
      </c>
      <c r="M95" s="26"/>
      <c r="N95" s="17"/>
      <c r="O95" s="9">
        <f t="shared" si="10"/>
        <v>-25.2</v>
      </c>
      <c r="P95" s="8">
        <f>D92/B92*10^(O95/10)</f>
        <v>0.23555623419135704</v>
      </c>
      <c r="Q95" s="26"/>
      <c r="R95" s="17"/>
      <c r="S95" s="19"/>
      <c r="T95" s="17"/>
      <c r="U95" s="22"/>
    </row>
    <row r="96" spans="1:21" x14ac:dyDescent="0.25">
      <c r="A96" s="24"/>
      <c r="B96" s="24"/>
      <c r="C96" s="17"/>
      <c r="D96" s="24"/>
      <c r="E96" s="24"/>
      <c r="F96" s="25"/>
      <c r="G96" s="1">
        <v>2425</v>
      </c>
      <c r="H96" s="2">
        <v>93.7</v>
      </c>
      <c r="I96" s="2">
        <v>-21.7</v>
      </c>
      <c r="J96" s="2">
        <v>-27.1</v>
      </c>
      <c r="K96" s="2">
        <f t="shared" si="8"/>
        <v>-21.7</v>
      </c>
      <c r="L96" s="8">
        <f t="shared" si="12"/>
        <v>2.8840315031265959E-12</v>
      </c>
      <c r="M96" s="26"/>
      <c r="N96" s="17"/>
      <c r="O96" s="9">
        <f t="shared" si="10"/>
        <v>-27.1</v>
      </c>
      <c r="P96" s="8">
        <f>D92/B92*10^(O96/10)</f>
        <v>0.15208787878112745</v>
      </c>
      <c r="Q96" s="26"/>
      <c r="R96" s="17"/>
      <c r="S96" s="19"/>
      <c r="T96" s="17"/>
      <c r="U96" s="22"/>
    </row>
    <row r="97" spans="1:21" x14ac:dyDescent="0.25">
      <c r="A97" s="24"/>
      <c r="B97" s="24"/>
      <c r="C97" s="17"/>
      <c r="D97" s="24"/>
      <c r="E97" s="24"/>
      <c r="F97" s="25"/>
      <c r="G97" s="1">
        <v>2775</v>
      </c>
      <c r="H97" s="2">
        <v>100.2</v>
      </c>
      <c r="I97" s="2">
        <v>-23</v>
      </c>
      <c r="J97" s="2">
        <v>-25.8</v>
      </c>
      <c r="K97" s="2">
        <f t="shared" si="8"/>
        <v>-23</v>
      </c>
      <c r="L97" s="8">
        <f t="shared" si="12"/>
        <v>4.7863009232263685E-13</v>
      </c>
      <c r="M97" s="26"/>
      <c r="N97" s="17"/>
      <c r="O97" s="9">
        <f t="shared" si="10"/>
        <v>-25.8</v>
      </c>
      <c r="P97" s="8">
        <f>D92/B92*10^(O97/10)</f>
        <v>0.20516090336783957</v>
      </c>
      <c r="Q97" s="26"/>
      <c r="R97" s="17"/>
      <c r="S97" s="20"/>
      <c r="T97" s="17"/>
      <c r="U97" s="23"/>
    </row>
    <row r="98" spans="1:21" x14ac:dyDescent="0.25">
      <c r="A98" s="24">
        <v>4000</v>
      </c>
      <c r="B98" s="24">
        <v>3</v>
      </c>
      <c r="C98" s="17">
        <v>0.5</v>
      </c>
      <c r="D98" s="24">
        <v>470</v>
      </c>
      <c r="E98" s="24">
        <v>6</v>
      </c>
      <c r="F98" s="25">
        <v>62</v>
      </c>
      <c r="G98" s="1">
        <v>2825</v>
      </c>
      <c r="H98" s="2">
        <v>99.4</v>
      </c>
      <c r="I98" s="2">
        <v>-27.6</v>
      </c>
      <c r="J98" s="2">
        <v>-27.7</v>
      </c>
      <c r="K98" s="2">
        <f t="shared" si="8"/>
        <v>-27.6</v>
      </c>
      <c r="L98" s="8">
        <f t="shared" si="12"/>
        <v>1.9952623149688807E-13</v>
      </c>
      <c r="M98" s="26">
        <f>SUM(L98:L103)</f>
        <v>1.61845912355416E-12</v>
      </c>
      <c r="N98" s="17">
        <f>10*LOG10(M98/E98)</f>
        <v>-125.69049515220306</v>
      </c>
      <c r="O98" s="9">
        <f t="shared" si="10"/>
        <v>-27.7</v>
      </c>
      <c r="P98" s="8">
        <f>D98/B98*10^(O98/10)</f>
        <v>0.26605817221900629</v>
      </c>
      <c r="Q98" s="26">
        <f>SUM(P98:P103)</f>
        <v>1.731012893978028</v>
      </c>
      <c r="R98" s="17">
        <f>10*LOG10(Q98)</f>
        <v>2.3830030286248309</v>
      </c>
      <c r="S98" s="18">
        <f>F98+N98-Kzt-H</f>
        <v>-63.690495152203056</v>
      </c>
      <c r="T98" s="17">
        <v>0.9</v>
      </c>
      <c r="U98" s="21">
        <f>T98*10^((S98-R98)/10)</f>
        <v>2.2227606069150317E-7</v>
      </c>
    </row>
    <row r="99" spans="1:21" x14ac:dyDescent="0.25">
      <c r="A99" s="24"/>
      <c r="B99" s="24"/>
      <c r="C99" s="17"/>
      <c r="D99" s="24"/>
      <c r="E99" s="24"/>
      <c r="F99" s="25"/>
      <c r="G99" s="1">
        <v>3425</v>
      </c>
      <c r="H99" s="2">
        <v>103.5</v>
      </c>
      <c r="I99" s="2">
        <v>-23</v>
      </c>
      <c r="J99" s="2">
        <v>-25</v>
      </c>
      <c r="K99" s="2">
        <f t="shared" si="8"/>
        <v>-23</v>
      </c>
      <c r="L99" s="8">
        <f t="shared" si="12"/>
        <v>2.238721138568332E-13</v>
      </c>
      <c r="M99" s="26"/>
      <c r="N99" s="17"/>
      <c r="O99" s="9">
        <f t="shared" si="10"/>
        <v>-25</v>
      </c>
      <c r="P99" s="8">
        <f>D98/B98*10^(O99/10)</f>
        <v>0.49542350009304559</v>
      </c>
      <c r="Q99" s="26"/>
      <c r="R99" s="17"/>
      <c r="S99" s="19"/>
      <c r="T99" s="17"/>
      <c r="U99" s="22"/>
    </row>
    <row r="100" spans="1:21" x14ac:dyDescent="0.25">
      <c r="A100" s="24"/>
      <c r="B100" s="24"/>
      <c r="C100" s="17"/>
      <c r="D100" s="24"/>
      <c r="E100" s="24"/>
      <c r="F100" s="25"/>
      <c r="G100" s="1">
        <v>4025</v>
      </c>
      <c r="H100" s="2">
        <v>103.6</v>
      </c>
      <c r="I100" s="2">
        <v>-24.1</v>
      </c>
      <c r="J100" s="2">
        <v>-26.7</v>
      </c>
      <c r="K100" s="2">
        <f t="shared" si="8"/>
        <v>-24.1</v>
      </c>
      <c r="L100" s="8">
        <f t="shared" si="12"/>
        <v>1.6982436524617405E-13</v>
      </c>
      <c r="M100" s="26"/>
      <c r="N100" s="17"/>
      <c r="O100" s="9">
        <f t="shared" si="10"/>
        <v>-26.7</v>
      </c>
      <c r="P100" s="8">
        <f>D98/B98*10^(O100/10)</f>
        <v>0.33494739402201629</v>
      </c>
      <c r="Q100" s="26"/>
      <c r="R100" s="17"/>
      <c r="S100" s="19"/>
      <c r="T100" s="17"/>
      <c r="U100" s="22"/>
    </row>
    <row r="101" spans="1:21" x14ac:dyDescent="0.25">
      <c r="A101" s="24"/>
      <c r="B101" s="24"/>
      <c r="C101" s="17"/>
      <c r="D101" s="24"/>
      <c r="E101" s="24"/>
      <c r="F101" s="25"/>
      <c r="G101" s="1">
        <v>4625</v>
      </c>
      <c r="H101" s="2">
        <v>105.6</v>
      </c>
      <c r="I101" s="2">
        <v>-28.3</v>
      </c>
      <c r="J101" s="2">
        <v>-30.3</v>
      </c>
      <c r="K101" s="2">
        <f t="shared" si="8"/>
        <v>-28.3</v>
      </c>
      <c r="L101" s="8">
        <f t="shared" si="12"/>
        <v>4.0738027780411126E-14</v>
      </c>
      <c r="M101" s="26"/>
      <c r="N101" s="17"/>
      <c r="O101" s="9">
        <f t="shared" si="10"/>
        <v>-30.3</v>
      </c>
      <c r="P101" s="8">
        <f>D98/B98*10^(O101/10)</f>
        <v>0.14620984045819507</v>
      </c>
      <c r="Q101" s="26"/>
      <c r="R101" s="17"/>
      <c r="S101" s="19"/>
      <c r="T101" s="17"/>
      <c r="U101" s="22"/>
    </row>
    <row r="102" spans="1:21" x14ac:dyDescent="0.25">
      <c r="A102" s="24"/>
      <c r="B102" s="24"/>
      <c r="C102" s="17"/>
      <c r="D102" s="24"/>
      <c r="E102" s="24"/>
      <c r="F102" s="25"/>
      <c r="G102" s="1">
        <v>5225</v>
      </c>
      <c r="H102" s="2">
        <v>103.5</v>
      </c>
      <c r="I102" s="2">
        <v>-21.2</v>
      </c>
      <c r="J102" s="2">
        <v>-27</v>
      </c>
      <c r="K102" s="2">
        <f t="shared" si="8"/>
        <v>-21.2</v>
      </c>
      <c r="L102" s="8">
        <f t="shared" si="12"/>
        <v>3.3884415613920079E-13</v>
      </c>
      <c r="M102" s="26"/>
      <c r="N102" s="17"/>
      <c r="O102" s="9">
        <f t="shared" si="10"/>
        <v>-27</v>
      </c>
      <c r="P102" s="8">
        <f>D98/B98*10^(O102/10)</f>
        <v>0.31259109601179086</v>
      </c>
      <c r="Q102" s="26"/>
      <c r="R102" s="17"/>
      <c r="S102" s="19"/>
      <c r="T102" s="17"/>
      <c r="U102" s="22"/>
    </row>
    <row r="103" spans="1:21" x14ac:dyDescent="0.25">
      <c r="A103" s="24"/>
      <c r="B103" s="24"/>
      <c r="C103" s="17"/>
      <c r="D103" s="24"/>
      <c r="E103" s="24"/>
      <c r="F103" s="25"/>
      <c r="G103" s="1">
        <v>5625</v>
      </c>
      <c r="H103" s="2">
        <v>99.5</v>
      </c>
      <c r="I103" s="2">
        <v>-22.4</v>
      </c>
      <c r="J103" s="2">
        <v>-29.5</v>
      </c>
      <c r="K103" s="2">
        <f t="shared" si="8"/>
        <v>-22.4</v>
      </c>
      <c r="L103" s="8">
        <f t="shared" si="12"/>
        <v>6.456542290346527E-13</v>
      </c>
      <c r="M103" s="26"/>
      <c r="N103" s="17"/>
      <c r="O103" s="9">
        <f t="shared" si="10"/>
        <v>-29.5</v>
      </c>
      <c r="P103" s="8">
        <f>D98/B98*10^(O103/10)</f>
        <v>0.17578289117397405</v>
      </c>
      <c r="Q103" s="26"/>
      <c r="R103" s="17"/>
      <c r="S103" s="20"/>
      <c r="T103" s="17"/>
      <c r="U103" s="23"/>
    </row>
    <row r="104" spans="1:21" x14ac:dyDescent="0.25">
      <c r="A104" s="24">
        <v>8000</v>
      </c>
      <c r="B104" s="24">
        <v>3</v>
      </c>
      <c r="C104" s="17">
        <v>0.5</v>
      </c>
      <c r="D104" s="24">
        <v>943</v>
      </c>
      <c r="E104" s="24">
        <v>6</v>
      </c>
      <c r="F104" s="25">
        <v>54</v>
      </c>
      <c r="G104" s="1">
        <v>6025</v>
      </c>
      <c r="H104" s="2">
        <v>95</v>
      </c>
      <c r="I104" s="2">
        <v>-28.8</v>
      </c>
      <c r="J104" s="2">
        <v>-29</v>
      </c>
      <c r="K104" s="2">
        <f t="shared" si="8"/>
        <v>-28.8</v>
      </c>
      <c r="L104" s="8">
        <f t="shared" si="12"/>
        <v>4.1686938347033585E-13</v>
      </c>
      <c r="M104" s="26">
        <f>SUM(L104:L109)</f>
        <v>2.938726108440572E-11</v>
      </c>
      <c r="N104" s="17">
        <f>10*LOG10(M104/E104)</f>
        <v>-113.09992139008487</v>
      </c>
      <c r="O104" s="9">
        <f t="shared" si="10"/>
        <v>-29</v>
      </c>
      <c r="P104" s="8">
        <f>D104/B104*10^(O104/10)</f>
        <v>0.39572222110729954</v>
      </c>
      <c r="Q104" s="26">
        <f>SUM(P104:P109)</f>
        <v>3.1815053629556056</v>
      </c>
      <c r="R104" s="17">
        <f>10*LOG10(Q104)</f>
        <v>5.0263265964832771</v>
      </c>
      <c r="S104" s="18">
        <f>F104+N104-Kzt-H</f>
        <v>-59.099921390084873</v>
      </c>
      <c r="T104" s="17">
        <v>0.7</v>
      </c>
      <c r="U104" s="21">
        <f>T104*10^((S104-R104)/10)</f>
        <v>2.7069064153119707E-7</v>
      </c>
    </row>
    <row r="105" spans="1:21" x14ac:dyDescent="0.25">
      <c r="A105" s="24"/>
      <c r="B105" s="24"/>
      <c r="C105" s="17"/>
      <c r="D105" s="24"/>
      <c r="E105" s="24"/>
      <c r="F105" s="25"/>
      <c r="G105" s="1">
        <v>7025</v>
      </c>
      <c r="H105" s="2">
        <v>94.8</v>
      </c>
      <c r="I105" s="2">
        <v>-22.5</v>
      </c>
      <c r="J105" s="2">
        <v>-24.8</v>
      </c>
      <c r="K105" s="2">
        <f t="shared" si="8"/>
        <v>-22.5</v>
      </c>
      <c r="L105" s="8">
        <f t="shared" si="12"/>
        <v>1.8620871366628578E-12</v>
      </c>
      <c r="M105" s="26"/>
      <c r="N105" s="17"/>
      <c r="O105" s="9">
        <f t="shared" si="10"/>
        <v>-24.8</v>
      </c>
      <c r="P105" s="8">
        <f>D104/B104*10^(O105/10)</f>
        <v>1.0408554918602777</v>
      </c>
      <c r="Q105" s="26"/>
      <c r="R105" s="17"/>
      <c r="S105" s="19"/>
      <c r="T105" s="17"/>
      <c r="U105" s="22"/>
    </row>
    <row r="106" spans="1:21" x14ac:dyDescent="0.25">
      <c r="A106" s="24"/>
      <c r="B106" s="24"/>
      <c r="C106" s="17"/>
      <c r="D106" s="24"/>
      <c r="E106" s="24"/>
      <c r="F106" s="25"/>
      <c r="G106" s="1">
        <v>8025</v>
      </c>
      <c r="H106" s="2">
        <v>101.9</v>
      </c>
      <c r="I106" s="2">
        <v>-22.1</v>
      </c>
      <c r="J106" s="2">
        <v>-26.2</v>
      </c>
      <c r="K106" s="2">
        <f t="shared" si="8"/>
        <v>-22.1</v>
      </c>
      <c r="L106" s="8">
        <f t="shared" si="12"/>
        <v>3.9810717055349631E-13</v>
      </c>
      <c r="M106" s="26"/>
      <c r="N106" s="17"/>
      <c r="O106" s="9">
        <f t="shared" si="10"/>
        <v>-26.2</v>
      </c>
      <c r="P106" s="8">
        <f>D104/B104*10^(O106/10)</f>
        <v>0.75403314754512585</v>
      </c>
      <c r="Q106" s="26"/>
      <c r="R106" s="17"/>
      <c r="S106" s="19"/>
      <c r="T106" s="17"/>
      <c r="U106" s="22"/>
    </row>
    <row r="107" spans="1:21" x14ac:dyDescent="0.25">
      <c r="A107" s="24"/>
      <c r="B107" s="24"/>
      <c r="C107" s="17"/>
      <c r="D107" s="24"/>
      <c r="E107" s="24"/>
      <c r="F107" s="25"/>
      <c r="G107" s="1">
        <v>9025</v>
      </c>
      <c r="H107" s="2">
        <v>93.2</v>
      </c>
      <c r="I107" s="2">
        <v>-21.4</v>
      </c>
      <c r="J107" s="2">
        <v>-29.1</v>
      </c>
      <c r="K107" s="2">
        <f t="shared" si="8"/>
        <v>-21.4</v>
      </c>
      <c r="L107" s="8">
        <f t="shared" si="12"/>
        <v>3.4673685045253144E-12</v>
      </c>
      <c r="M107" s="26"/>
      <c r="N107" s="17"/>
      <c r="O107" s="9">
        <f t="shared" si="10"/>
        <v>-29.1</v>
      </c>
      <c r="P107" s="8">
        <f>D104/B104*10^(O107/10)</f>
        <v>0.38671448362535832</v>
      </c>
      <c r="Q107" s="26"/>
      <c r="R107" s="17"/>
      <c r="S107" s="19"/>
      <c r="T107" s="17"/>
      <c r="U107" s="22"/>
    </row>
    <row r="108" spans="1:21" x14ac:dyDescent="0.25">
      <c r="A108" s="24"/>
      <c r="B108" s="24"/>
      <c r="C108" s="17"/>
      <c r="D108" s="24"/>
      <c r="E108" s="24"/>
      <c r="F108" s="25"/>
      <c r="G108" s="1">
        <v>10025</v>
      </c>
      <c r="H108" s="2">
        <v>88.3</v>
      </c>
      <c r="I108" s="2">
        <v>-21.2</v>
      </c>
      <c r="J108" s="2">
        <v>-29.1</v>
      </c>
      <c r="K108" s="2">
        <f t="shared" si="8"/>
        <v>-21.2</v>
      </c>
      <c r="L108" s="8">
        <f t="shared" si="12"/>
        <v>1.1220184543019613E-11</v>
      </c>
      <c r="M108" s="26"/>
      <c r="N108" s="17"/>
      <c r="O108" s="9">
        <f t="shared" si="10"/>
        <v>-29.1</v>
      </c>
      <c r="P108" s="8">
        <f>D104/B104*10^(O108/10)</f>
        <v>0.38671448362535832</v>
      </c>
      <c r="Q108" s="26"/>
      <c r="R108" s="17"/>
      <c r="S108" s="19"/>
      <c r="T108" s="17"/>
      <c r="U108" s="22"/>
    </row>
    <row r="109" spans="1:21" x14ac:dyDescent="0.25">
      <c r="A109" s="24"/>
      <c r="B109" s="24"/>
      <c r="C109" s="17"/>
      <c r="D109" s="24"/>
      <c r="E109" s="24"/>
      <c r="F109" s="25"/>
      <c r="G109" s="1">
        <v>11025</v>
      </c>
      <c r="H109" s="2">
        <v>86</v>
      </c>
      <c r="I109" s="2">
        <v>-23.2</v>
      </c>
      <c r="J109" s="2">
        <v>-31.6</v>
      </c>
      <c r="K109" s="2">
        <f t="shared" si="8"/>
        <v>-23.2</v>
      </c>
      <c r="L109" s="8">
        <f t="shared" si="12"/>
        <v>1.2022644346174101E-11</v>
      </c>
      <c r="M109" s="26"/>
      <c r="N109" s="17"/>
      <c r="O109" s="9">
        <f t="shared" si="10"/>
        <v>-31.6</v>
      </c>
      <c r="P109" s="8">
        <f>D104/B104*10^(O109/10)</f>
        <v>0.21746553519218548</v>
      </c>
      <c r="Q109" s="26"/>
      <c r="R109" s="17"/>
      <c r="S109" s="20"/>
      <c r="T109" s="17"/>
      <c r="U109" s="23"/>
    </row>
    <row r="110" spans="1:21" x14ac:dyDescent="0.25">
      <c r="A110" s="24" t="s">
        <v>20</v>
      </c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12">
        <f>U110</f>
        <v>5.9961653934313422E-2</v>
      </c>
      <c r="T110" s="2"/>
      <c r="U110" s="8">
        <f>0.8*SQRT(SUM(U76:U109))</f>
        <v>5.9961653934313422E-2</v>
      </c>
    </row>
    <row r="111" spans="1:21" x14ac:dyDescent="0.25">
      <c r="A111" s="27" t="s">
        <v>55</v>
      </c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9"/>
    </row>
    <row r="112" spans="1:21" x14ac:dyDescent="0.25">
      <c r="A112" s="24">
        <v>250</v>
      </c>
      <c r="B112" s="24">
        <v>3</v>
      </c>
      <c r="C112" s="17">
        <v>0.5</v>
      </c>
      <c r="D112" s="24">
        <v>38</v>
      </c>
      <c r="E112" s="24">
        <v>4</v>
      </c>
      <c r="F112" s="25">
        <v>84</v>
      </c>
      <c r="G112" s="1">
        <v>175</v>
      </c>
      <c r="H112" s="2">
        <v>84.8</v>
      </c>
      <c r="I112" s="2">
        <v>-13.7</v>
      </c>
      <c r="J112" s="2">
        <v>-19.5</v>
      </c>
      <c r="K112" s="2">
        <f>I112</f>
        <v>-13.7</v>
      </c>
      <c r="L112" s="8">
        <f>10^((K112-H112)/10)</f>
        <v>1.4125375446227517E-10</v>
      </c>
      <c r="M112" s="26">
        <f>SUM(L112:L115)</f>
        <v>1.7049314861157092E-10</v>
      </c>
      <c r="N112" s="17">
        <f>10*LOG10(M112/E112)</f>
        <v>-103.70353060081405</v>
      </c>
      <c r="O112" s="9">
        <f>J112</f>
        <v>-19.5</v>
      </c>
      <c r="P112" s="8">
        <f>D112/B112*10^(O112/10)</f>
        <v>0.14212233754491535</v>
      </c>
      <c r="Q112" s="26">
        <f>SUM(P112:P115)</f>
        <v>0.30853209350575461</v>
      </c>
      <c r="R112" s="17">
        <f>10*LOG10(Q112)</f>
        <v>-5.1069965397267794</v>
      </c>
      <c r="S112" s="18">
        <f>F112+N112-Kzt-H</f>
        <v>-19.703530600814048</v>
      </c>
      <c r="T112" s="17">
        <v>0.2</v>
      </c>
      <c r="U112" s="21">
        <f>T112*10^((S112-R112)/10)</f>
        <v>6.9402735675983046E-3</v>
      </c>
    </row>
    <row r="113" spans="1:21" x14ac:dyDescent="0.25">
      <c r="A113" s="24"/>
      <c r="B113" s="24"/>
      <c r="C113" s="17"/>
      <c r="D113" s="24"/>
      <c r="E113" s="24"/>
      <c r="F113" s="25"/>
      <c r="G113" s="1">
        <v>225</v>
      </c>
      <c r="H113" s="2">
        <v>90</v>
      </c>
      <c r="I113" s="2">
        <v>-17.100000000000001</v>
      </c>
      <c r="J113" s="2">
        <v>-26.9</v>
      </c>
      <c r="K113" s="2">
        <f t="shared" ref="K113:K145" si="13">I113</f>
        <v>-17.100000000000001</v>
      </c>
      <c r="L113" s="8">
        <f t="shared" ref="L113:L114" si="14">10^((K113-H113)/10)</f>
        <v>1.949844599758044E-11</v>
      </c>
      <c r="M113" s="26"/>
      <c r="N113" s="17"/>
      <c r="O113" s="9">
        <f t="shared" ref="O113:O145" si="15">J113</f>
        <v>-26.9</v>
      </c>
      <c r="P113" s="8">
        <f>D112/B112*10^(O113/10)</f>
        <v>2.5862013965814036E-2</v>
      </c>
      <c r="Q113" s="26"/>
      <c r="R113" s="17"/>
      <c r="S113" s="19"/>
      <c r="T113" s="17"/>
      <c r="U113" s="22"/>
    </row>
    <row r="114" spans="1:21" x14ac:dyDescent="0.25">
      <c r="A114" s="24"/>
      <c r="B114" s="24"/>
      <c r="C114" s="17"/>
      <c r="D114" s="24"/>
      <c r="E114" s="24"/>
      <c r="F114" s="25"/>
      <c r="G114" s="1">
        <v>275</v>
      </c>
      <c r="H114" s="2">
        <v>92.2</v>
      </c>
      <c r="I114" s="2">
        <v>-20</v>
      </c>
      <c r="J114" s="2">
        <v>-23.2</v>
      </c>
      <c r="K114" s="2">
        <f t="shared" si="13"/>
        <v>-20</v>
      </c>
      <c r="L114" s="8">
        <f t="shared" si="14"/>
        <v>6.0255958607435596E-12</v>
      </c>
      <c r="M114" s="26"/>
      <c r="N114" s="17"/>
      <c r="O114" s="9">
        <f t="shared" si="15"/>
        <v>-23.2</v>
      </c>
      <c r="P114" s="8">
        <f>D112/B112*10^(O114/10)</f>
        <v>6.0626478360867521E-2</v>
      </c>
      <c r="Q114" s="26"/>
      <c r="R114" s="17"/>
      <c r="S114" s="19"/>
      <c r="T114" s="17"/>
      <c r="U114" s="22"/>
    </row>
    <row r="115" spans="1:21" x14ac:dyDescent="0.25">
      <c r="A115" s="24"/>
      <c r="B115" s="24"/>
      <c r="C115" s="17"/>
      <c r="D115" s="24"/>
      <c r="E115" s="24"/>
      <c r="F115" s="25"/>
      <c r="G115" s="1">
        <v>325</v>
      </c>
      <c r="H115" s="2">
        <v>93.3</v>
      </c>
      <c r="I115" s="2">
        <v>-21</v>
      </c>
      <c r="J115" s="2">
        <v>-22</v>
      </c>
      <c r="K115" s="2">
        <f t="shared" si="13"/>
        <v>-21</v>
      </c>
      <c r="L115" s="8">
        <f>10^((K115-H115)/10)</f>
        <v>3.7153522909717219E-12</v>
      </c>
      <c r="M115" s="26"/>
      <c r="N115" s="17"/>
      <c r="O115" s="9">
        <f t="shared" si="15"/>
        <v>-22</v>
      </c>
      <c r="P115" s="8">
        <f>D112/B112*10^(O115/10)</f>
        <v>7.9921263634157719E-2</v>
      </c>
      <c r="Q115" s="26"/>
      <c r="R115" s="17"/>
      <c r="S115" s="20"/>
      <c r="T115" s="17"/>
      <c r="U115" s="23"/>
    </row>
    <row r="116" spans="1:21" x14ac:dyDescent="0.25">
      <c r="A116" s="24">
        <v>500</v>
      </c>
      <c r="B116" s="24">
        <v>3</v>
      </c>
      <c r="C116" s="17">
        <v>0.5</v>
      </c>
      <c r="D116" s="24">
        <v>59</v>
      </c>
      <c r="E116" s="24">
        <v>6</v>
      </c>
      <c r="F116" s="25">
        <v>84</v>
      </c>
      <c r="G116" s="1">
        <v>375</v>
      </c>
      <c r="H116" s="2">
        <v>91.9</v>
      </c>
      <c r="I116" s="2">
        <v>-16.8</v>
      </c>
      <c r="J116" s="2">
        <v>-29.5</v>
      </c>
      <c r="K116" s="2">
        <f t="shared" si="13"/>
        <v>-16.8</v>
      </c>
      <c r="L116" s="8">
        <f t="shared" ref="L116:L117" si="16">10^((K116-H116)/10)</f>
        <v>1.348962882591645E-11</v>
      </c>
      <c r="M116" s="26">
        <f>SUM(L116:L121)</f>
        <v>4.2281106756404254E-11</v>
      </c>
      <c r="N116" s="17">
        <f>10*LOG10(M116/E116)</f>
        <v>-111.52004903443897</v>
      </c>
      <c r="O116" s="9">
        <f t="shared" si="15"/>
        <v>-29.5</v>
      </c>
      <c r="P116" s="8">
        <f>D116/B116*10^(O116/10)</f>
        <v>2.2066362934605257E-2</v>
      </c>
      <c r="Q116" s="26">
        <f>SUM(P116:P121)</f>
        <v>0.29409625083503976</v>
      </c>
      <c r="R116" s="17">
        <f>10*LOG10(Q116)</f>
        <v>-5.3151051188202425</v>
      </c>
      <c r="S116" s="18">
        <f>F116+N116-Kzt-H</f>
        <v>-27.520049034438969</v>
      </c>
      <c r="T116" s="17">
        <v>0.5</v>
      </c>
      <c r="U116" s="21">
        <f>T116*10^((S116-R116)/10)</f>
        <v>3.0093701769705996E-3</v>
      </c>
    </row>
    <row r="117" spans="1:21" x14ac:dyDescent="0.25">
      <c r="A117" s="24"/>
      <c r="B117" s="24"/>
      <c r="C117" s="17"/>
      <c r="D117" s="24"/>
      <c r="E117" s="24"/>
      <c r="F117" s="25"/>
      <c r="G117" s="1">
        <v>425</v>
      </c>
      <c r="H117" s="2">
        <v>88.1</v>
      </c>
      <c r="I117" s="2">
        <v>-20.6</v>
      </c>
      <c r="J117" s="2">
        <v>-24.9</v>
      </c>
      <c r="K117" s="2">
        <f t="shared" si="13"/>
        <v>-20.6</v>
      </c>
      <c r="L117" s="8">
        <f t="shared" si="16"/>
        <v>1.3489628825916547E-11</v>
      </c>
      <c r="M117" s="26"/>
      <c r="N117" s="17"/>
      <c r="O117" s="9">
        <f t="shared" si="15"/>
        <v>-24.9</v>
      </c>
      <c r="P117" s="8">
        <f>D116/B116*10^(O117/10)</f>
        <v>6.3640085862826892E-2</v>
      </c>
      <c r="Q117" s="26"/>
      <c r="R117" s="17"/>
      <c r="S117" s="19"/>
      <c r="T117" s="17"/>
      <c r="U117" s="22"/>
    </row>
    <row r="118" spans="1:21" x14ac:dyDescent="0.25">
      <c r="A118" s="24"/>
      <c r="B118" s="24"/>
      <c r="C118" s="17"/>
      <c r="D118" s="24"/>
      <c r="E118" s="24"/>
      <c r="F118" s="25"/>
      <c r="G118" s="1">
        <v>475</v>
      </c>
      <c r="H118" s="2">
        <v>90</v>
      </c>
      <c r="I118" s="2">
        <v>-20.8</v>
      </c>
      <c r="J118" s="2">
        <v>-24.2</v>
      </c>
      <c r="K118" s="2">
        <f t="shared" si="13"/>
        <v>-20.8</v>
      </c>
      <c r="L118" s="8">
        <f>10^((K118-H118)/10)</f>
        <v>8.3176377110266746E-12</v>
      </c>
      <c r="M118" s="26"/>
      <c r="N118" s="17"/>
      <c r="O118" s="9">
        <f t="shared" si="15"/>
        <v>-24.2</v>
      </c>
      <c r="P118" s="8">
        <f>D116/B116*10^(O118/10)</f>
        <v>7.4770581276377049E-2</v>
      </c>
      <c r="Q118" s="26"/>
      <c r="R118" s="17"/>
      <c r="S118" s="19"/>
      <c r="T118" s="17"/>
      <c r="U118" s="22"/>
    </row>
    <row r="119" spans="1:21" x14ac:dyDescent="0.25">
      <c r="A119" s="24"/>
      <c r="B119" s="24"/>
      <c r="C119" s="17"/>
      <c r="D119" s="24"/>
      <c r="E119" s="24"/>
      <c r="F119" s="25"/>
      <c r="G119" s="1">
        <v>575</v>
      </c>
      <c r="H119" s="2">
        <v>97</v>
      </c>
      <c r="I119" s="2">
        <v>-18.600000000000001</v>
      </c>
      <c r="J119" s="2">
        <v>-25.8</v>
      </c>
      <c r="K119" s="2">
        <f t="shared" si="13"/>
        <v>-18.600000000000001</v>
      </c>
      <c r="L119" s="8">
        <f t="shared" ref="L119:L145" si="17">10^((K119-H119)/10)</f>
        <v>2.7542287033381671E-12</v>
      </c>
      <c r="M119" s="26"/>
      <c r="N119" s="17"/>
      <c r="O119" s="9">
        <f t="shared" si="15"/>
        <v>-25.8</v>
      </c>
      <c r="P119" s="8">
        <f>D116/B116*10^(O119/10)</f>
        <v>5.1728603840609129E-2</v>
      </c>
      <c r="Q119" s="26"/>
      <c r="R119" s="17"/>
      <c r="S119" s="19"/>
      <c r="T119" s="17"/>
      <c r="U119" s="22"/>
    </row>
    <row r="120" spans="1:21" x14ac:dyDescent="0.25">
      <c r="A120" s="24"/>
      <c r="B120" s="24"/>
      <c r="C120" s="17"/>
      <c r="D120" s="24"/>
      <c r="E120" s="24"/>
      <c r="F120" s="25"/>
      <c r="G120" s="1">
        <v>625</v>
      </c>
      <c r="H120" s="2">
        <v>92</v>
      </c>
      <c r="I120" s="2">
        <v>-25.8</v>
      </c>
      <c r="J120" s="2">
        <v>-27.4</v>
      </c>
      <c r="K120" s="2">
        <f t="shared" si="13"/>
        <v>-25.8</v>
      </c>
      <c r="L120" s="8">
        <f t="shared" si="17"/>
        <v>1.6595869074375588E-12</v>
      </c>
      <c r="M120" s="26"/>
      <c r="N120" s="17"/>
      <c r="O120" s="9">
        <f t="shared" si="15"/>
        <v>-27.4</v>
      </c>
      <c r="P120" s="8">
        <f>D116/B116*10^(O120/10)</f>
        <v>3.5787450219329664E-2</v>
      </c>
      <c r="Q120" s="26"/>
      <c r="R120" s="17"/>
      <c r="S120" s="19"/>
      <c r="T120" s="17"/>
      <c r="U120" s="22"/>
    </row>
    <row r="121" spans="1:21" x14ac:dyDescent="0.25">
      <c r="A121" s="24"/>
      <c r="B121" s="24"/>
      <c r="C121" s="17"/>
      <c r="D121" s="24"/>
      <c r="E121" s="24"/>
      <c r="F121" s="25"/>
      <c r="G121" s="1">
        <v>675</v>
      </c>
      <c r="H121" s="2">
        <v>94.5</v>
      </c>
      <c r="I121" s="2">
        <v>-21.4</v>
      </c>
      <c r="J121" s="2">
        <v>-26.3</v>
      </c>
      <c r="K121" s="2">
        <f t="shared" si="13"/>
        <v>-21.4</v>
      </c>
      <c r="L121" s="8">
        <f t="shared" si="17"/>
        <v>2.5703957827688561E-12</v>
      </c>
      <c r="M121" s="26"/>
      <c r="N121" s="17"/>
      <c r="O121" s="9">
        <f t="shared" si="15"/>
        <v>-26.3</v>
      </c>
      <c r="P121" s="8">
        <f>D116/B116*10^(O121/10)</f>
        <v>4.6103166701291769E-2</v>
      </c>
      <c r="Q121" s="26"/>
      <c r="R121" s="17"/>
      <c r="S121" s="20"/>
      <c r="T121" s="17"/>
      <c r="U121" s="23"/>
    </row>
    <row r="122" spans="1:21" x14ac:dyDescent="0.25">
      <c r="A122" s="24">
        <v>1000</v>
      </c>
      <c r="B122" s="24">
        <v>3</v>
      </c>
      <c r="C122" s="17">
        <v>0.5</v>
      </c>
      <c r="D122" s="24">
        <v>117</v>
      </c>
      <c r="E122" s="24">
        <v>6</v>
      </c>
      <c r="F122" s="25">
        <v>76</v>
      </c>
      <c r="G122" s="1">
        <v>875</v>
      </c>
      <c r="H122" s="2">
        <v>91.1</v>
      </c>
      <c r="I122" s="2">
        <v>-23.2</v>
      </c>
      <c r="J122" s="2">
        <v>-25</v>
      </c>
      <c r="K122" s="2">
        <f t="shared" si="13"/>
        <v>-23.2</v>
      </c>
      <c r="L122" s="8">
        <f t="shared" si="17"/>
        <v>3.7153522909717219E-12</v>
      </c>
      <c r="M122" s="26">
        <f>SUM(L122:L127)</f>
        <v>1.3899519627925424E-11</v>
      </c>
      <c r="N122" s="17">
        <f>10*LOG10(M122/E122)</f>
        <v>-116.35151459233596</v>
      </c>
      <c r="O122" s="9">
        <f t="shared" si="15"/>
        <v>-25</v>
      </c>
      <c r="P122" s="8">
        <f>D122/B122*10^(O122/10)</f>
        <v>0.12332882874656667</v>
      </c>
      <c r="Q122" s="26">
        <f>SUM(P122:P127)</f>
        <v>0.72128745086211765</v>
      </c>
      <c r="R122" s="17">
        <f>10*LOG10(Q122)</f>
        <v>-1.418916237072652</v>
      </c>
      <c r="S122" s="18">
        <f>F122+N122-Kzt-H</f>
        <v>-40.35151459233596</v>
      </c>
      <c r="T122" s="17">
        <v>0.8</v>
      </c>
      <c r="U122" s="21">
        <f>T122*10^((S122-R122)/10)</f>
        <v>1.0228928701517947E-4</v>
      </c>
    </row>
    <row r="123" spans="1:21" x14ac:dyDescent="0.25">
      <c r="A123" s="24"/>
      <c r="B123" s="24"/>
      <c r="C123" s="17"/>
      <c r="D123" s="24"/>
      <c r="E123" s="24"/>
      <c r="F123" s="25"/>
      <c r="G123" s="1">
        <v>975</v>
      </c>
      <c r="H123" s="2">
        <v>96.5</v>
      </c>
      <c r="I123" s="2">
        <v>-19.100000000000001</v>
      </c>
      <c r="J123" s="2">
        <v>-26.9</v>
      </c>
      <c r="K123" s="2">
        <f t="shared" si="13"/>
        <v>-19.100000000000001</v>
      </c>
      <c r="L123" s="8">
        <f t="shared" si="17"/>
        <v>2.7542287033381671E-12</v>
      </c>
      <c r="M123" s="26"/>
      <c r="N123" s="17"/>
      <c r="O123" s="9">
        <f t="shared" si="15"/>
        <v>-26.9</v>
      </c>
      <c r="P123" s="8">
        <f>D122/B122*10^(O123/10)</f>
        <v>7.962777984211164E-2</v>
      </c>
      <c r="Q123" s="26"/>
      <c r="R123" s="17"/>
      <c r="S123" s="19"/>
      <c r="T123" s="17"/>
      <c r="U123" s="22"/>
    </row>
    <row r="124" spans="1:21" x14ac:dyDescent="0.25">
      <c r="A124" s="24"/>
      <c r="B124" s="24"/>
      <c r="C124" s="17"/>
      <c r="D124" s="24"/>
      <c r="E124" s="24"/>
      <c r="F124" s="25"/>
      <c r="G124" s="1">
        <v>1075</v>
      </c>
      <c r="H124" s="2">
        <v>94.6</v>
      </c>
      <c r="I124" s="2">
        <v>-19</v>
      </c>
      <c r="J124" s="2">
        <v>-24.4</v>
      </c>
      <c r="K124" s="2">
        <f t="shared" si="13"/>
        <v>-19</v>
      </c>
      <c r="L124" s="8">
        <f t="shared" si="17"/>
        <v>4.3651583224016522E-12</v>
      </c>
      <c r="M124" s="26"/>
      <c r="N124" s="17"/>
      <c r="O124" s="9">
        <f t="shared" si="15"/>
        <v>-24.4</v>
      </c>
      <c r="P124" s="8">
        <f>D122/B122*10^(O124/10)</f>
        <v>0.14160044136033942</v>
      </c>
      <c r="Q124" s="26"/>
      <c r="R124" s="17"/>
      <c r="S124" s="19"/>
      <c r="T124" s="17"/>
      <c r="U124" s="22"/>
    </row>
    <row r="125" spans="1:21" x14ac:dyDescent="0.25">
      <c r="A125" s="24"/>
      <c r="B125" s="24"/>
      <c r="C125" s="17"/>
      <c r="D125" s="24"/>
      <c r="E125" s="24"/>
      <c r="F125" s="25"/>
      <c r="G125" s="1">
        <v>1175</v>
      </c>
      <c r="H125" s="2">
        <v>97.8</v>
      </c>
      <c r="I125" s="2">
        <v>-21.5</v>
      </c>
      <c r="J125" s="2">
        <v>-26.4</v>
      </c>
      <c r="K125" s="2">
        <f t="shared" si="13"/>
        <v>-21.5</v>
      </c>
      <c r="L125" s="8">
        <f t="shared" si="17"/>
        <v>1.1748975549395258E-12</v>
      </c>
      <c r="M125" s="26"/>
      <c r="N125" s="17"/>
      <c r="O125" s="9">
        <f t="shared" si="15"/>
        <v>-26.4</v>
      </c>
      <c r="P125" s="8">
        <f>D122/B122*10^(O125/10)</f>
        <v>8.9343838457943178E-2</v>
      </c>
      <c r="Q125" s="26"/>
      <c r="R125" s="17"/>
      <c r="S125" s="19"/>
      <c r="T125" s="17"/>
      <c r="U125" s="22"/>
    </row>
    <row r="126" spans="1:21" x14ac:dyDescent="0.25">
      <c r="A126" s="24"/>
      <c r="B126" s="24"/>
      <c r="C126" s="17"/>
      <c r="D126" s="24"/>
      <c r="E126" s="24"/>
      <c r="F126" s="25"/>
      <c r="G126" s="1">
        <v>1275</v>
      </c>
      <c r="H126" s="2">
        <v>100.1</v>
      </c>
      <c r="I126" s="2">
        <v>-18.899999999999999</v>
      </c>
      <c r="J126" s="2">
        <v>-23.3</v>
      </c>
      <c r="K126" s="2">
        <f t="shared" si="13"/>
        <v>-18.899999999999999</v>
      </c>
      <c r="L126" s="8">
        <f t="shared" si="17"/>
        <v>1.2589254117941629E-12</v>
      </c>
      <c r="M126" s="26"/>
      <c r="N126" s="17"/>
      <c r="O126" s="9">
        <f t="shared" si="15"/>
        <v>-23.3</v>
      </c>
      <c r="P126" s="8">
        <f>D122/B122*10^(O126/10)</f>
        <v>0.18241670510200714</v>
      </c>
      <c r="Q126" s="26"/>
      <c r="R126" s="17"/>
      <c r="S126" s="19"/>
      <c r="T126" s="17"/>
      <c r="U126" s="22"/>
    </row>
    <row r="127" spans="1:21" x14ac:dyDescent="0.25">
      <c r="A127" s="24"/>
      <c r="B127" s="24"/>
      <c r="C127" s="17"/>
      <c r="D127" s="24"/>
      <c r="E127" s="24"/>
      <c r="F127" s="25"/>
      <c r="G127" s="1">
        <v>1375</v>
      </c>
      <c r="H127" s="2">
        <v>103</v>
      </c>
      <c r="I127" s="2">
        <v>-19</v>
      </c>
      <c r="J127" s="2">
        <v>-25.7</v>
      </c>
      <c r="K127" s="2">
        <f t="shared" si="13"/>
        <v>-19</v>
      </c>
      <c r="L127" s="8">
        <f t="shared" si="17"/>
        <v>6.3095734448019283E-13</v>
      </c>
      <c r="M127" s="26"/>
      <c r="N127" s="17"/>
      <c r="O127" s="9">
        <f t="shared" si="15"/>
        <v>-25.7</v>
      </c>
      <c r="P127" s="8">
        <f>D122/B122*10^(O127/10)</f>
        <v>0.10496985735314968</v>
      </c>
      <c r="Q127" s="26"/>
      <c r="R127" s="17"/>
      <c r="S127" s="20"/>
      <c r="T127" s="17"/>
      <c r="U127" s="23"/>
    </row>
    <row r="128" spans="1:21" x14ac:dyDescent="0.25">
      <c r="A128" s="24">
        <v>2000</v>
      </c>
      <c r="B128" s="24">
        <v>3</v>
      </c>
      <c r="C128" s="17">
        <v>0.5</v>
      </c>
      <c r="D128" s="24">
        <v>234</v>
      </c>
      <c r="E128" s="24">
        <v>6</v>
      </c>
      <c r="F128" s="25">
        <v>68</v>
      </c>
      <c r="G128" s="1">
        <v>1425</v>
      </c>
      <c r="H128" s="2">
        <v>102.8</v>
      </c>
      <c r="I128" s="2">
        <v>-16.7</v>
      </c>
      <c r="J128" s="2">
        <v>-25.6</v>
      </c>
      <c r="K128" s="2">
        <f t="shared" si="13"/>
        <v>-16.7</v>
      </c>
      <c r="L128" s="8">
        <f t="shared" si="17"/>
        <v>1.122018454301964E-12</v>
      </c>
      <c r="M128" s="26">
        <f>SUM(L128:L133)</f>
        <v>5.1880290690993531E-12</v>
      </c>
      <c r="N128" s="17">
        <f>10*LOG10(M128/E128)</f>
        <v>-120.6314884956488</v>
      </c>
      <c r="O128" s="9">
        <f t="shared" si="15"/>
        <v>-25.6</v>
      </c>
      <c r="P128" s="8">
        <f>D128/B128*10^(O128/10)</f>
        <v>0.21482983886037688</v>
      </c>
      <c r="Q128" s="26">
        <f>SUM(P128:P133)</f>
        <v>1.3482765859937182</v>
      </c>
      <c r="R128" s="17">
        <f>10*LOG10(Q128)</f>
        <v>1.2977899268097184</v>
      </c>
      <c r="S128" s="18">
        <f>F128+N128-Kzt-H</f>
        <v>-52.631488495648796</v>
      </c>
      <c r="T128" s="17">
        <v>1</v>
      </c>
      <c r="U128" s="21">
        <f>T128*10^((S128-R128)/10)</f>
        <v>4.0464311731117027E-6</v>
      </c>
    </row>
    <row r="129" spans="1:21" x14ac:dyDescent="0.25">
      <c r="A129" s="24"/>
      <c r="B129" s="24"/>
      <c r="C129" s="17"/>
      <c r="D129" s="24"/>
      <c r="E129" s="24"/>
      <c r="F129" s="25"/>
      <c r="G129" s="1">
        <v>1625</v>
      </c>
      <c r="H129" s="2">
        <v>104.1</v>
      </c>
      <c r="I129" s="2">
        <v>-22.7</v>
      </c>
      <c r="J129" s="2">
        <v>-23</v>
      </c>
      <c r="K129" s="2">
        <f t="shared" si="13"/>
        <v>-22.7</v>
      </c>
      <c r="L129" s="8">
        <f t="shared" si="17"/>
        <v>2.0892961308540331E-13</v>
      </c>
      <c r="M129" s="26"/>
      <c r="N129" s="17"/>
      <c r="O129" s="9">
        <f t="shared" si="15"/>
        <v>-23</v>
      </c>
      <c r="P129" s="8">
        <f>D128/B128*10^(O129/10)</f>
        <v>0.39092604222927224</v>
      </c>
      <c r="Q129" s="26"/>
      <c r="R129" s="17"/>
      <c r="S129" s="19"/>
      <c r="T129" s="17"/>
      <c r="U129" s="22"/>
    </row>
    <row r="130" spans="1:21" x14ac:dyDescent="0.25">
      <c r="A130" s="24"/>
      <c r="B130" s="24"/>
      <c r="C130" s="17"/>
      <c r="D130" s="24"/>
      <c r="E130" s="24"/>
      <c r="F130" s="25"/>
      <c r="G130" s="1">
        <v>1825</v>
      </c>
      <c r="H130" s="2">
        <v>107.6</v>
      </c>
      <c r="I130" s="2">
        <v>-18.399999999999999</v>
      </c>
      <c r="J130" s="2">
        <v>-24.6</v>
      </c>
      <c r="K130" s="2">
        <f t="shared" si="13"/>
        <v>-18.399999999999999</v>
      </c>
      <c r="L130" s="8">
        <f t="shared" si="17"/>
        <v>2.511886431509579E-13</v>
      </c>
      <c r="M130" s="26"/>
      <c r="N130" s="17"/>
      <c r="O130" s="9">
        <f t="shared" si="15"/>
        <v>-24.6</v>
      </c>
      <c r="P130" s="8">
        <f>D128/B128*10^(O130/10)</f>
        <v>0.27045474335297459</v>
      </c>
      <c r="Q130" s="26"/>
      <c r="R130" s="17"/>
      <c r="S130" s="19"/>
      <c r="T130" s="17"/>
      <c r="U130" s="22"/>
    </row>
    <row r="131" spans="1:21" x14ac:dyDescent="0.25">
      <c r="A131" s="24"/>
      <c r="B131" s="24"/>
      <c r="C131" s="17"/>
      <c r="D131" s="24"/>
      <c r="E131" s="24"/>
      <c r="F131" s="25"/>
      <c r="G131" s="1">
        <v>2125</v>
      </c>
      <c r="H131" s="2">
        <v>104.2</v>
      </c>
      <c r="I131" s="2">
        <v>-25.1</v>
      </c>
      <c r="J131" s="2">
        <v>-28.3</v>
      </c>
      <c r="K131" s="2">
        <f t="shared" si="13"/>
        <v>-25.1</v>
      </c>
      <c r="L131" s="8">
        <f t="shared" si="17"/>
        <v>1.1748975549395202E-13</v>
      </c>
      <c r="M131" s="26"/>
      <c r="N131" s="17"/>
      <c r="O131" s="9">
        <f t="shared" si="15"/>
        <v>-28.3</v>
      </c>
      <c r="P131" s="8">
        <f>D128/B128*10^(O131/10)</f>
        <v>0.11537045427712012</v>
      </c>
      <c r="Q131" s="26"/>
      <c r="R131" s="17"/>
      <c r="S131" s="19"/>
      <c r="T131" s="17"/>
      <c r="U131" s="22"/>
    </row>
    <row r="132" spans="1:21" x14ac:dyDescent="0.25">
      <c r="A132" s="24"/>
      <c r="B132" s="24"/>
      <c r="C132" s="17"/>
      <c r="D132" s="24"/>
      <c r="E132" s="24"/>
      <c r="F132" s="25"/>
      <c r="G132" s="1">
        <v>2425</v>
      </c>
      <c r="H132" s="2">
        <v>93.7</v>
      </c>
      <c r="I132" s="2">
        <v>-21.4</v>
      </c>
      <c r="J132" s="2">
        <v>-27.9</v>
      </c>
      <c r="K132" s="2">
        <f t="shared" si="13"/>
        <v>-21.4</v>
      </c>
      <c r="L132" s="8">
        <f t="shared" si="17"/>
        <v>3.0902954325135792E-12</v>
      </c>
      <c r="M132" s="26"/>
      <c r="N132" s="17"/>
      <c r="O132" s="9">
        <f t="shared" si="15"/>
        <v>-27.9</v>
      </c>
      <c r="P132" s="8">
        <f>D128/B128*10^(O132/10)</f>
        <v>0.12650118759399642</v>
      </c>
      <c r="Q132" s="26"/>
      <c r="R132" s="17"/>
      <c r="S132" s="19"/>
      <c r="T132" s="17"/>
      <c r="U132" s="22"/>
    </row>
    <row r="133" spans="1:21" x14ac:dyDescent="0.25">
      <c r="A133" s="24"/>
      <c r="B133" s="24"/>
      <c r="C133" s="17"/>
      <c r="D133" s="24"/>
      <c r="E133" s="24"/>
      <c r="F133" s="25"/>
      <c r="G133" s="1">
        <v>2775</v>
      </c>
      <c r="H133" s="2">
        <v>100.2</v>
      </c>
      <c r="I133" s="2">
        <v>-23.8</v>
      </c>
      <c r="J133" s="2">
        <v>-25.3</v>
      </c>
      <c r="K133" s="2">
        <f t="shared" si="13"/>
        <v>-23.8</v>
      </c>
      <c r="L133" s="8">
        <f t="shared" si="17"/>
        <v>3.9810717055349631E-13</v>
      </c>
      <c r="M133" s="26"/>
      <c r="N133" s="17"/>
      <c r="O133" s="9">
        <f t="shared" si="15"/>
        <v>-25.3</v>
      </c>
      <c r="P133" s="8">
        <f>D128/B128*10^(O133/10)</f>
        <v>0.23019431967997794</v>
      </c>
      <c r="Q133" s="26"/>
      <c r="R133" s="17"/>
      <c r="S133" s="20"/>
      <c r="T133" s="17"/>
      <c r="U133" s="23"/>
    </row>
    <row r="134" spans="1:21" x14ac:dyDescent="0.25">
      <c r="A134" s="24">
        <v>4000</v>
      </c>
      <c r="B134" s="24">
        <v>3</v>
      </c>
      <c r="C134" s="17">
        <v>0.5</v>
      </c>
      <c r="D134" s="24">
        <v>470</v>
      </c>
      <c r="E134" s="24">
        <v>6</v>
      </c>
      <c r="F134" s="25">
        <v>62</v>
      </c>
      <c r="G134" s="1">
        <v>2825</v>
      </c>
      <c r="H134" s="2">
        <v>99.4</v>
      </c>
      <c r="I134" s="2">
        <v>-21.6</v>
      </c>
      <c r="J134" s="2">
        <v>-26.8</v>
      </c>
      <c r="K134" s="2">
        <f t="shared" si="13"/>
        <v>-21.6</v>
      </c>
      <c r="L134" s="8">
        <f t="shared" si="17"/>
        <v>7.9432823472428024E-13</v>
      </c>
      <c r="M134" s="26">
        <f>SUM(L134:L139)</f>
        <v>1.9504561512334385E-12</v>
      </c>
      <c r="N134" s="17">
        <f>10*LOG10(M134/E134)</f>
        <v>-124.88015059125432</v>
      </c>
      <c r="O134" s="9">
        <f t="shared" si="15"/>
        <v>-26.8</v>
      </c>
      <c r="P134" s="8">
        <f>D134/B134*10^(O134/10)</f>
        <v>0.32732306050046583</v>
      </c>
      <c r="Q134" s="26">
        <f>SUM(P134:P139)</f>
        <v>1.7527622913678074</v>
      </c>
      <c r="R134" s="17">
        <f>10*LOG10(Q134)</f>
        <v>2.4372302131494785</v>
      </c>
      <c r="S134" s="18">
        <f>F134+N134-Kzt-H</f>
        <v>-62.880150591254321</v>
      </c>
      <c r="T134" s="17">
        <v>0.9</v>
      </c>
      <c r="U134" s="21">
        <f>T134*10^((S134-R134)/10)</f>
        <v>2.6454796735769381E-7</v>
      </c>
    </row>
    <row r="135" spans="1:21" x14ac:dyDescent="0.25">
      <c r="A135" s="24"/>
      <c r="B135" s="24"/>
      <c r="C135" s="17"/>
      <c r="D135" s="24"/>
      <c r="E135" s="24"/>
      <c r="F135" s="25"/>
      <c r="G135" s="1">
        <v>3425</v>
      </c>
      <c r="H135" s="2">
        <v>103.5</v>
      </c>
      <c r="I135" s="2">
        <v>-23.9</v>
      </c>
      <c r="J135" s="2">
        <v>-26.8</v>
      </c>
      <c r="K135" s="2">
        <f t="shared" si="13"/>
        <v>-23.9</v>
      </c>
      <c r="L135" s="8">
        <f t="shared" si="17"/>
        <v>1.8197008586099787E-13</v>
      </c>
      <c r="M135" s="26"/>
      <c r="N135" s="17"/>
      <c r="O135" s="9">
        <f t="shared" si="15"/>
        <v>-26.8</v>
      </c>
      <c r="P135" s="8">
        <f>D134/B134*10^(O135/10)</f>
        <v>0.32732306050046583</v>
      </c>
      <c r="Q135" s="26"/>
      <c r="R135" s="17"/>
      <c r="S135" s="19"/>
      <c r="T135" s="17"/>
      <c r="U135" s="22"/>
    </row>
    <row r="136" spans="1:21" x14ac:dyDescent="0.25">
      <c r="A136" s="24"/>
      <c r="B136" s="24"/>
      <c r="C136" s="17"/>
      <c r="D136" s="24"/>
      <c r="E136" s="24"/>
      <c r="F136" s="25"/>
      <c r="G136" s="1">
        <v>4025</v>
      </c>
      <c r="H136" s="2">
        <v>103.6</v>
      </c>
      <c r="I136" s="2">
        <v>-23.5</v>
      </c>
      <c r="J136" s="2">
        <v>-26.1</v>
      </c>
      <c r="K136" s="2">
        <f t="shared" si="13"/>
        <v>-23.5</v>
      </c>
      <c r="L136" s="8">
        <f t="shared" si="17"/>
        <v>1.9498445997580464E-13</v>
      </c>
      <c r="M136" s="26"/>
      <c r="N136" s="17"/>
      <c r="O136" s="9">
        <f t="shared" si="15"/>
        <v>-26.1</v>
      </c>
      <c r="P136" s="8">
        <f>D134/B134*10^(O136/10)</f>
        <v>0.38457106345732078</v>
      </c>
      <c r="Q136" s="26"/>
      <c r="R136" s="17"/>
      <c r="S136" s="19"/>
      <c r="T136" s="17"/>
      <c r="U136" s="22"/>
    </row>
    <row r="137" spans="1:21" x14ac:dyDescent="0.25">
      <c r="A137" s="24"/>
      <c r="B137" s="24"/>
      <c r="C137" s="17"/>
      <c r="D137" s="24"/>
      <c r="E137" s="24"/>
      <c r="F137" s="25"/>
      <c r="G137" s="1">
        <v>4625</v>
      </c>
      <c r="H137" s="2">
        <v>105.6</v>
      </c>
      <c r="I137" s="2">
        <v>-23</v>
      </c>
      <c r="J137" s="2">
        <v>-30.7</v>
      </c>
      <c r="K137" s="2">
        <f t="shared" si="13"/>
        <v>-23</v>
      </c>
      <c r="L137" s="8">
        <f t="shared" si="17"/>
        <v>1.3803842646028828E-13</v>
      </c>
      <c r="M137" s="26"/>
      <c r="N137" s="17"/>
      <c r="O137" s="9">
        <f t="shared" si="15"/>
        <v>-30.7</v>
      </c>
      <c r="P137" s="8">
        <f>D134/B134*10^(O137/10)</f>
        <v>0.13334495931837231</v>
      </c>
      <c r="Q137" s="26"/>
      <c r="R137" s="17"/>
      <c r="S137" s="19"/>
      <c r="T137" s="17"/>
      <c r="U137" s="22"/>
    </row>
    <row r="138" spans="1:21" x14ac:dyDescent="0.25">
      <c r="A138" s="24"/>
      <c r="B138" s="24"/>
      <c r="C138" s="17"/>
      <c r="D138" s="24"/>
      <c r="E138" s="24"/>
      <c r="F138" s="25"/>
      <c r="G138" s="1">
        <v>5225</v>
      </c>
      <c r="H138" s="2">
        <v>103.5</v>
      </c>
      <c r="I138" s="2">
        <v>-24.7</v>
      </c>
      <c r="J138" s="2">
        <v>-26.4</v>
      </c>
      <c r="K138" s="2">
        <f t="shared" si="13"/>
        <v>-24.7</v>
      </c>
      <c r="L138" s="8">
        <f t="shared" si="17"/>
        <v>1.5135612484362107E-13</v>
      </c>
      <c r="M138" s="26"/>
      <c r="N138" s="17"/>
      <c r="O138" s="9">
        <f t="shared" si="15"/>
        <v>-26.4</v>
      </c>
      <c r="P138" s="8">
        <f>D134/B134*10^(O138/10)</f>
        <v>0.35890259893361787</v>
      </c>
      <c r="Q138" s="26"/>
      <c r="R138" s="17"/>
      <c r="S138" s="19"/>
      <c r="T138" s="17"/>
      <c r="U138" s="22"/>
    </row>
    <row r="139" spans="1:21" x14ac:dyDescent="0.25">
      <c r="A139" s="24"/>
      <c r="B139" s="24"/>
      <c r="C139" s="17"/>
      <c r="D139" s="24"/>
      <c r="E139" s="24"/>
      <c r="F139" s="25"/>
      <c r="G139" s="1">
        <v>5625</v>
      </c>
      <c r="H139" s="2">
        <v>99.5</v>
      </c>
      <c r="I139" s="2">
        <v>-23.6</v>
      </c>
      <c r="J139" s="2">
        <v>-28.5</v>
      </c>
      <c r="K139" s="2">
        <f t="shared" si="13"/>
        <v>-23.6</v>
      </c>
      <c r="L139" s="8">
        <f t="shared" si="17"/>
        <v>4.8977881936844633E-13</v>
      </c>
      <c r="M139" s="26"/>
      <c r="N139" s="17"/>
      <c r="O139" s="9">
        <f t="shared" si="15"/>
        <v>-28.5</v>
      </c>
      <c r="P139" s="8">
        <f>D134/B134*10^(O139/10)</f>
        <v>0.22129754865756457</v>
      </c>
      <c r="Q139" s="26"/>
      <c r="R139" s="17"/>
      <c r="S139" s="20"/>
      <c r="T139" s="17"/>
      <c r="U139" s="23"/>
    </row>
    <row r="140" spans="1:21" x14ac:dyDescent="0.25">
      <c r="A140" s="24">
        <v>8000</v>
      </c>
      <c r="B140" s="24">
        <v>3</v>
      </c>
      <c r="C140" s="17">
        <v>0.5</v>
      </c>
      <c r="D140" s="24">
        <v>943</v>
      </c>
      <c r="E140" s="24">
        <v>6</v>
      </c>
      <c r="F140" s="25">
        <v>54</v>
      </c>
      <c r="G140" s="1">
        <v>6025</v>
      </c>
      <c r="H140" s="2">
        <v>95</v>
      </c>
      <c r="I140" s="2">
        <v>-23.2</v>
      </c>
      <c r="J140" s="2">
        <v>-28.4</v>
      </c>
      <c r="K140" s="2">
        <f t="shared" si="13"/>
        <v>-23.2</v>
      </c>
      <c r="L140" s="8">
        <f t="shared" si="17"/>
        <v>1.5135612484362015E-12</v>
      </c>
      <c r="M140" s="26">
        <f>SUM(L140:L145)</f>
        <v>2.0788415342801792E-11</v>
      </c>
      <c r="N140" s="17">
        <f>10*LOG10(M140/E140)</f>
        <v>-114.60329865145803</v>
      </c>
      <c r="O140" s="9">
        <f t="shared" si="15"/>
        <v>-28.4</v>
      </c>
      <c r="P140" s="8">
        <f>D140/B140*10^(O140/10)</f>
        <v>0.45434990127113639</v>
      </c>
      <c r="Q140" s="26">
        <f>SUM(P140:P145)</f>
        <v>4.0589616006731788</v>
      </c>
      <c r="R140" s="17">
        <f>10*LOG10(Q140)</f>
        <v>6.0841494274506802</v>
      </c>
      <c r="S140" s="18">
        <f>F140+N140-Kzt-H</f>
        <v>-60.603298651458033</v>
      </c>
      <c r="T140" s="17">
        <v>0.7</v>
      </c>
      <c r="U140" s="21">
        <f>T140*10^((S140-R140)/10)</f>
        <v>1.5009050958770763E-7</v>
      </c>
    </row>
    <row r="141" spans="1:21" x14ac:dyDescent="0.25">
      <c r="A141" s="24"/>
      <c r="B141" s="24"/>
      <c r="C141" s="17"/>
      <c r="D141" s="24"/>
      <c r="E141" s="24"/>
      <c r="F141" s="25"/>
      <c r="G141" s="1">
        <v>7025</v>
      </c>
      <c r="H141" s="2">
        <v>94.8</v>
      </c>
      <c r="I141" s="2">
        <v>-22</v>
      </c>
      <c r="J141" s="2">
        <v>-24</v>
      </c>
      <c r="K141" s="2">
        <f t="shared" si="13"/>
        <v>-22</v>
      </c>
      <c r="L141" s="8">
        <f t="shared" si="17"/>
        <v>2.0892961308540349E-12</v>
      </c>
      <c r="M141" s="26"/>
      <c r="N141" s="17"/>
      <c r="O141" s="9">
        <f t="shared" si="15"/>
        <v>-24</v>
      </c>
      <c r="P141" s="8">
        <f>D140/B140*10^(O141/10)</f>
        <v>1.2513835394398261</v>
      </c>
      <c r="Q141" s="26"/>
      <c r="R141" s="17"/>
      <c r="S141" s="19"/>
      <c r="T141" s="17"/>
      <c r="U141" s="22"/>
    </row>
    <row r="142" spans="1:21" x14ac:dyDescent="0.25">
      <c r="A142" s="24"/>
      <c r="B142" s="24"/>
      <c r="C142" s="17"/>
      <c r="D142" s="24"/>
      <c r="E142" s="24"/>
      <c r="F142" s="25"/>
      <c r="G142" s="1">
        <v>8025</v>
      </c>
      <c r="H142" s="2">
        <v>101.9</v>
      </c>
      <c r="I142" s="2">
        <v>-22.8</v>
      </c>
      <c r="J142" s="2">
        <v>-25.2</v>
      </c>
      <c r="K142" s="2">
        <f t="shared" si="13"/>
        <v>-22.8</v>
      </c>
      <c r="L142" s="8">
        <f t="shared" si="17"/>
        <v>3.3884415613920079E-13</v>
      </c>
      <c r="M142" s="26"/>
      <c r="N142" s="17"/>
      <c r="O142" s="9">
        <f t="shared" si="15"/>
        <v>-25.2</v>
      </c>
      <c r="P142" s="8">
        <f>D140/B140*10^(O142/10)</f>
        <v>0.94927149077969952</v>
      </c>
      <c r="Q142" s="26"/>
      <c r="R142" s="17"/>
      <c r="S142" s="19"/>
      <c r="T142" s="17"/>
      <c r="U142" s="22"/>
    </row>
    <row r="143" spans="1:21" x14ac:dyDescent="0.25">
      <c r="A143" s="24"/>
      <c r="B143" s="24"/>
      <c r="C143" s="17"/>
      <c r="D143" s="24"/>
      <c r="E143" s="24"/>
      <c r="F143" s="25"/>
      <c r="G143" s="1">
        <v>9025</v>
      </c>
      <c r="H143" s="2">
        <v>93.2</v>
      </c>
      <c r="I143" s="2">
        <v>-21.4</v>
      </c>
      <c r="J143" s="2">
        <v>-26.8</v>
      </c>
      <c r="K143" s="2">
        <f t="shared" si="13"/>
        <v>-21.4</v>
      </c>
      <c r="L143" s="8">
        <f t="shared" si="17"/>
        <v>3.4673685045253144E-12</v>
      </c>
      <c r="M143" s="26"/>
      <c r="N143" s="17"/>
      <c r="O143" s="9">
        <f t="shared" si="15"/>
        <v>-26.8</v>
      </c>
      <c r="P143" s="8">
        <f>D140/B140*10^(O143/10)</f>
        <v>0.65673541713178563</v>
      </c>
      <c r="Q143" s="26"/>
      <c r="R143" s="17"/>
      <c r="S143" s="19"/>
      <c r="T143" s="17"/>
      <c r="U143" s="22"/>
    </row>
    <row r="144" spans="1:21" x14ac:dyDescent="0.25">
      <c r="A144" s="24"/>
      <c r="B144" s="24"/>
      <c r="C144" s="17"/>
      <c r="D144" s="24"/>
      <c r="E144" s="24"/>
      <c r="F144" s="25"/>
      <c r="G144" s="1">
        <v>10025</v>
      </c>
      <c r="H144" s="2">
        <v>88.3</v>
      </c>
      <c r="I144" s="2">
        <v>-25.2</v>
      </c>
      <c r="J144" s="2">
        <v>-29.2</v>
      </c>
      <c r="K144" s="2">
        <f t="shared" si="13"/>
        <v>-25.2</v>
      </c>
      <c r="L144" s="8">
        <f t="shared" si="17"/>
        <v>4.4668359215096234E-12</v>
      </c>
      <c r="M144" s="26"/>
      <c r="N144" s="17"/>
      <c r="O144" s="9">
        <f t="shared" si="15"/>
        <v>-29.2</v>
      </c>
      <c r="P144" s="8">
        <f>D140/B140*10^(O144/10)</f>
        <v>0.37791178728140662</v>
      </c>
      <c r="Q144" s="26"/>
      <c r="R144" s="17"/>
      <c r="S144" s="19"/>
      <c r="T144" s="17"/>
      <c r="U144" s="22"/>
    </row>
    <row r="145" spans="1:21" x14ac:dyDescent="0.25">
      <c r="A145" s="24"/>
      <c r="B145" s="24"/>
      <c r="C145" s="17"/>
      <c r="D145" s="24"/>
      <c r="E145" s="24"/>
      <c r="F145" s="25"/>
      <c r="G145" s="1">
        <v>11025</v>
      </c>
      <c r="H145" s="2">
        <v>86</v>
      </c>
      <c r="I145" s="2">
        <v>-24.5</v>
      </c>
      <c r="J145" s="2">
        <v>-29.3</v>
      </c>
      <c r="K145" s="2">
        <f t="shared" si="13"/>
        <v>-24.5</v>
      </c>
      <c r="L145" s="8">
        <f t="shared" si="17"/>
        <v>8.9125093813374152E-12</v>
      </c>
      <c r="M145" s="26"/>
      <c r="N145" s="17"/>
      <c r="O145" s="9">
        <f t="shared" si="15"/>
        <v>-29.3</v>
      </c>
      <c r="P145" s="8">
        <f>D140/B140*10^(O145/10)</f>
        <v>0.36930946476932491</v>
      </c>
      <c r="Q145" s="26"/>
      <c r="R145" s="17"/>
      <c r="S145" s="20"/>
      <c r="T145" s="17"/>
      <c r="U145" s="23"/>
    </row>
    <row r="146" spans="1:21" x14ac:dyDescent="0.25">
      <c r="A146" s="24" t="s">
        <v>20</v>
      </c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12">
        <f>U146</f>
        <v>8.0225259269072174E-2</v>
      </c>
      <c r="T146" s="2"/>
      <c r="U146" s="8">
        <f>0.8*SQRT(SUM(U112:U145))</f>
        <v>8.0225259269072174E-2</v>
      </c>
    </row>
    <row r="147" spans="1:21" x14ac:dyDescent="0.25">
      <c r="A147" s="27" t="s">
        <v>56</v>
      </c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9"/>
    </row>
    <row r="148" spans="1:21" x14ac:dyDescent="0.25">
      <c r="A148" s="24">
        <v>250</v>
      </c>
      <c r="B148" s="24">
        <v>3</v>
      </c>
      <c r="C148" s="17">
        <v>0.5</v>
      </c>
      <c r="D148" s="24">
        <v>38</v>
      </c>
      <c r="E148" s="24">
        <v>4</v>
      </c>
      <c r="F148" s="25">
        <v>84</v>
      </c>
      <c r="G148" s="1">
        <v>175</v>
      </c>
      <c r="H148" s="2">
        <v>84.8</v>
      </c>
      <c r="I148" s="2">
        <v>-17.100000000000001</v>
      </c>
      <c r="J148" s="2">
        <v>-18.600000000000001</v>
      </c>
      <c r="K148" s="2">
        <f>I148</f>
        <v>-17.100000000000001</v>
      </c>
      <c r="L148" s="8">
        <f>10^((K148-H148)/10)</f>
        <v>6.4565422903465183E-11</v>
      </c>
      <c r="M148" s="26">
        <f>SUM(L148:L151)</f>
        <v>8.9624946182699041E-11</v>
      </c>
      <c r="N148" s="17">
        <f>10*LOG10(M148/E148)</f>
        <v>-106.49631083433852</v>
      </c>
      <c r="O148" s="9">
        <f>J148</f>
        <v>-18.600000000000001</v>
      </c>
      <c r="P148" s="8">
        <f>D148/B148*10^(O148/10)</f>
        <v>0.17484867351636527</v>
      </c>
      <c r="Q148" s="26">
        <f>SUM(P148:P151)</f>
        <v>0.3819585287844835</v>
      </c>
      <c r="R148" s="17">
        <f>10*LOG10(Q148)</f>
        <v>-4.1798378812959971</v>
      </c>
      <c r="S148" s="18">
        <f>F148+N148-Kzt-H</f>
        <v>-22.496310834338516</v>
      </c>
      <c r="T148" s="17">
        <v>0.2</v>
      </c>
      <c r="U148" s="21">
        <f>T148*10^((S148-R148)/10)</f>
        <v>2.9470174020924072E-3</v>
      </c>
    </row>
    <row r="149" spans="1:21" x14ac:dyDescent="0.25">
      <c r="A149" s="24"/>
      <c r="B149" s="24"/>
      <c r="C149" s="17"/>
      <c r="D149" s="24"/>
      <c r="E149" s="24"/>
      <c r="F149" s="25"/>
      <c r="G149" s="1">
        <v>225</v>
      </c>
      <c r="H149" s="2">
        <v>90</v>
      </c>
      <c r="I149" s="2">
        <v>-18.2</v>
      </c>
      <c r="J149" s="2">
        <v>-20.100000000000001</v>
      </c>
      <c r="K149" s="2">
        <f t="shared" ref="K149:K181" si="18">I149</f>
        <v>-18.2</v>
      </c>
      <c r="L149" s="8">
        <f t="shared" ref="L149:L150" si="19">10^((K149-H149)/10)</f>
        <v>1.5135612484362034E-11</v>
      </c>
      <c r="M149" s="26"/>
      <c r="N149" s="17"/>
      <c r="O149" s="9">
        <f t="shared" ref="O149:O181" si="20">J149</f>
        <v>-20.100000000000001</v>
      </c>
      <c r="P149" s="8">
        <f>D148/B148*10^(O149/10)</f>
        <v>0.1237833813210692</v>
      </c>
      <c r="Q149" s="26"/>
      <c r="R149" s="17"/>
      <c r="S149" s="19"/>
      <c r="T149" s="17"/>
      <c r="U149" s="22"/>
    </row>
    <row r="150" spans="1:21" x14ac:dyDescent="0.25">
      <c r="A150" s="24"/>
      <c r="B150" s="24"/>
      <c r="C150" s="17"/>
      <c r="D150" s="24"/>
      <c r="E150" s="24"/>
      <c r="F150" s="25"/>
      <c r="G150" s="1">
        <v>275</v>
      </c>
      <c r="H150" s="2">
        <v>92.2</v>
      </c>
      <c r="I150" s="2">
        <v>-22.4</v>
      </c>
      <c r="J150" s="2">
        <v>-22.5</v>
      </c>
      <c r="K150" s="2">
        <f t="shared" si="18"/>
        <v>-22.4</v>
      </c>
      <c r="L150" s="8">
        <f t="shared" si="19"/>
        <v>3.4673685045253144E-12</v>
      </c>
      <c r="M150" s="26"/>
      <c r="N150" s="17"/>
      <c r="O150" s="9">
        <f t="shared" si="20"/>
        <v>-22.5</v>
      </c>
      <c r="P150" s="8">
        <f>D148/B148*10^(O150/10)</f>
        <v>7.1229901190777489E-2</v>
      </c>
      <c r="Q150" s="26"/>
      <c r="R150" s="17"/>
      <c r="S150" s="19"/>
      <c r="T150" s="17"/>
      <c r="U150" s="22"/>
    </row>
    <row r="151" spans="1:21" x14ac:dyDescent="0.25">
      <c r="A151" s="24"/>
      <c r="B151" s="24"/>
      <c r="C151" s="17"/>
      <c r="D151" s="24"/>
      <c r="E151" s="24"/>
      <c r="F151" s="25"/>
      <c r="G151" s="1">
        <v>325</v>
      </c>
      <c r="H151" s="2">
        <v>93.3</v>
      </c>
      <c r="I151" s="2">
        <v>-18.600000000000001</v>
      </c>
      <c r="J151" s="2">
        <v>-30.2</v>
      </c>
      <c r="K151" s="2">
        <f t="shared" si="18"/>
        <v>-18.600000000000001</v>
      </c>
      <c r="L151" s="8">
        <f>10^((K151-H151)/10)</f>
        <v>6.4565422903465118E-12</v>
      </c>
      <c r="M151" s="26"/>
      <c r="N151" s="17"/>
      <c r="O151" s="9">
        <f t="shared" si="20"/>
        <v>-30.2</v>
      </c>
      <c r="P151" s="8">
        <f>D148/B148*10^(O151/10)</f>
        <v>1.2096572756271516E-2</v>
      </c>
      <c r="Q151" s="26"/>
      <c r="R151" s="17"/>
      <c r="S151" s="20"/>
      <c r="T151" s="17"/>
      <c r="U151" s="23"/>
    </row>
    <row r="152" spans="1:21" x14ac:dyDescent="0.25">
      <c r="A152" s="24">
        <v>500</v>
      </c>
      <c r="B152" s="24">
        <v>3</v>
      </c>
      <c r="C152" s="17">
        <v>0.5</v>
      </c>
      <c r="D152" s="24">
        <v>59</v>
      </c>
      <c r="E152" s="24">
        <v>6</v>
      </c>
      <c r="F152" s="25">
        <v>84</v>
      </c>
      <c r="G152" s="1">
        <v>375</v>
      </c>
      <c r="H152" s="2">
        <v>91.9</v>
      </c>
      <c r="I152" s="2">
        <v>-23.5</v>
      </c>
      <c r="J152" s="2">
        <v>-27.8</v>
      </c>
      <c r="K152" s="2">
        <f t="shared" si="18"/>
        <v>-23.5</v>
      </c>
      <c r="L152" s="8">
        <f t="shared" ref="L152:L153" si="21">10^((K152-H152)/10)</f>
        <v>2.8840315031265959E-12</v>
      </c>
      <c r="M152" s="26">
        <f>SUM(L152:L157)</f>
        <v>3.4495727599630941E-11</v>
      </c>
      <c r="N152" s="17">
        <f>10*LOG10(M152/E152)</f>
        <v>-112.40385940666991</v>
      </c>
      <c r="O152" s="9">
        <f t="shared" si="20"/>
        <v>-27.8</v>
      </c>
      <c r="P152" s="8">
        <f>D152/B152*10^(O152/10)</f>
        <v>3.2638542512938663E-2</v>
      </c>
      <c r="Q152" s="26">
        <f>SUM(P152:P157)</f>
        <v>0.40812368985450809</v>
      </c>
      <c r="R152" s="17">
        <f>10*LOG10(Q152)</f>
        <v>-3.8920819553673667</v>
      </c>
      <c r="S152" s="18">
        <f>F152+N152-Kzt-H</f>
        <v>-28.403859406669909</v>
      </c>
      <c r="T152" s="17">
        <v>0.5</v>
      </c>
      <c r="U152" s="21">
        <f>T152*10^((S152-R152)/10)</f>
        <v>1.7692624453600693E-3</v>
      </c>
    </row>
    <row r="153" spans="1:21" x14ac:dyDescent="0.25">
      <c r="A153" s="24"/>
      <c r="B153" s="24"/>
      <c r="C153" s="17"/>
      <c r="D153" s="24"/>
      <c r="E153" s="24"/>
      <c r="F153" s="25"/>
      <c r="G153" s="1">
        <v>425</v>
      </c>
      <c r="H153" s="2">
        <v>88.1</v>
      </c>
      <c r="I153" s="2">
        <v>-20.3</v>
      </c>
      <c r="J153" s="2">
        <v>-20.7</v>
      </c>
      <c r="K153" s="2">
        <f t="shared" si="18"/>
        <v>-20.3</v>
      </c>
      <c r="L153" s="8">
        <f t="shared" si="21"/>
        <v>1.4454397707459232E-11</v>
      </c>
      <c r="M153" s="26"/>
      <c r="N153" s="17"/>
      <c r="O153" s="9">
        <f t="shared" si="20"/>
        <v>-20.7</v>
      </c>
      <c r="P153" s="8">
        <f>D152/B152*10^(O153/10)</f>
        <v>0.16739048084646743</v>
      </c>
      <c r="Q153" s="26"/>
      <c r="R153" s="17"/>
      <c r="S153" s="19"/>
      <c r="T153" s="17"/>
      <c r="U153" s="22"/>
    </row>
    <row r="154" spans="1:21" x14ac:dyDescent="0.25">
      <c r="A154" s="24"/>
      <c r="B154" s="24"/>
      <c r="C154" s="17"/>
      <c r="D154" s="24"/>
      <c r="E154" s="24"/>
      <c r="F154" s="25"/>
      <c r="G154" s="1">
        <v>475</v>
      </c>
      <c r="H154" s="2">
        <v>90</v>
      </c>
      <c r="I154" s="2">
        <v>-21.7</v>
      </c>
      <c r="J154" s="2">
        <v>-25.1</v>
      </c>
      <c r="K154" s="2">
        <f t="shared" si="18"/>
        <v>-21.7</v>
      </c>
      <c r="L154" s="8">
        <f>10^((K154-H154)/10)</f>
        <v>6.7608297539197943E-12</v>
      </c>
      <c r="M154" s="26"/>
      <c r="N154" s="17"/>
      <c r="O154" s="9">
        <f t="shared" si="20"/>
        <v>-25.1</v>
      </c>
      <c r="P154" s="8">
        <f>D152/B152*10^(O154/10)</f>
        <v>6.0775810172767231E-2</v>
      </c>
      <c r="Q154" s="26"/>
      <c r="R154" s="17"/>
      <c r="S154" s="19"/>
      <c r="T154" s="17"/>
      <c r="U154" s="22"/>
    </row>
    <row r="155" spans="1:21" x14ac:dyDescent="0.25">
      <c r="A155" s="24"/>
      <c r="B155" s="24"/>
      <c r="C155" s="17"/>
      <c r="D155" s="24"/>
      <c r="E155" s="24"/>
      <c r="F155" s="25"/>
      <c r="G155" s="1">
        <v>575</v>
      </c>
      <c r="H155" s="2">
        <v>97</v>
      </c>
      <c r="I155" s="2">
        <v>-22.2</v>
      </c>
      <c r="J155" s="2">
        <v>-25</v>
      </c>
      <c r="K155" s="2">
        <f t="shared" si="18"/>
        <v>-22.2</v>
      </c>
      <c r="L155" s="8">
        <f t="shared" ref="L155:L181" si="22">10^((K155-H155)/10)</f>
        <v>1.2022644346174088E-12</v>
      </c>
      <c r="M155" s="26"/>
      <c r="N155" s="17"/>
      <c r="O155" s="9">
        <f t="shared" si="20"/>
        <v>-25</v>
      </c>
      <c r="P155" s="8">
        <f>D152/B152*10^(O155/10)</f>
        <v>6.2191460649978075E-2</v>
      </c>
      <c r="Q155" s="26"/>
      <c r="R155" s="17"/>
      <c r="S155" s="19"/>
      <c r="T155" s="17"/>
      <c r="U155" s="22"/>
    </row>
    <row r="156" spans="1:21" x14ac:dyDescent="0.25">
      <c r="A156" s="24"/>
      <c r="B156" s="24"/>
      <c r="C156" s="17"/>
      <c r="D156" s="24"/>
      <c r="E156" s="24"/>
      <c r="F156" s="25"/>
      <c r="G156" s="1">
        <v>625</v>
      </c>
      <c r="H156" s="2">
        <v>92</v>
      </c>
      <c r="I156" s="2">
        <v>-19.399999999999999</v>
      </c>
      <c r="J156" s="2">
        <v>-27.7</v>
      </c>
      <c r="K156" s="2">
        <f t="shared" si="18"/>
        <v>-19.399999999999999</v>
      </c>
      <c r="L156" s="8">
        <f t="shared" si="22"/>
        <v>7.2443596007498734E-12</v>
      </c>
      <c r="M156" s="26"/>
      <c r="N156" s="17"/>
      <c r="O156" s="9">
        <f t="shared" si="20"/>
        <v>-27.7</v>
      </c>
      <c r="P156" s="8">
        <f>D152/B152*10^(O156/10)</f>
        <v>3.3398791831747605E-2</v>
      </c>
      <c r="Q156" s="26"/>
      <c r="R156" s="17"/>
      <c r="S156" s="19"/>
      <c r="T156" s="17"/>
      <c r="U156" s="22"/>
    </row>
    <row r="157" spans="1:21" x14ac:dyDescent="0.25">
      <c r="A157" s="24"/>
      <c r="B157" s="24"/>
      <c r="C157" s="17"/>
      <c r="D157" s="24"/>
      <c r="E157" s="24"/>
      <c r="F157" s="25"/>
      <c r="G157" s="1">
        <v>675</v>
      </c>
      <c r="H157" s="2">
        <v>94.5</v>
      </c>
      <c r="I157" s="2">
        <v>-22.6</v>
      </c>
      <c r="J157" s="2">
        <v>-25.8</v>
      </c>
      <c r="K157" s="2">
        <f t="shared" si="18"/>
        <v>-22.6</v>
      </c>
      <c r="L157" s="8">
        <f t="shared" si="22"/>
        <v>1.9498445997580419E-12</v>
      </c>
      <c r="M157" s="26"/>
      <c r="N157" s="17"/>
      <c r="O157" s="9">
        <f t="shared" si="20"/>
        <v>-25.8</v>
      </c>
      <c r="P157" s="8">
        <f>D152/B152*10^(O157/10)</f>
        <v>5.1728603840609129E-2</v>
      </c>
      <c r="Q157" s="26"/>
      <c r="R157" s="17"/>
      <c r="S157" s="20"/>
      <c r="T157" s="17"/>
      <c r="U157" s="23"/>
    </row>
    <row r="158" spans="1:21" x14ac:dyDescent="0.25">
      <c r="A158" s="24">
        <v>1000</v>
      </c>
      <c r="B158" s="24">
        <v>3</v>
      </c>
      <c r="C158" s="17">
        <v>0.5</v>
      </c>
      <c r="D158" s="24">
        <v>117</v>
      </c>
      <c r="E158" s="24">
        <v>6</v>
      </c>
      <c r="F158" s="25">
        <v>76</v>
      </c>
      <c r="G158" s="1">
        <v>875</v>
      </c>
      <c r="H158" s="2">
        <v>91.1</v>
      </c>
      <c r="I158" s="2">
        <v>-22</v>
      </c>
      <c r="J158" s="2">
        <v>-26.9</v>
      </c>
      <c r="K158" s="2">
        <f t="shared" si="18"/>
        <v>-22</v>
      </c>
      <c r="L158" s="8">
        <f t="shared" si="22"/>
        <v>4.8977881936844688E-12</v>
      </c>
      <c r="M158" s="26">
        <f>SUM(L158:L163)</f>
        <v>1.2367337643993082E-11</v>
      </c>
      <c r="N158" s="17">
        <f>10*LOG10(M158/E158)</f>
        <v>-116.85875032643622</v>
      </c>
      <c r="O158" s="9">
        <f t="shared" si="20"/>
        <v>-26.9</v>
      </c>
      <c r="P158" s="8">
        <f>D158/B158*10^(O158/10)</f>
        <v>7.962777984211164E-2</v>
      </c>
      <c r="Q158" s="26">
        <f>SUM(P158:P163)</f>
        <v>0.51594863623674136</v>
      </c>
      <c r="R158" s="17">
        <f>10*LOG10(Q158)</f>
        <v>-2.8739353114269233</v>
      </c>
      <c r="S158" s="18">
        <f>F158+N158-Kzt-H</f>
        <v>-40.858750326436223</v>
      </c>
      <c r="T158" s="17">
        <v>0.8</v>
      </c>
      <c r="U158" s="21">
        <f>T158*10^((S158-R158)/10)</f>
        <v>1.2723555410841848E-4</v>
      </c>
    </row>
    <row r="159" spans="1:21" x14ac:dyDescent="0.25">
      <c r="A159" s="24"/>
      <c r="B159" s="24"/>
      <c r="C159" s="17"/>
      <c r="D159" s="24"/>
      <c r="E159" s="24"/>
      <c r="F159" s="25"/>
      <c r="G159" s="1">
        <v>975</v>
      </c>
      <c r="H159" s="2">
        <v>96.5</v>
      </c>
      <c r="I159" s="2">
        <v>-20.5</v>
      </c>
      <c r="J159" s="2">
        <v>-26.1</v>
      </c>
      <c r="K159" s="2">
        <f t="shared" si="18"/>
        <v>-20.5</v>
      </c>
      <c r="L159" s="8">
        <f t="shared" si="22"/>
        <v>1.9952623149688759E-12</v>
      </c>
      <c r="M159" s="26"/>
      <c r="N159" s="17"/>
      <c r="O159" s="9">
        <f t="shared" si="20"/>
        <v>-26.1</v>
      </c>
      <c r="P159" s="8">
        <f>D158/B158*10^(O159/10)</f>
        <v>9.5733647711716024E-2</v>
      </c>
      <c r="Q159" s="26"/>
      <c r="R159" s="17"/>
      <c r="S159" s="19"/>
      <c r="T159" s="17"/>
      <c r="U159" s="22"/>
    </row>
    <row r="160" spans="1:21" x14ac:dyDescent="0.25">
      <c r="A160" s="24"/>
      <c r="B160" s="24"/>
      <c r="C160" s="17"/>
      <c r="D160" s="24"/>
      <c r="E160" s="24"/>
      <c r="F160" s="25"/>
      <c r="G160" s="1">
        <v>1075</v>
      </c>
      <c r="H160" s="2">
        <v>94.6</v>
      </c>
      <c r="I160" s="2">
        <v>-19.899999999999999</v>
      </c>
      <c r="J160" s="2">
        <v>-31.4</v>
      </c>
      <c r="K160" s="2">
        <f t="shared" si="18"/>
        <v>-19.899999999999999</v>
      </c>
      <c r="L160" s="8">
        <f t="shared" si="22"/>
        <v>3.5481338923357515E-12</v>
      </c>
      <c r="M160" s="26"/>
      <c r="N160" s="17"/>
      <c r="O160" s="9">
        <f t="shared" si="20"/>
        <v>-31.4</v>
      </c>
      <c r="P160" s="8">
        <f>D158/B158*10^(O160/10)</f>
        <v>2.8253002442924603E-2</v>
      </c>
      <c r="Q160" s="26"/>
      <c r="R160" s="17"/>
      <c r="S160" s="19"/>
      <c r="T160" s="17"/>
      <c r="U160" s="22"/>
    </row>
    <row r="161" spans="1:21" x14ac:dyDescent="0.25">
      <c r="A161" s="24"/>
      <c r="B161" s="24"/>
      <c r="C161" s="17"/>
      <c r="D161" s="24"/>
      <c r="E161" s="24"/>
      <c r="F161" s="25"/>
      <c r="G161" s="1">
        <v>1175</v>
      </c>
      <c r="H161" s="2">
        <v>97.8</v>
      </c>
      <c r="I161" s="2">
        <v>-22.2</v>
      </c>
      <c r="J161" s="2">
        <v>-27.7</v>
      </c>
      <c r="K161" s="2">
        <f t="shared" si="18"/>
        <v>-22.2</v>
      </c>
      <c r="L161" s="8">
        <f t="shared" si="22"/>
        <v>9.9999999999999998E-13</v>
      </c>
      <c r="M161" s="26"/>
      <c r="N161" s="17"/>
      <c r="O161" s="9">
        <f t="shared" si="20"/>
        <v>-27.7</v>
      </c>
      <c r="P161" s="8">
        <f>D158/B158*10^(O161/10)</f>
        <v>6.6231502446007964E-2</v>
      </c>
      <c r="Q161" s="26"/>
      <c r="R161" s="17"/>
      <c r="S161" s="19"/>
      <c r="T161" s="17"/>
      <c r="U161" s="22"/>
    </row>
    <row r="162" spans="1:21" x14ac:dyDescent="0.25">
      <c r="A162" s="24"/>
      <c r="B162" s="24"/>
      <c r="C162" s="17"/>
      <c r="D162" s="24"/>
      <c r="E162" s="24"/>
      <c r="F162" s="25"/>
      <c r="G162" s="1">
        <v>1275</v>
      </c>
      <c r="H162" s="2">
        <v>100.1</v>
      </c>
      <c r="I162" s="2">
        <v>-22.1</v>
      </c>
      <c r="J162" s="2">
        <v>-28.5</v>
      </c>
      <c r="K162" s="2">
        <f t="shared" si="18"/>
        <v>-22.1</v>
      </c>
      <c r="L162" s="8">
        <f t="shared" si="22"/>
        <v>6.0255958607435742E-13</v>
      </c>
      <c r="M162" s="26"/>
      <c r="N162" s="17"/>
      <c r="O162" s="9">
        <f t="shared" si="20"/>
        <v>-28.5</v>
      </c>
      <c r="P162" s="8">
        <f>D158/B158*10^(O162/10)</f>
        <v>5.5088964240287357E-2</v>
      </c>
      <c r="Q162" s="26"/>
      <c r="R162" s="17"/>
      <c r="S162" s="19"/>
      <c r="T162" s="17"/>
      <c r="U162" s="22"/>
    </row>
    <row r="163" spans="1:21" x14ac:dyDescent="0.25">
      <c r="A163" s="24"/>
      <c r="B163" s="24"/>
      <c r="C163" s="17"/>
      <c r="D163" s="24"/>
      <c r="E163" s="24"/>
      <c r="F163" s="25"/>
      <c r="G163" s="1">
        <v>1375</v>
      </c>
      <c r="H163" s="2">
        <v>103</v>
      </c>
      <c r="I163" s="2">
        <v>-21.900000000000002</v>
      </c>
      <c r="J163" s="2">
        <v>-23.1</v>
      </c>
      <c r="K163" s="2">
        <f t="shared" si="18"/>
        <v>-21.900000000000002</v>
      </c>
      <c r="L163" s="8">
        <f t="shared" si="22"/>
        <v>3.2359365692962775E-13</v>
      </c>
      <c r="M163" s="26"/>
      <c r="N163" s="17"/>
      <c r="O163" s="9">
        <f t="shared" si="20"/>
        <v>-23.1</v>
      </c>
      <c r="P163" s="8">
        <f>D158/B158*10^(O163/10)</f>
        <v>0.1910137395536938</v>
      </c>
      <c r="Q163" s="26"/>
      <c r="R163" s="17"/>
      <c r="S163" s="20"/>
      <c r="T163" s="17"/>
      <c r="U163" s="23"/>
    </row>
    <row r="164" spans="1:21" x14ac:dyDescent="0.25">
      <c r="A164" s="24">
        <v>2000</v>
      </c>
      <c r="B164" s="24">
        <v>3</v>
      </c>
      <c r="C164" s="17">
        <v>0.5</v>
      </c>
      <c r="D164" s="24">
        <v>234</v>
      </c>
      <c r="E164" s="24">
        <v>6</v>
      </c>
      <c r="F164" s="25">
        <v>68</v>
      </c>
      <c r="G164" s="1">
        <v>1425</v>
      </c>
      <c r="H164" s="2">
        <v>102.8</v>
      </c>
      <c r="I164" s="2">
        <v>-24.1</v>
      </c>
      <c r="J164" s="2">
        <v>-26.4</v>
      </c>
      <c r="K164" s="2">
        <f t="shared" si="18"/>
        <v>-24.1</v>
      </c>
      <c r="L164" s="8">
        <f t="shared" si="22"/>
        <v>2.0417379446695155E-13</v>
      </c>
      <c r="M164" s="26">
        <f>SUM(L164:L169)</f>
        <v>2.8833703210117974E-12</v>
      </c>
      <c r="N164" s="17">
        <f>10*LOG10(M164/E164)</f>
        <v>-123.18250826502668</v>
      </c>
      <c r="O164" s="9">
        <f t="shared" si="20"/>
        <v>-26.4</v>
      </c>
      <c r="P164" s="8">
        <f>D164/B164*10^(O164/10)</f>
        <v>0.17868767691588636</v>
      </c>
      <c r="Q164" s="26">
        <f>SUM(P164:P169)</f>
        <v>1.1764217860733952</v>
      </c>
      <c r="R164" s="17">
        <f>10*LOG10(Q164)</f>
        <v>0.70563058578867366</v>
      </c>
      <c r="S164" s="18">
        <f>F164+N164-Kzt-H</f>
        <v>-55.182508265026684</v>
      </c>
      <c r="T164" s="17">
        <v>1</v>
      </c>
      <c r="U164" s="21">
        <f>T164*10^((S164-R164)/10)</f>
        <v>2.5774254642842589E-6</v>
      </c>
    </row>
    <row r="165" spans="1:21" x14ac:dyDescent="0.25">
      <c r="A165" s="24"/>
      <c r="B165" s="24"/>
      <c r="C165" s="17"/>
      <c r="D165" s="24"/>
      <c r="E165" s="24"/>
      <c r="F165" s="25"/>
      <c r="G165" s="1">
        <v>1625</v>
      </c>
      <c r="H165" s="2">
        <v>104.1</v>
      </c>
      <c r="I165" s="2">
        <v>-19.7</v>
      </c>
      <c r="J165" s="2">
        <v>-23.8</v>
      </c>
      <c r="K165" s="2">
        <f t="shared" si="18"/>
        <v>-19.7</v>
      </c>
      <c r="L165" s="8">
        <f t="shared" si="22"/>
        <v>4.1686938347033585E-13</v>
      </c>
      <c r="M165" s="26"/>
      <c r="N165" s="17"/>
      <c r="O165" s="9">
        <f t="shared" si="20"/>
        <v>-23.8</v>
      </c>
      <c r="P165" s="8">
        <f>D164/B164*10^(O165/10)</f>
        <v>0.32515811910686149</v>
      </c>
      <c r="Q165" s="26"/>
      <c r="R165" s="17"/>
      <c r="S165" s="19"/>
      <c r="T165" s="17"/>
      <c r="U165" s="22"/>
    </row>
    <row r="166" spans="1:21" x14ac:dyDescent="0.25">
      <c r="A166" s="24"/>
      <c r="B166" s="24"/>
      <c r="C166" s="17"/>
      <c r="D166" s="24"/>
      <c r="E166" s="24"/>
      <c r="F166" s="25"/>
      <c r="G166" s="1">
        <v>1825</v>
      </c>
      <c r="H166" s="2">
        <v>107.6</v>
      </c>
      <c r="I166" s="2">
        <v>-25.4</v>
      </c>
      <c r="J166" s="2">
        <v>-27.6</v>
      </c>
      <c r="K166" s="2">
        <f t="shared" si="18"/>
        <v>-25.4</v>
      </c>
      <c r="L166" s="8">
        <f t="shared" si="22"/>
        <v>5.0118723362727011E-14</v>
      </c>
      <c r="M166" s="26"/>
      <c r="N166" s="17"/>
      <c r="O166" s="9">
        <f t="shared" si="20"/>
        <v>-27.6</v>
      </c>
      <c r="P166" s="8">
        <f>D164/B164*10^(O166/10)</f>
        <v>0.13554846464245113</v>
      </c>
      <c r="Q166" s="26"/>
      <c r="R166" s="17"/>
      <c r="S166" s="19"/>
      <c r="T166" s="17"/>
      <c r="U166" s="22"/>
    </row>
    <row r="167" spans="1:21" x14ac:dyDescent="0.25">
      <c r="A167" s="24"/>
      <c r="B167" s="24"/>
      <c r="C167" s="17"/>
      <c r="D167" s="24"/>
      <c r="E167" s="24"/>
      <c r="F167" s="25"/>
      <c r="G167" s="1">
        <v>2125</v>
      </c>
      <c r="H167" s="2">
        <v>104.2</v>
      </c>
      <c r="I167" s="2">
        <v>-21.2</v>
      </c>
      <c r="J167" s="2">
        <v>-27</v>
      </c>
      <c r="K167" s="2">
        <f t="shared" si="18"/>
        <v>-21.2</v>
      </c>
      <c r="L167" s="8">
        <f t="shared" si="22"/>
        <v>2.8840315031265929E-13</v>
      </c>
      <c r="M167" s="26"/>
      <c r="N167" s="17"/>
      <c r="O167" s="9">
        <f t="shared" si="20"/>
        <v>-27</v>
      </c>
      <c r="P167" s="8">
        <f>D164/B164*10^(O167/10)</f>
        <v>0.15563046056757249</v>
      </c>
      <c r="Q167" s="26"/>
      <c r="R167" s="17"/>
      <c r="S167" s="19"/>
      <c r="T167" s="17"/>
      <c r="U167" s="22"/>
    </row>
    <row r="168" spans="1:21" x14ac:dyDescent="0.25">
      <c r="A168" s="24"/>
      <c r="B168" s="24"/>
      <c r="C168" s="17"/>
      <c r="D168" s="24"/>
      <c r="E168" s="24"/>
      <c r="F168" s="25"/>
      <c r="G168" s="1">
        <v>2425</v>
      </c>
      <c r="H168" s="2">
        <v>93.7</v>
      </c>
      <c r="I168" s="2">
        <v>-24.2</v>
      </c>
      <c r="J168" s="2">
        <v>-24.4</v>
      </c>
      <c r="K168" s="2">
        <f t="shared" si="18"/>
        <v>-24.2</v>
      </c>
      <c r="L168" s="8">
        <f t="shared" si="22"/>
        <v>1.6218100973589226E-12</v>
      </c>
      <c r="M168" s="26"/>
      <c r="N168" s="17"/>
      <c r="O168" s="9">
        <f t="shared" si="20"/>
        <v>-24.4</v>
      </c>
      <c r="P168" s="8">
        <f>D164/B164*10^(O168/10)</f>
        <v>0.28320088272067884</v>
      </c>
      <c r="Q168" s="26"/>
      <c r="R168" s="17"/>
      <c r="S168" s="19"/>
      <c r="T168" s="17"/>
      <c r="U168" s="22"/>
    </row>
    <row r="169" spans="1:21" x14ac:dyDescent="0.25">
      <c r="A169" s="24"/>
      <c r="B169" s="24"/>
      <c r="C169" s="17"/>
      <c r="D169" s="24"/>
      <c r="E169" s="24"/>
      <c r="F169" s="25"/>
      <c r="G169" s="1">
        <v>2775</v>
      </c>
      <c r="H169" s="2">
        <v>100.2</v>
      </c>
      <c r="I169" s="2">
        <v>-25</v>
      </c>
      <c r="J169" s="2">
        <v>-29</v>
      </c>
      <c r="K169" s="2">
        <f t="shared" si="18"/>
        <v>-25</v>
      </c>
      <c r="L169" s="8">
        <f t="shared" si="22"/>
        <v>3.0199517204020122E-13</v>
      </c>
      <c r="M169" s="26"/>
      <c r="N169" s="17"/>
      <c r="O169" s="9">
        <f t="shared" si="20"/>
        <v>-29</v>
      </c>
      <c r="P169" s="8">
        <f>D164/B164*10^(O169/10)</f>
        <v>9.8196182119944964E-2</v>
      </c>
      <c r="Q169" s="26"/>
      <c r="R169" s="17"/>
      <c r="S169" s="20"/>
      <c r="T169" s="17"/>
      <c r="U169" s="23"/>
    </row>
    <row r="170" spans="1:21" x14ac:dyDescent="0.25">
      <c r="A170" s="24">
        <v>4000</v>
      </c>
      <c r="B170" s="24">
        <v>3</v>
      </c>
      <c r="C170" s="17">
        <v>0.5</v>
      </c>
      <c r="D170" s="24">
        <v>470</v>
      </c>
      <c r="E170" s="24">
        <v>6</v>
      </c>
      <c r="F170" s="25">
        <v>62</v>
      </c>
      <c r="G170" s="1">
        <v>2825</v>
      </c>
      <c r="H170" s="2">
        <v>99.4</v>
      </c>
      <c r="I170" s="2">
        <v>-24.3</v>
      </c>
      <c r="J170" s="2">
        <v>-25.4</v>
      </c>
      <c r="K170" s="2">
        <f t="shared" si="18"/>
        <v>-24.3</v>
      </c>
      <c r="L170" s="8">
        <f t="shared" si="22"/>
        <v>4.2657951880159005E-13</v>
      </c>
      <c r="M170" s="26">
        <f>SUM(L170:L175)</f>
        <v>3.0317665351733947E-12</v>
      </c>
      <c r="N170" s="17">
        <f>10*LOG10(M170/E170)</f>
        <v>-122.96455495504675</v>
      </c>
      <c r="O170" s="9">
        <f t="shared" si="20"/>
        <v>-25.4</v>
      </c>
      <c r="P170" s="8">
        <f>D170/B170*10^(O170/10)</f>
        <v>0.45183160215650131</v>
      </c>
      <c r="Q170" s="26">
        <f>SUM(P170:P175)</f>
        <v>2.2263460941677931</v>
      </c>
      <c r="R170" s="17">
        <f>10*LOG10(Q170)</f>
        <v>3.4759267801477147</v>
      </c>
      <c r="S170" s="18">
        <f>F170+N170-Kzt-H</f>
        <v>-60.964554955046751</v>
      </c>
      <c r="T170" s="17">
        <v>0.9</v>
      </c>
      <c r="U170" s="21">
        <f>T170*10^((S170-R170)/10)</f>
        <v>3.2373848940075875E-7</v>
      </c>
    </row>
    <row r="171" spans="1:21" x14ac:dyDescent="0.25">
      <c r="A171" s="24"/>
      <c r="B171" s="24"/>
      <c r="C171" s="17"/>
      <c r="D171" s="24"/>
      <c r="E171" s="24"/>
      <c r="F171" s="25"/>
      <c r="G171" s="1">
        <v>3425</v>
      </c>
      <c r="H171" s="2">
        <v>103.5</v>
      </c>
      <c r="I171" s="2">
        <v>-22.1</v>
      </c>
      <c r="J171" s="2">
        <v>-27.7</v>
      </c>
      <c r="K171" s="2">
        <f t="shared" si="18"/>
        <v>-22.1</v>
      </c>
      <c r="L171" s="8">
        <f t="shared" si="22"/>
        <v>2.754228703338164E-13</v>
      </c>
      <c r="M171" s="26"/>
      <c r="N171" s="17"/>
      <c r="O171" s="9">
        <f t="shared" si="20"/>
        <v>-27.7</v>
      </c>
      <c r="P171" s="8">
        <f>D170/B170*10^(O171/10)</f>
        <v>0.26605817221900629</v>
      </c>
      <c r="Q171" s="26"/>
      <c r="R171" s="17"/>
      <c r="S171" s="19"/>
      <c r="T171" s="17"/>
      <c r="U171" s="22"/>
    </row>
    <row r="172" spans="1:21" x14ac:dyDescent="0.25">
      <c r="A172" s="24"/>
      <c r="B172" s="24"/>
      <c r="C172" s="17"/>
      <c r="D172" s="24"/>
      <c r="E172" s="24"/>
      <c r="F172" s="25"/>
      <c r="G172" s="1">
        <v>4025</v>
      </c>
      <c r="H172" s="2">
        <v>103.6</v>
      </c>
      <c r="I172" s="2">
        <v>-19.8</v>
      </c>
      <c r="J172" s="2">
        <v>-24.1</v>
      </c>
      <c r="K172" s="2">
        <f t="shared" si="18"/>
        <v>-19.8</v>
      </c>
      <c r="L172" s="8">
        <f t="shared" si="22"/>
        <v>4.5708818961487372E-13</v>
      </c>
      <c r="M172" s="26"/>
      <c r="N172" s="17"/>
      <c r="O172" s="9">
        <f t="shared" si="20"/>
        <v>-24.1</v>
      </c>
      <c r="P172" s="8">
        <f>D170/B170*10^(O172/10)</f>
        <v>0.609504060491039</v>
      </c>
      <c r="Q172" s="26"/>
      <c r="R172" s="17"/>
      <c r="S172" s="19"/>
      <c r="T172" s="17"/>
      <c r="U172" s="22"/>
    </row>
    <row r="173" spans="1:21" x14ac:dyDescent="0.25">
      <c r="A173" s="24"/>
      <c r="B173" s="24"/>
      <c r="C173" s="17"/>
      <c r="D173" s="24"/>
      <c r="E173" s="24"/>
      <c r="F173" s="25"/>
      <c r="G173" s="1">
        <v>4625</v>
      </c>
      <c r="H173" s="2">
        <v>105.6</v>
      </c>
      <c r="I173" s="2">
        <v>-22.3</v>
      </c>
      <c r="J173" s="2">
        <v>-29.2</v>
      </c>
      <c r="K173" s="2">
        <f t="shared" si="18"/>
        <v>-22.3</v>
      </c>
      <c r="L173" s="8">
        <f t="shared" si="22"/>
        <v>1.6218100973589265E-13</v>
      </c>
      <c r="M173" s="26"/>
      <c r="N173" s="17"/>
      <c r="O173" s="9">
        <f t="shared" si="20"/>
        <v>-29.2</v>
      </c>
      <c r="P173" s="8">
        <f>D170/B170*10^(O173/10)</f>
        <v>0.18835476142339458</v>
      </c>
      <c r="Q173" s="26"/>
      <c r="R173" s="17"/>
      <c r="S173" s="19"/>
      <c r="T173" s="17"/>
      <c r="U173" s="22"/>
    </row>
    <row r="174" spans="1:21" x14ac:dyDescent="0.25">
      <c r="A174" s="24"/>
      <c r="B174" s="24"/>
      <c r="C174" s="17"/>
      <c r="D174" s="24"/>
      <c r="E174" s="24"/>
      <c r="F174" s="25"/>
      <c r="G174" s="1">
        <v>5225</v>
      </c>
      <c r="H174" s="2">
        <v>103.5</v>
      </c>
      <c r="I174" s="2">
        <v>-19</v>
      </c>
      <c r="J174" s="2">
        <v>-25.8</v>
      </c>
      <c r="K174" s="2">
        <f t="shared" si="18"/>
        <v>-19</v>
      </c>
      <c r="L174" s="8">
        <f t="shared" si="22"/>
        <v>5.6234132519034702E-13</v>
      </c>
      <c r="M174" s="26"/>
      <c r="N174" s="17"/>
      <c r="O174" s="9">
        <f t="shared" si="20"/>
        <v>-25.8</v>
      </c>
      <c r="P174" s="8">
        <f>D170/B170*10^(O174/10)</f>
        <v>0.41207531873027603</v>
      </c>
      <c r="Q174" s="26"/>
      <c r="R174" s="17"/>
      <c r="S174" s="19"/>
      <c r="T174" s="17"/>
      <c r="U174" s="22"/>
    </row>
    <row r="175" spans="1:21" x14ac:dyDescent="0.25">
      <c r="A175" s="24"/>
      <c r="B175" s="24"/>
      <c r="C175" s="17"/>
      <c r="D175" s="24"/>
      <c r="E175" s="24"/>
      <c r="F175" s="25"/>
      <c r="G175" s="1">
        <v>5625</v>
      </c>
      <c r="H175" s="2">
        <v>99.5</v>
      </c>
      <c r="I175" s="2">
        <v>-19.899999999999999</v>
      </c>
      <c r="J175" s="2">
        <v>-27.2</v>
      </c>
      <c r="K175" s="2">
        <f t="shared" si="18"/>
        <v>-19.899999999999999</v>
      </c>
      <c r="L175" s="8">
        <f t="shared" si="22"/>
        <v>1.1481536214968749E-12</v>
      </c>
      <c r="M175" s="26"/>
      <c r="N175" s="17"/>
      <c r="O175" s="9">
        <f t="shared" si="20"/>
        <v>-27.2</v>
      </c>
      <c r="P175" s="8">
        <f>D170/B170*10^(O175/10)</f>
        <v>0.29852217914757545</v>
      </c>
      <c r="Q175" s="26"/>
      <c r="R175" s="17"/>
      <c r="S175" s="20"/>
      <c r="T175" s="17"/>
      <c r="U175" s="23"/>
    </row>
    <row r="176" spans="1:21" x14ac:dyDescent="0.25">
      <c r="A176" s="24">
        <v>8000</v>
      </c>
      <c r="B176" s="24">
        <v>3</v>
      </c>
      <c r="C176" s="17">
        <v>0.5</v>
      </c>
      <c r="D176" s="24">
        <v>943</v>
      </c>
      <c r="E176" s="24">
        <v>6</v>
      </c>
      <c r="F176" s="25">
        <v>54</v>
      </c>
      <c r="G176" s="1">
        <v>6025</v>
      </c>
      <c r="H176" s="2">
        <v>95</v>
      </c>
      <c r="I176" s="2">
        <v>-24</v>
      </c>
      <c r="J176" s="2">
        <v>-24.9</v>
      </c>
      <c r="K176" s="2">
        <f t="shared" si="18"/>
        <v>-24</v>
      </c>
      <c r="L176" s="8">
        <f t="shared" si="22"/>
        <v>1.2589254117941629E-12</v>
      </c>
      <c r="M176" s="26">
        <f>SUM(L176:L181)</f>
        <v>3.8237465543711328E-11</v>
      </c>
      <c r="N176" s="17">
        <f>10*LOG10(M176/E176)</f>
        <v>-111.95662151739265</v>
      </c>
      <c r="O176" s="9">
        <f t="shared" si="20"/>
        <v>-24.9</v>
      </c>
      <c r="P176" s="8">
        <f>D176/B176*10^(O176/10)</f>
        <v>1.0171627282821314</v>
      </c>
      <c r="Q176" s="26">
        <f>SUM(P176:P181)</f>
        <v>3.8689554143945317</v>
      </c>
      <c r="R176" s="17">
        <f>10*LOG10(Q176)</f>
        <v>5.8759372496704554</v>
      </c>
      <c r="S176" s="18">
        <f>F176+N176-Kzt-H</f>
        <v>-57.956621517392648</v>
      </c>
      <c r="T176" s="17">
        <v>0.7</v>
      </c>
      <c r="U176" s="21">
        <f>T176*10^((S176-R176)/10)</f>
        <v>2.8962907904482411E-7</v>
      </c>
    </row>
    <row r="177" spans="1:21" x14ac:dyDescent="0.25">
      <c r="A177" s="24"/>
      <c r="B177" s="24"/>
      <c r="C177" s="17"/>
      <c r="D177" s="24"/>
      <c r="E177" s="24"/>
      <c r="F177" s="25"/>
      <c r="G177" s="1">
        <v>7025</v>
      </c>
      <c r="H177" s="2">
        <v>94.8</v>
      </c>
      <c r="I177" s="2">
        <v>-21.8</v>
      </c>
      <c r="J177" s="2">
        <v>-27.3</v>
      </c>
      <c r="K177" s="2">
        <f t="shared" si="18"/>
        <v>-21.8</v>
      </c>
      <c r="L177" s="8">
        <f t="shared" si="22"/>
        <v>2.1877616239495474E-12</v>
      </c>
      <c r="M177" s="26"/>
      <c r="N177" s="17"/>
      <c r="O177" s="9">
        <f t="shared" si="20"/>
        <v>-27.3</v>
      </c>
      <c r="P177" s="8">
        <f>D176/B176*10^(O177/10)</f>
        <v>0.58531605662436104</v>
      </c>
      <c r="Q177" s="26"/>
      <c r="R177" s="17"/>
      <c r="S177" s="19"/>
      <c r="T177" s="17"/>
      <c r="U177" s="22"/>
    </row>
    <row r="178" spans="1:21" x14ac:dyDescent="0.25">
      <c r="A178" s="24"/>
      <c r="B178" s="24"/>
      <c r="C178" s="17"/>
      <c r="D178" s="24"/>
      <c r="E178" s="24"/>
      <c r="F178" s="25"/>
      <c r="G178" s="1">
        <v>8025</v>
      </c>
      <c r="H178" s="2">
        <v>101.9</v>
      </c>
      <c r="I178" s="2">
        <v>-22.6</v>
      </c>
      <c r="J178" s="2">
        <v>-30.2</v>
      </c>
      <c r="K178" s="2">
        <f t="shared" si="18"/>
        <v>-22.6</v>
      </c>
      <c r="L178" s="8">
        <f t="shared" si="22"/>
        <v>3.5481338923357479E-13</v>
      </c>
      <c r="M178" s="26"/>
      <c r="N178" s="17"/>
      <c r="O178" s="9">
        <f t="shared" si="20"/>
        <v>-30.2</v>
      </c>
      <c r="P178" s="8">
        <f>D176/B176*10^(O178/10)</f>
        <v>0.30018600287273789</v>
      </c>
      <c r="Q178" s="26"/>
      <c r="R178" s="17"/>
      <c r="S178" s="19"/>
      <c r="T178" s="17"/>
      <c r="U178" s="22"/>
    </row>
    <row r="179" spans="1:21" x14ac:dyDescent="0.25">
      <c r="A179" s="24"/>
      <c r="B179" s="24"/>
      <c r="C179" s="17"/>
      <c r="D179" s="24"/>
      <c r="E179" s="24"/>
      <c r="F179" s="25"/>
      <c r="G179" s="1">
        <v>9025</v>
      </c>
      <c r="H179" s="2">
        <v>93.2</v>
      </c>
      <c r="I179" s="2">
        <v>-24.1</v>
      </c>
      <c r="J179" s="2">
        <v>-30.5</v>
      </c>
      <c r="K179" s="2">
        <f t="shared" si="18"/>
        <v>-24.1</v>
      </c>
      <c r="L179" s="8">
        <f t="shared" si="22"/>
        <v>1.8620871366628578E-12</v>
      </c>
      <c r="M179" s="26"/>
      <c r="N179" s="17"/>
      <c r="O179" s="9">
        <f t="shared" si="20"/>
        <v>-30.5</v>
      </c>
      <c r="P179" s="8">
        <f>D176/B176*10^(O179/10)</f>
        <v>0.28014987822004062</v>
      </c>
      <c r="Q179" s="26"/>
      <c r="R179" s="17"/>
      <c r="S179" s="19"/>
      <c r="T179" s="17"/>
      <c r="U179" s="22"/>
    </row>
    <row r="180" spans="1:21" x14ac:dyDescent="0.25">
      <c r="A180" s="24"/>
      <c r="B180" s="24"/>
      <c r="C180" s="17"/>
      <c r="D180" s="24"/>
      <c r="E180" s="24"/>
      <c r="F180" s="25"/>
      <c r="G180" s="1">
        <v>10025</v>
      </c>
      <c r="H180" s="2">
        <v>88.3</v>
      </c>
      <c r="I180" s="2">
        <v>-19.2</v>
      </c>
      <c r="J180" s="2">
        <v>-25.2</v>
      </c>
      <c r="K180" s="2">
        <f t="shared" si="18"/>
        <v>-19.2</v>
      </c>
      <c r="L180" s="8">
        <f t="shared" si="22"/>
        <v>1.7782794100389159E-11</v>
      </c>
      <c r="M180" s="26"/>
      <c r="N180" s="17"/>
      <c r="O180" s="9">
        <f t="shared" si="20"/>
        <v>-25.2</v>
      </c>
      <c r="P180" s="8">
        <f>D176/B176*10^(O180/10)</f>
        <v>0.94927149077969952</v>
      </c>
      <c r="Q180" s="26"/>
      <c r="R180" s="17"/>
      <c r="S180" s="19"/>
      <c r="T180" s="17"/>
      <c r="U180" s="22"/>
    </row>
    <row r="181" spans="1:21" x14ac:dyDescent="0.25">
      <c r="A181" s="24"/>
      <c r="B181" s="24"/>
      <c r="C181" s="17"/>
      <c r="D181" s="24"/>
      <c r="E181" s="24"/>
      <c r="F181" s="25"/>
      <c r="G181" s="1">
        <v>11025</v>
      </c>
      <c r="H181" s="2">
        <v>86</v>
      </c>
      <c r="I181" s="2">
        <v>-22.3</v>
      </c>
      <c r="J181" s="2">
        <v>-26.3</v>
      </c>
      <c r="K181" s="2">
        <f t="shared" si="18"/>
        <v>-22.3</v>
      </c>
      <c r="L181" s="8">
        <f t="shared" si="22"/>
        <v>1.4791083881682027E-11</v>
      </c>
      <c r="M181" s="26"/>
      <c r="N181" s="17"/>
      <c r="O181" s="9">
        <f t="shared" si="20"/>
        <v>-26.3</v>
      </c>
      <c r="P181" s="8">
        <f>D176/B176*10^(O181/10)</f>
        <v>0.73686925761556155</v>
      </c>
      <c r="Q181" s="26"/>
      <c r="R181" s="17"/>
      <c r="S181" s="20"/>
      <c r="T181" s="17"/>
      <c r="U181" s="23"/>
    </row>
    <row r="182" spans="1:21" x14ac:dyDescent="0.25">
      <c r="A182" s="24" t="s">
        <v>20</v>
      </c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12">
        <f>U182</f>
        <v>5.5694631379872878E-2</v>
      </c>
      <c r="T182" s="2"/>
      <c r="U182" s="8">
        <f>0.8*SQRT(SUM(U148:U181))</f>
        <v>5.5694631379872878E-2</v>
      </c>
    </row>
    <row r="183" spans="1:21" x14ac:dyDescent="0.25">
      <c r="A183" s="27" t="s">
        <v>57</v>
      </c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9"/>
    </row>
    <row r="184" spans="1:21" x14ac:dyDescent="0.25">
      <c r="A184" s="24">
        <v>250</v>
      </c>
      <c r="B184" s="24">
        <v>3</v>
      </c>
      <c r="C184" s="17">
        <v>0.5</v>
      </c>
      <c r="D184" s="24">
        <v>38</v>
      </c>
      <c r="E184" s="24">
        <v>4</v>
      </c>
      <c r="F184" s="25">
        <v>84</v>
      </c>
      <c r="G184" s="1">
        <v>175</v>
      </c>
      <c r="H184" s="2">
        <v>84.8</v>
      </c>
      <c r="I184" s="2">
        <v>-9.8000000000000007</v>
      </c>
      <c r="J184" s="2">
        <v>-17.600000000000001</v>
      </c>
      <c r="K184" s="2">
        <f>I184</f>
        <v>-9.8000000000000007</v>
      </c>
      <c r="L184" s="8">
        <f>10^((K184-H184)/10)</f>
        <v>3.4673685045253217E-10</v>
      </c>
      <c r="M184" s="26">
        <f>SUM(L184:L187)</f>
        <v>4.8072944124022347E-10</v>
      </c>
      <c r="N184" s="17">
        <f>10*LOG10(M184/E184)</f>
        <v>-99.201592709537763</v>
      </c>
      <c r="O184" s="9">
        <f>J184</f>
        <v>-17.600000000000001</v>
      </c>
      <c r="P184" s="8">
        <f>D184/B184*10^(O184/10)</f>
        <v>0.22012143830825401</v>
      </c>
      <c r="Q184" s="26">
        <f>SUM(P184:P187)</f>
        <v>0.74185214115826648</v>
      </c>
      <c r="R184" s="17">
        <f>10*LOG10(Q184)</f>
        <v>-1.2968264549985022</v>
      </c>
      <c r="S184" s="18">
        <f>F184+N184-Kzt-H</f>
        <v>-15.201592709537763</v>
      </c>
      <c r="T184" s="17">
        <v>0.2</v>
      </c>
      <c r="U184" s="21">
        <f>T184*10^((S184-R184)/10)</f>
        <v>8.1386687028573452E-3</v>
      </c>
    </row>
    <row r="185" spans="1:21" x14ac:dyDescent="0.25">
      <c r="A185" s="24"/>
      <c r="B185" s="24"/>
      <c r="C185" s="17"/>
      <c r="D185" s="24"/>
      <c r="E185" s="24"/>
      <c r="F185" s="25"/>
      <c r="G185" s="1">
        <v>225</v>
      </c>
      <c r="H185" s="2">
        <v>90</v>
      </c>
      <c r="I185" s="2">
        <v>-11.7</v>
      </c>
      <c r="J185" s="2">
        <v>-17.899999999999999</v>
      </c>
      <c r="K185" s="2">
        <f t="shared" ref="K185:K217" si="23">I185</f>
        <v>-11.7</v>
      </c>
      <c r="L185" s="8">
        <f t="shared" ref="L185:L186" si="24">10^((K185-H185)/10)</f>
        <v>6.7608297539198024E-11</v>
      </c>
      <c r="M185" s="26"/>
      <c r="N185" s="17"/>
      <c r="O185" s="9">
        <f t="shared" ref="O185:O217" si="25">J185</f>
        <v>-17.899999999999999</v>
      </c>
      <c r="P185" s="8">
        <f>D184/B184*10^(O185/10)</f>
        <v>0.20542927899879787</v>
      </c>
      <c r="Q185" s="26"/>
      <c r="R185" s="17"/>
      <c r="S185" s="19"/>
      <c r="T185" s="17"/>
      <c r="U185" s="22"/>
    </row>
    <row r="186" spans="1:21" x14ac:dyDescent="0.25">
      <c r="A186" s="24"/>
      <c r="B186" s="24"/>
      <c r="C186" s="17"/>
      <c r="D186" s="24"/>
      <c r="E186" s="24"/>
      <c r="F186" s="25"/>
      <c r="G186" s="1">
        <v>275</v>
      </c>
      <c r="H186" s="2">
        <v>92.2</v>
      </c>
      <c r="I186" s="2">
        <v>-12.9</v>
      </c>
      <c r="J186" s="2">
        <v>-18.7</v>
      </c>
      <c r="K186" s="2">
        <f t="shared" si="23"/>
        <v>-12.9</v>
      </c>
      <c r="L186" s="8">
        <f t="shared" si="24"/>
        <v>3.0902954325135712E-11</v>
      </c>
      <c r="M186" s="26"/>
      <c r="N186" s="17"/>
      <c r="O186" s="9">
        <f t="shared" si="25"/>
        <v>-18.7</v>
      </c>
      <c r="P186" s="8">
        <f>D184/B184*10^(O186/10)</f>
        <v>0.1708686317949428</v>
      </c>
      <c r="Q186" s="26"/>
      <c r="R186" s="17"/>
      <c r="S186" s="19"/>
      <c r="T186" s="17"/>
      <c r="U186" s="22"/>
    </row>
    <row r="187" spans="1:21" x14ac:dyDescent="0.25">
      <c r="A187" s="24"/>
      <c r="B187" s="24"/>
      <c r="C187" s="17"/>
      <c r="D187" s="24"/>
      <c r="E187" s="24"/>
      <c r="F187" s="25"/>
      <c r="G187" s="1">
        <v>325</v>
      </c>
      <c r="H187" s="2">
        <v>93.3</v>
      </c>
      <c r="I187" s="2">
        <v>-11.2</v>
      </c>
      <c r="J187" s="2">
        <v>-19.399999999999999</v>
      </c>
      <c r="K187" s="2">
        <f t="shared" si="23"/>
        <v>-11.2</v>
      </c>
      <c r="L187" s="8">
        <f>10^((K187-H187)/10)</f>
        <v>3.5481338923357562E-11</v>
      </c>
      <c r="M187" s="26"/>
      <c r="N187" s="17"/>
      <c r="O187" s="9">
        <f t="shared" si="25"/>
        <v>-19.399999999999999</v>
      </c>
      <c r="P187" s="8">
        <f>D184/B184*10^(O187/10)</f>
        <v>0.1454327920562718</v>
      </c>
      <c r="Q187" s="26"/>
      <c r="R187" s="17"/>
      <c r="S187" s="20"/>
      <c r="T187" s="17"/>
      <c r="U187" s="23"/>
    </row>
    <row r="188" spans="1:21" x14ac:dyDescent="0.25">
      <c r="A188" s="24">
        <v>500</v>
      </c>
      <c r="B188" s="24">
        <v>3</v>
      </c>
      <c r="C188" s="17">
        <v>0.5</v>
      </c>
      <c r="D188" s="24">
        <v>59</v>
      </c>
      <c r="E188" s="24">
        <v>6</v>
      </c>
      <c r="F188" s="25">
        <v>84</v>
      </c>
      <c r="G188" s="1">
        <v>375</v>
      </c>
      <c r="H188" s="2">
        <v>91.9</v>
      </c>
      <c r="I188" s="2">
        <v>-13.9</v>
      </c>
      <c r="J188" s="2">
        <v>-19</v>
      </c>
      <c r="K188" s="2">
        <f t="shared" si="23"/>
        <v>-13.9</v>
      </c>
      <c r="L188" s="8">
        <f t="shared" ref="L188:L189" si="26">10^((K188-H188)/10)</f>
        <v>2.6302679918953676E-11</v>
      </c>
      <c r="M188" s="26">
        <f>SUM(L188:L193)</f>
        <v>1.519659388898242E-10</v>
      </c>
      <c r="N188" s="17">
        <f>10*LOG10(M188/E188)</f>
        <v>-105.9640499276682</v>
      </c>
      <c r="O188" s="9">
        <f t="shared" si="25"/>
        <v>-19</v>
      </c>
      <c r="P188" s="8">
        <f>D188/B188*10^(O188/10)</f>
        <v>0.24758866431951942</v>
      </c>
      <c r="Q188" s="26">
        <f>SUM(P188:P193)</f>
        <v>1.3109180984609141</v>
      </c>
      <c r="R188" s="17">
        <f>10*LOG10(Q188)</f>
        <v>1.1757555935020163</v>
      </c>
      <c r="S188" s="18">
        <f>F188+N188-Kzt-H</f>
        <v>-21.964049927668199</v>
      </c>
      <c r="T188" s="17">
        <v>0.5</v>
      </c>
      <c r="U188" s="21">
        <f>T188*10^((S188-R188)/10)</f>
        <v>2.4265511603224466E-3</v>
      </c>
    </row>
    <row r="189" spans="1:21" x14ac:dyDescent="0.25">
      <c r="A189" s="24"/>
      <c r="B189" s="24"/>
      <c r="C189" s="17"/>
      <c r="D189" s="24"/>
      <c r="E189" s="24"/>
      <c r="F189" s="25"/>
      <c r="G189" s="1">
        <v>425</v>
      </c>
      <c r="H189" s="2">
        <v>88.1</v>
      </c>
      <c r="I189" s="2">
        <v>-13.1</v>
      </c>
      <c r="J189" s="2">
        <v>-20.5</v>
      </c>
      <c r="K189" s="2">
        <f t="shared" si="23"/>
        <v>-13.1</v>
      </c>
      <c r="L189" s="8">
        <f t="shared" si="26"/>
        <v>7.5857757502918434E-11</v>
      </c>
      <c r="M189" s="26"/>
      <c r="N189" s="17"/>
      <c r="O189" s="9">
        <f t="shared" si="25"/>
        <v>-20.5</v>
      </c>
      <c r="P189" s="8">
        <f>D188/B188*10^(O189/10)</f>
        <v>0.1752793511663033</v>
      </c>
      <c r="Q189" s="26"/>
      <c r="R189" s="17"/>
      <c r="S189" s="19"/>
      <c r="T189" s="17"/>
      <c r="U189" s="22"/>
    </row>
    <row r="190" spans="1:21" x14ac:dyDescent="0.25">
      <c r="A190" s="24"/>
      <c r="B190" s="24"/>
      <c r="C190" s="17"/>
      <c r="D190" s="24"/>
      <c r="E190" s="24"/>
      <c r="F190" s="25"/>
      <c r="G190" s="1">
        <v>475</v>
      </c>
      <c r="H190" s="2">
        <v>90</v>
      </c>
      <c r="I190" s="2">
        <v>-15.3</v>
      </c>
      <c r="J190" s="2">
        <v>-19.399999999999999</v>
      </c>
      <c r="K190" s="2">
        <f t="shared" si="23"/>
        <v>-15.3</v>
      </c>
      <c r="L190" s="8">
        <f>10^((K190-H190)/10)</f>
        <v>2.9512092266663787E-11</v>
      </c>
      <c r="M190" s="26"/>
      <c r="N190" s="17"/>
      <c r="O190" s="9">
        <f t="shared" si="25"/>
        <v>-19.399999999999999</v>
      </c>
      <c r="P190" s="8">
        <f>D188/B188*10^(O190/10)</f>
        <v>0.22580354556105359</v>
      </c>
      <c r="Q190" s="26"/>
      <c r="R190" s="17"/>
      <c r="S190" s="19"/>
      <c r="T190" s="17"/>
      <c r="U190" s="22"/>
    </row>
    <row r="191" spans="1:21" x14ac:dyDescent="0.25">
      <c r="A191" s="24"/>
      <c r="B191" s="24"/>
      <c r="C191" s="17"/>
      <c r="D191" s="24"/>
      <c r="E191" s="24"/>
      <c r="F191" s="25"/>
      <c r="G191" s="1">
        <v>575</v>
      </c>
      <c r="H191" s="2">
        <v>97</v>
      </c>
      <c r="I191" s="2">
        <v>-15.6</v>
      </c>
      <c r="J191" s="2">
        <v>-20.2</v>
      </c>
      <c r="K191" s="2">
        <f t="shared" si="23"/>
        <v>-15.6</v>
      </c>
      <c r="L191" s="8">
        <f t="shared" ref="L191:L217" si="27">10^((K191-H191)/10)</f>
        <v>5.4954087385762314E-12</v>
      </c>
      <c r="M191" s="26"/>
      <c r="N191" s="17"/>
      <c r="O191" s="9">
        <f t="shared" si="25"/>
        <v>-20.2</v>
      </c>
      <c r="P191" s="8">
        <f>D188/B188*10^(O191/10)</f>
        <v>0.18781520858421571</v>
      </c>
      <c r="Q191" s="26"/>
      <c r="R191" s="17"/>
      <c r="S191" s="19"/>
      <c r="T191" s="17"/>
      <c r="U191" s="22"/>
    </row>
    <row r="192" spans="1:21" x14ac:dyDescent="0.25">
      <c r="A192" s="24"/>
      <c r="B192" s="24"/>
      <c r="C192" s="17"/>
      <c r="D192" s="24"/>
      <c r="E192" s="24"/>
      <c r="F192" s="25"/>
      <c r="G192" s="1">
        <v>625</v>
      </c>
      <c r="H192" s="2">
        <v>92</v>
      </c>
      <c r="I192" s="2">
        <v>-18.2</v>
      </c>
      <c r="J192" s="2">
        <v>-20.3</v>
      </c>
      <c r="K192" s="2">
        <f t="shared" si="23"/>
        <v>-18.2</v>
      </c>
      <c r="L192" s="8">
        <f t="shared" si="27"/>
        <v>9.5499258602143472E-12</v>
      </c>
      <c r="M192" s="26"/>
      <c r="N192" s="17"/>
      <c r="O192" s="9">
        <f t="shared" si="25"/>
        <v>-20.3</v>
      </c>
      <c r="P192" s="8">
        <f>D188/B188*10^(O192/10)</f>
        <v>0.18354001249007473</v>
      </c>
      <c r="Q192" s="26"/>
      <c r="R192" s="17"/>
      <c r="S192" s="19"/>
      <c r="T192" s="17"/>
      <c r="U192" s="22"/>
    </row>
    <row r="193" spans="1:21" x14ac:dyDescent="0.25">
      <c r="A193" s="24"/>
      <c r="B193" s="24"/>
      <c r="C193" s="17"/>
      <c r="D193" s="24"/>
      <c r="E193" s="24"/>
      <c r="F193" s="25"/>
      <c r="G193" s="1">
        <v>675</v>
      </c>
      <c r="H193" s="2">
        <v>94.5</v>
      </c>
      <c r="I193" s="2">
        <v>-18.3</v>
      </c>
      <c r="J193" s="2">
        <v>-18.3</v>
      </c>
      <c r="K193" s="2">
        <f t="shared" si="23"/>
        <v>-18.3</v>
      </c>
      <c r="L193" s="8">
        <f t="shared" si="27"/>
        <v>5.2480746024977136E-12</v>
      </c>
      <c r="M193" s="26"/>
      <c r="N193" s="17"/>
      <c r="O193" s="9">
        <f t="shared" si="25"/>
        <v>-18.3</v>
      </c>
      <c r="P193" s="8">
        <f>D188/B188*10^(O193/10)</f>
        <v>0.29089131633974741</v>
      </c>
      <c r="Q193" s="26"/>
      <c r="R193" s="17"/>
      <c r="S193" s="20"/>
      <c r="T193" s="17"/>
      <c r="U193" s="23"/>
    </row>
    <row r="194" spans="1:21" x14ac:dyDescent="0.25">
      <c r="A194" s="24">
        <v>1000</v>
      </c>
      <c r="B194" s="24">
        <v>3</v>
      </c>
      <c r="C194" s="17">
        <v>0.5</v>
      </c>
      <c r="D194" s="24">
        <v>117</v>
      </c>
      <c r="E194" s="24">
        <v>6</v>
      </c>
      <c r="F194" s="25">
        <v>76</v>
      </c>
      <c r="G194" s="1">
        <v>875</v>
      </c>
      <c r="H194" s="2">
        <v>91.1</v>
      </c>
      <c r="I194" s="2">
        <v>-17.100000000000001</v>
      </c>
      <c r="J194" s="2">
        <v>-22.9</v>
      </c>
      <c r="K194" s="2">
        <f t="shared" si="23"/>
        <v>-17.100000000000001</v>
      </c>
      <c r="L194" s="8">
        <f t="shared" si="27"/>
        <v>1.5135612484362085E-11</v>
      </c>
      <c r="M194" s="26">
        <f>SUM(L194:L199)</f>
        <v>4.1353114553043974E-11</v>
      </c>
      <c r="N194" s="17">
        <f>10*LOG10(M194/E194)</f>
        <v>-111.61643025920426</v>
      </c>
      <c r="O194" s="9">
        <f t="shared" si="25"/>
        <v>-22.9</v>
      </c>
      <c r="P194" s="8">
        <f>D194/B194*10^(O194/10)</f>
        <v>0.20001593975663223</v>
      </c>
      <c r="Q194" s="26">
        <f>SUM(P194:P199)</f>
        <v>2.2445658371138677</v>
      </c>
      <c r="R194" s="17">
        <f>10*LOG10(Q194)</f>
        <v>3.5113234855518813</v>
      </c>
      <c r="S194" s="18">
        <f>F194+N194-Kzt-H</f>
        <v>-35.616430259204265</v>
      </c>
      <c r="T194" s="17">
        <v>0.8</v>
      </c>
      <c r="U194" s="21">
        <f>T194*10^((S194-R194)/10)</f>
        <v>9.779454096688078E-5</v>
      </c>
    </row>
    <row r="195" spans="1:21" x14ac:dyDescent="0.25">
      <c r="A195" s="24"/>
      <c r="B195" s="24"/>
      <c r="C195" s="17"/>
      <c r="D195" s="24"/>
      <c r="E195" s="24"/>
      <c r="F195" s="25"/>
      <c r="G195" s="1">
        <v>975</v>
      </c>
      <c r="H195" s="2">
        <v>96.5</v>
      </c>
      <c r="I195" s="2">
        <v>-15.6</v>
      </c>
      <c r="J195" s="2">
        <v>-17.100000000000001</v>
      </c>
      <c r="K195" s="2">
        <f t="shared" si="23"/>
        <v>-15.6</v>
      </c>
      <c r="L195" s="8">
        <f t="shared" si="27"/>
        <v>6.1659500186148244E-12</v>
      </c>
      <c r="M195" s="26"/>
      <c r="N195" s="17"/>
      <c r="O195" s="9">
        <f t="shared" si="25"/>
        <v>-17.100000000000001</v>
      </c>
      <c r="P195" s="8">
        <f>D194/B194*10^(O195/10)</f>
        <v>0.76043939390563697</v>
      </c>
      <c r="Q195" s="26"/>
      <c r="R195" s="17"/>
      <c r="S195" s="19"/>
      <c r="T195" s="17"/>
      <c r="U195" s="22"/>
    </row>
    <row r="196" spans="1:21" x14ac:dyDescent="0.25">
      <c r="A196" s="24"/>
      <c r="B196" s="24"/>
      <c r="C196" s="17"/>
      <c r="D196" s="24"/>
      <c r="E196" s="24"/>
      <c r="F196" s="25"/>
      <c r="G196" s="1">
        <v>1075</v>
      </c>
      <c r="H196" s="2">
        <v>94.6</v>
      </c>
      <c r="I196" s="2">
        <v>-15.1</v>
      </c>
      <c r="J196" s="2">
        <v>-17.8</v>
      </c>
      <c r="K196" s="2">
        <f t="shared" si="23"/>
        <v>-15.1</v>
      </c>
      <c r="L196" s="8">
        <f t="shared" si="27"/>
        <v>1.0715193052376083E-11</v>
      </c>
      <c r="M196" s="26"/>
      <c r="N196" s="17"/>
      <c r="O196" s="9">
        <f t="shared" si="25"/>
        <v>-17.8</v>
      </c>
      <c r="P196" s="8">
        <f>D194/B194*10^(O196/10)</f>
        <v>0.64723889390064804</v>
      </c>
      <c r="Q196" s="26"/>
      <c r="R196" s="17"/>
      <c r="S196" s="19"/>
      <c r="T196" s="17"/>
      <c r="U196" s="22"/>
    </row>
    <row r="197" spans="1:21" x14ac:dyDescent="0.25">
      <c r="A197" s="24"/>
      <c r="B197" s="24"/>
      <c r="C197" s="17"/>
      <c r="D197" s="24"/>
      <c r="E197" s="24"/>
      <c r="F197" s="25"/>
      <c r="G197" s="1">
        <v>1175</v>
      </c>
      <c r="H197" s="2">
        <v>97.8</v>
      </c>
      <c r="I197" s="2">
        <v>-19.7</v>
      </c>
      <c r="J197" s="2">
        <v>-22.6</v>
      </c>
      <c r="K197" s="2">
        <f t="shared" si="23"/>
        <v>-19.7</v>
      </c>
      <c r="L197" s="8">
        <f t="shared" si="27"/>
        <v>1.7782794100389204E-12</v>
      </c>
      <c r="M197" s="26"/>
      <c r="N197" s="17"/>
      <c r="O197" s="9">
        <f t="shared" si="25"/>
        <v>-22.6</v>
      </c>
      <c r="P197" s="8">
        <f>D194/B194*10^(O197/10)</f>
        <v>0.21432094080447345</v>
      </c>
      <c r="Q197" s="26"/>
      <c r="R197" s="17"/>
      <c r="S197" s="19"/>
      <c r="T197" s="17"/>
      <c r="U197" s="22"/>
    </row>
    <row r="198" spans="1:21" x14ac:dyDescent="0.25">
      <c r="A198" s="24"/>
      <c r="B198" s="24"/>
      <c r="C198" s="17"/>
      <c r="D198" s="24"/>
      <c r="E198" s="24"/>
      <c r="F198" s="25"/>
      <c r="G198" s="1">
        <v>1275</v>
      </c>
      <c r="H198" s="2">
        <v>100.1</v>
      </c>
      <c r="I198" s="2">
        <v>-12.6</v>
      </c>
      <c r="J198" s="2">
        <v>-21.7</v>
      </c>
      <c r="K198" s="2">
        <f t="shared" si="23"/>
        <v>-12.6</v>
      </c>
      <c r="L198" s="8">
        <f t="shared" si="27"/>
        <v>5.3703179637025143E-12</v>
      </c>
      <c r="M198" s="26"/>
      <c r="N198" s="17"/>
      <c r="O198" s="9">
        <f t="shared" si="25"/>
        <v>-21.7</v>
      </c>
      <c r="P198" s="8">
        <f>D194/B194*10^(O198/10)</f>
        <v>0.26367236040287273</v>
      </c>
      <c r="Q198" s="26"/>
      <c r="R198" s="17"/>
      <c r="S198" s="19"/>
      <c r="T198" s="17"/>
      <c r="U198" s="22"/>
    </row>
    <row r="199" spans="1:21" x14ac:dyDescent="0.25">
      <c r="A199" s="24"/>
      <c r="B199" s="24"/>
      <c r="C199" s="17"/>
      <c r="D199" s="24"/>
      <c r="E199" s="24"/>
      <c r="F199" s="25"/>
      <c r="G199" s="1">
        <v>1375</v>
      </c>
      <c r="H199" s="2">
        <v>103</v>
      </c>
      <c r="I199" s="2">
        <v>-13.6</v>
      </c>
      <c r="J199" s="2">
        <v>-23.9</v>
      </c>
      <c r="K199" s="2">
        <f t="shared" si="23"/>
        <v>-13.6</v>
      </c>
      <c r="L199" s="8">
        <f t="shared" si="27"/>
        <v>2.1877616239495474E-12</v>
      </c>
      <c r="M199" s="26"/>
      <c r="N199" s="17"/>
      <c r="O199" s="9">
        <f t="shared" si="25"/>
        <v>-23.9</v>
      </c>
      <c r="P199" s="8">
        <f>D194/B194*10^(O199/10)</f>
        <v>0.15887830834360409</v>
      </c>
      <c r="Q199" s="26"/>
      <c r="R199" s="17"/>
      <c r="S199" s="20"/>
      <c r="T199" s="17"/>
      <c r="U199" s="23"/>
    </row>
    <row r="200" spans="1:21" x14ac:dyDescent="0.25">
      <c r="A200" s="24">
        <v>2000</v>
      </c>
      <c r="B200" s="24">
        <v>3</v>
      </c>
      <c r="C200" s="17">
        <v>0.5</v>
      </c>
      <c r="D200" s="24">
        <v>234</v>
      </c>
      <c r="E200" s="24">
        <v>6</v>
      </c>
      <c r="F200" s="25">
        <v>68</v>
      </c>
      <c r="G200" s="1">
        <v>1425</v>
      </c>
      <c r="H200" s="2">
        <v>102.8</v>
      </c>
      <c r="I200" s="2">
        <v>-16.8</v>
      </c>
      <c r="J200" s="2">
        <v>-18.2</v>
      </c>
      <c r="K200" s="2">
        <f t="shared" si="23"/>
        <v>-16.8</v>
      </c>
      <c r="L200" s="8">
        <f t="shared" si="27"/>
        <v>1.0964781961431857E-12</v>
      </c>
      <c r="M200" s="26">
        <f>SUM(L200:L205)</f>
        <v>2.1719506730536603E-11</v>
      </c>
      <c r="N200" s="17">
        <f>10*LOG10(M200/E200)</f>
        <v>-114.41301292571744</v>
      </c>
      <c r="O200" s="9">
        <f t="shared" si="25"/>
        <v>-18.2</v>
      </c>
      <c r="P200" s="8">
        <f>D200/B200*10^(O200/10)</f>
        <v>1.1805777737802419</v>
      </c>
      <c r="Q200" s="26">
        <f>SUM(P200:P205)</f>
        <v>5.0435887086115558</v>
      </c>
      <c r="R200" s="17">
        <f>10*LOG10(Q200)</f>
        <v>7.0273966377270982</v>
      </c>
      <c r="S200" s="18">
        <f>F200+N200-Kzt-H</f>
        <v>-46.413012925717439</v>
      </c>
      <c r="T200" s="17">
        <v>1</v>
      </c>
      <c r="U200" s="21">
        <f>T200*10^((S200-R200)/10)</f>
        <v>4.5285487119916326E-6</v>
      </c>
    </row>
    <row r="201" spans="1:21" x14ac:dyDescent="0.25">
      <c r="A201" s="24"/>
      <c r="B201" s="24"/>
      <c r="C201" s="17"/>
      <c r="D201" s="24"/>
      <c r="E201" s="24"/>
      <c r="F201" s="25"/>
      <c r="G201" s="1">
        <v>1625</v>
      </c>
      <c r="H201" s="2">
        <v>104.1</v>
      </c>
      <c r="I201" s="2">
        <v>-18.399999999999999</v>
      </c>
      <c r="J201" s="2">
        <v>-18.600000000000001</v>
      </c>
      <c r="K201" s="2">
        <f t="shared" si="23"/>
        <v>-18.399999999999999</v>
      </c>
      <c r="L201" s="8">
        <f t="shared" si="27"/>
        <v>5.6234132519034702E-13</v>
      </c>
      <c r="M201" s="26"/>
      <c r="N201" s="17"/>
      <c r="O201" s="9">
        <f t="shared" si="25"/>
        <v>-18.600000000000001</v>
      </c>
      <c r="P201" s="8">
        <f>D200/B200*10^(O201/10)</f>
        <v>1.0766997263902494</v>
      </c>
      <c r="Q201" s="26"/>
      <c r="R201" s="17"/>
      <c r="S201" s="19"/>
      <c r="T201" s="17"/>
      <c r="U201" s="22"/>
    </row>
    <row r="202" spans="1:21" x14ac:dyDescent="0.25">
      <c r="A202" s="24"/>
      <c r="B202" s="24"/>
      <c r="C202" s="17"/>
      <c r="D202" s="24"/>
      <c r="E202" s="24"/>
      <c r="F202" s="25"/>
      <c r="G202" s="1">
        <v>1825</v>
      </c>
      <c r="H202" s="2">
        <v>107.6</v>
      </c>
      <c r="I202" s="2">
        <v>-16.7</v>
      </c>
      <c r="J202" s="2">
        <v>-19.100000000000001</v>
      </c>
      <c r="K202" s="2">
        <f t="shared" si="23"/>
        <v>-16.7</v>
      </c>
      <c r="L202" s="8">
        <f t="shared" si="27"/>
        <v>3.7153522909717175E-13</v>
      </c>
      <c r="M202" s="26"/>
      <c r="N202" s="17"/>
      <c r="O202" s="9">
        <f t="shared" si="25"/>
        <v>-19.100000000000001</v>
      </c>
      <c r="P202" s="8">
        <f>D200/B200*10^(O202/10)</f>
        <v>0.95960964123365711</v>
      </c>
      <c r="Q202" s="26"/>
      <c r="R202" s="17"/>
      <c r="S202" s="19"/>
      <c r="T202" s="17"/>
      <c r="U202" s="22"/>
    </row>
    <row r="203" spans="1:21" x14ac:dyDescent="0.25">
      <c r="A203" s="24"/>
      <c r="B203" s="24"/>
      <c r="C203" s="17"/>
      <c r="D203" s="24"/>
      <c r="E203" s="24"/>
      <c r="F203" s="25"/>
      <c r="G203" s="1">
        <v>2125</v>
      </c>
      <c r="H203" s="2">
        <v>104.2</v>
      </c>
      <c r="I203" s="2">
        <v>-15.6</v>
      </c>
      <c r="J203" s="2">
        <v>-23.4</v>
      </c>
      <c r="K203" s="2">
        <f t="shared" si="23"/>
        <v>-15.6</v>
      </c>
      <c r="L203" s="8">
        <f t="shared" si="27"/>
        <v>1.0471285480508967E-12</v>
      </c>
      <c r="M203" s="26"/>
      <c r="N203" s="17"/>
      <c r="O203" s="9">
        <f t="shared" si="25"/>
        <v>-23.4</v>
      </c>
      <c r="P203" s="8">
        <f>D200/B200*10^(O203/10)</f>
        <v>0.35652878789960252</v>
      </c>
      <c r="Q203" s="26"/>
      <c r="R203" s="17"/>
      <c r="S203" s="19"/>
      <c r="T203" s="17"/>
      <c r="U203" s="22"/>
    </row>
    <row r="204" spans="1:21" x14ac:dyDescent="0.25">
      <c r="A204" s="24"/>
      <c r="B204" s="24"/>
      <c r="C204" s="17"/>
      <c r="D204" s="24"/>
      <c r="E204" s="24"/>
      <c r="F204" s="25"/>
      <c r="G204" s="1">
        <v>2425</v>
      </c>
      <c r="H204" s="2">
        <v>93.7</v>
      </c>
      <c r="I204" s="2">
        <v>-14</v>
      </c>
      <c r="J204" s="2">
        <v>-25.8</v>
      </c>
      <c r="K204" s="2">
        <f t="shared" si="23"/>
        <v>-14</v>
      </c>
      <c r="L204" s="8">
        <f t="shared" si="27"/>
        <v>1.6982436524617441E-11</v>
      </c>
      <c r="M204" s="26"/>
      <c r="N204" s="17"/>
      <c r="O204" s="9">
        <f t="shared" si="25"/>
        <v>-25.8</v>
      </c>
      <c r="P204" s="8">
        <f>D200/B200*10^(O204/10)</f>
        <v>0.20516090336783957</v>
      </c>
      <c r="Q204" s="26"/>
      <c r="R204" s="17"/>
      <c r="S204" s="19"/>
      <c r="T204" s="17"/>
      <c r="U204" s="22"/>
    </row>
    <row r="205" spans="1:21" x14ac:dyDescent="0.25">
      <c r="A205" s="24"/>
      <c r="B205" s="24"/>
      <c r="C205" s="17"/>
      <c r="D205" s="24"/>
      <c r="E205" s="24"/>
      <c r="F205" s="25"/>
      <c r="G205" s="1">
        <v>2775</v>
      </c>
      <c r="H205" s="2">
        <v>100.2</v>
      </c>
      <c r="I205" s="2">
        <v>-17.599999999999998</v>
      </c>
      <c r="J205" s="2">
        <v>-17.899999999999999</v>
      </c>
      <c r="K205" s="2">
        <f t="shared" si="23"/>
        <v>-17.599999999999998</v>
      </c>
      <c r="L205" s="8">
        <f t="shared" si="27"/>
        <v>1.6595869074375588E-12</v>
      </c>
      <c r="M205" s="26"/>
      <c r="N205" s="17"/>
      <c r="O205" s="9">
        <f t="shared" si="25"/>
        <v>-17.899999999999999</v>
      </c>
      <c r="P205" s="8">
        <f>D200/B200*10^(O205/10)</f>
        <v>1.2650118759399658</v>
      </c>
      <c r="Q205" s="26"/>
      <c r="R205" s="17"/>
      <c r="S205" s="20"/>
      <c r="T205" s="17"/>
      <c r="U205" s="23"/>
    </row>
    <row r="206" spans="1:21" x14ac:dyDescent="0.25">
      <c r="A206" s="24">
        <v>4000</v>
      </c>
      <c r="B206" s="24">
        <v>3</v>
      </c>
      <c r="C206" s="17">
        <v>0.5</v>
      </c>
      <c r="D206" s="24">
        <v>470</v>
      </c>
      <c r="E206" s="24">
        <v>6</v>
      </c>
      <c r="F206" s="25">
        <v>62</v>
      </c>
      <c r="G206" s="1">
        <v>2825</v>
      </c>
      <c r="H206" s="2">
        <v>99.4</v>
      </c>
      <c r="I206" s="2">
        <v>-16.100000000000001</v>
      </c>
      <c r="J206" s="2">
        <v>-21.6</v>
      </c>
      <c r="K206" s="2">
        <f t="shared" si="23"/>
        <v>-16.100000000000001</v>
      </c>
      <c r="L206" s="8">
        <f t="shared" si="27"/>
        <v>2.8183829312644444E-12</v>
      </c>
      <c r="M206" s="26">
        <f>SUM(L206:L211)</f>
        <v>8.8464028992342747E-12</v>
      </c>
      <c r="N206" s="17">
        <f>10*LOG10(M206/E206)</f>
        <v>-118.31384535457499</v>
      </c>
      <c r="O206" s="9">
        <f t="shared" si="25"/>
        <v>-21.6</v>
      </c>
      <c r="P206" s="8">
        <f>D206/B206*10^(O206/10)</f>
        <v>1.083868521106333</v>
      </c>
      <c r="Q206" s="26">
        <f>SUM(P206:P211)</f>
        <v>9.9144783120001989</v>
      </c>
      <c r="R206" s="17">
        <f>10*LOG10(Q206)</f>
        <v>9.9626986708591989</v>
      </c>
      <c r="S206" s="18">
        <f>F206+N206-Kzt-H</f>
        <v>-56.313845354574994</v>
      </c>
      <c r="T206" s="17">
        <v>0.9</v>
      </c>
      <c r="U206" s="21">
        <f>T206*10^((S206-R206)/10)</f>
        <v>2.121231691403445E-7</v>
      </c>
    </row>
    <row r="207" spans="1:21" x14ac:dyDescent="0.25">
      <c r="A207" s="24"/>
      <c r="B207" s="24"/>
      <c r="C207" s="17"/>
      <c r="D207" s="24"/>
      <c r="E207" s="24"/>
      <c r="F207" s="25"/>
      <c r="G207" s="1">
        <v>3425</v>
      </c>
      <c r="H207" s="2">
        <v>103.5</v>
      </c>
      <c r="I207" s="2">
        <v>-15.1</v>
      </c>
      <c r="J207" s="2">
        <v>-17</v>
      </c>
      <c r="K207" s="2">
        <f t="shared" si="23"/>
        <v>-15.1</v>
      </c>
      <c r="L207" s="8">
        <f t="shared" si="27"/>
        <v>1.3803842646028842E-12</v>
      </c>
      <c r="M207" s="26"/>
      <c r="N207" s="17"/>
      <c r="O207" s="9">
        <f t="shared" si="25"/>
        <v>-17</v>
      </c>
      <c r="P207" s="8">
        <f>D206/B206*10^(O207/10)</f>
        <v>3.1259109601179107</v>
      </c>
      <c r="Q207" s="26"/>
      <c r="R207" s="17"/>
      <c r="S207" s="19"/>
      <c r="T207" s="17"/>
      <c r="U207" s="22"/>
    </row>
    <row r="208" spans="1:21" x14ac:dyDescent="0.25">
      <c r="A208" s="24"/>
      <c r="B208" s="24"/>
      <c r="C208" s="17"/>
      <c r="D208" s="24"/>
      <c r="E208" s="24"/>
      <c r="F208" s="25"/>
      <c r="G208" s="1">
        <v>4025</v>
      </c>
      <c r="H208" s="2">
        <v>103.6</v>
      </c>
      <c r="I208" s="2">
        <v>-16.7</v>
      </c>
      <c r="J208" s="2">
        <v>-19.8</v>
      </c>
      <c r="K208" s="2">
        <f t="shared" si="23"/>
        <v>-16.7</v>
      </c>
      <c r="L208" s="8">
        <f t="shared" si="27"/>
        <v>9.3325430079698887E-13</v>
      </c>
      <c r="M208" s="26"/>
      <c r="N208" s="17"/>
      <c r="O208" s="9">
        <f t="shared" si="25"/>
        <v>-19.8</v>
      </c>
      <c r="P208" s="8">
        <f>D206/B206*10^(O208/10)</f>
        <v>1.6405013919464082</v>
      </c>
      <c r="Q208" s="26"/>
      <c r="R208" s="17"/>
      <c r="S208" s="19"/>
      <c r="T208" s="17"/>
      <c r="U208" s="22"/>
    </row>
    <row r="209" spans="1:21" x14ac:dyDescent="0.25">
      <c r="A209" s="24"/>
      <c r="B209" s="24"/>
      <c r="C209" s="17"/>
      <c r="D209" s="24"/>
      <c r="E209" s="24"/>
      <c r="F209" s="25"/>
      <c r="G209" s="1">
        <v>4625</v>
      </c>
      <c r="H209" s="2">
        <v>105.6</v>
      </c>
      <c r="I209" s="2">
        <v>-16</v>
      </c>
      <c r="J209" s="2">
        <v>-19.3</v>
      </c>
      <c r="K209" s="2">
        <f t="shared" si="23"/>
        <v>-16</v>
      </c>
      <c r="L209" s="8">
        <f t="shared" si="27"/>
        <v>6.9183097091893335E-13</v>
      </c>
      <c r="M209" s="26"/>
      <c r="N209" s="17"/>
      <c r="O209" s="9">
        <f t="shared" si="25"/>
        <v>-19.3</v>
      </c>
      <c r="P209" s="8">
        <f>D206/B206*10^(O209/10)</f>
        <v>1.8406728360719276</v>
      </c>
      <c r="Q209" s="26"/>
      <c r="R209" s="17"/>
      <c r="S209" s="19"/>
      <c r="T209" s="17"/>
      <c r="U209" s="22"/>
    </row>
    <row r="210" spans="1:21" x14ac:dyDescent="0.25">
      <c r="A210" s="24"/>
      <c r="B210" s="24"/>
      <c r="C210" s="17"/>
      <c r="D210" s="24"/>
      <c r="E210" s="24"/>
      <c r="F210" s="25"/>
      <c r="G210" s="1">
        <v>5225</v>
      </c>
      <c r="H210" s="2">
        <v>103.5</v>
      </c>
      <c r="I210" s="2">
        <v>-13.3</v>
      </c>
      <c r="J210" s="2">
        <v>-21.8</v>
      </c>
      <c r="K210" s="2">
        <f t="shared" si="23"/>
        <v>-13.3</v>
      </c>
      <c r="L210" s="8">
        <f t="shared" si="27"/>
        <v>2.0892961308540349E-12</v>
      </c>
      <c r="M210" s="26"/>
      <c r="N210" s="17"/>
      <c r="O210" s="9">
        <f t="shared" si="25"/>
        <v>-21.8</v>
      </c>
      <c r="P210" s="8">
        <f>D206/B206*10^(O210/10)</f>
        <v>1.0350864018785664</v>
      </c>
      <c r="Q210" s="26"/>
      <c r="R210" s="17"/>
      <c r="S210" s="19"/>
      <c r="T210" s="17"/>
      <c r="U210" s="22"/>
    </row>
    <row r="211" spans="1:21" x14ac:dyDescent="0.25">
      <c r="A211" s="24"/>
      <c r="B211" s="24"/>
      <c r="C211" s="17"/>
      <c r="D211" s="24"/>
      <c r="E211" s="24"/>
      <c r="F211" s="25"/>
      <c r="G211" s="1">
        <v>5625</v>
      </c>
      <c r="H211" s="2">
        <v>99.5</v>
      </c>
      <c r="I211" s="2">
        <v>-20.8</v>
      </c>
      <c r="J211" s="2">
        <v>-21.2</v>
      </c>
      <c r="K211" s="2">
        <f t="shared" si="23"/>
        <v>-20.8</v>
      </c>
      <c r="L211" s="8">
        <f t="shared" si="27"/>
        <v>9.3325430079698887E-13</v>
      </c>
      <c r="M211" s="26"/>
      <c r="N211" s="17"/>
      <c r="O211" s="9">
        <f t="shared" si="25"/>
        <v>-21.2</v>
      </c>
      <c r="P211" s="8">
        <f>D206/B206*10^(O211/10)</f>
        <v>1.1884382008790533</v>
      </c>
      <c r="Q211" s="26"/>
      <c r="R211" s="17"/>
      <c r="S211" s="20"/>
      <c r="T211" s="17"/>
      <c r="U211" s="23"/>
    </row>
    <row r="212" spans="1:21" x14ac:dyDescent="0.25">
      <c r="A212" s="24">
        <v>8000</v>
      </c>
      <c r="B212" s="24">
        <v>3</v>
      </c>
      <c r="C212" s="17">
        <v>0.5</v>
      </c>
      <c r="D212" s="24">
        <v>943</v>
      </c>
      <c r="E212" s="24">
        <v>6</v>
      </c>
      <c r="F212" s="25">
        <v>54</v>
      </c>
      <c r="G212" s="1">
        <v>6025</v>
      </c>
      <c r="H212" s="2">
        <v>95</v>
      </c>
      <c r="I212" s="2">
        <v>-17.600000000000001</v>
      </c>
      <c r="J212" s="2">
        <v>-19.2</v>
      </c>
      <c r="K212" s="2">
        <f t="shared" si="23"/>
        <v>-17.600000000000001</v>
      </c>
      <c r="L212" s="8">
        <f t="shared" si="27"/>
        <v>5.4954087385762314E-12</v>
      </c>
      <c r="M212" s="26">
        <f>SUM(L212:L217)</f>
        <v>1.4814994107032107E-10</v>
      </c>
      <c r="N212" s="17">
        <f>10*LOG10(M212/E212)</f>
        <v>-106.0744976731708</v>
      </c>
      <c r="O212" s="9">
        <f t="shared" si="25"/>
        <v>-19.2</v>
      </c>
      <c r="P212" s="8">
        <f>D212/B212*10^(O212/10)</f>
        <v>3.7791178728140662</v>
      </c>
      <c r="Q212" s="26">
        <f>SUM(P212:P217)</f>
        <v>24.076514162604688</v>
      </c>
      <c r="R212" s="17">
        <f>10*LOG10(Q212)</f>
        <v>13.815936092663799</v>
      </c>
      <c r="S212" s="18">
        <f>F212+N212-Kzt-H</f>
        <v>-52.074497673170796</v>
      </c>
      <c r="T212" s="17">
        <v>0.7</v>
      </c>
      <c r="U212" s="21">
        <f>T212*10^((S212-R212)/10)</f>
        <v>1.8032446959385565E-7</v>
      </c>
    </row>
    <row r="213" spans="1:21" x14ac:dyDescent="0.25">
      <c r="A213" s="24"/>
      <c r="B213" s="24"/>
      <c r="C213" s="17"/>
      <c r="D213" s="24"/>
      <c r="E213" s="24"/>
      <c r="F213" s="25"/>
      <c r="G213" s="1">
        <v>7025</v>
      </c>
      <c r="H213" s="2">
        <v>94.8</v>
      </c>
      <c r="I213" s="2">
        <v>-19.5</v>
      </c>
      <c r="J213" s="2">
        <v>-20.2</v>
      </c>
      <c r="K213" s="2">
        <f t="shared" si="23"/>
        <v>-19.5</v>
      </c>
      <c r="L213" s="8">
        <f t="shared" si="27"/>
        <v>3.7153522909717219E-12</v>
      </c>
      <c r="M213" s="26"/>
      <c r="N213" s="17"/>
      <c r="O213" s="9">
        <f t="shared" si="25"/>
        <v>-20.2</v>
      </c>
      <c r="P213" s="8">
        <f>D212/B212*10^(O213/10)</f>
        <v>3.0018600287273793</v>
      </c>
      <c r="Q213" s="26"/>
      <c r="R213" s="17"/>
      <c r="S213" s="19"/>
      <c r="T213" s="17"/>
      <c r="U213" s="22"/>
    </row>
    <row r="214" spans="1:21" x14ac:dyDescent="0.25">
      <c r="A214" s="24"/>
      <c r="B214" s="24"/>
      <c r="C214" s="17"/>
      <c r="D214" s="24"/>
      <c r="E214" s="24"/>
      <c r="F214" s="25"/>
      <c r="G214" s="1">
        <v>8025</v>
      </c>
      <c r="H214" s="2">
        <v>101.9</v>
      </c>
      <c r="I214" s="2">
        <v>-14.9</v>
      </c>
      <c r="J214" s="2">
        <v>-19.2</v>
      </c>
      <c r="K214" s="2">
        <f t="shared" si="23"/>
        <v>-14.9</v>
      </c>
      <c r="L214" s="8">
        <f t="shared" si="27"/>
        <v>2.0892961308540277E-12</v>
      </c>
      <c r="M214" s="26"/>
      <c r="N214" s="17"/>
      <c r="O214" s="9">
        <f t="shared" si="25"/>
        <v>-19.2</v>
      </c>
      <c r="P214" s="8">
        <f>D212/B212*10^(O214/10)</f>
        <v>3.7791178728140662</v>
      </c>
      <c r="Q214" s="26"/>
      <c r="R214" s="17"/>
      <c r="S214" s="19"/>
      <c r="T214" s="17"/>
      <c r="U214" s="22"/>
    </row>
    <row r="215" spans="1:21" x14ac:dyDescent="0.25">
      <c r="A215" s="24"/>
      <c r="B215" s="24"/>
      <c r="C215" s="17"/>
      <c r="D215" s="24"/>
      <c r="E215" s="24"/>
      <c r="F215" s="25"/>
      <c r="G215" s="1">
        <v>9025</v>
      </c>
      <c r="H215" s="2">
        <v>93.2</v>
      </c>
      <c r="I215" s="2">
        <v>-17.5</v>
      </c>
      <c r="J215" s="2">
        <v>-25.8</v>
      </c>
      <c r="K215" s="2">
        <f t="shared" si="23"/>
        <v>-17.5</v>
      </c>
      <c r="L215" s="8">
        <f t="shared" si="27"/>
        <v>8.5113803820237273E-12</v>
      </c>
      <c r="M215" s="26"/>
      <c r="N215" s="17"/>
      <c r="O215" s="9">
        <f t="shared" si="25"/>
        <v>-25.8</v>
      </c>
      <c r="P215" s="8">
        <f>D212/B212*10^(O215/10)</f>
        <v>0.82678090545244742</v>
      </c>
      <c r="Q215" s="26"/>
      <c r="R215" s="17"/>
      <c r="S215" s="19"/>
      <c r="T215" s="17"/>
      <c r="U215" s="22"/>
    </row>
    <row r="216" spans="1:21" x14ac:dyDescent="0.25">
      <c r="A216" s="24"/>
      <c r="B216" s="24"/>
      <c r="C216" s="17"/>
      <c r="D216" s="24"/>
      <c r="E216" s="24"/>
      <c r="F216" s="25"/>
      <c r="G216" s="1">
        <v>10025</v>
      </c>
      <c r="H216" s="2">
        <v>88.3</v>
      </c>
      <c r="I216" s="2">
        <v>-12.9</v>
      </c>
      <c r="J216" s="2">
        <v>-16.899999999999999</v>
      </c>
      <c r="K216" s="2">
        <f t="shared" si="23"/>
        <v>-12.9</v>
      </c>
      <c r="L216" s="8">
        <f t="shared" si="27"/>
        <v>7.5857757502918162E-11</v>
      </c>
      <c r="M216" s="26"/>
      <c r="N216" s="17"/>
      <c r="O216" s="9">
        <f t="shared" si="25"/>
        <v>-16.899999999999999</v>
      </c>
      <c r="P216" s="8">
        <f>D212/B212*10^(O216/10)</f>
        <v>6.4178629394112185</v>
      </c>
      <c r="Q216" s="26"/>
      <c r="R216" s="17"/>
      <c r="S216" s="19"/>
      <c r="T216" s="17"/>
      <c r="U216" s="22"/>
    </row>
    <row r="217" spans="1:21" x14ac:dyDescent="0.25">
      <c r="A217" s="24"/>
      <c r="B217" s="24"/>
      <c r="C217" s="17"/>
      <c r="D217" s="24"/>
      <c r="E217" s="24"/>
      <c r="F217" s="25"/>
      <c r="G217" s="1">
        <v>11025</v>
      </c>
      <c r="H217" s="2">
        <v>86</v>
      </c>
      <c r="I217" s="2">
        <v>-16.8</v>
      </c>
      <c r="J217" s="2">
        <v>-17</v>
      </c>
      <c r="K217" s="2">
        <f t="shared" si="23"/>
        <v>-16.8</v>
      </c>
      <c r="L217" s="8">
        <f t="shared" si="27"/>
        <v>5.2480746024977191E-11</v>
      </c>
      <c r="M217" s="26"/>
      <c r="N217" s="17"/>
      <c r="O217" s="9">
        <f t="shared" si="25"/>
        <v>-17</v>
      </c>
      <c r="P217" s="8">
        <f>D212/B212*10^(O217/10)</f>
        <v>6.2717745433855097</v>
      </c>
      <c r="Q217" s="26"/>
      <c r="R217" s="17"/>
      <c r="S217" s="20"/>
      <c r="T217" s="17"/>
      <c r="U217" s="23"/>
    </row>
    <row r="218" spans="1:21" x14ac:dyDescent="0.25">
      <c r="A218" s="24" t="s">
        <v>20</v>
      </c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12">
        <f>U218</f>
        <v>8.2628558357981385E-2</v>
      </c>
      <c r="T218" s="2"/>
      <c r="U218" s="8">
        <f>0.8*SQRT(SUM(U184:U217))</f>
        <v>8.2628558357981385E-2</v>
      </c>
    </row>
    <row r="219" spans="1:21" x14ac:dyDescent="0.25">
      <c r="A219" s="27" t="s">
        <v>58</v>
      </c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9"/>
    </row>
    <row r="220" spans="1:21" x14ac:dyDescent="0.25">
      <c r="A220" s="24">
        <v>250</v>
      </c>
      <c r="B220" s="24">
        <v>3</v>
      </c>
      <c r="C220" s="17">
        <v>0.5</v>
      </c>
      <c r="D220" s="24">
        <v>38</v>
      </c>
      <c r="E220" s="24">
        <v>4</v>
      </c>
      <c r="F220" s="25">
        <v>84</v>
      </c>
      <c r="G220" s="1">
        <v>175</v>
      </c>
      <c r="H220" s="2">
        <v>84.8</v>
      </c>
      <c r="I220" s="2">
        <v>-17</v>
      </c>
      <c r="J220" s="2">
        <v>-21.7</v>
      </c>
      <c r="K220" s="2">
        <f>I220</f>
        <v>-17</v>
      </c>
      <c r="L220" s="8">
        <f>10^((K220-H220)/10)</f>
        <v>6.606934480075945E-11</v>
      </c>
      <c r="M220" s="26">
        <f>SUM(L220:L223)</f>
        <v>9.3094539778300806E-11</v>
      </c>
      <c r="N220" s="17">
        <f>10*LOG10(M220/E220)</f>
        <v>-106.33135782029704</v>
      </c>
      <c r="O220" s="9">
        <f>J220</f>
        <v>-21.7</v>
      </c>
      <c r="P220" s="8">
        <f>D220/B220*10^(O220/10)</f>
        <v>8.5637176882984292E-2</v>
      </c>
      <c r="Q220" s="26">
        <f>SUM(P220:P223)</f>
        <v>0.19680483688622646</v>
      </c>
      <c r="R220" s="17">
        <f>10*LOG10(Q220)</f>
        <v>-7.0596423208768622</v>
      </c>
      <c r="S220" s="18">
        <f>F220+N220-Kzt-H</f>
        <v>-22.331357820297043</v>
      </c>
      <c r="T220" s="17">
        <v>0.2</v>
      </c>
      <c r="U220" s="21">
        <f>T220*10^((S220-R220)/10)</f>
        <v>5.9409848613610969E-3</v>
      </c>
    </row>
    <row r="221" spans="1:21" x14ac:dyDescent="0.25">
      <c r="A221" s="24"/>
      <c r="B221" s="24"/>
      <c r="C221" s="17"/>
      <c r="D221" s="24"/>
      <c r="E221" s="24"/>
      <c r="F221" s="25"/>
      <c r="G221" s="1">
        <v>225</v>
      </c>
      <c r="H221" s="2">
        <v>90</v>
      </c>
      <c r="I221" s="2">
        <v>-17.2</v>
      </c>
      <c r="J221" s="2">
        <v>-26.3</v>
      </c>
      <c r="K221" s="2">
        <f t="shared" ref="K221:K253" si="28">I221</f>
        <v>-17.2</v>
      </c>
      <c r="L221" s="8">
        <f t="shared" ref="L221:L222" si="29">10^((K221-H221)/10)</f>
        <v>1.9054607179632392E-11</v>
      </c>
      <c r="M221" s="26"/>
      <c r="N221" s="17"/>
      <c r="O221" s="9">
        <f t="shared" ref="O221:O253" si="30">J221</f>
        <v>-26.3</v>
      </c>
      <c r="P221" s="8">
        <f>D220/B220*10^(O221/10)</f>
        <v>2.9693564994052322E-2</v>
      </c>
      <c r="Q221" s="26"/>
      <c r="R221" s="17"/>
      <c r="S221" s="19"/>
      <c r="T221" s="17"/>
      <c r="U221" s="22"/>
    </row>
    <row r="222" spans="1:21" x14ac:dyDescent="0.25">
      <c r="A222" s="24"/>
      <c r="B222" s="24"/>
      <c r="C222" s="17"/>
      <c r="D222" s="24"/>
      <c r="E222" s="24"/>
      <c r="F222" s="25"/>
      <c r="G222" s="1">
        <v>275</v>
      </c>
      <c r="H222" s="2">
        <v>92.2</v>
      </c>
      <c r="I222" s="2">
        <v>-22</v>
      </c>
      <c r="J222" s="2">
        <v>-24.5</v>
      </c>
      <c r="K222" s="2">
        <f t="shared" si="28"/>
        <v>-22</v>
      </c>
      <c r="L222" s="8">
        <f t="shared" si="29"/>
        <v>3.8018939632056084E-12</v>
      </c>
      <c r="M222" s="26"/>
      <c r="N222" s="17"/>
      <c r="O222" s="9">
        <f t="shared" si="30"/>
        <v>-24.5</v>
      </c>
      <c r="P222" s="8">
        <f>D220/B220*10^(O222/10)</f>
        <v>4.4943029302919532E-2</v>
      </c>
      <c r="Q222" s="26"/>
      <c r="R222" s="17"/>
      <c r="S222" s="19"/>
      <c r="T222" s="17"/>
      <c r="U222" s="22"/>
    </row>
    <row r="223" spans="1:21" x14ac:dyDescent="0.25">
      <c r="A223" s="24"/>
      <c r="B223" s="24"/>
      <c r="C223" s="17"/>
      <c r="D223" s="24"/>
      <c r="E223" s="24"/>
      <c r="F223" s="25"/>
      <c r="G223" s="1">
        <v>325</v>
      </c>
      <c r="H223" s="2">
        <v>93.3</v>
      </c>
      <c r="I223" s="2">
        <v>-20.5</v>
      </c>
      <c r="J223" s="2">
        <v>-25.4</v>
      </c>
      <c r="K223" s="2">
        <f t="shared" si="28"/>
        <v>-20.5</v>
      </c>
      <c r="L223" s="8">
        <f>10^((K223-H223)/10)</f>
        <v>4.1686938347033479E-12</v>
      </c>
      <c r="M223" s="26"/>
      <c r="N223" s="17"/>
      <c r="O223" s="9">
        <f t="shared" si="30"/>
        <v>-25.4</v>
      </c>
      <c r="P223" s="8">
        <f>D220/B220*10^(O223/10)</f>
        <v>3.6531065706270321E-2</v>
      </c>
      <c r="Q223" s="26"/>
      <c r="R223" s="17"/>
      <c r="S223" s="20"/>
      <c r="T223" s="17"/>
      <c r="U223" s="23"/>
    </row>
    <row r="224" spans="1:21" x14ac:dyDescent="0.25">
      <c r="A224" s="24">
        <v>500</v>
      </c>
      <c r="B224" s="24">
        <v>3</v>
      </c>
      <c r="C224" s="17">
        <v>0.5</v>
      </c>
      <c r="D224" s="24">
        <v>59</v>
      </c>
      <c r="E224" s="24">
        <v>6</v>
      </c>
      <c r="F224" s="25">
        <v>84</v>
      </c>
      <c r="G224" s="1">
        <v>375</v>
      </c>
      <c r="H224" s="2">
        <v>91.9</v>
      </c>
      <c r="I224" s="2">
        <v>-22.8</v>
      </c>
      <c r="J224" s="2">
        <v>-23.7</v>
      </c>
      <c r="K224" s="2">
        <f t="shared" si="28"/>
        <v>-22.8</v>
      </c>
      <c r="L224" s="8">
        <f t="shared" ref="L224:L225" si="31">10^((K224-H224)/10)</f>
        <v>3.3884415613920115E-12</v>
      </c>
      <c r="M224" s="26">
        <f>SUM(L224:L229)</f>
        <v>3.9577304204709128E-11</v>
      </c>
      <c r="N224" s="17">
        <f>10*LOG10(M224/E224)</f>
        <v>-111.80705041334176</v>
      </c>
      <c r="O224" s="9">
        <f t="shared" si="30"/>
        <v>-23.7</v>
      </c>
      <c r="P224" s="8">
        <f>D224/B224*10^(O224/10)</f>
        <v>8.3893972030979869E-2</v>
      </c>
      <c r="Q224" s="26">
        <f>SUM(P224:P229)</f>
        <v>0.32751847489860575</v>
      </c>
      <c r="R224" s="17">
        <f>10*LOG10(Q224)</f>
        <v>-4.8476419698451894</v>
      </c>
      <c r="S224" s="18">
        <f>F224+N224-Kzt-H</f>
        <v>-27.807050413341756</v>
      </c>
      <c r="T224" s="17">
        <v>0.5</v>
      </c>
      <c r="U224" s="21">
        <f>T224*10^((S224-R224)/10)</f>
        <v>2.529467827687999E-3</v>
      </c>
    </row>
    <row r="225" spans="1:21" x14ac:dyDescent="0.25">
      <c r="A225" s="24"/>
      <c r="B225" s="24"/>
      <c r="C225" s="17"/>
      <c r="D225" s="24"/>
      <c r="E225" s="24"/>
      <c r="F225" s="25"/>
      <c r="G225" s="1">
        <v>425</v>
      </c>
      <c r="H225" s="2">
        <v>88.1</v>
      </c>
      <c r="I225" s="2">
        <v>-18.899999999999999</v>
      </c>
      <c r="J225" s="2">
        <v>-28.5</v>
      </c>
      <c r="K225" s="2">
        <f t="shared" si="28"/>
        <v>-18.899999999999999</v>
      </c>
      <c r="L225" s="8">
        <f t="shared" si="31"/>
        <v>1.995262314968878E-11</v>
      </c>
      <c r="M225" s="26"/>
      <c r="N225" s="17"/>
      <c r="O225" s="9">
        <f t="shared" si="30"/>
        <v>-28.5</v>
      </c>
      <c r="P225" s="8">
        <f>D224/B224*10^(O225/10)</f>
        <v>2.7779905044247471E-2</v>
      </c>
      <c r="Q225" s="26"/>
      <c r="R225" s="17"/>
      <c r="S225" s="19"/>
      <c r="T225" s="17"/>
      <c r="U225" s="22"/>
    </row>
    <row r="226" spans="1:21" x14ac:dyDescent="0.25">
      <c r="A226" s="24"/>
      <c r="B226" s="24"/>
      <c r="C226" s="17"/>
      <c r="D226" s="24"/>
      <c r="E226" s="24"/>
      <c r="F226" s="25"/>
      <c r="G226" s="1">
        <v>475</v>
      </c>
      <c r="H226" s="2">
        <v>90</v>
      </c>
      <c r="I226" s="2">
        <v>-22.4</v>
      </c>
      <c r="J226" s="2">
        <v>-26.7</v>
      </c>
      <c r="K226" s="2">
        <f t="shared" si="28"/>
        <v>-22.4</v>
      </c>
      <c r="L226" s="8">
        <f>10^((K226-H226)/10)</f>
        <v>5.7543993733715538E-12</v>
      </c>
      <c r="M226" s="26"/>
      <c r="N226" s="17"/>
      <c r="O226" s="9">
        <f t="shared" si="30"/>
        <v>-26.7</v>
      </c>
      <c r="P226" s="8">
        <f>D224/B224*10^(O226/10)</f>
        <v>4.2046587760210558E-2</v>
      </c>
      <c r="Q226" s="26"/>
      <c r="R226" s="17"/>
      <c r="S226" s="19"/>
      <c r="T226" s="17"/>
      <c r="U226" s="22"/>
    </row>
    <row r="227" spans="1:21" x14ac:dyDescent="0.25">
      <c r="A227" s="24"/>
      <c r="B227" s="24"/>
      <c r="C227" s="17"/>
      <c r="D227" s="24"/>
      <c r="E227" s="24"/>
      <c r="F227" s="25"/>
      <c r="G227" s="1">
        <v>575</v>
      </c>
      <c r="H227" s="2">
        <v>97</v>
      </c>
      <c r="I227" s="2">
        <v>-16.7</v>
      </c>
      <c r="J227" s="2">
        <v>-26.3</v>
      </c>
      <c r="K227" s="2">
        <f t="shared" si="28"/>
        <v>-16.7</v>
      </c>
      <c r="L227" s="8">
        <f t="shared" ref="L227:L253" si="32">10^((K227-H227)/10)</f>
        <v>4.2657951880159045E-12</v>
      </c>
      <c r="M227" s="26"/>
      <c r="N227" s="17"/>
      <c r="O227" s="9">
        <f t="shared" si="30"/>
        <v>-26.3</v>
      </c>
      <c r="P227" s="8">
        <f>D224/B224*10^(O227/10)</f>
        <v>4.6103166701291769E-2</v>
      </c>
      <c r="Q227" s="26"/>
      <c r="R227" s="17"/>
      <c r="S227" s="19"/>
      <c r="T227" s="17"/>
      <c r="U227" s="22"/>
    </row>
    <row r="228" spans="1:21" x14ac:dyDescent="0.25">
      <c r="A228" s="24"/>
      <c r="B228" s="24"/>
      <c r="C228" s="17"/>
      <c r="D228" s="24"/>
      <c r="E228" s="24"/>
      <c r="F228" s="25"/>
      <c r="G228" s="1">
        <v>625</v>
      </c>
      <c r="H228" s="2">
        <v>92</v>
      </c>
      <c r="I228" s="2">
        <v>-21.1</v>
      </c>
      <c r="J228" s="2">
        <v>-24</v>
      </c>
      <c r="K228" s="2">
        <f t="shared" si="28"/>
        <v>-21.1</v>
      </c>
      <c r="L228" s="8">
        <f t="shared" si="32"/>
        <v>4.8977881936844688E-12</v>
      </c>
      <c r="M228" s="26"/>
      <c r="N228" s="17"/>
      <c r="O228" s="9">
        <f t="shared" si="30"/>
        <v>-24</v>
      </c>
      <c r="P228" s="8">
        <f>D224/B224*10^(O228/10)</f>
        <v>7.8294410208854442E-2</v>
      </c>
      <c r="Q228" s="26"/>
      <c r="R228" s="17"/>
      <c r="S228" s="19"/>
      <c r="T228" s="17"/>
      <c r="U228" s="22"/>
    </row>
    <row r="229" spans="1:21" x14ac:dyDescent="0.25">
      <c r="A229" s="24"/>
      <c r="B229" s="24"/>
      <c r="C229" s="17"/>
      <c r="D229" s="24"/>
      <c r="E229" s="24"/>
      <c r="F229" s="25"/>
      <c r="G229" s="1">
        <v>675</v>
      </c>
      <c r="H229" s="2">
        <v>94.5</v>
      </c>
      <c r="I229" s="2">
        <v>-24.3</v>
      </c>
      <c r="J229" s="2">
        <v>-26</v>
      </c>
      <c r="K229" s="2">
        <f t="shared" si="28"/>
        <v>-24.3</v>
      </c>
      <c r="L229" s="8">
        <f t="shared" si="32"/>
        <v>1.3182567385564068E-12</v>
      </c>
      <c r="M229" s="26"/>
      <c r="N229" s="17"/>
      <c r="O229" s="9">
        <f t="shared" si="30"/>
        <v>-26</v>
      </c>
      <c r="P229" s="8">
        <f>D224/B224*10^(O229/10)</f>
        <v>4.94004331530217E-2</v>
      </c>
      <c r="Q229" s="26"/>
      <c r="R229" s="17"/>
      <c r="S229" s="20"/>
      <c r="T229" s="17"/>
      <c r="U229" s="23"/>
    </row>
    <row r="230" spans="1:21" x14ac:dyDescent="0.25">
      <c r="A230" s="24">
        <v>1000</v>
      </c>
      <c r="B230" s="24">
        <v>3</v>
      </c>
      <c r="C230" s="17">
        <v>0.5</v>
      </c>
      <c r="D230" s="24">
        <v>117</v>
      </c>
      <c r="E230" s="24">
        <v>6</v>
      </c>
      <c r="F230" s="25">
        <v>76</v>
      </c>
      <c r="G230" s="1">
        <v>875</v>
      </c>
      <c r="H230" s="2">
        <v>91.1</v>
      </c>
      <c r="I230" s="2">
        <v>-25.1</v>
      </c>
      <c r="J230" s="2">
        <v>-29.4</v>
      </c>
      <c r="K230" s="2">
        <f t="shared" si="28"/>
        <v>-25.1</v>
      </c>
      <c r="L230" s="8">
        <f t="shared" si="32"/>
        <v>2.3988329190194925E-12</v>
      </c>
      <c r="M230" s="26">
        <f>SUM(L230:L235)</f>
        <v>6.1070427626242182E-12</v>
      </c>
      <c r="N230" s="17">
        <f>10*LOG10(M230/E230)</f>
        <v>-119.92320289368178</v>
      </c>
      <c r="O230" s="9">
        <f t="shared" si="30"/>
        <v>-29.4</v>
      </c>
      <c r="P230" s="8">
        <f>D230/B230*10^(O230/10)</f>
        <v>4.4777991238378417E-2</v>
      </c>
      <c r="Q230" s="26">
        <f>SUM(P230:P235)</f>
        <v>0.42262484030993847</v>
      </c>
      <c r="R230" s="17">
        <f>10*LOG10(Q230)</f>
        <v>-3.7404498032561415</v>
      </c>
      <c r="S230" s="18">
        <f>F230+N230-Kzt-H</f>
        <v>-43.923202893681776</v>
      </c>
      <c r="T230" s="17">
        <v>0.8</v>
      </c>
      <c r="U230" s="21">
        <f>T230*10^((S230-R230)/10)</f>
        <v>7.6703411088174041E-5</v>
      </c>
    </row>
    <row r="231" spans="1:21" x14ac:dyDescent="0.25">
      <c r="A231" s="24"/>
      <c r="B231" s="24"/>
      <c r="C231" s="17"/>
      <c r="D231" s="24"/>
      <c r="E231" s="24"/>
      <c r="F231" s="25"/>
      <c r="G231" s="1">
        <v>975</v>
      </c>
      <c r="H231" s="2">
        <v>96.5</v>
      </c>
      <c r="I231" s="2">
        <v>-27.1</v>
      </c>
      <c r="J231" s="2">
        <v>-27.5</v>
      </c>
      <c r="K231" s="2">
        <f t="shared" si="28"/>
        <v>-27.1</v>
      </c>
      <c r="L231" s="8">
        <f t="shared" si="32"/>
        <v>4.3651583224016479E-13</v>
      </c>
      <c r="M231" s="26"/>
      <c r="N231" s="17"/>
      <c r="O231" s="9">
        <f t="shared" si="30"/>
        <v>-27.5</v>
      </c>
      <c r="P231" s="8">
        <f>D230/B230*10^(O231/10)</f>
        <v>6.9352896991517976E-2</v>
      </c>
      <c r="Q231" s="26"/>
      <c r="R231" s="17"/>
      <c r="S231" s="19"/>
      <c r="T231" s="17"/>
      <c r="U231" s="22"/>
    </row>
    <row r="232" spans="1:21" x14ac:dyDescent="0.25">
      <c r="A232" s="24"/>
      <c r="B232" s="24"/>
      <c r="C232" s="17"/>
      <c r="D232" s="24"/>
      <c r="E232" s="24"/>
      <c r="F232" s="25"/>
      <c r="G232" s="1">
        <v>1075</v>
      </c>
      <c r="H232" s="2">
        <v>94.6</v>
      </c>
      <c r="I232" s="2">
        <v>-24.8</v>
      </c>
      <c r="J232" s="2">
        <v>-27.2</v>
      </c>
      <c r="K232" s="2">
        <f t="shared" si="28"/>
        <v>-24.8</v>
      </c>
      <c r="L232" s="8">
        <f t="shared" si="32"/>
        <v>1.1481536214968792E-12</v>
      </c>
      <c r="M232" s="26"/>
      <c r="N232" s="17"/>
      <c r="O232" s="9">
        <f t="shared" si="30"/>
        <v>-27.2</v>
      </c>
      <c r="P232" s="8">
        <f>D230/B230*10^(O232/10)</f>
        <v>7.4312968000566651E-2</v>
      </c>
      <c r="Q232" s="26"/>
      <c r="R232" s="17"/>
      <c r="S232" s="19"/>
      <c r="T232" s="17"/>
      <c r="U232" s="22"/>
    </row>
    <row r="233" spans="1:21" x14ac:dyDescent="0.25">
      <c r="A233" s="24"/>
      <c r="B233" s="24"/>
      <c r="C233" s="17"/>
      <c r="D233" s="24"/>
      <c r="E233" s="24"/>
      <c r="F233" s="25"/>
      <c r="G233" s="1">
        <v>1175</v>
      </c>
      <c r="H233" s="2">
        <v>97.8</v>
      </c>
      <c r="I233" s="2">
        <v>-24.6</v>
      </c>
      <c r="J233" s="2">
        <v>-29.7</v>
      </c>
      <c r="K233" s="2">
        <f t="shared" si="28"/>
        <v>-24.6</v>
      </c>
      <c r="L233" s="8">
        <f t="shared" si="32"/>
        <v>5.7543993733715476E-13</v>
      </c>
      <c r="M233" s="26"/>
      <c r="N233" s="17"/>
      <c r="O233" s="9">
        <f t="shared" si="30"/>
        <v>-29.7</v>
      </c>
      <c r="P233" s="8">
        <f>D230/B230*10^(O233/10)</f>
        <v>4.1789252904266647E-2</v>
      </c>
      <c r="Q233" s="26"/>
      <c r="R233" s="17"/>
      <c r="S233" s="19"/>
      <c r="T233" s="17"/>
      <c r="U233" s="22"/>
    </row>
    <row r="234" spans="1:21" x14ac:dyDescent="0.25">
      <c r="A234" s="24"/>
      <c r="B234" s="24"/>
      <c r="C234" s="17"/>
      <c r="D234" s="24"/>
      <c r="E234" s="24"/>
      <c r="F234" s="25"/>
      <c r="G234" s="1">
        <v>1275</v>
      </c>
      <c r="H234" s="2">
        <v>100.1</v>
      </c>
      <c r="I234" s="2">
        <v>-19.8</v>
      </c>
      <c r="J234" s="2">
        <v>-24.8</v>
      </c>
      <c r="K234" s="2">
        <f t="shared" si="28"/>
        <v>-19.8</v>
      </c>
      <c r="L234" s="8">
        <f t="shared" si="32"/>
        <v>1.0232929922807551E-12</v>
      </c>
      <c r="M234" s="26"/>
      <c r="N234" s="17"/>
      <c r="O234" s="9">
        <f t="shared" si="30"/>
        <v>-24.8</v>
      </c>
      <c r="P234" s="8">
        <f>D230/B230*10^(O234/10)</f>
        <v>0.12914113737821051</v>
      </c>
      <c r="Q234" s="26"/>
      <c r="R234" s="17"/>
      <c r="S234" s="19"/>
      <c r="T234" s="17"/>
      <c r="U234" s="22"/>
    </row>
    <row r="235" spans="1:21" x14ac:dyDescent="0.25">
      <c r="A235" s="24"/>
      <c r="B235" s="24"/>
      <c r="C235" s="17"/>
      <c r="D235" s="24"/>
      <c r="E235" s="24"/>
      <c r="F235" s="25"/>
      <c r="G235" s="1">
        <v>1375</v>
      </c>
      <c r="H235" s="2">
        <v>103</v>
      </c>
      <c r="I235" s="2">
        <v>-19.8</v>
      </c>
      <c r="J235" s="2">
        <v>-27.9</v>
      </c>
      <c r="K235" s="2">
        <f t="shared" si="28"/>
        <v>-19.8</v>
      </c>
      <c r="L235" s="8">
        <f t="shared" si="32"/>
        <v>5.2480746024977259E-13</v>
      </c>
      <c r="M235" s="26"/>
      <c r="N235" s="17"/>
      <c r="O235" s="9">
        <f t="shared" si="30"/>
        <v>-27.9</v>
      </c>
      <c r="P235" s="8">
        <f>D230/B230*10^(O235/10)</f>
        <v>6.3250593796998211E-2</v>
      </c>
      <c r="Q235" s="26"/>
      <c r="R235" s="17"/>
      <c r="S235" s="20"/>
      <c r="T235" s="17"/>
      <c r="U235" s="23"/>
    </row>
    <row r="236" spans="1:21" x14ac:dyDescent="0.25">
      <c r="A236" s="24">
        <v>2000</v>
      </c>
      <c r="B236" s="24">
        <v>3</v>
      </c>
      <c r="C236" s="17">
        <v>0.5</v>
      </c>
      <c r="D236" s="24">
        <v>234</v>
      </c>
      <c r="E236" s="24">
        <v>6</v>
      </c>
      <c r="F236" s="25">
        <v>68</v>
      </c>
      <c r="G236" s="1">
        <v>1425</v>
      </c>
      <c r="H236" s="2">
        <v>102.8</v>
      </c>
      <c r="I236" s="2">
        <v>-25.1</v>
      </c>
      <c r="J236" s="2">
        <v>-26.7</v>
      </c>
      <c r="K236" s="2">
        <f t="shared" si="28"/>
        <v>-25.1</v>
      </c>
      <c r="L236" s="8">
        <f t="shared" si="32"/>
        <v>1.6218100973589207E-13</v>
      </c>
      <c r="M236" s="26">
        <f>SUM(L236:L241)</f>
        <v>3.076607927516061E-12</v>
      </c>
      <c r="N236" s="17">
        <f>10*LOG10(M236/E236)</f>
        <v>-122.90079095626419</v>
      </c>
      <c r="O236" s="9">
        <f t="shared" si="30"/>
        <v>-26.7</v>
      </c>
      <c r="P236" s="8">
        <f>D236/B236*10^(O236/10)</f>
        <v>0.16676104298117408</v>
      </c>
      <c r="Q236" s="26">
        <f>SUM(P236:P241)</f>
        <v>0.72505097196564272</v>
      </c>
      <c r="R236" s="17">
        <f>10*LOG10(Q236)</f>
        <v>-1.396314609251875</v>
      </c>
      <c r="S236" s="18">
        <f>F236+N236-Kzt-H</f>
        <v>-54.900790956264188</v>
      </c>
      <c r="T236" s="17">
        <v>1</v>
      </c>
      <c r="U236" s="21">
        <f>T236*10^((S236-R236)/10)</f>
        <v>4.4622342497510907E-6</v>
      </c>
    </row>
    <row r="237" spans="1:21" x14ac:dyDescent="0.25">
      <c r="A237" s="24"/>
      <c r="B237" s="24"/>
      <c r="C237" s="17"/>
      <c r="D237" s="24"/>
      <c r="E237" s="24"/>
      <c r="F237" s="25"/>
      <c r="G237" s="1">
        <v>1625</v>
      </c>
      <c r="H237" s="2">
        <v>104.1</v>
      </c>
      <c r="I237" s="2">
        <v>-23</v>
      </c>
      <c r="J237" s="2">
        <v>-27.4</v>
      </c>
      <c r="K237" s="2">
        <f t="shared" si="28"/>
        <v>-23</v>
      </c>
      <c r="L237" s="8">
        <f t="shared" si="32"/>
        <v>1.9498445997580464E-13</v>
      </c>
      <c r="M237" s="26"/>
      <c r="N237" s="17"/>
      <c r="O237" s="9">
        <f t="shared" si="30"/>
        <v>-27.4</v>
      </c>
      <c r="P237" s="8">
        <f>D236/B236*10^(O237/10)</f>
        <v>0.14193666697157864</v>
      </c>
      <c r="Q237" s="26"/>
      <c r="R237" s="17"/>
      <c r="S237" s="19"/>
      <c r="T237" s="17"/>
      <c r="U237" s="22"/>
    </row>
    <row r="238" spans="1:21" x14ac:dyDescent="0.25">
      <c r="A238" s="24"/>
      <c r="B238" s="24"/>
      <c r="C238" s="17"/>
      <c r="D238" s="24"/>
      <c r="E238" s="24"/>
      <c r="F238" s="25"/>
      <c r="G238" s="1">
        <v>1825</v>
      </c>
      <c r="H238" s="2">
        <v>107.6</v>
      </c>
      <c r="I238" s="2">
        <v>-23.8</v>
      </c>
      <c r="J238" s="2">
        <v>-27.4</v>
      </c>
      <c r="K238" s="2">
        <f t="shared" si="28"/>
        <v>-23.8</v>
      </c>
      <c r="L238" s="8">
        <f t="shared" si="32"/>
        <v>7.2443596007498585E-14</v>
      </c>
      <c r="M238" s="26"/>
      <c r="N238" s="17"/>
      <c r="O238" s="9">
        <f t="shared" si="30"/>
        <v>-27.4</v>
      </c>
      <c r="P238" s="8">
        <f>D236/B236*10^(O238/10)</f>
        <v>0.14193666697157864</v>
      </c>
      <c r="Q238" s="26"/>
      <c r="R238" s="17"/>
      <c r="S238" s="19"/>
      <c r="T238" s="17"/>
      <c r="U238" s="22"/>
    </row>
    <row r="239" spans="1:21" x14ac:dyDescent="0.25">
      <c r="A239" s="24"/>
      <c r="B239" s="24"/>
      <c r="C239" s="17"/>
      <c r="D239" s="24"/>
      <c r="E239" s="24"/>
      <c r="F239" s="25"/>
      <c r="G239" s="1">
        <v>2125</v>
      </c>
      <c r="H239" s="2">
        <v>104.2</v>
      </c>
      <c r="I239" s="2">
        <v>-21.5</v>
      </c>
      <c r="J239" s="2">
        <v>-28.5</v>
      </c>
      <c r="K239" s="2">
        <f t="shared" si="28"/>
        <v>-21.5</v>
      </c>
      <c r="L239" s="8">
        <f t="shared" si="32"/>
        <v>2.6915348039269041E-13</v>
      </c>
      <c r="M239" s="26"/>
      <c r="N239" s="17"/>
      <c r="O239" s="9">
        <f t="shared" si="30"/>
        <v>-28.5</v>
      </c>
      <c r="P239" s="8">
        <f>D236/B236*10^(O239/10)</f>
        <v>0.11017792848057471</v>
      </c>
      <c r="Q239" s="26"/>
      <c r="R239" s="17"/>
      <c r="S239" s="19"/>
      <c r="T239" s="17"/>
      <c r="U239" s="22"/>
    </row>
    <row r="240" spans="1:21" x14ac:dyDescent="0.25">
      <c r="A240" s="24"/>
      <c r="B240" s="24"/>
      <c r="C240" s="17"/>
      <c r="D240" s="24"/>
      <c r="E240" s="24"/>
      <c r="F240" s="25"/>
      <c r="G240" s="1">
        <v>2425</v>
      </c>
      <c r="H240" s="2">
        <v>93.7</v>
      </c>
      <c r="I240" s="2">
        <v>-23</v>
      </c>
      <c r="J240" s="2">
        <v>-33.9</v>
      </c>
      <c r="K240" s="2">
        <f t="shared" si="28"/>
        <v>-23</v>
      </c>
      <c r="L240" s="8">
        <f t="shared" si="32"/>
        <v>2.1379620895022273E-12</v>
      </c>
      <c r="M240" s="26"/>
      <c r="N240" s="17"/>
      <c r="O240" s="9">
        <f t="shared" si="30"/>
        <v>-33.9</v>
      </c>
      <c r="P240" s="8">
        <f>D236/B236*10^(O240/10)</f>
        <v>3.1775661668720812E-2</v>
      </c>
      <c r="Q240" s="26"/>
      <c r="R240" s="17"/>
      <c r="S240" s="19"/>
      <c r="T240" s="17"/>
      <c r="U240" s="22"/>
    </row>
    <row r="241" spans="1:21" x14ac:dyDescent="0.25">
      <c r="A241" s="24"/>
      <c r="B241" s="24"/>
      <c r="C241" s="17"/>
      <c r="D241" s="24"/>
      <c r="E241" s="24"/>
      <c r="F241" s="25"/>
      <c r="G241" s="1">
        <v>2775</v>
      </c>
      <c r="H241" s="2">
        <v>100.2</v>
      </c>
      <c r="I241" s="2">
        <v>-26</v>
      </c>
      <c r="J241" s="2">
        <v>-27.7</v>
      </c>
      <c r="K241" s="2">
        <f t="shared" si="28"/>
        <v>-26</v>
      </c>
      <c r="L241" s="8">
        <f t="shared" si="32"/>
        <v>2.3988329190194817E-13</v>
      </c>
      <c r="M241" s="26"/>
      <c r="N241" s="17"/>
      <c r="O241" s="9">
        <f t="shared" si="30"/>
        <v>-27.7</v>
      </c>
      <c r="P241" s="8">
        <f>D236/B236*10^(O241/10)</f>
        <v>0.13246300489201593</v>
      </c>
      <c r="Q241" s="26"/>
      <c r="R241" s="17"/>
      <c r="S241" s="20"/>
      <c r="T241" s="17"/>
      <c r="U241" s="23"/>
    </row>
    <row r="242" spans="1:21" x14ac:dyDescent="0.25">
      <c r="A242" s="24">
        <v>4000</v>
      </c>
      <c r="B242" s="24">
        <v>3</v>
      </c>
      <c r="C242" s="17">
        <v>0.5</v>
      </c>
      <c r="D242" s="24">
        <v>470</v>
      </c>
      <c r="E242" s="24">
        <v>6</v>
      </c>
      <c r="F242" s="25">
        <v>62</v>
      </c>
      <c r="G242" s="1">
        <v>2825</v>
      </c>
      <c r="H242" s="2">
        <v>99.4</v>
      </c>
      <c r="I242" s="2">
        <v>-22.2</v>
      </c>
      <c r="J242" s="2">
        <v>-27.4</v>
      </c>
      <c r="K242" s="2">
        <f t="shared" si="28"/>
        <v>-22.2</v>
      </c>
      <c r="L242" s="8">
        <f t="shared" si="32"/>
        <v>6.9183097091893335E-13</v>
      </c>
      <c r="M242" s="26">
        <f>SUM(L242:L247)</f>
        <v>1.6959508907504278E-12</v>
      </c>
      <c r="N242" s="17">
        <f>10*LOG10(M242/E242)</f>
        <v>-125.48737978043661</v>
      </c>
      <c r="O242" s="9">
        <f t="shared" si="30"/>
        <v>-27.4</v>
      </c>
      <c r="P242" s="8">
        <f>D242/B242*10^(O242/10)</f>
        <v>0.28508646784889724</v>
      </c>
      <c r="Q242" s="26">
        <f>SUM(P242:P247)</f>
        <v>1.3228328666419222</v>
      </c>
      <c r="R242" s="17">
        <f>10*LOG10(Q242)</f>
        <v>1.2150497670424696</v>
      </c>
      <c r="S242" s="18">
        <f>F242+N242-Kzt-H</f>
        <v>-63.487379780436612</v>
      </c>
      <c r="T242" s="17">
        <v>0.9</v>
      </c>
      <c r="U242" s="21">
        <f>T242*10^((S242-R242)/10)</f>
        <v>3.0478918644372131E-7</v>
      </c>
    </row>
    <row r="243" spans="1:21" x14ac:dyDescent="0.25">
      <c r="A243" s="24"/>
      <c r="B243" s="24"/>
      <c r="C243" s="17"/>
      <c r="D243" s="24"/>
      <c r="E243" s="24"/>
      <c r="F243" s="25"/>
      <c r="G243" s="1">
        <v>3425</v>
      </c>
      <c r="H243" s="2">
        <v>103.5</v>
      </c>
      <c r="I243" s="2">
        <v>-26.6</v>
      </c>
      <c r="J243" s="2">
        <v>-27.3</v>
      </c>
      <c r="K243" s="2">
        <f t="shared" si="28"/>
        <v>-26.6</v>
      </c>
      <c r="L243" s="8">
        <f t="shared" si="32"/>
        <v>9.772372209558072E-14</v>
      </c>
      <c r="M243" s="26"/>
      <c r="N243" s="17"/>
      <c r="O243" s="9">
        <f t="shared" si="30"/>
        <v>-27.3</v>
      </c>
      <c r="P243" s="8">
        <f>D242/B242*10^(O243/10)</f>
        <v>0.29172698474384906</v>
      </c>
      <c r="Q243" s="26"/>
      <c r="R243" s="17"/>
      <c r="S243" s="19"/>
      <c r="T243" s="17"/>
      <c r="U243" s="22"/>
    </row>
    <row r="244" spans="1:21" x14ac:dyDescent="0.25">
      <c r="A244" s="24"/>
      <c r="B244" s="24"/>
      <c r="C244" s="17"/>
      <c r="D244" s="24"/>
      <c r="E244" s="24"/>
      <c r="F244" s="25"/>
      <c r="G244" s="1">
        <v>4025</v>
      </c>
      <c r="H244" s="2">
        <v>103.6</v>
      </c>
      <c r="I244" s="2">
        <v>-25.8</v>
      </c>
      <c r="J244" s="2">
        <v>-30.4</v>
      </c>
      <c r="K244" s="2">
        <f t="shared" si="28"/>
        <v>-25.8</v>
      </c>
      <c r="L244" s="8">
        <f t="shared" si="32"/>
        <v>1.1481536214968778E-13</v>
      </c>
      <c r="M244" s="26"/>
      <c r="N244" s="17"/>
      <c r="O244" s="9">
        <f t="shared" si="30"/>
        <v>-30.4</v>
      </c>
      <c r="P244" s="8">
        <f>D242/B242*10^(O244/10)</f>
        <v>0.14288169816575902</v>
      </c>
      <c r="Q244" s="26"/>
      <c r="R244" s="17"/>
      <c r="S244" s="19"/>
      <c r="T244" s="17"/>
      <c r="U244" s="22"/>
    </row>
    <row r="245" spans="1:21" x14ac:dyDescent="0.25">
      <c r="A245" s="24"/>
      <c r="B245" s="24"/>
      <c r="C245" s="17"/>
      <c r="D245" s="24"/>
      <c r="E245" s="24"/>
      <c r="F245" s="25"/>
      <c r="G245" s="1">
        <v>4625</v>
      </c>
      <c r="H245" s="2">
        <v>105.6</v>
      </c>
      <c r="I245" s="2">
        <v>-24.8</v>
      </c>
      <c r="J245" s="2">
        <v>-27.3</v>
      </c>
      <c r="K245" s="2">
        <f t="shared" si="28"/>
        <v>-24.8</v>
      </c>
      <c r="L245" s="8">
        <f t="shared" si="32"/>
        <v>9.1201083935590668E-14</v>
      </c>
      <c r="M245" s="26"/>
      <c r="N245" s="17"/>
      <c r="O245" s="9">
        <f t="shared" si="30"/>
        <v>-27.3</v>
      </c>
      <c r="P245" s="8">
        <f>D242/B242*10^(O245/10)</f>
        <v>0.29172698474384906</v>
      </c>
      <c r="Q245" s="26"/>
      <c r="R245" s="17"/>
      <c r="S245" s="19"/>
      <c r="T245" s="17"/>
      <c r="U245" s="22"/>
    </row>
    <row r="246" spans="1:21" x14ac:dyDescent="0.25">
      <c r="A246" s="24"/>
      <c r="B246" s="24"/>
      <c r="C246" s="17"/>
      <c r="D246" s="24"/>
      <c r="E246" s="24"/>
      <c r="F246" s="25"/>
      <c r="G246" s="1">
        <v>5225</v>
      </c>
      <c r="H246" s="2">
        <v>103.5</v>
      </c>
      <c r="I246" s="2">
        <v>-25.1</v>
      </c>
      <c r="J246" s="2">
        <v>-30.9</v>
      </c>
      <c r="K246" s="2">
        <f t="shared" si="28"/>
        <v>-25.1</v>
      </c>
      <c r="L246" s="8">
        <f t="shared" si="32"/>
        <v>1.3803842646028828E-13</v>
      </c>
      <c r="M246" s="26"/>
      <c r="N246" s="17"/>
      <c r="O246" s="9">
        <f t="shared" si="30"/>
        <v>-30.9</v>
      </c>
      <c r="P246" s="8">
        <f>D242/B242*10^(O246/10)</f>
        <v>0.12734344753237545</v>
      </c>
      <c r="Q246" s="26"/>
      <c r="R246" s="17"/>
      <c r="S246" s="19"/>
      <c r="T246" s="17"/>
      <c r="U246" s="22"/>
    </row>
    <row r="247" spans="1:21" x14ac:dyDescent="0.25">
      <c r="A247" s="24"/>
      <c r="B247" s="24"/>
      <c r="C247" s="17"/>
      <c r="D247" s="24"/>
      <c r="E247" s="24"/>
      <c r="F247" s="25"/>
      <c r="G247" s="1">
        <v>5625</v>
      </c>
      <c r="H247" s="2">
        <v>99.5</v>
      </c>
      <c r="I247" s="2">
        <v>-23</v>
      </c>
      <c r="J247" s="2">
        <v>-29.3</v>
      </c>
      <c r="K247" s="2">
        <f t="shared" si="28"/>
        <v>-23</v>
      </c>
      <c r="L247" s="8">
        <f t="shared" si="32"/>
        <v>5.6234132519034702E-13</v>
      </c>
      <c r="M247" s="26"/>
      <c r="N247" s="17"/>
      <c r="O247" s="9">
        <f t="shared" si="30"/>
        <v>-29.3</v>
      </c>
      <c r="P247" s="8">
        <f>D242/B242*10^(O247/10)</f>
        <v>0.18406728360719271</v>
      </c>
      <c r="Q247" s="26"/>
      <c r="R247" s="17"/>
      <c r="S247" s="20"/>
      <c r="T247" s="17"/>
      <c r="U247" s="23"/>
    </row>
    <row r="248" spans="1:21" x14ac:dyDescent="0.25">
      <c r="A248" s="24">
        <v>8000</v>
      </c>
      <c r="B248" s="24">
        <v>3</v>
      </c>
      <c r="C248" s="17">
        <v>0.5</v>
      </c>
      <c r="D248" s="24">
        <v>943</v>
      </c>
      <c r="E248" s="24">
        <v>6</v>
      </c>
      <c r="F248" s="25">
        <v>54</v>
      </c>
      <c r="G248" s="1">
        <v>6025</v>
      </c>
      <c r="H248" s="2">
        <v>95</v>
      </c>
      <c r="I248" s="2">
        <v>-24.2</v>
      </c>
      <c r="J248" s="2">
        <v>-29.7</v>
      </c>
      <c r="K248" s="2">
        <f t="shared" si="28"/>
        <v>-24.2</v>
      </c>
      <c r="L248" s="8">
        <f t="shared" si="32"/>
        <v>1.2022644346174088E-12</v>
      </c>
      <c r="M248" s="26">
        <f>SUM(L248:L253)</f>
        <v>2.1941572788550926E-11</v>
      </c>
      <c r="N248" s="17">
        <f>10*LOG10(M248/E248)</f>
        <v>-114.36883495471872</v>
      </c>
      <c r="O248" s="9">
        <f t="shared" si="30"/>
        <v>-29.7</v>
      </c>
      <c r="P248" s="8">
        <f>D248/B248*10^(O248/10)</f>
        <v>0.33681423494635426</v>
      </c>
      <c r="Q248" s="26">
        <f>SUM(P248:P253)</f>
        <v>3.3744483454057415</v>
      </c>
      <c r="R248" s="17">
        <f>10*LOG10(Q248)</f>
        <v>5.2820278453639427</v>
      </c>
      <c r="S248" s="18">
        <f>F248+N248-Kzt-H</f>
        <v>-60.368834954718722</v>
      </c>
      <c r="T248" s="17">
        <v>0.7</v>
      </c>
      <c r="U248" s="21">
        <f>T248*10^((S248-R248)/10)</f>
        <v>1.905512315516942E-7</v>
      </c>
    </row>
    <row r="249" spans="1:21" x14ac:dyDescent="0.25">
      <c r="A249" s="24"/>
      <c r="B249" s="24"/>
      <c r="C249" s="17"/>
      <c r="D249" s="24"/>
      <c r="E249" s="24"/>
      <c r="F249" s="25"/>
      <c r="G249" s="1">
        <v>7025</v>
      </c>
      <c r="H249" s="2">
        <v>94.8</v>
      </c>
      <c r="I249" s="2">
        <v>-22.5</v>
      </c>
      <c r="J249" s="2">
        <v>-26.2</v>
      </c>
      <c r="K249" s="2">
        <f t="shared" si="28"/>
        <v>-22.5</v>
      </c>
      <c r="L249" s="8">
        <f t="shared" si="32"/>
        <v>1.8620871366628578E-12</v>
      </c>
      <c r="M249" s="26"/>
      <c r="N249" s="17"/>
      <c r="O249" s="9">
        <f t="shared" si="30"/>
        <v>-26.2</v>
      </c>
      <c r="P249" s="8">
        <f>D248/B248*10^(O249/10)</f>
        <v>0.75403314754512585</v>
      </c>
      <c r="Q249" s="26"/>
      <c r="R249" s="17"/>
      <c r="S249" s="19"/>
      <c r="T249" s="17"/>
      <c r="U249" s="22"/>
    </row>
    <row r="250" spans="1:21" x14ac:dyDescent="0.25">
      <c r="A250" s="24"/>
      <c r="B250" s="24"/>
      <c r="C250" s="17"/>
      <c r="D250" s="24"/>
      <c r="E250" s="24"/>
      <c r="F250" s="25"/>
      <c r="G250" s="1">
        <v>8025</v>
      </c>
      <c r="H250" s="2">
        <v>101.9</v>
      </c>
      <c r="I250" s="2">
        <v>-22.2</v>
      </c>
      <c r="J250" s="2">
        <v>-27.3</v>
      </c>
      <c r="K250" s="2">
        <f t="shared" si="28"/>
        <v>-22.2</v>
      </c>
      <c r="L250" s="8">
        <f t="shared" si="32"/>
        <v>3.8904514499427974E-13</v>
      </c>
      <c r="M250" s="26"/>
      <c r="N250" s="17"/>
      <c r="O250" s="9">
        <f t="shared" si="30"/>
        <v>-27.3</v>
      </c>
      <c r="P250" s="8">
        <f>D248/B248*10^(O250/10)</f>
        <v>0.58531605662436104</v>
      </c>
      <c r="Q250" s="26"/>
      <c r="R250" s="17"/>
      <c r="S250" s="19"/>
      <c r="T250" s="17"/>
      <c r="U250" s="22"/>
    </row>
    <row r="251" spans="1:21" x14ac:dyDescent="0.25">
      <c r="A251" s="24"/>
      <c r="B251" s="24"/>
      <c r="C251" s="17"/>
      <c r="D251" s="24"/>
      <c r="E251" s="24"/>
      <c r="F251" s="25"/>
      <c r="G251" s="1">
        <v>9025</v>
      </c>
      <c r="H251" s="2">
        <v>93.2</v>
      </c>
      <c r="I251" s="2">
        <v>-23.6</v>
      </c>
      <c r="J251" s="2">
        <v>-28.8</v>
      </c>
      <c r="K251" s="2">
        <f t="shared" si="28"/>
        <v>-23.6</v>
      </c>
      <c r="L251" s="8">
        <f t="shared" si="32"/>
        <v>2.0892961308540277E-12</v>
      </c>
      <c r="M251" s="26"/>
      <c r="N251" s="17"/>
      <c r="O251" s="9">
        <f t="shared" si="30"/>
        <v>-28.8</v>
      </c>
      <c r="P251" s="8">
        <f>D248/B248*10^(O251/10)</f>
        <v>0.41437203481956392</v>
      </c>
      <c r="Q251" s="26"/>
      <c r="R251" s="17"/>
      <c r="S251" s="19"/>
      <c r="T251" s="17"/>
      <c r="U251" s="22"/>
    </row>
    <row r="252" spans="1:21" x14ac:dyDescent="0.25">
      <c r="A252" s="24"/>
      <c r="B252" s="24"/>
      <c r="C252" s="17"/>
      <c r="D252" s="24"/>
      <c r="E252" s="24"/>
      <c r="F252" s="25"/>
      <c r="G252" s="1">
        <v>10025</v>
      </c>
      <c r="H252" s="2">
        <v>88.3</v>
      </c>
      <c r="I252" s="2">
        <v>-21.6</v>
      </c>
      <c r="J252" s="2">
        <v>-27</v>
      </c>
      <c r="K252" s="2">
        <f t="shared" si="28"/>
        <v>-21.6</v>
      </c>
      <c r="L252" s="8">
        <f t="shared" si="32"/>
        <v>1.0232929922807526E-11</v>
      </c>
      <c r="M252" s="26"/>
      <c r="N252" s="17"/>
      <c r="O252" s="9">
        <f t="shared" si="30"/>
        <v>-27</v>
      </c>
      <c r="P252" s="8">
        <f>D248/B248*10^(O252/10)</f>
        <v>0.62717745433855066</v>
      </c>
      <c r="Q252" s="26"/>
      <c r="R252" s="17"/>
      <c r="S252" s="19"/>
      <c r="T252" s="17"/>
      <c r="U252" s="22"/>
    </row>
    <row r="253" spans="1:21" x14ac:dyDescent="0.25">
      <c r="A253" s="24"/>
      <c r="B253" s="24"/>
      <c r="C253" s="17"/>
      <c r="D253" s="24"/>
      <c r="E253" s="24"/>
      <c r="F253" s="25"/>
      <c r="G253" s="1">
        <v>11025</v>
      </c>
      <c r="H253" s="2">
        <v>86</v>
      </c>
      <c r="I253" s="2">
        <v>-26.1</v>
      </c>
      <c r="J253" s="2">
        <v>-26.8</v>
      </c>
      <c r="K253" s="2">
        <f t="shared" si="28"/>
        <v>-26.1</v>
      </c>
      <c r="L253" s="8">
        <f t="shared" si="32"/>
        <v>6.1659500186148244E-12</v>
      </c>
      <c r="M253" s="26"/>
      <c r="N253" s="17"/>
      <c r="O253" s="9">
        <f t="shared" si="30"/>
        <v>-26.8</v>
      </c>
      <c r="P253" s="8">
        <f>D248/B248*10^(O253/10)</f>
        <v>0.65673541713178563</v>
      </c>
      <c r="Q253" s="26"/>
      <c r="R253" s="17"/>
      <c r="S253" s="20"/>
      <c r="T253" s="17"/>
      <c r="U253" s="23"/>
    </row>
    <row r="254" spans="1:21" x14ac:dyDescent="0.25">
      <c r="A254" s="24" t="s">
        <v>20</v>
      </c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12">
        <f>U254</f>
        <v>7.3982111026079891E-2</v>
      </c>
      <c r="T254" s="2"/>
      <c r="U254" s="8">
        <f>0.8*SQRT(SUM(U220:U253))</f>
        <v>7.3982111026079891E-2</v>
      </c>
    </row>
    <row r="255" spans="1:21" x14ac:dyDescent="0.25">
      <c r="A255" s="27" t="s">
        <v>59</v>
      </c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9"/>
    </row>
    <row r="256" spans="1:21" x14ac:dyDescent="0.25">
      <c r="A256" s="24">
        <v>250</v>
      </c>
      <c r="B256" s="24">
        <v>3</v>
      </c>
      <c r="C256" s="17">
        <v>0.5</v>
      </c>
      <c r="D256" s="24">
        <v>38</v>
      </c>
      <c r="E256" s="24">
        <v>4</v>
      </c>
      <c r="F256" s="25">
        <v>84</v>
      </c>
      <c r="G256" s="1">
        <v>175</v>
      </c>
      <c r="H256" s="2">
        <v>84.8</v>
      </c>
      <c r="I256" s="2">
        <v>-15.6</v>
      </c>
      <c r="J256" s="2">
        <v>-19.5</v>
      </c>
      <c r="K256" s="2">
        <f>I256</f>
        <v>-15.6</v>
      </c>
      <c r="L256" s="8">
        <f>10^((K256-H256)/10)</f>
        <v>9.1201083935590972E-11</v>
      </c>
      <c r="M256" s="26">
        <f>SUM(L256:L259)</f>
        <v>1.1533040595632922E-10</v>
      </c>
      <c r="N256" s="17">
        <f>10*LOG10(M256/E256)</f>
        <v>-105.40116170605839</v>
      </c>
      <c r="O256" s="9">
        <f>J256</f>
        <v>-19.5</v>
      </c>
      <c r="P256" s="8">
        <f>D256/B256*10^(O256/10)</f>
        <v>0.14212233754491535</v>
      </c>
      <c r="Q256" s="26">
        <f>SUM(P256:P259)</f>
        <v>0.27878492033799102</v>
      </c>
      <c r="R256" s="17">
        <f>10*LOG10(Q256)</f>
        <v>-5.547307212164835</v>
      </c>
      <c r="S256" s="18">
        <f>F256+N256-Kzt-H</f>
        <v>-21.401161706058389</v>
      </c>
      <c r="T256" s="17">
        <v>0.2</v>
      </c>
      <c r="U256" s="21">
        <f>T256*10^((S256-R256)/10)</f>
        <v>5.195705734567244E-3</v>
      </c>
    </row>
    <row r="257" spans="1:21" x14ac:dyDescent="0.25">
      <c r="A257" s="24"/>
      <c r="B257" s="24"/>
      <c r="C257" s="17"/>
      <c r="D257" s="24"/>
      <c r="E257" s="24"/>
      <c r="F257" s="25"/>
      <c r="G257" s="1">
        <v>225</v>
      </c>
      <c r="H257" s="2">
        <v>90</v>
      </c>
      <c r="I257" s="2">
        <v>-18.899999999999999</v>
      </c>
      <c r="J257" s="2">
        <v>-24.4</v>
      </c>
      <c r="K257" s="2">
        <f t="shared" ref="K257:K289" si="33">I257</f>
        <v>-18.899999999999999</v>
      </c>
      <c r="L257" s="8">
        <f t="shared" ref="L257:L258" si="34">10^((K257-H257)/10)</f>
        <v>1.2882495516931307E-11</v>
      </c>
      <c r="M257" s="26"/>
      <c r="N257" s="17"/>
      <c r="O257" s="9">
        <f t="shared" ref="O257:O289" si="35">J257</f>
        <v>-24.4</v>
      </c>
      <c r="P257" s="8">
        <f>D256/B256*10^(O257/10)</f>
        <v>4.5989886937546139E-2</v>
      </c>
      <c r="Q257" s="26"/>
      <c r="R257" s="17"/>
      <c r="S257" s="19"/>
      <c r="T257" s="17"/>
      <c r="U257" s="22"/>
    </row>
    <row r="258" spans="1:21" x14ac:dyDescent="0.25">
      <c r="A258" s="24"/>
      <c r="B258" s="24"/>
      <c r="C258" s="17"/>
      <c r="D258" s="24"/>
      <c r="E258" s="24"/>
      <c r="F258" s="25"/>
      <c r="G258" s="1">
        <v>275</v>
      </c>
      <c r="H258" s="2">
        <v>92.2</v>
      </c>
      <c r="I258" s="2">
        <v>-20.3</v>
      </c>
      <c r="J258" s="2">
        <v>-25.7</v>
      </c>
      <c r="K258" s="2">
        <f t="shared" si="33"/>
        <v>-20.3</v>
      </c>
      <c r="L258" s="8">
        <f t="shared" si="34"/>
        <v>5.6234132519034759E-12</v>
      </c>
      <c r="M258" s="26"/>
      <c r="N258" s="17"/>
      <c r="O258" s="9">
        <f t="shared" si="35"/>
        <v>-25.7</v>
      </c>
      <c r="P258" s="8">
        <f>D256/B256*10^(O258/10)</f>
        <v>3.409277418307425E-2</v>
      </c>
      <c r="Q258" s="26"/>
      <c r="R258" s="17"/>
      <c r="S258" s="19"/>
      <c r="T258" s="17"/>
      <c r="U258" s="22"/>
    </row>
    <row r="259" spans="1:21" x14ac:dyDescent="0.25">
      <c r="A259" s="24"/>
      <c r="B259" s="24"/>
      <c r="C259" s="17"/>
      <c r="D259" s="24"/>
      <c r="E259" s="24"/>
      <c r="F259" s="25"/>
      <c r="G259" s="1">
        <v>325</v>
      </c>
      <c r="H259" s="2">
        <v>93.3</v>
      </c>
      <c r="I259" s="2">
        <v>-19.2</v>
      </c>
      <c r="J259" s="2">
        <v>-23.5</v>
      </c>
      <c r="K259" s="2">
        <f t="shared" si="33"/>
        <v>-19.2</v>
      </c>
      <c r="L259" s="8">
        <f>10^((K259-H259)/10)</f>
        <v>5.6234132519034759E-12</v>
      </c>
      <c r="M259" s="26"/>
      <c r="N259" s="17"/>
      <c r="O259" s="9">
        <f t="shared" si="35"/>
        <v>-23.5</v>
      </c>
      <c r="P259" s="8">
        <f>D256/B256*10^(O259/10)</f>
        <v>5.6579921672455284E-2</v>
      </c>
      <c r="Q259" s="26"/>
      <c r="R259" s="17"/>
      <c r="S259" s="20"/>
      <c r="T259" s="17"/>
      <c r="U259" s="23"/>
    </row>
    <row r="260" spans="1:21" x14ac:dyDescent="0.25">
      <c r="A260" s="24">
        <v>500</v>
      </c>
      <c r="B260" s="24">
        <v>3</v>
      </c>
      <c r="C260" s="17">
        <v>0.5</v>
      </c>
      <c r="D260" s="24">
        <v>59</v>
      </c>
      <c r="E260" s="24">
        <v>6</v>
      </c>
      <c r="F260" s="25">
        <v>84</v>
      </c>
      <c r="G260" s="1">
        <v>375</v>
      </c>
      <c r="H260" s="2">
        <v>91.9</v>
      </c>
      <c r="I260" s="2">
        <v>-17.399999999999999</v>
      </c>
      <c r="J260" s="2">
        <v>-20.7</v>
      </c>
      <c r="K260" s="2">
        <f t="shared" si="33"/>
        <v>-17.399999999999999</v>
      </c>
      <c r="L260" s="8">
        <f t="shared" ref="L260:L261" si="36">10^((K260-H260)/10)</f>
        <v>1.1748975549395229E-11</v>
      </c>
      <c r="M260" s="26">
        <f>SUM(L260:L265)</f>
        <v>3.6855608478492649E-11</v>
      </c>
      <c r="N260" s="17">
        <f>10*LOG10(M260/E260)</f>
        <v>-112.11647664676391</v>
      </c>
      <c r="O260" s="9">
        <f t="shared" si="35"/>
        <v>-20.7</v>
      </c>
      <c r="P260" s="8">
        <f>D260/B260*10^(O260/10)</f>
        <v>0.16739048084646743</v>
      </c>
      <c r="Q260" s="26">
        <f>SUM(P260:P265)</f>
        <v>0.50607925474363924</v>
      </c>
      <c r="R260" s="17">
        <f>10*LOG10(Q260)</f>
        <v>-2.9578146497341122</v>
      </c>
      <c r="S260" s="18">
        <f>F260+N260-Kzt-H</f>
        <v>-28.116476646763914</v>
      </c>
      <c r="T260" s="17">
        <v>0.5</v>
      </c>
      <c r="U260" s="21">
        <f>T260*10^((S260-R260)/10)</f>
        <v>1.5244170749014907E-3</v>
      </c>
    </row>
    <row r="261" spans="1:21" x14ac:dyDescent="0.25">
      <c r="A261" s="24"/>
      <c r="B261" s="24"/>
      <c r="C261" s="17"/>
      <c r="D261" s="24"/>
      <c r="E261" s="24"/>
      <c r="F261" s="25"/>
      <c r="G261" s="1">
        <v>425</v>
      </c>
      <c r="H261" s="2">
        <v>88.1</v>
      </c>
      <c r="I261" s="2">
        <v>-23.5</v>
      </c>
      <c r="J261" s="2">
        <v>-24.2</v>
      </c>
      <c r="K261" s="2">
        <f t="shared" si="33"/>
        <v>-23.5</v>
      </c>
      <c r="L261" s="8">
        <f t="shared" si="36"/>
        <v>6.9183097091893405E-12</v>
      </c>
      <c r="M261" s="26"/>
      <c r="N261" s="17"/>
      <c r="O261" s="9">
        <f t="shared" si="35"/>
        <v>-24.2</v>
      </c>
      <c r="P261" s="8">
        <f>D260/B260*10^(O261/10)</f>
        <v>7.4770581276377049E-2</v>
      </c>
      <c r="Q261" s="26"/>
      <c r="R261" s="17"/>
      <c r="S261" s="19"/>
      <c r="T261" s="17"/>
      <c r="U261" s="22"/>
    </row>
    <row r="262" spans="1:21" x14ac:dyDescent="0.25">
      <c r="A262" s="24"/>
      <c r="B262" s="24"/>
      <c r="C262" s="17"/>
      <c r="D262" s="24"/>
      <c r="E262" s="24"/>
      <c r="F262" s="25"/>
      <c r="G262" s="1">
        <v>475</v>
      </c>
      <c r="H262" s="2">
        <v>90</v>
      </c>
      <c r="I262" s="2">
        <v>-19.399999999999999</v>
      </c>
      <c r="J262" s="2">
        <v>-21.1</v>
      </c>
      <c r="K262" s="2">
        <f t="shared" si="33"/>
        <v>-19.399999999999999</v>
      </c>
      <c r="L262" s="8">
        <f>10^((K262-H262)/10)</f>
        <v>1.1481536214968764E-11</v>
      </c>
      <c r="M262" s="26"/>
      <c r="N262" s="17"/>
      <c r="O262" s="9">
        <f t="shared" si="35"/>
        <v>-21.1</v>
      </c>
      <c r="P262" s="8">
        <f>D260/B260*10^(O262/10)</f>
        <v>0.15266193293697589</v>
      </c>
      <c r="Q262" s="26"/>
      <c r="R262" s="17"/>
      <c r="S262" s="19"/>
      <c r="T262" s="17"/>
      <c r="U262" s="22"/>
    </row>
    <row r="263" spans="1:21" x14ac:dyDescent="0.25">
      <c r="A263" s="24"/>
      <c r="B263" s="24"/>
      <c r="C263" s="17"/>
      <c r="D263" s="24"/>
      <c r="E263" s="24"/>
      <c r="F263" s="25"/>
      <c r="G263" s="1">
        <v>575</v>
      </c>
      <c r="H263" s="2">
        <v>97</v>
      </c>
      <c r="I263" s="2">
        <v>-20.9</v>
      </c>
      <c r="J263" s="2">
        <v>-27.2</v>
      </c>
      <c r="K263" s="2">
        <f t="shared" si="33"/>
        <v>-20.9</v>
      </c>
      <c r="L263" s="8">
        <f t="shared" ref="L263:L289" si="37">10^((K263-H263)/10)</f>
        <v>1.6218100973589226E-12</v>
      </c>
      <c r="M263" s="26"/>
      <c r="N263" s="17"/>
      <c r="O263" s="9">
        <f t="shared" si="35"/>
        <v>-27.2</v>
      </c>
      <c r="P263" s="8">
        <f>D260/B260*10^(O263/10)</f>
        <v>3.7474060786610537E-2</v>
      </c>
      <c r="Q263" s="26"/>
      <c r="R263" s="17"/>
      <c r="S263" s="19"/>
      <c r="T263" s="17"/>
      <c r="U263" s="22"/>
    </row>
    <row r="264" spans="1:21" x14ac:dyDescent="0.25">
      <c r="A264" s="24"/>
      <c r="B264" s="24"/>
      <c r="C264" s="17"/>
      <c r="D264" s="24"/>
      <c r="E264" s="24"/>
      <c r="F264" s="25"/>
      <c r="G264" s="1">
        <v>625</v>
      </c>
      <c r="H264" s="2">
        <v>92</v>
      </c>
      <c r="I264" s="2">
        <v>-23.8</v>
      </c>
      <c r="J264" s="2">
        <v>-30.3</v>
      </c>
      <c r="K264" s="2">
        <f t="shared" si="33"/>
        <v>-23.8</v>
      </c>
      <c r="L264" s="8">
        <f t="shared" si="37"/>
        <v>2.6302679918953739E-12</v>
      </c>
      <c r="M264" s="26"/>
      <c r="N264" s="17"/>
      <c r="O264" s="9">
        <f t="shared" si="35"/>
        <v>-30.3</v>
      </c>
      <c r="P264" s="8">
        <f>D260/B260*10^(O264/10)</f>
        <v>1.8354001249007469E-2</v>
      </c>
      <c r="Q264" s="26"/>
      <c r="R264" s="17"/>
      <c r="S264" s="19"/>
      <c r="T264" s="17"/>
      <c r="U264" s="22"/>
    </row>
    <row r="265" spans="1:21" x14ac:dyDescent="0.25">
      <c r="A265" s="24"/>
      <c r="B265" s="24"/>
      <c r="C265" s="17"/>
      <c r="D265" s="24"/>
      <c r="E265" s="24"/>
      <c r="F265" s="25"/>
      <c r="G265" s="1">
        <v>675</v>
      </c>
      <c r="H265" s="2">
        <v>94.5</v>
      </c>
      <c r="I265" s="2">
        <v>-21.6</v>
      </c>
      <c r="J265" s="2">
        <v>-25.5</v>
      </c>
      <c r="K265" s="2">
        <f t="shared" si="33"/>
        <v>-21.6</v>
      </c>
      <c r="L265" s="8">
        <f t="shared" si="37"/>
        <v>2.4547089156850233E-12</v>
      </c>
      <c r="M265" s="26"/>
      <c r="N265" s="17"/>
      <c r="O265" s="9">
        <f t="shared" si="35"/>
        <v>-25.5</v>
      </c>
      <c r="P265" s="8">
        <f>D260/B260*10^(O265/10)</f>
        <v>5.5428197648200894E-2</v>
      </c>
      <c r="Q265" s="26"/>
      <c r="R265" s="17"/>
      <c r="S265" s="20"/>
      <c r="T265" s="17"/>
      <c r="U265" s="23"/>
    </row>
    <row r="266" spans="1:21" x14ac:dyDescent="0.25">
      <c r="A266" s="24">
        <v>1000</v>
      </c>
      <c r="B266" s="24">
        <v>3</v>
      </c>
      <c r="C266" s="17">
        <v>0.5</v>
      </c>
      <c r="D266" s="24">
        <v>117</v>
      </c>
      <c r="E266" s="24">
        <v>6</v>
      </c>
      <c r="F266" s="25">
        <v>76</v>
      </c>
      <c r="G266" s="1">
        <v>875</v>
      </c>
      <c r="H266" s="2">
        <v>91.1</v>
      </c>
      <c r="I266" s="2">
        <v>-22.599999999999998</v>
      </c>
      <c r="J266" s="2">
        <v>-23.9</v>
      </c>
      <c r="K266" s="2">
        <f t="shared" si="33"/>
        <v>-22.599999999999998</v>
      </c>
      <c r="L266" s="8">
        <f t="shared" si="37"/>
        <v>4.2657951880159207E-12</v>
      </c>
      <c r="M266" s="26">
        <f>SUM(L266:L271)</f>
        <v>1.4022701694489304E-11</v>
      </c>
      <c r="N266" s="17">
        <f>10*LOG10(M266/E266)</f>
        <v>-116.3131955501471</v>
      </c>
      <c r="O266" s="9">
        <f t="shared" si="35"/>
        <v>-23.9</v>
      </c>
      <c r="P266" s="8">
        <f>D266/B266*10^(O266/10)</f>
        <v>0.15887830834360409</v>
      </c>
      <c r="Q266" s="26">
        <f>SUM(P266:P271)</f>
        <v>0.72982543133441347</v>
      </c>
      <c r="R266" s="17">
        <f>10*LOG10(Q266)</f>
        <v>-1.3678100737891972</v>
      </c>
      <c r="S266" s="18">
        <f>F266+N266-Kzt-H</f>
        <v>-40.3131955501471</v>
      </c>
      <c r="T266" s="17">
        <v>0.8</v>
      </c>
      <c r="U266" s="21">
        <f>T266*10^((S266-R266)/10)</f>
        <v>1.0198855516999895E-4</v>
      </c>
    </row>
    <row r="267" spans="1:21" x14ac:dyDescent="0.25">
      <c r="A267" s="24"/>
      <c r="B267" s="24"/>
      <c r="C267" s="17"/>
      <c r="D267" s="24"/>
      <c r="E267" s="24"/>
      <c r="F267" s="25"/>
      <c r="G267" s="1">
        <v>975</v>
      </c>
      <c r="H267" s="2">
        <v>96.5</v>
      </c>
      <c r="I267" s="2">
        <v>-17.8</v>
      </c>
      <c r="J267" s="2">
        <v>-29.3</v>
      </c>
      <c r="K267" s="2">
        <f t="shared" si="33"/>
        <v>-17.8</v>
      </c>
      <c r="L267" s="8">
        <f t="shared" si="37"/>
        <v>3.7153522909717219E-12</v>
      </c>
      <c r="M267" s="26"/>
      <c r="N267" s="17"/>
      <c r="O267" s="9">
        <f t="shared" si="35"/>
        <v>-29.3</v>
      </c>
      <c r="P267" s="8">
        <f>D266/B266*10^(O267/10)</f>
        <v>4.5821004642641591E-2</v>
      </c>
      <c r="Q267" s="26"/>
      <c r="R267" s="17"/>
      <c r="S267" s="19"/>
      <c r="T267" s="17"/>
      <c r="U267" s="22"/>
    </row>
    <row r="268" spans="1:21" x14ac:dyDescent="0.25">
      <c r="A268" s="24"/>
      <c r="B268" s="24"/>
      <c r="C268" s="17"/>
      <c r="D268" s="24"/>
      <c r="E268" s="24"/>
      <c r="F268" s="25"/>
      <c r="G268" s="1">
        <v>1075</v>
      </c>
      <c r="H268" s="2">
        <v>94.6</v>
      </c>
      <c r="I268" s="2">
        <v>-21.1</v>
      </c>
      <c r="J268" s="2">
        <v>-32.6</v>
      </c>
      <c r="K268" s="2">
        <f t="shared" si="33"/>
        <v>-21.1</v>
      </c>
      <c r="L268" s="8">
        <f t="shared" si="37"/>
        <v>2.6915348039269171E-12</v>
      </c>
      <c r="M268" s="26"/>
      <c r="N268" s="17"/>
      <c r="O268" s="9">
        <f t="shared" si="35"/>
        <v>-32.6</v>
      </c>
      <c r="P268" s="8">
        <f>D266/B266*10^(O268/10)</f>
        <v>2.1432094080447335E-2</v>
      </c>
      <c r="Q268" s="26"/>
      <c r="R268" s="17"/>
      <c r="S268" s="19"/>
      <c r="T268" s="17"/>
      <c r="U268" s="22"/>
    </row>
    <row r="269" spans="1:21" x14ac:dyDescent="0.25">
      <c r="A269" s="24"/>
      <c r="B269" s="24"/>
      <c r="C269" s="17"/>
      <c r="D269" s="24"/>
      <c r="E269" s="24"/>
      <c r="F269" s="25"/>
      <c r="G269" s="1">
        <v>1175</v>
      </c>
      <c r="H269" s="2">
        <v>97.8</v>
      </c>
      <c r="I269" s="2">
        <v>-20.6</v>
      </c>
      <c r="J269" s="2">
        <v>-24.6</v>
      </c>
      <c r="K269" s="2">
        <f t="shared" si="33"/>
        <v>-20.6</v>
      </c>
      <c r="L269" s="8">
        <f t="shared" si="37"/>
        <v>1.4454397707459267E-12</v>
      </c>
      <c r="M269" s="26"/>
      <c r="N269" s="17"/>
      <c r="O269" s="9">
        <f t="shared" si="35"/>
        <v>-24.6</v>
      </c>
      <c r="P269" s="8">
        <f>D266/B266*10^(O269/10)</f>
        <v>0.1352273716764873</v>
      </c>
      <c r="Q269" s="26"/>
      <c r="R269" s="17"/>
      <c r="S269" s="19"/>
      <c r="T269" s="17"/>
      <c r="U269" s="22"/>
    </row>
    <row r="270" spans="1:21" x14ac:dyDescent="0.25">
      <c r="A270" s="24"/>
      <c r="B270" s="24"/>
      <c r="C270" s="17"/>
      <c r="D270" s="24"/>
      <c r="E270" s="24"/>
      <c r="F270" s="25"/>
      <c r="G270" s="1">
        <v>1275</v>
      </c>
      <c r="H270" s="2">
        <v>100.1</v>
      </c>
      <c r="I270" s="2">
        <v>-21.8</v>
      </c>
      <c r="J270" s="2">
        <v>-27.3</v>
      </c>
      <c r="K270" s="2">
        <f t="shared" si="33"/>
        <v>-21.8</v>
      </c>
      <c r="L270" s="8">
        <f t="shared" si="37"/>
        <v>6.4565422903465492E-13</v>
      </c>
      <c r="M270" s="26"/>
      <c r="N270" s="17"/>
      <c r="O270" s="9">
        <f t="shared" si="35"/>
        <v>-27.3</v>
      </c>
      <c r="P270" s="8">
        <f>D266/B266*10^(O270/10)</f>
        <v>7.2621398329851788E-2</v>
      </c>
      <c r="Q270" s="26"/>
      <c r="R270" s="17"/>
      <c r="S270" s="19"/>
      <c r="T270" s="17"/>
      <c r="U270" s="22"/>
    </row>
    <row r="271" spans="1:21" x14ac:dyDescent="0.25">
      <c r="A271" s="24"/>
      <c r="B271" s="24"/>
      <c r="C271" s="17"/>
      <c r="D271" s="24"/>
      <c r="E271" s="24"/>
      <c r="F271" s="25"/>
      <c r="G271" s="1">
        <v>1375</v>
      </c>
      <c r="H271" s="2">
        <v>103</v>
      </c>
      <c r="I271" s="2">
        <v>-16</v>
      </c>
      <c r="J271" s="2">
        <v>-21.2</v>
      </c>
      <c r="K271" s="2">
        <f t="shared" si="33"/>
        <v>-16</v>
      </c>
      <c r="L271" s="8">
        <f t="shared" si="37"/>
        <v>1.2589254117941629E-12</v>
      </c>
      <c r="M271" s="26"/>
      <c r="N271" s="17"/>
      <c r="O271" s="9">
        <f t="shared" si="35"/>
        <v>-21.2</v>
      </c>
      <c r="P271" s="8">
        <f>D266/B266*10^(O271/10)</f>
        <v>0.29584525426138136</v>
      </c>
      <c r="Q271" s="26"/>
      <c r="R271" s="17"/>
      <c r="S271" s="20"/>
      <c r="T271" s="17"/>
      <c r="U271" s="23"/>
    </row>
    <row r="272" spans="1:21" x14ac:dyDescent="0.25">
      <c r="A272" s="24">
        <v>2000</v>
      </c>
      <c r="B272" s="24">
        <v>3</v>
      </c>
      <c r="C272" s="17">
        <v>0.5</v>
      </c>
      <c r="D272" s="24">
        <v>234</v>
      </c>
      <c r="E272" s="24">
        <v>6</v>
      </c>
      <c r="F272" s="25">
        <v>68</v>
      </c>
      <c r="G272" s="1">
        <v>1425</v>
      </c>
      <c r="H272" s="2">
        <v>102.8</v>
      </c>
      <c r="I272" s="2">
        <v>-22.1</v>
      </c>
      <c r="J272" s="2">
        <v>-23.4</v>
      </c>
      <c r="K272" s="2">
        <f t="shared" si="33"/>
        <v>-22.1</v>
      </c>
      <c r="L272" s="8">
        <f t="shared" si="37"/>
        <v>3.2359365692962775E-13</v>
      </c>
      <c r="M272" s="26">
        <f>SUM(L272:L277)</f>
        <v>2.6436107266036188E-12</v>
      </c>
      <c r="N272" s="17">
        <f>10*LOG10(M272/E272)</f>
        <v>-123.55953745006666</v>
      </c>
      <c r="O272" s="9">
        <f t="shared" si="35"/>
        <v>-23.4</v>
      </c>
      <c r="P272" s="8">
        <f>D272/B272*10^(O272/10)</f>
        <v>0.35652878789960252</v>
      </c>
      <c r="Q272" s="26">
        <f>SUM(P272:P277)</f>
        <v>1.4801030989863855</v>
      </c>
      <c r="R272" s="17">
        <f>10*LOG10(Q272)</f>
        <v>1.7029196793643844</v>
      </c>
      <c r="S272" s="18">
        <f>F272+N272-Kzt-H</f>
        <v>-55.559537450066657</v>
      </c>
      <c r="T272" s="17">
        <v>1</v>
      </c>
      <c r="U272" s="21">
        <f>T272*10^((S272-R272)/10)</f>
        <v>1.8782538471356774E-6</v>
      </c>
    </row>
    <row r="273" spans="1:21" x14ac:dyDescent="0.25">
      <c r="A273" s="24"/>
      <c r="B273" s="24"/>
      <c r="C273" s="17"/>
      <c r="D273" s="24"/>
      <c r="E273" s="24"/>
      <c r="F273" s="25"/>
      <c r="G273" s="1">
        <v>1625</v>
      </c>
      <c r="H273" s="2">
        <v>104.1</v>
      </c>
      <c r="I273" s="2">
        <v>-21.8</v>
      </c>
      <c r="J273" s="2">
        <v>-26.1</v>
      </c>
      <c r="K273" s="2">
        <f t="shared" si="33"/>
        <v>-21.8</v>
      </c>
      <c r="L273" s="8">
        <f t="shared" si="37"/>
        <v>2.5703957827688533E-13</v>
      </c>
      <c r="M273" s="26"/>
      <c r="N273" s="17"/>
      <c r="O273" s="9">
        <f t="shared" si="35"/>
        <v>-26.1</v>
      </c>
      <c r="P273" s="8">
        <f>D272/B272*10^(O273/10)</f>
        <v>0.19146729542343205</v>
      </c>
      <c r="Q273" s="26"/>
      <c r="R273" s="17"/>
      <c r="S273" s="19"/>
      <c r="T273" s="17"/>
      <c r="U273" s="22"/>
    </row>
    <row r="274" spans="1:21" x14ac:dyDescent="0.25">
      <c r="A274" s="24"/>
      <c r="B274" s="24"/>
      <c r="C274" s="17"/>
      <c r="D274" s="24"/>
      <c r="E274" s="24"/>
      <c r="F274" s="25"/>
      <c r="G274" s="1">
        <v>1825</v>
      </c>
      <c r="H274" s="2">
        <v>107.6</v>
      </c>
      <c r="I274" s="2">
        <v>-20.3</v>
      </c>
      <c r="J274" s="2">
        <v>-23.3</v>
      </c>
      <c r="K274" s="2">
        <f t="shared" si="33"/>
        <v>-20.3</v>
      </c>
      <c r="L274" s="8">
        <f t="shared" si="37"/>
        <v>1.6218100973589265E-13</v>
      </c>
      <c r="M274" s="26"/>
      <c r="N274" s="17"/>
      <c r="O274" s="9">
        <f t="shared" si="35"/>
        <v>-23.3</v>
      </c>
      <c r="P274" s="8">
        <f>D272/B272*10^(O274/10)</f>
        <v>0.36483341020401427</v>
      </c>
      <c r="Q274" s="26"/>
      <c r="R274" s="17"/>
      <c r="S274" s="19"/>
      <c r="T274" s="17"/>
      <c r="U274" s="22"/>
    </row>
    <row r="275" spans="1:21" x14ac:dyDescent="0.25">
      <c r="A275" s="24"/>
      <c r="B275" s="24"/>
      <c r="C275" s="17"/>
      <c r="D275" s="24"/>
      <c r="E275" s="24"/>
      <c r="F275" s="25"/>
      <c r="G275" s="1">
        <v>2125</v>
      </c>
      <c r="H275" s="2">
        <v>104.2</v>
      </c>
      <c r="I275" s="2">
        <v>-19.600000000000001</v>
      </c>
      <c r="J275" s="2">
        <v>-25.8</v>
      </c>
      <c r="K275" s="2">
        <f t="shared" si="33"/>
        <v>-19.600000000000001</v>
      </c>
      <c r="L275" s="8">
        <f t="shared" si="37"/>
        <v>4.1686938347033292E-13</v>
      </c>
      <c r="M275" s="26"/>
      <c r="N275" s="17"/>
      <c r="O275" s="9">
        <f t="shared" si="35"/>
        <v>-25.8</v>
      </c>
      <c r="P275" s="8">
        <f>D272/B272*10^(O275/10)</f>
        <v>0.20516090336783957</v>
      </c>
      <c r="Q275" s="26"/>
      <c r="R275" s="17"/>
      <c r="S275" s="19"/>
      <c r="T275" s="17"/>
      <c r="U275" s="22"/>
    </row>
    <row r="276" spans="1:21" x14ac:dyDescent="0.25">
      <c r="A276" s="24"/>
      <c r="B276" s="24"/>
      <c r="C276" s="17"/>
      <c r="D276" s="24"/>
      <c r="E276" s="24"/>
      <c r="F276" s="25"/>
      <c r="G276" s="1">
        <v>2425</v>
      </c>
      <c r="H276" s="2">
        <v>93.7</v>
      </c>
      <c r="I276" s="2">
        <v>-25.6</v>
      </c>
      <c r="J276" s="2">
        <v>-26.6</v>
      </c>
      <c r="K276" s="2">
        <f t="shared" si="33"/>
        <v>-25.6</v>
      </c>
      <c r="L276" s="8">
        <f t="shared" si="37"/>
        <v>1.1748975549395215E-12</v>
      </c>
      <c r="M276" s="26"/>
      <c r="N276" s="17"/>
      <c r="O276" s="9">
        <f t="shared" si="35"/>
        <v>-26.6</v>
      </c>
      <c r="P276" s="8">
        <f>D272/B272*10^(O276/10)</f>
        <v>0.17064540666806488</v>
      </c>
      <c r="Q276" s="26"/>
      <c r="R276" s="17"/>
      <c r="S276" s="19"/>
      <c r="T276" s="17"/>
      <c r="U276" s="22"/>
    </row>
    <row r="277" spans="1:21" x14ac:dyDescent="0.25">
      <c r="A277" s="24"/>
      <c r="B277" s="24"/>
      <c r="C277" s="17"/>
      <c r="D277" s="24"/>
      <c r="E277" s="24"/>
      <c r="F277" s="25"/>
      <c r="G277" s="1">
        <v>2775</v>
      </c>
      <c r="H277" s="2">
        <v>100.2</v>
      </c>
      <c r="I277" s="2">
        <v>-24.9</v>
      </c>
      <c r="J277" s="2">
        <v>-26.1</v>
      </c>
      <c r="K277" s="2">
        <f t="shared" si="33"/>
        <v>-24.9</v>
      </c>
      <c r="L277" s="8">
        <f t="shared" si="37"/>
        <v>3.0902954325135866E-13</v>
      </c>
      <c r="M277" s="26"/>
      <c r="N277" s="17"/>
      <c r="O277" s="9">
        <f t="shared" si="35"/>
        <v>-26.1</v>
      </c>
      <c r="P277" s="8">
        <f>D272/B272*10^(O277/10)</f>
        <v>0.19146729542343205</v>
      </c>
      <c r="Q277" s="26"/>
      <c r="R277" s="17"/>
      <c r="S277" s="20"/>
      <c r="T277" s="17"/>
      <c r="U277" s="23"/>
    </row>
    <row r="278" spans="1:21" x14ac:dyDescent="0.25">
      <c r="A278" s="24">
        <v>4000</v>
      </c>
      <c r="B278" s="24">
        <v>3</v>
      </c>
      <c r="C278" s="17">
        <v>0.5</v>
      </c>
      <c r="D278" s="24">
        <v>470</v>
      </c>
      <c r="E278" s="24">
        <v>6</v>
      </c>
      <c r="F278" s="25">
        <v>62</v>
      </c>
      <c r="G278" s="1">
        <v>2825</v>
      </c>
      <c r="H278" s="2">
        <v>99.4</v>
      </c>
      <c r="I278" s="2">
        <v>-24.7</v>
      </c>
      <c r="J278" s="2">
        <v>-26</v>
      </c>
      <c r="K278" s="2">
        <f t="shared" si="33"/>
        <v>-24.7</v>
      </c>
      <c r="L278" s="8">
        <f t="shared" si="37"/>
        <v>3.8904514499427974E-13</v>
      </c>
      <c r="M278" s="26">
        <f>SUM(L278:L283)</f>
        <v>2.6319219642177571E-12</v>
      </c>
      <c r="N278" s="17">
        <f>10*LOG10(M278/E278)</f>
        <v>-123.57878241966056</v>
      </c>
      <c r="O278" s="9">
        <f t="shared" si="35"/>
        <v>-26</v>
      </c>
      <c r="P278" s="8">
        <f>D278/B278*10^(O278/10)</f>
        <v>0.39352887426983379</v>
      </c>
      <c r="Q278" s="26">
        <f>SUM(P278:P283)</f>
        <v>1.652897482538974</v>
      </c>
      <c r="R278" s="17">
        <f>10*LOG10(Q278)</f>
        <v>2.1824591821251893</v>
      </c>
      <c r="S278" s="18">
        <f>F278+N278-Kzt-H</f>
        <v>-61.578782419660556</v>
      </c>
      <c r="T278" s="17">
        <v>0.9</v>
      </c>
      <c r="U278" s="21">
        <f>T278*10^((S278-R278)/10)</f>
        <v>3.7854572787268224E-7</v>
      </c>
    </row>
    <row r="279" spans="1:21" x14ac:dyDescent="0.25">
      <c r="A279" s="24"/>
      <c r="B279" s="24"/>
      <c r="C279" s="17"/>
      <c r="D279" s="24"/>
      <c r="E279" s="24"/>
      <c r="F279" s="25"/>
      <c r="G279" s="1">
        <v>3425</v>
      </c>
      <c r="H279" s="2">
        <v>103.5</v>
      </c>
      <c r="I279" s="2">
        <v>-17.3</v>
      </c>
      <c r="J279" s="2">
        <v>-28.9</v>
      </c>
      <c r="K279" s="2">
        <f t="shared" si="33"/>
        <v>-17.3</v>
      </c>
      <c r="L279" s="8">
        <f t="shared" si="37"/>
        <v>8.3176377110266952E-13</v>
      </c>
      <c r="M279" s="26"/>
      <c r="N279" s="17"/>
      <c r="O279" s="9">
        <f t="shared" si="35"/>
        <v>-28.9</v>
      </c>
      <c r="P279" s="8">
        <f>D278/B278*10^(O279/10)</f>
        <v>0.20182576309859099</v>
      </c>
      <c r="Q279" s="26"/>
      <c r="R279" s="17"/>
      <c r="S279" s="19"/>
      <c r="T279" s="17"/>
      <c r="U279" s="22"/>
    </row>
    <row r="280" spans="1:21" x14ac:dyDescent="0.25">
      <c r="A280" s="24"/>
      <c r="B280" s="24"/>
      <c r="C280" s="17"/>
      <c r="D280" s="24"/>
      <c r="E280" s="24"/>
      <c r="F280" s="25"/>
      <c r="G280" s="1">
        <v>4025</v>
      </c>
      <c r="H280" s="2">
        <v>103.6</v>
      </c>
      <c r="I280" s="2">
        <v>-19.3</v>
      </c>
      <c r="J280" s="2">
        <v>-27.2</v>
      </c>
      <c r="K280" s="2">
        <f t="shared" si="33"/>
        <v>-19.3</v>
      </c>
      <c r="L280" s="8">
        <f t="shared" si="37"/>
        <v>5.1286138399136499E-13</v>
      </c>
      <c r="M280" s="26"/>
      <c r="N280" s="17"/>
      <c r="O280" s="9">
        <f t="shared" si="35"/>
        <v>-27.2</v>
      </c>
      <c r="P280" s="8">
        <f>D278/B278*10^(O280/10)</f>
        <v>0.29852217914757545</v>
      </c>
      <c r="Q280" s="26"/>
      <c r="R280" s="17"/>
      <c r="S280" s="19"/>
      <c r="T280" s="17"/>
      <c r="U280" s="22"/>
    </row>
    <row r="281" spans="1:21" x14ac:dyDescent="0.25">
      <c r="A281" s="24"/>
      <c r="B281" s="24"/>
      <c r="C281" s="17"/>
      <c r="D281" s="24"/>
      <c r="E281" s="24"/>
      <c r="F281" s="25"/>
      <c r="G281" s="1">
        <v>4625</v>
      </c>
      <c r="H281" s="2">
        <v>105.6</v>
      </c>
      <c r="I281" s="2">
        <v>-25.5</v>
      </c>
      <c r="J281" s="2">
        <v>-30.1</v>
      </c>
      <c r="K281" s="2">
        <f t="shared" si="33"/>
        <v>-25.5</v>
      </c>
      <c r="L281" s="8">
        <f t="shared" si="37"/>
        <v>7.7624711662868969E-14</v>
      </c>
      <c r="M281" s="26"/>
      <c r="N281" s="17"/>
      <c r="O281" s="9">
        <f t="shared" si="35"/>
        <v>-30.1</v>
      </c>
      <c r="P281" s="8">
        <f>D278/B278*10^(O281/10)</f>
        <v>0.15310049794974345</v>
      </c>
      <c r="Q281" s="26"/>
      <c r="R281" s="17"/>
      <c r="S281" s="19"/>
      <c r="T281" s="17"/>
      <c r="U281" s="22"/>
    </row>
    <row r="282" spans="1:21" x14ac:dyDescent="0.25">
      <c r="A282" s="24"/>
      <c r="B282" s="24"/>
      <c r="C282" s="17"/>
      <c r="D282" s="24"/>
      <c r="E282" s="24"/>
      <c r="F282" s="25"/>
      <c r="G282" s="1">
        <v>5225</v>
      </c>
      <c r="H282" s="2">
        <v>103.5</v>
      </c>
      <c r="I282" s="2">
        <v>-24.9</v>
      </c>
      <c r="J282" s="2">
        <v>-27.5</v>
      </c>
      <c r="K282" s="2">
        <f t="shared" si="33"/>
        <v>-24.9</v>
      </c>
      <c r="L282" s="8">
        <f t="shared" si="37"/>
        <v>1.4454397707459251E-13</v>
      </c>
      <c r="M282" s="26"/>
      <c r="N282" s="17"/>
      <c r="O282" s="9">
        <f t="shared" si="35"/>
        <v>-27.5</v>
      </c>
      <c r="P282" s="8">
        <f>D278/B278*10^(O282/10)</f>
        <v>0.27859710757276446</v>
      </c>
      <c r="Q282" s="26"/>
      <c r="R282" s="17"/>
      <c r="S282" s="19"/>
      <c r="T282" s="17"/>
      <c r="U282" s="22"/>
    </row>
    <row r="283" spans="1:21" x14ac:dyDescent="0.25">
      <c r="A283" s="24"/>
      <c r="B283" s="24"/>
      <c r="C283" s="17"/>
      <c r="D283" s="24"/>
      <c r="E283" s="24"/>
      <c r="F283" s="25"/>
      <c r="G283" s="1">
        <v>5625</v>
      </c>
      <c r="H283" s="2">
        <v>99.5</v>
      </c>
      <c r="I283" s="2">
        <v>-22.2</v>
      </c>
      <c r="J283" s="2">
        <v>-26.8</v>
      </c>
      <c r="K283" s="2">
        <f t="shared" si="33"/>
        <v>-22.2</v>
      </c>
      <c r="L283" s="8">
        <f t="shared" si="37"/>
        <v>6.7608297539198111E-13</v>
      </c>
      <c r="M283" s="26"/>
      <c r="N283" s="17"/>
      <c r="O283" s="9">
        <f t="shared" si="35"/>
        <v>-26.8</v>
      </c>
      <c r="P283" s="8">
        <f>D278/B278*10^(O283/10)</f>
        <v>0.32732306050046583</v>
      </c>
      <c r="Q283" s="26"/>
      <c r="R283" s="17"/>
      <c r="S283" s="20"/>
      <c r="T283" s="17"/>
      <c r="U283" s="23"/>
    </row>
    <row r="284" spans="1:21" x14ac:dyDescent="0.25">
      <c r="A284" s="24">
        <v>8000</v>
      </c>
      <c r="B284" s="24">
        <v>3</v>
      </c>
      <c r="C284" s="17">
        <v>0.5</v>
      </c>
      <c r="D284" s="24">
        <v>943</v>
      </c>
      <c r="E284" s="24">
        <v>6</v>
      </c>
      <c r="F284" s="25">
        <v>54</v>
      </c>
      <c r="G284" s="1">
        <v>6025</v>
      </c>
      <c r="H284" s="2">
        <v>95</v>
      </c>
      <c r="I284" s="2">
        <v>-22.1</v>
      </c>
      <c r="J284" s="2">
        <v>-27.4</v>
      </c>
      <c r="K284" s="2">
        <f t="shared" si="33"/>
        <v>-22.1</v>
      </c>
      <c r="L284" s="8">
        <f t="shared" si="37"/>
        <v>1.9498445997580419E-12</v>
      </c>
      <c r="M284" s="26">
        <f>SUM(L284:L289)</f>
        <v>3.810080228607456E-11</v>
      </c>
      <c r="N284" s="17">
        <f>10*LOG10(M284/E284)</f>
        <v>-111.97217129701551</v>
      </c>
      <c r="O284" s="9">
        <f t="shared" si="35"/>
        <v>-27.4</v>
      </c>
      <c r="P284" s="8">
        <f>D284/B284*10^(O284/10)</f>
        <v>0.57199263655640453</v>
      </c>
      <c r="Q284" s="26">
        <f>SUM(P284:P289)</f>
        <v>4.2857774662624326</v>
      </c>
      <c r="R284" s="17">
        <f>10*LOG10(Q284)</f>
        <v>6.3202961708301233</v>
      </c>
      <c r="S284" s="18">
        <f>F284+N284-Kzt-H</f>
        <v>-57.972171297015507</v>
      </c>
      <c r="T284" s="17">
        <v>0.7</v>
      </c>
      <c r="U284" s="21">
        <f>T284*10^((S284-R284)/10)</f>
        <v>2.6052613297425821E-7</v>
      </c>
    </row>
    <row r="285" spans="1:21" x14ac:dyDescent="0.25">
      <c r="A285" s="24"/>
      <c r="B285" s="24"/>
      <c r="C285" s="17"/>
      <c r="D285" s="24"/>
      <c r="E285" s="24"/>
      <c r="F285" s="25"/>
      <c r="G285" s="1">
        <v>7025</v>
      </c>
      <c r="H285" s="2">
        <v>94.8</v>
      </c>
      <c r="I285" s="2">
        <v>-20.6</v>
      </c>
      <c r="J285" s="2">
        <v>-31</v>
      </c>
      <c r="K285" s="2">
        <f t="shared" si="33"/>
        <v>-20.6</v>
      </c>
      <c r="L285" s="8">
        <f t="shared" si="37"/>
        <v>2.8840315031265959E-12</v>
      </c>
      <c r="M285" s="26"/>
      <c r="N285" s="17"/>
      <c r="O285" s="9">
        <f t="shared" si="35"/>
        <v>-31</v>
      </c>
      <c r="P285" s="8">
        <f>D284/B284*10^(O285/10)</f>
        <v>0.24968384178166564</v>
      </c>
      <c r="Q285" s="26"/>
      <c r="R285" s="17"/>
      <c r="S285" s="19"/>
      <c r="T285" s="17"/>
      <c r="U285" s="22"/>
    </row>
    <row r="286" spans="1:21" x14ac:dyDescent="0.25">
      <c r="A286" s="24"/>
      <c r="B286" s="24"/>
      <c r="C286" s="17"/>
      <c r="D286" s="24"/>
      <c r="E286" s="24"/>
      <c r="F286" s="25"/>
      <c r="G286" s="1">
        <v>8025</v>
      </c>
      <c r="H286" s="2">
        <v>101.9</v>
      </c>
      <c r="I286" s="2">
        <v>-22.9</v>
      </c>
      <c r="J286" s="2">
        <v>-27</v>
      </c>
      <c r="K286" s="2">
        <f t="shared" si="33"/>
        <v>-22.9</v>
      </c>
      <c r="L286" s="8">
        <f t="shared" si="37"/>
        <v>3.311311214825894E-13</v>
      </c>
      <c r="M286" s="26"/>
      <c r="N286" s="17"/>
      <c r="O286" s="9">
        <f t="shared" si="35"/>
        <v>-27</v>
      </c>
      <c r="P286" s="8">
        <f>D284/B284*10^(O286/10)</f>
        <v>0.62717745433855066</v>
      </c>
      <c r="Q286" s="26"/>
      <c r="R286" s="17"/>
      <c r="S286" s="19"/>
      <c r="T286" s="17"/>
      <c r="U286" s="22"/>
    </row>
    <row r="287" spans="1:21" x14ac:dyDescent="0.25">
      <c r="A287" s="24"/>
      <c r="B287" s="24"/>
      <c r="C287" s="17"/>
      <c r="D287" s="24"/>
      <c r="E287" s="24"/>
      <c r="F287" s="25"/>
      <c r="G287" s="1">
        <v>9025</v>
      </c>
      <c r="H287" s="2">
        <v>93.2</v>
      </c>
      <c r="I287" s="2">
        <v>-22.8</v>
      </c>
      <c r="J287" s="2">
        <v>-24.7</v>
      </c>
      <c r="K287" s="2">
        <f t="shared" si="33"/>
        <v>-22.8</v>
      </c>
      <c r="L287" s="8">
        <f t="shared" si="37"/>
        <v>2.5118864315095726E-12</v>
      </c>
      <c r="M287" s="26"/>
      <c r="N287" s="17"/>
      <c r="O287" s="9">
        <f t="shared" si="35"/>
        <v>-24.7</v>
      </c>
      <c r="P287" s="8">
        <f>D284/B284*10^(O287/10)</f>
        <v>1.0651001307975594</v>
      </c>
      <c r="Q287" s="26"/>
      <c r="R287" s="17"/>
      <c r="S287" s="19"/>
      <c r="T287" s="17"/>
      <c r="U287" s="22"/>
    </row>
    <row r="288" spans="1:21" x14ac:dyDescent="0.25">
      <c r="A288" s="24"/>
      <c r="B288" s="24"/>
      <c r="C288" s="17"/>
      <c r="D288" s="24"/>
      <c r="E288" s="24"/>
      <c r="F288" s="25"/>
      <c r="G288" s="1">
        <v>10025</v>
      </c>
      <c r="H288" s="2">
        <v>88.3</v>
      </c>
      <c r="I288" s="2">
        <v>-21.5</v>
      </c>
      <c r="J288" s="2">
        <v>-25.5</v>
      </c>
      <c r="K288" s="2">
        <f t="shared" si="33"/>
        <v>-21.5</v>
      </c>
      <c r="L288" s="8">
        <f t="shared" si="37"/>
        <v>1.0471285480508978E-11</v>
      </c>
      <c r="M288" s="26"/>
      <c r="N288" s="17"/>
      <c r="O288" s="9">
        <f t="shared" si="35"/>
        <v>-25.5</v>
      </c>
      <c r="P288" s="8">
        <f>D284/B284*10^(O288/10)</f>
        <v>0.88591170139412612</v>
      </c>
      <c r="Q288" s="26"/>
      <c r="R288" s="17"/>
      <c r="S288" s="19"/>
      <c r="T288" s="17"/>
      <c r="U288" s="22"/>
    </row>
    <row r="289" spans="1:21" x14ac:dyDescent="0.25">
      <c r="A289" s="24"/>
      <c r="B289" s="24"/>
      <c r="C289" s="17"/>
      <c r="D289" s="24"/>
      <c r="E289" s="24"/>
      <c r="F289" s="25"/>
      <c r="G289" s="1">
        <v>11025</v>
      </c>
      <c r="H289" s="2">
        <v>86</v>
      </c>
      <c r="I289" s="2">
        <v>-21</v>
      </c>
      <c r="J289" s="2">
        <v>-25.5</v>
      </c>
      <c r="K289" s="2">
        <f t="shared" si="33"/>
        <v>-21</v>
      </c>
      <c r="L289" s="8">
        <f t="shared" si="37"/>
        <v>1.995262314968878E-11</v>
      </c>
      <c r="M289" s="26"/>
      <c r="N289" s="17"/>
      <c r="O289" s="9">
        <f t="shared" si="35"/>
        <v>-25.5</v>
      </c>
      <c r="P289" s="8">
        <f>D284/B284*10^(O289/10)</f>
        <v>0.88591170139412612</v>
      </c>
      <c r="Q289" s="26"/>
      <c r="R289" s="17"/>
      <c r="S289" s="20"/>
      <c r="T289" s="17"/>
      <c r="U289" s="23"/>
    </row>
    <row r="290" spans="1:21" x14ac:dyDescent="0.25">
      <c r="A290" s="24" t="s">
        <v>20</v>
      </c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12">
        <f>U290</f>
        <v>6.6089048728377828E-2</v>
      </c>
      <c r="T290" s="2"/>
      <c r="U290" s="8">
        <f>0.8*SQRT(SUM(U256:U289))</f>
        <v>6.6089048728377828E-2</v>
      </c>
    </row>
    <row r="291" spans="1:21" x14ac:dyDescent="0.25">
      <c r="A291" s="27" t="s">
        <v>60</v>
      </c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9"/>
    </row>
    <row r="292" spans="1:21" x14ac:dyDescent="0.25">
      <c r="A292" s="24">
        <v>250</v>
      </c>
      <c r="B292" s="24">
        <v>3</v>
      </c>
      <c r="C292" s="17">
        <v>0.5</v>
      </c>
      <c r="D292" s="24">
        <v>38</v>
      </c>
      <c r="E292" s="24">
        <v>4</v>
      </c>
      <c r="F292" s="25">
        <v>84</v>
      </c>
      <c r="G292" s="1">
        <v>175</v>
      </c>
      <c r="H292" s="2">
        <v>84.8</v>
      </c>
      <c r="I292" s="2">
        <v>-11.6</v>
      </c>
      <c r="J292" s="2">
        <v>-24.8</v>
      </c>
      <c r="K292" s="2">
        <f>I292</f>
        <v>-11.6</v>
      </c>
      <c r="L292" s="8">
        <f>10^((K292-H292)/10)</f>
        <v>2.2908676527677724E-10</v>
      </c>
      <c r="M292" s="26">
        <f>SUM(L292:L295)</f>
        <v>2.584940634867923E-10</v>
      </c>
      <c r="N292" s="17">
        <f>10*LOG10(M292/E292)</f>
        <v>-101.89609417687295</v>
      </c>
      <c r="O292" s="9">
        <f>J292</f>
        <v>-24.8</v>
      </c>
      <c r="P292" s="8">
        <f>D292/B292*10^(O292/10)</f>
        <v>4.1943275387794861E-2</v>
      </c>
      <c r="Q292" s="26">
        <f>SUM(P292:P295)</f>
        <v>0.32780140793852564</v>
      </c>
      <c r="R292" s="17">
        <f>10*LOG10(Q292)</f>
        <v>-4.8438918542500904</v>
      </c>
      <c r="S292" s="18">
        <f>F292+N292-Kzt-H</f>
        <v>-17.89609417687295</v>
      </c>
      <c r="T292" s="17">
        <v>0.2</v>
      </c>
      <c r="U292" s="21">
        <f>T292*10^((S292-R292)/10)</f>
        <v>9.9039801991945547E-3</v>
      </c>
    </row>
    <row r="293" spans="1:21" x14ac:dyDescent="0.25">
      <c r="A293" s="24"/>
      <c r="B293" s="24"/>
      <c r="C293" s="17"/>
      <c r="D293" s="24"/>
      <c r="E293" s="24"/>
      <c r="F293" s="25"/>
      <c r="G293" s="1">
        <v>225</v>
      </c>
      <c r="H293" s="2">
        <v>90</v>
      </c>
      <c r="I293" s="2">
        <v>-18.7</v>
      </c>
      <c r="J293" s="2">
        <v>-18.8</v>
      </c>
      <c r="K293" s="2">
        <f t="shared" ref="K293:K325" si="38">I293</f>
        <v>-18.7</v>
      </c>
      <c r="L293" s="8">
        <f t="shared" ref="L293:L294" si="39">10^((K293-H293)/10)</f>
        <v>1.348962882591645E-11</v>
      </c>
      <c r="M293" s="26"/>
      <c r="N293" s="17"/>
      <c r="O293" s="9">
        <f t="shared" ref="O293:O325" si="40">J293</f>
        <v>-18.8</v>
      </c>
      <c r="P293" s="8">
        <f>D292/B292*10^(O293/10)</f>
        <v>0.16697918688381144</v>
      </c>
      <c r="Q293" s="26"/>
      <c r="R293" s="17"/>
      <c r="S293" s="19"/>
      <c r="T293" s="17"/>
      <c r="U293" s="22"/>
    </row>
    <row r="294" spans="1:21" x14ac:dyDescent="0.25">
      <c r="A294" s="24"/>
      <c r="B294" s="24"/>
      <c r="C294" s="17"/>
      <c r="D294" s="24"/>
      <c r="E294" s="24"/>
      <c r="F294" s="25"/>
      <c r="G294" s="1">
        <v>275</v>
      </c>
      <c r="H294" s="2">
        <v>92.2</v>
      </c>
      <c r="I294" s="2">
        <v>-21.6</v>
      </c>
      <c r="J294" s="2">
        <v>-22.4</v>
      </c>
      <c r="K294" s="2">
        <f t="shared" si="38"/>
        <v>-21.6</v>
      </c>
      <c r="L294" s="8">
        <f t="shared" si="39"/>
        <v>4.1686938347033333E-12</v>
      </c>
      <c r="M294" s="26"/>
      <c r="N294" s="17"/>
      <c r="O294" s="9">
        <f t="shared" si="40"/>
        <v>-22.4</v>
      </c>
      <c r="P294" s="8">
        <f>D292/B292*10^(O294/10)</f>
        <v>7.2889058729373221E-2</v>
      </c>
      <c r="Q294" s="26"/>
      <c r="R294" s="17"/>
      <c r="S294" s="19"/>
      <c r="T294" s="17"/>
      <c r="U294" s="22"/>
    </row>
    <row r="295" spans="1:21" x14ac:dyDescent="0.25">
      <c r="A295" s="24"/>
      <c r="B295" s="24"/>
      <c r="C295" s="17"/>
      <c r="D295" s="24"/>
      <c r="E295" s="24"/>
      <c r="F295" s="25"/>
      <c r="G295" s="1">
        <v>325</v>
      </c>
      <c r="H295" s="2">
        <v>93.3</v>
      </c>
      <c r="I295" s="2">
        <v>-16</v>
      </c>
      <c r="J295" s="2">
        <v>-24.4</v>
      </c>
      <c r="K295" s="2">
        <f t="shared" si="38"/>
        <v>-16</v>
      </c>
      <c r="L295" s="8">
        <f>10^((K295-H295)/10)</f>
        <v>1.1748975549395269E-11</v>
      </c>
      <c r="M295" s="26"/>
      <c r="N295" s="17"/>
      <c r="O295" s="9">
        <f t="shared" si="40"/>
        <v>-24.4</v>
      </c>
      <c r="P295" s="8">
        <f>D292/B292*10^(O295/10)</f>
        <v>4.5989886937546139E-2</v>
      </c>
      <c r="Q295" s="26"/>
      <c r="R295" s="17"/>
      <c r="S295" s="20"/>
      <c r="T295" s="17"/>
      <c r="U295" s="23"/>
    </row>
    <row r="296" spans="1:21" x14ac:dyDescent="0.25">
      <c r="A296" s="24">
        <v>500</v>
      </c>
      <c r="B296" s="24">
        <v>3</v>
      </c>
      <c r="C296" s="17">
        <v>0.5</v>
      </c>
      <c r="D296" s="24">
        <v>59</v>
      </c>
      <c r="E296" s="24">
        <v>6</v>
      </c>
      <c r="F296" s="25">
        <v>84</v>
      </c>
      <c r="G296" s="1">
        <v>375</v>
      </c>
      <c r="H296" s="2">
        <v>91.9</v>
      </c>
      <c r="I296" s="2">
        <v>-16.100000000000001</v>
      </c>
      <c r="J296" s="2">
        <v>-17.7</v>
      </c>
      <c r="K296" s="2">
        <f t="shared" si="38"/>
        <v>-16.100000000000001</v>
      </c>
      <c r="L296" s="8">
        <f t="shared" ref="L296:L297" si="41">10^((K296-H296)/10)</f>
        <v>1.5848931924611082E-11</v>
      </c>
      <c r="M296" s="26">
        <f>SUM(L296:L301)</f>
        <v>9.4973511745609321E-11</v>
      </c>
      <c r="N296" s="17">
        <f>10*LOG10(M296/E296)</f>
        <v>-108.00548753587091</v>
      </c>
      <c r="O296" s="9">
        <f t="shared" si="40"/>
        <v>-17.7</v>
      </c>
      <c r="P296" s="8">
        <f>D296/B296*10^(O296/10)</f>
        <v>0.33398791831747615</v>
      </c>
      <c r="Q296" s="26">
        <f>SUM(P296:P301)</f>
        <v>0.78439448179804172</v>
      </c>
      <c r="R296" s="17">
        <f>10*LOG10(Q296)</f>
        <v>-1.0546547024786683</v>
      </c>
      <c r="S296" s="18">
        <f>F296+N296-Kzt-H</f>
        <v>-24.005487535870913</v>
      </c>
      <c r="T296" s="17">
        <v>0.5</v>
      </c>
      <c r="U296" s="21">
        <f>T296*10^((S296-R296)/10)</f>
        <v>2.5344674676080667E-3</v>
      </c>
    </row>
    <row r="297" spans="1:21" x14ac:dyDescent="0.25">
      <c r="A297" s="24"/>
      <c r="B297" s="24"/>
      <c r="C297" s="17"/>
      <c r="D297" s="24"/>
      <c r="E297" s="24"/>
      <c r="F297" s="25"/>
      <c r="G297" s="1">
        <v>425</v>
      </c>
      <c r="H297" s="2">
        <v>88.1</v>
      </c>
      <c r="I297" s="2">
        <v>-16.3</v>
      </c>
      <c r="J297" s="2">
        <v>-28.6</v>
      </c>
      <c r="K297" s="2">
        <f t="shared" si="38"/>
        <v>-16.3</v>
      </c>
      <c r="L297" s="8">
        <f t="shared" si="41"/>
        <v>3.6307805477010142E-11</v>
      </c>
      <c r="M297" s="26"/>
      <c r="N297" s="17"/>
      <c r="O297" s="9">
        <f t="shared" si="40"/>
        <v>-28.6</v>
      </c>
      <c r="P297" s="8">
        <f>D296/B296*10^(O297/10)</f>
        <v>2.7147557203856709E-2</v>
      </c>
      <c r="Q297" s="26"/>
      <c r="R297" s="17"/>
      <c r="S297" s="19"/>
      <c r="T297" s="17"/>
      <c r="U297" s="22"/>
    </row>
    <row r="298" spans="1:21" x14ac:dyDescent="0.25">
      <c r="A298" s="24"/>
      <c r="B298" s="24"/>
      <c r="C298" s="17"/>
      <c r="D298" s="24"/>
      <c r="E298" s="24"/>
      <c r="F298" s="25"/>
      <c r="G298" s="1">
        <v>475</v>
      </c>
      <c r="H298" s="2">
        <v>90</v>
      </c>
      <c r="I298" s="2">
        <v>-15.7</v>
      </c>
      <c r="J298" s="2">
        <v>-22.4</v>
      </c>
      <c r="K298" s="2">
        <f t="shared" si="38"/>
        <v>-15.7</v>
      </c>
      <c r="L298" s="8">
        <f>10^((K298-H298)/10)</f>
        <v>2.6915348039269103E-11</v>
      </c>
      <c r="M298" s="26"/>
      <c r="N298" s="17"/>
      <c r="O298" s="9">
        <f t="shared" si="40"/>
        <v>-22.4</v>
      </c>
      <c r="P298" s="8">
        <f>D296/B296*10^(O298/10)</f>
        <v>0.11316985434297422</v>
      </c>
      <c r="Q298" s="26"/>
      <c r="R298" s="17"/>
      <c r="S298" s="19"/>
      <c r="T298" s="17"/>
      <c r="U298" s="22"/>
    </row>
    <row r="299" spans="1:21" x14ac:dyDescent="0.25">
      <c r="A299" s="24"/>
      <c r="B299" s="24"/>
      <c r="C299" s="17"/>
      <c r="D299" s="24"/>
      <c r="E299" s="24"/>
      <c r="F299" s="25"/>
      <c r="G299" s="1">
        <v>575</v>
      </c>
      <c r="H299" s="2">
        <v>97</v>
      </c>
      <c r="I299" s="2">
        <v>-15.7</v>
      </c>
      <c r="J299" s="2">
        <v>-22.2</v>
      </c>
      <c r="K299" s="2">
        <f t="shared" si="38"/>
        <v>-15.7</v>
      </c>
      <c r="L299" s="8">
        <f t="shared" ref="L299:L325" si="42">10^((K299-H299)/10)</f>
        <v>5.3703179637025143E-12</v>
      </c>
      <c r="M299" s="26"/>
      <c r="N299" s="17"/>
      <c r="O299" s="9">
        <f t="shared" si="40"/>
        <v>-22.2</v>
      </c>
      <c r="P299" s="8">
        <f>D296/B296*10^(O299/10)</f>
        <v>0.11850338526129035</v>
      </c>
      <c r="Q299" s="26"/>
      <c r="R299" s="17"/>
      <c r="S299" s="19"/>
      <c r="T299" s="17"/>
      <c r="U299" s="22"/>
    </row>
    <row r="300" spans="1:21" x14ac:dyDescent="0.25">
      <c r="A300" s="24"/>
      <c r="B300" s="24"/>
      <c r="C300" s="17"/>
      <c r="D300" s="24"/>
      <c r="E300" s="24"/>
      <c r="F300" s="25"/>
      <c r="G300" s="1">
        <v>625</v>
      </c>
      <c r="H300" s="2">
        <v>92</v>
      </c>
      <c r="I300" s="2">
        <v>-20.099999999999998</v>
      </c>
      <c r="J300" s="2">
        <v>-20.7</v>
      </c>
      <c r="K300" s="2">
        <f t="shared" si="38"/>
        <v>-20.099999999999998</v>
      </c>
      <c r="L300" s="8">
        <f t="shared" si="42"/>
        <v>6.1659500186148244E-12</v>
      </c>
      <c r="M300" s="26"/>
      <c r="N300" s="17"/>
      <c r="O300" s="9">
        <f t="shared" si="40"/>
        <v>-20.7</v>
      </c>
      <c r="P300" s="8">
        <f>D296/B296*10^(O300/10)</f>
        <v>0.16739048084646743</v>
      </c>
      <c r="Q300" s="26"/>
      <c r="R300" s="17"/>
      <c r="S300" s="19"/>
      <c r="T300" s="17"/>
      <c r="U300" s="22"/>
    </row>
    <row r="301" spans="1:21" x14ac:dyDescent="0.25">
      <c r="A301" s="24"/>
      <c r="B301" s="24"/>
      <c r="C301" s="17"/>
      <c r="D301" s="24"/>
      <c r="E301" s="24"/>
      <c r="F301" s="25"/>
      <c r="G301" s="1">
        <v>675</v>
      </c>
      <c r="H301" s="2">
        <v>94.5</v>
      </c>
      <c r="I301" s="2">
        <v>-19.100000000000001</v>
      </c>
      <c r="J301" s="2">
        <v>-29.1</v>
      </c>
      <c r="K301" s="2">
        <f t="shared" si="38"/>
        <v>-19.100000000000001</v>
      </c>
      <c r="L301" s="8">
        <f t="shared" si="42"/>
        <v>4.3651583224016522E-12</v>
      </c>
      <c r="M301" s="26"/>
      <c r="N301" s="17"/>
      <c r="O301" s="9">
        <f t="shared" si="40"/>
        <v>-29.1</v>
      </c>
      <c r="P301" s="8">
        <f>D296/B296*10^(O301/10)</f>
        <v>2.4195285825976822E-2</v>
      </c>
      <c r="Q301" s="26"/>
      <c r="R301" s="17"/>
      <c r="S301" s="20"/>
      <c r="T301" s="17"/>
      <c r="U301" s="23"/>
    </row>
    <row r="302" spans="1:21" x14ac:dyDescent="0.25">
      <c r="A302" s="24">
        <v>1000</v>
      </c>
      <c r="B302" s="24">
        <v>3</v>
      </c>
      <c r="C302" s="17">
        <v>0.5</v>
      </c>
      <c r="D302" s="24">
        <v>117</v>
      </c>
      <c r="E302" s="24">
        <v>6</v>
      </c>
      <c r="F302" s="25">
        <v>76</v>
      </c>
      <c r="G302" s="1">
        <v>875</v>
      </c>
      <c r="H302" s="2">
        <v>91.1</v>
      </c>
      <c r="I302" s="2">
        <v>-22.8</v>
      </c>
      <c r="J302" s="2">
        <v>-25.9</v>
      </c>
      <c r="K302" s="2">
        <f t="shared" si="38"/>
        <v>-22.8</v>
      </c>
      <c r="L302" s="8">
        <f t="shared" si="42"/>
        <v>4.0738027780411221E-12</v>
      </c>
      <c r="M302" s="26">
        <f>SUM(L302:L307)</f>
        <v>1.7069203526815297E-11</v>
      </c>
      <c r="N302" s="17">
        <f>10*LOG10(M302/E302)</f>
        <v>-115.45937993591065</v>
      </c>
      <c r="O302" s="9">
        <f t="shared" si="40"/>
        <v>-25.9</v>
      </c>
      <c r="P302" s="8">
        <f>D302/B302*10^(O302/10)</f>
        <v>0.10024543552798568</v>
      </c>
      <c r="Q302" s="26">
        <f>SUM(P302:P307)</f>
        <v>0.99494800232183256</v>
      </c>
      <c r="R302" s="17">
        <f>10*LOG10(Q302)</f>
        <v>-2.1996156309423698E-2</v>
      </c>
      <c r="S302" s="18">
        <f>F302+N302-Kzt-H</f>
        <v>-39.459379935910647</v>
      </c>
      <c r="T302" s="17">
        <v>0.8</v>
      </c>
      <c r="U302" s="21">
        <f>T302*10^((S302-R302)/10)</f>
        <v>9.1065024554775513E-5</v>
      </c>
    </row>
    <row r="303" spans="1:21" x14ac:dyDescent="0.25">
      <c r="A303" s="24"/>
      <c r="B303" s="24"/>
      <c r="C303" s="17"/>
      <c r="D303" s="24"/>
      <c r="E303" s="24"/>
      <c r="F303" s="25"/>
      <c r="G303" s="1">
        <v>975</v>
      </c>
      <c r="H303" s="2">
        <v>96.5</v>
      </c>
      <c r="I303" s="2">
        <v>-19.2</v>
      </c>
      <c r="J303" s="2">
        <v>-27.4</v>
      </c>
      <c r="K303" s="2">
        <f t="shared" si="38"/>
        <v>-19.2</v>
      </c>
      <c r="L303" s="8">
        <f t="shared" si="42"/>
        <v>2.6915348039269074E-12</v>
      </c>
      <c r="M303" s="26"/>
      <c r="N303" s="17"/>
      <c r="O303" s="9">
        <f t="shared" si="40"/>
        <v>-27.4</v>
      </c>
      <c r="P303" s="8">
        <f>D302/B302*10^(O303/10)</f>
        <v>7.096833348578932E-2</v>
      </c>
      <c r="Q303" s="26"/>
      <c r="R303" s="17"/>
      <c r="S303" s="19"/>
      <c r="T303" s="17"/>
      <c r="U303" s="22"/>
    </row>
    <row r="304" spans="1:21" x14ac:dyDescent="0.25">
      <c r="A304" s="24"/>
      <c r="B304" s="24"/>
      <c r="C304" s="17"/>
      <c r="D304" s="24"/>
      <c r="E304" s="24"/>
      <c r="F304" s="25"/>
      <c r="G304" s="1">
        <v>1075</v>
      </c>
      <c r="H304" s="2">
        <v>94.6</v>
      </c>
      <c r="I304" s="2">
        <v>-19.100000000000001</v>
      </c>
      <c r="J304" s="2">
        <v>-19.399999999999999</v>
      </c>
      <c r="K304" s="2">
        <f t="shared" si="38"/>
        <v>-19.100000000000001</v>
      </c>
      <c r="L304" s="8">
        <f t="shared" si="42"/>
        <v>4.2657951880159207E-12</v>
      </c>
      <c r="M304" s="26"/>
      <c r="N304" s="17"/>
      <c r="O304" s="9">
        <f t="shared" si="40"/>
        <v>-19.399999999999999</v>
      </c>
      <c r="P304" s="8">
        <f>D302/B302*10^(O304/10)</f>
        <v>0.44777991238378423</v>
      </c>
      <c r="Q304" s="26"/>
      <c r="R304" s="17"/>
      <c r="S304" s="19"/>
      <c r="T304" s="17"/>
      <c r="U304" s="22"/>
    </row>
    <row r="305" spans="1:21" x14ac:dyDescent="0.25">
      <c r="A305" s="24"/>
      <c r="B305" s="24"/>
      <c r="C305" s="17"/>
      <c r="D305" s="24"/>
      <c r="E305" s="24"/>
      <c r="F305" s="25"/>
      <c r="G305" s="1">
        <v>1175</v>
      </c>
      <c r="H305" s="2">
        <v>97.8</v>
      </c>
      <c r="I305" s="2">
        <v>-19.2</v>
      </c>
      <c r="J305" s="2">
        <v>-28.7</v>
      </c>
      <c r="K305" s="2">
        <f t="shared" si="38"/>
        <v>-19.2</v>
      </c>
      <c r="L305" s="8">
        <f t="shared" si="42"/>
        <v>1.9952623149688759E-12</v>
      </c>
      <c r="M305" s="26"/>
      <c r="N305" s="17"/>
      <c r="O305" s="9">
        <f t="shared" si="40"/>
        <v>-28.7</v>
      </c>
      <c r="P305" s="8">
        <f>D302/B302*10^(O305/10)</f>
        <v>5.2609552421074443E-2</v>
      </c>
      <c r="Q305" s="26"/>
      <c r="R305" s="17"/>
      <c r="S305" s="19"/>
      <c r="T305" s="17"/>
      <c r="U305" s="22"/>
    </row>
    <row r="306" spans="1:21" x14ac:dyDescent="0.25">
      <c r="A306" s="24"/>
      <c r="B306" s="24"/>
      <c r="C306" s="17"/>
      <c r="D306" s="24"/>
      <c r="E306" s="24"/>
      <c r="F306" s="25"/>
      <c r="G306" s="1">
        <v>1275</v>
      </c>
      <c r="H306" s="2">
        <v>100.1</v>
      </c>
      <c r="I306" s="2">
        <v>-14.5</v>
      </c>
      <c r="J306" s="2">
        <v>-25</v>
      </c>
      <c r="K306" s="2">
        <f t="shared" si="38"/>
        <v>-14.5</v>
      </c>
      <c r="L306" s="8">
        <f t="shared" si="42"/>
        <v>3.4673685045253144E-12</v>
      </c>
      <c r="M306" s="26"/>
      <c r="N306" s="17"/>
      <c r="O306" s="9">
        <f t="shared" si="40"/>
        <v>-25</v>
      </c>
      <c r="P306" s="8">
        <f>D302/B302*10^(O306/10)</f>
        <v>0.12332882874656667</v>
      </c>
      <c r="Q306" s="26"/>
      <c r="R306" s="17"/>
      <c r="S306" s="19"/>
      <c r="T306" s="17"/>
      <c r="U306" s="22"/>
    </row>
    <row r="307" spans="1:21" x14ac:dyDescent="0.25">
      <c r="A307" s="24"/>
      <c r="B307" s="24"/>
      <c r="C307" s="17"/>
      <c r="D307" s="24"/>
      <c r="E307" s="24"/>
      <c r="F307" s="25"/>
      <c r="G307" s="1">
        <v>1375</v>
      </c>
      <c r="H307" s="2">
        <v>103</v>
      </c>
      <c r="I307" s="2">
        <v>-19.399999999999999</v>
      </c>
      <c r="J307" s="2">
        <v>-22.9</v>
      </c>
      <c r="K307" s="2">
        <f t="shared" si="38"/>
        <v>-19.399999999999999</v>
      </c>
      <c r="L307" s="8">
        <f t="shared" si="42"/>
        <v>5.7543993733715476E-13</v>
      </c>
      <c r="M307" s="26"/>
      <c r="N307" s="17"/>
      <c r="O307" s="9">
        <f t="shared" si="40"/>
        <v>-22.9</v>
      </c>
      <c r="P307" s="8">
        <f>D302/B302*10^(O307/10)</f>
        <v>0.20001593975663223</v>
      </c>
      <c r="Q307" s="26"/>
      <c r="R307" s="17"/>
      <c r="S307" s="20"/>
      <c r="T307" s="17"/>
      <c r="U307" s="23"/>
    </row>
    <row r="308" spans="1:21" x14ac:dyDescent="0.25">
      <c r="A308" s="24">
        <v>2000</v>
      </c>
      <c r="B308" s="24">
        <v>3</v>
      </c>
      <c r="C308" s="17">
        <v>0.5</v>
      </c>
      <c r="D308" s="24">
        <v>234</v>
      </c>
      <c r="E308" s="24">
        <v>6</v>
      </c>
      <c r="F308" s="25">
        <v>68</v>
      </c>
      <c r="G308" s="1">
        <v>1425</v>
      </c>
      <c r="H308" s="2">
        <v>102.8</v>
      </c>
      <c r="I308" s="2">
        <v>-18.899999999999999</v>
      </c>
      <c r="J308" s="2">
        <v>-24.7</v>
      </c>
      <c r="K308" s="2">
        <f t="shared" si="38"/>
        <v>-18.899999999999999</v>
      </c>
      <c r="L308" s="8">
        <f t="shared" si="42"/>
        <v>6.7608297539198353E-13</v>
      </c>
      <c r="M308" s="26">
        <f>SUM(L308:L313)</f>
        <v>3.1196170227817196E-12</v>
      </c>
      <c r="N308" s="17">
        <f>10*LOG10(M308/E308)</f>
        <v>-122.84049968897747</v>
      </c>
      <c r="O308" s="9">
        <f t="shared" si="40"/>
        <v>-24.7</v>
      </c>
      <c r="P308" s="8">
        <f>D308/B308*10^(O308/10)</f>
        <v>0.26429844178857786</v>
      </c>
      <c r="Q308" s="26">
        <f>SUM(P308:P313)</f>
        <v>1.2172811653703834</v>
      </c>
      <c r="R308" s="17">
        <f>10*LOG10(Q308)</f>
        <v>0.85390902359536891</v>
      </c>
      <c r="S308" s="18">
        <f>F308+N308-Kzt-H</f>
        <v>-54.840499688977474</v>
      </c>
      <c r="T308" s="17">
        <v>1</v>
      </c>
      <c r="U308" s="21">
        <f>T308*10^((S308-R308)/10)</f>
        <v>2.6950022291284517E-6</v>
      </c>
    </row>
    <row r="309" spans="1:21" x14ac:dyDescent="0.25">
      <c r="A309" s="24"/>
      <c r="B309" s="24"/>
      <c r="C309" s="17"/>
      <c r="D309" s="24"/>
      <c r="E309" s="24"/>
      <c r="F309" s="25"/>
      <c r="G309" s="1">
        <v>1625</v>
      </c>
      <c r="H309" s="2">
        <v>104.1</v>
      </c>
      <c r="I309" s="2">
        <v>-22.5</v>
      </c>
      <c r="J309" s="2">
        <v>-22.5</v>
      </c>
      <c r="K309" s="2">
        <f t="shared" si="38"/>
        <v>-22.5</v>
      </c>
      <c r="L309" s="8">
        <f t="shared" si="42"/>
        <v>2.1877616239495453E-13</v>
      </c>
      <c r="M309" s="26"/>
      <c r="N309" s="17"/>
      <c r="O309" s="9">
        <f t="shared" si="40"/>
        <v>-22.5</v>
      </c>
      <c r="P309" s="8">
        <f>D308/B308*10^(O309/10)</f>
        <v>0.43862623364847197</v>
      </c>
      <c r="Q309" s="26"/>
      <c r="R309" s="17"/>
      <c r="S309" s="19"/>
      <c r="T309" s="17"/>
      <c r="U309" s="22"/>
    </row>
    <row r="310" spans="1:21" x14ac:dyDescent="0.25">
      <c r="A310" s="24"/>
      <c r="B310" s="24"/>
      <c r="C310" s="17"/>
      <c r="D310" s="24"/>
      <c r="E310" s="24"/>
      <c r="F310" s="25"/>
      <c r="G310" s="1">
        <v>1825</v>
      </c>
      <c r="H310" s="2">
        <v>107.6</v>
      </c>
      <c r="I310" s="2">
        <v>-15.2</v>
      </c>
      <c r="J310" s="2">
        <v>-30.3</v>
      </c>
      <c r="K310" s="2">
        <f t="shared" si="38"/>
        <v>-15.2</v>
      </c>
      <c r="L310" s="8">
        <f t="shared" si="42"/>
        <v>5.2480746024977259E-13</v>
      </c>
      <c r="M310" s="26"/>
      <c r="N310" s="17"/>
      <c r="O310" s="9">
        <f t="shared" si="40"/>
        <v>-30.3</v>
      </c>
      <c r="P310" s="8">
        <f>D308/B308*10^(O310/10)</f>
        <v>7.279383546216521E-2</v>
      </c>
      <c r="Q310" s="26"/>
      <c r="R310" s="17"/>
      <c r="S310" s="19"/>
      <c r="T310" s="17"/>
      <c r="U310" s="22"/>
    </row>
    <row r="311" spans="1:21" x14ac:dyDescent="0.25">
      <c r="A311" s="24"/>
      <c r="B311" s="24"/>
      <c r="C311" s="17"/>
      <c r="D311" s="24"/>
      <c r="E311" s="24"/>
      <c r="F311" s="25"/>
      <c r="G311" s="1">
        <v>2125</v>
      </c>
      <c r="H311" s="2">
        <v>104.2</v>
      </c>
      <c r="I311" s="2">
        <v>-23.1</v>
      </c>
      <c r="J311" s="2">
        <v>-25.9</v>
      </c>
      <c r="K311" s="2">
        <f t="shared" si="38"/>
        <v>-23.1</v>
      </c>
      <c r="L311" s="8">
        <f t="shared" si="42"/>
        <v>1.8620871366628623E-13</v>
      </c>
      <c r="M311" s="26"/>
      <c r="N311" s="17"/>
      <c r="O311" s="9">
        <f t="shared" si="40"/>
        <v>-25.9</v>
      </c>
      <c r="P311" s="8">
        <f>D308/B308*10^(O311/10)</f>
        <v>0.20049087105597135</v>
      </c>
      <c r="Q311" s="26"/>
      <c r="R311" s="17"/>
      <c r="S311" s="19"/>
      <c r="T311" s="17"/>
      <c r="U311" s="22"/>
    </row>
    <row r="312" spans="1:21" x14ac:dyDescent="0.25">
      <c r="A312" s="24"/>
      <c r="B312" s="24"/>
      <c r="C312" s="17"/>
      <c r="D312" s="24"/>
      <c r="E312" s="24"/>
      <c r="F312" s="25"/>
      <c r="G312" s="1">
        <v>2425</v>
      </c>
      <c r="H312" s="2">
        <v>93.7</v>
      </c>
      <c r="I312" s="2">
        <v>-25.6</v>
      </c>
      <c r="J312" s="2">
        <v>-31.6</v>
      </c>
      <c r="K312" s="2">
        <f t="shared" si="38"/>
        <v>-25.6</v>
      </c>
      <c r="L312" s="8">
        <f t="shared" si="42"/>
        <v>1.1748975549395215E-12</v>
      </c>
      <c r="M312" s="26"/>
      <c r="N312" s="17"/>
      <c r="O312" s="9">
        <f t="shared" si="40"/>
        <v>-31.6</v>
      </c>
      <c r="P312" s="8">
        <f>D308/B308*10^(O312/10)</f>
        <v>5.3962815731676994E-2</v>
      </c>
      <c r="Q312" s="26"/>
      <c r="R312" s="17"/>
      <c r="S312" s="19"/>
      <c r="T312" s="17"/>
      <c r="U312" s="22"/>
    </row>
    <row r="313" spans="1:21" x14ac:dyDescent="0.25">
      <c r="A313" s="24"/>
      <c r="B313" s="24"/>
      <c r="C313" s="17"/>
      <c r="D313" s="24"/>
      <c r="E313" s="24"/>
      <c r="F313" s="25"/>
      <c r="G313" s="1">
        <v>2775</v>
      </c>
      <c r="H313" s="2">
        <v>100.2</v>
      </c>
      <c r="I313" s="2">
        <v>-24.5</v>
      </c>
      <c r="J313" s="2">
        <v>-26.2</v>
      </c>
      <c r="K313" s="2">
        <f t="shared" si="38"/>
        <v>-24.5</v>
      </c>
      <c r="L313" s="8">
        <f t="shared" si="42"/>
        <v>3.3884415613920079E-13</v>
      </c>
      <c r="M313" s="26"/>
      <c r="N313" s="17"/>
      <c r="O313" s="9">
        <f t="shared" si="40"/>
        <v>-26.2</v>
      </c>
      <c r="P313" s="8">
        <f>D308/B308*10^(O313/10)</f>
        <v>0.18710896768352012</v>
      </c>
      <c r="Q313" s="26"/>
      <c r="R313" s="17"/>
      <c r="S313" s="20"/>
      <c r="T313" s="17"/>
      <c r="U313" s="23"/>
    </row>
    <row r="314" spans="1:21" x14ac:dyDescent="0.25">
      <c r="A314" s="24">
        <v>4000</v>
      </c>
      <c r="B314" s="24">
        <v>3</v>
      </c>
      <c r="C314" s="17">
        <v>0.5</v>
      </c>
      <c r="D314" s="24">
        <v>470</v>
      </c>
      <c r="E314" s="24">
        <v>6</v>
      </c>
      <c r="F314" s="25">
        <v>62</v>
      </c>
      <c r="G314" s="1">
        <v>2825</v>
      </c>
      <c r="H314" s="2">
        <v>99.4</v>
      </c>
      <c r="I314" s="2">
        <v>-16.7</v>
      </c>
      <c r="J314" s="2">
        <v>-18.2</v>
      </c>
      <c r="K314" s="2">
        <f t="shared" si="38"/>
        <v>-16.7</v>
      </c>
      <c r="L314" s="8">
        <f t="shared" si="42"/>
        <v>2.4547089156850148E-12</v>
      </c>
      <c r="M314" s="26">
        <f>SUM(L314:L319)</f>
        <v>6.5655095049505448E-12</v>
      </c>
      <c r="N314" s="17">
        <f>10*LOG10(M314/E314)</f>
        <v>-119.60882815982143</v>
      </c>
      <c r="O314" s="9">
        <f t="shared" si="40"/>
        <v>-18.2</v>
      </c>
      <c r="P314" s="8">
        <f>D314/B314*10^(O314/10)</f>
        <v>2.3712459558833916</v>
      </c>
      <c r="Q314" s="26">
        <f>SUM(P314:P319)</f>
        <v>5.4480991480686178</v>
      </c>
      <c r="R314" s="17">
        <f>10*LOG10(Q314)</f>
        <v>7.3624500255143897</v>
      </c>
      <c r="S314" s="18">
        <f>F314+N314-Kzt-H</f>
        <v>-57.608828159821428</v>
      </c>
      <c r="T314" s="17">
        <v>0.9</v>
      </c>
      <c r="U314" s="21">
        <f>T314*10^((S314-R314)/10)</f>
        <v>2.8649344578623358E-7</v>
      </c>
    </row>
    <row r="315" spans="1:21" x14ac:dyDescent="0.25">
      <c r="A315" s="24"/>
      <c r="B315" s="24"/>
      <c r="C315" s="17"/>
      <c r="D315" s="24"/>
      <c r="E315" s="24"/>
      <c r="F315" s="25"/>
      <c r="G315" s="1">
        <v>3425</v>
      </c>
      <c r="H315" s="2">
        <v>103.5</v>
      </c>
      <c r="I315" s="2">
        <v>-16.7</v>
      </c>
      <c r="J315" s="2">
        <v>-18.5</v>
      </c>
      <c r="K315" s="2">
        <f t="shared" si="38"/>
        <v>-16.7</v>
      </c>
      <c r="L315" s="8">
        <f t="shared" si="42"/>
        <v>9.5499258602143367E-13</v>
      </c>
      <c r="M315" s="26"/>
      <c r="N315" s="17"/>
      <c r="O315" s="9">
        <f t="shared" si="40"/>
        <v>-18.5</v>
      </c>
      <c r="P315" s="8">
        <f>D314/B314*10^(O315/10)</f>
        <v>2.2129754865756457</v>
      </c>
      <c r="Q315" s="26"/>
      <c r="R315" s="17"/>
      <c r="S315" s="19"/>
      <c r="T315" s="17"/>
      <c r="U315" s="22"/>
    </row>
    <row r="316" spans="1:21" x14ac:dyDescent="0.25">
      <c r="A316" s="24"/>
      <c r="B316" s="24"/>
      <c r="C316" s="17"/>
      <c r="D316" s="24"/>
      <c r="E316" s="24"/>
      <c r="F316" s="25"/>
      <c r="G316" s="1">
        <v>4025</v>
      </c>
      <c r="H316" s="2">
        <v>103.6</v>
      </c>
      <c r="I316" s="2">
        <v>-22.6</v>
      </c>
      <c r="J316" s="2">
        <v>-29.5</v>
      </c>
      <c r="K316" s="2">
        <f t="shared" si="38"/>
        <v>-22.6</v>
      </c>
      <c r="L316" s="8">
        <f t="shared" si="42"/>
        <v>2.3988329190194898E-13</v>
      </c>
      <c r="M316" s="26"/>
      <c r="N316" s="17"/>
      <c r="O316" s="9">
        <f t="shared" si="40"/>
        <v>-29.5</v>
      </c>
      <c r="P316" s="8">
        <f>D314/B314*10^(O316/10)</f>
        <v>0.17578289117397405</v>
      </c>
      <c r="Q316" s="26"/>
      <c r="R316" s="17"/>
      <c r="S316" s="19"/>
      <c r="T316" s="17"/>
      <c r="U316" s="22"/>
    </row>
    <row r="317" spans="1:21" x14ac:dyDescent="0.25">
      <c r="A317" s="24"/>
      <c r="B317" s="24"/>
      <c r="C317" s="17"/>
      <c r="D317" s="24"/>
      <c r="E317" s="24"/>
      <c r="F317" s="25"/>
      <c r="G317" s="1">
        <v>4625</v>
      </c>
      <c r="H317" s="2">
        <v>105.6</v>
      </c>
      <c r="I317" s="2">
        <v>-20.399999999999999</v>
      </c>
      <c r="J317" s="2">
        <v>-30.8</v>
      </c>
      <c r="K317" s="2">
        <f t="shared" si="38"/>
        <v>-20.399999999999999</v>
      </c>
      <c r="L317" s="8">
        <f t="shared" si="42"/>
        <v>2.511886431509579E-13</v>
      </c>
      <c r="M317" s="26"/>
      <c r="N317" s="17"/>
      <c r="O317" s="9">
        <f t="shared" si="40"/>
        <v>-30.8</v>
      </c>
      <c r="P317" s="8">
        <f>D314/B314*10^(O317/10)</f>
        <v>0.13030965747275167</v>
      </c>
      <c r="Q317" s="26"/>
      <c r="R317" s="17"/>
      <c r="S317" s="19"/>
      <c r="T317" s="17"/>
      <c r="U317" s="22"/>
    </row>
    <row r="318" spans="1:21" x14ac:dyDescent="0.25">
      <c r="A318" s="24"/>
      <c r="B318" s="24"/>
      <c r="C318" s="17"/>
      <c r="D318" s="24"/>
      <c r="E318" s="24"/>
      <c r="F318" s="25"/>
      <c r="G318" s="1">
        <v>5225</v>
      </c>
      <c r="H318" s="2">
        <v>103.5</v>
      </c>
      <c r="I318" s="2">
        <v>-18.899999999999999</v>
      </c>
      <c r="J318" s="2">
        <v>-27.3</v>
      </c>
      <c r="K318" s="2">
        <f t="shared" si="38"/>
        <v>-18.899999999999999</v>
      </c>
      <c r="L318" s="8">
        <f t="shared" si="42"/>
        <v>5.7543993733715476E-13</v>
      </c>
      <c r="M318" s="26"/>
      <c r="N318" s="17"/>
      <c r="O318" s="9">
        <f t="shared" si="40"/>
        <v>-27.3</v>
      </c>
      <c r="P318" s="8">
        <f>D314/B314*10^(O318/10)</f>
        <v>0.29172698474384906</v>
      </c>
      <c r="Q318" s="26"/>
      <c r="R318" s="17"/>
      <c r="S318" s="19"/>
      <c r="T318" s="17"/>
      <c r="U318" s="22"/>
    </row>
    <row r="319" spans="1:21" x14ac:dyDescent="0.25">
      <c r="A319" s="24"/>
      <c r="B319" s="24"/>
      <c r="C319" s="17"/>
      <c r="D319" s="24"/>
      <c r="E319" s="24"/>
      <c r="F319" s="25"/>
      <c r="G319" s="1">
        <v>5625</v>
      </c>
      <c r="H319" s="2">
        <v>99.5</v>
      </c>
      <c r="I319" s="2">
        <v>-17.3</v>
      </c>
      <c r="J319" s="2">
        <v>-27.7</v>
      </c>
      <c r="K319" s="2">
        <f t="shared" si="38"/>
        <v>-17.3</v>
      </c>
      <c r="L319" s="8">
        <f t="shared" si="42"/>
        <v>2.0892961308540349E-12</v>
      </c>
      <c r="M319" s="26"/>
      <c r="N319" s="17"/>
      <c r="O319" s="9">
        <f t="shared" si="40"/>
        <v>-27.7</v>
      </c>
      <c r="P319" s="8">
        <f>D314/B314*10^(O319/10)</f>
        <v>0.26605817221900629</v>
      </c>
      <c r="Q319" s="26"/>
      <c r="R319" s="17"/>
      <c r="S319" s="20"/>
      <c r="T319" s="17"/>
      <c r="U319" s="23"/>
    </row>
    <row r="320" spans="1:21" x14ac:dyDescent="0.25">
      <c r="A320" s="24">
        <v>8000</v>
      </c>
      <c r="B320" s="24">
        <v>3</v>
      </c>
      <c r="C320" s="17">
        <v>0.5</v>
      </c>
      <c r="D320" s="24">
        <v>943</v>
      </c>
      <c r="E320" s="24">
        <v>6</v>
      </c>
      <c r="F320" s="25">
        <v>54</v>
      </c>
      <c r="G320" s="1">
        <v>6025</v>
      </c>
      <c r="H320" s="2">
        <v>95</v>
      </c>
      <c r="I320" s="2">
        <v>-15.6</v>
      </c>
      <c r="J320" s="2">
        <v>-27</v>
      </c>
      <c r="K320" s="2">
        <f t="shared" si="38"/>
        <v>-15.6</v>
      </c>
      <c r="L320" s="8">
        <f t="shared" si="42"/>
        <v>8.7096358995607975E-12</v>
      </c>
      <c r="M320" s="26">
        <f>SUM(L320:L325)</f>
        <v>1.26078262591518E-10</v>
      </c>
      <c r="N320" s="17">
        <f>10*LOG10(M320/E320)</f>
        <v>-106.77511034947202</v>
      </c>
      <c r="O320" s="9">
        <f t="shared" si="40"/>
        <v>-27</v>
      </c>
      <c r="P320" s="8">
        <f>D320/B320*10^(O320/10)</f>
        <v>0.62717745433855066</v>
      </c>
      <c r="Q320" s="26">
        <f>SUM(P320:P325)</f>
        <v>16.168979302220897</v>
      </c>
      <c r="R320" s="17">
        <f>10*LOG10(Q320)</f>
        <v>12.086826051009332</v>
      </c>
      <c r="S320" s="18">
        <f>F320+N320-Kzt-H</f>
        <v>-52.775110349472016</v>
      </c>
      <c r="T320" s="17">
        <v>0.7</v>
      </c>
      <c r="U320" s="21">
        <f>T320*10^((S320-R320)/10)</f>
        <v>2.2850957362524591E-7</v>
      </c>
    </row>
    <row r="321" spans="1:21" x14ac:dyDescent="0.25">
      <c r="A321" s="24"/>
      <c r="B321" s="24"/>
      <c r="C321" s="17"/>
      <c r="D321" s="24"/>
      <c r="E321" s="24"/>
      <c r="F321" s="25"/>
      <c r="G321" s="1">
        <v>7025</v>
      </c>
      <c r="H321" s="2">
        <v>94.8</v>
      </c>
      <c r="I321" s="2">
        <v>-21.6</v>
      </c>
      <c r="J321" s="2">
        <v>-24.5</v>
      </c>
      <c r="K321" s="2">
        <f t="shared" si="38"/>
        <v>-21.6</v>
      </c>
      <c r="L321" s="8">
        <f t="shared" si="42"/>
        <v>2.2908676527677675E-12</v>
      </c>
      <c r="M321" s="26"/>
      <c r="N321" s="17"/>
      <c r="O321" s="9">
        <f t="shared" si="40"/>
        <v>-24.5</v>
      </c>
      <c r="P321" s="8">
        <f>D320/B320*10^(O321/10)</f>
        <v>1.1152967534908715</v>
      </c>
      <c r="Q321" s="26"/>
      <c r="R321" s="17"/>
      <c r="S321" s="19"/>
      <c r="T321" s="17"/>
      <c r="U321" s="22"/>
    </row>
    <row r="322" spans="1:21" x14ac:dyDescent="0.25">
      <c r="A322" s="24"/>
      <c r="B322" s="24"/>
      <c r="C322" s="17"/>
      <c r="D322" s="24"/>
      <c r="E322" s="24"/>
      <c r="F322" s="25"/>
      <c r="G322" s="1">
        <v>8025</v>
      </c>
      <c r="H322" s="2">
        <v>101.9</v>
      </c>
      <c r="I322" s="2">
        <v>-14.3</v>
      </c>
      <c r="J322" s="2">
        <v>-20.2</v>
      </c>
      <c r="K322" s="2">
        <f t="shared" si="38"/>
        <v>-14.3</v>
      </c>
      <c r="L322" s="8">
        <f t="shared" si="42"/>
        <v>2.3988329190194755E-12</v>
      </c>
      <c r="M322" s="26"/>
      <c r="N322" s="17"/>
      <c r="O322" s="9">
        <f t="shared" si="40"/>
        <v>-20.2</v>
      </c>
      <c r="P322" s="8">
        <f>D320/B320*10^(O322/10)</f>
        <v>3.0018600287273793</v>
      </c>
      <c r="Q322" s="26"/>
      <c r="R322" s="17"/>
      <c r="S322" s="19"/>
      <c r="T322" s="17"/>
      <c r="U322" s="22"/>
    </row>
    <row r="323" spans="1:21" x14ac:dyDescent="0.25">
      <c r="A323" s="24"/>
      <c r="B323" s="24"/>
      <c r="C323" s="17"/>
      <c r="D323" s="24"/>
      <c r="E323" s="24"/>
      <c r="F323" s="25"/>
      <c r="G323" s="1">
        <v>9025</v>
      </c>
      <c r="H323" s="2">
        <v>93.2</v>
      </c>
      <c r="I323" s="2">
        <v>-17</v>
      </c>
      <c r="J323" s="2">
        <v>-18.5</v>
      </c>
      <c r="K323" s="2">
        <f t="shared" si="38"/>
        <v>-17</v>
      </c>
      <c r="L323" s="8">
        <f t="shared" si="42"/>
        <v>9.5499258602143472E-12</v>
      </c>
      <c r="M323" s="26"/>
      <c r="N323" s="17"/>
      <c r="O323" s="9">
        <f t="shared" si="40"/>
        <v>-18.5</v>
      </c>
      <c r="P323" s="8">
        <f>D320/B320*10^(O323/10)</f>
        <v>4.4400763485975192</v>
      </c>
      <c r="Q323" s="26"/>
      <c r="R323" s="17"/>
      <c r="S323" s="19"/>
      <c r="T323" s="17"/>
      <c r="U323" s="22"/>
    </row>
    <row r="324" spans="1:21" x14ac:dyDescent="0.25">
      <c r="A324" s="24"/>
      <c r="B324" s="24"/>
      <c r="C324" s="17"/>
      <c r="D324" s="24"/>
      <c r="E324" s="24"/>
      <c r="F324" s="25"/>
      <c r="G324" s="1">
        <v>10025</v>
      </c>
      <c r="H324" s="2">
        <v>88.3</v>
      </c>
      <c r="I324" s="2">
        <v>-18.7</v>
      </c>
      <c r="J324" s="2">
        <v>-19.3</v>
      </c>
      <c r="K324" s="2">
        <f t="shared" si="38"/>
        <v>-18.7</v>
      </c>
      <c r="L324" s="8">
        <f t="shared" si="42"/>
        <v>1.995262314968878E-11</v>
      </c>
      <c r="M324" s="26"/>
      <c r="N324" s="17"/>
      <c r="O324" s="9">
        <f t="shared" si="40"/>
        <v>-19.3</v>
      </c>
      <c r="P324" s="8">
        <f>D320/B320*10^(O324/10)</f>
        <v>3.6930946476932505</v>
      </c>
      <c r="Q324" s="26"/>
      <c r="R324" s="17"/>
      <c r="S324" s="19"/>
      <c r="T324" s="17"/>
      <c r="U324" s="22"/>
    </row>
    <row r="325" spans="1:21" x14ac:dyDescent="0.25">
      <c r="A325" s="24"/>
      <c r="B325" s="24"/>
      <c r="C325" s="17"/>
      <c r="D325" s="24"/>
      <c r="E325" s="24"/>
      <c r="F325" s="25"/>
      <c r="G325" s="1">
        <v>11025</v>
      </c>
      <c r="H325" s="2">
        <v>86</v>
      </c>
      <c r="I325" s="2">
        <v>-14.8</v>
      </c>
      <c r="J325" s="2">
        <v>-19.8</v>
      </c>
      <c r="K325" s="2">
        <f t="shared" si="38"/>
        <v>-14.8</v>
      </c>
      <c r="L325" s="8">
        <f t="shared" si="42"/>
        <v>8.3176377110266833E-11</v>
      </c>
      <c r="M325" s="26"/>
      <c r="N325" s="17"/>
      <c r="O325" s="9">
        <f t="shared" si="40"/>
        <v>-19.8</v>
      </c>
      <c r="P325" s="8">
        <f>D320/B320*10^(O325/10)</f>
        <v>3.2914740693733253</v>
      </c>
      <c r="Q325" s="26"/>
      <c r="R325" s="17"/>
      <c r="S325" s="20"/>
      <c r="T325" s="17"/>
      <c r="U325" s="23"/>
    </row>
    <row r="326" spans="1:21" x14ac:dyDescent="0.25">
      <c r="A326" s="24" t="s">
        <v>20</v>
      </c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12">
        <f>U326</f>
        <v>8.9559714860130063E-2</v>
      </c>
      <c r="T326" s="2"/>
      <c r="U326" s="8">
        <f>0.8*SQRT(SUM(U292:U325))</f>
        <v>8.9559714860130063E-2</v>
      </c>
    </row>
    <row r="327" spans="1:21" x14ac:dyDescent="0.25">
      <c r="A327" s="27" t="s">
        <v>61</v>
      </c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9"/>
    </row>
    <row r="328" spans="1:21" x14ac:dyDescent="0.25">
      <c r="A328" s="24">
        <v>250</v>
      </c>
      <c r="B328" s="24">
        <v>3</v>
      </c>
      <c r="C328" s="17">
        <v>0.5</v>
      </c>
      <c r="D328" s="24">
        <v>38</v>
      </c>
      <c r="E328" s="24">
        <v>4</v>
      </c>
      <c r="F328" s="25">
        <v>84</v>
      </c>
      <c r="G328" s="1">
        <v>175</v>
      </c>
      <c r="H328" s="2">
        <v>84.8</v>
      </c>
      <c r="I328" s="2">
        <v>-18.399999999999999</v>
      </c>
      <c r="J328" s="2">
        <v>-22.7</v>
      </c>
      <c r="K328" s="2">
        <f>I328</f>
        <v>-18.399999999999999</v>
      </c>
      <c r="L328" s="8">
        <f>10^((K328-H328)/10)</f>
        <v>4.7863009232263962E-11</v>
      </c>
      <c r="M328" s="26">
        <f>SUM(L328:L331)</f>
        <v>7.4736585089081915E-11</v>
      </c>
      <c r="N328" s="17">
        <f>10*LOG10(M328/E328)</f>
        <v>-107.28526741416836</v>
      </c>
      <c r="O328" s="9">
        <f>J328</f>
        <v>-22.7</v>
      </c>
      <c r="P328" s="8">
        <f>D328/B328*10^(O328/10)</f>
        <v>6.8024027540231971E-2</v>
      </c>
      <c r="Q328" s="26">
        <f>SUM(P328:P331)</f>
        <v>0.28096889185197471</v>
      </c>
      <c r="R328" s="17">
        <f>10*LOG10(Q328)</f>
        <v>-5.5134176139350899</v>
      </c>
      <c r="S328" s="18">
        <f>F328+N328-Kzt-H</f>
        <v>-23.285267414168359</v>
      </c>
      <c r="T328" s="17">
        <v>0.2</v>
      </c>
      <c r="U328" s="21">
        <f>T328*10^((S328-R328)/10)</f>
        <v>3.340757988993478E-3</v>
      </c>
    </row>
    <row r="329" spans="1:21" x14ac:dyDescent="0.25">
      <c r="A329" s="24"/>
      <c r="B329" s="24"/>
      <c r="C329" s="17"/>
      <c r="D329" s="24"/>
      <c r="E329" s="24"/>
      <c r="F329" s="25"/>
      <c r="G329" s="1">
        <v>225</v>
      </c>
      <c r="H329" s="2">
        <v>90</v>
      </c>
      <c r="I329" s="2">
        <v>-17.5</v>
      </c>
      <c r="J329" s="2">
        <v>-27.1</v>
      </c>
      <c r="K329" s="2">
        <f t="shared" ref="K329:K361" si="43">I329</f>
        <v>-17.5</v>
      </c>
      <c r="L329" s="8">
        <f t="shared" ref="L329:L330" si="44">10^((K329-H329)/10)</f>
        <v>1.7782794100389159E-11</v>
      </c>
      <c r="M329" s="26"/>
      <c r="N329" s="17"/>
      <c r="O329" s="9">
        <f t="shared" ref="O329:O361" si="45">J329</f>
        <v>-27.1</v>
      </c>
      <c r="P329" s="8">
        <f>D328/B328*10^(O329/10)</f>
        <v>2.4698031596935222E-2</v>
      </c>
      <c r="Q329" s="26"/>
      <c r="R329" s="17"/>
      <c r="S329" s="19"/>
      <c r="T329" s="17"/>
      <c r="U329" s="22"/>
    </row>
    <row r="330" spans="1:21" x14ac:dyDescent="0.25">
      <c r="A330" s="24"/>
      <c r="B330" s="24"/>
      <c r="C330" s="17"/>
      <c r="D330" s="24"/>
      <c r="E330" s="24"/>
      <c r="F330" s="25"/>
      <c r="G330" s="1">
        <v>275</v>
      </c>
      <c r="H330" s="2">
        <v>92.2</v>
      </c>
      <c r="I330" s="2">
        <v>-20.3</v>
      </c>
      <c r="J330" s="2">
        <v>-21</v>
      </c>
      <c r="K330" s="2">
        <f t="shared" si="43"/>
        <v>-20.3</v>
      </c>
      <c r="L330" s="8">
        <f t="shared" si="44"/>
        <v>5.6234132519034759E-12</v>
      </c>
      <c r="M330" s="26"/>
      <c r="N330" s="17"/>
      <c r="O330" s="9">
        <f t="shared" si="45"/>
        <v>-21</v>
      </c>
      <c r="P330" s="8">
        <f>D328/B328*10^(O330/10)</f>
        <v>0.10061490973174228</v>
      </c>
      <c r="Q330" s="26"/>
      <c r="R330" s="17"/>
      <c r="S330" s="19"/>
      <c r="T330" s="17"/>
      <c r="U330" s="22"/>
    </row>
    <row r="331" spans="1:21" x14ac:dyDescent="0.25">
      <c r="A331" s="24"/>
      <c r="B331" s="24"/>
      <c r="C331" s="17"/>
      <c r="D331" s="24"/>
      <c r="E331" s="24"/>
      <c r="F331" s="25"/>
      <c r="G331" s="1">
        <v>325</v>
      </c>
      <c r="H331" s="2">
        <v>93.3</v>
      </c>
      <c r="I331" s="2">
        <v>-21.3</v>
      </c>
      <c r="J331" s="2">
        <v>-21.6</v>
      </c>
      <c r="K331" s="2">
        <f t="shared" si="43"/>
        <v>-21.3</v>
      </c>
      <c r="L331" s="8">
        <f>10^((K331-H331)/10)</f>
        <v>3.4673685045253144E-12</v>
      </c>
      <c r="M331" s="26"/>
      <c r="N331" s="17"/>
      <c r="O331" s="9">
        <f t="shared" si="45"/>
        <v>-21.6</v>
      </c>
      <c r="P331" s="8">
        <f>D328/B328*10^(O331/10)</f>
        <v>8.7631922983065227E-2</v>
      </c>
      <c r="Q331" s="26"/>
      <c r="R331" s="17"/>
      <c r="S331" s="20"/>
      <c r="T331" s="17"/>
      <c r="U331" s="23"/>
    </row>
    <row r="332" spans="1:21" x14ac:dyDescent="0.25">
      <c r="A332" s="24">
        <v>500</v>
      </c>
      <c r="B332" s="24">
        <v>3</v>
      </c>
      <c r="C332" s="17">
        <v>0.5</v>
      </c>
      <c r="D332" s="24">
        <v>59</v>
      </c>
      <c r="E332" s="24">
        <v>6</v>
      </c>
      <c r="F332" s="25">
        <v>84</v>
      </c>
      <c r="G332" s="1">
        <v>375</v>
      </c>
      <c r="H332" s="2">
        <v>91.9</v>
      </c>
      <c r="I332" s="2">
        <v>-21.4</v>
      </c>
      <c r="J332" s="2">
        <v>-25.7</v>
      </c>
      <c r="K332" s="2">
        <f t="shared" si="43"/>
        <v>-21.4</v>
      </c>
      <c r="L332" s="8">
        <f t="shared" ref="L332:L333" si="46">10^((K332-H332)/10)</f>
        <v>4.6773514128719567E-12</v>
      </c>
      <c r="M332" s="26">
        <f>SUM(L332:L337)</f>
        <v>2.6660628673389651E-11</v>
      </c>
      <c r="N332" s="17">
        <f>10*LOG10(M332/E332)</f>
        <v>-113.52280864264358</v>
      </c>
      <c r="O332" s="9">
        <f t="shared" si="45"/>
        <v>-25.7</v>
      </c>
      <c r="P332" s="8">
        <f>D332/B332*10^(O332/10)</f>
        <v>5.2933517810562658E-2</v>
      </c>
      <c r="Q332" s="26">
        <f>SUM(P332:P337)</f>
        <v>0.264484923729426</v>
      </c>
      <c r="R332" s="17">
        <f>10*LOG10(Q332)</f>
        <v>-5.7759907874307572</v>
      </c>
      <c r="S332" s="18">
        <f>F332+N332-Kzt-H</f>
        <v>-29.522808642643582</v>
      </c>
      <c r="T332" s="17">
        <v>0.5</v>
      </c>
      <c r="U332" s="21">
        <f>T332*10^((S332-R332)/10)</f>
        <v>2.1100280019713882E-3</v>
      </c>
    </row>
    <row r="333" spans="1:21" x14ac:dyDescent="0.25">
      <c r="A333" s="24"/>
      <c r="B333" s="24"/>
      <c r="C333" s="17"/>
      <c r="D333" s="24"/>
      <c r="E333" s="24"/>
      <c r="F333" s="25"/>
      <c r="G333" s="1">
        <v>425</v>
      </c>
      <c r="H333" s="2">
        <v>88.1</v>
      </c>
      <c r="I333" s="2">
        <v>-21.7</v>
      </c>
      <c r="J333" s="2">
        <v>-28.5</v>
      </c>
      <c r="K333" s="2">
        <f t="shared" si="43"/>
        <v>-21.7</v>
      </c>
      <c r="L333" s="8">
        <f t="shared" si="46"/>
        <v>1.0471285480508978E-11</v>
      </c>
      <c r="M333" s="26"/>
      <c r="N333" s="17"/>
      <c r="O333" s="9">
        <f t="shared" si="45"/>
        <v>-28.5</v>
      </c>
      <c r="P333" s="8">
        <f>D332/B332*10^(O333/10)</f>
        <v>2.7779905044247471E-2</v>
      </c>
      <c r="Q333" s="26"/>
      <c r="R333" s="17"/>
      <c r="S333" s="19"/>
      <c r="T333" s="17"/>
      <c r="U333" s="22"/>
    </row>
    <row r="334" spans="1:21" x14ac:dyDescent="0.25">
      <c r="A334" s="24"/>
      <c r="B334" s="24"/>
      <c r="C334" s="17"/>
      <c r="D334" s="24"/>
      <c r="E334" s="24"/>
      <c r="F334" s="25"/>
      <c r="G334" s="1">
        <v>475</v>
      </c>
      <c r="H334" s="2">
        <v>90</v>
      </c>
      <c r="I334" s="2">
        <v>-22.6</v>
      </c>
      <c r="J334" s="2">
        <v>-25.1</v>
      </c>
      <c r="K334" s="2">
        <f t="shared" si="43"/>
        <v>-22.6</v>
      </c>
      <c r="L334" s="8">
        <f>10^((K334-H334)/10)</f>
        <v>5.4954087385762314E-12</v>
      </c>
      <c r="M334" s="26"/>
      <c r="N334" s="17"/>
      <c r="O334" s="9">
        <f t="shared" si="45"/>
        <v>-25.1</v>
      </c>
      <c r="P334" s="8">
        <f>D332/B332*10^(O334/10)</f>
        <v>6.0775810172767231E-2</v>
      </c>
      <c r="Q334" s="26"/>
      <c r="R334" s="17"/>
      <c r="S334" s="19"/>
      <c r="T334" s="17"/>
      <c r="U334" s="22"/>
    </row>
    <row r="335" spans="1:21" x14ac:dyDescent="0.25">
      <c r="A335" s="24"/>
      <c r="B335" s="24"/>
      <c r="C335" s="17"/>
      <c r="D335" s="24"/>
      <c r="E335" s="24"/>
      <c r="F335" s="25"/>
      <c r="G335" s="1">
        <v>575</v>
      </c>
      <c r="H335" s="2">
        <v>97</v>
      </c>
      <c r="I335" s="2">
        <v>-26.1</v>
      </c>
      <c r="J335" s="2">
        <v>-29.6</v>
      </c>
      <c r="K335" s="2">
        <f t="shared" si="43"/>
        <v>-26.1</v>
      </c>
      <c r="L335" s="8">
        <f t="shared" ref="L335:L361" si="47">10^((K335-H335)/10)</f>
        <v>4.8977881936844633E-13</v>
      </c>
      <c r="M335" s="26"/>
      <c r="N335" s="17"/>
      <c r="O335" s="9">
        <f t="shared" si="45"/>
        <v>-29.6</v>
      </c>
      <c r="P335" s="8">
        <f>D332/B332*10^(O335/10)</f>
        <v>2.1564071190815971E-2</v>
      </c>
      <c r="Q335" s="26"/>
      <c r="R335" s="17"/>
      <c r="S335" s="19"/>
      <c r="T335" s="17"/>
      <c r="U335" s="22"/>
    </row>
    <row r="336" spans="1:21" x14ac:dyDescent="0.25">
      <c r="A336" s="24"/>
      <c r="B336" s="24"/>
      <c r="C336" s="17"/>
      <c r="D336" s="24"/>
      <c r="E336" s="24"/>
      <c r="F336" s="25"/>
      <c r="G336" s="1">
        <v>625</v>
      </c>
      <c r="H336" s="2">
        <v>92</v>
      </c>
      <c r="I336" s="2">
        <v>-22.9</v>
      </c>
      <c r="J336" s="2">
        <v>-25</v>
      </c>
      <c r="K336" s="2">
        <f t="shared" si="43"/>
        <v>-22.9</v>
      </c>
      <c r="L336" s="8">
        <f t="shared" si="47"/>
        <v>3.2359365692962695E-12</v>
      </c>
      <c r="M336" s="26"/>
      <c r="N336" s="17"/>
      <c r="O336" s="9">
        <f t="shared" si="45"/>
        <v>-25</v>
      </c>
      <c r="P336" s="8">
        <f>D332/B332*10^(O336/10)</f>
        <v>6.2191460649978075E-2</v>
      </c>
      <c r="Q336" s="26"/>
      <c r="R336" s="17"/>
      <c r="S336" s="19"/>
      <c r="T336" s="17"/>
      <c r="U336" s="22"/>
    </row>
    <row r="337" spans="1:21" x14ac:dyDescent="0.25">
      <c r="A337" s="24"/>
      <c r="B337" s="24"/>
      <c r="C337" s="17"/>
      <c r="D337" s="24"/>
      <c r="E337" s="24"/>
      <c r="F337" s="25"/>
      <c r="G337" s="1">
        <v>675</v>
      </c>
      <c r="H337" s="2">
        <v>94.5</v>
      </c>
      <c r="I337" s="2">
        <v>-21.9</v>
      </c>
      <c r="J337" s="2">
        <v>-27</v>
      </c>
      <c r="K337" s="2">
        <f t="shared" si="43"/>
        <v>-21.9</v>
      </c>
      <c r="L337" s="8">
        <f t="shared" si="47"/>
        <v>2.2908676527677675E-12</v>
      </c>
      <c r="M337" s="26"/>
      <c r="N337" s="17"/>
      <c r="O337" s="9">
        <f t="shared" si="45"/>
        <v>-27</v>
      </c>
      <c r="P337" s="8">
        <f>D332/B332*10^(O337/10)</f>
        <v>3.9240158861054607E-2</v>
      </c>
      <c r="Q337" s="26"/>
      <c r="R337" s="17"/>
      <c r="S337" s="20"/>
      <c r="T337" s="17"/>
      <c r="U337" s="23"/>
    </row>
    <row r="338" spans="1:21" x14ac:dyDescent="0.25">
      <c r="A338" s="24">
        <v>1000</v>
      </c>
      <c r="B338" s="24">
        <v>3</v>
      </c>
      <c r="C338" s="17">
        <v>0.5</v>
      </c>
      <c r="D338" s="24">
        <v>117</v>
      </c>
      <c r="E338" s="24">
        <v>6</v>
      </c>
      <c r="F338" s="25">
        <v>76</v>
      </c>
      <c r="G338" s="1">
        <v>875</v>
      </c>
      <c r="H338" s="2">
        <v>91.1</v>
      </c>
      <c r="I338" s="2">
        <v>-25.8</v>
      </c>
      <c r="J338" s="2">
        <v>-25.9</v>
      </c>
      <c r="K338" s="2">
        <f t="shared" si="43"/>
        <v>-25.8</v>
      </c>
      <c r="L338" s="8">
        <f t="shared" si="47"/>
        <v>2.0417379446695251E-12</v>
      </c>
      <c r="M338" s="26">
        <f>SUM(L338:L343)</f>
        <v>8.7603842490124153E-12</v>
      </c>
      <c r="N338" s="17">
        <f>10*LOG10(M338/E338)</f>
        <v>-118.35628094721736</v>
      </c>
      <c r="O338" s="9">
        <f t="shared" si="45"/>
        <v>-25.9</v>
      </c>
      <c r="P338" s="8">
        <f>D338/B338*10^(O338/10)</f>
        <v>0.10024543552798568</v>
      </c>
      <c r="Q338" s="26">
        <f>SUM(P338:P343)</f>
        <v>0.31482866256583253</v>
      </c>
      <c r="R338" s="17">
        <f>10*LOG10(Q338)</f>
        <v>-5.0192573556482429</v>
      </c>
      <c r="S338" s="18">
        <f>F338+N338-Kzt-H</f>
        <v>-42.356280947217357</v>
      </c>
      <c r="T338" s="17">
        <v>0.8</v>
      </c>
      <c r="U338" s="21">
        <f>T338*10^((S338-R338)/10)</f>
        <v>1.4770242573266282E-4</v>
      </c>
    </row>
    <row r="339" spans="1:21" x14ac:dyDescent="0.25">
      <c r="A339" s="24"/>
      <c r="B339" s="24"/>
      <c r="C339" s="17"/>
      <c r="D339" s="24"/>
      <c r="E339" s="24"/>
      <c r="F339" s="25"/>
      <c r="G339" s="1">
        <v>975</v>
      </c>
      <c r="H339" s="2">
        <v>96.5</v>
      </c>
      <c r="I339" s="2">
        <v>-20.7</v>
      </c>
      <c r="J339" s="2">
        <v>-30.4</v>
      </c>
      <c r="K339" s="2">
        <f t="shared" si="43"/>
        <v>-20.7</v>
      </c>
      <c r="L339" s="8">
        <f t="shared" si="47"/>
        <v>1.905460717963237E-12</v>
      </c>
      <c r="M339" s="26"/>
      <c r="N339" s="17"/>
      <c r="O339" s="9">
        <f t="shared" si="45"/>
        <v>-30.4</v>
      </c>
      <c r="P339" s="8">
        <f>D338/B338*10^(O339/10)</f>
        <v>3.5568422734880437E-2</v>
      </c>
      <c r="Q339" s="26"/>
      <c r="R339" s="17"/>
      <c r="S339" s="19"/>
      <c r="T339" s="17"/>
      <c r="U339" s="22"/>
    </row>
    <row r="340" spans="1:21" x14ac:dyDescent="0.25">
      <c r="A340" s="24"/>
      <c r="B340" s="24"/>
      <c r="C340" s="17"/>
      <c r="D340" s="24"/>
      <c r="E340" s="24"/>
      <c r="F340" s="25"/>
      <c r="G340" s="1">
        <v>1075</v>
      </c>
      <c r="H340" s="2">
        <v>94.6</v>
      </c>
      <c r="I340" s="2">
        <v>-20</v>
      </c>
      <c r="J340" s="2">
        <v>-28.4</v>
      </c>
      <c r="K340" s="2">
        <f t="shared" si="43"/>
        <v>-20</v>
      </c>
      <c r="L340" s="8">
        <f t="shared" si="47"/>
        <v>3.4673685045253144E-12</v>
      </c>
      <c r="M340" s="26"/>
      <c r="N340" s="17"/>
      <c r="O340" s="9">
        <f t="shared" si="45"/>
        <v>-28.4</v>
      </c>
      <c r="P340" s="8">
        <f>D338/B338*10^(O340/10)</f>
        <v>5.6372151059091158E-2</v>
      </c>
      <c r="Q340" s="26"/>
      <c r="R340" s="17"/>
      <c r="S340" s="19"/>
      <c r="T340" s="17"/>
      <c r="U340" s="22"/>
    </row>
    <row r="341" spans="1:21" x14ac:dyDescent="0.25">
      <c r="A341" s="24"/>
      <c r="B341" s="24"/>
      <c r="C341" s="17"/>
      <c r="D341" s="24"/>
      <c r="E341" s="24"/>
      <c r="F341" s="25"/>
      <c r="G341" s="1">
        <v>1175</v>
      </c>
      <c r="H341" s="2">
        <v>97.8</v>
      </c>
      <c r="I341" s="2">
        <v>-24.2</v>
      </c>
      <c r="J341" s="2">
        <v>-29.5</v>
      </c>
      <c r="K341" s="2">
        <f t="shared" si="43"/>
        <v>-24.2</v>
      </c>
      <c r="L341" s="8">
        <f t="shared" si="47"/>
        <v>6.3095734448019283E-13</v>
      </c>
      <c r="M341" s="26"/>
      <c r="N341" s="17"/>
      <c r="O341" s="9">
        <f t="shared" si="45"/>
        <v>-29.5</v>
      </c>
      <c r="P341" s="8">
        <f>D338/B338*10^(O341/10)</f>
        <v>4.3758719717776527E-2</v>
      </c>
      <c r="Q341" s="26"/>
      <c r="R341" s="17"/>
      <c r="S341" s="19"/>
      <c r="T341" s="17"/>
      <c r="U341" s="22"/>
    </row>
    <row r="342" spans="1:21" x14ac:dyDescent="0.25">
      <c r="A342" s="24"/>
      <c r="B342" s="24"/>
      <c r="C342" s="17"/>
      <c r="D342" s="24"/>
      <c r="E342" s="24"/>
      <c r="F342" s="25"/>
      <c r="G342" s="1">
        <v>1275</v>
      </c>
      <c r="H342" s="2">
        <v>100.1</v>
      </c>
      <c r="I342" s="2">
        <v>-22.6</v>
      </c>
      <c r="J342" s="2">
        <v>-34.4</v>
      </c>
      <c r="K342" s="2">
        <f t="shared" si="43"/>
        <v>-22.6</v>
      </c>
      <c r="L342" s="8">
        <f t="shared" si="47"/>
        <v>5.3703179637025273E-13</v>
      </c>
      <c r="M342" s="26"/>
      <c r="N342" s="17"/>
      <c r="O342" s="9">
        <f t="shared" si="45"/>
        <v>-34.4</v>
      </c>
      <c r="P342" s="8">
        <f>D338/B338*10^(O342/10)</f>
        <v>1.4160044136033939E-2</v>
      </c>
      <c r="Q342" s="26"/>
      <c r="R342" s="17"/>
      <c r="S342" s="19"/>
      <c r="T342" s="17"/>
      <c r="U342" s="22"/>
    </row>
    <row r="343" spans="1:21" x14ac:dyDescent="0.25">
      <c r="A343" s="24"/>
      <c r="B343" s="24"/>
      <c r="C343" s="17"/>
      <c r="D343" s="24"/>
      <c r="E343" s="24"/>
      <c r="F343" s="25"/>
      <c r="G343" s="1">
        <v>1375</v>
      </c>
      <c r="H343" s="2">
        <v>103</v>
      </c>
      <c r="I343" s="2">
        <v>-24.5</v>
      </c>
      <c r="J343" s="2">
        <v>-27.8</v>
      </c>
      <c r="K343" s="2">
        <f t="shared" si="43"/>
        <v>-24.5</v>
      </c>
      <c r="L343" s="8">
        <f t="shared" si="47"/>
        <v>1.7782794100389184E-13</v>
      </c>
      <c r="M343" s="26"/>
      <c r="N343" s="17"/>
      <c r="O343" s="9">
        <f t="shared" si="45"/>
        <v>-27.8</v>
      </c>
      <c r="P343" s="8">
        <f>D338/B338*10^(O343/10)</f>
        <v>6.4723889390064807E-2</v>
      </c>
      <c r="Q343" s="26"/>
      <c r="R343" s="17"/>
      <c r="S343" s="20"/>
      <c r="T343" s="17"/>
      <c r="U343" s="23"/>
    </row>
    <row r="344" spans="1:21" x14ac:dyDescent="0.25">
      <c r="A344" s="24">
        <v>2000</v>
      </c>
      <c r="B344" s="24">
        <v>3</v>
      </c>
      <c r="C344" s="17">
        <v>0.5</v>
      </c>
      <c r="D344" s="24">
        <v>234</v>
      </c>
      <c r="E344" s="24">
        <v>6</v>
      </c>
      <c r="F344" s="25">
        <v>68</v>
      </c>
      <c r="G344" s="1">
        <v>1425</v>
      </c>
      <c r="H344" s="2">
        <v>102.8</v>
      </c>
      <c r="I344" s="2">
        <v>-18.5</v>
      </c>
      <c r="J344" s="2">
        <v>-24.6</v>
      </c>
      <c r="K344" s="2">
        <f t="shared" si="43"/>
        <v>-18.5</v>
      </c>
      <c r="L344" s="8">
        <f t="shared" si="47"/>
        <v>7.4131024130091646E-13</v>
      </c>
      <c r="M344" s="26">
        <f>SUM(L344:L349)</f>
        <v>3.562350952455733E-12</v>
      </c>
      <c r="N344" s="17">
        <f>10*LOG10(M344/E344)</f>
        <v>-122.26414547719399</v>
      </c>
      <c r="O344" s="9">
        <f t="shared" si="45"/>
        <v>-24.6</v>
      </c>
      <c r="P344" s="8">
        <f>D344/B344*10^(O344/10)</f>
        <v>0.27045474335297459</v>
      </c>
      <c r="Q344" s="26">
        <f>SUM(P344:P349)</f>
        <v>1.1544687536522666</v>
      </c>
      <c r="R344" s="17">
        <f>10*LOG10(Q344)</f>
        <v>0.62382182987244528</v>
      </c>
      <c r="S344" s="18">
        <f>F344+N344-Kzt-H</f>
        <v>-54.264145477193992</v>
      </c>
      <c r="T344" s="17">
        <v>1</v>
      </c>
      <c r="U344" s="21">
        <f>T344*10^((S344-R344)/10)</f>
        <v>3.244914583666261E-6</v>
      </c>
    </row>
    <row r="345" spans="1:21" x14ac:dyDescent="0.25">
      <c r="A345" s="24"/>
      <c r="B345" s="24"/>
      <c r="C345" s="17"/>
      <c r="D345" s="24"/>
      <c r="E345" s="24"/>
      <c r="F345" s="25"/>
      <c r="G345" s="1">
        <v>1625</v>
      </c>
      <c r="H345" s="2">
        <v>104.1</v>
      </c>
      <c r="I345" s="2">
        <v>-24.2</v>
      </c>
      <c r="J345" s="2">
        <v>-29.5</v>
      </c>
      <c r="K345" s="2">
        <f t="shared" si="43"/>
        <v>-24.2</v>
      </c>
      <c r="L345" s="8">
        <f t="shared" si="47"/>
        <v>1.47910838816821E-13</v>
      </c>
      <c r="M345" s="26"/>
      <c r="N345" s="17"/>
      <c r="O345" s="9">
        <f t="shared" si="45"/>
        <v>-29.5</v>
      </c>
      <c r="P345" s="8">
        <f>D344/B344*10^(O345/10)</f>
        <v>8.7517439435553054E-2</v>
      </c>
      <c r="Q345" s="26"/>
      <c r="R345" s="17"/>
      <c r="S345" s="19"/>
      <c r="T345" s="17"/>
      <c r="U345" s="22"/>
    </row>
    <row r="346" spans="1:21" x14ac:dyDescent="0.25">
      <c r="A346" s="24"/>
      <c r="B346" s="24"/>
      <c r="C346" s="17"/>
      <c r="D346" s="24"/>
      <c r="E346" s="24"/>
      <c r="F346" s="25"/>
      <c r="G346" s="1">
        <v>1825</v>
      </c>
      <c r="H346" s="2">
        <v>107.6</v>
      </c>
      <c r="I346" s="2">
        <v>-19.399999999999999</v>
      </c>
      <c r="J346" s="2">
        <v>-24.6</v>
      </c>
      <c r="K346" s="2">
        <f t="shared" si="43"/>
        <v>-19.399999999999999</v>
      </c>
      <c r="L346" s="8">
        <f t="shared" si="47"/>
        <v>1.9952623149688807E-13</v>
      </c>
      <c r="M346" s="26"/>
      <c r="N346" s="17"/>
      <c r="O346" s="9">
        <f t="shared" si="45"/>
        <v>-24.6</v>
      </c>
      <c r="P346" s="8">
        <f>D344/B344*10^(O346/10)</f>
        <v>0.27045474335297459</v>
      </c>
      <c r="Q346" s="26"/>
      <c r="R346" s="17"/>
      <c r="S346" s="19"/>
      <c r="T346" s="17"/>
      <c r="U346" s="22"/>
    </row>
    <row r="347" spans="1:21" x14ac:dyDescent="0.25">
      <c r="A347" s="24"/>
      <c r="B347" s="24"/>
      <c r="C347" s="17"/>
      <c r="D347" s="24"/>
      <c r="E347" s="24"/>
      <c r="F347" s="25"/>
      <c r="G347" s="1">
        <v>2125</v>
      </c>
      <c r="H347" s="2">
        <v>104.2</v>
      </c>
      <c r="I347" s="2">
        <v>-20.5</v>
      </c>
      <c r="J347" s="2">
        <v>-27.3</v>
      </c>
      <c r="K347" s="2">
        <f t="shared" si="43"/>
        <v>-20.5</v>
      </c>
      <c r="L347" s="8">
        <f t="shared" si="47"/>
        <v>3.3884415613920079E-13</v>
      </c>
      <c r="M347" s="26"/>
      <c r="N347" s="17"/>
      <c r="O347" s="9">
        <f t="shared" si="45"/>
        <v>-27.3</v>
      </c>
      <c r="P347" s="8">
        <f>D344/B344*10^(O347/10)</f>
        <v>0.14524279665970358</v>
      </c>
      <c r="Q347" s="26"/>
      <c r="R347" s="17"/>
      <c r="S347" s="19"/>
      <c r="T347" s="17"/>
      <c r="U347" s="22"/>
    </row>
    <row r="348" spans="1:21" x14ac:dyDescent="0.25">
      <c r="A348" s="24"/>
      <c r="B348" s="24"/>
      <c r="C348" s="17"/>
      <c r="D348" s="24"/>
      <c r="E348" s="24"/>
      <c r="F348" s="25"/>
      <c r="G348" s="1">
        <v>2425</v>
      </c>
      <c r="H348" s="2">
        <v>93.7</v>
      </c>
      <c r="I348" s="2">
        <v>-24</v>
      </c>
      <c r="J348" s="2">
        <v>-25.2</v>
      </c>
      <c r="K348" s="2">
        <f t="shared" si="43"/>
        <v>-24</v>
      </c>
      <c r="L348" s="8">
        <f t="shared" si="47"/>
        <v>1.6982436524617421E-12</v>
      </c>
      <c r="M348" s="26"/>
      <c r="N348" s="17"/>
      <c r="O348" s="9">
        <f t="shared" si="45"/>
        <v>-25.2</v>
      </c>
      <c r="P348" s="8">
        <f>D344/B344*10^(O348/10)</f>
        <v>0.23555623419135704</v>
      </c>
      <c r="Q348" s="26"/>
      <c r="R348" s="17"/>
      <c r="S348" s="19"/>
      <c r="T348" s="17"/>
      <c r="U348" s="22"/>
    </row>
    <row r="349" spans="1:21" x14ac:dyDescent="0.25">
      <c r="A349" s="24"/>
      <c r="B349" s="24"/>
      <c r="C349" s="17"/>
      <c r="D349" s="24"/>
      <c r="E349" s="24"/>
      <c r="F349" s="25"/>
      <c r="G349" s="1">
        <v>2775</v>
      </c>
      <c r="H349" s="2">
        <v>100.2</v>
      </c>
      <c r="I349" s="2">
        <v>-23.4</v>
      </c>
      <c r="J349" s="2">
        <v>-27.3</v>
      </c>
      <c r="K349" s="2">
        <f t="shared" si="43"/>
        <v>-23.4</v>
      </c>
      <c r="L349" s="8">
        <f t="shared" si="47"/>
        <v>4.3651583224016479E-13</v>
      </c>
      <c r="M349" s="26"/>
      <c r="N349" s="17"/>
      <c r="O349" s="9">
        <f t="shared" si="45"/>
        <v>-27.3</v>
      </c>
      <c r="P349" s="8">
        <f>D344/B344*10^(O349/10)</f>
        <v>0.14524279665970358</v>
      </c>
      <c r="Q349" s="26"/>
      <c r="R349" s="17"/>
      <c r="S349" s="20"/>
      <c r="T349" s="17"/>
      <c r="U349" s="23"/>
    </row>
    <row r="350" spans="1:21" x14ac:dyDescent="0.25">
      <c r="A350" s="24">
        <v>4000</v>
      </c>
      <c r="B350" s="24">
        <v>3</v>
      </c>
      <c r="C350" s="17">
        <v>0.5</v>
      </c>
      <c r="D350" s="24">
        <v>470</v>
      </c>
      <c r="E350" s="24">
        <v>6</v>
      </c>
      <c r="F350" s="25">
        <v>62</v>
      </c>
      <c r="G350" s="1">
        <v>2825</v>
      </c>
      <c r="H350" s="2">
        <v>99.4</v>
      </c>
      <c r="I350" s="2">
        <v>-22.7</v>
      </c>
      <c r="J350" s="2">
        <v>-25</v>
      </c>
      <c r="K350" s="2">
        <f t="shared" si="43"/>
        <v>-22.7</v>
      </c>
      <c r="L350" s="8">
        <f t="shared" si="47"/>
        <v>6.1659500186147956E-13</v>
      </c>
      <c r="M350" s="26">
        <f>SUM(L350:L355)</f>
        <v>2.1643901203477314E-12</v>
      </c>
      <c r="N350" s="17">
        <f>10*LOG10(M350/E350)</f>
        <v>-124.42815707514642</v>
      </c>
      <c r="O350" s="9">
        <f t="shared" si="45"/>
        <v>-25</v>
      </c>
      <c r="P350" s="8">
        <f>D350/B350*10^(O350/10)</f>
        <v>0.49542350009304559</v>
      </c>
      <c r="Q350" s="26">
        <f>SUM(P350:P355)</f>
        <v>2.3167523788369646</v>
      </c>
      <c r="R350" s="17">
        <f>10*LOG10(Q350)</f>
        <v>3.6487961762613299</v>
      </c>
      <c r="S350" s="18">
        <f>F350+N350-Kzt-H</f>
        <v>-62.428157075146416</v>
      </c>
      <c r="T350" s="17">
        <v>0.9</v>
      </c>
      <c r="U350" s="21">
        <f>T350*10^((S350-R350)/10)</f>
        <v>2.2209929720399878E-7</v>
      </c>
    </row>
    <row r="351" spans="1:21" x14ac:dyDescent="0.25">
      <c r="A351" s="24"/>
      <c r="B351" s="24"/>
      <c r="C351" s="17"/>
      <c r="D351" s="24"/>
      <c r="E351" s="24"/>
      <c r="F351" s="25"/>
      <c r="G351" s="1">
        <v>3425</v>
      </c>
      <c r="H351" s="2">
        <v>103.5</v>
      </c>
      <c r="I351" s="2">
        <v>-20.5</v>
      </c>
      <c r="J351" s="2">
        <v>-26.2</v>
      </c>
      <c r="K351" s="2">
        <f t="shared" si="43"/>
        <v>-20.5</v>
      </c>
      <c r="L351" s="8">
        <f t="shared" si="47"/>
        <v>3.9810717055349631E-13</v>
      </c>
      <c r="M351" s="26"/>
      <c r="N351" s="17"/>
      <c r="O351" s="9">
        <f t="shared" si="45"/>
        <v>-26.2</v>
      </c>
      <c r="P351" s="8">
        <f>D350/B350*10^(O351/10)</f>
        <v>0.37581715731305321</v>
      </c>
      <c r="Q351" s="26"/>
      <c r="R351" s="17"/>
      <c r="S351" s="19"/>
      <c r="T351" s="17"/>
      <c r="U351" s="22"/>
    </row>
    <row r="352" spans="1:21" x14ac:dyDescent="0.25">
      <c r="A352" s="24"/>
      <c r="B352" s="24"/>
      <c r="C352" s="17"/>
      <c r="D352" s="24"/>
      <c r="E352" s="24"/>
      <c r="F352" s="25"/>
      <c r="G352" s="1">
        <v>4025</v>
      </c>
      <c r="H352" s="2">
        <v>103.6</v>
      </c>
      <c r="I352" s="2">
        <v>-21.5</v>
      </c>
      <c r="J352" s="2">
        <v>-27</v>
      </c>
      <c r="K352" s="2">
        <f t="shared" si="43"/>
        <v>-21.5</v>
      </c>
      <c r="L352" s="8">
        <f t="shared" si="47"/>
        <v>3.0902954325135866E-13</v>
      </c>
      <c r="M352" s="26"/>
      <c r="N352" s="17"/>
      <c r="O352" s="9">
        <f t="shared" si="45"/>
        <v>-27</v>
      </c>
      <c r="P352" s="8">
        <f>D350/B350*10^(O352/10)</f>
        <v>0.31259109601179086</v>
      </c>
      <c r="Q352" s="26"/>
      <c r="R352" s="17"/>
      <c r="S352" s="19"/>
      <c r="T352" s="17"/>
      <c r="U352" s="22"/>
    </row>
    <row r="353" spans="1:21" x14ac:dyDescent="0.25">
      <c r="A353" s="24"/>
      <c r="B353" s="24"/>
      <c r="C353" s="17"/>
      <c r="D353" s="24"/>
      <c r="E353" s="24"/>
      <c r="F353" s="25"/>
      <c r="G353" s="1">
        <v>4625</v>
      </c>
      <c r="H353" s="2">
        <v>105.6</v>
      </c>
      <c r="I353" s="2">
        <v>-24.7</v>
      </c>
      <c r="J353" s="2">
        <v>-30.9</v>
      </c>
      <c r="K353" s="2">
        <f t="shared" si="43"/>
        <v>-24.7</v>
      </c>
      <c r="L353" s="8">
        <f t="shared" si="47"/>
        <v>9.3325430079699445E-14</v>
      </c>
      <c r="M353" s="26"/>
      <c r="N353" s="17"/>
      <c r="O353" s="9">
        <f t="shared" si="45"/>
        <v>-30.9</v>
      </c>
      <c r="P353" s="8">
        <f>D350/B350*10^(O353/10)</f>
        <v>0.12734344753237545</v>
      </c>
      <c r="Q353" s="26"/>
      <c r="R353" s="17"/>
      <c r="S353" s="19"/>
      <c r="T353" s="17"/>
      <c r="U353" s="22"/>
    </row>
    <row r="354" spans="1:21" x14ac:dyDescent="0.25">
      <c r="A354" s="24"/>
      <c r="B354" s="24"/>
      <c r="C354" s="17"/>
      <c r="D354" s="24"/>
      <c r="E354" s="24"/>
      <c r="F354" s="25"/>
      <c r="G354" s="1">
        <v>5225</v>
      </c>
      <c r="H354" s="2">
        <v>103.5</v>
      </c>
      <c r="I354" s="2">
        <v>-24.5</v>
      </c>
      <c r="J354" s="2">
        <v>-25.3</v>
      </c>
      <c r="K354" s="2">
        <f t="shared" si="43"/>
        <v>-24.5</v>
      </c>
      <c r="L354" s="8">
        <f t="shared" si="47"/>
        <v>1.5848931924611046E-13</v>
      </c>
      <c r="M354" s="26"/>
      <c r="N354" s="17"/>
      <c r="O354" s="9">
        <f t="shared" si="45"/>
        <v>-25.3</v>
      </c>
      <c r="P354" s="8">
        <f>D350/B350*10^(O354/10)</f>
        <v>0.46235611217773342</v>
      </c>
      <c r="Q354" s="26"/>
      <c r="R354" s="17"/>
      <c r="S354" s="19"/>
      <c r="T354" s="17"/>
      <c r="U354" s="22"/>
    </row>
    <row r="355" spans="1:21" x14ac:dyDescent="0.25">
      <c r="A355" s="24"/>
      <c r="B355" s="24"/>
      <c r="C355" s="17"/>
      <c r="D355" s="24"/>
      <c r="E355" s="24"/>
      <c r="F355" s="25"/>
      <c r="G355" s="1">
        <v>5625</v>
      </c>
      <c r="H355" s="2">
        <v>99.5</v>
      </c>
      <c r="I355" s="2">
        <v>-22.8</v>
      </c>
      <c r="J355" s="2">
        <v>-24.6</v>
      </c>
      <c r="K355" s="2">
        <f t="shared" si="43"/>
        <v>-22.8</v>
      </c>
      <c r="L355" s="8">
        <f t="shared" si="47"/>
        <v>5.8884365535558666E-13</v>
      </c>
      <c r="M355" s="26"/>
      <c r="N355" s="17"/>
      <c r="O355" s="9">
        <f t="shared" si="45"/>
        <v>-24.6</v>
      </c>
      <c r="P355" s="8">
        <f>D350/B350*10^(O355/10)</f>
        <v>0.543221065708966</v>
      </c>
      <c r="Q355" s="26"/>
      <c r="R355" s="17"/>
      <c r="S355" s="20"/>
      <c r="T355" s="17"/>
      <c r="U355" s="23"/>
    </row>
    <row r="356" spans="1:21" x14ac:dyDescent="0.25">
      <c r="A356" s="24">
        <v>8000</v>
      </c>
      <c r="B356" s="24">
        <v>3</v>
      </c>
      <c r="C356" s="17">
        <v>0.5</v>
      </c>
      <c r="D356" s="24">
        <v>943</v>
      </c>
      <c r="E356" s="24">
        <v>6</v>
      </c>
      <c r="F356" s="25">
        <v>54</v>
      </c>
      <c r="G356" s="1">
        <v>6025</v>
      </c>
      <c r="H356" s="2">
        <v>95</v>
      </c>
      <c r="I356" s="2">
        <v>-23.3</v>
      </c>
      <c r="J356" s="2">
        <v>-26.2</v>
      </c>
      <c r="K356" s="2">
        <f t="shared" si="43"/>
        <v>-23.3</v>
      </c>
      <c r="L356" s="8">
        <f t="shared" si="47"/>
        <v>1.4791083881682012E-12</v>
      </c>
      <c r="M356" s="26">
        <f>SUM(L356:L361)</f>
        <v>2.2041145624251899E-11</v>
      </c>
      <c r="N356" s="17">
        <f>10*LOG10(M356/E356)</f>
        <v>-114.34917086457956</v>
      </c>
      <c r="O356" s="9">
        <f t="shared" si="45"/>
        <v>-26.2</v>
      </c>
      <c r="P356" s="8">
        <f>D356/B356*10^(O356/10)</f>
        <v>0.75403314754512585</v>
      </c>
      <c r="Q356" s="26">
        <f>SUM(P356:P361)</f>
        <v>5.3036543850941547</v>
      </c>
      <c r="R356" s="17">
        <f>10*LOG10(Q356)</f>
        <v>7.2457521533318214</v>
      </c>
      <c r="S356" s="18">
        <f>F356+N356-Kzt-H</f>
        <v>-60.349170864579563</v>
      </c>
      <c r="T356" s="17">
        <v>0.7</v>
      </c>
      <c r="U356" s="21">
        <f>T356*10^((S356-R356)/10)</f>
        <v>1.2178834763712139E-7</v>
      </c>
    </row>
    <row r="357" spans="1:21" x14ac:dyDescent="0.25">
      <c r="A357" s="24"/>
      <c r="B357" s="24"/>
      <c r="C357" s="17"/>
      <c r="D357" s="24"/>
      <c r="E357" s="24"/>
      <c r="F357" s="25"/>
      <c r="G357" s="1">
        <v>7025</v>
      </c>
      <c r="H357" s="2">
        <v>94.8</v>
      </c>
      <c r="I357" s="2">
        <v>-23.1</v>
      </c>
      <c r="J357" s="2">
        <v>-24.6</v>
      </c>
      <c r="K357" s="2">
        <f t="shared" si="43"/>
        <v>-23.1</v>
      </c>
      <c r="L357" s="8">
        <f t="shared" si="47"/>
        <v>1.6218100973589226E-12</v>
      </c>
      <c r="M357" s="26"/>
      <c r="N357" s="17"/>
      <c r="O357" s="9">
        <f t="shared" si="45"/>
        <v>-24.6</v>
      </c>
      <c r="P357" s="8">
        <f>D356/B356*10^(O357/10)</f>
        <v>1.0899094999224572</v>
      </c>
      <c r="Q357" s="26"/>
      <c r="R357" s="17"/>
      <c r="S357" s="19"/>
      <c r="T357" s="17"/>
      <c r="U357" s="22"/>
    </row>
    <row r="358" spans="1:21" x14ac:dyDescent="0.25">
      <c r="A358" s="24"/>
      <c r="B358" s="24"/>
      <c r="C358" s="17"/>
      <c r="D358" s="24"/>
      <c r="E358" s="24"/>
      <c r="F358" s="25"/>
      <c r="G358" s="1">
        <v>8025</v>
      </c>
      <c r="H358" s="2">
        <v>101.9</v>
      </c>
      <c r="I358" s="2">
        <v>-23.9</v>
      </c>
      <c r="J358" s="2">
        <v>-24.2</v>
      </c>
      <c r="K358" s="2">
        <f t="shared" si="43"/>
        <v>-23.9</v>
      </c>
      <c r="L358" s="8">
        <f t="shared" si="47"/>
        <v>2.6302679918953618E-13</v>
      </c>
      <c r="M358" s="26"/>
      <c r="N358" s="17"/>
      <c r="O358" s="9">
        <f t="shared" si="45"/>
        <v>-24.2</v>
      </c>
      <c r="P358" s="8">
        <f>D356/B356*10^(O358/10)</f>
        <v>1.1950620024342973</v>
      </c>
      <c r="Q358" s="26"/>
      <c r="R358" s="17"/>
      <c r="S358" s="19"/>
      <c r="T358" s="17"/>
      <c r="U358" s="22"/>
    </row>
    <row r="359" spans="1:21" x14ac:dyDescent="0.25">
      <c r="A359" s="24"/>
      <c r="B359" s="24"/>
      <c r="C359" s="17"/>
      <c r="D359" s="24"/>
      <c r="E359" s="24"/>
      <c r="F359" s="25"/>
      <c r="G359" s="1">
        <v>9025</v>
      </c>
      <c r="H359" s="2">
        <v>93.2</v>
      </c>
      <c r="I359" s="2">
        <v>-25</v>
      </c>
      <c r="J359" s="2">
        <v>-29.9</v>
      </c>
      <c r="K359" s="2">
        <f t="shared" si="43"/>
        <v>-25</v>
      </c>
      <c r="L359" s="8">
        <f t="shared" si="47"/>
        <v>1.5135612484362015E-12</v>
      </c>
      <c r="M359" s="26"/>
      <c r="N359" s="17"/>
      <c r="O359" s="9">
        <f t="shared" si="45"/>
        <v>-29.9</v>
      </c>
      <c r="P359" s="8">
        <f>D356/B356*10^(O359/10)</f>
        <v>0.32165509724025038</v>
      </c>
      <c r="Q359" s="26"/>
      <c r="R359" s="17"/>
      <c r="S359" s="19"/>
      <c r="T359" s="17"/>
      <c r="U359" s="22"/>
    </row>
    <row r="360" spans="1:21" x14ac:dyDescent="0.25">
      <c r="A360" s="24"/>
      <c r="B360" s="24"/>
      <c r="C360" s="17"/>
      <c r="D360" s="24"/>
      <c r="E360" s="24"/>
      <c r="F360" s="25"/>
      <c r="G360" s="1">
        <v>10025</v>
      </c>
      <c r="H360" s="2">
        <v>88.3</v>
      </c>
      <c r="I360" s="2">
        <v>-25.7</v>
      </c>
      <c r="J360" s="2">
        <v>-26.4</v>
      </c>
      <c r="K360" s="2">
        <f t="shared" si="43"/>
        <v>-25.7</v>
      </c>
      <c r="L360" s="8">
        <f t="shared" si="47"/>
        <v>3.9810717055349533E-12</v>
      </c>
      <c r="M360" s="26"/>
      <c r="N360" s="17"/>
      <c r="O360" s="9">
        <f t="shared" si="45"/>
        <v>-26.4</v>
      </c>
      <c r="P360" s="8">
        <f>D356/B356*10^(O360/10)</f>
        <v>0.72009606552000349</v>
      </c>
      <c r="Q360" s="26"/>
      <c r="R360" s="17"/>
      <c r="S360" s="19"/>
      <c r="T360" s="17"/>
      <c r="U360" s="22"/>
    </row>
    <row r="361" spans="1:21" x14ac:dyDescent="0.25">
      <c r="A361" s="24"/>
      <c r="B361" s="24"/>
      <c r="C361" s="17"/>
      <c r="D361" s="24"/>
      <c r="E361" s="24"/>
      <c r="F361" s="25"/>
      <c r="G361" s="1">
        <v>11025</v>
      </c>
      <c r="H361" s="2">
        <v>86</v>
      </c>
      <c r="I361" s="2">
        <v>-22.8</v>
      </c>
      <c r="J361" s="2">
        <v>-24.1</v>
      </c>
      <c r="K361" s="2">
        <f t="shared" si="43"/>
        <v>-22.8</v>
      </c>
      <c r="L361" s="8">
        <f t="shared" si="47"/>
        <v>1.3182567385564083E-11</v>
      </c>
      <c r="M361" s="26"/>
      <c r="N361" s="17"/>
      <c r="O361" s="9">
        <f t="shared" si="45"/>
        <v>-24.1</v>
      </c>
      <c r="P361" s="8">
        <f>D356/B356*10^(O361/10)</f>
        <v>1.2228985724320207</v>
      </c>
      <c r="Q361" s="26"/>
      <c r="R361" s="17"/>
      <c r="S361" s="20"/>
      <c r="T361" s="17"/>
      <c r="U361" s="23"/>
    </row>
    <row r="362" spans="1:21" x14ac:dyDescent="0.25">
      <c r="A362" s="24" t="s">
        <v>20</v>
      </c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12">
        <f>U362</f>
        <v>5.9877620361138799E-2</v>
      </c>
      <c r="T362" s="2"/>
      <c r="U362" s="8">
        <f>0.8*SQRT(SUM(U328:U361))</f>
        <v>5.9877620361138799E-2</v>
      </c>
    </row>
    <row r="363" spans="1:21" x14ac:dyDescent="0.25">
      <c r="A363" s="27" t="s">
        <v>62</v>
      </c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9"/>
    </row>
    <row r="364" spans="1:21" x14ac:dyDescent="0.25">
      <c r="A364" s="24">
        <v>250</v>
      </c>
      <c r="B364" s="24">
        <v>3</v>
      </c>
      <c r="C364" s="17">
        <v>0.5</v>
      </c>
      <c r="D364" s="24">
        <v>38</v>
      </c>
      <c r="E364" s="24">
        <v>4</v>
      </c>
      <c r="F364" s="25">
        <v>84</v>
      </c>
      <c r="G364" s="1">
        <v>175</v>
      </c>
      <c r="H364" s="2">
        <v>84.8</v>
      </c>
      <c r="I364" s="2">
        <v>-17.7</v>
      </c>
      <c r="J364" s="2">
        <v>-23.5</v>
      </c>
      <c r="K364" s="2">
        <f>I364</f>
        <v>-17.7</v>
      </c>
      <c r="L364" s="8">
        <f>10^((K364-H364)/10)</f>
        <v>5.6234132519034822E-11</v>
      </c>
      <c r="M364" s="26">
        <f>SUM(L364:L367)</f>
        <v>7.7660195867087795E-11</v>
      </c>
      <c r="N364" s="17">
        <f>10*LOG10(M364/E364)</f>
        <v>-107.11861509780718</v>
      </c>
      <c r="O364" s="9">
        <f>J364</f>
        <v>-23.5</v>
      </c>
      <c r="P364" s="8">
        <f>D364/B364*10^(O364/10)</f>
        <v>5.6579921672455284E-2</v>
      </c>
      <c r="Q364" s="26">
        <f>SUM(P364:P367)</f>
        <v>0.33210568313781064</v>
      </c>
      <c r="R364" s="17">
        <f>10*LOG10(Q364)</f>
        <v>-4.7872369250076305</v>
      </c>
      <c r="S364" s="18">
        <f>F364+N364-Kzt-H</f>
        <v>-23.118615097807179</v>
      </c>
      <c r="T364" s="17">
        <v>0.2</v>
      </c>
      <c r="U364" s="21">
        <f>T364*10^((S364-R364)/10)</f>
        <v>2.9369204167753789E-3</v>
      </c>
    </row>
    <row r="365" spans="1:21" x14ac:dyDescent="0.25">
      <c r="A365" s="24"/>
      <c r="B365" s="24"/>
      <c r="C365" s="17"/>
      <c r="D365" s="24"/>
      <c r="E365" s="24"/>
      <c r="F365" s="25"/>
      <c r="G365" s="1">
        <v>225</v>
      </c>
      <c r="H365" s="2">
        <v>90</v>
      </c>
      <c r="I365" s="2">
        <v>-21.5</v>
      </c>
      <c r="J365" s="2">
        <v>-23.9</v>
      </c>
      <c r="K365" s="2">
        <f t="shared" ref="K365:K397" si="48">I365</f>
        <v>-21.5</v>
      </c>
      <c r="L365" s="8">
        <f t="shared" ref="L365:L366" si="49">10^((K365-H365)/10)</f>
        <v>7.0794578438413538E-12</v>
      </c>
      <c r="M365" s="26"/>
      <c r="N365" s="17"/>
      <c r="O365" s="9">
        <f t="shared" ref="O365:O397" si="50">J365</f>
        <v>-23.9</v>
      </c>
      <c r="P365" s="8">
        <f>D364/B364*10^(O365/10)</f>
        <v>5.1601501855187651E-2</v>
      </c>
      <c r="Q365" s="26"/>
      <c r="R365" s="17"/>
      <c r="S365" s="19"/>
      <c r="T365" s="17"/>
      <c r="U365" s="22"/>
    </row>
    <row r="366" spans="1:21" x14ac:dyDescent="0.25">
      <c r="A366" s="24"/>
      <c r="B366" s="24"/>
      <c r="C366" s="17"/>
      <c r="D366" s="24"/>
      <c r="E366" s="24"/>
      <c r="F366" s="25"/>
      <c r="G366" s="1">
        <v>275</v>
      </c>
      <c r="H366" s="2">
        <v>92.2</v>
      </c>
      <c r="I366" s="2">
        <v>-19.5</v>
      </c>
      <c r="J366" s="2">
        <v>-20.2</v>
      </c>
      <c r="K366" s="2">
        <f t="shared" si="48"/>
        <v>-19.5</v>
      </c>
      <c r="L366" s="8">
        <f t="shared" si="49"/>
        <v>6.7608297539197943E-12</v>
      </c>
      <c r="M366" s="26"/>
      <c r="N366" s="17"/>
      <c r="O366" s="9">
        <f t="shared" si="50"/>
        <v>-20.2</v>
      </c>
      <c r="P366" s="8">
        <f>D364/B364*10^(O366/10)</f>
        <v>0.12096572756271519</v>
      </c>
      <c r="Q366" s="26"/>
      <c r="R366" s="17"/>
      <c r="S366" s="19"/>
      <c r="T366" s="17"/>
      <c r="U366" s="22"/>
    </row>
    <row r="367" spans="1:21" x14ac:dyDescent="0.25">
      <c r="A367" s="24"/>
      <c r="B367" s="24"/>
      <c r="C367" s="17"/>
      <c r="D367" s="24"/>
      <c r="E367" s="24"/>
      <c r="F367" s="25"/>
      <c r="G367" s="1">
        <v>325</v>
      </c>
      <c r="H367" s="2">
        <v>93.3</v>
      </c>
      <c r="I367" s="2">
        <v>-17.899999999999999</v>
      </c>
      <c r="J367" s="2">
        <v>-20.9</v>
      </c>
      <c r="K367" s="2">
        <f t="shared" si="48"/>
        <v>-17.899999999999999</v>
      </c>
      <c r="L367" s="8">
        <f>10^((K367-H367)/10)</f>
        <v>7.585775750291834E-12</v>
      </c>
      <c r="M367" s="26"/>
      <c r="N367" s="17"/>
      <c r="O367" s="9">
        <f t="shared" si="50"/>
        <v>-20.9</v>
      </c>
      <c r="P367" s="8">
        <f>D364/B364*10^(O367/10)</f>
        <v>0.10295853204745253</v>
      </c>
      <c r="Q367" s="26"/>
      <c r="R367" s="17"/>
      <c r="S367" s="20"/>
      <c r="T367" s="17"/>
      <c r="U367" s="23"/>
    </row>
    <row r="368" spans="1:21" x14ac:dyDescent="0.25">
      <c r="A368" s="24">
        <v>500</v>
      </c>
      <c r="B368" s="24">
        <v>3</v>
      </c>
      <c r="C368" s="17">
        <v>0.5</v>
      </c>
      <c r="D368" s="24">
        <v>59</v>
      </c>
      <c r="E368" s="24">
        <v>6</v>
      </c>
      <c r="F368" s="25">
        <v>84</v>
      </c>
      <c r="G368" s="1">
        <v>375</v>
      </c>
      <c r="H368" s="2">
        <v>91.9</v>
      </c>
      <c r="I368" s="2">
        <v>-20.5</v>
      </c>
      <c r="J368" s="2">
        <v>-21.5</v>
      </c>
      <c r="K368" s="2">
        <f t="shared" si="48"/>
        <v>-20.5</v>
      </c>
      <c r="L368" s="8">
        <f t="shared" ref="L368:L369" si="51">10^((K368-H368)/10)</f>
        <v>5.7543993733715538E-12</v>
      </c>
      <c r="M368" s="26">
        <f>SUM(L368:L373)</f>
        <v>6.5010531984329232E-11</v>
      </c>
      <c r="N368" s="17">
        <f>10*LOG10(M368/E368)</f>
        <v>-109.6516753047686</v>
      </c>
      <c r="O368" s="9">
        <f t="shared" si="50"/>
        <v>-21.5</v>
      </c>
      <c r="P368" s="8">
        <f>D368/B368*10^(O368/10)</f>
        <v>0.13922933759554715</v>
      </c>
      <c r="Q368" s="26">
        <f>SUM(P368:P373)</f>
        <v>0.39874610754242629</v>
      </c>
      <c r="R368" s="17">
        <f>10*LOG10(Q368)</f>
        <v>-3.9930354338578757</v>
      </c>
      <c r="S368" s="18">
        <f>F368+N368-Kzt-H</f>
        <v>-25.651675304768602</v>
      </c>
      <c r="T368" s="17">
        <v>0.5</v>
      </c>
      <c r="U368" s="21">
        <f>T368*10^((S368-R368)/10)</f>
        <v>3.412762116624158E-3</v>
      </c>
    </row>
    <row r="369" spans="1:21" x14ac:dyDescent="0.25">
      <c r="A369" s="24"/>
      <c r="B369" s="24"/>
      <c r="C369" s="17"/>
      <c r="D369" s="24"/>
      <c r="E369" s="24"/>
      <c r="F369" s="25"/>
      <c r="G369" s="1">
        <v>425</v>
      </c>
      <c r="H369" s="2">
        <v>88.1</v>
      </c>
      <c r="I369" s="2">
        <v>-16</v>
      </c>
      <c r="J369" s="2">
        <v>-24.8</v>
      </c>
      <c r="K369" s="2">
        <f t="shared" si="48"/>
        <v>-16</v>
      </c>
      <c r="L369" s="8">
        <f t="shared" si="51"/>
        <v>3.8904514499427922E-11</v>
      </c>
      <c r="M369" s="26"/>
      <c r="N369" s="17"/>
      <c r="O369" s="9">
        <f t="shared" si="50"/>
        <v>-24.8</v>
      </c>
      <c r="P369" s="8">
        <f>D368/B368*10^(O369/10)</f>
        <v>6.512245389157624E-2</v>
      </c>
      <c r="Q369" s="26"/>
      <c r="R369" s="17"/>
      <c r="S369" s="19"/>
      <c r="T369" s="17"/>
      <c r="U369" s="22"/>
    </row>
    <row r="370" spans="1:21" x14ac:dyDescent="0.25">
      <c r="A370" s="24"/>
      <c r="B370" s="24"/>
      <c r="C370" s="17"/>
      <c r="D370" s="24"/>
      <c r="E370" s="24"/>
      <c r="F370" s="25"/>
      <c r="G370" s="1">
        <v>475</v>
      </c>
      <c r="H370" s="2">
        <v>90</v>
      </c>
      <c r="I370" s="2">
        <v>-19.2</v>
      </c>
      <c r="J370" s="2">
        <v>-26</v>
      </c>
      <c r="K370" s="2">
        <f t="shared" si="48"/>
        <v>-19.2</v>
      </c>
      <c r="L370" s="8">
        <f>10^((K370-H370)/10)</f>
        <v>1.2022644346174101E-11</v>
      </c>
      <c r="M370" s="26"/>
      <c r="N370" s="17"/>
      <c r="O370" s="9">
        <f t="shared" si="50"/>
        <v>-26</v>
      </c>
      <c r="P370" s="8">
        <f>D368/B368*10^(O370/10)</f>
        <v>4.94004331530217E-2</v>
      </c>
      <c r="Q370" s="26"/>
      <c r="R370" s="17"/>
      <c r="S370" s="19"/>
      <c r="T370" s="17"/>
      <c r="U370" s="22"/>
    </row>
    <row r="371" spans="1:21" x14ac:dyDescent="0.25">
      <c r="A371" s="24"/>
      <c r="B371" s="24"/>
      <c r="C371" s="17"/>
      <c r="D371" s="24"/>
      <c r="E371" s="24"/>
      <c r="F371" s="25"/>
      <c r="G371" s="1">
        <v>575</v>
      </c>
      <c r="H371" s="2">
        <v>97</v>
      </c>
      <c r="I371" s="2">
        <v>-23.7</v>
      </c>
      <c r="J371" s="2">
        <v>-26.2</v>
      </c>
      <c r="K371" s="2">
        <f t="shared" si="48"/>
        <v>-23.7</v>
      </c>
      <c r="L371" s="8">
        <f t="shared" ref="L371:L397" si="52">10^((K371-H371)/10)</f>
        <v>8.5113803820237492E-13</v>
      </c>
      <c r="M371" s="26"/>
      <c r="N371" s="17"/>
      <c r="O371" s="9">
        <f t="shared" si="50"/>
        <v>-26.2</v>
      </c>
      <c r="P371" s="8">
        <f>D368/B368*10^(O371/10)</f>
        <v>4.717704740738328E-2</v>
      </c>
      <c r="Q371" s="26"/>
      <c r="R371" s="17"/>
      <c r="S371" s="19"/>
      <c r="T371" s="17"/>
      <c r="U371" s="22"/>
    </row>
    <row r="372" spans="1:21" x14ac:dyDescent="0.25">
      <c r="A372" s="24"/>
      <c r="B372" s="24"/>
      <c r="C372" s="17"/>
      <c r="D372" s="24"/>
      <c r="E372" s="24"/>
      <c r="F372" s="25"/>
      <c r="G372" s="1">
        <v>625</v>
      </c>
      <c r="H372" s="2">
        <v>92</v>
      </c>
      <c r="I372" s="2">
        <v>-21.2</v>
      </c>
      <c r="J372" s="2">
        <v>-24.9</v>
      </c>
      <c r="K372" s="2">
        <f t="shared" si="48"/>
        <v>-21.2</v>
      </c>
      <c r="L372" s="8">
        <f t="shared" si="52"/>
        <v>4.7863009232263738E-12</v>
      </c>
      <c r="M372" s="26"/>
      <c r="N372" s="17"/>
      <c r="O372" s="9">
        <f t="shared" si="50"/>
        <v>-24.9</v>
      </c>
      <c r="P372" s="8">
        <f>D368/B368*10^(O372/10)</f>
        <v>6.3640085862826892E-2</v>
      </c>
      <c r="Q372" s="26"/>
      <c r="R372" s="17"/>
      <c r="S372" s="19"/>
      <c r="T372" s="17"/>
      <c r="U372" s="22"/>
    </row>
    <row r="373" spans="1:21" x14ac:dyDescent="0.25">
      <c r="A373" s="24"/>
      <c r="B373" s="24"/>
      <c r="C373" s="17"/>
      <c r="D373" s="24"/>
      <c r="E373" s="24"/>
      <c r="F373" s="25"/>
      <c r="G373" s="1">
        <v>675</v>
      </c>
      <c r="H373" s="2">
        <v>94.5</v>
      </c>
      <c r="I373" s="2">
        <v>-21.2</v>
      </c>
      <c r="J373" s="2">
        <v>-27.6</v>
      </c>
      <c r="K373" s="2">
        <f t="shared" si="48"/>
        <v>-21.2</v>
      </c>
      <c r="L373" s="8">
        <f t="shared" si="52"/>
        <v>2.6915348039269074E-12</v>
      </c>
      <c r="M373" s="26"/>
      <c r="N373" s="17"/>
      <c r="O373" s="9">
        <f t="shared" si="50"/>
        <v>-27.6</v>
      </c>
      <c r="P373" s="8">
        <f>D368/B368*10^(O373/10)</f>
        <v>3.4176749632071013E-2</v>
      </c>
      <c r="Q373" s="26"/>
      <c r="R373" s="17"/>
      <c r="S373" s="20"/>
      <c r="T373" s="17"/>
      <c r="U373" s="23"/>
    </row>
    <row r="374" spans="1:21" x14ac:dyDescent="0.25">
      <c r="A374" s="24">
        <v>1000</v>
      </c>
      <c r="B374" s="24">
        <v>3</v>
      </c>
      <c r="C374" s="17">
        <v>0.5</v>
      </c>
      <c r="D374" s="24">
        <v>117</v>
      </c>
      <c r="E374" s="24">
        <v>6</v>
      </c>
      <c r="F374" s="25">
        <v>76</v>
      </c>
      <c r="G374" s="1">
        <v>875</v>
      </c>
      <c r="H374" s="2">
        <v>91.1</v>
      </c>
      <c r="I374" s="2">
        <v>-28.7</v>
      </c>
      <c r="J374" s="2">
        <v>-30</v>
      </c>
      <c r="K374" s="2">
        <f t="shared" si="48"/>
        <v>-28.7</v>
      </c>
      <c r="L374" s="8">
        <f t="shared" si="52"/>
        <v>1.0471285480508967E-12</v>
      </c>
      <c r="M374" s="26">
        <f>SUM(L374:L379)</f>
        <v>5.6528787459359992E-12</v>
      </c>
      <c r="N374" s="17">
        <f>10*LOG10(M374/E374)</f>
        <v>-120.25881580426032</v>
      </c>
      <c r="O374" s="9">
        <f t="shared" si="50"/>
        <v>-30</v>
      </c>
      <c r="P374" s="8">
        <f>D374/B374*10^(O374/10)</f>
        <v>3.9E-2</v>
      </c>
      <c r="Q374" s="26">
        <f>SUM(P374:P379)</f>
        <v>0.63270389682681438</v>
      </c>
      <c r="R374" s="17">
        <f>10*LOG10(Q374)</f>
        <v>-1.9879949071048806</v>
      </c>
      <c r="S374" s="18">
        <f>F374+N374-Kzt-H</f>
        <v>-44.258815804260323</v>
      </c>
      <c r="T374" s="17">
        <v>0.8</v>
      </c>
      <c r="U374" s="21">
        <f>T374*10^((S374-R374)/10)</f>
        <v>4.7425060902648051E-5</v>
      </c>
    </row>
    <row r="375" spans="1:21" x14ac:dyDescent="0.25">
      <c r="A375" s="24"/>
      <c r="B375" s="24"/>
      <c r="C375" s="17"/>
      <c r="D375" s="24"/>
      <c r="E375" s="24"/>
      <c r="F375" s="25"/>
      <c r="G375" s="1">
        <v>975</v>
      </c>
      <c r="H375" s="2">
        <v>96.5</v>
      </c>
      <c r="I375" s="2">
        <v>-23.3</v>
      </c>
      <c r="J375" s="2">
        <v>-23.7</v>
      </c>
      <c r="K375" s="2">
        <f t="shared" si="48"/>
        <v>-23.3</v>
      </c>
      <c r="L375" s="8">
        <f t="shared" si="52"/>
        <v>1.0471285480508967E-12</v>
      </c>
      <c r="M375" s="26"/>
      <c r="N375" s="17"/>
      <c r="O375" s="9">
        <f t="shared" si="50"/>
        <v>-23.7</v>
      </c>
      <c r="P375" s="8">
        <f>D374/B374*10^(O375/10)</f>
        <v>0.16636601233262108</v>
      </c>
      <c r="Q375" s="26"/>
      <c r="R375" s="17"/>
      <c r="S375" s="19"/>
      <c r="T375" s="17"/>
      <c r="U375" s="22"/>
    </row>
    <row r="376" spans="1:21" x14ac:dyDescent="0.25">
      <c r="A376" s="24"/>
      <c r="B376" s="24"/>
      <c r="C376" s="17"/>
      <c r="D376" s="24"/>
      <c r="E376" s="24"/>
      <c r="F376" s="25"/>
      <c r="G376" s="1">
        <v>1075</v>
      </c>
      <c r="H376" s="2">
        <v>94.6</v>
      </c>
      <c r="I376" s="2">
        <v>-23.7</v>
      </c>
      <c r="J376" s="2">
        <v>-26</v>
      </c>
      <c r="K376" s="2">
        <f t="shared" si="48"/>
        <v>-23.7</v>
      </c>
      <c r="L376" s="8">
        <f t="shared" si="52"/>
        <v>1.4791083881682012E-12</v>
      </c>
      <c r="M376" s="26"/>
      <c r="N376" s="17"/>
      <c r="O376" s="9">
        <f t="shared" si="50"/>
        <v>-26</v>
      </c>
      <c r="P376" s="8">
        <f>D374/B374*10^(O376/10)</f>
        <v>9.7963570828873525E-2</v>
      </c>
      <c r="Q376" s="26"/>
      <c r="R376" s="17"/>
      <c r="S376" s="19"/>
      <c r="T376" s="17"/>
      <c r="U376" s="22"/>
    </row>
    <row r="377" spans="1:21" x14ac:dyDescent="0.25">
      <c r="A377" s="24"/>
      <c r="B377" s="24"/>
      <c r="C377" s="17"/>
      <c r="D377" s="24"/>
      <c r="E377" s="24"/>
      <c r="F377" s="25"/>
      <c r="G377" s="1">
        <v>1175</v>
      </c>
      <c r="H377" s="2">
        <v>97.8</v>
      </c>
      <c r="I377" s="2">
        <v>-22.9</v>
      </c>
      <c r="J377" s="2">
        <v>-26.9</v>
      </c>
      <c r="K377" s="2">
        <f t="shared" si="48"/>
        <v>-22.9</v>
      </c>
      <c r="L377" s="8">
        <f t="shared" si="52"/>
        <v>8.5113803820237784E-13</v>
      </c>
      <c r="M377" s="26"/>
      <c r="N377" s="17"/>
      <c r="O377" s="9">
        <f t="shared" si="50"/>
        <v>-26.9</v>
      </c>
      <c r="P377" s="8">
        <f>D374/B374*10^(O377/10)</f>
        <v>7.962777984211164E-2</v>
      </c>
      <c r="Q377" s="26"/>
      <c r="R377" s="17"/>
      <c r="S377" s="19"/>
      <c r="T377" s="17"/>
      <c r="U377" s="22"/>
    </row>
    <row r="378" spans="1:21" x14ac:dyDescent="0.25">
      <c r="A378" s="24"/>
      <c r="B378" s="24"/>
      <c r="C378" s="17"/>
      <c r="D378" s="24"/>
      <c r="E378" s="24"/>
      <c r="F378" s="25"/>
      <c r="G378" s="1">
        <v>1275</v>
      </c>
      <c r="H378" s="2">
        <v>100.1</v>
      </c>
      <c r="I378" s="2">
        <v>-20.2</v>
      </c>
      <c r="J378" s="2">
        <v>-23.7</v>
      </c>
      <c r="K378" s="2">
        <f t="shared" si="48"/>
        <v>-20.2</v>
      </c>
      <c r="L378" s="8">
        <f t="shared" si="52"/>
        <v>9.3325430079698887E-13</v>
      </c>
      <c r="M378" s="26"/>
      <c r="N378" s="17"/>
      <c r="O378" s="9">
        <f t="shared" si="50"/>
        <v>-23.7</v>
      </c>
      <c r="P378" s="8">
        <f>D374/B374*10^(O378/10)</f>
        <v>0.16636601233262108</v>
      </c>
      <c r="Q378" s="26"/>
      <c r="R378" s="17"/>
      <c r="S378" s="19"/>
      <c r="T378" s="17"/>
      <c r="U378" s="22"/>
    </row>
    <row r="379" spans="1:21" x14ac:dyDescent="0.25">
      <c r="A379" s="24"/>
      <c r="B379" s="24"/>
      <c r="C379" s="17"/>
      <c r="D379" s="24"/>
      <c r="E379" s="24"/>
      <c r="F379" s="25"/>
      <c r="G379" s="1">
        <v>1375</v>
      </c>
      <c r="H379" s="2">
        <v>103</v>
      </c>
      <c r="I379" s="2">
        <v>-22.3</v>
      </c>
      <c r="J379" s="2">
        <v>-26.7</v>
      </c>
      <c r="K379" s="2">
        <f t="shared" si="48"/>
        <v>-22.3</v>
      </c>
      <c r="L379" s="8">
        <f t="shared" si="52"/>
        <v>2.9512092266663824E-13</v>
      </c>
      <c r="M379" s="26"/>
      <c r="N379" s="17"/>
      <c r="O379" s="9">
        <f t="shared" si="50"/>
        <v>-26.7</v>
      </c>
      <c r="P379" s="8">
        <f>D374/B374*10^(O379/10)</f>
        <v>8.3380521490587042E-2</v>
      </c>
      <c r="Q379" s="26"/>
      <c r="R379" s="17"/>
      <c r="S379" s="20"/>
      <c r="T379" s="17"/>
      <c r="U379" s="23"/>
    </row>
    <row r="380" spans="1:21" x14ac:dyDescent="0.25">
      <c r="A380" s="24">
        <v>2000</v>
      </c>
      <c r="B380" s="24">
        <v>3</v>
      </c>
      <c r="C380" s="17">
        <v>0.5</v>
      </c>
      <c r="D380" s="24">
        <v>234</v>
      </c>
      <c r="E380" s="24">
        <v>6</v>
      </c>
      <c r="F380" s="25">
        <v>68</v>
      </c>
      <c r="G380" s="1">
        <v>1425</v>
      </c>
      <c r="H380" s="2">
        <v>102.8</v>
      </c>
      <c r="I380" s="2">
        <v>-20.3</v>
      </c>
      <c r="J380" s="2">
        <v>-23.1</v>
      </c>
      <c r="K380" s="2">
        <f t="shared" si="48"/>
        <v>-20.3</v>
      </c>
      <c r="L380" s="8">
        <f t="shared" si="52"/>
        <v>4.8977881936844633E-13</v>
      </c>
      <c r="M380" s="26">
        <f>SUM(L380:L385)</f>
        <v>3.9334952733479162E-12</v>
      </c>
      <c r="N380" s="17">
        <f>10*LOG10(M380/E380)</f>
        <v>-121.83372617744554</v>
      </c>
      <c r="O380" s="9">
        <f t="shared" si="50"/>
        <v>-23.1</v>
      </c>
      <c r="P380" s="8">
        <f>D380/B380*10^(O380/10)</f>
        <v>0.3820274791073876</v>
      </c>
      <c r="Q380" s="26">
        <f>SUM(P380:P385)</f>
        <v>1.6147313667433614</v>
      </c>
      <c r="R380" s="17">
        <f>10*LOG10(Q380)</f>
        <v>2.0810028168570671</v>
      </c>
      <c r="S380" s="18">
        <f>F380+N380-Kzt-H</f>
        <v>-53.833726177445541</v>
      </c>
      <c r="T380" s="17">
        <v>1</v>
      </c>
      <c r="U380" s="21">
        <f>T380*10^((S380-R380)/10)</f>
        <v>2.5616931122548485E-6</v>
      </c>
    </row>
    <row r="381" spans="1:21" x14ac:dyDescent="0.25">
      <c r="A381" s="24"/>
      <c r="B381" s="24"/>
      <c r="C381" s="17"/>
      <c r="D381" s="24"/>
      <c r="E381" s="24"/>
      <c r="F381" s="25"/>
      <c r="G381" s="1">
        <v>1625</v>
      </c>
      <c r="H381" s="2">
        <v>104.1</v>
      </c>
      <c r="I381" s="2">
        <v>-21.8</v>
      </c>
      <c r="J381" s="2">
        <v>-23.8</v>
      </c>
      <c r="K381" s="2">
        <f t="shared" si="48"/>
        <v>-21.8</v>
      </c>
      <c r="L381" s="8">
        <f t="shared" si="52"/>
        <v>2.5703957827688533E-13</v>
      </c>
      <c r="M381" s="26"/>
      <c r="N381" s="17"/>
      <c r="O381" s="9">
        <f t="shared" si="50"/>
        <v>-23.8</v>
      </c>
      <c r="P381" s="8">
        <f>D380/B380*10^(O381/10)</f>
        <v>0.32515811910686149</v>
      </c>
      <c r="Q381" s="26"/>
      <c r="R381" s="17"/>
      <c r="S381" s="19"/>
      <c r="T381" s="17"/>
      <c r="U381" s="22"/>
    </row>
    <row r="382" spans="1:21" x14ac:dyDescent="0.25">
      <c r="A382" s="24"/>
      <c r="B382" s="24"/>
      <c r="C382" s="17"/>
      <c r="D382" s="24"/>
      <c r="E382" s="24"/>
      <c r="F382" s="25"/>
      <c r="G382" s="1">
        <v>1825</v>
      </c>
      <c r="H382" s="2">
        <v>107.6</v>
      </c>
      <c r="I382" s="2">
        <v>-23.7</v>
      </c>
      <c r="J382" s="2">
        <v>-26.6</v>
      </c>
      <c r="K382" s="2">
        <f t="shared" si="48"/>
        <v>-23.7</v>
      </c>
      <c r="L382" s="8">
        <f t="shared" si="52"/>
        <v>7.4131024130091835E-14</v>
      </c>
      <c r="M382" s="26"/>
      <c r="N382" s="17"/>
      <c r="O382" s="9">
        <f t="shared" si="50"/>
        <v>-26.6</v>
      </c>
      <c r="P382" s="8">
        <f>D380/B380*10^(O382/10)</f>
        <v>0.17064540666806488</v>
      </c>
      <c r="Q382" s="26"/>
      <c r="R382" s="17"/>
      <c r="S382" s="19"/>
      <c r="T382" s="17"/>
      <c r="U382" s="22"/>
    </row>
    <row r="383" spans="1:21" x14ac:dyDescent="0.25">
      <c r="A383" s="24"/>
      <c r="B383" s="24"/>
      <c r="C383" s="17"/>
      <c r="D383" s="24"/>
      <c r="E383" s="24"/>
      <c r="F383" s="25"/>
      <c r="G383" s="1">
        <v>2125</v>
      </c>
      <c r="H383" s="2">
        <v>104.2</v>
      </c>
      <c r="I383" s="2">
        <v>-22.4</v>
      </c>
      <c r="J383" s="2">
        <v>-25.9</v>
      </c>
      <c r="K383" s="2">
        <f t="shared" si="48"/>
        <v>-22.4</v>
      </c>
      <c r="L383" s="8">
        <f t="shared" si="52"/>
        <v>2.1877616239495453E-13</v>
      </c>
      <c r="M383" s="26"/>
      <c r="N383" s="17"/>
      <c r="O383" s="9">
        <f t="shared" si="50"/>
        <v>-25.9</v>
      </c>
      <c r="P383" s="8">
        <f>D380/B380*10^(O383/10)</f>
        <v>0.20049087105597135</v>
      </c>
      <c r="Q383" s="26"/>
      <c r="R383" s="17"/>
      <c r="S383" s="19"/>
      <c r="T383" s="17"/>
      <c r="U383" s="22"/>
    </row>
    <row r="384" spans="1:21" x14ac:dyDescent="0.25">
      <c r="A384" s="24"/>
      <c r="B384" s="24"/>
      <c r="C384" s="17"/>
      <c r="D384" s="24"/>
      <c r="E384" s="24"/>
      <c r="F384" s="25"/>
      <c r="G384" s="1">
        <v>2425</v>
      </c>
      <c r="H384" s="2">
        <v>93.7</v>
      </c>
      <c r="I384" s="2">
        <v>-22.6</v>
      </c>
      <c r="J384" s="2">
        <v>-23.6</v>
      </c>
      <c r="K384" s="2">
        <f t="shared" si="48"/>
        <v>-22.6</v>
      </c>
      <c r="L384" s="8">
        <f t="shared" si="52"/>
        <v>2.3442288153199162E-12</v>
      </c>
      <c r="M384" s="26"/>
      <c r="N384" s="17"/>
      <c r="O384" s="9">
        <f t="shared" si="50"/>
        <v>-23.6</v>
      </c>
      <c r="P384" s="8">
        <f>D380/B380*10^(O384/10)</f>
        <v>0.34048234914732894</v>
      </c>
      <c r="Q384" s="26"/>
      <c r="R384" s="17"/>
      <c r="S384" s="19"/>
      <c r="T384" s="17"/>
      <c r="U384" s="22"/>
    </row>
    <row r="385" spans="1:21" x14ac:dyDescent="0.25">
      <c r="A385" s="24"/>
      <c r="B385" s="24"/>
      <c r="C385" s="17"/>
      <c r="D385" s="24"/>
      <c r="E385" s="24"/>
      <c r="F385" s="25"/>
      <c r="G385" s="1">
        <v>2775</v>
      </c>
      <c r="H385" s="2">
        <v>100.2</v>
      </c>
      <c r="I385" s="2">
        <v>-22.4</v>
      </c>
      <c r="J385" s="2">
        <v>-26</v>
      </c>
      <c r="K385" s="2">
        <f t="shared" si="48"/>
        <v>-22.4</v>
      </c>
      <c r="L385" s="8">
        <f t="shared" si="52"/>
        <v>5.4954087385762248E-13</v>
      </c>
      <c r="M385" s="26"/>
      <c r="N385" s="17"/>
      <c r="O385" s="9">
        <f t="shared" si="50"/>
        <v>-26</v>
      </c>
      <c r="P385" s="8">
        <f>D380/B380*10^(O385/10)</f>
        <v>0.19592714165774705</v>
      </c>
      <c r="Q385" s="26"/>
      <c r="R385" s="17"/>
      <c r="S385" s="20"/>
      <c r="T385" s="17"/>
      <c r="U385" s="23"/>
    </row>
    <row r="386" spans="1:21" x14ac:dyDescent="0.25">
      <c r="A386" s="24">
        <v>4000</v>
      </c>
      <c r="B386" s="24">
        <v>3</v>
      </c>
      <c r="C386" s="17">
        <v>0.5</v>
      </c>
      <c r="D386" s="24">
        <v>470</v>
      </c>
      <c r="E386" s="24">
        <v>6</v>
      </c>
      <c r="F386" s="25">
        <v>62</v>
      </c>
      <c r="G386" s="1">
        <v>2825</v>
      </c>
      <c r="H386" s="2">
        <v>99.4</v>
      </c>
      <c r="I386" s="2">
        <v>-22.7</v>
      </c>
      <c r="J386" s="2">
        <v>-25.2</v>
      </c>
      <c r="K386" s="2">
        <f t="shared" si="48"/>
        <v>-22.7</v>
      </c>
      <c r="L386" s="8">
        <f t="shared" si="52"/>
        <v>6.1659500186147956E-13</v>
      </c>
      <c r="M386" s="26">
        <f>SUM(L386:L391)</f>
        <v>3.499740766084043E-12</v>
      </c>
      <c r="N386" s="17">
        <f>10*LOG10(M386/E386)</f>
        <v>-122.34115374041595</v>
      </c>
      <c r="O386" s="9">
        <f t="shared" si="50"/>
        <v>-25.2</v>
      </c>
      <c r="P386" s="8">
        <f>D386/B386*10^(O386/10)</f>
        <v>0.47312576952964874</v>
      </c>
      <c r="Q386" s="26">
        <f>SUM(P386:P391)</f>
        <v>2.3319233312899388</v>
      </c>
      <c r="R386" s="17">
        <f>10*LOG10(Q386)</f>
        <v>3.6771426763711696</v>
      </c>
      <c r="S386" s="18">
        <f>F386+N386-Kzt-H</f>
        <v>-60.341153740415947</v>
      </c>
      <c r="T386" s="17">
        <v>0.9</v>
      </c>
      <c r="U386" s="21">
        <f>T386*10^((S386-R386)/10)</f>
        <v>3.5679015950817991E-7</v>
      </c>
    </row>
    <row r="387" spans="1:21" x14ac:dyDescent="0.25">
      <c r="A387" s="24"/>
      <c r="B387" s="24"/>
      <c r="C387" s="17"/>
      <c r="D387" s="24"/>
      <c r="E387" s="24"/>
      <c r="F387" s="25"/>
      <c r="G387" s="1">
        <v>3425</v>
      </c>
      <c r="H387" s="2">
        <v>103.5</v>
      </c>
      <c r="I387" s="2">
        <v>-21.4</v>
      </c>
      <c r="J387" s="2">
        <v>-25.6</v>
      </c>
      <c r="K387" s="2">
        <f t="shared" si="48"/>
        <v>-21.4</v>
      </c>
      <c r="L387" s="8">
        <f t="shared" si="52"/>
        <v>3.2359365692962775E-13</v>
      </c>
      <c r="M387" s="26"/>
      <c r="N387" s="17"/>
      <c r="O387" s="9">
        <f t="shared" si="50"/>
        <v>-25.6</v>
      </c>
      <c r="P387" s="8">
        <f>D386/B386*10^(O387/10)</f>
        <v>0.43149583018964582</v>
      </c>
      <c r="Q387" s="26"/>
      <c r="R387" s="17"/>
      <c r="S387" s="19"/>
      <c r="T387" s="17"/>
      <c r="U387" s="22"/>
    </row>
    <row r="388" spans="1:21" x14ac:dyDescent="0.25">
      <c r="A388" s="24"/>
      <c r="B388" s="24"/>
      <c r="C388" s="17"/>
      <c r="D388" s="24"/>
      <c r="E388" s="24"/>
      <c r="F388" s="25"/>
      <c r="G388" s="1">
        <v>4025</v>
      </c>
      <c r="H388" s="2">
        <v>103.6</v>
      </c>
      <c r="I388" s="2">
        <v>-21.2</v>
      </c>
      <c r="J388" s="2">
        <v>-25</v>
      </c>
      <c r="K388" s="2">
        <f t="shared" si="48"/>
        <v>-21.2</v>
      </c>
      <c r="L388" s="8">
        <f t="shared" si="52"/>
        <v>3.311311214825894E-13</v>
      </c>
      <c r="M388" s="26"/>
      <c r="N388" s="17"/>
      <c r="O388" s="9">
        <f t="shared" si="50"/>
        <v>-25</v>
      </c>
      <c r="P388" s="8">
        <f>D386/B386*10^(O388/10)</f>
        <v>0.49542350009304559</v>
      </c>
      <c r="Q388" s="26"/>
      <c r="R388" s="17"/>
      <c r="S388" s="19"/>
      <c r="T388" s="17"/>
      <c r="U388" s="22"/>
    </row>
    <row r="389" spans="1:21" x14ac:dyDescent="0.25">
      <c r="A389" s="24"/>
      <c r="B389" s="24"/>
      <c r="C389" s="17"/>
      <c r="D389" s="24"/>
      <c r="E389" s="24"/>
      <c r="F389" s="25"/>
      <c r="G389" s="1">
        <v>4625</v>
      </c>
      <c r="H389" s="2">
        <v>105.6</v>
      </c>
      <c r="I389" s="2">
        <v>-21.9</v>
      </c>
      <c r="J389" s="2">
        <v>-29.7</v>
      </c>
      <c r="K389" s="2">
        <f t="shared" si="48"/>
        <v>-21.9</v>
      </c>
      <c r="L389" s="8">
        <f t="shared" si="52"/>
        <v>1.7782794100389184E-13</v>
      </c>
      <c r="M389" s="26"/>
      <c r="N389" s="17"/>
      <c r="O389" s="9">
        <f t="shared" si="50"/>
        <v>-29.7</v>
      </c>
      <c r="P389" s="8">
        <f>D386/B386*10^(O389/10)</f>
        <v>0.16787135782055831</v>
      </c>
      <c r="Q389" s="26"/>
      <c r="R389" s="17"/>
      <c r="S389" s="19"/>
      <c r="T389" s="17"/>
      <c r="U389" s="22"/>
    </row>
    <row r="390" spans="1:21" x14ac:dyDescent="0.25">
      <c r="A390" s="24"/>
      <c r="B390" s="24"/>
      <c r="C390" s="17"/>
      <c r="D390" s="24"/>
      <c r="E390" s="24"/>
      <c r="F390" s="25"/>
      <c r="G390" s="1">
        <v>5225</v>
      </c>
      <c r="H390" s="2">
        <v>103.5</v>
      </c>
      <c r="I390" s="2">
        <v>-19.2</v>
      </c>
      <c r="J390" s="2">
        <v>-31.5</v>
      </c>
      <c r="K390" s="2">
        <f t="shared" si="48"/>
        <v>-19.2</v>
      </c>
      <c r="L390" s="8">
        <f t="shared" si="52"/>
        <v>5.3703179637025273E-13</v>
      </c>
      <c r="M390" s="26"/>
      <c r="N390" s="17"/>
      <c r="O390" s="9">
        <f t="shared" si="50"/>
        <v>-31.5</v>
      </c>
      <c r="P390" s="8">
        <f>D386/B386*10^(O390/10)</f>
        <v>0.11091150622018159</v>
      </c>
      <c r="Q390" s="26"/>
      <c r="R390" s="17"/>
      <c r="S390" s="19"/>
      <c r="T390" s="17"/>
      <c r="U390" s="22"/>
    </row>
    <row r="391" spans="1:21" x14ac:dyDescent="0.25">
      <c r="A391" s="24"/>
      <c r="B391" s="24"/>
      <c r="C391" s="17"/>
      <c r="D391" s="24"/>
      <c r="E391" s="24"/>
      <c r="F391" s="25"/>
      <c r="G391" s="1">
        <v>5625</v>
      </c>
      <c r="H391" s="2">
        <v>99.5</v>
      </c>
      <c r="I391" s="2">
        <v>-18.7</v>
      </c>
      <c r="J391" s="2">
        <v>-23.8</v>
      </c>
      <c r="K391" s="2">
        <f t="shared" si="48"/>
        <v>-18.7</v>
      </c>
      <c r="L391" s="8">
        <f t="shared" si="52"/>
        <v>1.5135612484362015E-12</v>
      </c>
      <c r="M391" s="26"/>
      <c r="N391" s="17"/>
      <c r="O391" s="9">
        <f t="shared" si="50"/>
        <v>-23.8</v>
      </c>
      <c r="P391" s="8">
        <f>D386/B386*10^(O391/10)</f>
        <v>0.65309536743685859</v>
      </c>
      <c r="Q391" s="26"/>
      <c r="R391" s="17"/>
      <c r="S391" s="20"/>
      <c r="T391" s="17"/>
      <c r="U391" s="23"/>
    </row>
    <row r="392" spans="1:21" x14ac:dyDescent="0.25">
      <c r="A392" s="24">
        <v>8000</v>
      </c>
      <c r="B392" s="24">
        <v>3</v>
      </c>
      <c r="C392" s="17">
        <v>0.5</v>
      </c>
      <c r="D392" s="24">
        <v>943</v>
      </c>
      <c r="E392" s="24">
        <v>6</v>
      </c>
      <c r="F392" s="25">
        <v>54</v>
      </c>
      <c r="G392" s="1">
        <v>6025</v>
      </c>
      <c r="H392" s="2">
        <v>95</v>
      </c>
      <c r="I392" s="2">
        <v>-18.8</v>
      </c>
      <c r="J392" s="2">
        <v>-29.8</v>
      </c>
      <c r="K392" s="2">
        <f t="shared" si="48"/>
        <v>-18.8</v>
      </c>
      <c r="L392" s="8">
        <f t="shared" si="52"/>
        <v>4.1686938347033479E-12</v>
      </c>
      <c r="M392" s="26">
        <f>SUM(L392:L397)</f>
        <v>3.3361752193372757E-11</v>
      </c>
      <c r="N392" s="17">
        <f>10*LOG10(M392/E392)</f>
        <v>-112.54902398228216</v>
      </c>
      <c r="O392" s="9">
        <f t="shared" si="50"/>
        <v>-29.8</v>
      </c>
      <c r="P392" s="8">
        <f>D392/B392*10^(O392/10)</f>
        <v>0.32914740693733247</v>
      </c>
      <c r="Q392" s="26">
        <f>SUM(P392:P397)</f>
        <v>3.0393497825093831</v>
      </c>
      <c r="R392" s="17">
        <f>10*LOG10(Q392)</f>
        <v>4.8278068358510282</v>
      </c>
      <c r="S392" s="18">
        <f>F392+N392-Kzt-H</f>
        <v>-58.549023982282165</v>
      </c>
      <c r="T392" s="17">
        <v>0.7</v>
      </c>
      <c r="U392" s="21">
        <f>T392*10^((S392-R392)/10)</f>
        <v>3.2167325833811772E-7</v>
      </c>
    </row>
    <row r="393" spans="1:21" x14ac:dyDescent="0.25">
      <c r="A393" s="24"/>
      <c r="B393" s="24"/>
      <c r="C393" s="17"/>
      <c r="D393" s="24"/>
      <c r="E393" s="24"/>
      <c r="F393" s="25"/>
      <c r="G393" s="1">
        <v>7025</v>
      </c>
      <c r="H393" s="2">
        <v>94.8</v>
      </c>
      <c r="I393" s="2">
        <v>-24.6</v>
      </c>
      <c r="J393" s="2">
        <v>-27.6</v>
      </c>
      <c r="K393" s="2">
        <f t="shared" si="48"/>
        <v>-24.6</v>
      </c>
      <c r="L393" s="8">
        <f t="shared" si="52"/>
        <v>1.1481536214968749E-12</v>
      </c>
      <c r="M393" s="26"/>
      <c r="N393" s="17"/>
      <c r="O393" s="9">
        <f t="shared" si="50"/>
        <v>-27.6</v>
      </c>
      <c r="P393" s="8">
        <f>D392/B392*10^(O393/10)</f>
        <v>0.54624872717021966</v>
      </c>
      <c r="Q393" s="26"/>
      <c r="R393" s="17"/>
      <c r="S393" s="19"/>
      <c r="T393" s="17"/>
      <c r="U393" s="22"/>
    </row>
    <row r="394" spans="1:21" x14ac:dyDescent="0.25">
      <c r="A394" s="24"/>
      <c r="B394" s="24"/>
      <c r="C394" s="17"/>
      <c r="D394" s="24"/>
      <c r="E394" s="24"/>
      <c r="F394" s="25"/>
      <c r="G394" s="1">
        <v>8025</v>
      </c>
      <c r="H394" s="2">
        <v>101.9</v>
      </c>
      <c r="I394" s="2">
        <v>-22.9</v>
      </c>
      <c r="J394" s="2">
        <v>-25.4</v>
      </c>
      <c r="K394" s="2">
        <f t="shared" si="48"/>
        <v>-22.9</v>
      </c>
      <c r="L394" s="8">
        <f t="shared" si="52"/>
        <v>3.311311214825894E-13</v>
      </c>
      <c r="M394" s="26"/>
      <c r="N394" s="17"/>
      <c r="O394" s="9">
        <f t="shared" si="50"/>
        <v>-25.4</v>
      </c>
      <c r="P394" s="8">
        <f>D392/B392*10^(O394/10)</f>
        <v>0.90654723581612917</v>
      </c>
      <c r="Q394" s="26"/>
      <c r="R394" s="17"/>
      <c r="S394" s="19"/>
      <c r="T394" s="17"/>
      <c r="U394" s="22"/>
    </row>
    <row r="395" spans="1:21" x14ac:dyDescent="0.25">
      <c r="A395" s="24"/>
      <c r="B395" s="24"/>
      <c r="C395" s="17"/>
      <c r="D395" s="24"/>
      <c r="E395" s="24"/>
      <c r="F395" s="25"/>
      <c r="G395" s="1">
        <v>9025</v>
      </c>
      <c r="H395" s="2">
        <v>93.2</v>
      </c>
      <c r="I395" s="2">
        <v>-21.5</v>
      </c>
      <c r="J395" s="2">
        <v>-29.4</v>
      </c>
      <c r="K395" s="2">
        <f t="shared" si="48"/>
        <v>-21.5</v>
      </c>
      <c r="L395" s="8">
        <f t="shared" si="52"/>
        <v>3.3884415613920115E-12</v>
      </c>
      <c r="M395" s="26"/>
      <c r="N395" s="17"/>
      <c r="O395" s="9">
        <f t="shared" si="50"/>
        <v>-29.4</v>
      </c>
      <c r="P395" s="8">
        <f>D392/B392*10^(O395/10)</f>
        <v>0.36090295502385339</v>
      </c>
      <c r="Q395" s="26"/>
      <c r="R395" s="17"/>
      <c r="S395" s="19"/>
      <c r="T395" s="17"/>
      <c r="U395" s="22"/>
    </row>
    <row r="396" spans="1:21" x14ac:dyDescent="0.25">
      <c r="A396" s="24"/>
      <c r="B396" s="24"/>
      <c r="C396" s="17"/>
      <c r="D396" s="24"/>
      <c r="E396" s="24"/>
      <c r="F396" s="25"/>
      <c r="G396" s="1">
        <v>10025</v>
      </c>
      <c r="H396" s="2">
        <v>88.3</v>
      </c>
      <c r="I396" s="2">
        <v>-20.9</v>
      </c>
      <c r="J396" s="2">
        <v>-29.1</v>
      </c>
      <c r="K396" s="2">
        <f t="shared" si="48"/>
        <v>-20.9</v>
      </c>
      <c r="L396" s="8">
        <f t="shared" si="52"/>
        <v>1.2022644346174143E-11</v>
      </c>
      <c r="M396" s="26"/>
      <c r="N396" s="17"/>
      <c r="O396" s="9">
        <f t="shared" si="50"/>
        <v>-29.1</v>
      </c>
      <c r="P396" s="8">
        <f>D392/B392*10^(O396/10)</f>
        <v>0.38671448362535832</v>
      </c>
      <c r="Q396" s="26"/>
      <c r="R396" s="17"/>
      <c r="S396" s="19"/>
      <c r="T396" s="17"/>
      <c r="U396" s="22"/>
    </row>
    <row r="397" spans="1:21" x14ac:dyDescent="0.25">
      <c r="A397" s="24"/>
      <c r="B397" s="24"/>
      <c r="C397" s="17"/>
      <c r="D397" s="24"/>
      <c r="E397" s="24"/>
      <c r="F397" s="25"/>
      <c r="G397" s="1">
        <v>11025</v>
      </c>
      <c r="H397" s="2">
        <v>86</v>
      </c>
      <c r="I397" s="2">
        <v>-23.1</v>
      </c>
      <c r="J397" s="2">
        <v>-27.9</v>
      </c>
      <c r="K397" s="2">
        <f t="shared" si="48"/>
        <v>-23.1</v>
      </c>
      <c r="L397" s="8">
        <f t="shared" si="52"/>
        <v>1.2302687708123787E-11</v>
      </c>
      <c r="M397" s="26"/>
      <c r="N397" s="17"/>
      <c r="O397" s="9">
        <f t="shared" si="50"/>
        <v>-27.9</v>
      </c>
      <c r="P397" s="8">
        <f>D392/B392*10^(O397/10)</f>
        <v>0.50978897393648981</v>
      </c>
      <c r="Q397" s="26"/>
      <c r="R397" s="17"/>
      <c r="S397" s="20"/>
      <c r="T397" s="17"/>
      <c r="U397" s="23"/>
    </row>
    <row r="398" spans="1:21" x14ac:dyDescent="0.25">
      <c r="A398" s="24" t="s">
        <v>20</v>
      </c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12">
        <f>U398</f>
        <v>6.4001738730542809E-2</v>
      </c>
      <c r="T398" s="2"/>
      <c r="U398" s="8">
        <f>0.8*SQRT(SUM(U364:U397))</f>
        <v>6.4001738730542809E-2</v>
      </c>
    </row>
    <row r="399" spans="1:21" x14ac:dyDescent="0.25">
      <c r="A399" s="27" t="s">
        <v>63</v>
      </c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9"/>
    </row>
    <row r="400" spans="1:21" x14ac:dyDescent="0.25">
      <c r="A400" s="24">
        <v>250</v>
      </c>
      <c r="B400" s="24">
        <v>3</v>
      </c>
      <c r="C400" s="17">
        <v>0.5</v>
      </c>
      <c r="D400" s="24">
        <v>38</v>
      </c>
      <c r="E400" s="24">
        <v>4</v>
      </c>
      <c r="F400" s="25">
        <v>84</v>
      </c>
      <c r="G400" s="1">
        <v>175</v>
      </c>
      <c r="H400" s="2">
        <v>84.8</v>
      </c>
      <c r="I400" s="2">
        <v>-17.599999999999998</v>
      </c>
      <c r="J400" s="2">
        <v>-18.399999999999999</v>
      </c>
      <c r="K400" s="2">
        <f>I400</f>
        <v>-17.599999999999998</v>
      </c>
      <c r="L400" s="8">
        <f>10^((K400-H400)/10)</f>
        <v>5.7543993733715802E-11</v>
      </c>
      <c r="M400" s="26">
        <f>SUM(L400:L403)</f>
        <v>8.1687840833374655E-11</v>
      </c>
      <c r="N400" s="17">
        <f>10*LOG10(M400/E400)</f>
        <v>-106.89902574354436</v>
      </c>
      <c r="O400" s="9">
        <f>J400</f>
        <v>-18.399999999999999</v>
      </c>
      <c r="P400" s="8">
        <f>D400/B400*10^(O400/10)</f>
        <v>0.18308903762781745</v>
      </c>
      <c r="Q400" s="26">
        <f>SUM(P400:P403)</f>
        <v>0.305438829398334</v>
      </c>
      <c r="R400" s="17">
        <f>10*LOG10(Q400)</f>
        <v>-5.1507575339127492</v>
      </c>
      <c r="S400" s="18">
        <f>F400+N400-Kzt-H</f>
        <v>-22.899025743544357</v>
      </c>
      <c r="T400" s="17">
        <v>0.2</v>
      </c>
      <c r="U400" s="21">
        <f>T400*10^((S400-R400)/10)</f>
        <v>3.3589471812221976E-3</v>
      </c>
    </row>
    <row r="401" spans="1:21" x14ac:dyDescent="0.25">
      <c r="A401" s="24"/>
      <c r="B401" s="24"/>
      <c r="C401" s="17"/>
      <c r="D401" s="24"/>
      <c r="E401" s="24"/>
      <c r="F401" s="25"/>
      <c r="G401" s="1">
        <v>225</v>
      </c>
      <c r="H401" s="2">
        <v>90</v>
      </c>
      <c r="I401" s="2">
        <v>-18.600000000000001</v>
      </c>
      <c r="J401" s="2">
        <v>-24.4</v>
      </c>
      <c r="K401" s="2">
        <f t="shared" ref="K401:K433" si="53">I401</f>
        <v>-18.600000000000001</v>
      </c>
      <c r="L401" s="8">
        <f t="shared" ref="L401:L402" si="54">10^((K401-H401)/10)</f>
        <v>1.380384264602886E-11</v>
      </c>
      <c r="M401" s="26"/>
      <c r="N401" s="17"/>
      <c r="O401" s="9">
        <f t="shared" ref="O401:O433" si="55">J401</f>
        <v>-24.4</v>
      </c>
      <c r="P401" s="8">
        <f>D400/B400*10^(O401/10)</f>
        <v>4.5989886937546139E-2</v>
      </c>
      <c r="Q401" s="26"/>
      <c r="R401" s="17"/>
      <c r="S401" s="19"/>
      <c r="T401" s="17"/>
      <c r="U401" s="22"/>
    </row>
    <row r="402" spans="1:21" x14ac:dyDescent="0.25">
      <c r="A402" s="24"/>
      <c r="B402" s="24"/>
      <c r="C402" s="17"/>
      <c r="D402" s="24"/>
      <c r="E402" s="24"/>
      <c r="F402" s="25"/>
      <c r="G402" s="1">
        <v>275</v>
      </c>
      <c r="H402" s="2">
        <v>92.2</v>
      </c>
      <c r="I402" s="2">
        <v>-23.4</v>
      </c>
      <c r="J402" s="2">
        <v>-26.7</v>
      </c>
      <c r="K402" s="2">
        <f t="shared" si="53"/>
        <v>-23.4</v>
      </c>
      <c r="L402" s="8">
        <f t="shared" si="54"/>
        <v>2.7542287033381671E-12</v>
      </c>
      <c r="M402" s="26"/>
      <c r="N402" s="17"/>
      <c r="O402" s="9">
        <f t="shared" si="55"/>
        <v>-26.7</v>
      </c>
      <c r="P402" s="8">
        <f>D400/B400*10^(O402/10)</f>
        <v>2.7080853133694936E-2</v>
      </c>
      <c r="Q402" s="26"/>
      <c r="R402" s="17"/>
      <c r="S402" s="19"/>
      <c r="T402" s="17"/>
      <c r="U402" s="22"/>
    </row>
    <row r="403" spans="1:21" x14ac:dyDescent="0.25">
      <c r="A403" s="24"/>
      <c r="B403" s="24"/>
      <c r="C403" s="17"/>
      <c r="D403" s="24"/>
      <c r="E403" s="24"/>
      <c r="F403" s="25"/>
      <c r="G403" s="1">
        <v>325</v>
      </c>
      <c r="H403" s="2">
        <v>93.3</v>
      </c>
      <c r="I403" s="2">
        <v>-17.899999999999999</v>
      </c>
      <c r="J403" s="2">
        <v>-24.1</v>
      </c>
      <c r="K403" s="2">
        <f t="shared" si="53"/>
        <v>-17.899999999999999</v>
      </c>
      <c r="L403" s="8">
        <f>10^((K403-H403)/10)</f>
        <v>7.585775750291834E-12</v>
      </c>
      <c r="M403" s="26"/>
      <c r="N403" s="17"/>
      <c r="O403" s="9">
        <f t="shared" si="55"/>
        <v>-24.1</v>
      </c>
      <c r="P403" s="8">
        <f>D400/B400*10^(O403/10)</f>
        <v>4.9279051699275496E-2</v>
      </c>
      <c r="Q403" s="26"/>
      <c r="R403" s="17"/>
      <c r="S403" s="20"/>
      <c r="T403" s="17"/>
      <c r="U403" s="23"/>
    </row>
    <row r="404" spans="1:21" x14ac:dyDescent="0.25">
      <c r="A404" s="24">
        <v>500</v>
      </c>
      <c r="B404" s="24">
        <v>3</v>
      </c>
      <c r="C404" s="17">
        <v>0.5</v>
      </c>
      <c r="D404" s="24">
        <v>59</v>
      </c>
      <c r="E404" s="24">
        <v>6</v>
      </c>
      <c r="F404" s="25">
        <v>84</v>
      </c>
      <c r="G404" s="1">
        <v>375</v>
      </c>
      <c r="H404" s="2">
        <v>91.9</v>
      </c>
      <c r="I404" s="2">
        <v>-20.399999999999999</v>
      </c>
      <c r="J404" s="2">
        <v>-22.8</v>
      </c>
      <c r="K404" s="2">
        <f t="shared" si="53"/>
        <v>-20.399999999999999</v>
      </c>
      <c r="L404" s="8">
        <f t="shared" ref="L404:L405" si="56">10^((K404-H404)/10)</f>
        <v>5.8884365535558725E-12</v>
      </c>
      <c r="M404" s="26">
        <f>SUM(L404:L409)</f>
        <v>2.2790567136976438E-11</v>
      </c>
      <c r="N404" s="17">
        <f>10*LOG10(M404/E404)</f>
        <v>-114.20396117770416</v>
      </c>
      <c r="O404" s="9">
        <f t="shared" si="55"/>
        <v>-22.8</v>
      </c>
      <c r="P404" s="8">
        <f>D404/B404*10^(O404/10)</f>
        <v>0.1032121338491218</v>
      </c>
      <c r="Q404" s="26">
        <f>SUM(P404:P409)</f>
        <v>0.40802815052314162</v>
      </c>
      <c r="R404" s="17">
        <f>10*LOG10(Q404)</f>
        <v>-3.8930987319658863</v>
      </c>
      <c r="S404" s="18">
        <f>F404+N404-Kzt-H</f>
        <v>-30.203961177704159</v>
      </c>
      <c r="T404" s="17">
        <v>0.5</v>
      </c>
      <c r="U404" s="21">
        <f>T404*10^((S404-R404)/10)</f>
        <v>1.1691864128406575E-3</v>
      </c>
    </row>
    <row r="405" spans="1:21" x14ac:dyDescent="0.25">
      <c r="A405" s="24"/>
      <c r="B405" s="24"/>
      <c r="C405" s="17"/>
      <c r="D405" s="24"/>
      <c r="E405" s="24"/>
      <c r="F405" s="25"/>
      <c r="G405" s="1">
        <v>425</v>
      </c>
      <c r="H405" s="2">
        <v>88.1</v>
      </c>
      <c r="I405" s="2">
        <v>-24.1</v>
      </c>
      <c r="J405" s="2">
        <v>-24.3</v>
      </c>
      <c r="K405" s="2">
        <f t="shared" si="53"/>
        <v>-24.1</v>
      </c>
      <c r="L405" s="8">
        <f t="shared" si="56"/>
        <v>6.0255958607435815E-12</v>
      </c>
      <c r="M405" s="26"/>
      <c r="N405" s="17"/>
      <c r="O405" s="9">
        <f t="shared" si="55"/>
        <v>-24.3</v>
      </c>
      <c r="P405" s="8">
        <f>D404/B404*10^(O405/10)</f>
        <v>7.3068595055777216E-2</v>
      </c>
      <c r="Q405" s="26"/>
      <c r="R405" s="17"/>
      <c r="S405" s="19"/>
      <c r="T405" s="17"/>
      <c r="U405" s="22"/>
    </row>
    <row r="406" spans="1:21" x14ac:dyDescent="0.25">
      <c r="A406" s="24"/>
      <c r="B406" s="24"/>
      <c r="C406" s="17"/>
      <c r="D406" s="24"/>
      <c r="E406" s="24"/>
      <c r="F406" s="25"/>
      <c r="G406" s="1">
        <v>475</v>
      </c>
      <c r="H406" s="2">
        <v>90</v>
      </c>
      <c r="I406" s="2">
        <v>-22.9</v>
      </c>
      <c r="J406" s="2">
        <v>-23.1</v>
      </c>
      <c r="K406" s="2">
        <f t="shared" si="53"/>
        <v>-22.9</v>
      </c>
      <c r="L406" s="8">
        <f>10^((K406-H406)/10)</f>
        <v>5.1286138399136186E-12</v>
      </c>
      <c r="M406" s="26"/>
      <c r="N406" s="17"/>
      <c r="O406" s="9">
        <f t="shared" si="55"/>
        <v>-23.1</v>
      </c>
      <c r="P406" s="8">
        <f>D404/B404*10^(O406/10)</f>
        <v>9.6323167809127655E-2</v>
      </c>
      <c r="Q406" s="26"/>
      <c r="R406" s="17"/>
      <c r="S406" s="19"/>
      <c r="T406" s="17"/>
      <c r="U406" s="22"/>
    </row>
    <row r="407" spans="1:21" x14ac:dyDescent="0.25">
      <c r="A407" s="24"/>
      <c r="B407" s="24"/>
      <c r="C407" s="17"/>
      <c r="D407" s="24"/>
      <c r="E407" s="24"/>
      <c r="F407" s="25"/>
      <c r="G407" s="1">
        <v>575</v>
      </c>
      <c r="H407" s="2">
        <v>97</v>
      </c>
      <c r="I407" s="2">
        <v>-23.5</v>
      </c>
      <c r="J407" s="2">
        <v>-27.9</v>
      </c>
      <c r="K407" s="2">
        <f t="shared" si="53"/>
        <v>-23.5</v>
      </c>
      <c r="L407" s="8">
        <f t="shared" ref="L407:L433" si="57">10^((K407-H407)/10)</f>
        <v>8.9125093813374051E-13</v>
      </c>
      <c r="M407" s="26"/>
      <c r="N407" s="17"/>
      <c r="O407" s="9">
        <f t="shared" si="55"/>
        <v>-27.9</v>
      </c>
      <c r="P407" s="8">
        <f>D404/B404*10^(O407/10)</f>
        <v>3.1895598581392258E-2</v>
      </c>
      <c r="Q407" s="26"/>
      <c r="R407" s="17"/>
      <c r="S407" s="19"/>
      <c r="T407" s="17"/>
      <c r="U407" s="22"/>
    </row>
    <row r="408" spans="1:21" x14ac:dyDescent="0.25">
      <c r="A408" s="24"/>
      <c r="B408" s="24"/>
      <c r="C408" s="17"/>
      <c r="D408" s="24"/>
      <c r="E408" s="24"/>
      <c r="F408" s="25"/>
      <c r="G408" s="1">
        <v>625</v>
      </c>
      <c r="H408" s="2">
        <v>92</v>
      </c>
      <c r="I408" s="2">
        <v>-23.3</v>
      </c>
      <c r="J408" s="2">
        <v>-24.3</v>
      </c>
      <c r="K408" s="2">
        <f t="shared" si="53"/>
        <v>-23.3</v>
      </c>
      <c r="L408" s="8">
        <f t="shared" si="57"/>
        <v>2.9512092266663859E-12</v>
      </c>
      <c r="M408" s="26"/>
      <c r="N408" s="17"/>
      <c r="O408" s="9">
        <f t="shared" si="55"/>
        <v>-24.3</v>
      </c>
      <c r="P408" s="8">
        <f>D404/B404*10^(O408/10)</f>
        <v>7.3068595055777216E-2</v>
      </c>
      <c r="Q408" s="26"/>
      <c r="R408" s="17"/>
      <c r="S408" s="19"/>
      <c r="T408" s="17"/>
      <c r="U408" s="22"/>
    </row>
    <row r="409" spans="1:21" x14ac:dyDescent="0.25">
      <c r="A409" s="24"/>
      <c r="B409" s="24"/>
      <c r="C409" s="17"/>
      <c r="D409" s="24"/>
      <c r="E409" s="24"/>
      <c r="F409" s="25"/>
      <c r="G409" s="1">
        <v>675</v>
      </c>
      <c r="H409" s="2">
        <v>94.5</v>
      </c>
      <c r="I409" s="2">
        <v>-22.7</v>
      </c>
      <c r="J409" s="2">
        <v>-28.1</v>
      </c>
      <c r="K409" s="2">
        <f t="shared" si="53"/>
        <v>-22.7</v>
      </c>
      <c r="L409" s="8">
        <f t="shared" si="57"/>
        <v>1.905460717963237E-12</v>
      </c>
      <c r="M409" s="26"/>
      <c r="N409" s="17"/>
      <c r="O409" s="9">
        <f t="shared" si="55"/>
        <v>-28.1</v>
      </c>
      <c r="P409" s="8">
        <f>D404/B404*10^(O409/10)</f>
        <v>3.0460060171945448E-2</v>
      </c>
      <c r="Q409" s="26"/>
      <c r="R409" s="17"/>
      <c r="S409" s="20"/>
      <c r="T409" s="17"/>
      <c r="U409" s="23"/>
    </row>
    <row r="410" spans="1:21" x14ac:dyDescent="0.25">
      <c r="A410" s="24">
        <v>1000</v>
      </c>
      <c r="B410" s="24">
        <v>3</v>
      </c>
      <c r="C410" s="17">
        <v>0.5</v>
      </c>
      <c r="D410" s="24">
        <v>117</v>
      </c>
      <c r="E410" s="24">
        <v>6</v>
      </c>
      <c r="F410" s="25">
        <v>76</v>
      </c>
      <c r="G410" s="1">
        <v>875</v>
      </c>
      <c r="H410" s="2">
        <v>91.1</v>
      </c>
      <c r="I410" s="2">
        <v>-19.3</v>
      </c>
      <c r="J410" s="2">
        <v>-27.2</v>
      </c>
      <c r="K410" s="2">
        <f t="shared" si="53"/>
        <v>-19.3</v>
      </c>
      <c r="L410" s="8">
        <f t="shared" si="57"/>
        <v>9.1201083935590882E-12</v>
      </c>
      <c r="M410" s="26">
        <f>SUM(L410:L415)</f>
        <v>1.5361369408498901E-11</v>
      </c>
      <c r="N410" s="17">
        <f>10*LOG10(M410/E410)</f>
        <v>-115.91721317237308</v>
      </c>
      <c r="O410" s="9">
        <f t="shared" si="55"/>
        <v>-27.2</v>
      </c>
      <c r="P410" s="8">
        <f>D410/B410*10^(O410/10)</f>
        <v>7.4312968000566651E-2</v>
      </c>
      <c r="Q410" s="26">
        <f>SUM(P410:P415)</f>
        <v>0.65378777254142828</v>
      </c>
      <c r="R410" s="17">
        <f>10*LOG10(Q410)</f>
        <v>-1.8456320606743195</v>
      </c>
      <c r="S410" s="18">
        <f>F410+N410-Kzt-H</f>
        <v>-39.917213172373081</v>
      </c>
      <c r="T410" s="17">
        <v>0.8</v>
      </c>
      <c r="U410" s="21">
        <f>T410*10^((S410-R410)/10)</f>
        <v>1.2471878628691696E-4</v>
      </c>
    </row>
    <row r="411" spans="1:21" x14ac:dyDescent="0.25">
      <c r="A411" s="24"/>
      <c r="B411" s="24"/>
      <c r="C411" s="17"/>
      <c r="D411" s="24"/>
      <c r="E411" s="24"/>
      <c r="F411" s="25"/>
      <c r="G411" s="1">
        <v>975</v>
      </c>
      <c r="H411" s="2">
        <v>96.5</v>
      </c>
      <c r="I411" s="2">
        <v>-19.100000000000001</v>
      </c>
      <c r="J411" s="2">
        <v>-24.5</v>
      </c>
      <c r="K411" s="2">
        <f t="shared" si="53"/>
        <v>-19.100000000000001</v>
      </c>
      <c r="L411" s="8">
        <f t="shared" si="57"/>
        <v>2.7542287033381671E-12</v>
      </c>
      <c r="M411" s="26"/>
      <c r="N411" s="17"/>
      <c r="O411" s="9">
        <f t="shared" si="55"/>
        <v>-24.5</v>
      </c>
      <c r="P411" s="8">
        <f>D410/B410*10^(O411/10)</f>
        <v>0.13837722180109435</v>
      </c>
      <c r="Q411" s="26"/>
      <c r="R411" s="17"/>
      <c r="S411" s="19"/>
      <c r="T411" s="17"/>
      <c r="U411" s="22"/>
    </row>
    <row r="412" spans="1:21" x14ac:dyDescent="0.25">
      <c r="A412" s="24"/>
      <c r="B412" s="24"/>
      <c r="C412" s="17"/>
      <c r="D412" s="24"/>
      <c r="E412" s="24"/>
      <c r="F412" s="25"/>
      <c r="G412" s="1">
        <v>1075</v>
      </c>
      <c r="H412" s="2">
        <v>94.6</v>
      </c>
      <c r="I412" s="2">
        <v>-23.7</v>
      </c>
      <c r="J412" s="2">
        <v>-24.4</v>
      </c>
      <c r="K412" s="2">
        <f t="shared" si="53"/>
        <v>-23.7</v>
      </c>
      <c r="L412" s="8">
        <f t="shared" si="57"/>
        <v>1.4791083881682012E-12</v>
      </c>
      <c r="M412" s="26"/>
      <c r="N412" s="17"/>
      <c r="O412" s="9">
        <f t="shared" si="55"/>
        <v>-24.4</v>
      </c>
      <c r="P412" s="8">
        <f>D410/B410*10^(O412/10)</f>
        <v>0.14160044136033942</v>
      </c>
      <c r="Q412" s="26"/>
      <c r="R412" s="17"/>
      <c r="S412" s="19"/>
      <c r="T412" s="17"/>
      <c r="U412" s="22"/>
    </row>
    <row r="413" spans="1:21" x14ac:dyDescent="0.25">
      <c r="A413" s="24"/>
      <c r="B413" s="24"/>
      <c r="C413" s="17"/>
      <c r="D413" s="24"/>
      <c r="E413" s="24"/>
      <c r="F413" s="25"/>
      <c r="G413" s="1">
        <v>1175</v>
      </c>
      <c r="H413" s="2">
        <v>97.8</v>
      </c>
      <c r="I413" s="2">
        <v>-23.1</v>
      </c>
      <c r="J413" s="2">
        <v>-29.3</v>
      </c>
      <c r="K413" s="2">
        <f t="shared" si="53"/>
        <v>-23.1</v>
      </c>
      <c r="L413" s="8">
        <f t="shared" si="57"/>
        <v>8.1283051616409777E-13</v>
      </c>
      <c r="M413" s="26"/>
      <c r="N413" s="17"/>
      <c r="O413" s="9">
        <f t="shared" si="55"/>
        <v>-29.3</v>
      </c>
      <c r="P413" s="8">
        <f>D410/B410*10^(O413/10)</f>
        <v>4.5821004642641591E-2</v>
      </c>
      <c r="Q413" s="26"/>
      <c r="R413" s="17"/>
      <c r="S413" s="19"/>
      <c r="T413" s="17"/>
      <c r="U413" s="22"/>
    </row>
    <row r="414" spans="1:21" x14ac:dyDescent="0.25">
      <c r="A414" s="24"/>
      <c r="B414" s="24"/>
      <c r="C414" s="17"/>
      <c r="D414" s="24"/>
      <c r="E414" s="24"/>
      <c r="F414" s="25"/>
      <c r="G414" s="1">
        <v>1275</v>
      </c>
      <c r="H414" s="2">
        <v>100.1</v>
      </c>
      <c r="I414" s="2">
        <v>-23.5</v>
      </c>
      <c r="J414" s="2">
        <v>-23.7</v>
      </c>
      <c r="K414" s="2">
        <f t="shared" si="53"/>
        <v>-23.5</v>
      </c>
      <c r="L414" s="8">
        <f t="shared" si="57"/>
        <v>4.3651583224016479E-13</v>
      </c>
      <c r="M414" s="26"/>
      <c r="N414" s="17"/>
      <c r="O414" s="9">
        <f t="shared" si="55"/>
        <v>-23.7</v>
      </c>
      <c r="P414" s="8">
        <f>D410/B410*10^(O414/10)</f>
        <v>0.16636601233262108</v>
      </c>
      <c r="Q414" s="26"/>
      <c r="R414" s="17"/>
      <c r="S414" s="19"/>
      <c r="T414" s="17"/>
      <c r="U414" s="22"/>
    </row>
    <row r="415" spans="1:21" x14ac:dyDescent="0.25">
      <c r="A415" s="24"/>
      <c r="B415" s="24"/>
      <c r="C415" s="17"/>
      <c r="D415" s="24"/>
      <c r="E415" s="24"/>
      <c r="F415" s="25"/>
      <c r="G415" s="1">
        <v>1375</v>
      </c>
      <c r="H415" s="2">
        <v>103</v>
      </c>
      <c r="I415" s="2">
        <v>-18.2</v>
      </c>
      <c r="J415" s="2">
        <v>-26.5</v>
      </c>
      <c r="K415" s="2">
        <f t="shared" si="53"/>
        <v>-18.2</v>
      </c>
      <c r="L415" s="8">
        <f t="shared" si="57"/>
        <v>7.5857757502917993E-13</v>
      </c>
      <c r="M415" s="26"/>
      <c r="N415" s="17"/>
      <c r="O415" s="9">
        <f t="shared" si="55"/>
        <v>-26.5</v>
      </c>
      <c r="P415" s="8">
        <f>D410/B410*10^(O415/10)</f>
        <v>8.7310124404165204E-2</v>
      </c>
      <c r="Q415" s="26"/>
      <c r="R415" s="17"/>
      <c r="S415" s="20"/>
      <c r="T415" s="17"/>
      <c r="U415" s="23"/>
    </row>
    <row r="416" spans="1:21" x14ac:dyDescent="0.25">
      <c r="A416" s="24">
        <v>2000</v>
      </c>
      <c r="B416" s="24">
        <v>3</v>
      </c>
      <c r="C416" s="17">
        <v>0.5</v>
      </c>
      <c r="D416" s="24">
        <v>234</v>
      </c>
      <c r="E416" s="24">
        <v>6</v>
      </c>
      <c r="F416" s="25">
        <v>68</v>
      </c>
      <c r="G416" s="1">
        <v>1425</v>
      </c>
      <c r="H416" s="2">
        <v>102.8</v>
      </c>
      <c r="I416" s="2">
        <v>-22.1</v>
      </c>
      <c r="J416" s="2">
        <v>-25.4</v>
      </c>
      <c r="K416" s="2">
        <f t="shared" si="53"/>
        <v>-22.1</v>
      </c>
      <c r="L416" s="8">
        <f t="shared" si="57"/>
        <v>3.2359365692962775E-13</v>
      </c>
      <c r="M416" s="26">
        <f>SUM(L416:L421)</f>
        <v>3.2790124551765245E-12</v>
      </c>
      <c r="N416" s="17">
        <f>10*LOG10(M416/E416)</f>
        <v>-122.62408184063725</v>
      </c>
      <c r="O416" s="9">
        <f t="shared" si="55"/>
        <v>-25.4</v>
      </c>
      <c r="P416" s="8">
        <f>D416/B416*10^(O416/10)</f>
        <v>0.22495445724387514</v>
      </c>
      <c r="Q416" s="26">
        <f>SUM(P416:P421)</f>
        <v>1.7176861661928344</v>
      </c>
      <c r="R416" s="17">
        <f>10*LOG10(Q416)</f>
        <v>2.3494381796955861</v>
      </c>
      <c r="S416" s="18">
        <f>F416+N416-Kzt-H</f>
        <v>-54.624081840637245</v>
      </c>
      <c r="T416" s="17">
        <v>1</v>
      </c>
      <c r="U416" s="21">
        <f>T416*10^((S416-R416)/10)</f>
        <v>2.0074650732243596E-6</v>
      </c>
    </row>
    <row r="417" spans="1:21" x14ac:dyDescent="0.25">
      <c r="A417" s="24"/>
      <c r="B417" s="24"/>
      <c r="C417" s="17"/>
      <c r="D417" s="24"/>
      <c r="E417" s="24"/>
      <c r="F417" s="25"/>
      <c r="G417" s="1">
        <v>1625</v>
      </c>
      <c r="H417" s="2">
        <v>104.1</v>
      </c>
      <c r="I417" s="2">
        <v>-18.600000000000001</v>
      </c>
      <c r="J417" s="2">
        <v>-23.3</v>
      </c>
      <c r="K417" s="2">
        <f t="shared" si="53"/>
        <v>-18.600000000000001</v>
      </c>
      <c r="L417" s="8">
        <f t="shared" si="57"/>
        <v>5.3703179637025273E-13</v>
      </c>
      <c r="M417" s="26"/>
      <c r="N417" s="17"/>
      <c r="O417" s="9">
        <f t="shared" si="55"/>
        <v>-23.3</v>
      </c>
      <c r="P417" s="8">
        <f>D416/B416*10^(O417/10)</f>
        <v>0.36483341020401427</v>
      </c>
      <c r="Q417" s="26"/>
      <c r="R417" s="17"/>
      <c r="S417" s="19"/>
      <c r="T417" s="17"/>
      <c r="U417" s="22"/>
    </row>
    <row r="418" spans="1:21" x14ac:dyDescent="0.25">
      <c r="A418" s="24"/>
      <c r="B418" s="24"/>
      <c r="C418" s="17"/>
      <c r="D418" s="24"/>
      <c r="E418" s="24"/>
      <c r="F418" s="25"/>
      <c r="G418" s="1">
        <v>1825</v>
      </c>
      <c r="H418" s="2">
        <v>107.6</v>
      </c>
      <c r="I418" s="2">
        <v>-22.7</v>
      </c>
      <c r="J418" s="2">
        <v>-23.6</v>
      </c>
      <c r="K418" s="2">
        <f t="shared" si="53"/>
        <v>-22.7</v>
      </c>
      <c r="L418" s="8">
        <f t="shared" si="57"/>
        <v>9.3325430079699445E-14</v>
      </c>
      <c r="M418" s="26"/>
      <c r="N418" s="17"/>
      <c r="O418" s="9">
        <f t="shared" si="55"/>
        <v>-23.6</v>
      </c>
      <c r="P418" s="8">
        <f>D416/B416*10^(O418/10)</f>
        <v>0.34048234914732894</v>
      </c>
      <c r="Q418" s="26"/>
      <c r="R418" s="17"/>
      <c r="S418" s="19"/>
      <c r="T418" s="17"/>
      <c r="U418" s="22"/>
    </row>
    <row r="419" spans="1:21" x14ac:dyDescent="0.25">
      <c r="A419" s="24"/>
      <c r="B419" s="24"/>
      <c r="C419" s="17"/>
      <c r="D419" s="24"/>
      <c r="E419" s="24"/>
      <c r="F419" s="25"/>
      <c r="G419" s="1">
        <v>2125</v>
      </c>
      <c r="H419" s="2">
        <v>104.2</v>
      </c>
      <c r="I419" s="2">
        <v>-21.6</v>
      </c>
      <c r="J419" s="2">
        <v>-22.1</v>
      </c>
      <c r="K419" s="2">
        <f t="shared" si="53"/>
        <v>-21.6</v>
      </c>
      <c r="L419" s="8">
        <f t="shared" si="57"/>
        <v>2.6302679918953618E-13</v>
      </c>
      <c r="M419" s="26"/>
      <c r="N419" s="17"/>
      <c r="O419" s="9">
        <f t="shared" si="55"/>
        <v>-22.1</v>
      </c>
      <c r="P419" s="8">
        <f>D416/B416*10^(O419/10)</f>
        <v>0.48094410145195593</v>
      </c>
      <c r="Q419" s="26"/>
      <c r="R419" s="17"/>
      <c r="S419" s="19"/>
      <c r="T419" s="17"/>
      <c r="U419" s="22"/>
    </row>
    <row r="420" spans="1:21" x14ac:dyDescent="0.25">
      <c r="A420" s="24"/>
      <c r="B420" s="24"/>
      <c r="C420" s="17"/>
      <c r="D420" s="24"/>
      <c r="E420" s="24"/>
      <c r="F420" s="25"/>
      <c r="G420" s="1">
        <v>2425</v>
      </c>
      <c r="H420" s="2">
        <v>93.7</v>
      </c>
      <c r="I420" s="2">
        <v>-24.7</v>
      </c>
      <c r="J420" s="2">
        <v>-29.3</v>
      </c>
      <c r="K420" s="2">
        <f t="shared" si="53"/>
        <v>-24.7</v>
      </c>
      <c r="L420" s="8">
        <f t="shared" si="57"/>
        <v>1.4454397707459267E-12</v>
      </c>
      <c r="M420" s="26"/>
      <c r="N420" s="17"/>
      <c r="O420" s="9">
        <f t="shared" si="55"/>
        <v>-29.3</v>
      </c>
      <c r="P420" s="8">
        <f>D416/B416*10^(O420/10)</f>
        <v>9.1642009285283182E-2</v>
      </c>
      <c r="Q420" s="26"/>
      <c r="R420" s="17"/>
      <c r="S420" s="19"/>
      <c r="T420" s="17"/>
      <c r="U420" s="22"/>
    </row>
    <row r="421" spans="1:21" x14ac:dyDescent="0.25">
      <c r="A421" s="24"/>
      <c r="B421" s="24"/>
      <c r="C421" s="17"/>
      <c r="D421" s="24"/>
      <c r="E421" s="24"/>
      <c r="F421" s="25"/>
      <c r="G421" s="1">
        <v>2775</v>
      </c>
      <c r="H421" s="2">
        <v>100.2</v>
      </c>
      <c r="I421" s="2">
        <v>-21.9</v>
      </c>
      <c r="J421" s="2">
        <v>-25.6</v>
      </c>
      <c r="K421" s="2">
        <f t="shared" si="53"/>
        <v>-21.9</v>
      </c>
      <c r="L421" s="8">
        <f t="shared" si="57"/>
        <v>6.1659500186148178E-13</v>
      </c>
      <c r="M421" s="26"/>
      <c r="N421" s="17"/>
      <c r="O421" s="9">
        <f t="shared" si="55"/>
        <v>-25.6</v>
      </c>
      <c r="P421" s="8">
        <f>D416/B416*10^(O421/10)</f>
        <v>0.21482983886037688</v>
      </c>
      <c r="Q421" s="26"/>
      <c r="R421" s="17"/>
      <c r="S421" s="20"/>
      <c r="T421" s="17"/>
      <c r="U421" s="23"/>
    </row>
    <row r="422" spans="1:21" x14ac:dyDescent="0.25">
      <c r="A422" s="24">
        <v>4000</v>
      </c>
      <c r="B422" s="24">
        <v>3</v>
      </c>
      <c r="C422" s="17">
        <v>0.5</v>
      </c>
      <c r="D422" s="24">
        <v>470</v>
      </c>
      <c r="E422" s="24">
        <v>6</v>
      </c>
      <c r="F422" s="25">
        <v>62</v>
      </c>
      <c r="G422" s="1">
        <v>2825</v>
      </c>
      <c r="H422" s="2">
        <v>99.4</v>
      </c>
      <c r="I422" s="2">
        <v>-21.4</v>
      </c>
      <c r="J422" s="2">
        <v>-30</v>
      </c>
      <c r="K422" s="2">
        <f t="shared" si="53"/>
        <v>-21.4</v>
      </c>
      <c r="L422" s="8">
        <f t="shared" si="57"/>
        <v>8.3176377110266649E-13</v>
      </c>
      <c r="M422" s="26">
        <f>SUM(L422:L427)</f>
        <v>2.1672463881078558E-12</v>
      </c>
      <c r="N422" s="17">
        <f>10*LOG10(M422/E422)</f>
        <v>-124.42242962546581</v>
      </c>
      <c r="O422" s="9">
        <f t="shared" si="55"/>
        <v>-30</v>
      </c>
      <c r="P422" s="8">
        <f>D422/B422*10^(O422/10)</f>
        <v>0.15666666666666665</v>
      </c>
      <c r="Q422" s="26">
        <f>SUM(P422:P427)</f>
        <v>1.8010504107052399</v>
      </c>
      <c r="R422" s="17">
        <f>10*LOG10(Q422)</f>
        <v>2.5552586872443177</v>
      </c>
      <c r="S422" s="18">
        <f>F422+N422-Kzt-H</f>
        <v>-62.42242962546581</v>
      </c>
      <c r="T422" s="17">
        <v>0.9</v>
      </c>
      <c r="U422" s="21">
        <f>T422*10^((S422-R422)/10)</f>
        <v>2.8607089727875059E-7</v>
      </c>
    </row>
    <row r="423" spans="1:21" x14ac:dyDescent="0.25">
      <c r="A423" s="24"/>
      <c r="B423" s="24"/>
      <c r="C423" s="17"/>
      <c r="D423" s="24"/>
      <c r="E423" s="24"/>
      <c r="F423" s="25"/>
      <c r="G423" s="1">
        <v>3425</v>
      </c>
      <c r="H423" s="2">
        <v>103.5</v>
      </c>
      <c r="I423" s="2">
        <v>-23.5</v>
      </c>
      <c r="J423" s="2">
        <v>-24.6</v>
      </c>
      <c r="K423" s="2">
        <f t="shared" si="53"/>
        <v>-23.5</v>
      </c>
      <c r="L423" s="8">
        <f t="shared" si="57"/>
        <v>1.9952623149688807E-13</v>
      </c>
      <c r="M423" s="26"/>
      <c r="N423" s="17"/>
      <c r="O423" s="9">
        <f t="shared" si="55"/>
        <v>-24.6</v>
      </c>
      <c r="P423" s="8">
        <f>D422/B422*10^(O423/10)</f>
        <v>0.543221065708966</v>
      </c>
      <c r="Q423" s="26"/>
      <c r="R423" s="17"/>
      <c r="S423" s="19"/>
      <c r="T423" s="17"/>
      <c r="U423" s="22"/>
    </row>
    <row r="424" spans="1:21" x14ac:dyDescent="0.25">
      <c r="A424" s="24"/>
      <c r="B424" s="24"/>
      <c r="C424" s="17"/>
      <c r="D424" s="24"/>
      <c r="E424" s="24"/>
      <c r="F424" s="25"/>
      <c r="G424" s="1">
        <v>4025</v>
      </c>
      <c r="H424" s="2">
        <v>103.6</v>
      </c>
      <c r="I424" s="2">
        <v>-23.5</v>
      </c>
      <c r="J424" s="2">
        <v>-23.5</v>
      </c>
      <c r="K424" s="2">
        <f t="shared" si="53"/>
        <v>-23.5</v>
      </c>
      <c r="L424" s="8">
        <f t="shared" si="57"/>
        <v>1.9498445997580464E-13</v>
      </c>
      <c r="M424" s="26"/>
      <c r="N424" s="17"/>
      <c r="O424" s="9">
        <f t="shared" si="55"/>
        <v>-23.5</v>
      </c>
      <c r="P424" s="8">
        <f>D422/B422*10^(O424/10)</f>
        <v>0.69980429436984171</v>
      </c>
      <c r="Q424" s="26"/>
      <c r="R424" s="17"/>
      <c r="S424" s="19"/>
      <c r="T424" s="17"/>
      <c r="U424" s="22"/>
    </row>
    <row r="425" spans="1:21" x14ac:dyDescent="0.25">
      <c r="A425" s="24"/>
      <c r="B425" s="24"/>
      <c r="C425" s="17"/>
      <c r="D425" s="24"/>
      <c r="E425" s="24"/>
      <c r="F425" s="25"/>
      <c r="G425" s="1">
        <v>4625</v>
      </c>
      <c r="H425" s="2">
        <v>105.6</v>
      </c>
      <c r="I425" s="2">
        <v>-21.9</v>
      </c>
      <c r="J425" s="2">
        <v>-29.3</v>
      </c>
      <c r="K425" s="2">
        <f t="shared" si="53"/>
        <v>-21.9</v>
      </c>
      <c r="L425" s="8">
        <f t="shared" si="57"/>
        <v>1.7782794100389184E-13</v>
      </c>
      <c r="M425" s="26"/>
      <c r="N425" s="17"/>
      <c r="O425" s="9">
        <f t="shared" si="55"/>
        <v>-29.3</v>
      </c>
      <c r="P425" s="8">
        <f>D422/B422*10^(O425/10)</f>
        <v>0.18406728360719271</v>
      </c>
      <c r="Q425" s="26"/>
      <c r="R425" s="17"/>
      <c r="S425" s="19"/>
      <c r="T425" s="17"/>
      <c r="U425" s="22"/>
    </row>
    <row r="426" spans="1:21" x14ac:dyDescent="0.25">
      <c r="A426" s="24"/>
      <c r="B426" s="24"/>
      <c r="C426" s="17"/>
      <c r="D426" s="24"/>
      <c r="E426" s="24"/>
      <c r="F426" s="25"/>
      <c r="G426" s="1">
        <v>5225</v>
      </c>
      <c r="H426" s="2">
        <v>103.5</v>
      </c>
      <c r="I426" s="2">
        <v>-25.8</v>
      </c>
      <c r="J426" s="2">
        <v>-31.3</v>
      </c>
      <c r="K426" s="2">
        <f t="shared" si="53"/>
        <v>-25.8</v>
      </c>
      <c r="L426" s="8">
        <f t="shared" si="57"/>
        <v>1.1748975549395202E-13</v>
      </c>
      <c r="M426" s="26"/>
      <c r="N426" s="17"/>
      <c r="O426" s="9">
        <f t="shared" si="55"/>
        <v>-31.3</v>
      </c>
      <c r="P426" s="8">
        <f>D422/B422*10^(O426/10)</f>
        <v>0.11613860447047704</v>
      </c>
      <c r="Q426" s="26"/>
      <c r="R426" s="17"/>
      <c r="S426" s="19"/>
      <c r="T426" s="17"/>
      <c r="U426" s="22"/>
    </row>
    <row r="427" spans="1:21" x14ac:dyDescent="0.25">
      <c r="A427" s="24"/>
      <c r="B427" s="24"/>
      <c r="C427" s="17"/>
      <c r="D427" s="24"/>
      <c r="E427" s="24"/>
      <c r="F427" s="25"/>
      <c r="G427" s="1">
        <v>5625</v>
      </c>
      <c r="H427" s="2">
        <v>99.5</v>
      </c>
      <c r="I427" s="2">
        <v>-22.4</v>
      </c>
      <c r="J427" s="2">
        <v>-31.9</v>
      </c>
      <c r="K427" s="2">
        <f t="shared" si="53"/>
        <v>-22.4</v>
      </c>
      <c r="L427" s="8">
        <f t="shared" si="57"/>
        <v>6.456542290346527E-13</v>
      </c>
      <c r="M427" s="26"/>
      <c r="N427" s="17"/>
      <c r="O427" s="9">
        <f t="shared" si="55"/>
        <v>-31.9</v>
      </c>
      <c r="P427" s="8">
        <f>D422/B422*10^(O427/10)</f>
        <v>0.10115249588209596</v>
      </c>
      <c r="Q427" s="26"/>
      <c r="R427" s="17"/>
      <c r="S427" s="20"/>
      <c r="T427" s="17"/>
      <c r="U427" s="23"/>
    </row>
    <row r="428" spans="1:21" x14ac:dyDescent="0.25">
      <c r="A428" s="24">
        <v>8000</v>
      </c>
      <c r="B428" s="24">
        <v>3</v>
      </c>
      <c r="C428" s="17">
        <v>0.5</v>
      </c>
      <c r="D428" s="24">
        <v>943</v>
      </c>
      <c r="E428" s="24">
        <v>6</v>
      </c>
      <c r="F428" s="25">
        <v>54</v>
      </c>
      <c r="G428" s="1">
        <v>6025</v>
      </c>
      <c r="H428" s="2">
        <v>95</v>
      </c>
      <c r="I428" s="2">
        <v>-22.1</v>
      </c>
      <c r="J428" s="2">
        <v>-24.3</v>
      </c>
      <c r="K428" s="2">
        <f t="shared" si="53"/>
        <v>-22.1</v>
      </c>
      <c r="L428" s="8">
        <f t="shared" si="57"/>
        <v>1.9498445997580419E-12</v>
      </c>
      <c r="M428" s="26">
        <f>SUM(L428:L433)</f>
        <v>2.0696033999047238E-11</v>
      </c>
      <c r="N428" s="17">
        <f>10*LOG10(M428/E428)</f>
        <v>-114.62264121223936</v>
      </c>
      <c r="O428" s="9">
        <f t="shared" si="55"/>
        <v>-24.3</v>
      </c>
      <c r="P428" s="8">
        <f>D428/B428*10^(O428/10)</f>
        <v>1.1678590701287779</v>
      </c>
      <c r="Q428" s="26">
        <f>SUM(P428:P433)</f>
        <v>3.7060486049249968</v>
      </c>
      <c r="R428" s="17">
        <f>10*LOG10(Q428)</f>
        <v>5.6891111080379009</v>
      </c>
      <c r="S428" s="18">
        <f>F428+N428-Kzt-H</f>
        <v>-60.622641212239358</v>
      </c>
      <c r="T428" s="17">
        <v>0.7</v>
      </c>
      <c r="U428" s="21">
        <f>T428*10^((S428-R428)/10)</f>
        <v>1.6365256175822015E-7</v>
      </c>
    </row>
    <row r="429" spans="1:21" x14ac:dyDescent="0.25">
      <c r="A429" s="24"/>
      <c r="B429" s="24"/>
      <c r="C429" s="17"/>
      <c r="D429" s="24"/>
      <c r="E429" s="24"/>
      <c r="F429" s="25"/>
      <c r="G429" s="1">
        <v>7025</v>
      </c>
      <c r="H429" s="2">
        <v>94.8</v>
      </c>
      <c r="I429" s="2">
        <v>-20</v>
      </c>
      <c r="J429" s="2">
        <v>-28.1</v>
      </c>
      <c r="K429" s="2">
        <f t="shared" si="53"/>
        <v>-20</v>
      </c>
      <c r="L429" s="8">
        <f t="shared" si="57"/>
        <v>3.3113112148258976E-12</v>
      </c>
      <c r="M429" s="26"/>
      <c r="N429" s="17"/>
      <c r="O429" s="9">
        <f t="shared" si="55"/>
        <v>-28.1</v>
      </c>
      <c r="P429" s="8">
        <f>D428/B428*10^(O429/10)</f>
        <v>0.48684469054482293</v>
      </c>
      <c r="Q429" s="26"/>
      <c r="R429" s="17"/>
      <c r="S429" s="19"/>
      <c r="T429" s="17"/>
      <c r="U429" s="22"/>
    </row>
    <row r="430" spans="1:21" x14ac:dyDescent="0.25">
      <c r="A430" s="24"/>
      <c r="B430" s="24"/>
      <c r="C430" s="17"/>
      <c r="D430" s="24"/>
      <c r="E430" s="24"/>
      <c r="F430" s="25"/>
      <c r="G430" s="1">
        <v>8025</v>
      </c>
      <c r="H430" s="2">
        <v>101.9</v>
      </c>
      <c r="I430" s="2">
        <v>-21.6</v>
      </c>
      <c r="J430" s="2">
        <v>-30.1</v>
      </c>
      <c r="K430" s="2">
        <f t="shared" si="53"/>
        <v>-21.6</v>
      </c>
      <c r="L430" s="8">
        <f t="shared" si="57"/>
        <v>4.4668359215096191E-13</v>
      </c>
      <c r="M430" s="26"/>
      <c r="N430" s="17"/>
      <c r="O430" s="9">
        <f t="shared" si="55"/>
        <v>-30.1</v>
      </c>
      <c r="P430" s="8">
        <f>D428/B428*10^(O430/10)</f>
        <v>0.30717823312044273</v>
      </c>
      <c r="Q430" s="26"/>
      <c r="R430" s="17"/>
      <c r="S430" s="19"/>
      <c r="T430" s="17"/>
      <c r="U430" s="22"/>
    </row>
    <row r="431" spans="1:21" x14ac:dyDescent="0.25">
      <c r="A431" s="24"/>
      <c r="B431" s="24"/>
      <c r="C431" s="17"/>
      <c r="D431" s="24"/>
      <c r="E431" s="24"/>
      <c r="F431" s="25"/>
      <c r="G431" s="1">
        <v>9025</v>
      </c>
      <c r="H431" s="2">
        <v>93.2</v>
      </c>
      <c r="I431" s="2">
        <v>-26.6</v>
      </c>
      <c r="J431" s="2">
        <v>-29</v>
      </c>
      <c r="K431" s="2">
        <f t="shared" si="53"/>
        <v>-26.6</v>
      </c>
      <c r="L431" s="8">
        <f t="shared" si="57"/>
        <v>1.0471285480508967E-12</v>
      </c>
      <c r="M431" s="26"/>
      <c r="N431" s="17"/>
      <c r="O431" s="9">
        <f t="shared" si="55"/>
        <v>-29</v>
      </c>
      <c r="P431" s="8">
        <f>D428/B428*10^(O431/10)</f>
        <v>0.39572222110729954</v>
      </c>
      <c r="Q431" s="26"/>
      <c r="R431" s="17"/>
      <c r="S431" s="19"/>
      <c r="T431" s="17"/>
      <c r="U431" s="22"/>
    </row>
    <row r="432" spans="1:21" x14ac:dyDescent="0.25">
      <c r="A432" s="24"/>
      <c r="B432" s="24"/>
      <c r="C432" s="17"/>
      <c r="D432" s="24"/>
      <c r="E432" s="24"/>
      <c r="F432" s="25"/>
      <c r="G432" s="1">
        <v>10025</v>
      </c>
      <c r="H432" s="2">
        <v>88.3</v>
      </c>
      <c r="I432" s="2">
        <v>-25.5</v>
      </c>
      <c r="J432" s="2">
        <v>-27.8</v>
      </c>
      <c r="K432" s="2">
        <f t="shared" si="53"/>
        <v>-25.5</v>
      </c>
      <c r="L432" s="8">
        <f t="shared" si="57"/>
        <v>4.1686938347033479E-12</v>
      </c>
      <c r="M432" s="26"/>
      <c r="N432" s="17"/>
      <c r="O432" s="9">
        <f t="shared" si="55"/>
        <v>-27.8</v>
      </c>
      <c r="P432" s="8">
        <f>D428/B428*10^(O432/10)</f>
        <v>0.52166348457120604</v>
      </c>
      <c r="Q432" s="26"/>
      <c r="R432" s="17"/>
      <c r="S432" s="19"/>
      <c r="T432" s="17"/>
      <c r="U432" s="22"/>
    </row>
    <row r="433" spans="1:21" x14ac:dyDescent="0.25">
      <c r="A433" s="24"/>
      <c r="B433" s="24"/>
      <c r="C433" s="17"/>
      <c r="D433" s="24"/>
      <c r="E433" s="24"/>
      <c r="F433" s="25"/>
      <c r="G433" s="1">
        <v>11025</v>
      </c>
      <c r="H433" s="2">
        <v>86</v>
      </c>
      <c r="I433" s="2">
        <v>-24.1</v>
      </c>
      <c r="J433" s="2">
        <v>-25.8</v>
      </c>
      <c r="K433" s="2">
        <f t="shared" si="53"/>
        <v>-24.1</v>
      </c>
      <c r="L433" s="8">
        <f t="shared" si="57"/>
        <v>9.7723722095580929E-12</v>
      </c>
      <c r="M433" s="26"/>
      <c r="N433" s="17"/>
      <c r="O433" s="9">
        <f t="shared" si="55"/>
        <v>-25.8</v>
      </c>
      <c r="P433" s="8">
        <f>D428/B428*10^(O433/10)</f>
        <v>0.82678090545244742</v>
      </c>
      <c r="Q433" s="26"/>
      <c r="R433" s="17"/>
      <c r="S433" s="20"/>
      <c r="T433" s="17"/>
      <c r="U433" s="23"/>
    </row>
    <row r="434" spans="1:21" x14ac:dyDescent="0.25">
      <c r="A434" s="24" t="s">
        <v>20</v>
      </c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12">
        <f>U434</f>
        <v>5.458386322059388E-2</v>
      </c>
      <c r="T434" s="2"/>
      <c r="U434" s="8">
        <f>0.8*SQRT(SUM(U400:U433))</f>
        <v>5.458386322059388E-2</v>
      </c>
    </row>
    <row r="435" spans="1:21" x14ac:dyDescent="0.25">
      <c r="A435" s="27" t="s">
        <v>64</v>
      </c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9"/>
    </row>
    <row r="436" spans="1:21" x14ac:dyDescent="0.25">
      <c r="A436" s="24">
        <v>250</v>
      </c>
      <c r="B436" s="24">
        <v>3</v>
      </c>
      <c r="C436" s="17">
        <v>0.5</v>
      </c>
      <c r="D436" s="24">
        <v>38</v>
      </c>
      <c r="E436" s="24">
        <v>4</v>
      </c>
      <c r="F436" s="25">
        <v>84</v>
      </c>
      <c r="G436" s="1">
        <v>175</v>
      </c>
      <c r="H436" s="2">
        <v>84.8</v>
      </c>
      <c r="I436" s="2">
        <v>-17.899999999999999</v>
      </c>
      <c r="J436" s="2">
        <v>-19.5</v>
      </c>
      <c r="K436" s="2">
        <f>I436</f>
        <v>-17.899999999999999</v>
      </c>
      <c r="L436" s="8">
        <f>10^((K436-H436)/10)</f>
        <v>5.3703179637025198E-11</v>
      </c>
      <c r="M436" s="26">
        <f>SUM(L436:L439)</f>
        <v>7.8710279639095372E-11</v>
      </c>
      <c r="N436" s="17">
        <f>10*LOG10(M436/E436)</f>
        <v>-107.06028535982932</v>
      </c>
      <c r="O436" s="9">
        <f>J436</f>
        <v>-19.5</v>
      </c>
      <c r="P436" s="8">
        <f>D436/B436*10^(O436/10)</f>
        <v>0.14212233754491535</v>
      </c>
      <c r="Q436" s="26">
        <f>SUM(P436:P439)</f>
        <v>0.29979679395121417</v>
      </c>
      <c r="R436" s="17">
        <f>10*LOG10(Q436)</f>
        <v>-5.231730158397788</v>
      </c>
      <c r="S436" s="18">
        <f>F436+N436-Kzt-H</f>
        <v>-23.060285359829322</v>
      </c>
      <c r="T436" s="17">
        <v>0.2</v>
      </c>
      <c r="U436" s="21">
        <f>T436*10^((S436-R436)/10)</f>
        <v>3.2974215774625956E-3</v>
      </c>
    </row>
    <row r="437" spans="1:21" x14ac:dyDescent="0.25">
      <c r="A437" s="24"/>
      <c r="B437" s="24"/>
      <c r="C437" s="17"/>
      <c r="D437" s="24"/>
      <c r="E437" s="24"/>
      <c r="F437" s="25"/>
      <c r="G437" s="1">
        <v>225</v>
      </c>
      <c r="H437" s="2">
        <v>90</v>
      </c>
      <c r="I437" s="2">
        <v>-19.600000000000001</v>
      </c>
      <c r="J437" s="2">
        <v>-24.3</v>
      </c>
      <c r="K437" s="2">
        <f t="shared" ref="K437:K469" si="58">I437</f>
        <v>-19.600000000000001</v>
      </c>
      <c r="L437" s="8">
        <f t="shared" ref="L437:L438" si="59">10^((K437-H437)/10)</f>
        <v>1.096478196143183E-11</v>
      </c>
      <c r="M437" s="26"/>
      <c r="N437" s="17"/>
      <c r="O437" s="9">
        <f t="shared" ref="O437:O469" si="60">J437</f>
        <v>-24.3</v>
      </c>
      <c r="P437" s="8">
        <f>D436/B436*10^(O437/10)</f>
        <v>4.7061129018975148E-2</v>
      </c>
      <c r="Q437" s="26"/>
      <c r="R437" s="17"/>
      <c r="S437" s="19"/>
      <c r="T437" s="17"/>
      <c r="U437" s="22"/>
    </row>
    <row r="438" spans="1:21" x14ac:dyDescent="0.25">
      <c r="A438" s="24"/>
      <c r="B438" s="24"/>
      <c r="C438" s="17"/>
      <c r="D438" s="24"/>
      <c r="E438" s="24"/>
      <c r="F438" s="25"/>
      <c r="G438" s="1">
        <v>275</v>
      </c>
      <c r="H438" s="2">
        <v>92.2</v>
      </c>
      <c r="I438" s="2">
        <v>-19.7</v>
      </c>
      <c r="J438" s="2">
        <v>-23.7</v>
      </c>
      <c r="K438" s="2">
        <f t="shared" si="58"/>
        <v>-19.7</v>
      </c>
      <c r="L438" s="8">
        <f t="shared" si="59"/>
        <v>6.4565422903465118E-12</v>
      </c>
      <c r="M438" s="26"/>
      <c r="N438" s="17"/>
      <c r="O438" s="9">
        <f t="shared" si="60"/>
        <v>-23.7</v>
      </c>
      <c r="P438" s="8">
        <f>D436/B436*10^(O438/10)</f>
        <v>5.4033405714868379E-2</v>
      </c>
      <c r="Q438" s="26"/>
      <c r="R438" s="17"/>
      <c r="S438" s="19"/>
      <c r="T438" s="17"/>
      <c r="U438" s="22"/>
    </row>
    <row r="439" spans="1:21" x14ac:dyDescent="0.25">
      <c r="A439" s="24"/>
      <c r="B439" s="24"/>
      <c r="C439" s="17"/>
      <c r="D439" s="24"/>
      <c r="E439" s="24"/>
      <c r="F439" s="25"/>
      <c r="G439" s="1">
        <v>325</v>
      </c>
      <c r="H439" s="2">
        <v>93.3</v>
      </c>
      <c r="I439" s="2">
        <v>-17.899999999999999</v>
      </c>
      <c r="J439" s="2">
        <v>-23.5</v>
      </c>
      <c r="K439" s="2">
        <f t="shared" si="58"/>
        <v>-17.899999999999999</v>
      </c>
      <c r="L439" s="8">
        <f>10^((K439-H439)/10)</f>
        <v>7.585775750291834E-12</v>
      </c>
      <c r="M439" s="26"/>
      <c r="N439" s="17"/>
      <c r="O439" s="9">
        <f t="shared" si="60"/>
        <v>-23.5</v>
      </c>
      <c r="P439" s="8">
        <f>D436/B436*10^(O439/10)</f>
        <v>5.6579921672455284E-2</v>
      </c>
      <c r="Q439" s="26"/>
      <c r="R439" s="17"/>
      <c r="S439" s="20"/>
      <c r="T439" s="17"/>
      <c r="U439" s="23"/>
    </row>
    <row r="440" spans="1:21" x14ac:dyDescent="0.25">
      <c r="A440" s="24">
        <v>500</v>
      </c>
      <c r="B440" s="24">
        <v>3</v>
      </c>
      <c r="C440" s="17">
        <v>0.5</v>
      </c>
      <c r="D440" s="24">
        <v>59</v>
      </c>
      <c r="E440" s="24">
        <v>6</v>
      </c>
      <c r="F440" s="25">
        <v>84</v>
      </c>
      <c r="G440" s="1">
        <v>375</v>
      </c>
      <c r="H440" s="2">
        <v>91.9</v>
      </c>
      <c r="I440" s="2">
        <v>-21.1</v>
      </c>
      <c r="J440" s="2">
        <v>-24.7</v>
      </c>
      <c r="K440" s="2">
        <f t="shared" si="58"/>
        <v>-21.1</v>
      </c>
      <c r="L440" s="8">
        <f t="shared" ref="L440:L441" si="61">10^((K440-H440)/10)</f>
        <v>5.0118723362726945E-12</v>
      </c>
      <c r="M440" s="26">
        <f>SUM(L440:L445)</f>
        <v>2.6720733176365769E-11</v>
      </c>
      <c r="N440" s="17">
        <f>10*LOG10(M440/E440)</f>
        <v>-113.51302880035171</v>
      </c>
      <c r="O440" s="9">
        <f t="shared" si="60"/>
        <v>-24.7</v>
      </c>
      <c r="P440" s="8">
        <f>D440/B440*10^(O440/10)</f>
        <v>6.6639350707376477E-2</v>
      </c>
      <c r="Q440" s="26">
        <f>SUM(P440:P445)</f>
        <v>0.43534964684760263</v>
      </c>
      <c r="R440" s="17">
        <f>10*LOG10(Q440)</f>
        <v>-3.6116180350078397</v>
      </c>
      <c r="S440" s="18">
        <f>F440+N440-Kzt-H</f>
        <v>-29.513028800351705</v>
      </c>
      <c r="T440" s="17">
        <v>0.5</v>
      </c>
      <c r="U440" s="21">
        <f>T440*10^((S440-R440)/10)</f>
        <v>1.2847804745702231E-3</v>
      </c>
    </row>
    <row r="441" spans="1:21" x14ac:dyDescent="0.25">
      <c r="A441" s="24"/>
      <c r="B441" s="24"/>
      <c r="C441" s="17"/>
      <c r="D441" s="24"/>
      <c r="E441" s="24"/>
      <c r="F441" s="25"/>
      <c r="G441" s="1">
        <v>425</v>
      </c>
      <c r="H441" s="2">
        <v>88.1</v>
      </c>
      <c r="I441" s="2">
        <v>-21.099999999999998</v>
      </c>
      <c r="J441" s="2">
        <v>-22.9</v>
      </c>
      <c r="K441" s="2">
        <f t="shared" si="58"/>
        <v>-21.099999999999998</v>
      </c>
      <c r="L441" s="8">
        <f t="shared" si="61"/>
        <v>1.2022644346174143E-11</v>
      </c>
      <c r="M441" s="26"/>
      <c r="N441" s="17"/>
      <c r="O441" s="9">
        <f t="shared" si="60"/>
        <v>-22.9</v>
      </c>
      <c r="P441" s="8">
        <f>D440/B440*10^(O441/10)</f>
        <v>0.10086273885163506</v>
      </c>
      <c r="Q441" s="26"/>
      <c r="R441" s="17"/>
      <c r="S441" s="19"/>
      <c r="T441" s="17"/>
      <c r="U441" s="22"/>
    </row>
    <row r="442" spans="1:21" x14ac:dyDescent="0.25">
      <c r="A442" s="24"/>
      <c r="B442" s="24"/>
      <c r="C442" s="17"/>
      <c r="D442" s="24"/>
      <c r="E442" s="24"/>
      <c r="F442" s="25"/>
      <c r="G442" s="1">
        <v>475</v>
      </c>
      <c r="H442" s="2">
        <v>90</v>
      </c>
      <c r="I442" s="2">
        <v>-26.9</v>
      </c>
      <c r="J442" s="2">
        <v>-28.2</v>
      </c>
      <c r="K442" s="2">
        <f t="shared" si="58"/>
        <v>-26.9</v>
      </c>
      <c r="L442" s="8">
        <f>10^((K442-H442)/10)</f>
        <v>2.0417379446695178E-12</v>
      </c>
      <c r="M442" s="26"/>
      <c r="N442" s="17"/>
      <c r="O442" s="9">
        <f t="shared" si="60"/>
        <v>-28.2</v>
      </c>
      <c r="P442" s="8">
        <f>D440/B440*10^(O442/10)</f>
        <v>2.9766704552578745E-2</v>
      </c>
      <c r="Q442" s="26"/>
      <c r="R442" s="17"/>
      <c r="S442" s="19"/>
      <c r="T442" s="17"/>
      <c r="U442" s="22"/>
    </row>
    <row r="443" spans="1:21" x14ac:dyDescent="0.25">
      <c r="A443" s="24"/>
      <c r="B443" s="24"/>
      <c r="C443" s="17"/>
      <c r="D443" s="24"/>
      <c r="E443" s="24"/>
      <c r="F443" s="25"/>
      <c r="G443" s="1">
        <v>575</v>
      </c>
      <c r="H443" s="2">
        <v>97</v>
      </c>
      <c r="I443" s="2">
        <v>-22.3</v>
      </c>
      <c r="J443" s="2">
        <v>-24.2</v>
      </c>
      <c r="K443" s="2">
        <f t="shared" si="58"/>
        <v>-22.3</v>
      </c>
      <c r="L443" s="8">
        <f t="shared" ref="L443:L469" si="62">10^((K443-H443)/10)</f>
        <v>1.1748975549395258E-12</v>
      </c>
      <c r="M443" s="26"/>
      <c r="N443" s="17"/>
      <c r="O443" s="9">
        <f t="shared" si="60"/>
        <v>-24.2</v>
      </c>
      <c r="P443" s="8">
        <f>D440/B440*10^(O443/10)</f>
        <v>7.4770581276377049E-2</v>
      </c>
      <c r="Q443" s="26"/>
      <c r="R443" s="17"/>
      <c r="S443" s="19"/>
      <c r="T443" s="17"/>
      <c r="U443" s="22"/>
    </row>
    <row r="444" spans="1:21" x14ac:dyDescent="0.25">
      <c r="A444" s="24"/>
      <c r="B444" s="24"/>
      <c r="C444" s="17"/>
      <c r="D444" s="24"/>
      <c r="E444" s="24"/>
      <c r="F444" s="25"/>
      <c r="G444" s="1">
        <v>625</v>
      </c>
      <c r="H444" s="2">
        <v>92</v>
      </c>
      <c r="I444" s="2">
        <v>-23.6</v>
      </c>
      <c r="J444" s="2">
        <v>-26.7</v>
      </c>
      <c r="K444" s="2">
        <f t="shared" si="58"/>
        <v>-23.6</v>
      </c>
      <c r="L444" s="8">
        <f t="shared" si="62"/>
        <v>2.7542287033381671E-12</v>
      </c>
      <c r="M444" s="26"/>
      <c r="N444" s="17"/>
      <c r="O444" s="9">
        <f t="shared" si="60"/>
        <v>-26.7</v>
      </c>
      <c r="P444" s="8">
        <f>D440/B440*10^(O444/10)</f>
        <v>4.2046587760210558E-2</v>
      </c>
      <c r="Q444" s="26"/>
      <c r="R444" s="17"/>
      <c r="S444" s="19"/>
      <c r="T444" s="17"/>
      <c r="U444" s="22"/>
    </row>
    <row r="445" spans="1:21" x14ac:dyDescent="0.25">
      <c r="A445" s="24"/>
      <c r="B445" s="24"/>
      <c r="C445" s="17"/>
      <c r="D445" s="24"/>
      <c r="E445" s="24"/>
      <c r="F445" s="25"/>
      <c r="G445" s="1">
        <v>675</v>
      </c>
      <c r="H445" s="2">
        <v>94.5</v>
      </c>
      <c r="I445" s="2">
        <v>-19.8</v>
      </c>
      <c r="J445" s="2">
        <v>-22.1</v>
      </c>
      <c r="K445" s="2">
        <f t="shared" si="58"/>
        <v>-19.8</v>
      </c>
      <c r="L445" s="8">
        <f t="shared" si="62"/>
        <v>3.7153522909717219E-12</v>
      </c>
      <c r="M445" s="26"/>
      <c r="N445" s="17"/>
      <c r="O445" s="9">
        <f t="shared" si="60"/>
        <v>-22.1</v>
      </c>
      <c r="P445" s="8">
        <f>D440/B440*10^(O445/10)</f>
        <v>0.12126368369942479</v>
      </c>
      <c r="Q445" s="26"/>
      <c r="R445" s="17"/>
      <c r="S445" s="20"/>
      <c r="T445" s="17"/>
      <c r="U445" s="23"/>
    </row>
    <row r="446" spans="1:21" x14ac:dyDescent="0.25">
      <c r="A446" s="24">
        <v>1000</v>
      </c>
      <c r="B446" s="24">
        <v>3</v>
      </c>
      <c r="C446" s="17">
        <v>0.5</v>
      </c>
      <c r="D446" s="24">
        <v>117</v>
      </c>
      <c r="E446" s="24">
        <v>6</v>
      </c>
      <c r="F446" s="25">
        <v>76</v>
      </c>
      <c r="G446" s="1">
        <v>875</v>
      </c>
      <c r="H446" s="2">
        <v>91.1</v>
      </c>
      <c r="I446" s="2">
        <v>-27.5</v>
      </c>
      <c r="J446" s="2">
        <v>-29.6</v>
      </c>
      <c r="K446" s="2">
        <f t="shared" si="58"/>
        <v>-27.5</v>
      </c>
      <c r="L446" s="8">
        <f t="shared" si="62"/>
        <v>1.3803842646028842E-12</v>
      </c>
      <c r="M446" s="26">
        <f>SUM(L446:L451)</f>
        <v>1.0139662763554292E-11</v>
      </c>
      <c r="N446" s="17">
        <f>10*LOG10(M446/E446)</f>
        <v>-117.72127739406346</v>
      </c>
      <c r="O446" s="9">
        <f t="shared" si="60"/>
        <v>-29.6</v>
      </c>
      <c r="P446" s="8">
        <f>D446/B446*10^(O446/10)</f>
        <v>4.2762649649584213E-2</v>
      </c>
      <c r="Q446" s="26">
        <f>SUM(P446:P451)</f>
        <v>0.53678848183741601</v>
      </c>
      <c r="R446" s="17">
        <f>10*LOG10(Q446)</f>
        <v>-2.7019681163213392</v>
      </c>
      <c r="S446" s="18">
        <f>F446+N446-Kzt-H</f>
        <v>-41.721277394063463</v>
      </c>
      <c r="T446" s="17">
        <v>0.8</v>
      </c>
      <c r="U446" s="21">
        <f>T446*10^((S446-R446)/10)</f>
        <v>1.0026723969803538E-4</v>
      </c>
    </row>
    <row r="447" spans="1:21" x14ac:dyDescent="0.25">
      <c r="A447" s="24"/>
      <c r="B447" s="24"/>
      <c r="C447" s="17"/>
      <c r="D447" s="24"/>
      <c r="E447" s="24"/>
      <c r="F447" s="25"/>
      <c r="G447" s="1">
        <v>975</v>
      </c>
      <c r="H447" s="2">
        <v>96.5</v>
      </c>
      <c r="I447" s="2">
        <v>-21.5</v>
      </c>
      <c r="J447" s="2">
        <v>-25</v>
      </c>
      <c r="K447" s="2">
        <f t="shared" si="58"/>
        <v>-21.5</v>
      </c>
      <c r="L447" s="8">
        <f t="shared" si="62"/>
        <v>1.5848931924611065E-12</v>
      </c>
      <c r="M447" s="26"/>
      <c r="N447" s="17"/>
      <c r="O447" s="9">
        <f t="shared" si="60"/>
        <v>-25</v>
      </c>
      <c r="P447" s="8">
        <f>D446/B446*10^(O447/10)</f>
        <v>0.12332882874656667</v>
      </c>
      <c r="Q447" s="26"/>
      <c r="R447" s="17"/>
      <c r="S447" s="19"/>
      <c r="T447" s="17"/>
      <c r="U447" s="22"/>
    </row>
    <row r="448" spans="1:21" x14ac:dyDescent="0.25">
      <c r="A448" s="24"/>
      <c r="B448" s="24"/>
      <c r="C448" s="17"/>
      <c r="D448" s="24"/>
      <c r="E448" s="24"/>
      <c r="F448" s="25"/>
      <c r="G448" s="1">
        <v>1075</v>
      </c>
      <c r="H448" s="2">
        <v>94.6</v>
      </c>
      <c r="I448" s="2">
        <v>-20.399999999999999</v>
      </c>
      <c r="J448" s="2">
        <v>-27.3</v>
      </c>
      <c r="K448" s="2">
        <f t="shared" si="58"/>
        <v>-20.399999999999999</v>
      </c>
      <c r="L448" s="8">
        <f t="shared" si="62"/>
        <v>3.1622776601683669E-12</v>
      </c>
      <c r="M448" s="26"/>
      <c r="N448" s="17"/>
      <c r="O448" s="9">
        <f t="shared" si="60"/>
        <v>-27.3</v>
      </c>
      <c r="P448" s="8">
        <f>D446/B446*10^(O448/10)</f>
        <v>7.2621398329851788E-2</v>
      </c>
      <c r="Q448" s="26"/>
      <c r="R448" s="17"/>
      <c r="S448" s="19"/>
      <c r="T448" s="17"/>
      <c r="U448" s="22"/>
    </row>
    <row r="449" spans="1:21" x14ac:dyDescent="0.25">
      <c r="A449" s="24"/>
      <c r="B449" s="24"/>
      <c r="C449" s="17"/>
      <c r="D449" s="24"/>
      <c r="E449" s="24"/>
      <c r="F449" s="25"/>
      <c r="G449" s="1">
        <v>1175</v>
      </c>
      <c r="H449" s="2">
        <v>97.8</v>
      </c>
      <c r="I449" s="2">
        <v>-19.5</v>
      </c>
      <c r="J449" s="2">
        <v>-31.1</v>
      </c>
      <c r="K449" s="2">
        <f t="shared" si="58"/>
        <v>-19.5</v>
      </c>
      <c r="L449" s="8">
        <f t="shared" si="62"/>
        <v>1.8620871366628578E-12</v>
      </c>
      <c r="M449" s="26"/>
      <c r="N449" s="17"/>
      <c r="O449" s="9">
        <f t="shared" si="60"/>
        <v>-31.1</v>
      </c>
      <c r="P449" s="8">
        <f>D446/B446*10^(O449/10)</f>
        <v>3.0273637548518934E-2</v>
      </c>
      <c r="Q449" s="26"/>
      <c r="R449" s="17"/>
      <c r="S449" s="19"/>
      <c r="T449" s="17"/>
      <c r="U449" s="22"/>
    </row>
    <row r="450" spans="1:21" x14ac:dyDescent="0.25">
      <c r="A450" s="24"/>
      <c r="B450" s="24"/>
      <c r="C450" s="17"/>
      <c r="D450" s="24"/>
      <c r="E450" s="24"/>
      <c r="F450" s="25"/>
      <c r="G450" s="1">
        <v>1275</v>
      </c>
      <c r="H450" s="2">
        <v>100.1</v>
      </c>
      <c r="I450" s="2">
        <v>-18.7</v>
      </c>
      <c r="J450" s="2">
        <v>-24.4</v>
      </c>
      <c r="K450" s="2">
        <f t="shared" si="58"/>
        <v>-18.7</v>
      </c>
      <c r="L450" s="8">
        <f t="shared" si="62"/>
        <v>1.3182567385564068E-12</v>
      </c>
      <c r="M450" s="26"/>
      <c r="N450" s="17"/>
      <c r="O450" s="9">
        <f t="shared" si="60"/>
        <v>-24.4</v>
      </c>
      <c r="P450" s="8">
        <f>D446/B446*10^(O450/10)</f>
        <v>0.14160044136033942</v>
      </c>
      <c r="Q450" s="26"/>
      <c r="R450" s="17"/>
      <c r="S450" s="19"/>
      <c r="T450" s="17"/>
      <c r="U450" s="22"/>
    </row>
    <row r="451" spans="1:21" x14ac:dyDescent="0.25">
      <c r="A451" s="24"/>
      <c r="B451" s="24"/>
      <c r="C451" s="17"/>
      <c r="D451" s="24"/>
      <c r="E451" s="24"/>
      <c r="F451" s="25"/>
      <c r="G451" s="1">
        <v>1375</v>
      </c>
      <c r="H451" s="2">
        <v>103</v>
      </c>
      <c r="I451" s="2">
        <v>-17.8</v>
      </c>
      <c r="J451" s="2">
        <v>-24.9</v>
      </c>
      <c r="K451" s="2">
        <f t="shared" si="58"/>
        <v>-17.8</v>
      </c>
      <c r="L451" s="8">
        <f t="shared" si="62"/>
        <v>8.3176377110266952E-13</v>
      </c>
      <c r="M451" s="26"/>
      <c r="N451" s="17"/>
      <c r="O451" s="9">
        <f t="shared" si="60"/>
        <v>-24.9</v>
      </c>
      <c r="P451" s="8">
        <f>D446/B446*10^(O451/10)</f>
        <v>0.12620152620255501</v>
      </c>
      <c r="Q451" s="26"/>
      <c r="R451" s="17"/>
      <c r="S451" s="20"/>
      <c r="T451" s="17"/>
      <c r="U451" s="23"/>
    </row>
    <row r="452" spans="1:21" x14ac:dyDescent="0.25">
      <c r="A452" s="24">
        <v>2000</v>
      </c>
      <c r="B452" s="24">
        <v>3</v>
      </c>
      <c r="C452" s="17">
        <v>0.5</v>
      </c>
      <c r="D452" s="24">
        <v>234</v>
      </c>
      <c r="E452" s="24">
        <v>6</v>
      </c>
      <c r="F452" s="25">
        <v>68</v>
      </c>
      <c r="G452" s="1">
        <v>1425</v>
      </c>
      <c r="H452" s="2">
        <v>102.8</v>
      </c>
      <c r="I452" s="2">
        <v>-19.399999999999999</v>
      </c>
      <c r="J452" s="2">
        <v>-24.8</v>
      </c>
      <c r="K452" s="2">
        <f t="shared" si="58"/>
        <v>-19.399999999999999</v>
      </c>
      <c r="L452" s="8">
        <f t="shared" si="62"/>
        <v>6.0255958607435742E-13</v>
      </c>
      <c r="M452" s="26">
        <f>SUM(L452:L457)</f>
        <v>2.8002737290106214E-12</v>
      </c>
      <c r="N452" s="17">
        <f>10*LOG10(M452/E452)</f>
        <v>-123.3095076433128</v>
      </c>
      <c r="O452" s="9">
        <f t="shared" si="60"/>
        <v>-24.8</v>
      </c>
      <c r="P452" s="8">
        <f>D452/B452*10^(O452/10)</f>
        <v>0.25828227475642102</v>
      </c>
      <c r="Q452" s="26">
        <f>SUM(P452:P457)</f>
        <v>1.0168056105792826</v>
      </c>
      <c r="R452" s="17">
        <f>10*LOG10(Q452)</f>
        <v>7.2379339237057E-2</v>
      </c>
      <c r="S452" s="18">
        <f>F452+N452-Kzt-H</f>
        <v>-55.309507643312799</v>
      </c>
      <c r="T452" s="17">
        <v>1</v>
      </c>
      <c r="U452" s="21">
        <f>T452*10^((S452-R452)/10)</f>
        <v>2.8960849833555331E-6</v>
      </c>
    </row>
    <row r="453" spans="1:21" x14ac:dyDescent="0.25">
      <c r="A453" s="24"/>
      <c r="B453" s="24"/>
      <c r="C453" s="17"/>
      <c r="D453" s="24"/>
      <c r="E453" s="24"/>
      <c r="F453" s="25"/>
      <c r="G453" s="1">
        <v>1625</v>
      </c>
      <c r="H453" s="2">
        <v>104.1</v>
      </c>
      <c r="I453" s="2">
        <v>-24.4</v>
      </c>
      <c r="J453" s="2">
        <v>-25.9</v>
      </c>
      <c r="K453" s="2">
        <f t="shared" si="58"/>
        <v>-24.4</v>
      </c>
      <c r="L453" s="8">
        <f t="shared" si="62"/>
        <v>1.4125375446227519E-13</v>
      </c>
      <c r="M453" s="26"/>
      <c r="N453" s="17"/>
      <c r="O453" s="9">
        <f t="shared" si="60"/>
        <v>-25.9</v>
      </c>
      <c r="P453" s="8">
        <f>D452/B452*10^(O453/10)</f>
        <v>0.20049087105597135</v>
      </c>
      <c r="Q453" s="26"/>
      <c r="R453" s="17"/>
      <c r="S453" s="19"/>
      <c r="T453" s="17"/>
      <c r="U453" s="22"/>
    </row>
    <row r="454" spans="1:21" x14ac:dyDescent="0.25">
      <c r="A454" s="24"/>
      <c r="B454" s="24"/>
      <c r="C454" s="17"/>
      <c r="D454" s="24"/>
      <c r="E454" s="24"/>
      <c r="F454" s="25"/>
      <c r="G454" s="1">
        <v>1825</v>
      </c>
      <c r="H454" s="2">
        <v>107.6</v>
      </c>
      <c r="I454" s="2">
        <v>-19</v>
      </c>
      <c r="J454" s="2">
        <v>-23.6</v>
      </c>
      <c r="K454" s="2">
        <f t="shared" si="58"/>
        <v>-19</v>
      </c>
      <c r="L454" s="8">
        <f t="shared" si="62"/>
        <v>2.1877616239495453E-13</v>
      </c>
      <c r="M454" s="26"/>
      <c r="N454" s="17"/>
      <c r="O454" s="9">
        <f t="shared" si="60"/>
        <v>-23.6</v>
      </c>
      <c r="P454" s="8">
        <f>D452/B452*10^(O454/10)</f>
        <v>0.34048234914732894</v>
      </c>
      <c r="Q454" s="26"/>
      <c r="R454" s="17"/>
      <c r="S454" s="19"/>
      <c r="T454" s="17"/>
      <c r="U454" s="22"/>
    </row>
    <row r="455" spans="1:21" x14ac:dyDescent="0.25">
      <c r="A455" s="24"/>
      <c r="B455" s="24"/>
      <c r="C455" s="17"/>
      <c r="D455" s="24"/>
      <c r="E455" s="24"/>
      <c r="F455" s="25"/>
      <c r="G455" s="1">
        <v>2125</v>
      </c>
      <c r="H455" s="2">
        <v>104.2</v>
      </c>
      <c r="I455" s="2">
        <v>-23</v>
      </c>
      <c r="J455" s="2">
        <v>-28.9</v>
      </c>
      <c r="K455" s="2">
        <f t="shared" si="58"/>
        <v>-23</v>
      </c>
      <c r="L455" s="8">
        <f t="shared" si="62"/>
        <v>1.9054607179632417E-13</v>
      </c>
      <c r="M455" s="26"/>
      <c r="N455" s="17"/>
      <c r="O455" s="9">
        <f t="shared" si="60"/>
        <v>-28.9</v>
      </c>
      <c r="P455" s="8">
        <f>D452/B452*10^(O455/10)</f>
        <v>0.10048346503206446</v>
      </c>
      <c r="Q455" s="26"/>
      <c r="R455" s="17"/>
      <c r="S455" s="19"/>
      <c r="T455" s="17"/>
      <c r="U455" s="22"/>
    </row>
    <row r="456" spans="1:21" x14ac:dyDescent="0.25">
      <c r="A456" s="24"/>
      <c r="B456" s="24"/>
      <c r="C456" s="17"/>
      <c r="D456" s="24"/>
      <c r="E456" s="24"/>
      <c r="F456" s="25"/>
      <c r="G456" s="1">
        <v>2425</v>
      </c>
      <c r="H456" s="2">
        <v>93.7</v>
      </c>
      <c r="I456" s="2">
        <v>-25.4</v>
      </c>
      <c r="J456" s="2">
        <v>-32.299999999999997</v>
      </c>
      <c r="K456" s="2">
        <f t="shared" si="58"/>
        <v>-25.4</v>
      </c>
      <c r="L456" s="8">
        <f t="shared" si="62"/>
        <v>1.2302687708123772E-12</v>
      </c>
      <c r="M456" s="26"/>
      <c r="N456" s="17"/>
      <c r="O456" s="9">
        <f t="shared" si="60"/>
        <v>-32.299999999999997</v>
      </c>
      <c r="P456" s="8">
        <f>D452/B452*10^(O456/10)</f>
        <v>4.5929805117735971E-2</v>
      </c>
      <c r="Q456" s="26"/>
      <c r="R456" s="17"/>
      <c r="S456" s="19"/>
      <c r="T456" s="17"/>
      <c r="U456" s="22"/>
    </row>
    <row r="457" spans="1:21" x14ac:dyDescent="0.25">
      <c r="A457" s="24"/>
      <c r="B457" s="24"/>
      <c r="C457" s="17"/>
      <c r="D457" s="24"/>
      <c r="E457" s="24"/>
      <c r="F457" s="25"/>
      <c r="G457" s="1">
        <v>2775</v>
      </c>
      <c r="H457" s="2">
        <v>100.2</v>
      </c>
      <c r="I457" s="2">
        <v>-23.6</v>
      </c>
      <c r="J457" s="2">
        <v>-30.4</v>
      </c>
      <c r="K457" s="2">
        <f t="shared" si="58"/>
        <v>-23.6</v>
      </c>
      <c r="L457" s="8">
        <f t="shared" si="62"/>
        <v>4.1686938347033292E-13</v>
      </c>
      <c r="M457" s="26"/>
      <c r="N457" s="17"/>
      <c r="O457" s="9">
        <f t="shared" si="60"/>
        <v>-30.4</v>
      </c>
      <c r="P457" s="8">
        <f>D452/B452*10^(O457/10)</f>
        <v>7.1136845469760873E-2</v>
      </c>
      <c r="Q457" s="26"/>
      <c r="R457" s="17"/>
      <c r="S457" s="20"/>
      <c r="T457" s="17"/>
      <c r="U457" s="23"/>
    </row>
    <row r="458" spans="1:21" x14ac:dyDescent="0.25">
      <c r="A458" s="24">
        <v>4000</v>
      </c>
      <c r="B458" s="24">
        <v>3</v>
      </c>
      <c r="C458" s="17">
        <v>0.5</v>
      </c>
      <c r="D458" s="24">
        <v>470</v>
      </c>
      <c r="E458" s="24">
        <v>6</v>
      </c>
      <c r="F458" s="25">
        <v>62</v>
      </c>
      <c r="G458" s="1">
        <v>2825</v>
      </c>
      <c r="H458" s="2">
        <v>99.4</v>
      </c>
      <c r="I458" s="2">
        <v>-24.4</v>
      </c>
      <c r="J458" s="2">
        <v>-26.5</v>
      </c>
      <c r="K458" s="2">
        <f t="shared" si="58"/>
        <v>-24.4</v>
      </c>
      <c r="L458" s="8">
        <f t="shared" si="62"/>
        <v>4.1686938347033292E-13</v>
      </c>
      <c r="M458" s="26">
        <f>SUM(L458:L463)</f>
        <v>2.0308169290654952E-12</v>
      </c>
      <c r="N458" s="17">
        <f>10*LOG10(M458/E458)</f>
        <v>-124.70480475319638</v>
      </c>
      <c r="O458" s="9">
        <f t="shared" si="60"/>
        <v>-26.5</v>
      </c>
      <c r="P458" s="8">
        <f>D458/B458*10^(O458/10)</f>
        <v>0.35073297837570638</v>
      </c>
      <c r="Q458" s="26">
        <f>SUM(P458:P463)</f>
        <v>1.8296490391503559</v>
      </c>
      <c r="R458" s="17">
        <f>10*LOG10(Q458)</f>
        <v>2.6236779192826254</v>
      </c>
      <c r="S458" s="18">
        <f>F458+N458-Kzt-H</f>
        <v>-62.704804753196385</v>
      </c>
      <c r="T458" s="17">
        <v>0.9</v>
      </c>
      <c r="U458" s="21">
        <f>T458*10^((S458-R458)/10)</f>
        <v>2.6387256712675323E-7</v>
      </c>
    </row>
    <row r="459" spans="1:21" x14ac:dyDescent="0.25">
      <c r="A459" s="24"/>
      <c r="B459" s="24"/>
      <c r="C459" s="17"/>
      <c r="D459" s="24"/>
      <c r="E459" s="24"/>
      <c r="F459" s="25"/>
      <c r="G459" s="1">
        <v>3425</v>
      </c>
      <c r="H459" s="2">
        <v>103.5</v>
      </c>
      <c r="I459" s="2">
        <v>-24.5</v>
      </c>
      <c r="J459" s="2">
        <v>-27</v>
      </c>
      <c r="K459" s="2">
        <f t="shared" si="58"/>
        <v>-24.5</v>
      </c>
      <c r="L459" s="8">
        <f t="shared" si="62"/>
        <v>1.5848931924611046E-13</v>
      </c>
      <c r="M459" s="26"/>
      <c r="N459" s="17"/>
      <c r="O459" s="9">
        <f t="shared" si="60"/>
        <v>-27</v>
      </c>
      <c r="P459" s="8">
        <f>D458/B458*10^(O459/10)</f>
        <v>0.31259109601179086</v>
      </c>
      <c r="Q459" s="26"/>
      <c r="R459" s="17"/>
      <c r="S459" s="19"/>
      <c r="T459" s="17"/>
      <c r="U459" s="22"/>
    </row>
    <row r="460" spans="1:21" x14ac:dyDescent="0.25">
      <c r="A460" s="24"/>
      <c r="B460" s="24"/>
      <c r="C460" s="17"/>
      <c r="D460" s="24"/>
      <c r="E460" s="24"/>
      <c r="F460" s="25"/>
      <c r="G460" s="1">
        <v>4025</v>
      </c>
      <c r="H460" s="2">
        <v>103.6</v>
      </c>
      <c r="I460" s="2">
        <v>-21.3</v>
      </c>
      <c r="J460" s="2">
        <v>-28.6</v>
      </c>
      <c r="K460" s="2">
        <f t="shared" si="58"/>
        <v>-21.3</v>
      </c>
      <c r="L460" s="8">
        <f t="shared" si="62"/>
        <v>3.2359365692962897E-13</v>
      </c>
      <c r="M460" s="26"/>
      <c r="N460" s="17"/>
      <c r="O460" s="9">
        <f t="shared" si="60"/>
        <v>-28.6</v>
      </c>
      <c r="P460" s="8">
        <f>D458/B458*10^(O460/10)</f>
        <v>0.21626020145445171</v>
      </c>
      <c r="Q460" s="26"/>
      <c r="R460" s="17"/>
      <c r="S460" s="19"/>
      <c r="T460" s="17"/>
      <c r="U460" s="22"/>
    </row>
    <row r="461" spans="1:21" x14ac:dyDescent="0.25">
      <c r="A461" s="24"/>
      <c r="B461" s="24"/>
      <c r="C461" s="17"/>
      <c r="D461" s="24"/>
      <c r="E461" s="24"/>
      <c r="F461" s="25"/>
      <c r="G461" s="1">
        <v>4625</v>
      </c>
      <c r="H461" s="2">
        <v>105.6</v>
      </c>
      <c r="I461" s="2">
        <v>-23</v>
      </c>
      <c r="J461" s="2">
        <v>-25.5</v>
      </c>
      <c r="K461" s="2">
        <f t="shared" si="58"/>
        <v>-23</v>
      </c>
      <c r="L461" s="8">
        <f t="shared" si="62"/>
        <v>1.3803842646028828E-13</v>
      </c>
      <c r="M461" s="26"/>
      <c r="N461" s="17"/>
      <c r="O461" s="9">
        <f t="shared" si="60"/>
        <v>-25.5</v>
      </c>
      <c r="P461" s="8">
        <f>D458/B458*10^(O461/10)</f>
        <v>0.44154665923143083</v>
      </c>
      <c r="Q461" s="26"/>
      <c r="R461" s="17"/>
      <c r="S461" s="19"/>
      <c r="T461" s="17"/>
      <c r="U461" s="22"/>
    </row>
    <row r="462" spans="1:21" x14ac:dyDescent="0.25">
      <c r="A462" s="24"/>
      <c r="B462" s="24"/>
      <c r="C462" s="17"/>
      <c r="D462" s="24"/>
      <c r="E462" s="24"/>
      <c r="F462" s="25"/>
      <c r="G462" s="1">
        <v>5225</v>
      </c>
      <c r="H462" s="2">
        <v>103.5</v>
      </c>
      <c r="I462" s="2">
        <v>-21.7</v>
      </c>
      <c r="J462" s="2">
        <v>-30.2</v>
      </c>
      <c r="K462" s="2">
        <f t="shared" si="58"/>
        <v>-21.7</v>
      </c>
      <c r="L462" s="8">
        <f t="shared" si="62"/>
        <v>3.0199517204020122E-13</v>
      </c>
      <c r="M462" s="26"/>
      <c r="N462" s="17"/>
      <c r="O462" s="9">
        <f t="shared" si="60"/>
        <v>-30.2</v>
      </c>
      <c r="P462" s="8">
        <f>D458/B458*10^(O462/10)</f>
        <v>0.14961550514335822</v>
      </c>
      <c r="Q462" s="26"/>
      <c r="R462" s="17"/>
      <c r="S462" s="19"/>
      <c r="T462" s="17"/>
      <c r="U462" s="22"/>
    </row>
    <row r="463" spans="1:21" x14ac:dyDescent="0.25">
      <c r="A463" s="24"/>
      <c r="B463" s="24"/>
      <c r="C463" s="17"/>
      <c r="D463" s="24"/>
      <c r="E463" s="24"/>
      <c r="F463" s="25"/>
      <c r="G463" s="1">
        <v>5625</v>
      </c>
      <c r="H463" s="2">
        <v>99.5</v>
      </c>
      <c r="I463" s="2">
        <v>-22.1</v>
      </c>
      <c r="J463" s="2">
        <v>-26.4</v>
      </c>
      <c r="K463" s="2">
        <f t="shared" si="58"/>
        <v>-22.1</v>
      </c>
      <c r="L463" s="8">
        <f t="shared" si="62"/>
        <v>6.9183097091893335E-13</v>
      </c>
      <c r="M463" s="26"/>
      <c r="N463" s="17"/>
      <c r="O463" s="9">
        <f t="shared" si="60"/>
        <v>-26.4</v>
      </c>
      <c r="P463" s="8">
        <f>D458/B458*10^(O463/10)</f>
        <v>0.35890259893361787</v>
      </c>
      <c r="Q463" s="26"/>
      <c r="R463" s="17"/>
      <c r="S463" s="20"/>
      <c r="T463" s="17"/>
      <c r="U463" s="23"/>
    </row>
    <row r="464" spans="1:21" x14ac:dyDescent="0.25">
      <c r="A464" s="24">
        <v>8000</v>
      </c>
      <c r="B464" s="24">
        <v>3</v>
      </c>
      <c r="C464" s="17">
        <v>0.5</v>
      </c>
      <c r="D464" s="24">
        <v>943</v>
      </c>
      <c r="E464" s="24">
        <v>6</v>
      </c>
      <c r="F464" s="25">
        <v>54</v>
      </c>
      <c r="G464" s="1">
        <v>6025</v>
      </c>
      <c r="H464" s="2">
        <v>95</v>
      </c>
      <c r="I464" s="2">
        <v>-24.7</v>
      </c>
      <c r="J464" s="2">
        <v>-25.3</v>
      </c>
      <c r="K464" s="2">
        <f t="shared" si="58"/>
        <v>-24.7</v>
      </c>
      <c r="L464" s="8">
        <f t="shared" si="62"/>
        <v>1.0715193052376033E-12</v>
      </c>
      <c r="M464" s="26">
        <f>SUM(L464:L469)</f>
        <v>3.4973654235223179E-11</v>
      </c>
      <c r="N464" s="17">
        <f>10*LOG10(M464/E464)</f>
        <v>-112.34410238283715</v>
      </c>
      <c r="O464" s="9">
        <f t="shared" si="60"/>
        <v>-25.3</v>
      </c>
      <c r="P464" s="8">
        <f>D464/B464*10^(O464/10)</f>
        <v>0.92766343358213321</v>
      </c>
      <c r="Q464" s="26">
        <f>SUM(P464:P469)</f>
        <v>4.323934401189943</v>
      </c>
      <c r="R464" s="17">
        <f>10*LOG10(Q464)</f>
        <v>6.3587909660936424</v>
      </c>
      <c r="S464" s="18">
        <f>F464+N464-Kzt-H</f>
        <v>-58.34410238283715</v>
      </c>
      <c r="T464" s="17">
        <v>0.7</v>
      </c>
      <c r="U464" s="21">
        <f>T464*10^((S464-R464)/10)</f>
        <v>2.3703294102053526E-7</v>
      </c>
    </row>
    <row r="465" spans="1:21" x14ac:dyDescent="0.25">
      <c r="A465" s="24"/>
      <c r="B465" s="24"/>
      <c r="C465" s="17"/>
      <c r="D465" s="24"/>
      <c r="E465" s="24"/>
      <c r="F465" s="25"/>
      <c r="G465" s="1">
        <v>7025</v>
      </c>
      <c r="H465" s="2">
        <v>94.8</v>
      </c>
      <c r="I465" s="2">
        <v>-22.1</v>
      </c>
      <c r="J465" s="2">
        <v>-25.2</v>
      </c>
      <c r="K465" s="2">
        <f t="shared" si="58"/>
        <v>-22.1</v>
      </c>
      <c r="L465" s="8">
        <f t="shared" si="62"/>
        <v>2.0417379446695178E-12</v>
      </c>
      <c r="M465" s="26"/>
      <c r="N465" s="17"/>
      <c r="O465" s="9">
        <f t="shared" si="60"/>
        <v>-25.2</v>
      </c>
      <c r="P465" s="8">
        <f>D464/B464*10^(O465/10)</f>
        <v>0.94927149077969952</v>
      </c>
      <c r="Q465" s="26"/>
      <c r="R465" s="17"/>
      <c r="S465" s="19"/>
      <c r="T465" s="17"/>
      <c r="U465" s="22"/>
    </row>
    <row r="466" spans="1:21" x14ac:dyDescent="0.25">
      <c r="A466" s="24"/>
      <c r="B466" s="24"/>
      <c r="C466" s="17"/>
      <c r="D466" s="24"/>
      <c r="E466" s="24"/>
      <c r="F466" s="25"/>
      <c r="G466" s="1">
        <v>8025</v>
      </c>
      <c r="H466" s="2">
        <v>101.9</v>
      </c>
      <c r="I466" s="2">
        <v>-26.1</v>
      </c>
      <c r="J466" s="2">
        <v>-27.7</v>
      </c>
      <c r="K466" s="2">
        <f t="shared" si="58"/>
        <v>-26.1</v>
      </c>
      <c r="L466" s="8">
        <f t="shared" si="62"/>
        <v>1.5848931924611046E-13</v>
      </c>
      <c r="M466" s="26"/>
      <c r="N466" s="17"/>
      <c r="O466" s="9">
        <f t="shared" si="60"/>
        <v>-27.7</v>
      </c>
      <c r="P466" s="8">
        <f>D464/B464*10^(O466/10)</f>
        <v>0.53381458809047433</v>
      </c>
      <c r="Q466" s="26"/>
      <c r="R466" s="17"/>
      <c r="S466" s="19"/>
      <c r="T466" s="17"/>
      <c r="U466" s="22"/>
    </row>
    <row r="467" spans="1:21" x14ac:dyDescent="0.25">
      <c r="A467" s="24"/>
      <c r="B467" s="24"/>
      <c r="C467" s="17"/>
      <c r="D467" s="24"/>
      <c r="E467" s="24"/>
      <c r="F467" s="25"/>
      <c r="G467" s="1">
        <v>9025</v>
      </c>
      <c r="H467" s="2">
        <v>93.2</v>
      </c>
      <c r="I467" s="2">
        <v>-21.1</v>
      </c>
      <c r="J467" s="2">
        <v>-27.1</v>
      </c>
      <c r="K467" s="2">
        <f t="shared" si="58"/>
        <v>-21.1</v>
      </c>
      <c r="L467" s="8">
        <f t="shared" si="62"/>
        <v>3.715352290971709E-12</v>
      </c>
      <c r="M467" s="26"/>
      <c r="N467" s="17"/>
      <c r="O467" s="9">
        <f t="shared" si="60"/>
        <v>-27.1</v>
      </c>
      <c r="P467" s="8">
        <f>D464/B464*10^(O467/10)</f>
        <v>0.61290115252394517</v>
      </c>
      <c r="Q467" s="26"/>
      <c r="R467" s="17"/>
      <c r="S467" s="19"/>
      <c r="T467" s="17"/>
      <c r="U467" s="22"/>
    </row>
    <row r="468" spans="1:21" x14ac:dyDescent="0.25">
      <c r="A468" s="24"/>
      <c r="B468" s="24"/>
      <c r="C468" s="17"/>
      <c r="D468" s="24"/>
      <c r="E468" s="24"/>
      <c r="F468" s="25"/>
      <c r="G468" s="1">
        <v>10025</v>
      </c>
      <c r="H468" s="2">
        <v>88.3</v>
      </c>
      <c r="I468" s="2">
        <v>-23.5</v>
      </c>
      <c r="J468" s="2">
        <v>-28.8</v>
      </c>
      <c r="K468" s="2">
        <f t="shared" si="58"/>
        <v>-23.5</v>
      </c>
      <c r="L468" s="8">
        <f t="shared" si="62"/>
        <v>6.6069344800759387E-12</v>
      </c>
      <c r="M468" s="26"/>
      <c r="N468" s="17"/>
      <c r="O468" s="9">
        <f t="shared" si="60"/>
        <v>-28.8</v>
      </c>
      <c r="P468" s="8">
        <f>D464/B464*10^(O468/10)</f>
        <v>0.41437203481956392</v>
      </c>
      <c r="Q468" s="26"/>
      <c r="R468" s="17"/>
      <c r="S468" s="19"/>
      <c r="T468" s="17"/>
      <c r="U468" s="22"/>
    </row>
    <row r="469" spans="1:21" x14ac:dyDescent="0.25">
      <c r="A469" s="24"/>
      <c r="B469" s="24"/>
      <c r="C469" s="17"/>
      <c r="D469" s="24"/>
      <c r="E469" s="24"/>
      <c r="F469" s="25"/>
      <c r="G469" s="1">
        <v>11025</v>
      </c>
      <c r="H469" s="2">
        <v>86</v>
      </c>
      <c r="I469" s="2">
        <v>-20.7</v>
      </c>
      <c r="J469" s="2">
        <v>-25.5</v>
      </c>
      <c r="K469" s="2">
        <f t="shared" si="58"/>
        <v>-20.7</v>
      </c>
      <c r="L469" s="8">
        <f t="shared" si="62"/>
        <v>2.1379620895022298E-11</v>
      </c>
      <c r="M469" s="26"/>
      <c r="N469" s="17"/>
      <c r="O469" s="9">
        <f t="shared" si="60"/>
        <v>-25.5</v>
      </c>
      <c r="P469" s="8">
        <f>D464/B464*10^(O469/10)</f>
        <v>0.88591170139412612</v>
      </c>
      <c r="Q469" s="26"/>
      <c r="R469" s="17"/>
      <c r="S469" s="20"/>
      <c r="T469" s="17"/>
      <c r="U469" s="23"/>
    </row>
    <row r="470" spans="1:21" x14ac:dyDescent="0.25">
      <c r="A470" s="24" t="s">
        <v>20</v>
      </c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12">
        <f>U470</f>
        <v>5.4762710128538276E-2</v>
      </c>
      <c r="T470" s="2"/>
      <c r="U470" s="8">
        <f>0.8*SQRT(SUM(U436:U469))</f>
        <v>5.4762710128538276E-2</v>
      </c>
    </row>
    <row r="471" spans="1:21" x14ac:dyDescent="0.25">
      <c r="A471" s="27" t="s">
        <v>65</v>
      </c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9"/>
    </row>
    <row r="472" spans="1:21" x14ac:dyDescent="0.25">
      <c r="A472" s="24">
        <v>250</v>
      </c>
      <c r="B472" s="24">
        <v>3</v>
      </c>
      <c r="C472" s="17">
        <v>0.5</v>
      </c>
      <c r="D472" s="24">
        <v>38</v>
      </c>
      <c r="E472" s="24">
        <v>4</v>
      </c>
      <c r="F472" s="25">
        <v>84</v>
      </c>
      <c r="G472" s="1">
        <v>175</v>
      </c>
      <c r="H472" s="2">
        <v>84.8</v>
      </c>
      <c r="I472" s="2">
        <v>-11.5</v>
      </c>
      <c r="J472" s="2">
        <v>-15.4</v>
      </c>
      <c r="K472" s="2">
        <f>I472</f>
        <v>-11.5</v>
      </c>
      <c r="L472" s="8">
        <f>10^((K472-H472)/10)</f>
        <v>2.3442288153199212E-10</v>
      </c>
      <c r="M472" s="26">
        <f>SUM(L472:L475)</f>
        <v>3.5373067766633314E-10</v>
      </c>
      <c r="N472" s="17">
        <f>10*LOG10(M472/E472)</f>
        <v>-100.53387265232584</v>
      </c>
      <c r="O472" s="9">
        <f>J472</f>
        <v>-15.4</v>
      </c>
      <c r="P472" s="8">
        <f>D472/B472*10^(O472/10)</f>
        <v>0.36531065706270327</v>
      </c>
      <c r="Q472" s="26">
        <f>SUM(P472:P475)</f>
        <v>0.75102316210997588</v>
      </c>
      <c r="R472" s="17">
        <f>10*LOG10(Q472)</f>
        <v>-1.2434666882614593</v>
      </c>
      <c r="S472" s="18">
        <f>F472+N472-Kzt-H</f>
        <v>-16.53387265232584</v>
      </c>
      <c r="T472" s="17">
        <v>0.2</v>
      </c>
      <c r="U472" s="21">
        <f>T472*10^((S472-R472)/10)</f>
        <v>5.9154719485777947E-3</v>
      </c>
    </row>
    <row r="473" spans="1:21" x14ac:dyDescent="0.25">
      <c r="A473" s="24"/>
      <c r="B473" s="24"/>
      <c r="C473" s="17"/>
      <c r="D473" s="24"/>
      <c r="E473" s="24"/>
      <c r="F473" s="25"/>
      <c r="G473" s="1">
        <v>225</v>
      </c>
      <c r="H473" s="2">
        <v>90</v>
      </c>
      <c r="I473" s="2">
        <v>-11.6</v>
      </c>
      <c r="J473" s="2">
        <v>-20.5</v>
      </c>
      <c r="K473" s="2">
        <f t="shared" ref="K473:K505" si="63">I473</f>
        <v>-11.6</v>
      </c>
      <c r="L473" s="8">
        <f t="shared" ref="L473:L474" si="64">10^((K473-H473)/10)</f>
        <v>6.9183097091893483E-11</v>
      </c>
      <c r="M473" s="26"/>
      <c r="N473" s="17"/>
      <c r="O473" s="9">
        <f t="shared" ref="O473:O505" si="65">J473</f>
        <v>-20.5</v>
      </c>
      <c r="P473" s="8">
        <f>D472/B472*10^(O473/10)</f>
        <v>0.11289178549694109</v>
      </c>
      <c r="Q473" s="26"/>
      <c r="R473" s="17"/>
      <c r="S473" s="19"/>
      <c r="T473" s="17"/>
      <c r="U473" s="22"/>
    </row>
    <row r="474" spans="1:21" x14ac:dyDescent="0.25">
      <c r="A474" s="24"/>
      <c r="B474" s="24"/>
      <c r="C474" s="17"/>
      <c r="D474" s="24"/>
      <c r="E474" s="24"/>
      <c r="F474" s="25"/>
      <c r="G474" s="1">
        <v>275</v>
      </c>
      <c r="H474" s="2">
        <v>92.2</v>
      </c>
      <c r="I474" s="2">
        <v>-11.9</v>
      </c>
      <c r="J474" s="2">
        <v>-18.5</v>
      </c>
      <c r="K474" s="2">
        <f t="shared" si="63"/>
        <v>-11.9</v>
      </c>
      <c r="L474" s="8">
        <f t="shared" si="64"/>
        <v>3.8904514499427922E-11</v>
      </c>
      <c r="M474" s="26"/>
      <c r="N474" s="17"/>
      <c r="O474" s="9">
        <f t="shared" si="65"/>
        <v>-18.5</v>
      </c>
      <c r="P474" s="8">
        <f>D472/B472*10^(O474/10)</f>
        <v>0.178921422318882</v>
      </c>
      <c r="Q474" s="26"/>
      <c r="R474" s="17"/>
      <c r="S474" s="19"/>
      <c r="T474" s="17"/>
      <c r="U474" s="22"/>
    </row>
    <row r="475" spans="1:21" x14ac:dyDescent="0.25">
      <c r="A475" s="24"/>
      <c r="B475" s="24"/>
      <c r="C475" s="17"/>
      <c r="D475" s="24"/>
      <c r="E475" s="24"/>
      <c r="F475" s="25"/>
      <c r="G475" s="1">
        <v>325</v>
      </c>
      <c r="H475" s="2">
        <v>93.3</v>
      </c>
      <c r="I475" s="2">
        <v>-16.2</v>
      </c>
      <c r="J475" s="2">
        <v>-21.3</v>
      </c>
      <c r="K475" s="2">
        <f t="shared" si="63"/>
        <v>-16.2</v>
      </c>
      <c r="L475" s="8">
        <f>10^((K475-H475)/10)</f>
        <v>1.1220184543019613E-11</v>
      </c>
      <c r="M475" s="26"/>
      <c r="N475" s="17"/>
      <c r="O475" s="9">
        <f t="shared" si="65"/>
        <v>-21.3</v>
      </c>
      <c r="P475" s="8">
        <f>D472/B472*10^(O475/10)</f>
        <v>9.3899297231449533E-2</v>
      </c>
      <c r="Q475" s="26"/>
      <c r="R475" s="17"/>
      <c r="S475" s="20"/>
      <c r="T475" s="17"/>
      <c r="U475" s="23"/>
    </row>
    <row r="476" spans="1:21" x14ac:dyDescent="0.25">
      <c r="A476" s="24">
        <v>500</v>
      </c>
      <c r="B476" s="24">
        <v>3</v>
      </c>
      <c r="C476" s="17">
        <v>0.5</v>
      </c>
      <c r="D476" s="24">
        <v>59</v>
      </c>
      <c r="E476" s="24">
        <v>6</v>
      </c>
      <c r="F476" s="25">
        <v>84</v>
      </c>
      <c r="G476" s="1">
        <v>375</v>
      </c>
      <c r="H476" s="2">
        <v>91.9</v>
      </c>
      <c r="I476" s="2">
        <v>-15.2</v>
      </c>
      <c r="J476" s="2">
        <v>-20.2</v>
      </c>
      <c r="K476" s="2">
        <f t="shared" si="63"/>
        <v>-15.2</v>
      </c>
      <c r="L476" s="8">
        <f t="shared" ref="L476:L477" si="66">10^((K476-H476)/10)</f>
        <v>1.9498445997580369E-11</v>
      </c>
      <c r="M476" s="26">
        <f>SUM(L476:L481)</f>
        <v>1.3468646004682799E-10</v>
      </c>
      <c r="N476" s="17">
        <f>10*LOG10(M476/E476)</f>
        <v>-106.48827311843365</v>
      </c>
      <c r="O476" s="9">
        <f t="shared" si="65"/>
        <v>-20.2</v>
      </c>
      <c r="P476" s="8">
        <f>D476/B476*10^(O476/10)</f>
        <v>0.18781520858421571</v>
      </c>
      <c r="Q476" s="26">
        <f>SUM(P476:P481)</f>
        <v>1.3373247585560737</v>
      </c>
      <c r="R476" s="17">
        <f>10*LOG10(Q476)</f>
        <v>1.26236884989845</v>
      </c>
      <c r="S476" s="18">
        <f>F476+N476-Kzt-H</f>
        <v>-22.488273118433654</v>
      </c>
      <c r="T476" s="17">
        <v>0.5</v>
      </c>
      <c r="U476" s="21">
        <f>T476*10^((S476-R476)/10)</f>
        <v>2.1081708670934621E-3</v>
      </c>
    </row>
    <row r="477" spans="1:21" x14ac:dyDescent="0.25">
      <c r="A477" s="24"/>
      <c r="B477" s="24"/>
      <c r="C477" s="17"/>
      <c r="D477" s="24"/>
      <c r="E477" s="24"/>
      <c r="F477" s="25"/>
      <c r="G477" s="1">
        <v>425</v>
      </c>
      <c r="H477" s="2">
        <v>88.1</v>
      </c>
      <c r="I477" s="2">
        <v>-14.1</v>
      </c>
      <c r="J477" s="2">
        <v>-19.399999999999999</v>
      </c>
      <c r="K477" s="2">
        <f t="shared" si="63"/>
        <v>-14.1</v>
      </c>
      <c r="L477" s="8">
        <f t="shared" si="66"/>
        <v>6.0255958607435882E-11</v>
      </c>
      <c r="M477" s="26"/>
      <c r="N477" s="17"/>
      <c r="O477" s="9">
        <f t="shared" si="65"/>
        <v>-19.399999999999999</v>
      </c>
      <c r="P477" s="8">
        <f>D476/B476*10^(O477/10)</f>
        <v>0.22580354556105359</v>
      </c>
      <c r="Q477" s="26"/>
      <c r="R477" s="17"/>
      <c r="S477" s="19"/>
      <c r="T477" s="17"/>
      <c r="U477" s="22"/>
    </row>
    <row r="478" spans="1:21" x14ac:dyDescent="0.25">
      <c r="A478" s="24"/>
      <c r="B478" s="24"/>
      <c r="C478" s="17"/>
      <c r="D478" s="24"/>
      <c r="E478" s="24"/>
      <c r="F478" s="25"/>
      <c r="G478" s="1">
        <v>475</v>
      </c>
      <c r="H478" s="2">
        <v>90</v>
      </c>
      <c r="I478" s="2">
        <v>-17</v>
      </c>
      <c r="J478" s="2">
        <v>-18</v>
      </c>
      <c r="K478" s="2">
        <f t="shared" si="63"/>
        <v>-17</v>
      </c>
      <c r="L478" s="8">
        <f>10^((K478-H478)/10)</f>
        <v>1.995262314968878E-11</v>
      </c>
      <c r="M478" s="26"/>
      <c r="N478" s="17"/>
      <c r="O478" s="9">
        <f t="shared" si="65"/>
        <v>-18</v>
      </c>
      <c r="P478" s="8">
        <f>D476/B476*10^(O478/10)</f>
        <v>0.31169566118401881</v>
      </c>
      <c r="Q478" s="26"/>
      <c r="R478" s="17"/>
      <c r="S478" s="19"/>
      <c r="T478" s="17"/>
      <c r="U478" s="22"/>
    </row>
    <row r="479" spans="1:21" x14ac:dyDescent="0.25">
      <c r="A479" s="24"/>
      <c r="B479" s="24"/>
      <c r="C479" s="17"/>
      <c r="D479" s="24"/>
      <c r="E479" s="24"/>
      <c r="F479" s="25"/>
      <c r="G479" s="1">
        <v>575</v>
      </c>
      <c r="H479" s="2">
        <v>97</v>
      </c>
      <c r="I479" s="2">
        <v>-16.2</v>
      </c>
      <c r="J479" s="2">
        <v>-21.1</v>
      </c>
      <c r="K479" s="2">
        <f t="shared" si="63"/>
        <v>-16.2</v>
      </c>
      <c r="L479" s="8">
        <f t="shared" ref="L479:L505" si="67">10^((K479-H479)/10)</f>
        <v>4.7863009232263738E-12</v>
      </c>
      <c r="M479" s="26"/>
      <c r="N479" s="17"/>
      <c r="O479" s="9">
        <f t="shared" si="65"/>
        <v>-21.1</v>
      </c>
      <c r="P479" s="8">
        <f>D476/B476*10^(O479/10)</f>
        <v>0.15266193293697589</v>
      </c>
      <c r="Q479" s="26"/>
      <c r="R479" s="17"/>
      <c r="S479" s="19"/>
      <c r="T479" s="17"/>
      <c r="U479" s="22"/>
    </row>
    <row r="480" spans="1:21" x14ac:dyDescent="0.25">
      <c r="A480" s="24"/>
      <c r="B480" s="24"/>
      <c r="C480" s="17"/>
      <c r="D480" s="24"/>
      <c r="E480" s="24"/>
      <c r="F480" s="25"/>
      <c r="G480" s="1">
        <v>625</v>
      </c>
      <c r="H480" s="2">
        <v>92</v>
      </c>
      <c r="I480" s="2">
        <v>-13.8</v>
      </c>
      <c r="J480" s="2">
        <v>-17.8</v>
      </c>
      <c r="K480" s="2">
        <f t="shared" si="63"/>
        <v>-13.8</v>
      </c>
      <c r="L480" s="8">
        <f t="shared" si="67"/>
        <v>2.6302679918953769E-11</v>
      </c>
      <c r="M480" s="26"/>
      <c r="N480" s="17"/>
      <c r="O480" s="9">
        <f t="shared" si="65"/>
        <v>-17.8</v>
      </c>
      <c r="P480" s="8">
        <f>D476/B476*10^(O480/10)</f>
        <v>0.32638542512938667</v>
      </c>
      <c r="Q480" s="26"/>
      <c r="R480" s="17"/>
      <c r="S480" s="19"/>
      <c r="T480" s="17"/>
      <c r="U480" s="22"/>
    </row>
    <row r="481" spans="1:21" x14ac:dyDescent="0.25">
      <c r="A481" s="24"/>
      <c r="B481" s="24"/>
      <c r="C481" s="17"/>
      <c r="D481" s="24"/>
      <c r="E481" s="24"/>
      <c r="F481" s="25"/>
      <c r="G481" s="1">
        <v>675</v>
      </c>
      <c r="H481" s="2">
        <v>94.5</v>
      </c>
      <c r="I481" s="2">
        <v>-19.600000000000001</v>
      </c>
      <c r="J481" s="2">
        <v>-21.7</v>
      </c>
      <c r="K481" s="2">
        <f t="shared" si="63"/>
        <v>-19.600000000000001</v>
      </c>
      <c r="L481" s="8">
        <f t="shared" si="67"/>
        <v>3.890451449942802E-12</v>
      </c>
      <c r="M481" s="26"/>
      <c r="N481" s="17"/>
      <c r="O481" s="9">
        <f t="shared" si="65"/>
        <v>-21.7</v>
      </c>
      <c r="P481" s="8">
        <f>D476/B476*10^(O481/10)</f>
        <v>0.13296298516042301</v>
      </c>
      <c r="Q481" s="26"/>
      <c r="R481" s="17"/>
      <c r="S481" s="20"/>
      <c r="T481" s="17"/>
      <c r="U481" s="23"/>
    </row>
    <row r="482" spans="1:21" x14ac:dyDescent="0.25">
      <c r="A482" s="24">
        <v>1000</v>
      </c>
      <c r="B482" s="24">
        <v>3</v>
      </c>
      <c r="C482" s="17">
        <v>0.5</v>
      </c>
      <c r="D482" s="24">
        <v>117</v>
      </c>
      <c r="E482" s="24">
        <v>6</v>
      </c>
      <c r="F482" s="25">
        <v>76</v>
      </c>
      <c r="G482" s="1">
        <v>875</v>
      </c>
      <c r="H482" s="2">
        <v>91.1</v>
      </c>
      <c r="I482" s="2">
        <v>-15.4</v>
      </c>
      <c r="J482" s="2">
        <v>-19.2</v>
      </c>
      <c r="K482" s="2">
        <f t="shared" si="63"/>
        <v>-15.4</v>
      </c>
      <c r="L482" s="8">
        <f t="shared" si="67"/>
        <v>2.238721138568329E-11</v>
      </c>
      <c r="M482" s="26">
        <f>SUM(L482:L487)</f>
        <v>4.523418655773495E-11</v>
      </c>
      <c r="N482" s="17">
        <f>10*LOG10(M482/E482)</f>
        <v>-111.22684465538896</v>
      </c>
      <c r="O482" s="9">
        <f t="shared" si="65"/>
        <v>-19.2</v>
      </c>
      <c r="P482" s="8">
        <f>D482/B482*10^(O482/10)</f>
        <v>0.46888312950079086</v>
      </c>
      <c r="Q482" s="26">
        <f>SUM(P482:P487)</f>
        <v>2.5424754272323007</v>
      </c>
      <c r="R482" s="17">
        <f>10*LOG10(Q482)</f>
        <v>4.0525676420284995</v>
      </c>
      <c r="S482" s="18">
        <f>F482+N482-Kzt-H</f>
        <v>-35.226844655388959</v>
      </c>
      <c r="T482" s="17">
        <v>0.8</v>
      </c>
      <c r="U482" s="21">
        <f>T482*10^((S482-R482)/10)</f>
        <v>9.4438429728265253E-5</v>
      </c>
    </row>
    <row r="483" spans="1:21" x14ac:dyDescent="0.25">
      <c r="A483" s="24"/>
      <c r="B483" s="24"/>
      <c r="C483" s="17"/>
      <c r="D483" s="24"/>
      <c r="E483" s="24"/>
      <c r="F483" s="25"/>
      <c r="G483" s="1">
        <v>975</v>
      </c>
      <c r="H483" s="2">
        <v>96.5</v>
      </c>
      <c r="I483" s="2">
        <v>-17.3</v>
      </c>
      <c r="J483" s="2">
        <v>-21.3</v>
      </c>
      <c r="K483" s="2">
        <f t="shared" si="63"/>
        <v>-17.3</v>
      </c>
      <c r="L483" s="8">
        <f t="shared" si="67"/>
        <v>4.1686938347033479E-12</v>
      </c>
      <c r="M483" s="26"/>
      <c r="N483" s="17"/>
      <c r="O483" s="9">
        <f t="shared" si="65"/>
        <v>-21.3</v>
      </c>
      <c r="P483" s="8">
        <f>D482/B482*10^(O483/10)</f>
        <v>0.2891109941073578</v>
      </c>
      <c r="Q483" s="26"/>
      <c r="R483" s="17"/>
      <c r="S483" s="19"/>
      <c r="T483" s="17"/>
      <c r="U483" s="22"/>
    </row>
    <row r="484" spans="1:21" x14ac:dyDescent="0.25">
      <c r="A484" s="24"/>
      <c r="B484" s="24"/>
      <c r="C484" s="17"/>
      <c r="D484" s="24"/>
      <c r="E484" s="24"/>
      <c r="F484" s="25"/>
      <c r="G484" s="1">
        <v>1075</v>
      </c>
      <c r="H484" s="2">
        <v>94.6</v>
      </c>
      <c r="I484" s="2">
        <v>-14.6</v>
      </c>
      <c r="J484" s="2">
        <v>-19.2</v>
      </c>
      <c r="K484" s="2">
        <f t="shared" si="63"/>
        <v>-14.6</v>
      </c>
      <c r="L484" s="8">
        <f t="shared" si="67"/>
        <v>1.2022644346174143E-11</v>
      </c>
      <c r="M484" s="26"/>
      <c r="N484" s="17"/>
      <c r="O484" s="9">
        <f t="shared" si="65"/>
        <v>-19.2</v>
      </c>
      <c r="P484" s="8">
        <f>D482/B482*10^(O484/10)</f>
        <v>0.46888312950079086</v>
      </c>
      <c r="Q484" s="26"/>
      <c r="R484" s="17"/>
      <c r="S484" s="19"/>
      <c r="T484" s="17"/>
      <c r="U484" s="22"/>
    </row>
    <row r="485" spans="1:21" x14ac:dyDescent="0.25">
      <c r="A485" s="24"/>
      <c r="B485" s="24"/>
      <c r="C485" s="17"/>
      <c r="D485" s="24"/>
      <c r="E485" s="24"/>
      <c r="F485" s="25"/>
      <c r="G485" s="1">
        <v>1175</v>
      </c>
      <c r="H485" s="2">
        <v>97.8</v>
      </c>
      <c r="I485" s="2">
        <v>-15.5</v>
      </c>
      <c r="J485" s="2">
        <v>-20.100000000000001</v>
      </c>
      <c r="K485" s="2">
        <f t="shared" si="63"/>
        <v>-15.5</v>
      </c>
      <c r="L485" s="8">
        <f t="shared" si="67"/>
        <v>4.6773514128719737E-12</v>
      </c>
      <c r="M485" s="26"/>
      <c r="N485" s="17"/>
      <c r="O485" s="9">
        <f t="shared" si="65"/>
        <v>-20.100000000000001</v>
      </c>
      <c r="P485" s="8">
        <f>D482/B482*10^(O485/10)</f>
        <v>0.38112251617276571</v>
      </c>
      <c r="Q485" s="26"/>
      <c r="R485" s="17"/>
      <c r="S485" s="19"/>
      <c r="T485" s="17"/>
      <c r="U485" s="22"/>
    </row>
    <row r="486" spans="1:21" x14ac:dyDescent="0.25">
      <c r="A486" s="24"/>
      <c r="B486" s="24"/>
      <c r="C486" s="17"/>
      <c r="D486" s="24"/>
      <c r="E486" s="24"/>
      <c r="F486" s="25"/>
      <c r="G486" s="1">
        <v>1275</v>
      </c>
      <c r="H486" s="2">
        <v>100.1</v>
      </c>
      <c r="I486" s="2">
        <v>-19.8</v>
      </c>
      <c r="J486" s="2">
        <v>-19.8</v>
      </c>
      <c r="K486" s="2">
        <f t="shared" si="63"/>
        <v>-19.8</v>
      </c>
      <c r="L486" s="8">
        <f t="shared" si="67"/>
        <v>1.0232929922807551E-12</v>
      </c>
      <c r="M486" s="26"/>
      <c r="N486" s="17"/>
      <c r="O486" s="9">
        <f t="shared" si="65"/>
        <v>-19.8</v>
      </c>
      <c r="P486" s="8">
        <f>D482/B482*10^(O486/10)</f>
        <v>0.40838013373985055</v>
      </c>
      <c r="Q486" s="26"/>
      <c r="R486" s="17"/>
      <c r="S486" s="19"/>
      <c r="T486" s="17"/>
      <c r="U486" s="22"/>
    </row>
    <row r="487" spans="1:21" x14ac:dyDescent="0.25">
      <c r="A487" s="24"/>
      <c r="B487" s="24"/>
      <c r="C487" s="17"/>
      <c r="D487" s="24"/>
      <c r="E487" s="24"/>
      <c r="F487" s="25"/>
      <c r="G487" s="1">
        <v>1375</v>
      </c>
      <c r="H487" s="2">
        <v>103</v>
      </c>
      <c r="I487" s="2">
        <v>-17.2</v>
      </c>
      <c r="J487" s="2">
        <v>-18.7</v>
      </c>
      <c r="K487" s="2">
        <f t="shared" si="63"/>
        <v>-17.2</v>
      </c>
      <c r="L487" s="8">
        <f t="shared" si="67"/>
        <v>9.5499258602143367E-13</v>
      </c>
      <c r="M487" s="26"/>
      <c r="N487" s="17"/>
      <c r="O487" s="9">
        <f t="shared" si="65"/>
        <v>-18.7</v>
      </c>
      <c r="P487" s="8">
        <f>D482/B482*10^(O487/10)</f>
        <v>0.5260955242107449</v>
      </c>
      <c r="Q487" s="26"/>
      <c r="R487" s="17"/>
      <c r="S487" s="20"/>
      <c r="T487" s="17"/>
      <c r="U487" s="23"/>
    </row>
    <row r="488" spans="1:21" x14ac:dyDescent="0.25">
      <c r="A488" s="24">
        <v>2000</v>
      </c>
      <c r="B488" s="24">
        <v>3</v>
      </c>
      <c r="C488" s="17">
        <v>0.5</v>
      </c>
      <c r="D488" s="24">
        <v>234</v>
      </c>
      <c r="E488" s="24">
        <v>6</v>
      </c>
      <c r="F488" s="25">
        <v>68</v>
      </c>
      <c r="G488" s="1">
        <v>1425</v>
      </c>
      <c r="H488" s="2">
        <v>102.8</v>
      </c>
      <c r="I488" s="2">
        <v>-11.1</v>
      </c>
      <c r="J488" s="2">
        <v>-19.7</v>
      </c>
      <c r="K488" s="2">
        <f t="shared" si="63"/>
        <v>-11.1</v>
      </c>
      <c r="L488" s="8">
        <f t="shared" si="67"/>
        <v>4.0738027780411221E-12</v>
      </c>
      <c r="M488" s="26">
        <f>SUM(L488:L493)</f>
        <v>2.625064182248122E-11</v>
      </c>
      <c r="N488" s="17">
        <f>10*LOG10(M488/E488)</f>
        <v>-113.59011324106264</v>
      </c>
      <c r="O488" s="9">
        <f t="shared" si="65"/>
        <v>-19.7</v>
      </c>
      <c r="P488" s="8">
        <f>D488/B488*10^(O488/10)</f>
        <v>0.83578505808533243</v>
      </c>
      <c r="Q488" s="26">
        <f>SUM(P488:P493)</f>
        <v>4.8783513255732514</v>
      </c>
      <c r="R488" s="17">
        <f>10*LOG10(Q488)</f>
        <v>6.8827307380951366</v>
      </c>
      <c r="S488" s="18">
        <f>F488+N488-Kzt-H</f>
        <v>-45.590113241062639</v>
      </c>
      <c r="T488" s="17">
        <v>1</v>
      </c>
      <c r="U488" s="21">
        <f>T488*10^((S488-R488)/10)</f>
        <v>5.6586860839599799E-6</v>
      </c>
    </row>
    <row r="489" spans="1:21" x14ac:dyDescent="0.25">
      <c r="A489" s="24"/>
      <c r="B489" s="24"/>
      <c r="C489" s="17"/>
      <c r="D489" s="24"/>
      <c r="E489" s="24"/>
      <c r="F489" s="25"/>
      <c r="G489" s="1">
        <v>1625</v>
      </c>
      <c r="H489" s="2">
        <v>104.1</v>
      </c>
      <c r="I489" s="2">
        <v>-15.8</v>
      </c>
      <c r="J489" s="2">
        <v>-21.2</v>
      </c>
      <c r="K489" s="2">
        <f t="shared" si="63"/>
        <v>-15.8</v>
      </c>
      <c r="L489" s="8">
        <f t="shared" si="67"/>
        <v>1.0232929922807551E-12</v>
      </c>
      <c r="M489" s="26"/>
      <c r="N489" s="17"/>
      <c r="O489" s="9">
        <f t="shared" si="65"/>
        <v>-21.2</v>
      </c>
      <c r="P489" s="8">
        <f>D488/B488*10^(O489/10)</f>
        <v>0.59169050852276273</v>
      </c>
      <c r="Q489" s="26"/>
      <c r="R489" s="17"/>
      <c r="S489" s="19"/>
      <c r="T489" s="17"/>
      <c r="U489" s="22"/>
    </row>
    <row r="490" spans="1:21" x14ac:dyDescent="0.25">
      <c r="A490" s="24"/>
      <c r="B490" s="24"/>
      <c r="C490" s="17"/>
      <c r="D490" s="24"/>
      <c r="E490" s="24"/>
      <c r="F490" s="25"/>
      <c r="G490" s="1">
        <v>1825</v>
      </c>
      <c r="H490" s="2">
        <v>107.6</v>
      </c>
      <c r="I490" s="2">
        <v>-18.2</v>
      </c>
      <c r="J490" s="2">
        <v>-18.7</v>
      </c>
      <c r="K490" s="2">
        <f t="shared" si="63"/>
        <v>-18.2</v>
      </c>
      <c r="L490" s="8">
        <f t="shared" si="67"/>
        <v>2.6302679918953709E-13</v>
      </c>
      <c r="M490" s="26"/>
      <c r="N490" s="17"/>
      <c r="O490" s="9">
        <f t="shared" si="65"/>
        <v>-18.7</v>
      </c>
      <c r="P490" s="8">
        <f>D488/B488*10^(O490/10)</f>
        <v>1.0521910484214898</v>
      </c>
      <c r="Q490" s="26"/>
      <c r="R490" s="17"/>
      <c r="S490" s="19"/>
      <c r="T490" s="17"/>
      <c r="U490" s="22"/>
    </row>
    <row r="491" spans="1:21" x14ac:dyDescent="0.25">
      <c r="A491" s="24"/>
      <c r="B491" s="24"/>
      <c r="C491" s="17"/>
      <c r="D491" s="24"/>
      <c r="E491" s="24"/>
      <c r="F491" s="25"/>
      <c r="G491" s="1">
        <v>2125</v>
      </c>
      <c r="H491" s="2">
        <v>104.2</v>
      </c>
      <c r="I491" s="2">
        <v>-15</v>
      </c>
      <c r="J491" s="2">
        <v>-16.5</v>
      </c>
      <c r="K491" s="2">
        <f t="shared" si="63"/>
        <v>-15</v>
      </c>
      <c r="L491" s="8">
        <f t="shared" si="67"/>
        <v>1.2022644346174088E-12</v>
      </c>
      <c r="M491" s="26"/>
      <c r="N491" s="17"/>
      <c r="O491" s="9">
        <f t="shared" si="65"/>
        <v>-16.5</v>
      </c>
      <c r="P491" s="8">
        <f>D488/B488*10^(O491/10)</f>
        <v>1.7462024880833042</v>
      </c>
      <c r="Q491" s="26"/>
      <c r="R491" s="17"/>
      <c r="S491" s="19"/>
      <c r="T491" s="17"/>
      <c r="U491" s="22"/>
    </row>
    <row r="492" spans="1:21" x14ac:dyDescent="0.25">
      <c r="A492" s="24"/>
      <c r="B492" s="24"/>
      <c r="C492" s="17"/>
      <c r="D492" s="24"/>
      <c r="E492" s="24"/>
      <c r="F492" s="25"/>
      <c r="G492" s="1">
        <v>2425</v>
      </c>
      <c r="H492" s="2">
        <v>93.7</v>
      </c>
      <c r="I492" s="2">
        <v>-13.8</v>
      </c>
      <c r="J492" s="2">
        <v>-24.6</v>
      </c>
      <c r="K492" s="2">
        <f t="shared" si="63"/>
        <v>-13.8</v>
      </c>
      <c r="L492" s="8">
        <f t="shared" si="67"/>
        <v>1.7782794100389159E-11</v>
      </c>
      <c r="M492" s="26"/>
      <c r="N492" s="17"/>
      <c r="O492" s="9">
        <f t="shared" si="65"/>
        <v>-24.6</v>
      </c>
      <c r="P492" s="8">
        <f>D488/B488*10^(O492/10)</f>
        <v>0.27045474335297459</v>
      </c>
      <c r="Q492" s="26"/>
      <c r="R492" s="17"/>
      <c r="S492" s="19"/>
      <c r="T492" s="17"/>
      <c r="U492" s="22"/>
    </row>
    <row r="493" spans="1:21" x14ac:dyDescent="0.25">
      <c r="A493" s="24"/>
      <c r="B493" s="24"/>
      <c r="C493" s="17"/>
      <c r="D493" s="24"/>
      <c r="E493" s="24"/>
      <c r="F493" s="25"/>
      <c r="G493" s="1">
        <v>2775</v>
      </c>
      <c r="H493" s="2">
        <v>100.2</v>
      </c>
      <c r="I493" s="2">
        <v>-17</v>
      </c>
      <c r="J493" s="2">
        <v>-23.1</v>
      </c>
      <c r="K493" s="2">
        <f t="shared" si="63"/>
        <v>-17</v>
      </c>
      <c r="L493" s="8">
        <f t="shared" si="67"/>
        <v>1.905460717963237E-12</v>
      </c>
      <c r="M493" s="26"/>
      <c r="N493" s="17"/>
      <c r="O493" s="9">
        <f t="shared" si="65"/>
        <v>-23.1</v>
      </c>
      <c r="P493" s="8">
        <f>D488/B488*10^(O493/10)</f>
        <v>0.3820274791073876</v>
      </c>
      <c r="Q493" s="26"/>
      <c r="R493" s="17"/>
      <c r="S493" s="20"/>
      <c r="T493" s="17"/>
      <c r="U493" s="23"/>
    </row>
    <row r="494" spans="1:21" x14ac:dyDescent="0.25">
      <c r="A494" s="24">
        <v>4000</v>
      </c>
      <c r="B494" s="24">
        <v>3</v>
      </c>
      <c r="C494" s="17">
        <v>0.5</v>
      </c>
      <c r="D494" s="24">
        <v>470</v>
      </c>
      <c r="E494" s="24">
        <v>6</v>
      </c>
      <c r="F494" s="25">
        <v>62</v>
      </c>
      <c r="G494" s="1">
        <v>2825</v>
      </c>
      <c r="H494" s="2">
        <v>99.4</v>
      </c>
      <c r="I494" s="2">
        <v>-13.7</v>
      </c>
      <c r="J494" s="2">
        <v>-22.7</v>
      </c>
      <c r="K494" s="2">
        <f t="shared" si="63"/>
        <v>-13.7</v>
      </c>
      <c r="L494" s="8">
        <f t="shared" si="67"/>
        <v>4.8977881936844518E-12</v>
      </c>
      <c r="M494" s="26">
        <f>SUM(L494:L499)</f>
        <v>1.1010063368950387E-11</v>
      </c>
      <c r="N494" s="17">
        <f>10*LOG10(M494/E494)</f>
        <v>-117.36361431801876</v>
      </c>
      <c r="O494" s="9">
        <f t="shared" si="65"/>
        <v>-22.7</v>
      </c>
      <c r="P494" s="8">
        <f>D494/B494*10^(O494/10)</f>
        <v>0.84134981431339539</v>
      </c>
      <c r="Q494" s="26">
        <f>SUM(P494:P499)</f>
        <v>7.1321274078805521</v>
      </c>
      <c r="R494" s="17">
        <f>10*LOG10(Q494)</f>
        <v>8.5321909278223487</v>
      </c>
      <c r="S494" s="18">
        <f>F494+N494-Kzt-H</f>
        <v>-55.363614318018762</v>
      </c>
      <c r="T494" s="17">
        <v>0.9</v>
      </c>
      <c r="U494" s="21">
        <f>T494*10^((S494-R494)/10)</f>
        <v>3.6699655272704467E-7</v>
      </c>
    </row>
    <row r="495" spans="1:21" x14ac:dyDescent="0.25">
      <c r="A495" s="24"/>
      <c r="B495" s="24"/>
      <c r="C495" s="17"/>
      <c r="D495" s="24"/>
      <c r="E495" s="24"/>
      <c r="F495" s="25"/>
      <c r="G495" s="1">
        <v>3425</v>
      </c>
      <c r="H495" s="2">
        <v>103.5</v>
      </c>
      <c r="I495" s="2">
        <v>-17</v>
      </c>
      <c r="J495" s="2">
        <v>-21.9</v>
      </c>
      <c r="K495" s="2">
        <f t="shared" si="63"/>
        <v>-17</v>
      </c>
      <c r="L495" s="8">
        <f t="shared" si="67"/>
        <v>8.9125093813374051E-13</v>
      </c>
      <c r="M495" s="26"/>
      <c r="N495" s="17"/>
      <c r="O495" s="9">
        <f t="shared" si="65"/>
        <v>-21.9</v>
      </c>
      <c r="P495" s="8">
        <f>D494/B494*10^(O495/10)</f>
        <v>1.0115249588209598</v>
      </c>
      <c r="Q495" s="26"/>
      <c r="R495" s="17"/>
      <c r="S495" s="19"/>
      <c r="T495" s="17"/>
      <c r="U495" s="22"/>
    </row>
    <row r="496" spans="1:21" x14ac:dyDescent="0.25">
      <c r="A496" s="24"/>
      <c r="B496" s="24"/>
      <c r="C496" s="17"/>
      <c r="D496" s="24"/>
      <c r="E496" s="24"/>
      <c r="F496" s="25"/>
      <c r="G496" s="1">
        <v>4025</v>
      </c>
      <c r="H496" s="2">
        <v>103.6</v>
      </c>
      <c r="I496" s="2">
        <v>-16.399999999999999</v>
      </c>
      <c r="J496" s="2">
        <v>-19.100000000000001</v>
      </c>
      <c r="K496" s="2">
        <f t="shared" si="63"/>
        <v>-16.399999999999999</v>
      </c>
      <c r="L496" s="8">
        <f t="shared" si="67"/>
        <v>9.9999999999999998E-13</v>
      </c>
      <c r="M496" s="26"/>
      <c r="N496" s="17"/>
      <c r="O496" s="9">
        <f t="shared" si="65"/>
        <v>-19.100000000000001</v>
      </c>
      <c r="P496" s="8">
        <f>D494/B494*10^(O496/10)</f>
        <v>1.92742107427273</v>
      </c>
      <c r="Q496" s="26"/>
      <c r="R496" s="17"/>
      <c r="S496" s="19"/>
      <c r="T496" s="17"/>
      <c r="U496" s="22"/>
    </row>
    <row r="497" spans="1:21" x14ac:dyDescent="0.25">
      <c r="A497" s="24"/>
      <c r="B497" s="24"/>
      <c r="C497" s="17"/>
      <c r="D497" s="24"/>
      <c r="E497" s="24"/>
      <c r="F497" s="25"/>
      <c r="G497" s="1">
        <v>4625</v>
      </c>
      <c r="H497" s="2">
        <v>105.6</v>
      </c>
      <c r="I497" s="2">
        <v>-16.2</v>
      </c>
      <c r="J497" s="2">
        <v>-22.2</v>
      </c>
      <c r="K497" s="2">
        <f t="shared" si="63"/>
        <v>-16.2</v>
      </c>
      <c r="L497" s="8">
        <f t="shared" si="67"/>
        <v>6.606934480075954E-13</v>
      </c>
      <c r="M497" s="26"/>
      <c r="N497" s="17"/>
      <c r="O497" s="9">
        <f t="shared" si="65"/>
        <v>-22.2</v>
      </c>
      <c r="P497" s="8">
        <f>D494/B494*10^(O497/10)</f>
        <v>0.94401001818316033</v>
      </c>
      <c r="Q497" s="26"/>
      <c r="R497" s="17"/>
      <c r="S497" s="19"/>
      <c r="T497" s="17"/>
      <c r="U497" s="22"/>
    </row>
    <row r="498" spans="1:21" x14ac:dyDescent="0.25">
      <c r="A498" s="24"/>
      <c r="B498" s="24"/>
      <c r="C498" s="17"/>
      <c r="D498" s="24"/>
      <c r="E498" s="24"/>
      <c r="F498" s="25"/>
      <c r="G498" s="1">
        <v>5225</v>
      </c>
      <c r="H498" s="2">
        <v>103.5</v>
      </c>
      <c r="I498" s="2">
        <v>-13.8</v>
      </c>
      <c r="J498" s="2">
        <v>-19.8</v>
      </c>
      <c r="K498" s="2">
        <f t="shared" si="63"/>
        <v>-13.8</v>
      </c>
      <c r="L498" s="8">
        <f t="shared" si="67"/>
        <v>1.8620871366628578E-12</v>
      </c>
      <c r="M498" s="26"/>
      <c r="N498" s="17"/>
      <c r="O498" s="9">
        <f t="shared" si="65"/>
        <v>-19.8</v>
      </c>
      <c r="P498" s="8">
        <f>D494/B494*10^(O498/10)</f>
        <v>1.6405013919464082</v>
      </c>
      <c r="Q498" s="26"/>
      <c r="R498" s="17"/>
      <c r="S498" s="19"/>
      <c r="T498" s="17"/>
      <c r="U498" s="22"/>
    </row>
    <row r="499" spans="1:21" x14ac:dyDescent="0.25">
      <c r="A499" s="24"/>
      <c r="B499" s="24"/>
      <c r="C499" s="17"/>
      <c r="D499" s="24"/>
      <c r="E499" s="24"/>
      <c r="F499" s="25"/>
      <c r="G499" s="1">
        <v>5625</v>
      </c>
      <c r="H499" s="2">
        <v>99.5</v>
      </c>
      <c r="I499" s="2">
        <v>-18.2</v>
      </c>
      <c r="J499" s="2">
        <v>-23.1</v>
      </c>
      <c r="K499" s="2">
        <f t="shared" si="63"/>
        <v>-18.2</v>
      </c>
      <c r="L499" s="8">
        <f t="shared" si="67"/>
        <v>1.6982436524617421E-12</v>
      </c>
      <c r="M499" s="26"/>
      <c r="N499" s="17"/>
      <c r="O499" s="9">
        <f t="shared" si="65"/>
        <v>-23.1</v>
      </c>
      <c r="P499" s="8">
        <f>D494/B494*10^(O499/10)</f>
        <v>0.76732015034389811</v>
      </c>
      <c r="Q499" s="26"/>
      <c r="R499" s="17"/>
      <c r="S499" s="20"/>
      <c r="T499" s="17"/>
      <c r="U499" s="23"/>
    </row>
    <row r="500" spans="1:21" x14ac:dyDescent="0.25">
      <c r="A500" s="24">
        <v>8000</v>
      </c>
      <c r="B500" s="24">
        <v>3</v>
      </c>
      <c r="C500" s="17">
        <v>0.5</v>
      </c>
      <c r="D500" s="24">
        <v>943</v>
      </c>
      <c r="E500" s="24">
        <v>6</v>
      </c>
      <c r="F500" s="25">
        <v>54</v>
      </c>
      <c r="G500" s="1">
        <v>6025</v>
      </c>
      <c r="H500" s="2">
        <v>95</v>
      </c>
      <c r="I500" s="2">
        <v>-13.9</v>
      </c>
      <c r="J500" s="2">
        <v>-18</v>
      </c>
      <c r="K500" s="2">
        <f t="shared" si="63"/>
        <v>-13.9</v>
      </c>
      <c r="L500" s="8">
        <f t="shared" si="67"/>
        <v>1.2882495516931307E-11</v>
      </c>
      <c r="M500" s="26">
        <f>SUM(L500:L505)</f>
        <v>9.453016424880701E-11</v>
      </c>
      <c r="N500" s="17">
        <f>10*LOG10(M500/E500)</f>
        <v>-108.02580837890504</v>
      </c>
      <c r="O500" s="9">
        <f t="shared" si="65"/>
        <v>-18</v>
      </c>
      <c r="P500" s="8">
        <f>D500/B500*10^(O500/10)</f>
        <v>4.9818476016360966</v>
      </c>
      <c r="Q500" s="26">
        <f>SUM(P500:P505)</f>
        <v>17.625486354055568</v>
      </c>
      <c r="R500" s="17">
        <f>10*LOG10(Q500)</f>
        <v>12.461411096616414</v>
      </c>
      <c r="S500" s="18">
        <f>F500+N500-Kzt-H</f>
        <v>-54.02580837890504</v>
      </c>
      <c r="T500" s="17">
        <v>0.7</v>
      </c>
      <c r="U500" s="21">
        <f>T500*10^((S500-R500)/10)</f>
        <v>1.5717233038056442E-7</v>
      </c>
    </row>
    <row r="501" spans="1:21" x14ac:dyDescent="0.25">
      <c r="A501" s="24"/>
      <c r="B501" s="24"/>
      <c r="C501" s="17"/>
      <c r="D501" s="24"/>
      <c r="E501" s="24"/>
      <c r="F501" s="25"/>
      <c r="G501" s="1">
        <v>7025</v>
      </c>
      <c r="H501" s="2">
        <v>94.8</v>
      </c>
      <c r="I501" s="2">
        <v>-16.600000000000001</v>
      </c>
      <c r="J501" s="2">
        <v>-20.5</v>
      </c>
      <c r="K501" s="2">
        <f t="shared" si="63"/>
        <v>-16.600000000000001</v>
      </c>
      <c r="L501" s="8">
        <f t="shared" si="67"/>
        <v>7.2443596007498734E-12</v>
      </c>
      <c r="M501" s="26"/>
      <c r="N501" s="17"/>
      <c r="O501" s="9">
        <f t="shared" si="65"/>
        <v>-20.5</v>
      </c>
      <c r="P501" s="8">
        <f>D500/B500*10^(O501/10)</f>
        <v>2.8014987822004067</v>
      </c>
      <c r="Q501" s="26"/>
      <c r="R501" s="17"/>
      <c r="S501" s="19"/>
      <c r="T501" s="17"/>
      <c r="U501" s="22"/>
    </row>
    <row r="502" spans="1:21" x14ac:dyDescent="0.25">
      <c r="A502" s="24"/>
      <c r="B502" s="24"/>
      <c r="C502" s="17"/>
      <c r="D502" s="24"/>
      <c r="E502" s="24"/>
      <c r="F502" s="25"/>
      <c r="G502" s="1">
        <v>8025</v>
      </c>
      <c r="H502" s="2">
        <v>101.9</v>
      </c>
      <c r="I502" s="2">
        <v>-15.7</v>
      </c>
      <c r="J502" s="2">
        <v>-19.600000000000001</v>
      </c>
      <c r="K502" s="2">
        <f t="shared" si="63"/>
        <v>-15.7</v>
      </c>
      <c r="L502" s="8">
        <f t="shared" si="67"/>
        <v>1.7378008287493668E-12</v>
      </c>
      <c r="M502" s="26"/>
      <c r="N502" s="17"/>
      <c r="O502" s="9">
        <f t="shared" si="65"/>
        <v>-19.600000000000001</v>
      </c>
      <c r="P502" s="8">
        <f>D500/B500*10^(O502/10)</f>
        <v>3.4465964632100756</v>
      </c>
      <c r="Q502" s="26"/>
      <c r="R502" s="17"/>
      <c r="S502" s="19"/>
      <c r="T502" s="17"/>
      <c r="U502" s="22"/>
    </row>
    <row r="503" spans="1:21" x14ac:dyDescent="0.25">
      <c r="A503" s="24"/>
      <c r="B503" s="24"/>
      <c r="C503" s="17"/>
      <c r="D503" s="24"/>
      <c r="E503" s="24"/>
      <c r="F503" s="25"/>
      <c r="G503" s="1">
        <v>9025</v>
      </c>
      <c r="H503" s="2">
        <v>93.2</v>
      </c>
      <c r="I503" s="2">
        <v>-20.3</v>
      </c>
      <c r="J503" s="2">
        <v>-22.6</v>
      </c>
      <c r="K503" s="2">
        <f t="shared" si="63"/>
        <v>-20.3</v>
      </c>
      <c r="L503" s="8">
        <f t="shared" si="67"/>
        <v>4.4668359215096234E-12</v>
      </c>
      <c r="M503" s="26"/>
      <c r="N503" s="17"/>
      <c r="O503" s="9">
        <f t="shared" si="65"/>
        <v>-22.6</v>
      </c>
      <c r="P503" s="8">
        <f>D500/B500*10^(O503/10)</f>
        <v>1.7273901468257986</v>
      </c>
      <c r="Q503" s="26"/>
      <c r="R503" s="17"/>
      <c r="S503" s="19"/>
      <c r="T503" s="17"/>
      <c r="U503" s="22"/>
    </row>
    <row r="504" spans="1:21" x14ac:dyDescent="0.25">
      <c r="A504" s="24"/>
      <c r="B504" s="24"/>
      <c r="C504" s="17"/>
      <c r="D504" s="24"/>
      <c r="E504" s="24"/>
      <c r="F504" s="25"/>
      <c r="G504" s="1">
        <v>10025</v>
      </c>
      <c r="H504" s="2">
        <v>88.3</v>
      </c>
      <c r="I504" s="2">
        <v>-15.3</v>
      </c>
      <c r="J504" s="2">
        <v>-19.5</v>
      </c>
      <c r="K504" s="2">
        <f t="shared" si="63"/>
        <v>-15.3</v>
      </c>
      <c r="L504" s="8">
        <f t="shared" si="67"/>
        <v>4.3651583224016577E-11</v>
      </c>
      <c r="M504" s="26"/>
      <c r="N504" s="17"/>
      <c r="O504" s="9">
        <f t="shared" si="65"/>
        <v>-19.5</v>
      </c>
      <c r="P504" s="8">
        <f>D500/B500*10^(O504/10)</f>
        <v>3.5268780080225048</v>
      </c>
      <c r="Q504" s="26"/>
      <c r="R504" s="17"/>
      <c r="S504" s="19"/>
      <c r="T504" s="17"/>
      <c r="U504" s="22"/>
    </row>
    <row r="505" spans="1:21" x14ac:dyDescent="0.25">
      <c r="A505" s="24"/>
      <c r="B505" s="24"/>
      <c r="C505" s="17"/>
      <c r="D505" s="24"/>
      <c r="E505" s="24"/>
      <c r="F505" s="25"/>
      <c r="G505" s="1">
        <v>11025</v>
      </c>
      <c r="H505" s="2">
        <v>86</v>
      </c>
      <c r="I505" s="2">
        <v>-20.100000000000001</v>
      </c>
      <c r="J505" s="2">
        <v>-24.4</v>
      </c>
      <c r="K505" s="2">
        <f t="shared" si="63"/>
        <v>-20.100000000000001</v>
      </c>
      <c r="L505" s="8">
        <f t="shared" si="67"/>
        <v>2.4547089156850264E-11</v>
      </c>
      <c r="M505" s="26"/>
      <c r="N505" s="17"/>
      <c r="O505" s="9">
        <f t="shared" si="65"/>
        <v>-24.4</v>
      </c>
      <c r="P505" s="8">
        <f>D500/B500*10^(O505/10)</f>
        <v>1.1412753521606844</v>
      </c>
      <c r="Q505" s="26"/>
      <c r="R505" s="17"/>
      <c r="S505" s="20"/>
      <c r="T505" s="17"/>
      <c r="U505" s="23"/>
    </row>
    <row r="506" spans="1:21" x14ac:dyDescent="0.25">
      <c r="A506" s="24" t="s">
        <v>20</v>
      </c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12">
        <f>U506</f>
        <v>7.2107759805964136E-2</v>
      </c>
      <c r="T506" s="2"/>
      <c r="U506" s="8">
        <f>0.8*SQRT(SUM(U472:U505))</f>
        <v>7.2107759805964136E-2</v>
      </c>
    </row>
    <row r="507" spans="1:21" x14ac:dyDescent="0.25">
      <c r="A507" s="27" t="s">
        <v>66</v>
      </c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9"/>
    </row>
    <row r="508" spans="1:21" x14ac:dyDescent="0.25">
      <c r="A508" s="24">
        <v>250</v>
      </c>
      <c r="B508" s="24">
        <v>3</v>
      </c>
      <c r="C508" s="17">
        <v>0.5</v>
      </c>
      <c r="D508" s="24">
        <v>38</v>
      </c>
      <c r="E508" s="24">
        <v>4</v>
      </c>
      <c r="F508" s="25">
        <v>84</v>
      </c>
      <c r="G508" s="1">
        <v>175</v>
      </c>
      <c r="H508" s="2">
        <v>84.8</v>
      </c>
      <c r="I508" s="2">
        <v>-18.899999999999999</v>
      </c>
      <c r="J508" s="2">
        <v>-19.100000000000001</v>
      </c>
      <c r="K508" s="2">
        <f>I508</f>
        <v>-18.899999999999999</v>
      </c>
      <c r="L508" s="8">
        <f>10^((K508-H508)/10)</f>
        <v>4.2657951880159247E-11</v>
      </c>
      <c r="M508" s="26">
        <f>SUM(L508:L511)</f>
        <v>6.5111007599545124E-11</v>
      </c>
      <c r="N508" s="17">
        <f>10*LOG10(M508/E508)</f>
        <v>-107.88405575177249</v>
      </c>
      <c r="O508" s="9">
        <f>J508</f>
        <v>-19.100000000000001</v>
      </c>
      <c r="P508" s="8">
        <f>D508/B508*10^(O508/10)</f>
        <v>0.15583404430290157</v>
      </c>
      <c r="Q508" s="26">
        <f>SUM(P508:P511)</f>
        <v>0.24794065284596031</v>
      </c>
      <c r="R508" s="17">
        <f>10*LOG10(Q508)</f>
        <v>-6.0565225960089419</v>
      </c>
      <c r="S508" s="18">
        <f>F508+N508-Kzt-H</f>
        <v>-23.884055751772493</v>
      </c>
      <c r="T508" s="17">
        <v>0.2</v>
      </c>
      <c r="U508" s="21">
        <f>T508*10^((S508-R508)/10)</f>
        <v>3.2981976665364602E-3</v>
      </c>
    </row>
    <row r="509" spans="1:21" x14ac:dyDescent="0.25">
      <c r="A509" s="24"/>
      <c r="B509" s="24"/>
      <c r="C509" s="17"/>
      <c r="D509" s="24"/>
      <c r="E509" s="24"/>
      <c r="F509" s="25"/>
      <c r="G509" s="1">
        <v>225</v>
      </c>
      <c r="H509" s="2">
        <v>90</v>
      </c>
      <c r="I509" s="2">
        <v>-18.7</v>
      </c>
      <c r="J509" s="2">
        <v>-26.8</v>
      </c>
      <c r="K509" s="2">
        <f t="shared" ref="K509:K541" si="68">I509</f>
        <v>-18.7</v>
      </c>
      <c r="L509" s="8">
        <f t="shared" ref="L509:L510" si="69">10^((K509-H509)/10)</f>
        <v>1.348962882591645E-11</v>
      </c>
      <c r="M509" s="26"/>
      <c r="N509" s="17"/>
      <c r="O509" s="9">
        <f t="shared" ref="O509:O541" si="70">J509</f>
        <v>-26.8</v>
      </c>
      <c r="P509" s="8">
        <f>D508/B508*10^(O509/10)</f>
        <v>2.646441765748447E-2</v>
      </c>
      <c r="Q509" s="26"/>
      <c r="R509" s="17"/>
      <c r="S509" s="19"/>
      <c r="T509" s="17"/>
      <c r="U509" s="22"/>
    </row>
    <row r="510" spans="1:21" x14ac:dyDescent="0.25">
      <c r="A510" s="24"/>
      <c r="B510" s="24"/>
      <c r="C510" s="17"/>
      <c r="D510" s="24"/>
      <c r="E510" s="24"/>
      <c r="F510" s="25"/>
      <c r="G510" s="1">
        <v>275</v>
      </c>
      <c r="H510" s="2">
        <v>92.2</v>
      </c>
      <c r="I510" s="2">
        <v>-22.1</v>
      </c>
      <c r="J510" s="2">
        <v>-24.2</v>
      </c>
      <c r="K510" s="2">
        <f t="shared" si="68"/>
        <v>-22.1</v>
      </c>
      <c r="L510" s="8">
        <f t="shared" si="69"/>
        <v>3.715352290971709E-12</v>
      </c>
      <c r="M510" s="26"/>
      <c r="N510" s="17"/>
      <c r="O510" s="9">
        <f t="shared" si="70"/>
        <v>-24.2</v>
      </c>
      <c r="P510" s="8">
        <f>D508/B508*10^(O510/10)</f>
        <v>4.815732353393775E-2</v>
      </c>
      <c r="Q510" s="26"/>
      <c r="R510" s="17"/>
      <c r="S510" s="19"/>
      <c r="T510" s="17"/>
      <c r="U510" s="22"/>
    </row>
    <row r="511" spans="1:21" x14ac:dyDescent="0.25">
      <c r="A511" s="24"/>
      <c r="B511" s="24"/>
      <c r="C511" s="17"/>
      <c r="D511" s="24"/>
      <c r="E511" s="24"/>
      <c r="F511" s="25"/>
      <c r="G511" s="1">
        <v>325</v>
      </c>
      <c r="H511" s="2">
        <v>93.3</v>
      </c>
      <c r="I511" s="2">
        <v>-19.5</v>
      </c>
      <c r="J511" s="2">
        <v>-28.6</v>
      </c>
      <c r="K511" s="2">
        <f t="shared" si="68"/>
        <v>-19.5</v>
      </c>
      <c r="L511" s="8">
        <f>10^((K511-H511)/10)</f>
        <v>5.2480746024977136E-12</v>
      </c>
      <c r="M511" s="26"/>
      <c r="N511" s="17"/>
      <c r="O511" s="9">
        <f t="shared" si="70"/>
        <v>-28.6</v>
      </c>
      <c r="P511" s="8">
        <f>D508/B508*10^(O511/10)</f>
        <v>1.7484867351636523E-2</v>
      </c>
      <c r="Q511" s="26"/>
      <c r="R511" s="17"/>
      <c r="S511" s="20"/>
      <c r="T511" s="17"/>
      <c r="U511" s="23"/>
    </row>
    <row r="512" spans="1:21" x14ac:dyDescent="0.25">
      <c r="A512" s="24">
        <v>500</v>
      </c>
      <c r="B512" s="24">
        <v>3</v>
      </c>
      <c r="C512" s="17">
        <v>0.5</v>
      </c>
      <c r="D512" s="24">
        <v>59</v>
      </c>
      <c r="E512" s="24">
        <v>6</v>
      </c>
      <c r="F512" s="25">
        <v>84</v>
      </c>
      <c r="G512" s="1">
        <v>375</v>
      </c>
      <c r="H512" s="2">
        <v>91.9</v>
      </c>
      <c r="I512" s="2">
        <v>-21</v>
      </c>
      <c r="J512" s="2">
        <v>-22.4</v>
      </c>
      <c r="K512" s="2">
        <f t="shared" si="68"/>
        <v>-21</v>
      </c>
      <c r="L512" s="8">
        <f t="shared" ref="L512:L513" si="71">10^((K512-H512)/10)</f>
        <v>5.1286138399136186E-12</v>
      </c>
      <c r="M512" s="26">
        <f>SUM(L512:L517)</f>
        <v>3.6463234705720522E-11</v>
      </c>
      <c r="N512" s="17">
        <f>10*LOG10(M512/E512)</f>
        <v>-112.16296057470841</v>
      </c>
      <c r="O512" s="9">
        <f t="shared" si="70"/>
        <v>-22.4</v>
      </c>
      <c r="P512" s="8">
        <f>D512/B512*10^(O512/10)</f>
        <v>0.11316985434297422</v>
      </c>
      <c r="Q512" s="26">
        <f>SUM(P512:P517)</f>
        <v>0.38022771719947723</v>
      </c>
      <c r="R512" s="17">
        <f>10*LOG10(Q512)</f>
        <v>-4.1995622784923405</v>
      </c>
      <c r="S512" s="18">
        <f>F512+N512-Kzt-H</f>
        <v>-28.162960574708407</v>
      </c>
      <c r="T512" s="17">
        <v>0.5</v>
      </c>
      <c r="U512" s="21">
        <f>T512*10^((S512-R512)/10)</f>
        <v>2.0073826894414556E-3</v>
      </c>
    </row>
    <row r="513" spans="1:21" x14ac:dyDescent="0.25">
      <c r="A513" s="24"/>
      <c r="B513" s="24"/>
      <c r="C513" s="17"/>
      <c r="D513" s="24"/>
      <c r="E513" s="24"/>
      <c r="F513" s="25"/>
      <c r="G513" s="1">
        <v>425</v>
      </c>
      <c r="H513" s="2">
        <v>88.1</v>
      </c>
      <c r="I513" s="2">
        <v>-19.3</v>
      </c>
      <c r="J513" s="2">
        <v>-24.6</v>
      </c>
      <c r="K513" s="2">
        <f t="shared" si="68"/>
        <v>-19.3</v>
      </c>
      <c r="L513" s="8">
        <f t="shared" si="71"/>
        <v>1.8197008586099825E-11</v>
      </c>
      <c r="M513" s="26"/>
      <c r="N513" s="17"/>
      <c r="O513" s="9">
        <f t="shared" si="70"/>
        <v>-24.6</v>
      </c>
      <c r="P513" s="8">
        <f>D512/B512*10^(O513/10)</f>
        <v>6.8191580588997866E-2</v>
      </c>
      <c r="Q513" s="26"/>
      <c r="R513" s="17"/>
      <c r="S513" s="19"/>
      <c r="T513" s="17"/>
      <c r="U513" s="22"/>
    </row>
    <row r="514" spans="1:21" x14ac:dyDescent="0.25">
      <c r="A514" s="24"/>
      <c r="B514" s="24"/>
      <c r="C514" s="17"/>
      <c r="D514" s="24"/>
      <c r="E514" s="24"/>
      <c r="F514" s="25"/>
      <c r="G514" s="1">
        <v>475</v>
      </c>
      <c r="H514" s="2">
        <v>90</v>
      </c>
      <c r="I514" s="2">
        <v>-21.1</v>
      </c>
      <c r="J514" s="2">
        <v>-22.7</v>
      </c>
      <c r="K514" s="2">
        <f t="shared" si="68"/>
        <v>-21.1</v>
      </c>
      <c r="L514" s="8">
        <f>10^((K514-H514)/10)</f>
        <v>7.762471166286914E-12</v>
      </c>
      <c r="M514" s="26"/>
      <c r="N514" s="17"/>
      <c r="O514" s="9">
        <f t="shared" si="70"/>
        <v>-22.7</v>
      </c>
      <c r="P514" s="8">
        <f>D512/B512*10^(O514/10)</f>
        <v>0.10561625328614965</v>
      </c>
      <c r="Q514" s="26"/>
      <c r="R514" s="17"/>
      <c r="S514" s="19"/>
      <c r="T514" s="17"/>
      <c r="U514" s="22"/>
    </row>
    <row r="515" spans="1:21" x14ac:dyDescent="0.25">
      <c r="A515" s="24"/>
      <c r="B515" s="24"/>
      <c r="C515" s="17"/>
      <c r="D515" s="24"/>
      <c r="E515" s="24"/>
      <c r="F515" s="25"/>
      <c r="G515" s="1">
        <v>575</v>
      </c>
      <c r="H515" s="2">
        <v>97</v>
      </c>
      <c r="I515" s="2">
        <v>-20.2</v>
      </c>
      <c r="J515" s="2">
        <v>-27.2</v>
      </c>
      <c r="K515" s="2">
        <f t="shared" si="68"/>
        <v>-20.2</v>
      </c>
      <c r="L515" s="8">
        <f t="shared" ref="L515:L541" si="72">10^((K515-H515)/10)</f>
        <v>1.905460717963237E-12</v>
      </c>
      <c r="M515" s="26"/>
      <c r="N515" s="17"/>
      <c r="O515" s="9">
        <f t="shared" si="70"/>
        <v>-27.2</v>
      </c>
      <c r="P515" s="8">
        <f>D512/B512*10^(O515/10)</f>
        <v>3.7474060786610537E-2</v>
      </c>
      <c r="Q515" s="26"/>
      <c r="R515" s="17"/>
      <c r="S515" s="19"/>
      <c r="T515" s="17"/>
      <c r="U515" s="22"/>
    </row>
    <row r="516" spans="1:21" x14ac:dyDescent="0.25">
      <c r="A516" s="24"/>
      <c r="B516" s="24"/>
      <c r="C516" s="17"/>
      <c r="D516" s="24"/>
      <c r="E516" s="24"/>
      <c r="F516" s="25"/>
      <c r="G516" s="1">
        <v>625</v>
      </c>
      <c r="H516" s="2">
        <v>92</v>
      </c>
      <c r="I516" s="2">
        <v>-26.6</v>
      </c>
      <c r="J516" s="2">
        <v>-26.9</v>
      </c>
      <c r="K516" s="2">
        <f t="shared" si="68"/>
        <v>-26.6</v>
      </c>
      <c r="L516" s="8">
        <f t="shared" si="72"/>
        <v>1.3803842646028842E-12</v>
      </c>
      <c r="M516" s="26"/>
      <c r="N516" s="17"/>
      <c r="O516" s="9">
        <f t="shared" si="70"/>
        <v>-26.9</v>
      </c>
      <c r="P516" s="8">
        <f>D512/B512*10^(O516/10)</f>
        <v>4.0154179578500745E-2</v>
      </c>
      <c r="Q516" s="26"/>
      <c r="R516" s="17"/>
      <c r="S516" s="19"/>
      <c r="T516" s="17"/>
      <c r="U516" s="22"/>
    </row>
    <row r="517" spans="1:21" x14ac:dyDescent="0.25">
      <c r="A517" s="24"/>
      <c r="B517" s="24"/>
      <c r="C517" s="17"/>
      <c r="D517" s="24"/>
      <c r="E517" s="24"/>
      <c r="F517" s="25"/>
      <c r="G517" s="1">
        <v>675</v>
      </c>
      <c r="H517" s="2">
        <v>94.5</v>
      </c>
      <c r="I517" s="2">
        <v>-22.3</v>
      </c>
      <c r="J517" s="2">
        <v>-31</v>
      </c>
      <c r="K517" s="2">
        <f t="shared" si="68"/>
        <v>-22.3</v>
      </c>
      <c r="L517" s="8">
        <f t="shared" si="72"/>
        <v>2.0892961308540349E-12</v>
      </c>
      <c r="M517" s="26"/>
      <c r="N517" s="17"/>
      <c r="O517" s="9">
        <f t="shared" si="70"/>
        <v>-31</v>
      </c>
      <c r="P517" s="8">
        <f>D512/B512*10^(O517/10)</f>
        <v>1.5621788616244194E-2</v>
      </c>
      <c r="Q517" s="26"/>
      <c r="R517" s="17"/>
      <c r="S517" s="20"/>
      <c r="T517" s="17"/>
      <c r="U517" s="23"/>
    </row>
    <row r="518" spans="1:21" x14ac:dyDescent="0.25">
      <c r="A518" s="24">
        <v>1000</v>
      </c>
      <c r="B518" s="24">
        <v>3</v>
      </c>
      <c r="C518" s="17">
        <v>0.5</v>
      </c>
      <c r="D518" s="24">
        <v>117</v>
      </c>
      <c r="E518" s="24">
        <v>6</v>
      </c>
      <c r="F518" s="25">
        <v>76</v>
      </c>
      <c r="G518" s="1">
        <v>875</v>
      </c>
      <c r="H518" s="2">
        <v>91.1</v>
      </c>
      <c r="I518" s="2">
        <v>-20.2</v>
      </c>
      <c r="J518" s="2">
        <v>-26.9</v>
      </c>
      <c r="K518" s="2">
        <f t="shared" si="68"/>
        <v>-20.2</v>
      </c>
      <c r="L518" s="8">
        <f t="shared" si="72"/>
        <v>7.4131024130091739E-12</v>
      </c>
      <c r="M518" s="26">
        <f>SUM(L518:L523)</f>
        <v>1.3101494901172128E-11</v>
      </c>
      <c r="N518" s="17">
        <f>10*LOG10(M518/E518)</f>
        <v>-116.60830398217215</v>
      </c>
      <c r="O518" s="9">
        <f t="shared" si="70"/>
        <v>-26.9</v>
      </c>
      <c r="P518" s="8">
        <f>D518/B518*10^(O518/10)</f>
        <v>7.962777984211164E-2</v>
      </c>
      <c r="Q518" s="26">
        <f>SUM(P518:P523)</f>
        <v>0.63120813921953445</v>
      </c>
      <c r="R518" s="17">
        <f>10*LOG10(Q518)</f>
        <v>-1.9982740967927528</v>
      </c>
      <c r="S518" s="18">
        <f>F518+N518-Kzt-H</f>
        <v>-40.608303982172146</v>
      </c>
      <c r="T518" s="17">
        <v>0.8</v>
      </c>
      <c r="U518" s="21">
        <f>T518*10^((S518-R518)/10)</f>
        <v>1.1017599934787166E-4</v>
      </c>
    </row>
    <row r="519" spans="1:21" x14ac:dyDescent="0.25">
      <c r="A519" s="24"/>
      <c r="B519" s="24"/>
      <c r="C519" s="17"/>
      <c r="D519" s="24"/>
      <c r="E519" s="24"/>
      <c r="F519" s="25"/>
      <c r="G519" s="1">
        <v>975</v>
      </c>
      <c r="H519" s="2">
        <v>96.5</v>
      </c>
      <c r="I519" s="2">
        <v>-22.5</v>
      </c>
      <c r="J519" s="2">
        <v>-29.5</v>
      </c>
      <c r="K519" s="2">
        <f t="shared" si="68"/>
        <v>-22.5</v>
      </c>
      <c r="L519" s="8">
        <f t="shared" si="72"/>
        <v>1.2589254117941629E-12</v>
      </c>
      <c r="M519" s="26"/>
      <c r="N519" s="17"/>
      <c r="O519" s="9">
        <f t="shared" si="70"/>
        <v>-29.5</v>
      </c>
      <c r="P519" s="8">
        <f>D518/B518*10^(O519/10)</f>
        <v>4.3758719717776527E-2</v>
      </c>
      <c r="Q519" s="26"/>
      <c r="R519" s="17"/>
      <c r="S519" s="19"/>
      <c r="T519" s="17"/>
      <c r="U519" s="22"/>
    </row>
    <row r="520" spans="1:21" x14ac:dyDescent="0.25">
      <c r="A520" s="24"/>
      <c r="B520" s="24"/>
      <c r="C520" s="17"/>
      <c r="D520" s="24"/>
      <c r="E520" s="24"/>
      <c r="F520" s="25"/>
      <c r="G520" s="1">
        <v>1075</v>
      </c>
      <c r="H520" s="2">
        <v>94.6</v>
      </c>
      <c r="I520" s="2">
        <v>-21.4</v>
      </c>
      <c r="J520" s="2">
        <v>-23.6</v>
      </c>
      <c r="K520" s="2">
        <f t="shared" si="68"/>
        <v>-21.4</v>
      </c>
      <c r="L520" s="8">
        <f t="shared" si="72"/>
        <v>2.5118864315095726E-12</v>
      </c>
      <c r="M520" s="26"/>
      <c r="N520" s="17"/>
      <c r="O520" s="9">
        <f t="shared" si="70"/>
        <v>-23.6</v>
      </c>
      <c r="P520" s="8">
        <f>D518/B518*10^(O520/10)</f>
        <v>0.17024117457366447</v>
      </c>
      <c r="Q520" s="26"/>
      <c r="R520" s="17"/>
      <c r="S520" s="19"/>
      <c r="T520" s="17"/>
      <c r="U520" s="22"/>
    </row>
    <row r="521" spans="1:21" x14ac:dyDescent="0.25">
      <c r="A521" s="24"/>
      <c r="B521" s="24"/>
      <c r="C521" s="17"/>
      <c r="D521" s="24"/>
      <c r="E521" s="24"/>
      <c r="F521" s="25"/>
      <c r="G521" s="1">
        <v>1175</v>
      </c>
      <c r="H521" s="2">
        <v>97.8</v>
      </c>
      <c r="I521" s="2">
        <v>-21.9</v>
      </c>
      <c r="J521" s="2">
        <v>-27.5</v>
      </c>
      <c r="K521" s="2">
        <f t="shared" si="68"/>
        <v>-21.9</v>
      </c>
      <c r="L521" s="8">
        <f t="shared" si="72"/>
        <v>1.0715193052376071E-12</v>
      </c>
      <c r="M521" s="26"/>
      <c r="N521" s="17"/>
      <c r="O521" s="9">
        <f t="shared" si="70"/>
        <v>-27.5</v>
      </c>
      <c r="P521" s="8">
        <f>D518/B518*10^(O521/10)</f>
        <v>6.9352896991517976E-2</v>
      </c>
      <c r="Q521" s="26"/>
      <c r="R521" s="17"/>
      <c r="S521" s="19"/>
      <c r="T521" s="17"/>
      <c r="U521" s="22"/>
    </row>
    <row r="522" spans="1:21" x14ac:dyDescent="0.25">
      <c r="A522" s="24"/>
      <c r="B522" s="24"/>
      <c r="C522" s="17"/>
      <c r="D522" s="24"/>
      <c r="E522" s="24"/>
      <c r="F522" s="25"/>
      <c r="G522" s="1">
        <v>1275</v>
      </c>
      <c r="H522" s="2">
        <v>100.1</v>
      </c>
      <c r="I522" s="2">
        <v>-22.6</v>
      </c>
      <c r="J522" s="2">
        <v>-24.3</v>
      </c>
      <c r="K522" s="2">
        <f t="shared" si="68"/>
        <v>-22.6</v>
      </c>
      <c r="L522" s="8">
        <f t="shared" si="72"/>
        <v>5.3703179637025273E-13</v>
      </c>
      <c r="M522" s="26"/>
      <c r="N522" s="17"/>
      <c r="O522" s="9">
        <f t="shared" si="70"/>
        <v>-24.3</v>
      </c>
      <c r="P522" s="8">
        <f>D518/B518*10^(O522/10)</f>
        <v>0.14489873934789718</v>
      </c>
      <c r="Q522" s="26"/>
      <c r="R522" s="17"/>
      <c r="S522" s="19"/>
      <c r="T522" s="17"/>
      <c r="U522" s="22"/>
    </row>
    <row r="523" spans="1:21" x14ac:dyDescent="0.25">
      <c r="A523" s="24"/>
      <c r="B523" s="24"/>
      <c r="C523" s="17"/>
      <c r="D523" s="24"/>
      <c r="E523" s="24"/>
      <c r="F523" s="25"/>
      <c r="G523" s="1">
        <v>1375</v>
      </c>
      <c r="H523" s="2">
        <v>103</v>
      </c>
      <c r="I523" s="2">
        <v>-22.1</v>
      </c>
      <c r="J523" s="2">
        <v>-25</v>
      </c>
      <c r="K523" s="2">
        <f t="shared" si="68"/>
        <v>-22.1</v>
      </c>
      <c r="L523" s="8">
        <f t="shared" si="72"/>
        <v>3.0902954325135866E-13</v>
      </c>
      <c r="M523" s="26"/>
      <c r="N523" s="17"/>
      <c r="O523" s="9">
        <f t="shared" si="70"/>
        <v>-25</v>
      </c>
      <c r="P523" s="8">
        <f>D518/B518*10^(O523/10)</f>
        <v>0.12332882874656667</v>
      </c>
      <c r="Q523" s="26"/>
      <c r="R523" s="17"/>
      <c r="S523" s="20"/>
      <c r="T523" s="17"/>
      <c r="U523" s="23"/>
    </row>
    <row r="524" spans="1:21" x14ac:dyDescent="0.25">
      <c r="A524" s="24">
        <v>2000</v>
      </c>
      <c r="B524" s="24">
        <v>3</v>
      </c>
      <c r="C524" s="17">
        <v>0.5</v>
      </c>
      <c r="D524" s="24">
        <v>234</v>
      </c>
      <c r="E524" s="24">
        <v>6</v>
      </c>
      <c r="F524" s="25">
        <v>68</v>
      </c>
      <c r="G524" s="1">
        <v>1425</v>
      </c>
      <c r="H524" s="2">
        <v>102.8</v>
      </c>
      <c r="I524" s="2">
        <v>-16.8</v>
      </c>
      <c r="J524" s="2">
        <v>-27.2</v>
      </c>
      <c r="K524" s="2">
        <f t="shared" si="68"/>
        <v>-16.8</v>
      </c>
      <c r="L524" s="8">
        <f t="shared" si="72"/>
        <v>1.0964781961431857E-12</v>
      </c>
      <c r="M524" s="26">
        <f>SUM(L524:L529)</f>
        <v>3.9086947633037198E-12</v>
      </c>
      <c r="N524" s="17">
        <f>10*LOG10(M524/E524)</f>
        <v>-121.86119493430228</v>
      </c>
      <c r="O524" s="9">
        <f t="shared" si="70"/>
        <v>-27.2</v>
      </c>
      <c r="P524" s="8">
        <f>D524/B524*10^(O524/10)</f>
        <v>0.1486259360011333</v>
      </c>
      <c r="Q524" s="26">
        <f>SUM(P524:P529)</f>
        <v>1.1140439273984113</v>
      </c>
      <c r="R524" s="17">
        <f>10*LOG10(Q524)</f>
        <v>0.46902315658726651</v>
      </c>
      <c r="S524" s="18">
        <f>F524+N524-Kzt-H</f>
        <v>-53.861194934302276</v>
      </c>
      <c r="T524" s="17">
        <v>1</v>
      </c>
      <c r="U524" s="21">
        <f>T524*10^((S524-R524)/10)</f>
        <v>3.6895906998284978E-6</v>
      </c>
    </row>
    <row r="525" spans="1:21" x14ac:dyDescent="0.25">
      <c r="A525" s="24"/>
      <c r="B525" s="24"/>
      <c r="C525" s="17"/>
      <c r="D525" s="24"/>
      <c r="E525" s="24"/>
      <c r="F525" s="25"/>
      <c r="G525" s="1">
        <v>1625</v>
      </c>
      <c r="H525" s="2">
        <v>104.1</v>
      </c>
      <c r="I525" s="2">
        <v>-18.5</v>
      </c>
      <c r="J525" s="2">
        <v>-26.5</v>
      </c>
      <c r="K525" s="2">
        <f t="shared" si="68"/>
        <v>-18.5</v>
      </c>
      <c r="L525" s="8">
        <f t="shared" si="72"/>
        <v>5.4954087385762248E-13</v>
      </c>
      <c r="M525" s="26"/>
      <c r="N525" s="17"/>
      <c r="O525" s="9">
        <f t="shared" si="70"/>
        <v>-26.5</v>
      </c>
      <c r="P525" s="8">
        <f>D524/B524*10^(O525/10)</f>
        <v>0.17462024880833041</v>
      </c>
      <c r="Q525" s="26"/>
      <c r="R525" s="17"/>
      <c r="S525" s="19"/>
      <c r="T525" s="17"/>
      <c r="U525" s="22"/>
    </row>
    <row r="526" spans="1:21" x14ac:dyDescent="0.25">
      <c r="A526" s="24"/>
      <c r="B526" s="24"/>
      <c r="C526" s="17"/>
      <c r="D526" s="24"/>
      <c r="E526" s="24"/>
      <c r="F526" s="25"/>
      <c r="G526" s="1">
        <v>1825</v>
      </c>
      <c r="H526" s="2">
        <v>107.6</v>
      </c>
      <c r="I526" s="2">
        <v>-24.3</v>
      </c>
      <c r="J526" s="2">
        <v>-25.9</v>
      </c>
      <c r="K526" s="2">
        <f t="shared" si="68"/>
        <v>-24.3</v>
      </c>
      <c r="L526" s="8">
        <f t="shared" si="72"/>
        <v>6.4565422903465192E-14</v>
      </c>
      <c r="M526" s="26"/>
      <c r="N526" s="17"/>
      <c r="O526" s="9">
        <f t="shared" si="70"/>
        <v>-25.9</v>
      </c>
      <c r="P526" s="8">
        <f>D524/B524*10^(O526/10)</f>
        <v>0.20049087105597135</v>
      </c>
      <c r="Q526" s="26"/>
      <c r="R526" s="17"/>
      <c r="S526" s="19"/>
      <c r="T526" s="17"/>
      <c r="U526" s="22"/>
    </row>
    <row r="527" spans="1:21" x14ac:dyDescent="0.25">
      <c r="A527" s="24"/>
      <c r="B527" s="24"/>
      <c r="C527" s="17"/>
      <c r="D527" s="24"/>
      <c r="E527" s="24"/>
      <c r="F527" s="25"/>
      <c r="G527" s="1">
        <v>2125</v>
      </c>
      <c r="H527" s="2">
        <v>104.2</v>
      </c>
      <c r="I527" s="2">
        <v>-23.2</v>
      </c>
      <c r="J527" s="2">
        <v>-26.4</v>
      </c>
      <c r="K527" s="2">
        <f t="shared" si="68"/>
        <v>-23.2</v>
      </c>
      <c r="L527" s="8">
        <f t="shared" si="72"/>
        <v>1.8197008586099787E-13</v>
      </c>
      <c r="M527" s="26"/>
      <c r="N527" s="17"/>
      <c r="O527" s="9">
        <f t="shared" si="70"/>
        <v>-26.4</v>
      </c>
      <c r="P527" s="8">
        <f>D524/B524*10^(O527/10)</f>
        <v>0.17868767691588636</v>
      </c>
      <c r="Q527" s="26"/>
      <c r="R527" s="17"/>
      <c r="S527" s="19"/>
      <c r="T527" s="17"/>
      <c r="U527" s="22"/>
    </row>
    <row r="528" spans="1:21" x14ac:dyDescent="0.25">
      <c r="A528" s="24"/>
      <c r="B528" s="24"/>
      <c r="C528" s="17"/>
      <c r="D528" s="24"/>
      <c r="E528" s="24"/>
      <c r="F528" s="25"/>
      <c r="G528" s="1">
        <v>2425</v>
      </c>
      <c r="H528" s="2">
        <v>93.7</v>
      </c>
      <c r="I528" s="2">
        <v>-24.6</v>
      </c>
      <c r="J528" s="2">
        <v>-30.4</v>
      </c>
      <c r="K528" s="2">
        <f t="shared" si="68"/>
        <v>-24.6</v>
      </c>
      <c r="L528" s="8">
        <f t="shared" si="72"/>
        <v>1.4791083881681958E-12</v>
      </c>
      <c r="M528" s="26"/>
      <c r="N528" s="17"/>
      <c r="O528" s="9">
        <f t="shared" si="70"/>
        <v>-30.4</v>
      </c>
      <c r="P528" s="8">
        <f>D524/B524*10^(O528/10)</f>
        <v>7.1136845469760873E-2</v>
      </c>
      <c r="Q528" s="26"/>
      <c r="R528" s="17"/>
      <c r="S528" s="19"/>
      <c r="T528" s="17"/>
      <c r="U528" s="22"/>
    </row>
    <row r="529" spans="1:21" x14ac:dyDescent="0.25">
      <c r="A529" s="24"/>
      <c r="B529" s="24"/>
      <c r="C529" s="17"/>
      <c r="D529" s="24"/>
      <c r="E529" s="24"/>
      <c r="F529" s="25"/>
      <c r="G529" s="1">
        <v>2775</v>
      </c>
      <c r="H529" s="2">
        <v>100.2</v>
      </c>
      <c r="I529" s="2">
        <v>-22.5</v>
      </c>
      <c r="J529" s="2">
        <v>-23.6</v>
      </c>
      <c r="K529" s="2">
        <f t="shared" si="68"/>
        <v>-22.5</v>
      </c>
      <c r="L529" s="8">
        <f t="shared" si="72"/>
        <v>5.3703179637025273E-13</v>
      </c>
      <c r="M529" s="26"/>
      <c r="N529" s="17"/>
      <c r="O529" s="9">
        <f t="shared" si="70"/>
        <v>-23.6</v>
      </c>
      <c r="P529" s="8">
        <f>D524/B524*10^(O529/10)</f>
        <v>0.34048234914732894</v>
      </c>
      <c r="Q529" s="26"/>
      <c r="R529" s="17"/>
      <c r="S529" s="20"/>
      <c r="T529" s="17"/>
      <c r="U529" s="23"/>
    </row>
    <row r="530" spans="1:21" x14ac:dyDescent="0.25">
      <c r="A530" s="24">
        <v>4000</v>
      </c>
      <c r="B530" s="24">
        <v>3</v>
      </c>
      <c r="C530" s="17">
        <v>0.5</v>
      </c>
      <c r="D530" s="24">
        <v>470</v>
      </c>
      <c r="E530" s="24">
        <v>6</v>
      </c>
      <c r="F530" s="25">
        <v>62</v>
      </c>
      <c r="G530" s="1">
        <v>2825</v>
      </c>
      <c r="H530" s="2">
        <v>99.4</v>
      </c>
      <c r="I530" s="2">
        <v>-27.3</v>
      </c>
      <c r="J530" s="2">
        <v>-30.2</v>
      </c>
      <c r="K530" s="2">
        <f t="shared" si="68"/>
        <v>-27.3</v>
      </c>
      <c r="L530" s="8">
        <f t="shared" si="72"/>
        <v>2.1379620895022253E-13</v>
      </c>
      <c r="M530" s="26">
        <f>SUM(L530:L535)</f>
        <v>1.7309726459146306E-12</v>
      </c>
      <c r="N530" s="17">
        <f>10*LOG10(M530/E530)</f>
        <v>-125.39861045490456</v>
      </c>
      <c r="O530" s="9">
        <f t="shared" si="70"/>
        <v>-30.2</v>
      </c>
      <c r="P530" s="8">
        <f>D530/B530*10^(O530/10)</f>
        <v>0.14961550514335822</v>
      </c>
      <c r="Q530" s="26">
        <f>SUM(P530:P535)</f>
        <v>2.1109885592447188</v>
      </c>
      <c r="R530" s="17">
        <f>10*LOG10(Q530)</f>
        <v>3.2448587960308437</v>
      </c>
      <c r="S530" s="18">
        <f>F530+N530-Kzt-H</f>
        <v>-63.398610454904556</v>
      </c>
      <c r="T530" s="17">
        <v>0.9</v>
      </c>
      <c r="U530" s="21">
        <f>T530*10^((S530-R530)/10)</f>
        <v>1.9493758629094973E-7</v>
      </c>
    </row>
    <row r="531" spans="1:21" x14ac:dyDescent="0.25">
      <c r="A531" s="24"/>
      <c r="B531" s="24"/>
      <c r="C531" s="17"/>
      <c r="D531" s="24"/>
      <c r="E531" s="24"/>
      <c r="F531" s="25"/>
      <c r="G531" s="1">
        <v>3425</v>
      </c>
      <c r="H531" s="2">
        <v>103.5</v>
      </c>
      <c r="I531" s="2">
        <v>-25.3</v>
      </c>
      <c r="J531" s="2">
        <v>-30.3</v>
      </c>
      <c r="K531" s="2">
        <f t="shared" si="68"/>
        <v>-25.3</v>
      </c>
      <c r="L531" s="8">
        <f t="shared" si="72"/>
        <v>1.3182567385564006E-13</v>
      </c>
      <c r="M531" s="26"/>
      <c r="N531" s="17"/>
      <c r="O531" s="9">
        <f t="shared" si="70"/>
        <v>-30.3</v>
      </c>
      <c r="P531" s="8">
        <f>D530/B530*10^(O531/10)</f>
        <v>0.14620984045819507</v>
      </c>
      <c r="Q531" s="26"/>
      <c r="R531" s="17"/>
      <c r="S531" s="19"/>
      <c r="T531" s="17"/>
      <c r="U531" s="22"/>
    </row>
    <row r="532" spans="1:21" x14ac:dyDescent="0.25">
      <c r="A532" s="24"/>
      <c r="B532" s="24"/>
      <c r="C532" s="17"/>
      <c r="D532" s="24"/>
      <c r="E532" s="24"/>
      <c r="F532" s="25"/>
      <c r="G532" s="1">
        <v>4025</v>
      </c>
      <c r="H532" s="2">
        <v>103.6</v>
      </c>
      <c r="I532" s="2">
        <v>-21.4</v>
      </c>
      <c r="J532" s="2">
        <v>-25.3</v>
      </c>
      <c r="K532" s="2">
        <f t="shared" si="68"/>
        <v>-21.4</v>
      </c>
      <c r="L532" s="8">
        <f t="shared" si="72"/>
        <v>3.1622776601683746E-13</v>
      </c>
      <c r="M532" s="26"/>
      <c r="N532" s="17"/>
      <c r="O532" s="9">
        <f t="shared" si="70"/>
        <v>-25.3</v>
      </c>
      <c r="P532" s="8">
        <f>D530/B530*10^(O532/10)</f>
        <v>0.46235611217773342</v>
      </c>
      <c r="Q532" s="26"/>
      <c r="R532" s="17"/>
      <c r="S532" s="19"/>
      <c r="T532" s="17"/>
      <c r="U532" s="22"/>
    </row>
    <row r="533" spans="1:21" x14ac:dyDescent="0.25">
      <c r="A533" s="24"/>
      <c r="B533" s="24"/>
      <c r="C533" s="17"/>
      <c r="D533" s="24"/>
      <c r="E533" s="24"/>
      <c r="F533" s="25"/>
      <c r="G533" s="1">
        <v>4625</v>
      </c>
      <c r="H533" s="2">
        <v>105.6</v>
      </c>
      <c r="I533" s="2">
        <v>-23.9</v>
      </c>
      <c r="J533" s="2">
        <v>-24.2</v>
      </c>
      <c r="K533" s="2">
        <f t="shared" si="68"/>
        <v>-23.9</v>
      </c>
      <c r="L533" s="8">
        <f t="shared" si="72"/>
        <v>1.1220184543019628E-13</v>
      </c>
      <c r="M533" s="26"/>
      <c r="N533" s="17"/>
      <c r="O533" s="9">
        <f t="shared" si="70"/>
        <v>-24.2</v>
      </c>
      <c r="P533" s="8">
        <f>D530/B530*10^(O533/10)</f>
        <v>0.59563005423554594</v>
      </c>
      <c r="Q533" s="26"/>
      <c r="R533" s="17"/>
      <c r="S533" s="19"/>
      <c r="T533" s="17"/>
      <c r="U533" s="22"/>
    </row>
    <row r="534" spans="1:21" x14ac:dyDescent="0.25">
      <c r="A534" s="24"/>
      <c r="B534" s="24"/>
      <c r="C534" s="17"/>
      <c r="D534" s="24"/>
      <c r="E534" s="24"/>
      <c r="F534" s="25"/>
      <c r="G534" s="1">
        <v>5225</v>
      </c>
      <c r="H534" s="2">
        <v>103.5</v>
      </c>
      <c r="I534" s="2">
        <v>-20.399999999999999</v>
      </c>
      <c r="J534" s="2">
        <v>-29.2</v>
      </c>
      <c r="K534" s="2">
        <f t="shared" si="68"/>
        <v>-20.399999999999999</v>
      </c>
      <c r="L534" s="8">
        <f t="shared" si="72"/>
        <v>4.0738027780411177E-13</v>
      </c>
      <c r="M534" s="26"/>
      <c r="N534" s="17"/>
      <c r="O534" s="9">
        <f t="shared" si="70"/>
        <v>-29.2</v>
      </c>
      <c r="P534" s="8">
        <f>D530/B530*10^(O534/10)</f>
        <v>0.18835476142339458</v>
      </c>
      <c r="Q534" s="26"/>
      <c r="R534" s="17"/>
      <c r="S534" s="19"/>
      <c r="T534" s="17"/>
      <c r="U534" s="22"/>
    </row>
    <row r="535" spans="1:21" x14ac:dyDescent="0.25">
      <c r="A535" s="24"/>
      <c r="B535" s="24"/>
      <c r="C535" s="17"/>
      <c r="D535" s="24"/>
      <c r="E535" s="24"/>
      <c r="F535" s="25"/>
      <c r="G535" s="1">
        <v>5625</v>
      </c>
      <c r="H535" s="2">
        <v>99.5</v>
      </c>
      <c r="I535" s="2">
        <v>-23.1</v>
      </c>
      <c r="J535" s="2">
        <v>-24.4</v>
      </c>
      <c r="K535" s="2">
        <f t="shared" si="68"/>
        <v>-23.1</v>
      </c>
      <c r="L535" s="8">
        <f t="shared" si="72"/>
        <v>5.4954087385762248E-13</v>
      </c>
      <c r="M535" s="26"/>
      <c r="N535" s="17"/>
      <c r="O535" s="9">
        <f t="shared" si="70"/>
        <v>-24.4</v>
      </c>
      <c r="P535" s="8">
        <f>D530/B530*10^(O535/10)</f>
        <v>0.56882228580649163</v>
      </c>
      <c r="Q535" s="26"/>
      <c r="R535" s="17"/>
      <c r="S535" s="20"/>
      <c r="T535" s="17"/>
      <c r="U535" s="23"/>
    </row>
    <row r="536" spans="1:21" x14ac:dyDescent="0.25">
      <c r="A536" s="24">
        <v>8000</v>
      </c>
      <c r="B536" s="24">
        <v>3</v>
      </c>
      <c r="C536" s="17">
        <v>0.5</v>
      </c>
      <c r="D536" s="24">
        <v>943</v>
      </c>
      <c r="E536" s="24">
        <v>6</v>
      </c>
      <c r="F536" s="25">
        <v>54</v>
      </c>
      <c r="G536" s="1">
        <v>6025</v>
      </c>
      <c r="H536" s="2">
        <v>95</v>
      </c>
      <c r="I536" s="2">
        <v>-26.1</v>
      </c>
      <c r="J536" s="2">
        <v>-27.1</v>
      </c>
      <c r="K536" s="2">
        <f t="shared" si="68"/>
        <v>-26.1</v>
      </c>
      <c r="L536" s="8">
        <f t="shared" si="72"/>
        <v>7.7624711662869047E-13</v>
      </c>
      <c r="M536" s="26">
        <f>SUM(L536:L541)</f>
        <v>3.609396993761712E-11</v>
      </c>
      <c r="N536" s="17">
        <f>10*LOG10(M536/E536)</f>
        <v>-112.20716598105794</v>
      </c>
      <c r="O536" s="9">
        <f t="shared" si="70"/>
        <v>-27.1</v>
      </c>
      <c r="P536" s="8">
        <f>D536/B536*10^(O536/10)</f>
        <v>0.61290115252394517</v>
      </c>
      <c r="Q536" s="26">
        <f>SUM(P536:P541)</f>
        <v>3.8205373840157684</v>
      </c>
      <c r="R536" s="17">
        <f>10*LOG10(Q536)</f>
        <v>5.8212445361812541</v>
      </c>
      <c r="S536" s="18">
        <f>F536+N536-Kzt-H</f>
        <v>-58.20716598105794</v>
      </c>
      <c r="T536" s="17">
        <v>0.7</v>
      </c>
      <c r="U536" s="21">
        <f>T536*10^((S536-R536)/10)</f>
        <v>2.7685794328066755E-7</v>
      </c>
    </row>
    <row r="537" spans="1:21" x14ac:dyDescent="0.25">
      <c r="A537" s="24"/>
      <c r="B537" s="24"/>
      <c r="C537" s="17"/>
      <c r="D537" s="24"/>
      <c r="E537" s="24"/>
      <c r="F537" s="25"/>
      <c r="G537" s="1">
        <v>7025</v>
      </c>
      <c r="H537" s="2">
        <v>94.8</v>
      </c>
      <c r="I537" s="2">
        <v>-21.3</v>
      </c>
      <c r="J537" s="2">
        <v>-27.9</v>
      </c>
      <c r="K537" s="2">
        <f t="shared" si="68"/>
        <v>-21.3</v>
      </c>
      <c r="L537" s="8">
        <f t="shared" si="72"/>
        <v>2.4547089156850233E-12</v>
      </c>
      <c r="M537" s="26"/>
      <c r="N537" s="17"/>
      <c r="O537" s="9">
        <f t="shared" si="70"/>
        <v>-27.9</v>
      </c>
      <c r="P537" s="8">
        <f>D536/B536*10^(O537/10)</f>
        <v>0.50978897393648981</v>
      </c>
      <c r="Q537" s="26"/>
      <c r="R537" s="17"/>
      <c r="S537" s="19"/>
      <c r="T537" s="17"/>
      <c r="U537" s="22"/>
    </row>
    <row r="538" spans="1:21" x14ac:dyDescent="0.25">
      <c r="A538" s="24"/>
      <c r="B538" s="24"/>
      <c r="C538" s="17"/>
      <c r="D538" s="24"/>
      <c r="E538" s="24"/>
      <c r="F538" s="25"/>
      <c r="G538" s="1">
        <v>8025</v>
      </c>
      <c r="H538" s="2">
        <v>101.9</v>
      </c>
      <c r="I538" s="2">
        <v>-25</v>
      </c>
      <c r="J538" s="2">
        <v>-29.1</v>
      </c>
      <c r="K538" s="2">
        <f t="shared" si="68"/>
        <v>-25</v>
      </c>
      <c r="L538" s="8">
        <f t="shared" si="72"/>
        <v>2.0417379446695155E-13</v>
      </c>
      <c r="M538" s="26"/>
      <c r="N538" s="17"/>
      <c r="O538" s="9">
        <f t="shared" si="70"/>
        <v>-29.1</v>
      </c>
      <c r="P538" s="8">
        <f>D536/B536*10^(O538/10)</f>
        <v>0.38671448362535832</v>
      </c>
      <c r="Q538" s="26"/>
      <c r="R538" s="17"/>
      <c r="S538" s="19"/>
      <c r="T538" s="17"/>
      <c r="U538" s="22"/>
    </row>
    <row r="539" spans="1:21" x14ac:dyDescent="0.25">
      <c r="A539" s="24"/>
      <c r="B539" s="24"/>
      <c r="C539" s="17"/>
      <c r="D539" s="24"/>
      <c r="E539" s="24"/>
      <c r="F539" s="25"/>
      <c r="G539" s="1">
        <v>9025</v>
      </c>
      <c r="H539" s="2">
        <v>93.2</v>
      </c>
      <c r="I539" s="2">
        <v>-22.5</v>
      </c>
      <c r="J539" s="2">
        <v>-23.4</v>
      </c>
      <c r="K539" s="2">
        <f t="shared" si="68"/>
        <v>-22.5</v>
      </c>
      <c r="L539" s="8">
        <f t="shared" si="72"/>
        <v>2.6915348039269074E-12</v>
      </c>
      <c r="M539" s="26"/>
      <c r="N539" s="17"/>
      <c r="O539" s="9">
        <f t="shared" si="70"/>
        <v>-23.4</v>
      </c>
      <c r="P539" s="8">
        <f>D536/B536*10^(O539/10)</f>
        <v>1.4367805426894238</v>
      </c>
      <c r="Q539" s="26"/>
      <c r="R539" s="17"/>
      <c r="S539" s="19"/>
      <c r="T539" s="17"/>
      <c r="U539" s="22"/>
    </row>
    <row r="540" spans="1:21" x14ac:dyDescent="0.25">
      <c r="A540" s="24"/>
      <c r="B540" s="24"/>
      <c r="C540" s="17"/>
      <c r="D540" s="24"/>
      <c r="E540" s="24"/>
      <c r="F540" s="25"/>
      <c r="G540" s="1">
        <v>10025</v>
      </c>
      <c r="H540" s="2">
        <v>88.3</v>
      </c>
      <c r="I540" s="2">
        <v>-21.9</v>
      </c>
      <c r="J540" s="2">
        <v>-30.8</v>
      </c>
      <c r="K540" s="2">
        <f t="shared" si="68"/>
        <v>-21.9</v>
      </c>
      <c r="L540" s="8">
        <f t="shared" si="72"/>
        <v>9.5499258602143472E-12</v>
      </c>
      <c r="M540" s="26"/>
      <c r="N540" s="17"/>
      <c r="O540" s="9">
        <f t="shared" si="70"/>
        <v>-30.8</v>
      </c>
      <c r="P540" s="8">
        <f>D536/B536*10^(O540/10)</f>
        <v>0.261451078716606</v>
      </c>
      <c r="Q540" s="26"/>
      <c r="R540" s="17"/>
      <c r="S540" s="19"/>
      <c r="T540" s="17"/>
      <c r="U540" s="22"/>
    </row>
    <row r="541" spans="1:21" x14ac:dyDescent="0.25">
      <c r="A541" s="24"/>
      <c r="B541" s="24"/>
      <c r="C541" s="17"/>
      <c r="D541" s="24"/>
      <c r="E541" s="24"/>
      <c r="F541" s="25"/>
      <c r="G541" s="1">
        <v>11025</v>
      </c>
      <c r="H541" s="2">
        <v>86</v>
      </c>
      <c r="I541" s="2">
        <v>-20.9</v>
      </c>
      <c r="J541" s="2">
        <v>-27.1</v>
      </c>
      <c r="K541" s="2">
        <f t="shared" si="68"/>
        <v>-20.9</v>
      </c>
      <c r="L541" s="8">
        <f t="shared" si="72"/>
        <v>2.04173794466952E-11</v>
      </c>
      <c r="M541" s="26"/>
      <c r="N541" s="17"/>
      <c r="O541" s="9">
        <f t="shared" si="70"/>
        <v>-27.1</v>
      </c>
      <c r="P541" s="8">
        <f>D536/B536*10^(O541/10)</f>
        <v>0.61290115252394517</v>
      </c>
      <c r="Q541" s="26"/>
      <c r="R541" s="17"/>
      <c r="S541" s="20"/>
      <c r="T541" s="17"/>
      <c r="U541" s="23"/>
    </row>
    <row r="542" spans="1:21" x14ac:dyDescent="0.25">
      <c r="A542" s="24" t="s">
        <v>20</v>
      </c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12">
        <f>U542</f>
        <v>5.8896072488709476E-2</v>
      </c>
      <c r="T542" s="2"/>
      <c r="U542" s="8">
        <f>0.8*SQRT(SUM(U508:U541))</f>
        <v>5.8896072488709476E-2</v>
      </c>
    </row>
    <row r="543" spans="1:21" x14ac:dyDescent="0.25">
      <c r="A543" s="27" t="s">
        <v>67</v>
      </c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9"/>
    </row>
    <row r="544" spans="1:21" x14ac:dyDescent="0.25">
      <c r="A544" s="24">
        <v>250</v>
      </c>
      <c r="B544" s="24">
        <v>3</v>
      </c>
      <c r="C544" s="17">
        <v>0.5</v>
      </c>
      <c r="D544" s="24">
        <v>38</v>
      </c>
      <c r="E544" s="24">
        <v>4</v>
      </c>
      <c r="F544" s="25">
        <v>84</v>
      </c>
      <c r="G544" s="1">
        <v>175</v>
      </c>
      <c r="H544" s="2">
        <v>84.8</v>
      </c>
      <c r="I544" s="2">
        <v>-10.199999999999999</v>
      </c>
      <c r="J544" s="2">
        <v>-18.399999999999999</v>
      </c>
      <c r="K544" s="2">
        <f>I544</f>
        <v>-10.199999999999999</v>
      </c>
      <c r="L544" s="8">
        <f>10^((K544-H544)/10)</f>
        <v>3.1622776601683744E-10</v>
      </c>
      <c r="M544" s="26">
        <f>SUM(L544:L547)</f>
        <v>4.3110137882807893E-10</v>
      </c>
      <c r="N544" s="17">
        <f>10*LOG10(M544/E544)</f>
        <v>-99.674805794310004</v>
      </c>
      <c r="O544" s="9">
        <f>J544</f>
        <v>-18.399999999999999</v>
      </c>
      <c r="P544" s="8">
        <f>D544/B544*10^(O544/10)</f>
        <v>0.18308903762781745</v>
      </c>
      <c r="Q544" s="26">
        <f>SUM(P544:P547)</f>
        <v>0.8662705657276113</v>
      </c>
      <c r="R544" s="17">
        <f>10*LOG10(Q544)</f>
        <v>-0.62346441873935632</v>
      </c>
      <c r="S544" s="18">
        <f>F544+N544-Kzt-H</f>
        <v>-15.674805794310004</v>
      </c>
      <c r="T544" s="17">
        <v>0.2</v>
      </c>
      <c r="U544" s="21">
        <f>T544*10^((S544-R544)/10)</f>
        <v>6.2502279710599353E-3</v>
      </c>
    </row>
    <row r="545" spans="1:21" x14ac:dyDescent="0.25">
      <c r="A545" s="24"/>
      <c r="B545" s="24"/>
      <c r="C545" s="17"/>
      <c r="D545" s="24"/>
      <c r="E545" s="24"/>
      <c r="F545" s="25"/>
      <c r="G545" s="1">
        <v>225</v>
      </c>
      <c r="H545" s="2">
        <v>90</v>
      </c>
      <c r="I545" s="2">
        <v>-11</v>
      </c>
      <c r="J545" s="2">
        <v>-18.600000000000001</v>
      </c>
      <c r="K545" s="2">
        <f t="shared" ref="K545:K577" si="73">I545</f>
        <v>-11</v>
      </c>
      <c r="L545" s="8">
        <f t="shared" ref="L545:L546" si="74">10^((K545-H545)/10)</f>
        <v>7.943282347242792E-11</v>
      </c>
      <c r="M545" s="26"/>
      <c r="N545" s="17"/>
      <c r="O545" s="9">
        <f t="shared" ref="O545:O577" si="75">J545</f>
        <v>-18.600000000000001</v>
      </c>
      <c r="P545" s="8">
        <f>D544/B544*10^(O545/10)</f>
        <v>0.17484867351636527</v>
      </c>
      <c r="Q545" s="26"/>
      <c r="R545" s="17"/>
      <c r="S545" s="19"/>
      <c r="T545" s="17"/>
      <c r="U545" s="22"/>
    </row>
    <row r="546" spans="1:21" x14ac:dyDescent="0.25">
      <c r="A546" s="24"/>
      <c r="B546" s="24"/>
      <c r="C546" s="17"/>
      <c r="D546" s="24"/>
      <c r="E546" s="24"/>
      <c r="F546" s="25"/>
      <c r="G546" s="1">
        <v>275</v>
      </c>
      <c r="H546" s="2">
        <v>92.2</v>
      </c>
      <c r="I546" s="2">
        <v>-14.799999999999999</v>
      </c>
      <c r="J546" s="2">
        <v>-15.6</v>
      </c>
      <c r="K546" s="2">
        <f t="shared" si="73"/>
        <v>-14.799999999999999</v>
      </c>
      <c r="L546" s="8">
        <f t="shared" si="74"/>
        <v>1.995262314968878E-11</v>
      </c>
      <c r="M546" s="26"/>
      <c r="N546" s="17"/>
      <c r="O546" s="9">
        <f t="shared" si="75"/>
        <v>-15.6</v>
      </c>
      <c r="P546" s="8">
        <f>D544/B544*10^(O546/10)</f>
        <v>0.34886896908950082</v>
      </c>
      <c r="Q546" s="26"/>
      <c r="R546" s="17"/>
      <c r="S546" s="19"/>
      <c r="T546" s="17"/>
      <c r="U546" s="22"/>
    </row>
    <row r="547" spans="1:21" x14ac:dyDescent="0.25">
      <c r="A547" s="24"/>
      <c r="B547" s="24"/>
      <c r="C547" s="17"/>
      <c r="D547" s="24"/>
      <c r="E547" s="24"/>
      <c r="F547" s="25"/>
      <c r="G547" s="1">
        <v>325</v>
      </c>
      <c r="H547" s="2">
        <v>93.3</v>
      </c>
      <c r="I547" s="2">
        <v>-14.8</v>
      </c>
      <c r="J547" s="2">
        <v>-19</v>
      </c>
      <c r="K547" s="2">
        <f t="shared" si="73"/>
        <v>-14.8</v>
      </c>
      <c r="L547" s="8">
        <f>10^((K547-H547)/10)</f>
        <v>1.5488166189124818E-11</v>
      </c>
      <c r="M547" s="26"/>
      <c r="N547" s="17"/>
      <c r="O547" s="9">
        <f t="shared" si="75"/>
        <v>-19</v>
      </c>
      <c r="P547" s="8">
        <f>D544/B544*10^(O547/10)</f>
        <v>0.15946388549392773</v>
      </c>
      <c r="Q547" s="26"/>
      <c r="R547" s="17"/>
      <c r="S547" s="20"/>
      <c r="T547" s="17"/>
      <c r="U547" s="23"/>
    </row>
    <row r="548" spans="1:21" x14ac:dyDescent="0.25">
      <c r="A548" s="24">
        <v>500</v>
      </c>
      <c r="B548" s="24">
        <v>3</v>
      </c>
      <c r="C548" s="17">
        <v>0.5</v>
      </c>
      <c r="D548" s="24">
        <v>59</v>
      </c>
      <c r="E548" s="24">
        <v>6</v>
      </c>
      <c r="F548" s="25">
        <v>84</v>
      </c>
      <c r="G548" s="1">
        <v>375</v>
      </c>
      <c r="H548" s="2">
        <v>91.9</v>
      </c>
      <c r="I548" s="2">
        <v>-11.5</v>
      </c>
      <c r="J548" s="2">
        <v>-17.600000000000001</v>
      </c>
      <c r="K548" s="2">
        <f t="shared" si="73"/>
        <v>-11.5</v>
      </c>
      <c r="L548" s="8">
        <f t="shared" ref="L548:L549" si="76">10^((K548-H548)/10)</f>
        <v>4.5708818961487472E-11</v>
      </c>
      <c r="M548" s="26">
        <f>SUM(L548:L553)</f>
        <v>1.813363262390292E-10</v>
      </c>
      <c r="N548" s="17">
        <f>10*LOG10(M548/E548)</f>
        <v>-105.1966643743618</v>
      </c>
      <c r="O548" s="9">
        <f t="shared" si="75"/>
        <v>-17.600000000000001</v>
      </c>
      <c r="P548" s="8">
        <f>D548/B548*10^(O548/10)</f>
        <v>0.34176749632071018</v>
      </c>
      <c r="Q548" s="26">
        <f>SUM(P548:P553)</f>
        <v>2.2256947903245239</v>
      </c>
      <c r="R548" s="17">
        <f>10*LOG10(Q548)</f>
        <v>3.4746560925034147</v>
      </c>
      <c r="S548" s="18">
        <f>F548+N548-Kzt-H</f>
        <v>-21.196664374361802</v>
      </c>
      <c r="T548" s="17">
        <v>0.5</v>
      </c>
      <c r="U548" s="21">
        <f>T548*10^((S548-R548)/10)</f>
        <v>1.7054459405954675E-3</v>
      </c>
    </row>
    <row r="549" spans="1:21" x14ac:dyDescent="0.25">
      <c r="A549" s="24"/>
      <c r="B549" s="24"/>
      <c r="C549" s="17"/>
      <c r="D549" s="24"/>
      <c r="E549" s="24"/>
      <c r="F549" s="25"/>
      <c r="G549" s="1">
        <v>425</v>
      </c>
      <c r="H549" s="2">
        <v>88.1</v>
      </c>
      <c r="I549" s="2">
        <v>-13.2</v>
      </c>
      <c r="J549" s="2">
        <v>-15.4</v>
      </c>
      <c r="K549" s="2">
        <f t="shared" si="73"/>
        <v>-13.2</v>
      </c>
      <c r="L549" s="8">
        <f t="shared" si="76"/>
        <v>7.413102413009181E-11</v>
      </c>
      <c r="M549" s="26"/>
      <c r="N549" s="17"/>
      <c r="O549" s="9">
        <f t="shared" si="75"/>
        <v>-15.4</v>
      </c>
      <c r="P549" s="8">
        <f>D548/B548*10^(O549/10)</f>
        <v>0.56719286228156562</v>
      </c>
      <c r="Q549" s="26"/>
      <c r="R549" s="17"/>
      <c r="S549" s="19"/>
      <c r="T549" s="17"/>
      <c r="U549" s="22"/>
    </row>
    <row r="550" spans="1:21" x14ac:dyDescent="0.25">
      <c r="A550" s="24"/>
      <c r="B550" s="24"/>
      <c r="C550" s="17"/>
      <c r="D550" s="24"/>
      <c r="E550" s="24"/>
      <c r="F550" s="25"/>
      <c r="G550" s="1">
        <v>475</v>
      </c>
      <c r="H550" s="2">
        <v>90</v>
      </c>
      <c r="I550" s="2">
        <v>-16</v>
      </c>
      <c r="J550" s="2">
        <v>-16.2</v>
      </c>
      <c r="K550" s="2">
        <f t="shared" si="73"/>
        <v>-16</v>
      </c>
      <c r="L550" s="8">
        <f>10^((K550-H550)/10)</f>
        <v>2.5118864315095759E-11</v>
      </c>
      <c r="M550" s="26"/>
      <c r="N550" s="17"/>
      <c r="O550" s="9">
        <f t="shared" si="75"/>
        <v>-16.2</v>
      </c>
      <c r="P550" s="8">
        <f>D548/B548*10^(O550/10)</f>
        <v>0.4717704740738331</v>
      </c>
      <c r="Q550" s="26"/>
      <c r="R550" s="17"/>
      <c r="S550" s="19"/>
      <c r="T550" s="17"/>
      <c r="U550" s="22"/>
    </row>
    <row r="551" spans="1:21" x14ac:dyDescent="0.25">
      <c r="A551" s="24"/>
      <c r="B551" s="24"/>
      <c r="C551" s="17"/>
      <c r="D551" s="24"/>
      <c r="E551" s="24"/>
      <c r="F551" s="25"/>
      <c r="G551" s="1">
        <v>575</v>
      </c>
      <c r="H551" s="2">
        <v>97</v>
      </c>
      <c r="I551" s="2">
        <v>-15.3</v>
      </c>
      <c r="J551" s="2">
        <v>-18</v>
      </c>
      <c r="K551" s="2">
        <f t="shared" si="73"/>
        <v>-15.3</v>
      </c>
      <c r="L551" s="8">
        <f t="shared" ref="L551:L577" si="77">10^((K551-H551)/10)</f>
        <v>5.8884365535558725E-12</v>
      </c>
      <c r="M551" s="26"/>
      <c r="N551" s="17"/>
      <c r="O551" s="9">
        <f t="shared" si="75"/>
        <v>-18</v>
      </c>
      <c r="P551" s="8">
        <f>D548/B548*10^(O551/10)</f>
        <v>0.31169566118401881</v>
      </c>
      <c r="Q551" s="26"/>
      <c r="R551" s="17"/>
      <c r="S551" s="19"/>
      <c r="T551" s="17"/>
      <c r="U551" s="22"/>
    </row>
    <row r="552" spans="1:21" x14ac:dyDescent="0.25">
      <c r="A552" s="24"/>
      <c r="B552" s="24"/>
      <c r="C552" s="17"/>
      <c r="D552" s="24"/>
      <c r="E552" s="24"/>
      <c r="F552" s="25"/>
      <c r="G552" s="1">
        <v>625</v>
      </c>
      <c r="H552" s="2">
        <v>92</v>
      </c>
      <c r="I552" s="2">
        <v>-14</v>
      </c>
      <c r="J552" s="2">
        <v>-17.5</v>
      </c>
      <c r="K552" s="2">
        <f t="shared" si="73"/>
        <v>-14</v>
      </c>
      <c r="L552" s="8">
        <f t="shared" si="77"/>
        <v>2.5118864315095759E-11</v>
      </c>
      <c r="M552" s="26"/>
      <c r="N552" s="17"/>
      <c r="O552" s="9">
        <f t="shared" si="75"/>
        <v>-17.5</v>
      </c>
      <c r="P552" s="8">
        <f>D548/B548*10^(O552/10)</f>
        <v>0.34972828397432149</v>
      </c>
      <c r="Q552" s="26"/>
      <c r="R552" s="17"/>
      <c r="S552" s="19"/>
      <c r="T552" s="17"/>
      <c r="U552" s="22"/>
    </row>
    <row r="553" spans="1:21" x14ac:dyDescent="0.25">
      <c r="A553" s="24"/>
      <c r="B553" s="24"/>
      <c r="C553" s="17"/>
      <c r="D553" s="24"/>
      <c r="E553" s="24"/>
      <c r="F553" s="25"/>
      <c r="G553" s="1">
        <v>675</v>
      </c>
      <c r="H553" s="2">
        <v>94.5</v>
      </c>
      <c r="I553" s="2">
        <v>-18.2</v>
      </c>
      <c r="J553" s="2">
        <v>-20.3</v>
      </c>
      <c r="K553" s="2">
        <f t="shared" si="73"/>
        <v>-18.2</v>
      </c>
      <c r="L553" s="8">
        <f t="shared" si="77"/>
        <v>5.3703179637025143E-12</v>
      </c>
      <c r="M553" s="26"/>
      <c r="N553" s="17"/>
      <c r="O553" s="9">
        <f t="shared" si="75"/>
        <v>-20.3</v>
      </c>
      <c r="P553" s="8">
        <f>D548/B548*10^(O553/10)</f>
        <v>0.18354001249007473</v>
      </c>
      <c r="Q553" s="26"/>
      <c r="R553" s="17"/>
      <c r="S553" s="20"/>
      <c r="T553" s="17"/>
      <c r="U553" s="23"/>
    </row>
    <row r="554" spans="1:21" x14ac:dyDescent="0.25">
      <c r="A554" s="24">
        <v>1000</v>
      </c>
      <c r="B554" s="24">
        <v>3</v>
      </c>
      <c r="C554" s="17">
        <v>0.5</v>
      </c>
      <c r="D554" s="24">
        <v>117</v>
      </c>
      <c r="E554" s="24">
        <v>6</v>
      </c>
      <c r="F554" s="25">
        <v>76</v>
      </c>
      <c r="G554" s="1">
        <v>875</v>
      </c>
      <c r="H554" s="2">
        <v>91.1</v>
      </c>
      <c r="I554" s="2">
        <v>-18</v>
      </c>
      <c r="J554" s="2">
        <v>-22.5</v>
      </c>
      <c r="K554" s="2">
        <f t="shared" si="73"/>
        <v>-18</v>
      </c>
      <c r="L554" s="8">
        <f t="shared" si="77"/>
        <v>1.2302687708123787E-11</v>
      </c>
      <c r="M554" s="26">
        <f>SUM(L554:L559)</f>
        <v>3.6198673451038037E-11</v>
      </c>
      <c r="N554" s="17">
        <f>10*LOG10(M554/E554)</f>
        <v>-112.19458594862915</v>
      </c>
      <c r="O554" s="9">
        <f t="shared" si="75"/>
        <v>-22.5</v>
      </c>
      <c r="P554" s="8">
        <f>D554/B554*10^(O554/10)</f>
        <v>0.21931311682423599</v>
      </c>
      <c r="Q554" s="26">
        <f>SUM(P554:P559)</f>
        <v>2.6032720905817839</v>
      </c>
      <c r="R554" s="17">
        <f>10*LOG10(Q554)</f>
        <v>4.1551956237073355</v>
      </c>
      <c r="S554" s="18">
        <f>F554+N554-Kzt-H</f>
        <v>-36.194585948629154</v>
      </c>
      <c r="T554" s="17">
        <v>0.8</v>
      </c>
      <c r="U554" s="21">
        <f>T554*10^((S554-R554)/10)</f>
        <v>7.3809426311444694E-5</v>
      </c>
    </row>
    <row r="555" spans="1:21" x14ac:dyDescent="0.25">
      <c r="A555" s="24"/>
      <c r="B555" s="24"/>
      <c r="C555" s="17"/>
      <c r="D555" s="24"/>
      <c r="E555" s="24"/>
      <c r="F555" s="25"/>
      <c r="G555" s="1">
        <v>975</v>
      </c>
      <c r="H555" s="2">
        <v>96.5</v>
      </c>
      <c r="I555" s="2">
        <v>-20.100000000000001</v>
      </c>
      <c r="J555" s="2">
        <v>-20.3</v>
      </c>
      <c r="K555" s="2">
        <f t="shared" si="73"/>
        <v>-20.100000000000001</v>
      </c>
      <c r="L555" s="8">
        <f t="shared" si="77"/>
        <v>2.1877616239495474E-12</v>
      </c>
      <c r="M555" s="26"/>
      <c r="N555" s="17"/>
      <c r="O555" s="9">
        <f t="shared" si="75"/>
        <v>-20.3</v>
      </c>
      <c r="P555" s="8">
        <f>D554/B554*10^(O555/10)</f>
        <v>0.36396917731082612</v>
      </c>
      <c r="Q555" s="26"/>
      <c r="R555" s="17"/>
      <c r="S555" s="19"/>
      <c r="T555" s="17"/>
      <c r="U555" s="22"/>
    </row>
    <row r="556" spans="1:21" x14ac:dyDescent="0.25">
      <c r="A556" s="24"/>
      <c r="B556" s="24"/>
      <c r="C556" s="17"/>
      <c r="D556" s="24"/>
      <c r="E556" s="24"/>
      <c r="F556" s="25"/>
      <c r="G556" s="1">
        <v>1075</v>
      </c>
      <c r="H556" s="2">
        <v>94.6</v>
      </c>
      <c r="I556" s="2">
        <v>-13.6</v>
      </c>
      <c r="J556" s="2">
        <v>-24</v>
      </c>
      <c r="K556" s="2">
        <f t="shared" si="73"/>
        <v>-13.6</v>
      </c>
      <c r="L556" s="8">
        <f t="shared" si="77"/>
        <v>1.5135612484362085E-11</v>
      </c>
      <c r="M556" s="26"/>
      <c r="N556" s="17"/>
      <c r="O556" s="9">
        <f t="shared" si="75"/>
        <v>-24</v>
      </c>
      <c r="P556" s="8">
        <f>D554/B554*10^(O556/10)</f>
        <v>0.15526179651586389</v>
      </c>
      <c r="Q556" s="26"/>
      <c r="R556" s="17"/>
      <c r="S556" s="19"/>
      <c r="T556" s="17"/>
      <c r="U556" s="22"/>
    </row>
    <row r="557" spans="1:21" x14ac:dyDescent="0.25">
      <c r="A557" s="24"/>
      <c r="B557" s="24"/>
      <c r="C557" s="17"/>
      <c r="D557" s="24"/>
      <c r="E557" s="24"/>
      <c r="F557" s="25"/>
      <c r="G557" s="1">
        <v>1175</v>
      </c>
      <c r="H557" s="2">
        <v>97.8</v>
      </c>
      <c r="I557" s="2">
        <v>-17.7</v>
      </c>
      <c r="J557" s="2">
        <v>-23.9</v>
      </c>
      <c r="K557" s="2">
        <f t="shared" si="73"/>
        <v>-17.7</v>
      </c>
      <c r="L557" s="8">
        <f t="shared" si="77"/>
        <v>2.8183829312644444E-12</v>
      </c>
      <c r="M557" s="26"/>
      <c r="N557" s="17"/>
      <c r="O557" s="9">
        <f t="shared" si="75"/>
        <v>-23.9</v>
      </c>
      <c r="P557" s="8">
        <f>D554/B554*10^(O557/10)</f>
        <v>0.15887830834360409</v>
      </c>
      <c r="Q557" s="26"/>
      <c r="R557" s="17"/>
      <c r="S557" s="19"/>
      <c r="T557" s="17"/>
      <c r="U557" s="22"/>
    </row>
    <row r="558" spans="1:21" x14ac:dyDescent="0.25">
      <c r="A558" s="24"/>
      <c r="B558" s="24"/>
      <c r="C558" s="17"/>
      <c r="D558" s="24"/>
      <c r="E558" s="24"/>
      <c r="F558" s="25"/>
      <c r="G558" s="1">
        <v>1275</v>
      </c>
      <c r="H558" s="2">
        <v>100.1</v>
      </c>
      <c r="I558" s="2">
        <v>-15.5</v>
      </c>
      <c r="J558" s="2">
        <v>-16</v>
      </c>
      <c r="K558" s="2">
        <f t="shared" si="73"/>
        <v>-15.5</v>
      </c>
      <c r="L558" s="8">
        <f t="shared" si="77"/>
        <v>2.7542287033381671E-12</v>
      </c>
      <c r="M558" s="26"/>
      <c r="N558" s="17"/>
      <c r="O558" s="9">
        <f t="shared" si="75"/>
        <v>-16</v>
      </c>
      <c r="P558" s="8">
        <f>D554/B554*10^(O558/10)</f>
        <v>0.97963570828873547</v>
      </c>
      <c r="Q558" s="26"/>
      <c r="R558" s="17"/>
      <c r="S558" s="19"/>
      <c r="T558" s="17"/>
      <c r="U558" s="22"/>
    </row>
    <row r="559" spans="1:21" x14ac:dyDescent="0.25">
      <c r="A559" s="24"/>
      <c r="B559" s="24"/>
      <c r="C559" s="17"/>
      <c r="D559" s="24"/>
      <c r="E559" s="24"/>
      <c r="F559" s="25"/>
      <c r="G559" s="1">
        <v>1375</v>
      </c>
      <c r="H559" s="2">
        <v>103</v>
      </c>
      <c r="I559" s="2">
        <v>-17</v>
      </c>
      <c r="J559" s="2">
        <v>-17.3</v>
      </c>
      <c r="K559" s="2">
        <f t="shared" si="73"/>
        <v>-17</v>
      </c>
      <c r="L559" s="8">
        <f t="shared" si="77"/>
        <v>9.9999999999999998E-13</v>
      </c>
      <c r="M559" s="26"/>
      <c r="N559" s="17"/>
      <c r="O559" s="9">
        <f t="shared" si="75"/>
        <v>-17.3</v>
      </c>
      <c r="P559" s="8">
        <f>D554/B554*10^(O559/10)</f>
        <v>0.72621398329851805</v>
      </c>
      <c r="Q559" s="26"/>
      <c r="R559" s="17"/>
      <c r="S559" s="20"/>
      <c r="T559" s="17"/>
      <c r="U559" s="23"/>
    </row>
    <row r="560" spans="1:21" x14ac:dyDescent="0.25">
      <c r="A560" s="24">
        <v>2000</v>
      </c>
      <c r="B560" s="24">
        <v>3</v>
      </c>
      <c r="C560" s="17">
        <v>0.5</v>
      </c>
      <c r="D560" s="24">
        <v>234</v>
      </c>
      <c r="E560" s="24">
        <v>6</v>
      </c>
      <c r="F560" s="25">
        <v>68</v>
      </c>
      <c r="G560" s="1">
        <v>1425</v>
      </c>
      <c r="H560" s="2">
        <v>102.8</v>
      </c>
      <c r="I560" s="2">
        <v>-17.8</v>
      </c>
      <c r="J560" s="2">
        <v>-18.399999999999999</v>
      </c>
      <c r="K560" s="2">
        <f t="shared" si="73"/>
        <v>-17.8</v>
      </c>
      <c r="L560" s="8">
        <f t="shared" si="77"/>
        <v>8.7096358995608191E-13</v>
      </c>
      <c r="M560" s="26">
        <f>SUM(L560:L565)</f>
        <v>1.1465303466634384E-11</v>
      </c>
      <c r="N560" s="17">
        <f>10*LOG10(M560/E560)</f>
        <v>-117.18765696146247</v>
      </c>
      <c r="O560" s="9">
        <f t="shared" si="75"/>
        <v>-18.399999999999999</v>
      </c>
      <c r="P560" s="8">
        <f>D560/B560*10^(O560/10)</f>
        <v>1.1274430211818232</v>
      </c>
      <c r="Q560" s="26">
        <f>SUM(P560:P565)</f>
        <v>6.5647534850369773</v>
      </c>
      <c r="R560" s="17">
        <f>10*LOG10(Q560)</f>
        <v>8.1721842241357976</v>
      </c>
      <c r="S560" s="18">
        <f>F560+N560-Kzt-H</f>
        <v>-49.187656961462466</v>
      </c>
      <c r="T560" s="17">
        <v>1</v>
      </c>
      <c r="U560" s="21">
        <f>T560*10^((S560-R560)/10)</f>
        <v>1.8366055037851928E-6</v>
      </c>
    </row>
    <row r="561" spans="1:21" x14ac:dyDescent="0.25">
      <c r="A561" s="24"/>
      <c r="B561" s="24"/>
      <c r="C561" s="17"/>
      <c r="D561" s="24"/>
      <c r="E561" s="24"/>
      <c r="F561" s="25"/>
      <c r="G561" s="1">
        <v>1625</v>
      </c>
      <c r="H561" s="2">
        <v>104.1</v>
      </c>
      <c r="I561" s="2">
        <v>-17.2</v>
      </c>
      <c r="J561" s="2">
        <v>-18.399999999999999</v>
      </c>
      <c r="K561" s="2">
        <f t="shared" si="73"/>
        <v>-17.2</v>
      </c>
      <c r="L561" s="8">
        <f t="shared" si="77"/>
        <v>7.4131024130091646E-13</v>
      </c>
      <c r="M561" s="26"/>
      <c r="N561" s="17"/>
      <c r="O561" s="9">
        <f t="shared" si="75"/>
        <v>-18.399999999999999</v>
      </c>
      <c r="P561" s="8">
        <f>D560/B560*10^(O561/10)</f>
        <v>1.1274430211818232</v>
      </c>
      <c r="Q561" s="26"/>
      <c r="R561" s="17"/>
      <c r="S561" s="19"/>
      <c r="T561" s="17"/>
      <c r="U561" s="22"/>
    </row>
    <row r="562" spans="1:21" x14ac:dyDescent="0.25">
      <c r="A562" s="24"/>
      <c r="B562" s="24"/>
      <c r="C562" s="17"/>
      <c r="D562" s="24"/>
      <c r="E562" s="24"/>
      <c r="F562" s="25"/>
      <c r="G562" s="1">
        <v>1825</v>
      </c>
      <c r="H562" s="2">
        <v>107.6</v>
      </c>
      <c r="I562" s="2">
        <v>-15.399999999999999</v>
      </c>
      <c r="J562" s="2">
        <v>-16.399999999999999</v>
      </c>
      <c r="K562" s="2">
        <f t="shared" si="73"/>
        <v>-15.399999999999999</v>
      </c>
      <c r="L562" s="8">
        <f t="shared" si="77"/>
        <v>5.0118723362727066E-13</v>
      </c>
      <c r="M562" s="26"/>
      <c r="N562" s="17"/>
      <c r="O562" s="9">
        <f t="shared" si="75"/>
        <v>-16.399999999999999</v>
      </c>
      <c r="P562" s="8">
        <f>D560/B560*10^(O562/10)</f>
        <v>1.7868767691588625</v>
      </c>
      <c r="Q562" s="26"/>
      <c r="R562" s="17"/>
      <c r="S562" s="19"/>
      <c r="T562" s="17"/>
      <c r="U562" s="22"/>
    </row>
    <row r="563" spans="1:21" x14ac:dyDescent="0.25">
      <c r="A563" s="24"/>
      <c r="B563" s="24"/>
      <c r="C563" s="17"/>
      <c r="D563" s="24"/>
      <c r="E563" s="24"/>
      <c r="F563" s="25"/>
      <c r="G563" s="1">
        <v>2125</v>
      </c>
      <c r="H563" s="2">
        <v>104.2</v>
      </c>
      <c r="I563" s="2">
        <v>-14</v>
      </c>
      <c r="J563" s="2">
        <v>-18.8</v>
      </c>
      <c r="K563" s="2">
        <f t="shared" si="73"/>
        <v>-14</v>
      </c>
      <c r="L563" s="8">
        <f t="shared" si="77"/>
        <v>1.5135612484362015E-12</v>
      </c>
      <c r="M563" s="26"/>
      <c r="N563" s="17"/>
      <c r="O563" s="9">
        <f t="shared" si="75"/>
        <v>-18.8</v>
      </c>
      <c r="P563" s="8">
        <f>D560/B560*10^(O563/10)</f>
        <v>1.0282402560739967</v>
      </c>
      <c r="Q563" s="26"/>
      <c r="R563" s="17"/>
      <c r="S563" s="19"/>
      <c r="T563" s="17"/>
      <c r="U563" s="22"/>
    </row>
    <row r="564" spans="1:21" x14ac:dyDescent="0.25">
      <c r="A564" s="24"/>
      <c r="B564" s="24"/>
      <c r="C564" s="17"/>
      <c r="D564" s="24"/>
      <c r="E564" s="24"/>
      <c r="F564" s="25"/>
      <c r="G564" s="1">
        <v>2425</v>
      </c>
      <c r="H564" s="2">
        <v>93.7</v>
      </c>
      <c r="I564" s="2">
        <v>-18.600000000000001</v>
      </c>
      <c r="J564" s="2">
        <v>-19.5</v>
      </c>
      <c r="K564" s="2">
        <f t="shared" si="73"/>
        <v>-18.600000000000001</v>
      </c>
      <c r="L564" s="8">
        <f t="shared" si="77"/>
        <v>5.8884365535558725E-12</v>
      </c>
      <c r="M564" s="26"/>
      <c r="N564" s="17"/>
      <c r="O564" s="9">
        <f t="shared" si="75"/>
        <v>-19.5</v>
      </c>
      <c r="P564" s="8">
        <f>D560/B560*10^(O564/10)</f>
        <v>0.87517439435553146</v>
      </c>
      <c r="Q564" s="26"/>
      <c r="R564" s="17"/>
      <c r="S564" s="19"/>
      <c r="T564" s="17"/>
      <c r="U564" s="22"/>
    </row>
    <row r="565" spans="1:21" x14ac:dyDescent="0.25">
      <c r="A565" s="24"/>
      <c r="B565" s="24"/>
      <c r="C565" s="17"/>
      <c r="D565" s="24"/>
      <c r="E565" s="24"/>
      <c r="F565" s="25"/>
      <c r="G565" s="1">
        <v>2775</v>
      </c>
      <c r="H565" s="2">
        <v>100.2</v>
      </c>
      <c r="I565" s="2">
        <v>-16.899999999999999</v>
      </c>
      <c r="J565" s="2">
        <v>-21</v>
      </c>
      <c r="K565" s="2">
        <f t="shared" si="73"/>
        <v>-16.899999999999999</v>
      </c>
      <c r="L565" s="8">
        <f t="shared" si="77"/>
        <v>1.9498445997580419E-12</v>
      </c>
      <c r="M565" s="26"/>
      <c r="N565" s="17"/>
      <c r="O565" s="9">
        <f t="shared" si="75"/>
        <v>-21</v>
      </c>
      <c r="P565" s="8">
        <f>D560/B560*10^(O565/10)</f>
        <v>0.61957602308493931</v>
      </c>
      <c r="Q565" s="26"/>
      <c r="R565" s="17"/>
      <c r="S565" s="20"/>
      <c r="T565" s="17"/>
      <c r="U565" s="23"/>
    </row>
    <row r="566" spans="1:21" x14ac:dyDescent="0.25">
      <c r="A566" s="24">
        <v>4000</v>
      </c>
      <c r="B566" s="24">
        <v>3</v>
      </c>
      <c r="C566" s="17">
        <v>0.5</v>
      </c>
      <c r="D566" s="24">
        <v>470</v>
      </c>
      <c r="E566" s="24">
        <v>6</v>
      </c>
      <c r="F566" s="25">
        <v>62</v>
      </c>
      <c r="G566" s="1">
        <v>2825</v>
      </c>
      <c r="H566" s="2">
        <v>99.4</v>
      </c>
      <c r="I566" s="2">
        <v>-17.3</v>
      </c>
      <c r="J566" s="2">
        <v>-23.6</v>
      </c>
      <c r="K566" s="2">
        <f t="shared" si="73"/>
        <v>-17.3</v>
      </c>
      <c r="L566" s="8">
        <f t="shared" si="77"/>
        <v>2.1379620895022273E-12</v>
      </c>
      <c r="M566" s="26">
        <f>SUM(L566:L571)</f>
        <v>1.1229412887207965E-11</v>
      </c>
      <c r="N566" s="17">
        <f>10*LOG10(M566/E566)</f>
        <v>-117.27794199955787</v>
      </c>
      <c r="O566" s="9">
        <f t="shared" si="75"/>
        <v>-23.6</v>
      </c>
      <c r="P566" s="8">
        <f>D566/B566*10^(O566/10)</f>
        <v>0.68387480384292565</v>
      </c>
      <c r="Q566" s="26">
        <f>SUM(P566:P571)</f>
        <v>11.959730656952106</v>
      </c>
      <c r="R566" s="17">
        <f>10*LOG10(Q566)</f>
        <v>10.777213990908027</v>
      </c>
      <c r="S566" s="18">
        <f>F566+N566-Kzt-H</f>
        <v>-55.277941999557868</v>
      </c>
      <c r="T566" s="17">
        <v>0.9</v>
      </c>
      <c r="U566" s="21">
        <f>T566*10^((S566-R566)/10)</f>
        <v>2.2321681671725821E-7</v>
      </c>
    </row>
    <row r="567" spans="1:21" x14ac:dyDescent="0.25">
      <c r="A567" s="24"/>
      <c r="B567" s="24"/>
      <c r="C567" s="17"/>
      <c r="D567" s="24"/>
      <c r="E567" s="24"/>
      <c r="F567" s="25"/>
      <c r="G567" s="1">
        <v>3425</v>
      </c>
      <c r="H567" s="2">
        <v>103.5</v>
      </c>
      <c r="I567" s="2">
        <v>-16.100000000000001</v>
      </c>
      <c r="J567" s="2">
        <v>-19.600000000000001</v>
      </c>
      <c r="K567" s="2">
        <f t="shared" si="73"/>
        <v>-16.100000000000001</v>
      </c>
      <c r="L567" s="8">
        <f t="shared" si="77"/>
        <v>1.0964781961431857E-12</v>
      </c>
      <c r="M567" s="26"/>
      <c r="N567" s="17"/>
      <c r="O567" s="9">
        <f t="shared" si="75"/>
        <v>-19.600000000000001</v>
      </c>
      <c r="P567" s="8">
        <f>D566/B566*10^(O567/10)</f>
        <v>1.7178158406243218</v>
      </c>
      <c r="Q567" s="26"/>
      <c r="R567" s="17"/>
      <c r="S567" s="19"/>
      <c r="T567" s="17"/>
      <c r="U567" s="22"/>
    </row>
    <row r="568" spans="1:21" x14ac:dyDescent="0.25">
      <c r="A568" s="24"/>
      <c r="B568" s="24"/>
      <c r="C568" s="17"/>
      <c r="D568" s="24"/>
      <c r="E568" s="24"/>
      <c r="F568" s="25"/>
      <c r="G568" s="1">
        <v>4025</v>
      </c>
      <c r="H568" s="2">
        <v>103.6</v>
      </c>
      <c r="I568" s="2">
        <v>-13.9</v>
      </c>
      <c r="J568" s="2">
        <v>-18.5</v>
      </c>
      <c r="K568" s="2">
        <f t="shared" si="73"/>
        <v>-13.9</v>
      </c>
      <c r="L568" s="8">
        <f t="shared" si="77"/>
        <v>1.7782794100389204E-12</v>
      </c>
      <c r="M568" s="26"/>
      <c r="N568" s="17"/>
      <c r="O568" s="9">
        <f t="shared" si="75"/>
        <v>-18.5</v>
      </c>
      <c r="P568" s="8">
        <f>D566/B566*10^(O568/10)</f>
        <v>2.2129754865756457</v>
      </c>
      <c r="Q568" s="26"/>
      <c r="R568" s="17"/>
      <c r="S568" s="19"/>
      <c r="T568" s="17"/>
      <c r="U568" s="22"/>
    </row>
    <row r="569" spans="1:21" x14ac:dyDescent="0.25">
      <c r="A569" s="24"/>
      <c r="B569" s="24"/>
      <c r="C569" s="17"/>
      <c r="D569" s="24"/>
      <c r="E569" s="24"/>
      <c r="F569" s="25"/>
      <c r="G569" s="1">
        <v>4625</v>
      </c>
      <c r="H569" s="2">
        <v>105.6</v>
      </c>
      <c r="I569" s="2">
        <v>-16.600000000000001</v>
      </c>
      <c r="J569" s="2">
        <v>-17.5</v>
      </c>
      <c r="K569" s="2">
        <f t="shared" si="73"/>
        <v>-16.600000000000001</v>
      </c>
      <c r="L569" s="8">
        <f t="shared" si="77"/>
        <v>6.0255958607435742E-13</v>
      </c>
      <c r="M569" s="26"/>
      <c r="N569" s="17"/>
      <c r="O569" s="9">
        <f t="shared" si="75"/>
        <v>-17.5</v>
      </c>
      <c r="P569" s="8">
        <f>D566/B566*10^(O569/10)</f>
        <v>2.785971075727645</v>
      </c>
      <c r="Q569" s="26"/>
      <c r="R569" s="17"/>
      <c r="S569" s="19"/>
      <c r="T569" s="17"/>
      <c r="U569" s="22"/>
    </row>
    <row r="570" spans="1:21" x14ac:dyDescent="0.25">
      <c r="A570" s="24"/>
      <c r="B570" s="24"/>
      <c r="C570" s="17"/>
      <c r="D570" s="24"/>
      <c r="E570" s="24"/>
      <c r="F570" s="25"/>
      <c r="G570" s="1">
        <v>5225</v>
      </c>
      <c r="H570" s="2">
        <v>103.5</v>
      </c>
      <c r="I570" s="2">
        <v>-14.9</v>
      </c>
      <c r="J570" s="2">
        <v>-18.899999999999999</v>
      </c>
      <c r="K570" s="2">
        <f t="shared" si="73"/>
        <v>-14.9</v>
      </c>
      <c r="L570" s="8">
        <f t="shared" si="77"/>
        <v>1.4454397707459267E-12</v>
      </c>
      <c r="M570" s="26"/>
      <c r="N570" s="17"/>
      <c r="O570" s="9">
        <f t="shared" si="75"/>
        <v>-18.899999999999999</v>
      </c>
      <c r="P570" s="8">
        <f>D566/B566*10^(O570/10)</f>
        <v>2.0182576309859086</v>
      </c>
      <c r="Q570" s="26"/>
      <c r="R570" s="17"/>
      <c r="S570" s="19"/>
      <c r="T570" s="17"/>
      <c r="U570" s="22"/>
    </row>
    <row r="571" spans="1:21" x14ac:dyDescent="0.25">
      <c r="A571" s="24"/>
      <c r="B571" s="24"/>
      <c r="C571" s="17"/>
      <c r="D571" s="24"/>
      <c r="E571" s="24"/>
      <c r="F571" s="25"/>
      <c r="G571" s="1">
        <v>5625</v>
      </c>
      <c r="H571" s="2">
        <v>99.5</v>
      </c>
      <c r="I571" s="2">
        <v>-14.3</v>
      </c>
      <c r="J571" s="2">
        <v>-17.899999999999999</v>
      </c>
      <c r="K571" s="2">
        <f t="shared" si="73"/>
        <v>-14.3</v>
      </c>
      <c r="L571" s="8">
        <f t="shared" si="77"/>
        <v>4.1686938347033479E-12</v>
      </c>
      <c r="M571" s="26"/>
      <c r="N571" s="17"/>
      <c r="O571" s="9">
        <f t="shared" si="75"/>
        <v>-17.899999999999999</v>
      </c>
      <c r="P571" s="8">
        <f>D566/B566*10^(O571/10)</f>
        <v>2.5408358191956579</v>
      </c>
      <c r="Q571" s="26"/>
      <c r="R571" s="17"/>
      <c r="S571" s="20"/>
      <c r="T571" s="17"/>
      <c r="U571" s="23"/>
    </row>
    <row r="572" spans="1:21" x14ac:dyDescent="0.25">
      <c r="A572" s="24">
        <v>8000</v>
      </c>
      <c r="B572" s="24">
        <v>3</v>
      </c>
      <c r="C572" s="17">
        <v>0.5</v>
      </c>
      <c r="D572" s="24">
        <v>943</v>
      </c>
      <c r="E572" s="24">
        <v>6</v>
      </c>
      <c r="F572" s="25">
        <v>54</v>
      </c>
      <c r="G572" s="1">
        <v>6025</v>
      </c>
      <c r="H572" s="2">
        <v>95</v>
      </c>
      <c r="I572" s="2">
        <v>-17.600000000000001</v>
      </c>
      <c r="J572" s="2">
        <v>-21.1</v>
      </c>
      <c r="K572" s="2">
        <f t="shared" si="73"/>
        <v>-17.600000000000001</v>
      </c>
      <c r="L572" s="8">
        <f t="shared" si="77"/>
        <v>5.4954087385762314E-12</v>
      </c>
      <c r="M572" s="26">
        <f>SUM(L572:L577)</f>
        <v>1.8349883300815019E-10</v>
      </c>
      <c r="N572" s="17">
        <f>10*LOG10(M572/E572)</f>
        <v>-105.14517943755931</v>
      </c>
      <c r="O572" s="9">
        <f t="shared" si="75"/>
        <v>-21.1</v>
      </c>
      <c r="P572" s="8">
        <f>D572/B572*10^(O572/10)</f>
        <v>2.4400034366028516</v>
      </c>
      <c r="Q572" s="26">
        <f>SUM(P572:P577)</f>
        <v>22.103267834824297</v>
      </c>
      <c r="R572" s="17">
        <f>10*LOG10(Q572)</f>
        <v>13.444564862514689</v>
      </c>
      <c r="S572" s="18">
        <f>F572+N572-Kzt-H</f>
        <v>-51.145179437559307</v>
      </c>
      <c r="T572" s="17">
        <v>0.7</v>
      </c>
      <c r="U572" s="21">
        <f>T572*10^((S572-R572)/10)</f>
        <v>2.4328963677289872E-7</v>
      </c>
    </row>
    <row r="573" spans="1:21" x14ac:dyDescent="0.25">
      <c r="A573" s="24"/>
      <c r="B573" s="24"/>
      <c r="C573" s="17"/>
      <c r="D573" s="24"/>
      <c r="E573" s="24"/>
      <c r="F573" s="25"/>
      <c r="G573" s="1">
        <v>7025</v>
      </c>
      <c r="H573" s="2">
        <v>94.8</v>
      </c>
      <c r="I573" s="2">
        <v>-14.999999999999998</v>
      </c>
      <c r="J573" s="2">
        <v>-16.899999999999999</v>
      </c>
      <c r="K573" s="2">
        <f t="shared" si="73"/>
        <v>-14.999999999999998</v>
      </c>
      <c r="L573" s="8">
        <f t="shared" si="77"/>
        <v>1.0471285480508978E-11</v>
      </c>
      <c r="M573" s="26"/>
      <c r="N573" s="17"/>
      <c r="O573" s="9">
        <f t="shared" si="75"/>
        <v>-16.899999999999999</v>
      </c>
      <c r="P573" s="8">
        <f>D572/B572*10^(O573/10)</f>
        <v>6.4178629394112185</v>
      </c>
      <c r="Q573" s="26"/>
      <c r="R573" s="17"/>
      <c r="S573" s="19"/>
      <c r="T573" s="17"/>
      <c r="U573" s="22"/>
    </row>
    <row r="574" spans="1:21" x14ac:dyDescent="0.25">
      <c r="A574" s="24"/>
      <c r="B574" s="24"/>
      <c r="C574" s="17"/>
      <c r="D574" s="24"/>
      <c r="E574" s="24"/>
      <c r="F574" s="25"/>
      <c r="G574" s="1">
        <v>8025</v>
      </c>
      <c r="H574" s="2">
        <v>101.9</v>
      </c>
      <c r="I574" s="2">
        <v>-15.4</v>
      </c>
      <c r="J574" s="2">
        <v>-23.8</v>
      </c>
      <c r="K574" s="2">
        <f t="shared" si="73"/>
        <v>-15.4</v>
      </c>
      <c r="L574" s="8">
        <f t="shared" si="77"/>
        <v>1.8620871366628578E-12</v>
      </c>
      <c r="M574" s="26"/>
      <c r="N574" s="17"/>
      <c r="O574" s="9">
        <f t="shared" si="75"/>
        <v>-23.8</v>
      </c>
      <c r="P574" s="8">
        <f>D572/B572*10^(O574/10)</f>
        <v>1.3103594287084204</v>
      </c>
      <c r="Q574" s="26"/>
      <c r="R574" s="17"/>
      <c r="S574" s="19"/>
      <c r="T574" s="17"/>
      <c r="U574" s="22"/>
    </row>
    <row r="575" spans="1:21" x14ac:dyDescent="0.25">
      <c r="A575" s="24"/>
      <c r="B575" s="24"/>
      <c r="C575" s="17"/>
      <c r="D575" s="24"/>
      <c r="E575" s="24"/>
      <c r="F575" s="25"/>
      <c r="G575" s="1">
        <v>9025</v>
      </c>
      <c r="H575" s="2">
        <v>93.2</v>
      </c>
      <c r="I575" s="2">
        <v>-13.4</v>
      </c>
      <c r="J575" s="2">
        <v>-20.100000000000001</v>
      </c>
      <c r="K575" s="2">
        <f t="shared" si="73"/>
        <v>-13.4</v>
      </c>
      <c r="L575" s="8">
        <f t="shared" si="77"/>
        <v>2.1877616239495499E-11</v>
      </c>
      <c r="M575" s="26"/>
      <c r="N575" s="17"/>
      <c r="O575" s="9">
        <f t="shared" si="75"/>
        <v>-20.100000000000001</v>
      </c>
      <c r="P575" s="8">
        <f>D572/B572*10^(O575/10)</f>
        <v>3.0717823312044277</v>
      </c>
      <c r="Q575" s="26"/>
      <c r="R575" s="17"/>
      <c r="S575" s="19"/>
      <c r="T575" s="17"/>
      <c r="U575" s="22"/>
    </row>
    <row r="576" spans="1:21" x14ac:dyDescent="0.25">
      <c r="A576" s="24"/>
      <c r="B576" s="24"/>
      <c r="C576" s="17"/>
      <c r="D576" s="24"/>
      <c r="E576" s="24"/>
      <c r="F576" s="25"/>
      <c r="G576" s="1">
        <v>10025</v>
      </c>
      <c r="H576" s="2">
        <v>88.3</v>
      </c>
      <c r="I576" s="2">
        <v>-17.5</v>
      </c>
      <c r="J576" s="2">
        <v>-20</v>
      </c>
      <c r="K576" s="2">
        <f t="shared" si="73"/>
        <v>-17.5</v>
      </c>
      <c r="L576" s="8">
        <f t="shared" si="77"/>
        <v>2.6302679918953769E-11</v>
      </c>
      <c r="M576" s="26"/>
      <c r="N576" s="17"/>
      <c r="O576" s="9">
        <f t="shared" si="75"/>
        <v>-20</v>
      </c>
      <c r="P576" s="8">
        <f>D572/B572*10^(O576/10)</f>
        <v>3.1433333333333331</v>
      </c>
      <c r="Q576" s="26"/>
      <c r="R576" s="17"/>
      <c r="S576" s="19"/>
      <c r="T576" s="17"/>
      <c r="U576" s="22"/>
    </row>
    <row r="577" spans="1:21" x14ac:dyDescent="0.25">
      <c r="A577" s="24"/>
      <c r="B577" s="24"/>
      <c r="C577" s="17"/>
      <c r="D577" s="24"/>
      <c r="E577" s="24"/>
      <c r="F577" s="25"/>
      <c r="G577" s="1">
        <v>11025</v>
      </c>
      <c r="H577" s="2">
        <v>86</v>
      </c>
      <c r="I577" s="2">
        <v>-13.3</v>
      </c>
      <c r="J577" s="2">
        <v>-17.399999999999999</v>
      </c>
      <c r="K577" s="2">
        <f t="shared" si="73"/>
        <v>-13.3</v>
      </c>
      <c r="L577" s="8">
        <f t="shared" si="77"/>
        <v>1.1748975549395284E-10</v>
      </c>
      <c r="M577" s="26"/>
      <c r="N577" s="17"/>
      <c r="O577" s="9">
        <f t="shared" si="75"/>
        <v>-17.399999999999999</v>
      </c>
      <c r="P577" s="8">
        <f>D572/B572*10^(O577/10)</f>
        <v>5.7199263655640458</v>
      </c>
      <c r="Q577" s="26"/>
      <c r="R577" s="17"/>
      <c r="S577" s="20"/>
      <c r="T577" s="17"/>
      <c r="U577" s="23"/>
    </row>
    <row r="578" spans="1:21" x14ac:dyDescent="0.25">
      <c r="A578" s="24" t="s">
        <v>20</v>
      </c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12">
        <f>U578</f>
        <v>7.1696187680736836E-2</v>
      </c>
      <c r="T578" s="2"/>
      <c r="U578" s="8">
        <f>0.8*SQRT(SUM(U544:U577))</f>
        <v>7.1696187680736836E-2</v>
      </c>
    </row>
    <row r="579" spans="1:21" x14ac:dyDescent="0.25">
      <c r="A579" s="27" t="s">
        <v>68</v>
      </c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9"/>
    </row>
    <row r="580" spans="1:21" x14ac:dyDescent="0.25">
      <c r="A580" s="24">
        <v>250</v>
      </c>
      <c r="B580" s="24">
        <v>3</v>
      </c>
      <c r="C580" s="17">
        <v>0.5</v>
      </c>
      <c r="D580" s="24">
        <v>38</v>
      </c>
      <c r="E580" s="24">
        <v>4</v>
      </c>
      <c r="F580" s="25">
        <v>84</v>
      </c>
      <c r="G580" s="1">
        <v>175</v>
      </c>
      <c r="H580" s="2">
        <v>84.8</v>
      </c>
      <c r="I580" s="2">
        <v>-15</v>
      </c>
      <c r="J580" s="2">
        <v>-19.3</v>
      </c>
      <c r="K580" s="2">
        <f>I580</f>
        <v>-15</v>
      </c>
      <c r="L580" s="8">
        <f>10^((K580-H580)/10)</f>
        <v>1.0471285480508951E-10</v>
      </c>
      <c r="M580" s="26">
        <f>SUM(L580:L583)</f>
        <v>1.7324595368647066E-10</v>
      </c>
      <c r="N580" s="17">
        <f>10*LOG10(M580/E580)</f>
        <v>-103.63396891260045</v>
      </c>
      <c r="O580" s="9">
        <f>J580</f>
        <v>-19.3</v>
      </c>
      <c r="P580" s="8">
        <f>D580/B580*10^(O580/10)</f>
        <v>0.14882035695900692</v>
      </c>
      <c r="Q580" s="26">
        <f>SUM(P580:P583)</f>
        <v>0.58851832262310033</v>
      </c>
      <c r="R580" s="17">
        <f>10*LOG10(Q580)</f>
        <v>-2.3024001151173739</v>
      </c>
      <c r="S580" s="18">
        <f>F580+N580-Kzt-H</f>
        <v>-19.633968912600452</v>
      </c>
      <c r="T580" s="17">
        <v>0.2</v>
      </c>
      <c r="U580" s="21">
        <f>T580*10^((S580-R580)/10)</f>
        <v>3.6972014604350445E-3</v>
      </c>
    </row>
    <row r="581" spans="1:21" x14ac:dyDescent="0.25">
      <c r="A581" s="24"/>
      <c r="B581" s="24"/>
      <c r="C581" s="17"/>
      <c r="D581" s="24"/>
      <c r="E581" s="24"/>
      <c r="F581" s="25"/>
      <c r="G581" s="1">
        <v>225</v>
      </c>
      <c r="H581" s="2">
        <v>90</v>
      </c>
      <c r="I581" s="2">
        <v>-14.3</v>
      </c>
      <c r="J581" s="2">
        <v>-18.3</v>
      </c>
      <c r="K581" s="2">
        <f t="shared" ref="K581:K613" si="78">I581</f>
        <v>-14.3</v>
      </c>
      <c r="L581" s="8">
        <f t="shared" ref="L581:L582" si="79">10^((K581-H581)/10)</f>
        <v>3.7153522909717256E-11</v>
      </c>
      <c r="M581" s="26"/>
      <c r="N581" s="17"/>
      <c r="O581" s="9">
        <f t="shared" ref="O581:O613" si="80">J581</f>
        <v>-18.3</v>
      </c>
      <c r="P581" s="8">
        <f>D580/B580*10^(O581/10)</f>
        <v>0.18735372916797288</v>
      </c>
      <c r="Q581" s="26"/>
      <c r="R581" s="17"/>
      <c r="S581" s="19"/>
      <c r="T581" s="17"/>
      <c r="U581" s="22"/>
    </row>
    <row r="582" spans="1:21" x14ac:dyDescent="0.25">
      <c r="A582" s="24"/>
      <c r="B582" s="24"/>
      <c r="C582" s="17"/>
      <c r="D582" s="24"/>
      <c r="E582" s="24"/>
      <c r="F582" s="25"/>
      <c r="G582" s="1">
        <v>275</v>
      </c>
      <c r="H582" s="2">
        <v>92.2</v>
      </c>
      <c r="I582" s="2">
        <v>-16.600000000000001</v>
      </c>
      <c r="J582" s="2">
        <v>-23.2</v>
      </c>
      <c r="K582" s="2">
        <f t="shared" si="78"/>
        <v>-16.600000000000001</v>
      </c>
      <c r="L582" s="8">
        <f t="shared" si="79"/>
        <v>1.3182567385564036E-11</v>
      </c>
      <c r="M582" s="26"/>
      <c r="N582" s="17"/>
      <c r="O582" s="9">
        <f t="shared" si="80"/>
        <v>-23.2</v>
      </c>
      <c r="P582" s="8">
        <f>D580/B580*10^(O582/10)</f>
        <v>6.0626478360867521E-2</v>
      </c>
      <c r="Q582" s="26"/>
      <c r="R582" s="17"/>
      <c r="S582" s="19"/>
      <c r="T582" s="17"/>
      <c r="U582" s="22"/>
    </row>
    <row r="583" spans="1:21" x14ac:dyDescent="0.25">
      <c r="A583" s="24"/>
      <c r="B583" s="24"/>
      <c r="C583" s="17"/>
      <c r="D583" s="24"/>
      <c r="E583" s="24"/>
      <c r="F583" s="25"/>
      <c r="G583" s="1">
        <v>325</v>
      </c>
      <c r="H583" s="2">
        <v>93.3</v>
      </c>
      <c r="I583" s="2">
        <v>-14.1</v>
      </c>
      <c r="J583" s="2">
        <v>-18.2</v>
      </c>
      <c r="K583" s="2">
        <f t="shared" si="78"/>
        <v>-14.1</v>
      </c>
      <c r="L583" s="8">
        <f>10^((K583-H583)/10)</f>
        <v>1.8197008586099825E-11</v>
      </c>
      <c r="M583" s="26"/>
      <c r="N583" s="17"/>
      <c r="O583" s="9">
        <f t="shared" si="80"/>
        <v>-18.2</v>
      </c>
      <c r="P583" s="8">
        <f>D580/B580*10^(O583/10)</f>
        <v>0.19171775813525296</v>
      </c>
      <c r="Q583" s="26"/>
      <c r="R583" s="17"/>
      <c r="S583" s="20"/>
      <c r="T583" s="17"/>
      <c r="U583" s="23"/>
    </row>
    <row r="584" spans="1:21" x14ac:dyDescent="0.25">
      <c r="A584" s="24">
        <v>500</v>
      </c>
      <c r="B584" s="24">
        <v>3</v>
      </c>
      <c r="C584" s="17">
        <v>0.5</v>
      </c>
      <c r="D584" s="24">
        <v>59</v>
      </c>
      <c r="E584" s="24">
        <v>6</v>
      </c>
      <c r="F584" s="25">
        <v>84</v>
      </c>
      <c r="G584" s="1">
        <v>375</v>
      </c>
      <c r="H584" s="2">
        <v>91.9</v>
      </c>
      <c r="I584" s="2">
        <v>-16.8</v>
      </c>
      <c r="J584" s="2">
        <v>-18</v>
      </c>
      <c r="K584" s="2">
        <f t="shared" si="78"/>
        <v>-16.8</v>
      </c>
      <c r="L584" s="8">
        <f t="shared" ref="L584:L585" si="81">10^((K584-H584)/10)</f>
        <v>1.348962882591645E-11</v>
      </c>
      <c r="M584" s="26">
        <f>SUM(L584:L589)</f>
        <v>2.1352285915689445E-10</v>
      </c>
      <c r="N584" s="17">
        <f>10*LOG10(M584/E584)</f>
        <v>-104.4870687418761</v>
      </c>
      <c r="O584" s="9">
        <f t="shared" si="80"/>
        <v>-18</v>
      </c>
      <c r="P584" s="8">
        <f>D584/B584*10^(O584/10)</f>
        <v>0.31169566118401881</v>
      </c>
      <c r="Q584" s="26">
        <f>SUM(P584:P589)</f>
        <v>1.5020992857747062</v>
      </c>
      <c r="R584" s="17">
        <f>10*LOG10(Q584)</f>
        <v>1.766986396182203</v>
      </c>
      <c r="S584" s="18">
        <f>F584+N584-Kzt-H</f>
        <v>-20.487068741876101</v>
      </c>
      <c r="T584" s="17">
        <v>0.5</v>
      </c>
      <c r="U584" s="21">
        <f>T584*10^((S584-R584)/10)</f>
        <v>2.9755310773654721E-3</v>
      </c>
    </row>
    <row r="585" spans="1:21" x14ac:dyDescent="0.25">
      <c r="A585" s="24"/>
      <c r="B585" s="24"/>
      <c r="C585" s="17"/>
      <c r="D585" s="24"/>
      <c r="E585" s="24"/>
      <c r="F585" s="25"/>
      <c r="G585" s="1">
        <v>425</v>
      </c>
      <c r="H585" s="2">
        <v>88.1</v>
      </c>
      <c r="I585" s="2">
        <v>-14.2</v>
      </c>
      <c r="J585" s="2">
        <v>-19.100000000000001</v>
      </c>
      <c r="K585" s="2">
        <f t="shared" si="78"/>
        <v>-14.2</v>
      </c>
      <c r="L585" s="8">
        <f t="shared" si="81"/>
        <v>5.8884365535558786E-11</v>
      </c>
      <c r="M585" s="26"/>
      <c r="N585" s="17"/>
      <c r="O585" s="9">
        <f t="shared" si="80"/>
        <v>-19.100000000000001</v>
      </c>
      <c r="P585" s="8">
        <f>D584/B584*10^(O585/10)</f>
        <v>0.24195285825976826</v>
      </c>
      <c r="Q585" s="26"/>
      <c r="R585" s="17"/>
      <c r="S585" s="19"/>
      <c r="T585" s="17"/>
      <c r="U585" s="22"/>
    </row>
    <row r="586" spans="1:21" x14ac:dyDescent="0.25">
      <c r="A586" s="24"/>
      <c r="B586" s="24"/>
      <c r="C586" s="17"/>
      <c r="D586" s="24"/>
      <c r="E586" s="24"/>
      <c r="F586" s="25"/>
      <c r="G586" s="1">
        <v>475</v>
      </c>
      <c r="H586" s="2">
        <v>90</v>
      </c>
      <c r="I586" s="2">
        <v>-10.4</v>
      </c>
      <c r="J586" s="2">
        <v>-20.7</v>
      </c>
      <c r="K586" s="2">
        <f t="shared" si="78"/>
        <v>-10.4</v>
      </c>
      <c r="L586" s="8">
        <f>10^((K586-H586)/10)</f>
        <v>9.1201083935590649E-11</v>
      </c>
      <c r="M586" s="26"/>
      <c r="N586" s="17"/>
      <c r="O586" s="9">
        <f t="shared" si="80"/>
        <v>-20.7</v>
      </c>
      <c r="P586" s="8">
        <f>D584/B584*10^(O586/10)</f>
        <v>0.16739048084646743</v>
      </c>
      <c r="Q586" s="26"/>
      <c r="R586" s="17"/>
      <c r="S586" s="19"/>
      <c r="T586" s="17"/>
      <c r="U586" s="22"/>
    </row>
    <row r="587" spans="1:21" x14ac:dyDescent="0.25">
      <c r="A587" s="24"/>
      <c r="B587" s="24"/>
      <c r="C587" s="17"/>
      <c r="D587" s="24"/>
      <c r="E587" s="24"/>
      <c r="F587" s="25"/>
      <c r="G587" s="1">
        <v>575</v>
      </c>
      <c r="H587" s="2">
        <v>97</v>
      </c>
      <c r="I587" s="2">
        <v>-12.8</v>
      </c>
      <c r="J587" s="2">
        <v>-20.2</v>
      </c>
      <c r="K587" s="2">
        <f t="shared" si="78"/>
        <v>-12.8</v>
      </c>
      <c r="L587" s="8">
        <f t="shared" ref="L587:L613" si="82">10^((K587-H587)/10)</f>
        <v>1.0471285480508978E-11</v>
      </c>
      <c r="M587" s="26"/>
      <c r="N587" s="17"/>
      <c r="O587" s="9">
        <f t="shared" si="80"/>
        <v>-20.2</v>
      </c>
      <c r="P587" s="8">
        <f>D584/B584*10^(O587/10)</f>
        <v>0.18781520858421571</v>
      </c>
      <c r="Q587" s="26"/>
      <c r="R587" s="17"/>
      <c r="S587" s="19"/>
      <c r="T587" s="17"/>
      <c r="U587" s="22"/>
    </row>
    <row r="588" spans="1:21" x14ac:dyDescent="0.25">
      <c r="A588" s="24"/>
      <c r="B588" s="24"/>
      <c r="C588" s="17"/>
      <c r="D588" s="24"/>
      <c r="E588" s="24"/>
      <c r="F588" s="25"/>
      <c r="G588" s="1">
        <v>625</v>
      </c>
      <c r="H588" s="2">
        <v>92</v>
      </c>
      <c r="I588" s="2">
        <v>-14.2</v>
      </c>
      <c r="J588" s="2">
        <v>-18.8</v>
      </c>
      <c r="K588" s="2">
        <f t="shared" si="78"/>
        <v>-14.2</v>
      </c>
      <c r="L588" s="8">
        <f t="shared" si="82"/>
        <v>2.3988329190194783E-11</v>
      </c>
      <c r="M588" s="26"/>
      <c r="N588" s="17"/>
      <c r="O588" s="9">
        <f t="shared" si="80"/>
        <v>-18.8</v>
      </c>
      <c r="P588" s="8">
        <f>D584/B584*10^(O588/10)</f>
        <v>0.25925715858275988</v>
      </c>
      <c r="Q588" s="26"/>
      <c r="R588" s="17"/>
      <c r="S588" s="19"/>
      <c r="T588" s="17"/>
      <c r="U588" s="22"/>
    </row>
    <row r="589" spans="1:21" x14ac:dyDescent="0.25">
      <c r="A589" s="24"/>
      <c r="B589" s="24"/>
      <c r="C589" s="17"/>
      <c r="D589" s="24"/>
      <c r="E589" s="24"/>
      <c r="F589" s="25"/>
      <c r="G589" s="1">
        <v>675</v>
      </c>
      <c r="H589" s="2">
        <v>94.5</v>
      </c>
      <c r="I589" s="2">
        <v>-13.6</v>
      </c>
      <c r="J589" s="2">
        <v>-17.7</v>
      </c>
      <c r="K589" s="2">
        <f t="shared" si="78"/>
        <v>-13.6</v>
      </c>
      <c r="L589" s="8">
        <f t="shared" si="82"/>
        <v>1.5488166189124818E-11</v>
      </c>
      <c r="M589" s="26"/>
      <c r="N589" s="17"/>
      <c r="O589" s="9">
        <f t="shared" si="80"/>
        <v>-17.7</v>
      </c>
      <c r="P589" s="8">
        <f>D584/B584*10^(O589/10)</f>
        <v>0.33398791831747615</v>
      </c>
      <c r="Q589" s="26"/>
      <c r="R589" s="17"/>
      <c r="S589" s="20"/>
      <c r="T589" s="17"/>
      <c r="U589" s="23"/>
    </row>
    <row r="590" spans="1:21" x14ac:dyDescent="0.25">
      <c r="A590" s="24">
        <v>1000</v>
      </c>
      <c r="B590" s="24">
        <v>3</v>
      </c>
      <c r="C590" s="17">
        <v>0.5</v>
      </c>
      <c r="D590" s="24">
        <v>117</v>
      </c>
      <c r="E590" s="24">
        <v>6</v>
      </c>
      <c r="F590" s="25">
        <v>76</v>
      </c>
      <c r="G590" s="1">
        <v>875</v>
      </c>
      <c r="H590" s="2">
        <v>91.1</v>
      </c>
      <c r="I590" s="2">
        <v>-18.600000000000001</v>
      </c>
      <c r="J590" s="2">
        <v>-22.4</v>
      </c>
      <c r="K590" s="2">
        <f t="shared" si="78"/>
        <v>-18.600000000000001</v>
      </c>
      <c r="L590" s="8">
        <f t="shared" si="82"/>
        <v>1.0715193052376083E-11</v>
      </c>
      <c r="M590" s="26">
        <f>SUM(L590:L595)</f>
        <v>4.5262780528154649E-11</v>
      </c>
      <c r="N590" s="17">
        <f>10*LOG10(M590/E590)</f>
        <v>-111.2241002089435</v>
      </c>
      <c r="O590" s="9">
        <f t="shared" si="80"/>
        <v>-22.4</v>
      </c>
      <c r="P590" s="8">
        <f>D590/B590*10^(O590/10)</f>
        <v>0.22442157556149123</v>
      </c>
      <c r="Q590" s="26">
        <f>SUM(P590:P595)</f>
        <v>2.719216178901144</v>
      </c>
      <c r="R590" s="17">
        <f>10*LOG10(Q590)</f>
        <v>4.3444373556536329</v>
      </c>
      <c r="S590" s="18">
        <f>F590+N590-Kzt-H</f>
        <v>-35.224100208943497</v>
      </c>
      <c r="T590" s="17">
        <v>0.8</v>
      </c>
      <c r="U590" s="21">
        <f>T590*10^((S590-R590)/10)</f>
        <v>8.8356037435902406E-5</v>
      </c>
    </row>
    <row r="591" spans="1:21" x14ac:dyDescent="0.25">
      <c r="A591" s="24"/>
      <c r="B591" s="24"/>
      <c r="C591" s="17"/>
      <c r="D591" s="24"/>
      <c r="E591" s="24"/>
      <c r="F591" s="25"/>
      <c r="G591" s="1">
        <v>975</v>
      </c>
      <c r="H591" s="2">
        <v>96.5</v>
      </c>
      <c r="I591" s="2">
        <v>-11.4</v>
      </c>
      <c r="J591" s="2">
        <v>-18.3</v>
      </c>
      <c r="K591" s="2">
        <f t="shared" si="78"/>
        <v>-11.4</v>
      </c>
      <c r="L591" s="8">
        <f t="shared" si="82"/>
        <v>1.6218100973589243E-11</v>
      </c>
      <c r="M591" s="26"/>
      <c r="N591" s="17"/>
      <c r="O591" s="9">
        <f t="shared" si="80"/>
        <v>-18.3</v>
      </c>
      <c r="P591" s="8">
        <f>D590/B590*10^(O591/10)</f>
        <v>0.5768522713856008</v>
      </c>
      <c r="Q591" s="26"/>
      <c r="R591" s="17"/>
      <c r="S591" s="19"/>
      <c r="T591" s="17"/>
      <c r="U591" s="22"/>
    </row>
    <row r="592" spans="1:21" x14ac:dyDescent="0.25">
      <c r="A592" s="24"/>
      <c r="B592" s="24"/>
      <c r="C592" s="17"/>
      <c r="D592" s="24"/>
      <c r="E592" s="24"/>
      <c r="F592" s="25"/>
      <c r="G592" s="1">
        <v>1075</v>
      </c>
      <c r="H592" s="2">
        <v>94.6</v>
      </c>
      <c r="I592" s="2">
        <v>-15.6</v>
      </c>
      <c r="J592" s="2">
        <v>-17.5</v>
      </c>
      <c r="K592" s="2">
        <f t="shared" si="78"/>
        <v>-15.6</v>
      </c>
      <c r="L592" s="8">
        <f t="shared" si="82"/>
        <v>9.5499258602143472E-12</v>
      </c>
      <c r="M592" s="26"/>
      <c r="N592" s="17"/>
      <c r="O592" s="9">
        <f t="shared" si="80"/>
        <v>-17.5</v>
      </c>
      <c r="P592" s="8">
        <f>D590/B590*10^(O592/10)</f>
        <v>0.69352896991517976</v>
      </c>
      <c r="Q592" s="26"/>
      <c r="R592" s="17"/>
      <c r="S592" s="19"/>
      <c r="T592" s="17"/>
      <c r="U592" s="22"/>
    </row>
    <row r="593" spans="1:21" x14ac:dyDescent="0.25">
      <c r="A593" s="24"/>
      <c r="B593" s="24"/>
      <c r="C593" s="17"/>
      <c r="D593" s="24"/>
      <c r="E593" s="24"/>
      <c r="F593" s="25"/>
      <c r="G593" s="1">
        <v>1175</v>
      </c>
      <c r="H593" s="2">
        <v>97.8</v>
      </c>
      <c r="I593" s="2">
        <v>-15.6</v>
      </c>
      <c r="J593" s="2">
        <v>-19</v>
      </c>
      <c r="K593" s="2">
        <f t="shared" si="78"/>
        <v>-15.6</v>
      </c>
      <c r="L593" s="8">
        <f t="shared" si="82"/>
        <v>4.5708818961487419E-12</v>
      </c>
      <c r="M593" s="26"/>
      <c r="N593" s="17"/>
      <c r="O593" s="9">
        <f t="shared" si="80"/>
        <v>-19</v>
      </c>
      <c r="P593" s="8">
        <f>D590/B590*10^(O593/10)</f>
        <v>0.49098091059972493</v>
      </c>
      <c r="Q593" s="26"/>
      <c r="R593" s="17"/>
      <c r="S593" s="19"/>
      <c r="T593" s="17"/>
      <c r="U593" s="22"/>
    </row>
    <row r="594" spans="1:21" x14ac:dyDescent="0.25">
      <c r="A594" s="24"/>
      <c r="B594" s="24"/>
      <c r="C594" s="17"/>
      <c r="D594" s="24"/>
      <c r="E594" s="24"/>
      <c r="F594" s="25"/>
      <c r="G594" s="1">
        <v>1275</v>
      </c>
      <c r="H594" s="2">
        <v>100.1</v>
      </c>
      <c r="I594" s="2">
        <v>-14.5</v>
      </c>
      <c r="J594" s="2">
        <v>-21.2</v>
      </c>
      <c r="K594" s="2">
        <f t="shared" si="78"/>
        <v>-14.5</v>
      </c>
      <c r="L594" s="8">
        <f t="shared" si="82"/>
        <v>3.4673685045253144E-12</v>
      </c>
      <c r="M594" s="26"/>
      <c r="N594" s="17"/>
      <c r="O594" s="9">
        <f t="shared" si="80"/>
        <v>-21.2</v>
      </c>
      <c r="P594" s="8">
        <f>D590/B590*10^(O594/10)</f>
        <v>0.29584525426138136</v>
      </c>
      <c r="Q594" s="26"/>
      <c r="R594" s="17"/>
      <c r="S594" s="19"/>
      <c r="T594" s="17"/>
      <c r="U594" s="22"/>
    </row>
    <row r="595" spans="1:21" x14ac:dyDescent="0.25">
      <c r="A595" s="24"/>
      <c r="B595" s="24"/>
      <c r="C595" s="17"/>
      <c r="D595" s="24"/>
      <c r="E595" s="24"/>
      <c r="F595" s="25"/>
      <c r="G595" s="1">
        <v>1375</v>
      </c>
      <c r="H595" s="2">
        <v>103</v>
      </c>
      <c r="I595" s="2">
        <v>-18.3</v>
      </c>
      <c r="J595" s="2">
        <v>-19.5</v>
      </c>
      <c r="K595" s="2">
        <f t="shared" si="78"/>
        <v>-18.3</v>
      </c>
      <c r="L595" s="8">
        <f t="shared" si="82"/>
        <v>7.4131024130091646E-13</v>
      </c>
      <c r="M595" s="26"/>
      <c r="N595" s="17"/>
      <c r="O595" s="9">
        <f t="shared" si="80"/>
        <v>-19.5</v>
      </c>
      <c r="P595" s="8">
        <f>D590/B590*10^(O595/10)</f>
        <v>0.43758719717776573</v>
      </c>
      <c r="Q595" s="26"/>
      <c r="R595" s="17"/>
      <c r="S595" s="20"/>
      <c r="T595" s="17"/>
      <c r="U595" s="23"/>
    </row>
    <row r="596" spans="1:21" x14ac:dyDescent="0.25">
      <c r="A596" s="24">
        <v>2000</v>
      </c>
      <c r="B596" s="24">
        <v>3</v>
      </c>
      <c r="C596" s="17">
        <v>0.5</v>
      </c>
      <c r="D596" s="24">
        <v>234</v>
      </c>
      <c r="E596" s="24">
        <v>6</v>
      </c>
      <c r="F596" s="25">
        <v>68</v>
      </c>
      <c r="G596" s="1">
        <v>1425</v>
      </c>
      <c r="H596" s="2">
        <v>102.8</v>
      </c>
      <c r="I596" s="2">
        <v>-14.8</v>
      </c>
      <c r="J596" s="2">
        <v>-18.399999999999999</v>
      </c>
      <c r="K596" s="2">
        <f t="shared" si="78"/>
        <v>-14.8</v>
      </c>
      <c r="L596" s="8">
        <f t="shared" si="82"/>
        <v>1.737800828749373E-12</v>
      </c>
      <c r="M596" s="26">
        <f>SUM(L596:L601)</f>
        <v>1.0918101815346481E-11</v>
      </c>
      <c r="N596" s="17">
        <f>10*LOG10(M596/E596)</f>
        <v>-117.40004110437792</v>
      </c>
      <c r="O596" s="9">
        <f t="shared" si="80"/>
        <v>-18.399999999999999</v>
      </c>
      <c r="P596" s="8">
        <f>D596/B596*10^(O596/10)</f>
        <v>1.1274430211818232</v>
      </c>
      <c r="Q596" s="26">
        <f>SUM(P596:P601)</f>
        <v>4.7146955183218076</v>
      </c>
      <c r="R596" s="17">
        <f>10*LOG10(Q596)</f>
        <v>6.7345365062954237</v>
      </c>
      <c r="S596" s="18">
        <f>F596+N596-Kzt-H</f>
        <v>-49.40004110437792</v>
      </c>
      <c r="T596" s="17">
        <v>1</v>
      </c>
      <c r="U596" s="21">
        <f>T596*10^((S596-R596)/10)</f>
        <v>2.4352426370570315E-6</v>
      </c>
    </row>
    <row r="597" spans="1:21" x14ac:dyDescent="0.25">
      <c r="A597" s="24"/>
      <c r="B597" s="24"/>
      <c r="C597" s="17"/>
      <c r="D597" s="24"/>
      <c r="E597" s="24"/>
      <c r="F597" s="25"/>
      <c r="G597" s="1">
        <v>1625</v>
      </c>
      <c r="H597" s="2">
        <v>104.1</v>
      </c>
      <c r="I597" s="2">
        <v>-13.9</v>
      </c>
      <c r="J597" s="2">
        <v>-20.2</v>
      </c>
      <c r="K597" s="2">
        <f t="shared" si="78"/>
        <v>-13.9</v>
      </c>
      <c r="L597" s="8">
        <f t="shared" si="82"/>
        <v>1.5848931924611065E-12</v>
      </c>
      <c r="M597" s="26"/>
      <c r="N597" s="17"/>
      <c r="O597" s="9">
        <f t="shared" si="80"/>
        <v>-20.2</v>
      </c>
      <c r="P597" s="8">
        <f>D596/B596*10^(O597/10)</f>
        <v>0.74489421709671988</v>
      </c>
      <c r="Q597" s="26"/>
      <c r="R597" s="17"/>
      <c r="S597" s="19"/>
      <c r="T597" s="17"/>
      <c r="U597" s="22"/>
    </row>
    <row r="598" spans="1:21" x14ac:dyDescent="0.25">
      <c r="A598" s="24"/>
      <c r="B598" s="24"/>
      <c r="C598" s="17"/>
      <c r="D598" s="24"/>
      <c r="E598" s="24"/>
      <c r="F598" s="25"/>
      <c r="G598" s="1">
        <v>1825</v>
      </c>
      <c r="H598" s="2">
        <v>107.6</v>
      </c>
      <c r="I598" s="2">
        <v>-17.100000000000001</v>
      </c>
      <c r="J598" s="2">
        <v>-21.6</v>
      </c>
      <c r="K598" s="2">
        <f t="shared" si="78"/>
        <v>-17.100000000000001</v>
      </c>
      <c r="L598" s="8">
        <f t="shared" si="82"/>
        <v>3.38844156139202E-13</v>
      </c>
      <c r="M598" s="26"/>
      <c r="N598" s="17"/>
      <c r="O598" s="9">
        <f t="shared" si="80"/>
        <v>-21.6</v>
      </c>
      <c r="P598" s="8">
        <f>D596/B596*10^(O598/10)</f>
        <v>0.53962815731677005</v>
      </c>
      <c r="Q598" s="26"/>
      <c r="R598" s="17"/>
      <c r="S598" s="19"/>
      <c r="T598" s="17"/>
      <c r="U598" s="22"/>
    </row>
    <row r="599" spans="1:21" x14ac:dyDescent="0.25">
      <c r="A599" s="24"/>
      <c r="B599" s="24"/>
      <c r="C599" s="17"/>
      <c r="D599" s="24"/>
      <c r="E599" s="24"/>
      <c r="F599" s="25"/>
      <c r="G599" s="1">
        <v>2125</v>
      </c>
      <c r="H599" s="2">
        <v>104.2</v>
      </c>
      <c r="I599" s="2">
        <v>-15.4</v>
      </c>
      <c r="J599" s="2">
        <v>-18.899999999999999</v>
      </c>
      <c r="K599" s="2">
        <f t="shared" si="78"/>
        <v>-15.4</v>
      </c>
      <c r="L599" s="8">
        <f t="shared" si="82"/>
        <v>1.0964781961431817E-12</v>
      </c>
      <c r="M599" s="26"/>
      <c r="N599" s="17"/>
      <c r="O599" s="9">
        <f t="shared" si="80"/>
        <v>-18.899999999999999</v>
      </c>
      <c r="P599" s="8">
        <f>D596/B596*10^(O599/10)</f>
        <v>1.0048346503206438</v>
      </c>
      <c r="Q599" s="26"/>
      <c r="R599" s="17"/>
      <c r="S599" s="19"/>
      <c r="T599" s="17"/>
      <c r="U599" s="22"/>
    </row>
    <row r="600" spans="1:21" x14ac:dyDescent="0.25">
      <c r="A600" s="24"/>
      <c r="B600" s="24"/>
      <c r="C600" s="17"/>
      <c r="D600" s="24"/>
      <c r="E600" s="24"/>
      <c r="F600" s="25"/>
      <c r="G600" s="1">
        <v>2425</v>
      </c>
      <c r="H600" s="2">
        <v>93.7</v>
      </c>
      <c r="I600" s="2">
        <v>-19.099999999999998</v>
      </c>
      <c r="J600" s="2">
        <v>-20.9</v>
      </c>
      <c r="K600" s="2">
        <f t="shared" si="78"/>
        <v>-19.099999999999998</v>
      </c>
      <c r="L600" s="8">
        <f t="shared" si="82"/>
        <v>5.2480746024977136E-12</v>
      </c>
      <c r="M600" s="26"/>
      <c r="N600" s="17"/>
      <c r="O600" s="9">
        <f t="shared" si="80"/>
        <v>-20.9</v>
      </c>
      <c r="P600" s="8">
        <f>D596/B596*10^(O600/10)</f>
        <v>0.63400780260799716</v>
      </c>
      <c r="Q600" s="26"/>
      <c r="R600" s="17"/>
      <c r="S600" s="19"/>
      <c r="T600" s="17"/>
      <c r="U600" s="22"/>
    </row>
    <row r="601" spans="1:21" x14ac:dyDescent="0.25">
      <c r="A601" s="24"/>
      <c r="B601" s="24"/>
      <c r="C601" s="17"/>
      <c r="D601" s="24"/>
      <c r="E601" s="24"/>
      <c r="F601" s="25"/>
      <c r="G601" s="1">
        <v>2775</v>
      </c>
      <c r="H601" s="2">
        <v>100.2</v>
      </c>
      <c r="I601" s="2">
        <v>-20.2</v>
      </c>
      <c r="J601" s="2">
        <v>-20.7</v>
      </c>
      <c r="K601" s="2">
        <f t="shared" si="78"/>
        <v>-20.2</v>
      </c>
      <c r="L601" s="8">
        <f t="shared" si="82"/>
        <v>9.1201083935590446E-13</v>
      </c>
      <c r="M601" s="26"/>
      <c r="N601" s="17"/>
      <c r="O601" s="9">
        <f t="shared" si="80"/>
        <v>-20.7</v>
      </c>
      <c r="P601" s="8">
        <f>D596/B596*10^(O601/10)</f>
        <v>0.66388766979785385</v>
      </c>
      <c r="Q601" s="26"/>
      <c r="R601" s="17"/>
      <c r="S601" s="20"/>
      <c r="T601" s="17"/>
      <c r="U601" s="23"/>
    </row>
    <row r="602" spans="1:21" x14ac:dyDescent="0.25">
      <c r="A602" s="24">
        <v>4000</v>
      </c>
      <c r="B602" s="24">
        <v>3</v>
      </c>
      <c r="C602" s="17">
        <v>0.5</v>
      </c>
      <c r="D602" s="24">
        <v>470</v>
      </c>
      <c r="E602" s="24">
        <v>6</v>
      </c>
      <c r="F602" s="25">
        <v>62</v>
      </c>
      <c r="G602" s="1">
        <v>2825</v>
      </c>
      <c r="H602" s="2">
        <v>99.4</v>
      </c>
      <c r="I602" s="2">
        <v>-14.8</v>
      </c>
      <c r="J602" s="2">
        <v>-15.8</v>
      </c>
      <c r="K602" s="2">
        <f t="shared" si="78"/>
        <v>-14.8</v>
      </c>
      <c r="L602" s="8">
        <f t="shared" si="82"/>
        <v>3.8018939632056084E-12</v>
      </c>
      <c r="M602" s="26">
        <f>SUM(L602:L607)</f>
        <v>1.241745025253981E-11</v>
      </c>
      <c r="N602" s="17">
        <f>10*LOG10(M602/E602)</f>
        <v>-116.84118821606918</v>
      </c>
      <c r="O602" s="9">
        <f t="shared" si="80"/>
        <v>-15.8</v>
      </c>
      <c r="P602" s="8">
        <f>D602/B602*10^(O602/10)</f>
        <v>4.1207531873027623</v>
      </c>
      <c r="Q602" s="26">
        <f>SUM(P602:P607)</f>
        <v>11.150254617552701</v>
      </c>
      <c r="R602" s="17">
        <f>10*LOG10(Q602)</f>
        <v>10.472847846698819</v>
      </c>
      <c r="S602" s="18">
        <f>F602+N602-Kzt-H</f>
        <v>-54.841188216069185</v>
      </c>
      <c r="T602" s="17">
        <v>0.9</v>
      </c>
      <c r="U602" s="21">
        <f>T602*10^((S602-R602)/10)</f>
        <v>2.6475178883351453E-7</v>
      </c>
    </row>
    <row r="603" spans="1:21" x14ac:dyDescent="0.25">
      <c r="A603" s="24"/>
      <c r="B603" s="24"/>
      <c r="C603" s="17"/>
      <c r="D603" s="24"/>
      <c r="E603" s="24"/>
      <c r="F603" s="25"/>
      <c r="G603" s="1">
        <v>3425</v>
      </c>
      <c r="H603" s="2">
        <v>103.5</v>
      </c>
      <c r="I603" s="2">
        <v>-11.9</v>
      </c>
      <c r="J603" s="2">
        <v>-19.100000000000001</v>
      </c>
      <c r="K603" s="2">
        <f t="shared" si="78"/>
        <v>-11.9</v>
      </c>
      <c r="L603" s="8">
        <f t="shared" si="82"/>
        <v>2.8840315031265959E-12</v>
      </c>
      <c r="M603" s="26"/>
      <c r="N603" s="17"/>
      <c r="O603" s="9">
        <f t="shared" si="80"/>
        <v>-19.100000000000001</v>
      </c>
      <c r="P603" s="8">
        <f>D602/B602*10^(O603/10)</f>
        <v>1.92742107427273</v>
      </c>
      <c r="Q603" s="26"/>
      <c r="R603" s="17"/>
      <c r="S603" s="19"/>
      <c r="T603" s="17"/>
      <c r="U603" s="22"/>
    </row>
    <row r="604" spans="1:21" x14ac:dyDescent="0.25">
      <c r="A604" s="24"/>
      <c r="B604" s="24"/>
      <c r="C604" s="17"/>
      <c r="D604" s="24"/>
      <c r="E604" s="24"/>
      <c r="F604" s="25"/>
      <c r="G604" s="1">
        <v>4025</v>
      </c>
      <c r="H604" s="2">
        <v>103.6</v>
      </c>
      <c r="I604" s="2">
        <v>-13.2</v>
      </c>
      <c r="J604" s="2">
        <v>-21.2</v>
      </c>
      <c r="K604" s="2">
        <f t="shared" si="78"/>
        <v>-13.2</v>
      </c>
      <c r="L604" s="8">
        <f t="shared" si="82"/>
        <v>2.0892961308540349E-12</v>
      </c>
      <c r="M604" s="26"/>
      <c r="N604" s="17"/>
      <c r="O604" s="9">
        <f t="shared" si="80"/>
        <v>-21.2</v>
      </c>
      <c r="P604" s="8">
        <f>D602/B602*10^(O604/10)</f>
        <v>1.1884382008790533</v>
      </c>
      <c r="Q604" s="26"/>
      <c r="R604" s="17"/>
      <c r="S604" s="19"/>
      <c r="T604" s="17"/>
      <c r="U604" s="22"/>
    </row>
    <row r="605" spans="1:21" x14ac:dyDescent="0.25">
      <c r="A605" s="24"/>
      <c r="B605" s="24"/>
      <c r="C605" s="17"/>
      <c r="D605" s="24"/>
      <c r="E605" s="24"/>
      <c r="F605" s="25"/>
      <c r="G605" s="1">
        <v>4625</v>
      </c>
      <c r="H605" s="2">
        <v>105.6</v>
      </c>
      <c r="I605" s="2">
        <v>-19.8</v>
      </c>
      <c r="J605" s="2">
        <v>-20.8</v>
      </c>
      <c r="K605" s="2">
        <f t="shared" si="78"/>
        <v>-19.8</v>
      </c>
      <c r="L605" s="8">
        <f t="shared" si="82"/>
        <v>2.884031503126603E-13</v>
      </c>
      <c r="M605" s="26"/>
      <c r="N605" s="17"/>
      <c r="O605" s="9">
        <f t="shared" si="80"/>
        <v>-20.8</v>
      </c>
      <c r="P605" s="8">
        <f>D602/B602*10^(O605/10)</f>
        <v>1.3030965747275172</v>
      </c>
      <c r="Q605" s="26"/>
      <c r="R605" s="17"/>
      <c r="S605" s="19"/>
      <c r="T605" s="17"/>
      <c r="U605" s="22"/>
    </row>
    <row r="606" spans="1:21" x14ac:dyDescent="0.25">
      <c r="A606" s="24"/>
      <c r="B606" s="24"/>
      <c r="C606" s="17"/>
      <c r="D606" s="24"/>
      <c r="E606" s="24"/>
      <c r="F606" s="25"/>
      <c r="G606" s="1">
        <v>5225</v>
      </c>
      <c r="H606" s="2">
        <v>103.5</v>
      </c>
      <c r="I606" s="2">
        <v>-16.7</v>
      </c>
      <c r="J606" s="2">
        <v>-23.9</v>
      </c>
      <c r="K606" s="2">
        <f t="shared" si="78"/>
        <v>-16.7</v>
      </c>
      <c r="L606" s="8">
        <f t="shared" si="82"/>
        <v>9.5499258602143367E-13</v>
      </c>
      <c r="M606" s="26"/>
      <c r="N606" s="17"/>
      <c r="O606" s="9">
        <f t="shared" si="80"/>
        <v>-23.9</v>
      </c>
      <c r="P606" s="8">
        <f>D602/B602*10^(O606/10)</f>
        <v>0.63822910189311033</v>
      </c>
      <c r="Q606" s="26"/>
      <c r="R606" s="17"/>
      <c r="S606" s="19"/>
      <c r="T606" s="17"/>
      <c r="U606" s="22"/>
    </row>
    <row r="607" spans="1:21" x14ac:dyDescent="0.25">
      <c r="A607" s="24"/>
      <c r="B607" s="24"/>
      <c r="C607" s="17"/>
      <c r="D607" s="24"/>
      <c r="E607" s="24"/>
      <c r="F607" s="25"/>
      <c r="G607" s="1">
        <v>5625</v>
      </c>
      <c r="H607" s="2">
        <v>99.5</v>
      </c>
      <c r="I607" s="2">
        <v>-16.7</v>
      </c>
      <c r="J607" s="2">
        <v>-19</v>
      </c>
      <c r="K607" s="2">
        <f t="shared" si="78"/>
        <v>-16.7</v>
      </c>
      <c r="L607" s="8">
        <f t="shared" si="82"/>
        <v>2.3988329190194755E-12</v>
      </c>
      <c r="M607" s="26"/>
      <c r="N607" s="17"/>
      <c r="O607" s="9">
        <f t="shared" si="80"/>
        <v>-19</v>
      </c>
      <c r="P607" s="8">
        <f>D602/B602*10^(O607/10)</f>
        <v>1.9723164784775273</v>
      </c>
      <c r="Q607" s="26"/>
      <c r="R607" s="17"/>
      <c r="S607" s="20"/>
      <c r="T607" s="17"/>
      <c r="U607" s="23"/>
    </row>
    <row r="608" spans="1:21" x14ac:dyDescent="0.25">
      <c r="A608" s="24">
        <v>8000</v>
      </c>
      <c r="B608" s="24">
        <v>3</v>
      </c>
      <c r="C608" s="17">
        <v>0.5</v>
      </c>
      <c r="D608" s="24">
        <v>943</v>
      </c>
      <c r="E608" s="24">
        <v>6</v>
      </c>
      <c r="F608" s="25">
        <v>54</v>
      </c>
      <c r="G608" s="1">
        <v>6025</v>
      </c>
      <c r="H608" s="2">
        <v>95</v>
      </c>
      <c r="I608" s="2">
        <v>-19.100000000000001</v>
      </c>
      <c r="J608" s="2">
        <v>-19.5</v>
      </c>
      <c r="K608" s="2">
        <f t="shared" si="78"/>
        <v>-19.100000000000001</v>
      </c>
      <c r="L608" s="8">
        <f t="shared" si="82"/>
        <v>3.890451449942802E-12</v>
      </c>
      <c r="M608" s="26">
        <f>SUM(L608:L613)</f>
        <v>2.0203161183814888E-10</v>
      </c>
      <c r="N608" s="17">
        <f>10*LOG10(M608/E608)</f>
        <v>-104.72731921666028</v>
      </c>
      <c r="O608" s="9">
        <f t="shared" si="80"/>
        <v>-19.5</v>
      </c>
      <c r="P608" s="8">
        <f>D608/B608*10^(O608/10)</f>
        <v>3.5268780080225048</v>
      </c>
      <c r="Q608" s="26">
        <f>SUM(P608:P613)</f>
        <v>16.469200413149061</v>
      </c>
      <c r="R608" s="17">
        <f>10*LOG10(Q608)</f>
        <v>12.16672514495392</v>
      </c>
      <c r="S608" s="18">
        <f>F608+N608-Kzt-H</f>
        <v>-50.727319216660277</v>
      </c>
      <c r="T608" s="17">
        <v>0.7</v>
      </c>
      <c r="U608" s="21">
        <f>T608*10^((S608-R608)/10)</f>
        <v>3.594956203570534E-7</v>
      </c>
    </row>
    <row r="609" spans="1:21" x14ac:dyDescent="0.25">
      <c r="A609" s="24"/>
      <c r="B609" s="24"/>
      <c r="C609" s="17"/>
      <c r="D609" s="24"/>
      <c r="E609" s="24"/>
      <c r="F609" s="25"/>
      <c r="G609" s="1">
        <v>7025</v>
      </c>
      <c r="H609" s="2">
        <v>94.8</v>
      </c>
      <c r="I609" s="2">
        <v>-14.6</v>
      </c>
      <c r="J609" s="2">
        <v>-22.3</v>
      </c>
      <c r="K609" s="2">
        <f t="shared" si="78"/>
        <v>-14.6</v>
      </c>
      <c r="L609" s="8">
        <f t="shared" si="82"/>
        <v>1.1481536214968803E-11</v>
      </c>
      <c r="M609" s="26"/>
      <c r="N609" s="17"/>
      <c r="O609" s="9">
        <f t="shared" si="80"/>
        <v>-22.3</v>
      </c>
      <c r="P609" s="8">
        <f>D608/B608*10^(O609/10)</f>
        <v>1.8509318900010678</v>
      </c>
      <c r="Q609" s="26"/>
      <c r="R609" s="17"/>
      <c r="S609" s="19"/>
      <c r="T609" s="17"/>
      <c r="U609" s="22"/>
    </row>
    <row r="610" spans="1:21" x14ac:dyDescent="0.25">
      <c r="A610" s="24"/>
      <c r="B610" s="24"/>
      <c r="C610" s="17"/>
      <c r="D610" s="24"/>
      <c r="E610" s="24"/>
      <c r="F610" s="25"/>
      <c r="G610" s="1">
        <v>8025</v>
      </c>
      <c r="H610" s="2">
        <v>101.9</v>
      </c>
      <c r="I610" s="2">
        <v>-16</v>
      </c>
      <c r="J610" s="2">
        <v>-21.7</v>
      </c>
      <c r="K610" s="2">
        <f t="shared" si="78"/>
        <v>-16</v>
      </c>
      <c r="L610" s="8">
        <f t="shared" si="82"/>
        <v>1.6218100973589226E-12</v>
      </c>
      <c r="M610" s="26"/>
      <c r="N610" s="17"/>
      <c r="O610" s="9">
        <f t="shared" si="80"/>
        <v>-21.7</v>
      </c>
      <c r="P610" s="8">
        <f>D608/B608*10^(O610/10)</f>
        <v>2.1251541526487947</v>
      </c>
      <c r="Q610" s="26"/>
      <c r="R610" s="17"/>
      <c r="S610" s="19"/>
      <c r="T610" s="17"/>
      <c r="U610" s="22"/>
    </row>
    <row r="611" spans="1:21" x14ac:dyDescent="0.25">
      <c r="A611" s="24"/>
      <c r="B611" s="24"/>
      <c r="C611" s="17"/>
      <c r="D611" s="24"/>
      <c r="E611" s="24"/>
      <c r="F611" s="25"/>
      <c r="G611" s="1">
        <v>9025</v>
      </c>
      <c r="H611" s="2">
        <v>93.2</v>
      </c>
      <c r="I611" s="2">
        <v>-18.100000000000001</v>
      </c>
      <c r="J611" s="2">
        <v>-20.3</v>
      </c>
      <c r="K611" s="2">
        <f t="shared" si="78"/>
        <v>-18.100000000000001</v>
      </c>
      <c r="L611" s="8">
        <f t="shared" si="82"/>
        <v>7.4131024130091464E-12</v>
      </c>
      <c r="M611" s="26"/>
      <c r="N611" s="17"/>
      <c r="O611" s="9">
        <f t="shared" si="80"/>
        <v>-20.3</v>
      </c>
      <c r="P611" s="8">
        <f>D608/B608*10^(O611/10)</f>
        <v>2.9335293521718722</v>
      </c>
      <c r="Q611" s="26"/>
      <c r="R611" s="17"/>
      <c r="S611" s="19"/>
      <c r="T611" s="17"/>
      <c r="U611" s="22"/>
    </row>
    <row r="612" spans="1:21" x14ac:dyDescent="0.25">
      <c r="A612" s="24"/>
      <c r="B612" s="24"/>
      <c r="C612" s="17"/>
      <c r="D612" s="24"/>
      <c r="E612" s="24"/>
      <c r="F612" s="25"/>
      <c r="G612" s="1">
        <v>10025</v>
      </c>
      <c r="H612" s="2">
        <v>88.3</v>
      </c>
      <c r="I612" s="2">
        <v>-12.8</v>
      </c>
      <c r="J612" s="2">
        <v>-22</v>
      </c>
      <c r="K612" s="2">
        <f t="shared" si="78"/>
        <v>-12.8</v>
      </c>
      <c r="L612" s="8">
        <f t="shared" si="82"/>
        <v>7.7624711662869221E-11</v>
      </c>
      <c r="M612" s="26"/>
      <c r="N612" s="17"/>
      <c r="O612" s="9">
        <f t="shared" si="80"/>
        <v>-22</v>
      </c>
      <c r="P612" s="8">
        <f>D608/B608*10^(O612/10)</f>
        <v>1.9833092528160716</v>
      </c>
      <c r="Q612" s="26"/>
      <c r="R612" s="17"/>
      <c r="S612" s="19"/>
      <c r="T612" s="17"/>
      <c r="U612" s="22"/>
    </row>
    <row r="613" spans="1:21" x14ac:dyDescent="0.25">
      <c r="A613" s="24"/>
      <c r="B613" s="24"/>
      <c r="C613" s="17"/>
      <c r="D613" s="24"/>
      <c r="E613" s="24"/>
      <c r="F613" s="25"/>
      <c r="G613" s="1">
        <v>11025</v>
      </c>
      <c r="H613" s="2">
        <v>86</v>
      </c>
      <c r="I613" s="2">
        <v>-14</v>
      </c>
      <c r="J613" s="2">
        <v>-18.899999999999999</v>
      </c>
      <c r="K613" s="2">
        <f t="shared" si="78"/>
        <v>-14</v>
      </c>
      <c r="L613" s="8">
        <f t="shared" si="82"/>
        <v>1E-10</v>
      </c>
      <c r="M613" s="26"/>
      <c r="N613" s="17"/>
      <c r="O613" s="9">
        <f t="shared" si="80"/>
        <v>-18.899999999999999</v>
      </c>
      <c r="P613" s="8">
        <f>D608/B608*10^(O613/10)</f>
        <v>4.0493977574887481</v>
      </c>
      <c r="Q613" s="26"/>
      <c r="R613" s="17"/>
      <c r="S613" s="20"/>
      <c r="T613" s="17"/>
      <c r="U613" s="23"/>
    </row>
    <row r="614" spans="1:21" x14ac:dyDescent="0.25">
      <c r="A614" s="24" t="s">
        <v>20</v>
      </c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12">
        <f>U614</f>
        <v>6.5795552750781777E-2</v>
      </c>
      <c r="T614" s="2"/>
      <c r="U614" s="8">
        <f>0.8*SQRT(SUM(U580:U613))</f>
        <v>6.5795552750781777E-2</v>
      </c>
    </row>
    <row r="615" spans="1:21" x14ac:dyDescent="0.25">
      <c r="A615" s="27" t="s">
        <v>69</v>
      </c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9"/>
    </row>
    <row r="616" spans="1:21" x14ac:dyDescent="0.25">
      <c r="A616" s="24">
        <v>250</v>
      </c>
      <c r="B616" s="24">
        <v>3</v>
      </c>
      <c r="C616" s="17">
        <v>0.5</v>
      </c>
      <c r="D616" s="24">
        <v>38</v>
      </c>
      <c r="E616" s="24">
        <v>4</v>
      </c>
      <c r="F616" s="25">
        <v>84</v>
      </c>
      <c r="G616" s="1">
        <v>175</v>
      </c>
      <c r="H616" s="2">
        <v>84.8</v>
      </c>
      <c r="I616" s="2">
        <v>-10.8</v>
      </c>
      <c r="J616" s="2">
        <v>-18.399999999999999</v>
      </c>
      <c r="K616" s="2">
        <f>I616</f>
        <v>-10.8</v>
      </c>
      <c r="L616" s="8">
        <f>10^((K616-H616)/10)</f>
        <v>2.754228703338173E-10</v>
      </c>
      <c r="M616" s="26">
        <f>SUM(L616:L619)</f>
        <v>3.7370366655406387E-10</v>
      </c>
      <c r="N616" s="17">
        <f>10*LOG10(M616/E616)</f>
        <v>-100.29532632422971</v>
      </c>
      <c r="O616" s="9">
        <f>J616</f>
        <v>-18.399999999999999</v>
      </c>
      <c r="P616" s="8">
        <f>D616/B616*10^(O616/10)</f>
        <v>0.18308903762781745</v>
      </c>
      <c r="Q616" s="26">
        <f>SUM(P616:P619)</f>
        <v>0.83967243953337323</v>
      </c>
      <c r="R616" s="17">
        <f>10*LOG10(Q616)</f>
        <v>-0.75890101375336239</v>
      </c>
      <c r="S616" s="18">
        <f>F616+N616-Kzt-H</f>
        <v>-16.295326324229706</v>
      </c>
      <c r="T616" s="17">
        <v>0.2</v>
      </c>
      <c r="U616" s="21">
        <f>T616*10^((S616-R616)/10)</f>
        <v>5.5896866755814501E-3</v>
      </c>
    </row>
    <row r="617" spans="1:21" x14ac:dyDescent="0.25">
      <c r="A617" s="24"/>
      <c r="B617" s="24"/>
      <c r="C617" s="17"/>
      <c r="D617" s="24"/>
      <c r="E617" s="24"/>
      <c r="F617" s="25"/>
      <c r="G617" s="1">
        <v>225</v>
      </c>
      <c r="H617" s="2">
        <v>90</v>
      </c>
      <c r="I617" s="2">
        <v>-11.7</v>
      </c>
      <c r="J617" s="2">
        <v>-16.3</v>
      </c>
      <c r="K617" s="2">
        <f t="shared" ref="K617:K649" si="83">I617</f>
        <v>-11.7</v>
      </c>
      <c r="L617" s="8">
        <f t="shared" ref="L617:L618" si="84">10^((K617-H617)/10)</f>
        <v>6.7608297539198024E-11</v>
      </c>
      <c r="M617" s="26"/>
      <c r="N617" s="17"/>
      <c r="O617" s="9">
        <f t="shared" ref="O617:O649" si="85">J617</f>
        <v>-16.3</v>
      </c>
      <c r="P617" s="8">
        <f>D616/B616*10^(O617/10)</f>
        <v>0.29693564994052335</v>
      </c>
      <c r="Q617" s="26"/>
      <c r="R617" s="17"/>
      <c r="S617" s="19"/>
      <c r="T617" s="17"/>
      <c r="U617" s="22"/>
    </row>
    <row r="618" spans="1:21" x14ac:dyDescent="0.25">
      <c r="A618" s="24"/>
      <c r="B618" s="24"/>
      <c r="C618" s="17"/>
      <c r="D618" s="24"/>
      <c r="E618" s="24"/>
      <c r="F618" s="25"/>
      <c r="G618" s="1">
        <v>275</v>
      </c>
      <c r="H618" s="2">
        <v>92.2</v>
      </c>
      <c r="I618" s="2">
        <v>-16.2</v>
      </c>
      <c r="J618" s="2">
        <v>-17.3</v>
      </c>
      <c r="K618" s="2">
        <f t="shared" si="83"/>
        <v>-16.2</v>
      </c>
      <c r="L618" s="8">
        <f t="shared" si="84"/>
        <v>1.4454397707459232E-11</v>
      </c>
      <c r="M618" s="26"/>
      <c r="N618" s="17"/>
      <c r="O618" s="9">
        <f t="shared" si="85"/>
        <v>-17.3</v>
      </c>
      <c r="P618" s="8">
        <f>D616/B616*10^(O618/10)</f>
        <v>0.23586437064396312</v>
      </c>
      <c r="Q618" s="26"/>
      <c r="R618" s="17"/>
      <c r="S618" s="19"/>
      <c r="T618" s="17"/>
      <c r="U618" s="22"/>
    </row>
    <row r="619" spans="1:21" x14ac:dyDescent="0.25">
      <c r="A619" s="24"/>
      <c r="B619" s="24"/>
      <c r="C619" s="17"/>
      <c r="D619" s="24"/>
      <c r="E619" s="24"/>
      <c r="F619" s="25"/>
      <c r="G619" s="1">
        <v>325</v>
      </c>
      <c r="H619" s="2">
        <v>93.3</v>
      </c>
      <c r="I619" s="2">
        <v>-14.6</v>
      </c>
      <c r="J619" s="2">
        <v>-20.100000000000001</v>
      </c>
      <c r="K619" s="2">
        <f t="shared" si="83"/>
        <v>-14.6</v>
      </c>
      <c r="L619" s="8">
        <f>10^((K619-H619)/10)</f>
        <v>1.6218100973589298E-11</v>
      </c>
      <c r="M619" s="26"/>
      <c r="N619" s="17"/>
      <c r="O619" s="9">
        <f t="shared" si="85"/>
        <v>-20.100000000000001</v>
      </c>
      <c r="P619" s="8">
        <f>D616/B616*10^(O619/10)</f>
        <v>0.1237833813210692</v>
      </c>
      <c r="Q619" s="26"/>
      <c r="R619" s="17"/>
      <c r="S619" s="20"/>
      <c r="T619" s="17"/>
      <c r="U619" s="23"/>
    </row>
    <row r="620" spans="1:21" x14ac:dyDescent="0.25">
      <c r="A620" s="24">
        <v>500</v>
      </c>
      <c r="B620" s="24">
        <v>3</v>
      </c>
      <c r="C620" s="17">
        <v>0.5</v>
      </c>
      <c r="D620" s="24">
        <v>59</v>
      </c>
      <c r="E620" s="24">
        <v>6</v>
      </c>
      <c r="F620" s="25">
        <v>84</v>
      </c>
      <c r="G620" s="1">
        <v>375</v>
      </c>
      <c r="H620" s="2">
        <v>91.9</v>
      </c>
      <c r="I620" s="2">
        <v>-15.3</v>
      </c>
      <c r="J620" s="2">
        <v>-21.1</v>
      </c>
      <c r="K620" s="2">
        <f t="shared" si="83"/>
        <v>-15.3</v>
      </c>
      <c r="L620" s="8">
        <f t="shared" ref="L620:L621" si="86">10^((K620-H620)/10)</f>
        <v>1.9054607179632392E-11</v>
      </c>
      <c r="M620" s="26">
        <f>SUM(L620:L625)</f>
        <v>1.5353887853859364E-10</v>
      </c>
      <c r="N620" s="17">
        <f>10*LOG10(M620/E620)</f>
        <v>-105.91932886226134</v>
      </c>
      <c r="O620" s="9">
        <f t="shared" si="85"/>
        <v>-21.1</v>
      </c>
      <c r="P620" s="8">
        <f>D620/B620*10^(O620/10)</f>
        <v>0.15266193293697589</v>
      </c>
      <c r="Q620" s="26">
        <f>SUM(P620:P625)</f>
        <v>1.4860001240150222</v>
      </c>
      <c r="R620" s="17">
        <f>10*LOG10(Q620)</f>
        <v>1.7201884566886172</v>
      </c>
      <c r="S620" s="18">
        <f>F620+N620-Kzt-H</f>
        <v>-21.919328862261338</v>
      </c>
      <c r="T620" s="17">
        <v>0.5</v>
      </c>
      <c r="U620" s="21">
        <f>T620*10^((S620-R620)/10)</f>
        <v>2.1628095195367152E-3</v>
      </c>
    </row>
    <row r="621" spans="1:21" x14ac:dyDescent="0.25">
      <c r="A621" s="24"/>
      <c r="B621" s="24"/>
      <c r="C621" s="17"/>
      <c r="D621" s="24"/>
      <c r="E621" s="24"/>
      <c r="F621" s="25"/>
      <c r="G621" s="1">
        <v>425</v>
      </c>
      <c r="H621" s="2">
        <v>88.1</v>
      </c>
      <c r="I621" s="2">
        <v>-13</v>
      </c>
      <c r="J621" s="2">
        <v>-17.899999999999999</v>
      </c>
      <c r="K621" s="2">
        <f t="shared" si="83"/>
        <v>-13</v>
      </c>
      <c r="L621" s="8">
        <f t="shared" si="86"/>
        <v>7.7624711662869221E-11</v>
      </c>
      <c r="M621" s="26"/>
      <c r="N621" s="17"/>
      <c r="O621" s="9">
        <f t="shared" si="85"/>
        <v>-17.899999999999999</v>
      </c>
      <c r="P621" s="8">
        <f>D620/B620*10^(O621/10)</f>
        <v>0.31895598581392304</v>
      </c>
      <c r="Q621" s="26"/>
      <c r="R621" s="17"/>
      <c r="S621" s="19"/>
      <c r="T621" s="17"/>
      <c r="U621" s="22"/>
    </row>
    <row r="622" spans="1:21" x14ac:dyDescent="0.25">
      <c r="A622" s="24"/>
      <c r="B622" s="24"/>
      <c r="C622" s="17"/>
      <c r="D622" s="24"/>
      <c r="E622" s="24"/>
      <c r="F622" s="25"/>
      <c r="G622" s="1">
        <v>475</v>
      </c>
      <c r="H622" s="2">
        <v>90</v>
      </c>
      <c r="I622" s="2">
        <v>-17.600000000000001</v>
      </c>
      <c r="J622" s="2">
        <v>-21.9</v>
      </c>
      <c r="K622" s="2">
        <f t="shared" si="83"/>
        <v>-17.600000000000001</v>
      </c>
      <c r="L622" s="8">
        <f>10^((K622-H622)/10)</f>
        <v>1.7378008287493749E-11</v>
      </c>
      <c r="M622" s="26"/>
      <c r="N622" s="17"/>
      <c r="O622" s="9">
        <f t="shared" si="85"/>
        <v>-21.9</v>
      </c>
      <c r="P622" s="8">
        <f>D620/B620*10^(O622/10)</f>
        <v>0.12697866504348221</v>
      </c>
      <c r="Q622" s="26"/>
      <c r="R622" s="17"/>
      <c r="S622" s="19"/>
      <c r="T622" s="17"/>
      <c r="U622" s="22"/>
    </row>
    <row r="623" spans="1:21" x14ac:dyDescent="0.25">
      <c r="A623" s="24"/>
      <c r="B623" s="24"/>
      <c r="C623" s="17"/>
      <c r="D623" s="24"/>
      <c r="E623" s="24"/>
      <c r="F623" s="25"/>
      <c r="G623" s="1">
        <v>575</v>
      </c>
      <c r="H623" s="2">
        <v>97</v>
      </c>
      <c r="I623" s="2">
        <v>-14.4</v>
      </c>
      <c r="J623" s="2">
        <v>-17</v>
      </c>
      <c r="K623" s="2">
        <f t="shared" si="83"/>
        <v>-14.4</v>
      </c>
      <c r="L623" s="8">
        <f t="shared" ref="L623:L649" si="87">10^((K623-H623)/10)</f>
        <v>7.2443596007498734E-12</v>
      </c>
      <c r="M623" s="26"/>
      <c r="N623" s="17"/>
      <c r="O623" s="9">
        <f t="shared" si="85"/>
        <v>-17</v>
      </c>
      <c r="P623" s="8">
        <f>D620/B620*10^(O623/10)</f>
        <v>0.39240158861054625</v>
      </c>
      <c r="Q623" s="26"/>
      <c r="R623" s="17"/>
      <c r="S623" s="19"/>
      <c r="T623" s="17"/>
      <c r="U623" s="22"/>
    </row>
    <row r="624" spans="1:21" x14ac:dyDescent="0.25">
      <c r="A624" s="24"/>
      <c r="B624" s="24"/>
      <c r="C624" s="17"/>
      <c r="D624" s="24"/>
      <c r="E624" s="24"/>
      <c r="F624" s="25"/>
      <c r="G624" s="1">
        <v>625</v>
      </c>
      <c r="H624" s="2">
        <v>92</v>
      </c>
      <c r="I624" s="2">
        <v>-15.5</v>
      </c>
      <c r="J624" s="2">
        <v>-18.399999999999999</v>
      </c>
      <c r="K624" s="2">
        <f t="shared" si="83"/>
        <v>-15.5</v>
      </c>
      <c r="L624" s="8">
        <f t="shared" si="87"/>
        <v>1.7782794100389159E-11</v>
      </c>
      <c r="M624" s="26"/>
      <c r="N624" s="17"/>
      <c r="O624" s="9">
        <f t="shared" si="85"/>
        <v>-18.399999999999999</v>
      </c>
      <c r="P624" s="8">
        <f>D620/B620*10^(O624/10)</f>
        <v>0.28426982158003239</v>
      </c>
      <c r="Q624" s="26"/>
      <c r="R624" s="17"/>
      <c r="S624" s="19"/>
      <c r="T624" s="17"/>
      <c r="U624" s="22"/>
    </row>
    <row r="625" spans="1:21" x14ac:dyDescent="0.25">
      <c r="A625" s="24"/>
      <c r="B625" s="24"/>
      <c r="C625" s="17"/>
      <c r="D625" s="24"/>
      <c r="E625" s="24"/>
      <c r="F625" s="25"/>
      <c r="G625" s="1">
        <v>675</v>
      </c>
      <c r="H625" s="2">
        <v>94.5</v>
      </c>
      <c r="I625" s="2">
        <v>-13.9</v>
      </c>
      <c r="J625" s="2">
        <v>-19.7</v>
      </c>
      <c r="K625" s="2">
        <f t="shared" si="83"/>
        <v>-13.9</v>
      </c>
      <c r="L625" s="8">
        <f t="shared" si="87"/>
        <v>1.4454397707459232E-11</v>
      </c>
      <c r="M625" s="26"/>
      <c r="N625" s="17"/>
      <c r="O625" s="9">
        <f t="shared" si="85"/>
        <v>-19.7</v>
      </c>
      <c r="P625" s="8">
        <f>D620/B620*10^(O625/10)</f>
        <v>0.21073213003006244</v>
      </c>
      <c r="Q625" s="26"/>
      <c r="R625" s="17"/>
      <c r="S625" s="20"/>
      <c r="T625" s="17"/>
      <c r="U625" s="23"/>
    </row>
    <row r="626" spans="1:21" x14ac:dyDescent="0.25">
      <c r="A626" s="24">
        <v>1000</v>
      </c>
      <c r="B626" s="24">
        <v>3</v>
      </c>
      <c r="C626" s="17">
        <v>0.5</v>
      </c>
      <c r="D626" s="24">
        <v>117</v>
      </c>
      <c r="E626" s="24">
        <v>6</v>
      </c>
      <c r="F626" s="25">
        <v>76</v>
      </c>
      <c r="G626" s="1">
        <v>875</v>
      </c>
      <c r="H626" s="2">
        <v>91.1</v>
      </c>
      <c r="I626" s="2">
        <v>-14.3</v>
      </c>
      <c r="J626" s="2">
        <v>-23.9</v>
      </c>
      <c r="K626" s="2">
        <f t="shared" si="83"/>
        <v>-14.3</v>
      </c>
      <c r="L626" s="8">
        <f t="shared" si="87"/>
        <v>2.8840315031266094E-11</v>
      </c>
      <c r="M626" s="26">
        <f>SUM(L626:L631)</f>
        <v>6.0116062412159603E-11</v>
      </c>
      <c r="N626" s="17">
        <f>10*LOG10(M626/E626)</f>
        <v>-109.99160723722841</v>
      </c>
      <c r="O626" s="9">
        <f t="shared" si="85"/>
        <v>-23.9</v>
      </c>
      <c r="P626" s="8">
        <f>D626/B626*10^(O626/10)</f>
        <v>0.15887830834360409</v>
      </c>
      <c r="Q626" s="26">
        <f>SUM(P626:P631)</f>
        <v>2.0025019924081313</v>
      </c>
      <c r="R626" s="17">
        <f>10*LOG10(Q626)</f>
        <v>3.0157295686185663</v>
      </c>
      <c r="S626" s="18">
        <f>F626+N626-Kzt-H</f>
        <v>-33.991607237228408</v>
      </c>
      <c r="T626" s="17">
        <v>0.8</v>
      </c>
      <c r="U626" s="21">
        <f>T626*10^((S626-R626)/10)</f>
        <v>1.5935155522078863E-4</v>
      </c>
    </row>
    <row r="627" spans="1:21" x14ac:dyDescent="0.25">
      <c r="A627" s="24"/>
      <c r="B627" s="24"/>
      <c r="C627" s="17"/>
      <c r="D627" s="24"/>
      <c r="E627" s="24"/>
      <c r="F627" s="25"/>
      <c r="G627" s="1">
        <v>975</v>
      </c>
      <c r="H627" s="2">
        <v>96.5</v>
      </c>
      <c r="I627" s="2">
        <v>-12.9</v>
      </c>
      <c r="J627" s="2">
        <v>-22.7</v>
      </c>
      <c r="K627" s="2">
        <f t="shared" si="83"/>
        <v>-12.9</v>
      </c>
      <c r="L627" s="8">
        <f t="shared" si="87"/>
        <v>1.1481536214968764E-11</v>
      </c>
      <c r="M627" s="26"/>
      <c r="N627" s="17"/>
      <c r="O627" s="9">
        <f t="shared" si="85"/>
        <v>-22.7</v>
      </c>
      <c r="P627" s="8">
        <f>D626/B626*10^(O627/10)</f>
        <v>0.20944240058439845</v>
      </c>
      <c r="Q627" s="26"/>
      <c r="R627" s="17"/>
      <c r="S627" s="19"/>
      <c r="T627" s="17"/>
      <c r="U627" s="22"/>
    </row>
    <row r="628" spans="1:21" x14ac:dyDescent="0.25">
      <c r="A628" s="24"/>
      <c r="B628" s="24"/>
      <c r="C628" s="17"/>
      <c r="D628" s="24"/>
      <c r="E628" s="24"/>
      <c r="F628" s="25"/>
      <c r="G628" s="1">
        <v>1075</v>
      </c>
      <c r="H628" s="2">
        <v>94.6</v>
      </c>
      <c r="I628" s="2">
        <v>-14.7</v>
      </c>
      <c r="J628" s="2">
        <v>-19.899999999999999</v>
      </c>
      <c r="K628" s="2">
        <f t="shared" si="83"/>
        <v>-14.7</v>
      </c>
      <c r="L628" s="8">
        <f t="shared" si="87"/>
        <v>1.1748975549395269E-11</v>
      </c>
      <c r="M628" s="26"/>
      <c r="N628" s="17"/>
      <c r="O628" s="9">
        <f t="shared" si="85"/>
        <v>-19.899999999999999</v>
      </c>
      <c r="P628" s="8">
        <f>D626/B626*10^(O628/10)</f>
        <v>0.39908426698949423</v>
      </c>
      <c r="Q628" s="26"/>
      <c r="R628" s="17"/>
      <c r="S628" s="19"/>
      <c r="T628" s="17"/>
      <c r="U628" s="22"/>
    </row>
    <row r="629" spans="1:21" x14ac:dyDescent="0.25">
      <c r="A629" s="24"/>
      <c r="B629" s="24"/>
      <c r="C629" s="17"/>
      <c r="D629" s="24"/>
      <c r="E629" s="24"/>
      <c r="F629" s="25"/>
      <c r="G629" s="1">
        <v>1175</v>
      </c>
      <c r="H629" s="2">
        <v>97.8</v>
      </c>
      <c r="I629" s="2">
        <v>-14.9</v>
      </c>
      <c r="J629" s="2">
        <v>-24.7</v>
      </c>
      <c r="K629" s="2">
        <f t="shared" si="83"/>
        <v>-14.9</v>
      </c>
      <c r="L629" s="8">
        <f t="shared" si="87"/>
        <v>5.3703179637025143E-12</v>
      </c>
      <c r="M629" s="26"/>
      <c r="N629" s="17"/>
      <c r="O629" s="9">
        <f t="shared" si="85"/>
        <v>-24.7</v>
      </c>
      <c r="P629" s="8">
        <f>D626/B626*10^(O629/10)</f>
        <v>0.13214922089428893</v>
      </c>
      <c r="Q629" s="26"/>
      <c r="R629" s="17"/>
      <c r="S629" s="19"/>
      <c r="T629" s="17"/>
      <c r="U629" s="22"/>
    </row>
    <row r="630" spans="1:21" x14ac:dyDescent="0.25">
      <c r="A630" s="24"/>
      <c r="B630" s="24"/>
      <c r="C630" s="17"/>
      <c r="D630" s="24"/>
      <c r="E630" s="24"/>
      <c r="F630" s="25"/>
      <c r="G630" s="1">
        <v>1275</v>
      </c>
      <c r="H630" s="2">
        <v>100.1</v>
      </c>
      <c r="I630" s="2">
        <v>-17.2</v>
      </c>
      <c r="J630" s="2">
        <v>-18.3</v>
      </c>
      <c r="K630" s="2">
        <f t="shared" si="83"/>
        <v>-17.2</v>
      </c>
      <c r="L630" s="8">
        <f t="shared" si="87"/>
        <v>1.8620871366628578E-12</v>
      </c>
      <c r="M630" s="26"/>
      <c r="N630" s="17"/>
      <c r="O630" s="9">
        <f t="shared" si="85"/>
        <v>-18.3</v>
      </c>
      <c r="P630" s="8">
        <f>D626/B626*10^(O630/10)</f>
        <v>0.5768522713856008</v>
      </c>
      <c r="Q630" s="26"/>
      <c r="R630" s="17"/>
      <c r="S630" s="19"/>
      <c r="T630" s="17"/>
      <c r="U630" s="22"/>
    </row>
    <row r="631" spans="1:21" x14ac:dyDescent="0.25">
      <c r="A631" s="24"/>
      <c r="B631" s="24"/>
      <c r="C631" s="17"/>
      <c r="D631" s="24"/>
      <c r="E631" s="24"/>
      <c r="F631" s="25"/>
      <c r="G631" s="1">
        <v>1375</v>
      </c>
      <c r="H631" s="2">
        <v>103</v>
      </c>
      <c r="I631" s="2">
        <v>-17.899999999999999</v>
      </c>
      <c r="J631" s="2">
        <v>-18.7</v>
      </c>
      <c r="K631" s="2">
        <f t="shared" si="83"/>
        <v>-17.899999999999999</v>
      </c>
      <c r="L631" s="8">
        <f t="shared" si="87"/>
        <v>8.1283051616409777E-13</v>
      </c>
      <c r="M631" s="26"/>
      <c r="N631" s="17"/>
      <c r="O631" s="9">
        <f t="shared" si="85"/>
        <v>-18.7</v>
      </c>
      <c r="P631" s="8">
        <f>D626/B626*10^(O631/10)</f>
        <v>0.5260955242107449</v>
      </c>
      <c r="Q631" s="26"/>
      <c r="R631" s="17"/>
      <c r="S631" s="20"/>
      <c r="T631" s="17"/>
      <c r="U631" s="23"/>
    </row>
    <row r="632" spans="1:21" x14ac:dyDescent="0.25">
      <c r="A632" s="24">
        <v>2000</v>
      </c>
      <c r="B632" s="24">
        <v>3</v>
      </c>
      <c r="C632" s="17">
        <v>0.5</v>
      </c>
      <c r="D632" s="24">
        <v>234</v>
      </c>
      <c r="E632" s="24">
        <v>6</v>
      </c>
      <c r="F632" s="25">
        <v>68</v>
      </c>
      <c r="G632" s="1">
        <v>1425</v>
      </c>
      <c r="H632" s="2">
        <v>102.8</v>
      </c>
      <c r="I632" s="2">
        <v>-15.4</v>
      </c>
      <c r="J632" s="2">
        <v>-17.899999999999999</v>
      </c>
      <c r="K632" s="2">
        <f t="shared" si="83"/>
        <v>-15.4</v>
      </c>
      <c r="L632" s="8">
        <f t="shared" si="87"/>
        <v>1.5135612484362015E-12</v>
      </c>
      <c r="M632" s="26">
        <f>SUM(L632:L637)</f>
        <v>1.3932729563798907E-11</v>
      </c>
      <c r="N632" s="17">
        <f>10*LOG10(M632/E632)</f>
        <v>-116.34115042906635</v>
      </c>
      <c r="O632" s="9">
        <f t="shared" si="85"/>
        <v>-17.899999999999999</v>
      </c>
      <c r="P632" s="8">
        <f>D632/B632*10^(O632/10)</f>
        <v>1.2650118759399658</v>
      </c>
      <c r="Q632" s="26">
        <f>SUM(P632:P637)</f>
        <v>4.1312874920462912</v>
      </c>
      <c r="R632" s="17">
        <f>10*LOG10(Q632)</f>
        <v>6.1608541813438977</v>
      </c>
      <c r="S632" s="18">
        <f>F632+N632-Kzt-H</f>
        <v>-48.341150429066346</v>
      </c>
      <c r="T632" s="17">
        <v>1</v>
      </c>
      <c r="U632" s="21">
        <f>T632*10^((S632-R632)/10)</f>
        <v>3.5464965275594679E-6</v>
      </c>
    </row>
    <row r="633" spans="1:21" x14ac:dyDescent="0.25">
      <c r="A633" s="24"/>
      <c r="B633" s="24"/>
      <c r="C633" s="17"/>
      <c r="D633" s="24"/>
      <c r="E633" s="24"/>
      <c r="F633" s="25"/>
      <c r="G633" s="1">
        <v>1625</v>
      </c>
      <c r="H633" s="2">
        <v>104.1</v>
      </c>
      <c r="I633" s="2">
        <v>-20.5</v>
      </c>
      <c r="J633" s="2">
        <v>-22.1</v>
      </c>
      <c r="K633" s="2">
        <f t="shared" si="83"/>
        <v>-20.5</v>
      </c>
      <c r="L633" s="8">
        <f t="shared" si="87"/>
        <v>3.4673685045253105E-13</v>
      </c>
      <c r="M633" s="26"/>
      <c r="N633" s="17"/>
      <c r="O633" s="9">
        <f t="shared" si="85"/>
        <v>-22.1</v>
      </c>
      <c r="P633" s="8">
        <f>D632/B632*10^(O633/10)</f>
        <v>0.48094410145195593</v>
      </c>
      <c r="Q633" s="26"/>
      <c r="R633" s="17"/>
      <c r="S633" s="19"/>
      <c r="T633" s="17"/>
      <c r="U633" s="22"/>
    </row>
    <row r="634" spans="1:21" x14ac:dyDescent="0.25">
      <c r="A634" s="24"/>
      <c r="B634" s="24"/>
      <c r="C634" s="17"/>
      <c r="D634" s="24"/>
      <c r="E634" s="24"/>
      <c r="F634" s="25"/>
      <c r="G634" s="1">
        <v>1825</v>
      </c>
      <c r="H634" s="2">
        <v>107.6</v>
      </c>
      <c r="I634" s="2">
        <v>-13.9</v>
      </c>
      <c r="J634" s="2">
        <v>-21.6</v>
      </c>
      <c r="K634" s="2">
        <f t="shared" si="83"/>
        <v>-13.9</v>
      </c>
      <c r="L634" s="8">
        <f t="shared" si="87"/>
        <v>7.0794578438413455E-13</v>
      </c>
      <c r="M634" s="26"/>
      <c r="N634" s="17"/>
      <c r="O634" s="9">
        <f t="shared" si="85"/>
        <v>-21.6</v>
      </c>
      <c r="P634" s="8">
        <f>D632/B632*10^(O634/10)</f>
        <v>0.53962815731677005</v>
      </c>
      <c r="Q634" s="26"/>
      <c r="R634" s="17"/>
      <c r="S634" s="19"/>
      <c r="T634" s="17"/>
      <c r="U634" s="22"/>
    </row>
    <row r="635" spans="1:21" x14ac:dyDescent="0.25">
      <c r="A635" s="24"/>
      <c r="B635" s="24"/>
      <c r="C635" s="17"/>
      <c r="D635" s="24"/>
      <c r="E635" s="24"/>
      <c r="F635" s="25"/>
      <c r="G635" s="1">
        <v>2125</v>
      </c>
      <c r="H635" s="2">
        <v>104.2</v>
      </c>
      <c r="I635" s="2">
        <v>-12.6</v>
      </c>
      <c r="J635" s="2">
        <v>-24.9</v>
      </c>
      <c r="K635" s="2">
        <f t="shared" si="83"/>
        <v>-12.6</v>
      </c>
      <c r="L635" s="8">
        <f t="shared" si="87"/>
        <v>2.0892961308540349E-12</v>
      </c>
      <c r="M635" s="26"/>
      <c r="N635" s="17"/>
      <c r="O635" s="9">
        <f t="shared" si="85"/>
        <v>-24.9</v>
      </c>
      <c r="P635" s="8">
        <f>D632/B632*10^(O635/10)</f>
        <v>0.25240305240511002</v>
      </c>
      <c r="Q635" s="26"/>
      <c r="R635" s="17"/>
      <c r="S635" s="19"/>
      <c r="T635" s="17"/>
      <c r="U635" s="22"/>
    </row>
    <row r="636" spans="1:21" x14ac:dyDescent="0.25">
      <c r="A636" s="24"/>
      <c r="B636" s="24"/>
      <c r="C636" s="17"/>
      <c r="D636" s="24"/>
      <c r="E636" s="24"/>
      <c r="F636" s="25"/>
      <c r="G636" s="1">
        <v>2425</v>
      </c>
      <c r="H636" s="2">
        <v>93.7</v>
      </c>
      <c r="I636" s="2">
        <v>-17.600000000000001</v>
      </c>
      <c r="J636" s="2">
        <v>-21.4</v>
      </c>
      <c r="K636" s="2">
        <f t="shared" si="83"/>
        <v>-17.600000000000001</v>
      </c>
      <c r="L636" s="8">
        <f t="shared" si="87"/>
        <v>7.4131024130091464E-12</v>
      </c>
      <c r="M636" s="26"/>
      <c r="N636" s="17"/>
      <c r="O636" s="9">
        <f t="shared" si="85"/>
        <v>-21.4</v>
      </c>
      <c r="P636" s="8">
        <f>D632/B632*10^(O636/10)</f>
        <v>0.56506004885849226</v>
      </c>
      <c r="Q636" s="26"/>
      <c r="R636" s="17"/>
      <c r="S636" s="19"/>
      <c r="T636" s="17"/>
      <c r="U636" s="22"/>
    </row>
    <row r="637" spans="1:21" x14ac:dyDescent="0.25">
      <c r="A637" s="24"/>
      <c r="B637" s="24"/>
      <c r="C637" s="17"/>
      <c r="D637" s="24"/>
      <c r="E637" s="24"/>
      <c r="F637" s="25"/>
      <c r="G637" s="1">
        <v>2775</v>
      </c>
      <c r="H637" s="2">
        <v>100.2</v>
      </c>
      <c r="I637" s="2">
        <v>-17.100000000000001</v>
      </c>
      <c r="J637" s="2">
        <v>-18.8</v>
      </c>
      <c r="K637" s="2">
        <f t="shared" si="83"/>
        <v>-17.100000000000001</v>
      </c>
      <c r="L637" s="8">
        <f t="shared" si="87"/>
        <v>1.8620871366628578E-12</v>
      </c>
      <c r="M637" s="26"/>
      <c r="N637" s="17"/>
      <c r="O637" s="9">
        <f t="shared" si="85"/>
        <v>-18.8</v>
      </c>
      <c r="P637" s="8">
        <f>D632/B632*10^(O637/10)</f>
        <v>1.0282402560739967</v>
      </c>
      <c r="Q637" s="26"/>
      <c r="R637" s="17"/>
      <c r="S637" s="20"/>
      <c r="T637" s="17"/>
      <c r="U637" s="23"/>
    </row>
    <row r="638" spans="1:21" x14ac:dyDescent="0.25">
      <c r="A638" s="24">
        <v>4000</v>
      </c>
      <c r="B638" s="24">
        <v>3</v>
      </c>
      <c r="C638" s="17">
        <v>0.5</v>
      </c>
      <c r="D638" s="24">
        <v>470</v>
      </c>
      <c r="E638" s="24">
        <v>6</v>
      </c>
      <c r="F638" s="25">
        <v>62</v>
      </c>
      <c r="G638" s="1">
        <v>2825</v>
      </c>
      <c r="H638" s="2">
        <v>99.4</v>
      </c>
      <c r="I638" s="2">
        <v>-18.2</v>
      </c>
      <c r="J638" s="2">
        <v>-23.4</v>
      </c>
      <c r="K638" s="2">
        <f t="shared" si="83"/>
        <v>-18.2</v>
      </c>
      <c r="L638" s="8">
        <f t="shared" si="87"/>
        <v>1.7378008287493668E-12</v>
      </c>
      <c r="M638" s="26">
        <f>SUM(L638:L643)</f>
        <v>7.8738017197103424E-12</v>
      </c>
      <c r="N638" s="17">
        <f>10*LOG10(M638/E638)</f>
        <v>-118.81966776317533</v>
      </c>
      <c r="O638" s="9">
        <f t="shared" si="85"/>
        <v>-23.4</v>
      </c>
      <c r="P638" s="8">
        <f>D638/B638*10^(O638/10)</f>
        <v>0.71610483039663753</v>
      </c>
      <c r="Q638" s="26">
        <f>SUM(P638:P643)</f>
        <v>7.785970918970202</v>
      </c>
      <c r="R638" s="17">
        <f>10*LOG10(Q638)</f>
        <v>8.9131277727138585</v>
      </c>
      <c r="S638" s="18">
        <f>F638+N638-Kzt-H</f>
        <v>-56.819667763175332</v>
      </c>
      <c r="T638" s="17">
        <v>0.9</v>
      </c>
      <c r="U638" s="21">
        <f>T638*10^((S638-R638)/10)</f>
        <v>2.404157723082283E-7</v>
      </c>
    </row>
    <row r="639" spans="1:21" x14ac:dyDescent="0.25">
      <c r="A639" s="24"/>
      <c r="B639" s="24"/>
      <c r="C639" s="17"/>
      <c r="D639" s="24"/>
      <c r="E639" s="24"/>
      <c r="F639" s="25"/>
      <c r="G639" s="1">
        <v>3425</v>
      </c>
      <c r="H639" s="2">
        <v>103.5</v>
      </c>
      <c r="I639" s="2">
        <v>-13.2</v>
      </c>
      <c r="J639" s="2">
        <v>-21.1</v>
      </c>
      <c r="K639" s="2">
        <f t="shared" si="83"/>
        <v>-13.2</v>
      </c>
      <c r="L639" s="8">
        <f t="shared" si="87"/>
        <v>2.1379620895022273E-12</v>
      </c>
      <c r="M639" s="26"/>
      <c r="N639" s="17"/>
      <c r="O639" s="9">
        <f t="shared" si="85"/>
        <v>-21.1</v>
      </c>
      <c r="P639" s="8">
        <f>D638/B638*10^(O639/10)</f>
        <v>1.2161204827182823</v>
      </c>
      <c r="Q639" s="26"/>
      <c r="R639" s="17"/>
      <c r="S639" s="19"/>
      <c r="T639" s="17"/>
      <c r="U639" s="22"/>
    </row>
    <row r="640" spans="1:21" x14ac:dyDescent="0.25">
      <c r="A640" s="24"/>
      <c r="B640" s="24"/>
      <c r="C640" s="17"/>
      <c r="D640" s="24"/>
      <c r="E640" s="24"/>
      <c r="F640" s="25"/>
      <c r="G640" s="1">
        <v>4025</v>
      </c>
      <c r="H640" s="2">
        <v>103.6</v>
      </c>
      <c r="I640" s="2">
        <v>-17.3</v>
      </c>
      <c r="J640" s="2">
        <v>-19</v>
      </c>
      <c r="K640" s="2">
        <f t="shared" si="83"/>
        <v>-17.3</v>
      </c>
      <c r="L640" s="8">
        <f t="shared" si="87"/>
        <v>8.1283051616409777E-13</v>
      </c>
      <c r="M640" s="26"/>
      <c r="N640" s="17"/>
      <c r="O640" s="9">
        <f t="shared" si="85"/>
        <v>-19</v>
      </c>
      <c r="P640" s="8">
        <f>D638/B638*10^(O640/10)</f>
        <v>1.9723164784775273</v>
      </c>
      <c r="Q640" s="26"/>
      <c r="R640" s="17"/>
      <c r="S640" s="19"/>
      <c r="T640" s="17"/>
      <c r="U640" s="22"/>
    </row>
    <row r="641" spans="1:21" x14ac:dyDescent="0.25">
      <c r="A641" s="24"/>
      <c r="B641" s="24"/>
      <c r="C641" s="17"/>
      <c r="D641" s="24"/>
      <c r="E641" s="24"/>
      <c r="F641" s="25"/>
      <c r="G641" s="1">
        <v>4625</v>
      </c>
      <c r="H641" s="2">
        <v>105.6</v>
      </c>
      <c r="I641" s="2">
        <v>-16.600000000000001</v>
      </c>
      <c r="J641" s="2">
        <v>-20.5</v>
      </c>
      <c r="K641" s="2">
        <f t="shared" si="83"/>
        <v>-16.600000000000001</v>
      </c>
      <c r="L641" s="8">
        <f t="shared" si="87"/>
        <v>6.0255958607435742E-13</v>
      </c>
      <c r="M641" s="26"/>
      <c r="N641" s="17"/>
      <c r="O641" s="9">
        <f t="shared" si="85"/>
        <v>-20.5</v>
      </c>
      <c r="P641" s="8">
        <f>D638/B638*10^(O641/10)</f>
        <v>1.3962931364095346</v>
      </c>
      <c r="Q641" s="26"/>
      <c r="R641" s="17"/>
      <c r="S641" s="19"/>
      <c r="T641" s="17"/>
      <c r="U641" s="22"/>
    </row>
    <row r="642" spans="1:21" x14ac:dyDescent="0.25">
      <c r="A642" s="24"/>
      <c r="B642" s="24"/>
      <c r="C642" s="17"/>
      <c r="D642" s="24"/>
      <c r="E642" s="24"/>
      <c r="F642" s="25"/>
      <c r="G642" s="1">
        <v>5225</v>
      </c>
      <c r="H642" s="2">
        <v>103.5</v>
      </c>
      <c r="I642" s="2">
        <v>-15.7</v>
      </c>
      <c r="J642" s="2">
        <v>-23.1</v>
      </c>
      <c r="K642" s="2">
        <f t="shared" si="83"/>
        <v>-15.7</v>
      </c>
      <c r="L642" s="8">
        <f t="shared" si="87"/>
        <v>1.2022644346174088E-12</v>
      </c>
      <c r="M642" s="26"/>
      <c r="N642" s="17"/>
      <c r="O642" s="9">
        <f t="shared" si="85"/>
        <v>-23.1</v>
      </c>
      <c r="P642" s="8">
        <f>D638/B638*10^(O642/10)</f>
        <v>0.76732015034389811</v>
      </c>
      <c r="Q642" s="26"/>
      <c r="R642" s="17"/>
      <c r="S642" s="19"/>
      <c r="T642" s="17"/>
      <c r="U642" s="22"/>
    </row>
    <row r="643" spans="1:21" x14ac:dyDescent="0.25">
      <c r="A643" s="24"/>
      <c r="B643" s="24"/>
      <c r="C643" s="17"/>
      <c r="D643" s="24"/>
      <c r="E643" s="24"/>
      <c r="F643" s="25"/>
      <c r="G643" s="1">
        <v>5625</v>
      </c>
      <c r="H643" s="2">
        <v>99.5</v>
      </c>
      <c r="I643" s="2">
        <v>-19.100000000000001</v>
      </c>
      <c r="J643" s="2">
        <v>-19.600000000000001</v>
      </c>
      <c r="K643" s="2">
        <f t="shared" si="83"/>
        <v>-19.100000000000001</v>
      </c>
      <c r="L643" s="8">
        <f t="shared" si="87"/>
        <v>1.3803842646028842E-12</v>
      </c>
      <c r="M643" s="26"/>
      <c r="N643" s="17"/>
      <c r="O643" s="9">
        <f t="shared" si="85"/>
        <v>-19.600000000000001</v>
      </c>
      <c r="P643" s="8">
        <f>D638/B638*10^(O643/10)</f>
        <v>1.7178158406243218</v>
      </c>
      <c r="Q643" s="26"/>
      <c r="R643" s="17"/>
      <c r="S643" s="20"/>
      <c r="T643" s="17"/>
      <c r="U643" s="23"/>
    </row>
    <row r="644" spans="1:21" x14ac:dyDescent="0.25">
      <c r="A644" s="24">
        <v>8000</v>
      </c>
      <c r="B644" s="24">
        <v>3</v>
      </c>
      <c r="C644" s="17">
        <v>0.5</v>
      </c>
      <c r="D644" s="24">
        <v>943</v>
      </c>
      <c r="E644" s="24">
        <v>6</v>
      </c>
      <c r="F644" s="25">
        <v>54</v>
      </c>
      <c r="G644" s="1">
        <v>6025</v>
      </c>
      <c r="H644" s="2">
        <v>95</v>
      </c>
      <c r="I644" s="2">
        <v>-16.399999999999999</v>
      </c>
      <c r="J644" s="2">
        <v>-20.9</v>
      </c>
      <c r="K644" s="2">
        <f t="shared" si="83"/>
        <v>-16.399999999999999</v>
      </c>
      <c r="L644" s="8">
        <f t="shared" si="87"/>
        <v>7.2443596007498734E-12</v>
      </c>
      <c r="M644" s="26">
        <f>SUM(L644:L649)</f>
        <v>2.083654648502546E-10</v>
      </c>
      <c r="N644" s="17">
        <f>10*LOG10(M644/E644)</f>
        <v>-104.59325511129671</v>
      </c>
      <c r="O644" s="9">
        <f t="shared" si="85"/>
        <v>-20.9</v>
      </c>
      <c r="P644" s="8">
        <f>D644/B644*10^(O644/10)</f>
        <v>2.5549972558091509</v>
      </c>
      <c r="Q644" s="26">
        <f>SUM(P644:P649)</f>
        <v>15.898588857569216</v>
      </c>
      <c r="R644" s="17">
        <f>10*LOG10(Q644)</f>
        <v>12.013585784985587</v>
      </c>
      <c r="S644" s="18">
        <f>F644+N644-Kzt-H</f>
        <v>-50.593255111296713</v>
      </c>
      <c r="T644" s="17">
        <v>0.7</v>
      </c>
      <c r="U644" s="21">
        <f>T644*10^((S644-R644)/10)</f>
        <v>3.8407315270662254E-7</v>
      </c>
    </row>
    <row r="645" spans="1:21" x14ac:dyDescent="0.25">
      <c r="A645" s="24"/>
      <c r="B645" s="24"/>
      <c r="C645" s="17"/>
      <c r="D645" s="24"/>
      <c r="E645" s="24"/>
      <c r="F645" s="25"/>
      <c r="G645" s="1">
        <v>7025</v>
      </c>
      <c r="H645" s="2">
        <v>94.8</v>
      </c>
      <c r="I645" s="2">
        <v>-16.8</v>
      </c>
      <c r="J645" s="2">
        <v>-19.8</v>
      </c>
      <c r="K645" s="2">
        <f t="shared" si="83"/>
        <v>-16.8</v>
      </c>
      <c r="L645" s="8">
        <f t="shared" si="87"/>
        <v>6.9183097091893405E-12</v>
      </c>
      <c r="M645" s="26"/>
      <c r="N645" s="17"/>
      <c r="O645" s="9">
        <f t="shared" si="85"/>
        <v>-19.8</v>
      </c>
      <c r="P645" s="8">
        <f>D644/B644*10^(O645/10)</f>
        <v>3.2914740693733253</v>
      </c>
      <c r="Q645" s="26"/>
      <c r="R645" s="17"/>
      <c r="S645" s="19"/>
      <c r="T645" s="17"/>
      <c r="U645" s="22"/>
    </row>
    <row r="646" spans="1:21" x14ac:dyDescent="0.25">
      <c r="A646" s="24"/>
      <c r="B646" s="24"/>
      <c r="C646" s="17"/>
      <c r="D646" s="24"/>
      <c r="E646" s="24"/>
      <c r="F646" s="25"/>
      <c r="G646" s="1">
        <v>8025</v>
      </c>
      <c r="H646" s="2">
        <v>101.9</v>
      </c>
      <c r="I646" s="2">
        <v>-18.600000000000001</v>
      </c>
      <c r="J646" s="2">
        <v>-22.2</v>
      </c>
      <c r="K646" s="2">
        <f t="shared" si="83"/>
        <v>-18.600000000000001</v>
      </c>
      <c r="L646" s="8">
        <f t="shared" si="87"/>
        <v>8.9125093813374051E-13</v>
      </c>
      <c r="M646" s="26"/>
      <c r="N646" s="17"/>
      <c r="O646" s="9">
        <f t="shared" si="85"/>
        <v>-22.2</v>
      </c>
      <c r="P646" s="8">
        <f>D644/B644*10^(O646/10)</f>
        <v>1.8940456322270642</v>
      </c>
      <c r="Q646" s="26"/>
      <c r="R646" s="17"/>
      <c r="S646" s="19"/>
      <c r="T646" s="17"/>
      <c r="U646" s="22"/>
    </row>
    <row r="647" spans="1:21" x14ac:dyDescent="0.25">
      <c r="A647" s="24"/>
      <c r="B647" s="24"/>
      <c r="C647" s="17"/>
      <c r="D647" s="24"/>
      <c r="E647" s="24"/>
      <c r="F647" s="25"/>
      <c r="G647" s="1">
        <v>9025</v>
      </c>
      <c r="H647" s="2">
        <v>93.2</v>
      </c>
      <c r="I647" s="2">
        <v>-20.399999999999999</v>
      </c>
      <c r="J647" s="2">
        <v>-21.3</v>
      </c>
      <c r="K647" s="2">
        <f t="shared" si="83"/>
        <v>-20.399999999999999</v>
      </c>
      <c r="L647" s="8">
        <f t="shared" si="87"/>
        <v>4.3651583224016522E-12</v>
      </c>
      <c r="M647" s="26"/>
      <c r="N647" s="17"/>
      <c r="O647" s="9">
        <f t="shared" si="85"/>
        <v>-21.3</v>
      </c>
      <c r="P647" s="8">
        <f>D644/B644*10^(O647/10)</f>
        <v>2.3301851918225505</v>
      </c>
      <c r="Q647" s="26"/>
      <c r="R647" s="17"/>
      <c r="S647" s="19"/>
      <c r="T647" s="17"/>
      <c r="U647" s="22"/>
    </row>
    <row r="648" spans="1:21" x14ac:dyDescent="0.25">
      <c r="A648" s="24"/>
      <c r="B648" s="24"/>
      <c r="C648" s="17"/>
      <c r="D648" s="24"/>
      <c r="E648" s="24"/>
      <c r="F648" s="25"/>
      <c r="G648" s="1">
        <v>10025</v>
      </c>
      <c r="H648" s="2">
        <v>88.3</v>
      </c>
      <c r="I648" s="2">
        <v>-11.1</v>
      </c>
      <c r="J648" s="2">
        <v>-18</v>
      </c>
      <c r="K648" s="2">
        <f t="shared" si="83"/>
        <v>-11.1</v>
      </c>
      <c r="L648" s="8">
        <f t="shared" si="87"/>
        <v>1.1481536214968818E-10</v>
      </c>
      <c r="M648" s="26"/>
      <c r="N648" s="17"/>
      <c r="O648" s="9">
        <f t="shared" si="85"/>
        <v>-18</v>
      </c>
      <c r="P648" s="8">
        <f>D644/B644*10^(O648/10)</f>
        <v>4.9818476016360966</v>
      </c>
      <c r="Q648" s="26"/>
      <c r="R648" s="17"/>
      <c r="S648" s="19"/>
      <c r="T648" s="17"/>
      <c r="U648" s="22"/>
    </row>
    <row r="649" spans="1:21" x14ac:dyDescent="0.25">
      <c r="A649" s="24"/>
      <c r="B649" s="24"/>
      <c r="C649" s="17"/>
      <c r="D649" s="24"/>
      <c r="E649" s="24"/>
      <c r="F649" s="25"/>
      <c r="G649" s="1">
        <v>11025</v>
      </c>
      <c r="H649" s="2">
        <v>86</v>
      </c>
      <c r="I649" s="2">
        <v>-15.3</v>
      </c>
      <c r="J649" s="2">
        <v>-25.7</v>
      </c>
      <c r="K649" s="2">
        <f t="shared" si="83"/>
        <v>-15.3</v>
      </c>
      <c r="L649" s="8">
        <f t="shared" si="87"/>
        <v>7.413102413009181E-11</v>
      </c>
      <c r="M649" s="26"/>
      <c r="N649" s="17"/>
      <c r="O649" s="9">
        <f t="shared" si="85"/>
        <v>-25.7</v>
      </c>
      <c r="P649" s="8">
        <f>D644/B644*10^(O649/10)</f>
        <v>0.84603910670102689</v>
      </c>
      <c r="Q649" s="26"/>
      <c r="R649" s="17"/>
      <c r="S649" s="20"/>
      <c r="T649" s="17"/>
      <c r="U649" s="23"/>
    </row>
    <row r="650" spans="1:21" x14ac:dyDescent="0.25">
      <c r="A650" s="24" t="s">
        <v>20</v>
      </c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12">
        <f>U650</f>
        <v>7.1177608774856835E-2</v>
      </c>
      <c r="T650" s="2"/>
      <c r="U650" s="8">
        <f>0.8*SQRT(SUM(U616:U649))</f>
        <v>7.1177608774856835E-2</v>
      </c>
    </row>
    <row r="651" spans="1:21" x14ac:dyDescent="0.25">
      <c r="A651" s="27" t="s">
        <v>70</v>
      </c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9"/>
    </row>
    <row r="652" spans="1:21" x14ac:dyDescent="0.25">
      <c r="A652" s="24">
        <v>250</v>
      </c>
      <c r="B652" s="24">
        <v>3</v>
      </c>
      <c r="C652" s="17">
        <v>0.5</v>
      </c>
      <c r="D652" s="24">
        <v>38</v>
      </c>
      <c r="E652" s="24">
        <v>4</v>
      </c>
      <c r="F652" s="25">
        <v>84</v>
      </c>
      <c r="G652" s="1">
        <v>175</v>
      </c>
      <c r="H652" s="2">
        <v>84.8</v>
      </c>
      <c r="I652" s="2">
        <v>-5.0999999999999996</v>
      </c>
      <c r="J652" s="2">
        <v>-9.3000000000000007</v>
      </c>
      <c r="K652" s="2">
        <f>I652</f>
        <v>-5.0999999999999996</v>
      </c>
      <c r="L652" s="8">
        <f>10^((K652-H652)/10)</f>
        <v>1.0232929922807547E-9</v>
      </c>
      <c r="M652" s="26">
        <f>SUM(L652:L655)</f>
        <v>1.0874038290620685E-9</v>
      </c>
      <c r="N652" s="17">
        <f>10*LOG10(M652/E652)</f>
        <v>-95.656691333836235</v>
      </c>
      <c r="O652" s="9">
        <f>J652</f>
        <v>-9.3000000000000007</v>
      </c>
      <c r="P652" s="8">
        <f>D652/B652*10^(O652/10)</f>
        <v>1.4882035695900702</v>
      </c>
      <c r="Q652" s="26">
        <f>SUM(P652:P655)</f>
        <v>2.2968996881552979</v>
      </c>
      <c r="R652" s="17">
        <f>10*LOG10(Q652)</f>
        <v>3.6114202879019013</v>
      </c>
      <c r="S652" s="18">
        <f>F652+N652-Kzt-H</f>
        <v>-11.656691333836235</v>
      </c>
      <c r="T652" s="17">
        <v>0.2</v>
      </c>
      <c r="U652" s="21">
        <f>T652*10^((S652-R652)/10)</f>
        <v>5.9459168762965621E-3</v>
      </c>
    </row>
    <row r="653" spans="1:21" x14ac:dyDescent="0.25">
      <c r="A653" s="24"/>
      <c r="B653" s="24"/>
      <c r="C653" s="17"/>
      <c r="D653" s="24"/>
      <c r="E653" s="24"/>
      <c r="F653" s="25"/>
      <c r="G653" s="1">
        <v>225</v>
      </c>
      <c r="H653" s="2">
        <v>90</v>
      </c>
      <c r="I653" s="2">
        <v>-14.8</v>
      </c>
      <c r="J653" s="2">
        <v>-19.7</v>
      </c>
      <c r="K653" s="2">
        <f t="shared" ref="K653:K685" si="88">I653</f>
        <v>-14.8</v>
      </c>
      <c r="L653" s="8">
        <f t="shared" ref="L653:L654" si="89">10^((K653-H653)/10)</f>
        <v>3.3113112148259015E-11</v>
      </c>
      <c r="M653" s="26"/>
      <c r="N653" s="17"/>
      <c r="O653" s="9">
        <f t="shared" ref="O653:O685" si="90">J653</f>
        <v>-19.7</v>
      </c>
      <c r="P653" s="8">
        <f>D652/B652*10^(O653/10)</f>
        <v>0.13572577866343005</v>
      </c>
      <c r="Q653" s="26"/>
      <c r="R653" s="17"/>
      <c r="S653" s="19"/>
      <c r="T653" s="17"/>
      <c r="U653" s="22"/>
    </row>
    <row r="654" spans="1:21" x14ac:dyDescent="0.25">
      <c r="A654" s="24"/>
      <c r="B654" s="24"/>
      <c r="C654" s="17"/>
      <c r="D654" s="24"/>
      <c r="E654" s="24"/>
      <c r="F654" s="25"/>
      <c r="G654" s="1">
        <v>275</v>
      </c>
      <c r="H654" s="2">
        <v>92.2</v>
      </c>
      <c r="I654" s="2">
        <v>-18.2</v>
      </c>
      <c r="J654" s="2">
        <v>-19.8</v>
      </c>
      <c r="K654" s="2">
        <f t="shared" si="88"/>
        <v>-18.2</v>
      </c>
      <c r="L654" s="8">
        <f t="shared" si="89"/>
        <v>9.1201083935590542E-12</v>
      </c>
      <c r="M654" s="26"/>
      <c r="N654" s="17"/>
      <c r="O654" s="9">
        <f t="shared" si="90"/>
        <v>-19.8</v>
      </c>
      <c r="P654" s="8">
        <f>D652/B652*10^(O654/10)</f>
        <v>0.13263628275311384</v>
      </c>
      <c r="Q654" s="26"/>
      <c r="R654" s="17"/>
      <c r="S654" s="19"/>
      <c r="T654" s="17"/>
      <c r="U654" s="22"/>
    </row>
    <row r="655" spans="1:21" x14ac:dyDescent="0.25">
      <c r="A655" s="24"/>
      <c r="B655" s="24"/>
      <c r="C655" s="17"/>
      <c r="D655" s="24"/>
      <c r="E655" s="24"/>
      <c r="F655" s="25"/>
      <c r="G655" s="1">
        <v>325</v>
      </c>
      <c r="H655" s="2">
        <v>93.3</v>
      </c>
      <c r="I655" s="2">
        <v>-13.3</v>
      </c>
      <c r="J655" s="2">
        <v>-13.7</v>
      </c>
      <c r="K655" s="2">
        <f t="shared" si="88"/>
        <v>-13.3</v>
      </c>
      <c r="L655" s="8">
        <f>10^((K655-H655)/10)</f>
        <v>2.1877616239495499E-11</v>
      </c>
      <c r="M655" s="26"/>
      <c r="N655" s="17"/>
      <c r="O655" s="9">
        <f t="shared" si="90"/>
        <v>-13.7</v>
      </c>
      <c r="P655" s="8">
        <f>D652/B652*10^(O655/10)</f>
        <v>0.54033405714868388</v>
      </c>
      <c r="Q655" s="26"/>
      <c r="R655" s="17"/>
      <c r="S655" s="20"/>
      <c r="T655" s="17"/>
      <c r="U655" s="23"/>
    </row>
    <row r="656" spans="1:21" x14ac:dyDescent="0.25">
      <c r="A656" s="24">
        <v>500</v>
      </c>
      <c r="B656" s="24">
        <v>3</v>
      </c>
      <c r="C656" s="17">
        <v>0.5</v>
      </c>
      <c r="D656" s="24">
        <v>59</v>
      </c>
      <c r="E656" s="24">
        <v>6</v>
      </c>
      <c r="F656" s="25">
        <v>84</v>
      </c>
      <c r="G656" s="1">
        <v>375</v>
      </c>
      <c r="H656" s="2">
        <v>91.9</v>
      </c>
      <c r="I656" s="2">
        <v>-12.3</v>
      </c>
      <c r="J656" s="2">
        <v>-12.9</v>
      </c>
      <c r="K656" s="2">
        <f t="shared" si="88"/>
        <v>-12.3</v>
      </c>
      <c r="L656" s="8">
        <f t="shared" ref="L656:L657" si="91">10^((K656-H656)/10)</f>
        <v>3.8018939632055986E-11</v>
      </c>
      <c r="M656" s="26">
        <f>SUM(L656:L661)</f>
        <v>1.473876260679081E-10</v>
      </c>
      <c r="N656" s="17">
        <f>10*LOG10(M656/E656)</f>
        <v>-106.09690226535</v>
      </c>
      <c r="O656" s="9">
        <f t="shared" si="90"/>
        <v>-12.9</v>
      </c>
      <c r="P656" s="8">
        <f>D656/B656*10^(O656/10)</f>
        <v>1.0086273885163504</v>
      </c>
      <c r="Q656" s="26">
        <f>SUM(P656:P661)</f>
        <v>2.4515812250220517</v>
      </c>
      <c r="R656" s="17">
        <f>10*LOG10(Q656)</f>
        <v>3.8944628672945116</v>
      </c>
      <c r="S656" s="18">
        <f>F656+N656-Kzt-H</f>
        <v>-22.096902265349996</v>
      </c>
      <c r="T656" s="17">
        <v>0.5</v>
      </c>
      <c r="U656" s="21">
        <f>T656*10^((S656-R656)/10)</f>
        <v>1.2584428310788674E-3</v>
      </c>
    </row>
    <row r="657" spans="1:21" x14ac:dyDescent="0.25">
      <c r="A657" s="24"/>
      <c r="B657" s="24"/>
      <c r="C657" s="17"/>
      <c r="D657" s="24"/>
      <c r="E657" s="24"/>
      <c r="F657" s="25"/>
      <c r="G657" s="1">
        <v>425</v>
      </c>
      <c r="H657" s="2">
        <v>88.1</v>
      </c>
      <c r="I657" s="2">
        <v>-13.6</v>
      </c>
      <c r="J657" s="2">
        <v>-15.5</v>
      </c>
      <c r="K657" s="2">
        <f t="shared" si="88"/>
        <v>-13.6</v>
      </c>
      <c r="L657" s="8">
        <f t="shared" si="91"/>
        <v>6.7608297539198256E-11</v>
      </c>
      <c r="M657" s="26"/>
      <c r="N657" s="17"/>
      <c r="O657" s="9">
        <f t="shared" si="90"/>
        <v>-15.5</v>
      </c>
      <c r="P657" s="8">
        <f>D656/B656*10^(O657/10)</f>
        <v>0.55428197648200916</v>
      </c>
      <c r="Q657" s="26"/>
      <c r="R657" s="17"/>
      <c r="S657" s="19"/>
      <c r="T657" s="17"/>
      <c r="U657" s="22"/>
    </row>
    <row r="658" spans="1:21" x14ac:dyDescent="0.25">
      <c r="A658" s="24"/>
      <c r="B658" s="24"/>
      <c r="C658" s="17"/>
      <c r="D658" s="24"/>
      <c r="E658" s="24"/>
      <c r="F658" s="25"/>
      <c r="G658" s="1">
        <v>475</v>
      </c>
      <c r="H658" s="2">
        <v>90</v>
      </c>
      <c r="I658" s="2">
        <v>-15.4</v>
      </c>
      <c r="J658" s="2">
        <v>-15.5</v>
      </c>
      <c r="K658" s="2">
        <f t="shared" si="88"/>
        <v>-15.4</v>
      </c>
      <c r="L658" s="8">
        <f>10^((K658-H658)/10)</f>
        <v>2.8840315031265894E-11</v>
      </c>
      <c r="M658" s="26"/>
      <c r="N658" s="17"/>
      <c r="O658" s="9">
        <f t="shared" si="90"/>
        <v>-15.5</v>
      </c>
      <c r="P658" s="8">
        <f>D656/B656*10^(O658/10)</f>
        <v>0.55428197648200916</v>
      </c>
      <c r="Q658" s="26"/>
      <c r="R658" s="17"/>
      <c r="S658" s="19"/>
      <c r="T658" s="17"/>
      <c r="U658" s="22"/>
    </row>
    <row r="659" spans="1:21" x14ac:dyDescent="0.25">
      <c r="A659" s="24"/>
      <c r="B659" s="24"/>
      <c r="C659" s="17"/>
      <c r="D659" s="24"/>
      <c r="E659" s="24"/>
      <c r="F659" s="25"/>
      <c r="G659" s="1">
        <v>575</v>
      </c>
      <c r="H659" s="2">
        <v>97</v>
      </c>
      <c r="I659" s="2">
        <v>-22.3</v>
      </c>
      <c r="J659" s="2">
        <v>-23.2</v>
      </c>
      <c r="K659" s="2">
        <f t="shared" si="88"/>
        <v>-22.3</v>
      </c>
      <c r="L659" s="8">
        <f t="shared" ref="L659:L685" si="92">10^((K659-H659)/10)</f>
        <v>1.1748975549395258E-12</v>
      </c>
      <c r="M659" s="26"/>
      <c r="N659" s="17"/>
      <c r="O659" s="9">
        <f t="shared" si="90"/>
        <v>-23.2</v>
      </c>
      <c r="P659" s="8">
        <f>D656/B656*10^(O659/10)</f>
        <v>9.4130584823452212E-2</v>
      </c>
      <c r="Q659" s="26"/>
      <c r="R659" s="17"/>
      <c r="S659" s="19"/>
      <c r="T659" s="17"/>
      <c r="U659" s="22"/>
    </row>
    <row r="660" spans="1:21" x14ac:dyDescent="0.25">
      <c r="A660" s="24"/>
      <c r="B660" s="24"/>
      <c r="C660" s="17"/>
      <c r="D660" s="24"/>
      <c r="E660" s="24"/>
      <c r="F660" s="25"/>
      <c r="G660" s="1">
        <v>625</v>
      </c>
      <c r="H660" s="2">
        <v>92</v>
      </c>
      <c r="I660" s="2">
        <v>-19</v>
      </c>
      <c r="J660" s="2">
        <v>-20.3</v>
      </c>
      <c r="K660" s="2">
        <f t="shared" si="88"/>
        <v>-19</v>
      </c>
      <c r="L660" s="8">
        <f t="shared" si="92"/>
        <v>7.9432823472428101E-12</v>
      </c>
      <c r="M660" s="26"/>
      <c r="N660" s="17"/>
      <c r="O660" s="9">
        <f t="shared" si="90"/>
        <v>-20.3</v>
      </c>
      <c r="P660" s="8">
        <f>D656/B656*10^(O660/10)</f>
        <v>0.18354001249007473</v>
      </c>
      <c r="Q660" s="26"/>
      <c r="R660" s="17"/>
      <c r="S660" s="19"/>
      <c r="T660" s="17"/>
      <c r="U660" s="22"/>
    </row>
    <row r="661" spans="1:21" x14ac:dyDescent="0.25">
      <c r="A661" s="24"/>
      <c r="B661" s="24"/>
      <c r="C661" s="17"/>
      <c r="D661" s="24"/>
      <c r="E661" s="24"/>
      <c r="F661" s="25"/>
      <c r="G661" s="1">
        <v>675</v>
      </c>
      <c r="H661" s="2">
        <v>94.5</v>
      </c>
      <c r="I661" s="2">
        <v>-19.7</v>
      </c>
      <c r="J661" s="2">
        <v>-25.4</v>
      </c>
      <c r="K661" s="2">
        <f t="shared" si="88"/>
        <v>-19.7</v>
      </c>
      <c r="L661" s="8">
        <f t="shared" si="92"/>
        <v>3.8018939632056084E-12</v>
      </c>
      <c r="M661" s="26"/>
      <c r="N661" s="17"/>
      <c r="O661" s="9">
        <f t="shared" si="90"/>
        <v>-25.4</v>
      </c>
      <c r="P661" s="8">
        <f>D656/B656*10^(O661/10)</f>
        <v>5.671928622815655E-2</v>
      </c>
      <c r="Q661" s="26"/>
      <c r="R661" s="17"/>
      <c r="S661" s="20"/>
      <c r="T661" s="17"/>
      <c r="U661" s="23"/>
    </row>
    <row r="662" spans="1:21" x14ac:dyDescent="0.25">
      <c r="A662" s="24">
        <v>1000</v>
      </c>
      <c r="B662" s="24">
        <v>3</v>
      </c>
      <c r="C662" s="17">
        <v>0.5</v>
      </c>
      <c r="D662" s="24">
        <v>117</v>
      </c>
      <c r="E662" s="24">
        <v>6</v>
      </c>
      <c r="F662" s="25">
        <v>76</v>
      </c>
      <c r="G662" s="1">
        <v>875</v>
      </c>
      <c r="H662" s="2">
        <v>91.1</v>
      </c>
      <c r="I662" s="2">
        <v>-16.5</v>
      </c>
      <c r="J662" s="2">
        <v>-20.7</v>
      </c>
      <c r="K662" s="2">
        <f t="shared" si="88"/>
        <v>-16.5</v>
      </c>
      <c r="L662" s="8">
        <f t="shared" si="92"/>
        <v>1.7378008287493749E-11</v>
      </c>
      <c r="M662" s="26">
        <f>SUM(L662:L667)</f>
        <v>3.9626358006834044E-11</v>
      </c>
      <c r="N662" s="17">
        <f>10*LOG10(M662/E662)</f>
        <v>-111.80167091504374</v>
      </c>
      <c r="O662" s="9">
        <f t="shared" si="90"/>
        <v>-20.7</v>
      </c>
      <c r="P662" s="8">
        <f>D662/B662*10^(O662/10)</f>
        <v>0.33194383489892693</v>
      </c>
      <c r="Q662" s="26">
        <f>SUM(P662:P667)</f>
        <v>3.510816904574158</v>
      </c>
      <c r="R662" s="17">
        <f>10*LOG10(Q662)</f>
        <v>5.4540818081637514</v>
      </c>
      <c r="S662" s="18">
        <f>F662+N662-Kzt-H</f>
        <v>-35.801670915043744</v>
      </c>
      <c r="T662" s="17">
        <v>0.8</v>
      </c>
      <c r="U662" s="21">
        <f>T662*10^((S662-R662)/10)</f>
        <v>5.9912123756295534E-5</v>
      </c>
    </row>
    <row r="663" spans="1:21" x14ac:dyDescent="0.25">
      <c r="A663" s="24"/>
      <c r="B663" s="24"/>
      <c r="C663" s="17"/>
      <c r="D663" s="24"/>
      <c r="E663" s="24"/>
      <c r="F663" s="25"/>
      <c r="G663" s="1">
        <v>975</v>
      </c>
      <c r="H663" s="2">
        <v>96.5</v>
      </c>
      <c r="I663" s="2">
        <v>-17.5</v>
      </c>
      <c r="J663" s="2">
        <v>-19.3</v>
      </c>
      <c r="K663" s="2">
        <f t="shared" si="88"/>
        <v>-17.5</v>
      </c>
      <c r="L663" s="8">
        <f t="shared" si="92"/>
        <v>3.9810717055349533E-12</v>
      </c>
      <c r="M663" s="26"/>
      <c r="N663" s="17"/>
      <c r="O663" s="9">
        <f t="shared" si="90"/>
        <v>-19.3</v>
      </c>
      <c r="P663" s="8">
        <f>D662/B662*10^(O663/10)</f>
        <v>0.45821004642641605</v>
      </c>
      <c r="Q663" s="26"/>
      <c r="R663" s="17"/>
      <c r="S663" s="19"/>
      <c r="T663" s="17"/>
      <c r="U663" s="22"/>
    </row>
    <row r="664" spans="1:21" x14ac:dyDescent="0.25">
      <c r="A664" s="24"/>
      <c r="B664" s="24"/>
      <c r="C664" s="17"/>
      <c r="D664" s="24"/>
      <c r="E664" s="24"/>
      <c r="F664" s="25"/>
      <c r="G664" s="1">
        <v>1075</v>
      </c>
      <c r="H664" s="2">
        <v>94.6</v>
      </c>
      <c r="I664" s="2">
        <v>-16.399999999999999</v>
      </c>
      <c r="J664" s="2">
        <v>-24.2</v>
      </c>
      <c r="K664" s="2">
        <f t="shared" si="88"/>
        <v>-16.399999999999999</v>
      </c>
      <c r="L664" s="8">
        <f t="shared" si="92"/>
        <v>7.9432823472428101E-12</v>
      </c>
      <c r="M664" s="26"/>
      <c r="N664" s="17"/>
      <c r="O664" s="9">
        <f t="shared" si="90"/>
        <v>-24.2</v>
      </c>
      <c r="P664" s="8">
        <f>D662/B662*10^(O664/10)</f>
        <v>0.14827386456501887</v>
      </c>
      <c r="Q664" s="26"/>
      <c r="R664" s="17"/>
      <c r="S664" s="19"/>
      <c r="T664" s="17"/>
      <c r="U664" s="22"/>
    </row>
    <row r="665" spans="1:21" x14ac:dyDescent="0.25">
      <c r="A665" s="24"/>
      <c r="B665" s="24"/>
      <c r="C665" s="17"/>
      <c r="D665" s="24"/>
      <c r="E665" s="24"/>
      <c r="F665" s="25"/>
      <c r="G665" s="1">
        <v>1175</v>
      </c>
      <c r="H665" s="2">
        <v>97.8</v>
      </c>
      <c r="I665" s="2">
        <v>-16.899999999999999</v>
      </c>
      <c r="J665" s="2">
        <v>-24.1</v>
      </c>
      <c r="K665" s="2">
        <f t="shared" si="88"/>
        <v>-16.899999999999999</v>
      </c>
      <c r="L665" s="8">
        <f t="shared" si="92"/>
        <v>3.3884415613920236E-12</v>
      </c>
      <c r="M665" s="26"/>
      <c r="N665" s="17"/>
      <c r="O665" s="9">
        <f t="shared" si="90"/>
        <v>-24.1</v>
      </c>
      <c r="P665" s="8">
        <f>D662/B662*10^(O665/10)</f>
        <v>0.15172760654776929</v>
      </c>
      <c r="Q665" s="26"/>
      <c r="R665" s="17"/>
      <c r="S665" s="19"/>
      <c r="T665" s="17"/>
      <c r="U665" s="22"/>
    </row>
    <row r="666" spans="1:21" x14ac:dyDescent="0.25">
      <c r="A666" s="24"/>
      <c r="B666" s="24"/>
      <c r="C666" s="17"/>
      <c r="D666" s="24"/>
      <c r="E666" s="24"/>
      <c r="F666" s="25"/>
      <c r="G666" s="1">
        <v>1275</v>
      </c>
      <c r="H666" s="2">
        <v>100.1</v>
      </c>
      <c r="I666" s="2">
        <v>-13.5</v>
      </c>
      <c r="J666" s="2">
        <v>-15.5</v>
      </c>
      <c r="K666" s="2">
        <f t="shared" si="88"/>
        <v>-13.5</v>
      </c>
      <c r="L666" s="8">
        <f t="shared" si="92"/>
        <v>4.3651583224016522E-12</v>
      </c>
      <c r="M666" s="26"/>
      <c r="N666" s="17"/>
      <c r="O666" s="9">
        <f t="shared" si="90"/>
        <v>-15.5</v>
      </c>
      <c r="P666" s="8">
        <f>D662/B662*10^(O666/10)</f>
        <v>1.0991693431931369</v>
      </c>
      <c r="Q666" s="26"/>
      <c r="R666" s="17"/>
      <c r="S666" s="19"/>
      <c r="T666" s="17"/>
      <c r="U666" s="22"/>
    </row>
    <row r="667" spans="1:21" x14ac:dyDescent="0.25">
      <c r="A667" s="24"/>
      <c r="B667" s="24"/>
      <c r="C667" s="17"/>
      <c r="D667" s="24"/>
      <c r="E667" s="24"/>
      <c r="F667" s="25"/>
      <c r="G667" s="1">
        <v>1375</v>
      </c>
      <c r="H667" s="2">
        <v>103</v>
      </c>
      <c r="I667" s="2">
        <v>-12.9</v>
      </c>
      <c r="J667" s="2">
        <v>-14.7</v>
      </c>
      <c r="K667" s="2">
        <f t="shared" si="88"/>
        <v>-12.9</v>
      </c>
      <c r="L667" s="8">
        <f t="shared" si="92"/>
        <v>2.5703957827688561E-12</v>
      </c>
      <c r="M667" s="26"/>
      <c r="N667" s="17"/>
      <c r="O667" s="9">
        <f t="shared" si="90"/>
        <v>-14.7</v>
      </c>
      <c r="P667" s="8">
        <f>D662/B662*10^(O667/10)</f>
        <v>1.3214922089428898</v>
      </c>
      <c r="Q667" s="26"/>
      <c r="R667" s="17"/>
      <c r="S667" s="20"/>
      <c r="T667" s="17"/>
      <c r="U667" s="23"/>
    </row>
    <row r="668" spans="1:21" x14ac:dyDescent="0.25">
      <c r="A668" s="24">
        <v>2000</v>
      </c>
      <c r="B668" s="24">
        <v>3</v>
      </c>
      <c r="C668" s="17">
        <v>0.5</v>
      </c>
      <c r="D668" s="24">
        <v>234</v>
      </c>
      <c r="E668" s="24">
        <v>6</v>
      </c>
      <c r="F668" s="25">
        <v>68</v>
      </c>
      <c r="G668" s="1">
        <v>1425</v>
      </c>
      <c r="H668" s="2">
        <v>102.8</v>
      </c>
      <c r="I668" s="2">
        <v>-15.4</v>
      </c>
      <c r="J668" s="2">
        <v>-15.4</v>
      </c>
      <c r="K668" s="2">
        <f t="shared" si="88"/>
        <v>-15.4</v>
      </c>
      <c r="L668" s="8">
        <f t="shared" si="92"/>
        <v>1.5135612484362015E-12</v>
      </c>
      <c r="M668" s="26">
        <f>SUM(L668:L673)</f>
        <v>9.3229321324156873E-12</v>
      </c>
      <c r="N668" s="17">
        <f>10*LOG10(M668/E668)</f>
        <v>-118.08598727658526</v>
      </c>
      <c r="O668" s="9">
        <f t="shared" si="90"/>
        <v>-15.4</v>
      </c>
      <c r="P668" s="8">
        <f>D668/B668*10^(O668/10)</f>
        <v>2.2495445724387517</v>
      </c>
      <c r="Q668" s="26">
        <f>SUM(P668:P673)</f>
        <v>8.3278019331875495</v>
      </c>
      <c r="R668" s="17">
        <f>10*LOG10(Q668)</f>
        <v>9.2053038745029188</v>
      </c>
      <c r="S668" s="18">
        <f>F668+N668-Kzt-H</f>
        <v>-50.085987276585257</v>
      </c>
      <c r="T668" s="17">
        <v>1</v>
      </c>
      <c r="U668" s="21">
        <f>T668*10^((S668-R668)/10)</f>
        <v>1.177255925039058E-6</v>
      </c>
    </row>
    <row r="669" spans="1:21" x14ac:dyDescent="0.25">
      <c r="A669" s="24"/>
      <c r="B669" s="24"/>
      <c r="C669" s="17"/>
      <c r="D669" s="24"/>
      <c r="E669" s="24"/>
      <c r="F669" s="25"/>
      <c r="G669" s="1">
        <v>1625</v>
      </c>
      <c r="H669" s="2">
        <v>104.1</v>
      </c>
      <c r="I669" s="2">
        <v>-16.5</v>
      </c>
      <c r="J669" s="2">
        <v>-20.8</v>
      </c>
      <c r="K669" s="2">
        <f t="shared" si="88"/>
        <v>-16.5</v>
      </c>
      <c r="L669" s="8">
        <f t="shared" si="92"/>
        <v>8.7096358995608191E-13</v>
      </c>
      <c r="M669" s="26"/>
      <c r="N669" s="17"/>
      <c r="O669" s="9">
        <f t="shared" si="90"/>
        <v>-20.8</v>
      </c>
      <c r="P669" s="8">
        <f>D668/B668*10^(O669/10)</f>
        <v>0.64877574146008299</v>
      </c>
      <c r="Q669" s="26"/>
      <c r="R669" s="17"/>
      <c r="S669" s="19"/>
      <c r="T669" s="17"/>
      <c r="U669" s="22"/>
    </row>
    <row r="670" spans="1:21" x14ac:dyDescent="0.25">
      <c r="A670" s="24"/>
      <c r="B670" s="24"/>
      <c r="C670" s="17"/>
      <c r="D670" s="24"/>
      <c r="E670" s="24"/>
      <c r="F670" s="25"/>
      <c r="G670" s="1">
        <v>1825</v>
      </c>
      <c r="H670" s="2">
        <v>107.6</v>
      </c>
      <c r="I670" s="2">
        <v>-12.200000000000001</v>
      </c>
      <c r="J670" s="2">
        <v>-12.9</v>
      </c>
      <c r="K670" s="2">
        <f t="shared" si="88"/>
        <v>-12.200000000000001</v>
      </c>
      <c r="L670" s="8">
        <f t="shared" si="92"/>
        <v>1.0471285480508967E-12</v>
      </c>
      <c r="M670" s="26"/>
      <c r="N670" s="17"/>
      <c r="O670" s="9">
        <f t="shared" si="90"/>
        <v>-12.9</v>
      </c>
      <c r="P670" s="8">
        <f>D668/B668*10^(O670/10)</f>
        <v>4.0003187951326433</v>
      </c>
      <c r="Q670" s="26"/>
      <c r="R670" s="17"/>
      <c r="S670" s="19"/>
      <c r="T670" s="17"/>
      <c r="U670" s="22"/>
    </row>
    <row r="671" spans="1:21" x14ac:dyDescent="0.25">
      <c r="A671" s="24"/>
      <c r="B671" s="24"/>
      <c r="C671" s="17"/>
      <c r="D671" s="24"/>
      <c r="E671" s="24"/>
      <c r="F671" s="25"/>
      <c r="G671" s="1">
        <v>2125</v>
      </c>
      <c r="H671" s="2">
        <v>104.2</v>
      </c>
      <c r="I671" s="2">
        <v>-13.9</v>
      </c>
      <c r="J671" s="2">
        <v>-23.4</v>
      </c>
      <c r="K671" s="2">
        <f t="shared" si="88"/>
        <v>-13.9</v>
      </c>
      <c r="L671" s="8">
        <f t="shared" si="92"/>
        <v>1.5488166189124747E-12</v>
      </c>
      <c r="M671" s="26"/>
      <c r="N671" s="17"/>
      <c r="O671" s="9">
        <f t="shared" si="90"/>
        <v>-23.4</v>
      </c>
      <c r="P671" s="8">
        <f>D668/B668*10^(O671/10)</f>
        <v>0.35652878789960252</v>
      </c>
      <c r="Q671" s="26"/>
      <c r="R671" s="17"/>
      <c r="S671" s="19"/>
      <c r="T671" s="17"/>
      <c r="U671" s="22"/>
    </row>
    <row r="672" spans="1:21" x14ac:dyDescent="0.25">
      <c r="A672" s="24"/>
      <c r="B672" s="24"/>
      <c r="C672" s="17"/>
      <c r="D672" s="24"/>
      <c r="E672" s="24"/>
      <c r="F672" s="25"/>
      <c r="G672" s="1">
        <v>2425</v>
      </c>
      <c r="H672" s="2">
        <v>93.7</v>
      </c>
      <c r="I672" s="2">
        <v>-20.8</v>
      </c>
      <c r="J672" s="2">
        <v>-22.5</v>
      </c>
      <c r="K672" s="2">
        <f t="shared" si="88"/>
        <v>-20.8</v>
      </c>
      <c r="L672" s="8">
        <f t="shared" si="92"/>
        <v>3.5481338923357515E-12</v>
      </c>
      <c r="M672" s="26"/>
      <c r="N672" s="17"/>
      <c r="O672" s="9">
        <f t="shared" si="90"/>
        <v>-22.5</v>
      </c>
      <c r="P672" s="8">
        <f>D668/B668*10^(O672/10)</f>
        <v>0.43862623364847197</v>
      </c>
      <c r="Q672" s="26"/>
      <c r="R672" s="17"/>
      <c r="S672" s="19"/>
      <c r="T672" s="17"/>
      <c r="U672" s="22"/>
    </row>
    <row r="673" spans="1:21" x14ac:dyDescent="0.25">
      <c r="A673" s="24"/>
      <c r="B673" s="24"/>
      <c r="C673" s="17"/>
      <c r="D673" s="24"/>
      <c r="E673" s="24"/>
      <c r="F673" s="25"/>
      <c r="G673" s="1">
        <v>2775</v>
      </c>
      <c r="H673" s="2">
        <v>100.2</v>
      </c>
      <c r="I673" s="2">
        <v>-20.8</v>
      </c>
      <c r="J673" s="2">
        <v>-20.9</v>
      </c>
      <c r="K673" s="2">
        <f t="shared" si="88"/>
        <v>-20.8</v>
      </c>
      <c r="L673" s="8">
        <f t="shared" si="92"/>
        <v>7.9432823472428024E-13</v>
      </c>
      <c r="M673" s="26"/>
      <c r="N673" s="17"/>
      <c r="O673" s="9">
        <f t="shared" si="90"/>
        <v>-20.9</v>
      </c>
      <c r="P673" s="8">
        <f>D668/B668*10^(O673/10)</f>
        <v>0.63400780260799716</v>
      </c>
      <c r="Q673" s="26"/>
      <c r="R673" s="17"/>
      <c r="S673" s="20"/>
      <c r="T673" s="17"/>
      <c r="U673" s="23"/>
    </row>
    <row r="674" spans="1:21" x14ac:dyDescent="0.25">
      <c r="A674" s="24">
        <v>4000</v>
      </c>
      <c r="B674" s="24">
        <v>3</v>
      </c>
      <c r="C674" s="17">
        <v>0.5</v>
      </c>
      <c r="D674" s="24">
        <v>470</v>
      </c>
      <c r="E674" s="24">
        <v>6</v>
      </c>
      <c r="F674" s="25">
        <v>62</v>
      </c>
      <c r="G674" s="1">
        <v>2825</v>
      </c>
      <c r="H674" s="2">
        <v>99.4</v>
      </c>
      <c r="I674" s="2">
        <v>-21.6</v>
      </c>
      <c r="J674" s="2">
        <v>-23.8</v>
      </c>
      <c r="K674" s="2">
        <f t="shared" si="88"/>
        <v>-21.6</v>
      </c>
      <c r="L674" s="8">
        <f t="shared" si="92"/>
        <v>7.9432823472428024E-13</v>
      </c>
      <c r="M674" s="26">
        <f>SUM(L674:L679)</f>
        <v>6.7083218398067358E-12</v>
      </c>
      <c r="N674" s="17">
        <f>10*LOG10(M674/E674)</f>
        <v>-119.51537360149779</v>
      </c>
      <c r="O674" s="9">
        <f t="shared" si="90"/>
        <v>-23.8</v>
      </c>
      <c r="P674" s="8">
        <f>D674/B674*10^(O674/10)</f>
        <v>0.65309536743685859</v>
      </c>
      <c r="Q674" s="26">
        <f>SUM(P674:P679)</f>
        <v>3.9762321175953836</v>
      </c>
      <c r="R674" s="17">
        <f>10*LOG10(Q674)</f>
        <v>5.9947172895676237</v>
      </c>
      <c r="S674" s="18">
        <f>F674+N674-Kzt-H</f>
        <v>-57.515373601497785</v>
      </c>
      <c r="T674" s="17">
        <v>0.9</v>
      </c>
      <c r="U674" s="21">
        <f>T674*10^((S674-R674)/10)</f>
        <v>4.0108222944404768E-7</v>
      </c>
    </row>
    <row r="675" spans="1:21" x14ac:dyDescent="0.25">
      <c r="A675" s="24"/>
      <c r="B675" s="24"/>
      <c r="C675" s="17"/>
      <c r="D675" s="24"/>
      <c r="E675" s="24"/>
      <c r="F675" s="25"/>
      <c r="G675" s="1">
        <v>3425</v>
      </c>
      <c r="H675" s="2">
        <v>103.5</v>
      </c>
      <c r="I675" s="2">
        <v>-23.3</v>
      </c>
      <c r="J675" s="2">
        <v>-24.3</v>
      </c>
      <c r="K675" s="2">
        <f t="shared" si="88"/>
        <v>-23.3</v>
      </c>
      <c r="L675" s="8">
        <f t="shared" si="92"/>
        <v>2.0892961308540331E-13</v>
      </c>
      <c r="M675" s="26"/>
      <c r="N675" s="17"/>
      <c r="O675" s="9">
        <f t="shared" si="90"/>
        <v>-24.3</v>
      </c>
      <c r="P675" s="8">
        <f>D674/B674*10^(O675/10)</f>
        <v>0.58207185891890312</v>
      </c>
      <c r="Q675" s="26"/>
      <c r="R675" s="17"/>
      <c r="S675" s="19"/>
      <c r="T675" s="17"/>
      <c r="U675" s="22"/>
    </row>
    <row r="676" spans="1:21" x14ac:dyDescent="0.25">
      <c r="A676" s="24"/>
      <c r="B676" s="24"/>
      <c r="C676" s="17"/>
      <c r="D676" s="24"/>
      <c r="E676" s="24"/>
      <c r="F676" s="25"/>
      <c r="G676" s="1">
        <v>4025</v>
      </c>
      <c r="H676" s="2">
        <v>103.6</v>
      </c>
      <c r="I676" s="2">
        <v>-19.899999999999999</v>
      </c>
      <c r="J676" s="2">
        <v>-28.2</v>
      </c>
      <c r="K676" s="2">
        <f t="shared" si="88"/>
        <v>-19.899999999999999</v>
      </c>
      <c r="L676" s="8">
        <f t="shared" si="92"/>
        <v>4.4668359215096191E-13</v>
      </c>
      <c r="M676" s="26"/>
      <c r="N676" s="17"/>
      <c r="O676" s="9">
        <f t="shared" si="90"/>
        <v>-28.2</v>
      </c>
      <c r="P676" s="8">
        <f>D674/B674*10^(O676/10)</f>
        <v>0.23712459558833912</v>
      </c>
      <c r="Q676" s="26"/>
      <c r="R676" s="17"/>
      <c r="S676" s="19"/>
      <c r="T676" s="17"/>
      <c r="U676" s="22"/>
    </row>
    <row r="677" spans="1:21" x14ac:dyDescent="0.25">
      <c r="A677" s="24"/>
      <c r="B677" s="24"/>
      <c r="C677" s="17"/>
      <c r="D677" s="24"/>
      <c r="E677" s="24"/>
      <c r="F677" s="25"/>
      <c r="G677" s="1">
        <v>4625</v>
      </c>
      <c r="H677" s="2">
        <v>105.6</v>
      </c>
      <c r="I677" s="2">
        <v>-12.2</v>
      </c>
      <c r="J677" s="2">
        <v>-22.4</v>
      </c>
      <c r="K677" s="2">
        <f t="shared" si="88"/>
        <v>-12.2</v>
      </c>
      <c r="L677" s="8">
        <f t="shared" si="92"/>
        <v>1.6595869074375588E-12</v>
      </c>
      <c r="M677" s="26"/>
      <c r="N677" s="17"/>
      <c r="O677" s="9">
        <f t="shared" si="90"/>
        <v>-22.4</v>
      </c>
      <c r="P677" s="8">
        <f>D674/B674*10^(O677/10)</f>
        <v>0.90152256849487922</v>
      </c>
      <c r="Q677" s="26"/>
      <c r="R677" s="17"/>
      <c r="S677" s="19"/>
      <c r="T677" s="17"/>
      <c r="U677" s="22"/>
    </row>
    <row r="678" spans="1:21" x14ac:dyDescent="0.25">
      <c r="A678" s="24"/>
      <c r="B678" s="24"/>
      <c r="C678" s="17"/>
      <c r="D678" s="24"/>
      <c r="E678" s="24"/>
      <c r="F678" s="25"/>
      <c r="G678" s="1">
        <v>5225</v>
      </c>
      <c r="H678" s="2">
        <v>103.5</v>
      </c>
      <c r="I678" s="2">
        <v>-20.099999999999998</v>
      </c>
      <c r="J678" s="2">
        <v>-21.7</v>
      </c>
      <c r="K678" s="2">
        <f t="shared" si="88"/>
        <v>-20.099999999999998</v>
      </c>
      <c r="L678" s="8">
        <f t="shared" si="92"/>
        <v>4.3651583224016479E-13</v>
      </c>
      <c r="M678" s="26"/>
      <c r="N678" s="17"/>
      <c r="O678" s="9">
        <f t="shared" si="90"/>
        <v>-21.7</v>
      </c>
      <c r="P678" s="8">
        <f>D674/B674*10^(O678/10)</f>
        <v>1.0591966614474373</v>
      </c>
      <c r="Q678" s="26"/>
      <c r="R678" s="17"/>
      <c r="S678" s="19"/>
      <c r="T678" s="17"/>
      <c r="U678" s="22"/>
    </row>
    <row r="679" spans="1:21" x14ac:dyDescent="0.25">
      <c r="A679" s="24"/>
      <c r="B679" s="24"/>
      <c r="C679" s="17"/>
      <c r="D679" s="24"/>
      <c r="E679" s="24"/>
      <c r="F679" s="25"/>
      <c r="G679" s="1">
        <v>5625</v>
      </c>
      <c r="H679" s="2">
        <v>99.5</v>
      </c>
      <c r="I679" s="2">
        <v>-15.5</v>
      </c>
      <c r="J679" s="2">
        <v>-24.6</v>
      </c>
      <c r="K679" s="2">
        <f t="shared" si="88"/>
        <v>-15.5</v>
      </c>
      <c r="L679" s="8">
        <f t="shared" si="92"/>
        <v>3.1622776601683669E-12</v>
      </c>
      <c r="M679" s="26"/>
      <c r="N679" s="17"/>
      <c r="O679" s="9">
        <f t="shared" si="90"/>
        <v>-24.6</v>
      </c>
      <c r="P679" s="8">
        <f>D674/B674*10^(O679/10)</f>
        <v>0.543221065708966</v>
      </c>
      <c r="Q679" s="26"/>
      <c r="R679" s="17"/>
      <c r="S679" s="20"/>
      <c r="T679" s="17"/>
      <c r="U679" s="23"/>
    </row>
    <row r="680" spans="1:21" x14ac:dyDescent="0.25">
      <c r="A680" s="24">
        <v>8000</v>
      </c>
      <c r="B680" s="24">
        <v>3</v>
      </c>
      <c r="C680" s="17">
        <v>0.5</v>
      </c>
      <c r="D680" s="24">
        <v>943</v>
      </c>
      <c r="E680" s="24">
        <v>6</v>
      </c>
      <c r="F680" s="25">
        <v>54</v>
      </c>
      <c r="G680" s="1">
        <v>6025</v>
      </c>
      <c r="H680" s="2">
        <v>95</v>
      </c>
      <c r="I680" s="2">
        <v>-13.4</v>
      </c>
      <c r="J680" s="2">
        <v>-22.3</v>
      </c>
      <c r="K680" s="2">
        <f t="shared" si="88"/>
        <v>-13.4</v>
      </c>
      <c r="L680" s="8">
        <f t="shared" si="92"/>
        <v>1.4454397707459232E-11</v>
      </c>
      <c r="M680" s="26">
        <f>SUM(L680:L685)</f>
        <v>8.187933310292226E-11</v>
      </c>
      <c r="N680" s="17">
        <f>10*LOG10(M680/E680)</f>
        <v>-108.64976953653806</v>
      </c>
      <c r="O680" s="9">
        <f t="shared" si="90"/>
        <v>-22.3</v>
      </c>
      <c r="P680" s="8">
        <f>D680/B680*10^(O680/10)</f>
        <v>1.8509318900010678</v>
      </c>
      <c r="Q680" s="26">
        <f>SUM(P680:P685)</f>
        <v>4.8172392268656692</v>
      </c>
      <c r="R680" s="17">
        <f>10*LOG10(Q680)</f>
        <v>6.8279821416328188</v>
      </c>
      <c r="S680" s="18">
        <f>F680+N680-Kzt-H</f>
        <v>-54.649769536538059</v>
      </c>
      <c r="T680" s="17">
        <v>0.7</v>
      </c>
      <c r="U680" s="21">
        <f>T680*10^((S680-R680)/10)</f>
        <v>4.981072605746151E-7</v>
      </c>
    </row>
    <row r="681" spans="1:21" x14ac:dyDescent="0.25">
      <c r="A681" s="24"/>
      <c r="B681" s="24"/>
      <c r="C681" s="17"/>
      <c r="D681" s="24"/>
      <c r="E681" s="24"/>
      <c r="F681" s="25"/>
      <c r="G681" s="1">
        <v>7025</v>
      </c>
      <c r="H681" s="2">
        <v>94.8</v>
      </c>
      <c r="I681" s="2">
        <v>-10.6</v>
      </c>
      <c r="J681" s="2">
        <v>-23.4</v>
      </c>
      <c r="K681" s="2">
        <f t="shared" si="88"/>
        <v>-10.6</v>
      </c>
      <c r="L681" s="8">
        <f t="shared" si="92"/>
        <v>2.8840315031266094E-11</v>
      </c>
      <c r="M681" s="26"/>
      <c r="N681" s="17"/>
      <c r="O681" s="9">
        <f t="shared" si="90"/>
        <v>-23.4</v>
      </c>
      <c r="P681" s="8">
        <f>D680/B680*10^(O681/10)</f>
        <v>1.4367805426894238</v>
      </c>
      <c r="Q681" s="26"/>
      <c r="R681" s="17"/>
      <c r="S681" s="19"/>
      <c r="T681" s="17"/>
      <c r="U681" s="22"/>
    </row>
    <row r="682" spans="1:21" x14ac:dyDescent="0.25">
      <c r="A682" s="24"/>
      <c r="B682" s="24"/>
      <c r="C682" s="17"/>
      <c r="D682" s="24"/>
      <c r="E682" s="24"/>
      <c r="F682" s="25"/>
      <c r="G682" s="1">
        <v>8025</v>
      </c>
      <c r="H682" s="2">
        <v>101.9</v>
      </c>
      <c r="I682" s="2">
        <v>-20.6</v>
      </c>
      <c r="J682" s="2">
        <v>-28.3</v>
      </c>
      <c r="K682" s="2">
        <f t="shared" si="88"/>
        <v>-20.6</v>
      </c>
      <c r="L682" s="8">
        <f t="shared" si="92"/>
        <v>5.6234132519034702E-13</v>
      </c>
      <c r="M682" s="26"/>
      <c r="N682" s="17"/>
      <c r="O682" s="9">
        <f t="shared" si="90"/>
        <v>-28.3</v>
      </c>
      <c r="P682" s="8">
        <f>D680/B680*10^(O682/10)</f>
        <v>0.46493307001420625</v>
      </c>
      <c r="Q682" s="26"/>
      <c r="R682" s="17"/>
      <c r="S682" s="19"/>
      <c r="T682" s="17"/>
      <c r="U682" s="22"/>
    </row>
    <row r="683" spans="1:21" x14ac:dyDescent="0.25">
      <c r="A683" s="24"/>
      <c r="B683" s="24"/>
      <c r="C683" s="17"/>
      <c r="D683" s="24"/>
      <c r="E683" s="24"/>
      <c r="F683" s="25"/>
      <c r="G683" s="1">
        <v>9025</v>
      </c>
      <c r="H683" s="2">
        <v>93.2</v>
      </c>
      <c r="I683" s="2">
        <v>-20.5</v>
      </c>
      <c r="J683" s="2">
        <v>-32.700000000000003</v>
      </c>
      <c r="K683" s="2">
        <f t="shared" si="88"/>
        <v>-20.5</v>
      </c>
      <c r="L683" s="8">
        <f t="shared" si="92"/>
        <v>4.2657951880159045E-12</v>
      </c>
      <c r="M683" s="26"/>
      <c r="N683" s="17"/>
      <c r="O683" s="9">
        <f t="shared" si="90"/>
        <v>-32.700000000000003</v>
      </c>
      <c r="P683" s="8">
        <f>D680/B680*10^(O683/10)</f>
        <v>0.16880699465904916</v>
      </c>
      <c r="Q683" s="26"/>
      <c r="R683" s="17"/>
      <c r="S683" s="19"/>
      <c r="T683" s="17"/>
      <c r="U683" s="22"/>
    </row>
    <row r="684" spans="1:21" x14ac:dyDescent="0.25">
      <c r="A684" s="24"/>
      <c r="B684" s="24"/>
      <c r="C684" s="17"/>
      <c r="D684" s="24"/>
      <c r="E684" s="24"/>
      <c r="F684" s="25"/>
      <c r="G684" s="1">
        <v>10025</v>
      </c>
      <c r="H684" s="2">
        <v>88.3</v>
      </c>
      <c r="I684" s="2">
        <v>-19.899999999999999</v>
      </c>
      <c r="J684" s="2">
        <v>-27.5</v>
      </c>
      <c r="K684" s="2">
        <f t="shared" si="88"/>
        <v>-19.899999999999999</v>
      </c>
      <c r="L684" s="8">
        <f t="shared" si="92"/>
        <v>1.5135612484362085E-11</v>
      </c>
      <c r="M684" s="26"/>
      <c r="N684" s="17"/>
      <c r="O684" s="9">
        <f t="shared" si="90"/>
        <v>-27.5</v>
      </c>
      <c r="P684" s="8">
        <f>D680/B680*10^(O684/10)</f>
        <v>0.55897249455556786</v>
      </c>
      <c r="Q684" s="26"/>
      <c r="R684" s="17"/>
      <c r="S684" s="19"/>
      <c r="T684" s="17"/>
      <c r="U684" s="22"/>
    </row>
    <row r="685" spans="1:21" x14ac:dyDescent="0.25">
      <c r="A685" s="24"/>
      <c r="B685" s="24"/>
      <c r="C685" s="17"/>
      <c r="D685" s="24"/>
      <c r="E685" s="24"/>
      <c r="F685" s="25"/>
      <c r="G685" s="1">
        <v>11025</v>
      </c>
      <c r="H685" s="2">
        <v>86</v>
      </c>
      <c r="I685" s="2">
        <v>-21.3</v>
      </c>
      <c r="J685" s="2">
        <v>-29.7</v>
      </c>
      <c r="K685" s="2">
        <f t="shared" si="88"/>
        <v>-21.3</v>
      </c>
      <c r="L685" s="8">
        <f t="shared" si="92"/>
        <v>1.8620871366628599E-11</v>
      </c>
      <c r="M685" s="26"/>
      <c r="N685" s="17"/>
      <c r="O685" s="9">
        <f t="shared" si="90"/>
        <v>-29.7</v>
      </c>
      <c r="P685" s="8">
        <f>D680/B680*10^(O685/10)</f>
        <v>0.33681423494635426</v>
      </c>
      <c r="Q685" s="26"/>
      <c r="R685" s="17"/>
      <c r="S685" s="20"/>
      <c r="T685" s="17"/>
      <c r="U685" s="23"/>
    </row>
    <row r="686" spans="1:21" x14ac:dyDescent="0.25">
      <c r="A686" s="24" t="s">
        <v>20</v>
      </c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12">
        <f>U686</f>
        <v>6.8194302525870457E-2</v>
      </c>
      <c r="T686" s="2"/>
      <c r="U686" s="8">
        <f>0.8*SQRT(SUM(U652:U685))</f>
        <v>6.8194302525870457E-2</v>
      </c>
    </row>
    <row r="687" spans="1:21" x14ac:dyDescent="0.25">
      <c r="A687" s="27" t="s">
        <v>71</v>
      </c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9"/>
    </row>
    <row r="688" spans="1:21" x14ac:dyDescent="0.25">
      <c r="A688" s="24">
        <v>250</v>
      </c>
      <c r="B688" s="24">
        <v>3</v>
      </c>
      <c r="C688" s="17">
        <v>0.5</v>
      </c>
      <c r="D688" s="24">
        <v>38</v>
      </c>
      <c r="E688" s="24">
        <v>4</v>
      </c>
      <c r="F688" s="25">
        <v>84</v>
      </c>
      <c r="G688" s="1">
        <v>175</v>
      </c>
      <c r="H688" s="2">
        <v>84.8</v>
      </c>
      <c r="I688" s="2">
        <v>-5.0999999999999996</v>
      </c>
      <c r="J688" s="2">
        <v>-13.2</v>
      </c>
      <c r="K688" s="2">
        <f>I688</f>
        <v>-5.0999999999999996</v>
      </c>
      <c r="L688" s="8">
        <f>10^((K688-H688)/10)</f>
        <v>1.0232929922807547E-9</v>
      </c>
      <c r="M688" s="26">
        <f>SUM(L688:L691)</f>
        <v>1.1505650633234268E-9</v>
      </c>
      <c r="N688" s="17">
        <f>10*LOG10(M688/E688)</f>
        <v>-95.411488087028033</v>
      </c>
      <c r="O688" s="9">
        <f>J688</f>
        <v>-13.2</v>
      </c>
      <c r="P688" s="8">
        <f>D688/B688*10^(O688/10)</f>
        <v>0.60626478360867531</v>
      </c>
      <c r="Q688" s="26">
        <f>SUM(P688:P691)</f>
        <v>1.628258858424612</v>
      </c>
      <c r="R688" s="17">
        <f>10*LOG10(Q688)</f>
        <v>2.1172344960028084</v>
      </c>
      <c r="S688" s="18">
        <f>F688+N688-Kzt-H</f>
        <v>-11.411488087028033</v>
      </c>
      <c r="T688" s="17">
        <v>0.2</v>
      </c>
      <c r="U688" s="21">
        <f>T688*10^((S688-R688)/10)</f>
        <v>8.8747828890282428E-3</v>
      </c>
    </row>
    <row r="689" spans="1:21" x14ac:dyDescent="0.25">
      <c r="A689" s="24"/>
      <c r="B689" s="24"/>
      <c r="C689" s="17"/>
      <c r="D689" s="24"/>
      <c r="E689" s="24"/>
      <c r="F689" s="25"/>
      <c r="G689" s="1">
        <v>225</v>
      </c>
      <c r="H689" s="2">
        <v>90</v>
      </c>
      <c r="I689" s="2">
        <v>-14.3</v>
      </c>
      <c r="J689" s="2">
        <v>-15.9</v>
      </c>
      <c r="K689" s="2">
        <f t="shared" ref="K689:K721" si="93">I689</f>
        <v>-14.3</v>
      </c>
      <c r="L689" s="8">
        <f t="shared" ref="L689:L690" si="94">10^((K689-H689)/10)</f>
        <v>3.7153522909717256E-11</v>
      </c>
      <c r="M689" s="26"/>
      <c r="N689" s="17"/>
      <c r="O689" s="9">
        <f t="shared" ref="O689:O721" si="95">J689</f>
        <v>-15.9</v>
      </c>
      <c r="P689" s="8">
        <f>D688/B688*10^(O689/10)</f>
        <v>0.32558346581738928</v>
      </c>
      <c r="Q689" s="26"/>
      <c r="R689" s="17"/>
      <c r="S689" s="19"/>
      <c r="T689" s="17"/>
      <c r="U689" s="22"/>
    </row>
    <row r="690" spans="1:21" x14ac:dyDescent="0.25">
      <c r="A690" s="24"/>
      <c r="B690" s="24"/>
      <c r="C690" s="17"/>
      <c r="D690" s="24"/>
      <c r="E690" s="24"/>
      <c r="F690" s="25"/>
      <c r="G690" s="1">
        <v>275</v>
      </c>
      <c r="H690" s="2">
        <v>92.2</v>
      </c>
      <c r="I690" s="2">
        <v>-12.5</v>
      </c>
      <c r="J690" s="2">
        <v>-17.100000000000001</v>
      </c>
      <c r="K690" s="2">
        <f t="shared" si="93"/>
        <v>-12.5</v>
      </c>
      <c r="L690" s="8">
        <f t="shared" si="94"/>
        <v>3.3884415613920157E-11</v>
      </c>
      <c r="M690" s="26"/>
      <c r="N690" s="17"/>
      <c r="O690" s="9">
        <f t="shared" si="95"/>
        <v>-17.100000000000001</v>
      </c>
      <c r="P690" s="8">
        <f>D688/B688*10^(O690/10)</f>
        <v>0.24698031596935216</v>
      </c>
      <c r="Q690" s="26"/>
      <c r="R690" s="17"/>
      <c r="S690" s="19"/>
      <c r="T690" s="17"/>
      <c r="U690" s="22"/>
    </row>
    <row r="691" spans="1:21" x14ac:dyDescent="0.25">
      <c r="A691" s="24"/>
      <c r="B691" s="24"/>
      <c r="C691" s="17"/>
      <c r="D691" s="24"/>
      <c r="E691" s="24"/>
      <c r="F691" s="25"/>
      <c r="G691" s="1">
        <v>325</v>
      </c>
      <c r="H691" s="2">
        <v>93.3</v>
      </c>
      <c r="I691" s="2">
        <v>-9.1999999999999993</v>
      </c>
      <c r="J691" s="2">
        <v>-14.5</v>
      </c>
      <c r="K691" s="2">
        <f t="shared" si="93"/>
        <v>-9.1999999999999993</v>
      </c>
      <c r="L691" s="8">
        <f>10^((K691-H691)/10)</f>
        <v>5.6234132519034822E-11</v>
      </c>
      <c r="M691" s="26"/>
      <c r="N691" s="17"/>
      <c r="O691" s="9">
        <f t="shared" si="95"/>
        <v>-14.5</v>
      </c>
      <c r="P691" s="8">
        <f>D688/B688*10^(O691/10)</f>
        <v>0.44943029302919535</v>
      </c>
      <c r="Q691" s="26"/>
      <c r="R691" s="17"/>
      <c r="S691" s="20"/>
      <c r="T691" s="17"/>
      <c r="U691" s="23"/>
    </row>
    <row r="692" spans="1:21" x14ac:dyDescent="0.25">
      <c r="A692" s="24">
        <v>500</v>
      </c>
      <c r="B692" s="24">
        <v>3</v>
      </c>
      <c r="C692" s="17">
        <v>0.5</v>
      </c>
      <c r="D692" s="24">
        <v>59</v>
      </c>
      <c r="E692" s="24">
        <v>6</v>
      </c>
      <c r="F692" s="25">
        <v>84</v>
      </c>
      <c r="G692" s="1">
        <v>375</v>
      </c>
      <c r="H692" s="2">
        <v>91.9</v>
      </c>
      <c r="I692" s="2">
        <v>-16.3</v>
      </c>
      <c r="J692" s="2">
        <v>-17.3</v>
      </c>
      <c r="K692" s="2">
        <f t="shared" si="93"/>
        <v>-16.3</v>
      </c>
      <c r="L692" s="8">
        <f t="shared" ref="L692:L693" si="96">10^((K692-H692)/10)</f>
        <v>1.5135612484362034E-11</v>
      </c>
      <c r="M692" s="26">
        <f>SUM(L692:L697)</f>
        <v>2.6515239384474837E-10</v>
      </c>
      <c r="N692" s="17">
        <f>10*LOG10(M692/E692)</f>
        <v>-103.54655698020628</v>
      </c>
      <c r="O692" s="9">
        <f t="shared" si="95"/>
        <v>-17.3</v>
      </c>
      <c r="P692" s="8">
        <f>D692/B692*10^(O692/10)</f>
        <v>0.36621047021036385</v>
      </c>
      <c r="Q692" s="26">
        <f>SUM(P692:P697)</f>
        <v>2.2656026130322386</v>
      </c>
      <c r="R692" s="17">
        <f>10*LOG10(Q692)</f>
        <v>3.5518373690340201</v>
      </c>
      <c r="S692" s="18">
        <f>F692+N692-Kzt-H</f>
        <v>-19.546556980206276</v>
      </c>
      <c r="T692" s="17">
        <v>0.5</v>
      </c>
      <c r="U692" s="21">
        <f>T692*10^((S692-R692)/10)</f>
        <v>2.449799656501031E-3</v>
      </c>
    </row>
    <row r="693" spans="1:21" x14ac:dyDescent="0.25">
      <c r="A693" s="24"/>
      <c r="B693" s="24"/>
      <c r="C693" s="17"/>
      <c r="D693" s="24"/>
      <c r="E693" s="24"/>
      <c r="F693" s="25"/>
      <c r="G693" s="1">
        <v>425</v>
      </c>
      <c r="H693" s="2">
        <v>88.1</v>
      </c>
      <c r="I693" s="2">
        <v>-10.6</v>
      </c>
      <c r="J693" s="2">
        <v>-14.7</v>
      </c>
      <c r="K693" s="2">
        <f t="shared" si="93"/>
        <v>-10.6</v>
      </c>
      <c r="L693" s="8">
        <f t="shared" si="96"/>
        <v>1.3489628825916514E-10</v>
      </c>
      <c r="M693" s="26"/>
      <c r="N693" s="17"/>
      <c r="O693" s="9">
        <f t="shared" si="95"/>
        <v>-14.7</v>
      </c>
      <c r="P693" s="8">
        <f>D692/B692*10^(O693/10)</f>
        <v>0.66639350707376499</v>
      </c>
      <c r="Q693" s="26"/>
      <c r="R693" s="17"/>
      <c r="S693" s="19"/>
      <c r="T693" s="17"/>
      <c r="U693" s="22"/>
    </row>
    <row r="694" spans="1:21" x14ac:dyDescent="0.25">
      <c r="A694" s="24"/>
      <c r="B694" s="24"/>
      <c r="C694" s="17"/>
      <c r="D694" s="24"/>
      <c r="E694" s="24"/>
      <c r="F694" s="25"/>
      <c r="G694" s="1">
        <v>475</v>
      </c>
      <c r="H694" s="2">
        <v>90</v>
      </c>
      <c r="I694" s="2">
        <v>-10.8</v>
      </c>
      <c r="J694" s="2">
        <v>-18.2</v>
      </c>
      <c r="K694" s="2">
        <f t="shared" si="93"/>
        <v>-10.8</v>
      </c>
      <c r="L694" s="8">
        <f>10^((K694-H694)/10)</f>
        <v>8.3176377110266833E-11</v>
      </c>
      <c r="M694" s="26"/>
      <c r="N694" s="17"/>
      <c r="O694" s="9">
        <f t="shared" si="95"/>
        <v>-18.2</v>
      </c>
      <c r="P694" s="8">
        <f>D692/B692*10^(O694/10)</f>
        <v>0.29766704552578749</v>
      </c>
      <c r="Q694" s="26"/>
      <c r="R694" s="17"/>
      <c r="S694" s="19"/>
      <c r="T694" s="17"/>
      <c r="U694" s="22"/>
    </row>
    <row r="695" spans="1:21" x14ac:dyDescent="0.25">
      <c r="A695" s="24"/>
      <c r="B695" s="24"/>
      <c r="C695" s="17"/>
      <c r="D695" s="24"/>
      <c r="E695" s="24"/>
      <c r="F695" s="25"/>
      <c r="G695" s="1">
        <v>575</v>
      </c>
      <c r="H695" s="2">
        <v>97</v>
      </c>
      <c r="I695" s="2">
        <v>-14.1</v>
      </c>
      <c r="J695" s="2">
        <v>-16</v>
      </c>
      <c r="K695" s="2">
        <f t="shared" si="93"/>
        <v>-14.1</v>
      </c>
      <c r="L695" s="8">
        <f t="shared" ref="L695:L721" si="97">10^((K695-H695)/10)</f>
        <v>7.762471166286914E-12</v>
      </c>
      <c r="M695" s="26"/>
      <c r="N695" s="17"/>
      <c r="O695" s="9">
        <f t="shared" si="95"/>
        <v>-16</v>
      </c>
      <c r="P695" s="8">
        <f>D692/B692*10^(O695/10)</f>
        <v>0.49400433153021706</v>
      </c>
      <c r="Q695" s="26"/>
      <c r="R695" s="17"/>
      <c r="S695" s="19"/>
      <c r="T695" s="17"/>
      <c r="U695" s="22"/>
    </row>
    <row r="696" spans="1:21" x14ac:dyDescent="0.25">
      <c r="A696" s="24"/>
      <c r="B696" s="24"/>
      <c r="C696" s="17"/>
      <c r="D696" s="24"/>
      <c r="E696" s="24"/>
      <c r="F696" s="25"/>
      <c r="G696" s="1">
        <v>625</v>
      </c>
      <c r="H696" s="2">
        <v>92</v>
      </c>
      <c r="I696" s="2">
        <v>-15.8</v>
      </c>
      <c r="J696" s="2">
        <v>-19.5</v>
      </c>
      <c r="K696" s="2">
        <f t="shared" si="93"/>
        <v>-15.8</v>
      </c>
      <c r="L696" s="8">
        <f t="shared" si="97"/>
        <v>1.6595869074375605E-11</v>
      </c>
      <c r="M696" s="26"/>
      <c r="N696" s="17"/>
      <c r="O696" s="9">
        <f t="shared" si="95"/>
        <v>-19.5</v>
      </c>
      <c r="P696" s="8">
        <f>D692/B692*10^(O696/10)</f>
        <v>0.22066362934605283</v>
      </c>
      <c r="Q696" s="26"/>
      <c r="R696" s="17"/>
      <c r="S696" s="19"/>
      <c r="T696" s="17"/>
      <c r="U696" s="22"/>
    </row>
    <row r="697" spans="1:21" x14ac:dyDescent="0.25">
      <c r="A697" s="24"/>
      <c r="B697" s="24"/>
      <c r="C697" s="17"/>
      <c r="D697" s="24"/>
      <c r="E697" s="24"/>
      <c r="F697" s="25"/>
      <c r="G697" s="1">
        <v>675</v>
      </c>
      <c r="H697" s="2">
        <v>94.5</v>
      </c>
      <c r="I697" s="2">
        <v>-16.7</v>
      </c>
      <c r="J697" s="2">
        <v>-19.5</v>
      </c>
      <c r="K697" s="2">
        <f t="shared" si="93"/>
        <v>-16.7</v>
      </c>
      <c r="L697" s="8">
        <f t="shared" si="97"/>
        <v>7.5857757502918081E-12</v>
      </c>
      <c r="M697" s="26"/>
      <c r="N697" s="17"/>
      <c r="O697" s="9">
        <f t="shared" si="95"/>
        <v>-19.5</v>
      </c>
      <c r="P697" s="8">
        <f>D692/B692*10^(O697/10)</f>
        <v>0.22066362934605283</v>
      </c>
      <c r="Q697" s="26"/>
      <c r="R697" s="17"/>
      <c r="S697" s="20"/>
      <c r="T697" s="17"/>
      <c r="U697" s="23"/>
    </row>
    <row r="698" spans="1:21" x14ac:dyDescent="0.25">
      <c r="A698" s="24">
        <v>1000</v>
      </c>
      <c r="B698" s="24">
        <v>3</v>
      </c>
      <c r="C698" s="17">
        <v>0.5</v>
      </c>
      <c r="D698" s="24">
        <v>117</v>
      </c>
      <c r="E698" s="24">
        <v>6</v>
      </c>
      <c r="F698" s="25">
        <v>76</v>
      </c>
      <c r="G698" s="1">
        <v>875</v>
      </c>
      <c r="H698" s="2">
        <v>91.1</v>
      </c>
      <c r="I698" s="2">
        <v>-21.400000000000002</v>
      </c>
      <c r="J698" s="2">
        <v>-21.8</v>
      </c>
      <c r="K698" s="2">
        <f t="shared" si="93"/>
        <v>-21.400000000000002</v>
      </c>
      <c r="L698" s="8">
        <f t="shared" si="97"/>
        <v>5.6234132519034759E-12</v>
      </c>
      <c r="M698" s="26">
        <f>SUM(L698:L703)</f>
        <v>4.5626693169399428E-11</v>
      </c>
      <c r="N698" s="17">
        <f>10*LOG10(M698/E698)</f>
        <v>-111.18932256305784</v>
      </c>
      <c r="O698" s="9">
        <f t="shared" si="95"/>
        <v>-21.8</v>
      </c>
      <c r="P698" s="8">
        <f>D698/B698*10^(O698/10)</f>
        <v>0.2576704447229623</v>
      </c>
      <c r="Q698" s="26">
        <f>SUM(P698:P703)</f>
        <v>3.1418858549214095</v>
      </c>
      <c r="R698" s="17">
        <f>10*LOG10(Q698)</f>
        <v>4.9719040302150832</v>
      </c>
      <c r="S698" s="18">
        <f>F698+N698-Kzt-H</f>
        <v>-35.189322563057843</v>
      </c>
      <c r="T698" s="17">
        <v>0.8</v>
      </c>
      <c r="U698" s="21">
        <f>T698*10^((S698-R698)/10)</f>
        <v>7.7084547553628492E-5</v>
      </c>
    </row>
    <row r="699" spans="1:21" x14ac:dyDescent="0.25">
      <c r="A699" s="24"/>
      <c r="B699" s="24"/>
      <c r="C699" s="17"/>
      <c r="D699" s="24"/>
      <c r="E699" s="24"/>
      <c r="F699" s="25"/>
      <c r="G699" s="1">
        <v>975</v>
      </c>
      <c r="H699" s="2">
        <v>96.5</v>
      </c>
      <c r="I699" s="2">
        <v>-10.7</v>
      </c>
      <c r="J699" s="2">
        <v>-23.6</v>
      </c>
      <c r="K699" s="2">
        <f t="shared" si="93"/>
        <v>-10.7</v>
      </c>
      <c r="L699" s="8">
        <f t="shared" si="97"/>
        <v>1.9054607179632392E-11</v>
      </c>
      <c r="M699" s="26"/>
      <c r="N699" s="17"/>
      <c r="O699" s="9">
        <f t="shared" si="95"/>
        <v>-23.6</v>
      </c>
      <c r="P699" s="8">
        <f>D698/B698*10^(O699/10)</f>
        <v>0.17024117457366447</v>
      </c>
      <c r="Q699" s="26"/>
      <c r="R699" s="17"/>
      <c r="S699" s="19"/>
      <c r="T699" s="17"/>
      <c r="U699" s="22"/>
    </row>
    <row r="700" spans="1:21" x14ac:dyDescent="0.25">
      <c r="A700" s="24"/>
      <c r="B700" s="24"/>
      <c r="C700" s="17"/>
      <c r="D700" s="24"/>
      <c r="E700" s="24"/>
      <c r="F700" s="25"/>
      <c r="G700" s="1">
        <v>1075</v>
      </c>
      <c r="H700" s="2">
        <v>94.6</v>
      </c>
      <c r="I700" s="2">
        <v>-15.2</v>
      </c>
      <c r="J700" s="2">
        <v>-20.3</v>
      </c>
      <c r="K700" s="2">
        <f t="shared" si="93"/>
        <v>-15.2</v>
      </c>
      <c r="L700" s="8">
        <f t="shared" si="97"/>
        <v>1.0471285480508978E-11</v>
      </c>
      <c r="M700" s="26"/>
      <c r="N700" s="17"/>
      <c r="O700" s="9">
        <f t="shared" si="95"/>
        <v>-20.3</v>
      </c>
      <c r="P700" s="8">
        <f>D698/B698*10^(O700/10)</f>
        <v>0.36396917731082612</v>
      </c>
      <c r="Q700" s="26"/>
      <c r="R700" s="17"/>
      <c r="S700" s="19"/>
      <c r="T700" s="17"/>
      <c r="U700" s="22"/>
    </row>
    <row r="701" spans="1:21" x14ac:dyDescent="0.25">
      <c r="A701" s="24"/>
      <c r="B701" s="24"/>
      <c r="C701" s="17"/>
      <c r="D701" s="24"/>
      <c r="E701" s="24"/>
      <c r="F701" s="25"/>
      <c r="G701" s="1">
        <v>1175</v>
      </c>
      <c r="H701" s="2">
        <v>97.8</v>
      </c>
      <c r="I701" s="2">
        <v>-14.8</v>
      </c>
      <c r="J701" s="2">
        <v>-18.899999999999999</v>
      </c>
      <c r="K701" s="2">
        <f t="shared" si="93"/>
        <v>-14.8</v>
      </c>
      <c r="L701" s="8">
        <f t="shared" si="97"/>
        <v>5.4954087385762314E-12</v>
      </c>
      <c r="M701" s="26"/>
      <c r="N701" s="17"/>
      <c r="O701" s="9">
        <f t="shared" si="95"/>
        <v>-18.899999999999999</v>
      </c>
      <c r="P701" s="8">
        <f>D698/B698*10^(O701/10)</f>
        <v>0.50241732516032189</v>
      </c>
      <c r="Q701" s="26"/>
      <c r="R701" s="17"/>
      <c r="S701" s="19"/>
      <c r="T701" s="17"/>
      <c r="U701" s="22"/>
    </row>
    <row r="702" spans="1:21" x14ac:dyDescent="0.25">
      <c r="A702" s="24"/>
      <c r="B702" s="24"/>
      <c r="C702" s="17"/>
      <c r="D702" s="24"/>
      <c r="E702" s="24"/>
      <c r="F702" s="25"/>
      <c r="G702" s="1">
        <v>1275</v>
      </c>
      <c r="H702" s="2">
        <v>100.1</v>
      </c>
      <c r="I702" s="2">
        <v>-17.3</v>
      </c>
      <c r="J702" s="2">
        <v>-18.7</v>
      </c>
      <c r="K702" s="2">
        <f t="shared" si="93"/>
        <v>-17.3</v>
      </c>
      <c r="L702" s="8">
        <f t="shared" si="97"/>
        <v>1.819700858609987E-12</v>
      </c>
      <c r="M702" s="26"/>
      <c r="N702" s="17"/>
      <c r="O702" s="9">
        <f t="shared" si="95"/>
        <v>-18.7</v>
      </c>
      <c r="P702" s="8">
        <f>D698/B698*10^(O702/10)</f>
        <v>0.5260955242107449</v>
      </c>
      <c r="Q702" s="26"/>
      <c r="R702" s="17"/>
      <c r="S702" s="19"/>
      <c r="T702" s="17"/>
      <c r="U702" s="22"/>
    </row>
    <row r="703" spans="1:21" x14ac:dyDescent="0.25">
      <c r="A703" s="24"/>
      <c r="B703" s="24"/>
      <c r="C703" s="17"/>
      <c r="D703" s="24"/>
      <c r="E703" s="24"/>
      <c r="F703" s="25"/>
      <c r="G703" s="1">
        <v>1375</v>
      </c>
      <c r="H703" s="2">
        <v>103</v>
      </c>
      <c r="I703" s="2">
        <v>-12</v>
      </c>
      <c r="J703" s="2">
        <v>-14.7</v>
      </c>
      <c r="K703" s="2">
        <f t="shared" si="93"/>
        <v>-12</v>
      </c>
      <c r="L703" s="8">
        <f t="shared" si="97"/>
        <v>3.1622776601683669E-12</v>
      </c>
      <c r="M703" s="26"/>
      <c r="N703" s="17"/>
      <c r="O703" s="9">
        <f t="shared" si="95"/>
        <v>-14.7</v>
      </c>
      <c r="P703" s="8">
        <f>D698/B698*10^(O703/10)</f>
        <v>1.3214922089428898</v>
      </c>
      <c r="Q703" s="26"/>
      <c r="R703" s="17"/>
      <c r="S703" s="20"/>
      <c r="T703" s="17"/>
      <c r="U703" s="23"/>
    </row>
    <row r="704" spans="1:21" x14ac:dyDescent="0.25">
      <c r="A704" s="24">
        <v>2000</v>
      </c>
      <c r="B704" s="24">
        <v>3</v>
      </c>
      <c r="C704" s="17">
        <v>0.5</v>
      </c>
      <c r="D704" s="24">
        <v>234</v>
      </c>
      <c r="E704" s="24">
        <v>6</v>
      </c>
      <c r="F704" s="25">
        <v>68</v>
      </c>
      <c r="G704" s="1">
        <v>1425</v>
      </c>
      <c r="H704" s="2">
        <v>102.8</v>
      </c>
      <c r="I704" s="2">
        <v>-14.8</v>
      </c>
      <c r="J704" s="2">
        <v>-20.399999999999999</v>
      </c>
      <c r="K704" s="2">
        <f t="shared" si="93"/>
        <v>-14.8</v>
      </c>
      <c r="L704" s="8">
        <f t="shared" si="97"/>
        <v>1.737800828749373E-12</v>
      </c>
      <c r="M704" s="26">
        <f>SUM(L704:L709)</f>
        <v>2.2450613278325877E-11</v>
      </c>
      <c r="N704" s="17">
        <f>10*LOG10(M704/E704)</f>
        <v>-114.26923041358111</v>
      </c>
      <c r="O704" s="9">
        <f t="shared" si="95"/>
        <v>-20.399999999999999</v>
      </c>
      <c r="P704" s="8">
        <f>D704/B704*10^(O704/10)</f>
        <v>0.7113684546976089</v>
      </c>
      <c r="Q704" s="26">
        <f>SUM(P704:P709)</f>
        <v>4.5941142437115454</v>
      </c>
      <c r="R704" s="17">
        <f>10*LOG10(Q704)</f>
        <v>6.6220179077119878</v>
      </c>
      <c r="S704" s="18">
        <f>F704+N704-Kzt-H</f>
        <v>-46.269230413581113</v>
      </c>
      <c r="T704" s="17">
        <v>1</v>
      </c>
      <c r="U704" s="21">
        <f>T704*10^((S704-R704)/10)</f>
        <v>5.1389591785598187E-6</v>
      </c>
    </row>
    <row r="705" spans="1:21" x14ac:dyDescent="0.25">
      <c r="A705" s="24"/>
      <c r="B705" s="24"/>
      <c r="C705" s="17"/>
      <c r="D705" s="24"/>
      <c r="E705" s="24"/>
      <c r="F705" s="25"/>
      <c r="G705" s="1">
        <v>1625</v>
      </c>
      <c r="H705" s="2">
        <v>104.1</v>
      </c>
      <c r="I705" s="2">
        <v>-16</v>
      </c>
      <c r="J705" s="2">
        <v>-22</v>
      </c>
      <c r="K705" s="2">
        <f t="shared" si="93"/>
        <v>-16</v>
      </c>
      <c r="L705" s="8">
        <f t="shared" si="97"/>
        <v>9.7723722095580816E-13</v>
      </c>
      <c r="M705" s="26"/>
      <c r="N705" s="17"/>
      <c r="O705" s="9">
        <f t="shared" si="95"/>
        <v>-22</v>
      </c>
      <c r="P705" s="8">
        <f>D704/B704*10^(O705/10)</f>
        <v>0.49214672869455017</v>
      </c>
      <c r="Q705" s="26"/>
      <c r="R705" s="17"/>
      <c r="S705" s="19"/>
      <c r="T705" s="17"/>
      <c r="U705" s="22"/>
    </row>
    <row r="706" spans="1:21" x14ac:dyDescent="0.25">
      <c r="A706" s="24"/>
      <c r="B706" s="24"/>
      <c r="C706" s="17"/>
      <c r="D706" s="24"/>
      <c r="E706" s="24"/>
      <c r="F706" s="25"/>
      <c r="G706" s="1">
        <v>1825</v>
      </c>
      <c r="H706" s="2">
        <v>107.6</v>
      </c>
      <c r="I706" s="2">
        <v>-11.7</v>
      </c>
      <c r="J706" s="2">
        <v>-17.399999999999999</v>
      </c>
      <c r="K706" s="2">
        <f t="shared" si="93"/>
        <v>-11.7</v>
      </c>
      <c r="L706" s="8">
        <f t="shared" si="97"/>
        <v>1.1748975549395258E-12</v>
      </c>
      <c r="M706" s="26"/>
      <c r="N706" s="17"/>
      <c r="O706" s="9">
        <f t="shared" si="95"/>
        <v>-17.399999999999999</v>
      </c>
      <c r="P706" s="8">
        <f>D704/B704*10^(O706/10)</f>
        <v>1.4193666697157867</v>
      </c>
      <c r="Q706" s="26"/>
      <c r="R706" s="17"/>
      <c r="S706" s="19"/>
      <c r="T706" s="17"/>
      <c r="U706" s="22"/>
    </row>
    <row r="707" spans="1:21" x14ac:dyDescent="0.25">
      <c r="A707" s="24"/>
      <c r="B707" s="24"/>
      <c r="C707" s="17"/>
      <c r="D707" s="24"/>
      <c r="E707" s="24"/>
      <c r="F707" s="25"/>
      <c r="G707" s="1">
        <v>2125</v>
      </c>
      <c r="H707" s="2">
        <v>104.2</v>
      </c>
      <c r="I707" s="2">
        <v>-12.6</v>
      </c>
      <c r="J707" s="2">
        <v>-20</v>
      </c>
      <c r="K707" s="2">
        <f t="shared" si="93"/>
        <v>-12.6</v>
      </c>
      <c r="L707" s="8">
        <f t="shared" si="97"/>
        <v>2.0892961308540349E-12</v>
      </c>
      <c r="M707" s="26"/>
      <c r="N707" s="17"/>
      <c r="O707" s="9">
        <f t="shared" si="95"/>
        <v>-20</v>
      </c>
      <c r="P707" s="8">
        <f>D704/B704*10^(O707/10)</f>
        <v>0.78</v>
      </c>
      <c r="Q707" s="26"/>
      <c r="R707" s="17"/>
      <c r="S707" s="19"/>
      <c r="T707" s="17"/>
      <c r="U707" s="22"/>
    </row>
    <row r="708" spans="1:21" x14ac:dyDescent="0.25">
      <c r="A708" s="24"/>
      <c r="B708" s="24"/>
      <c r="C708" s="17"/>
      <c r="D708" s="24"/>
      <c r="E708" s="24"/>
      <c r="F708" s="25"/>
      <c r="G708" s="1">
        <v>2425</v>
      </c>
      <c r="H708" s="2">
        <v>93.7</v>
      </c>
      <c r="I708" s="2">
        <v>-15.4</v>
      </c>
      <c r="J708" s="2">
        <v>-21.7</v>
      </c>
      <c r="K708" s="2">
        <f t="shared" si="93"/>
        <v>-15.4</v>
      </c>
      <c r="L708" s="8">
        <f t="shared" si="97"/>
        <v>1.2302687708123787E-11</v>
      </c>
      <c r="M708" s="26"/>
      <c r="N708" s="17"/>
      <c r="O708" s="9">
        <f t="shared" si="95"/>
        <v>-21.7</v>
      </c>
      <c r="P708" s="8">
        <f>D704/B704*10^(O708/10)</f>
        <v>0.52734472080574546</v>
      </c>
      <c r="Q708" s="26"/>
      <c r="R708" s="17"/>
      <c r="S708" s="19"/>
      <c r="T708" s="17"/>
      <c r="U708" s="22"/>
    </row>
    <row r="709" spans="1:21" x14ac:dyDescent="0.25">
      <c r="A709" s="24"/>
      <c r="B709" s="24"/>
      <c r="C709" s="17"/>
      <c r="D709" s="24"/>
      <c r="E709" s="24"/>
      <c r="F709" s="25"/>
      <c r="G709" s="1">
        <v>2775</v>
      </c>
      <c r="H709" s="2">
        <v>100.2</v>
      </c>
      <c r="I709" s="2">
        <v>-13.6</v>
      </c>
      <c r="J709" s="2">
        <v>-20.7</v>
      </c>
      <c r="K709" s="2">
        <f t="shared" si="93"/>
        <v>-13.6</v>
      </c>
      <c r="L709" s="8">
        <f t="shared" si="97"/>
        <v>4.1686938347033479E-12</v>
      </c>
      <c r="M709" s="26"/>
      <c r="N709" s="17"/>
      <c r="O709" s="9">
        <f t="shared" si="95"/>
        <v>-20.7</v>
      </c>
      <c r="P709" s="8">
        <f>D704/B704*10^(O709/10)</f>
        <v>0.66388766979785385</v>
      </c>
      <c r="Q709" s="26"/>
      <c r="R709" s="17"/>
      <c r="S709" s="20"/>
      <c r="T709" s="17"/>
      <c r="U709" s="23"/>
    </row>
    <row r="710" spans="1:21" x14ac:dyDescent="0.25">
      <c r="A710" s="24">
        <v>4000</v>
      </c>
      <c r="B710" s="24">
        <v>3</v>
      </c>
      <c r="C710" s="17">
        <v>0.5</v>
      </c>
      <c r="D710" s="24">
        <v>470</v>
      </c>
      <c r="E710" s="24">
        <v>6</v>
      </c>
      <c r="F710" s="25">
        <v>62</v>
      </c>
      <c r="G710" s="1">
        <v>2825</v>
      </c>
      <c r="H710" s="2">
        <v>99.4</v>
      </c>
      <c r="I710" s="2">
        <v>-17.7</v>
      </c>
      <c r="J710" s="2">
        <v>-20.100000000000001</v>
      </c>
      <c r="K710" s="2">
        <f t="shared" si="93"/>
        <v>-17.7</v>
      </c>
      <c r="L710" s="8">
        <f t="shared" si="97"/>
        <v>1.9498445997580347E-12</v>
      </c>
      <c r="M710" s="26">
        <f>SUM(L710:L715)</f>
        <v>1.0921875978775801E-11</v>
      </c>
      <c r="N710" s="17">
        <f>10*LOG10(M710/E710)</f>
        <v>-117.39854009702074</v>
      </c>
      <c r="O710" s="9">
        <f t="shared" si="95"/>
        <v>-20.100000000000001</v>
      </c>
      <c r="P710" s="8">
        <f>D710/B710*10^(O710/10)</f>
        <v>1.5310049794974347</v>
      </c>
      <c r="Q710" s="26">
        <f>SUM(P710:P715)</f>
        <v>12.133616255554028</v>
      </c>
      <c r="R710" s="17">
        <f>10*LOG10(Q710)</f>
        <v>10.839902555881903</v>
      </c>
      <c r="S710" s="18">
        <f>F710+N710-Kzt-H</f>
        <v>-55.398540097020742</v>
      </c>
      <c r="T710" s="17">
        <v>0.9</v>
      </c>
      <c r="U710" s="21">
        <f>T710*10^((S710-R710)/10)</f>
        <v>2.1399234807359519E-7</v>
      </c>
    </row>
    <row r="711" spans="1:21" x14ac:dyDescent="0.25">
      <c r="A711" s="24"/>
      <c r="B711" s="24"/>
      <c r="C711" s="17"/>
      <c r="D711" s="24"/>
      <c r="E711" s="24"/>
      <c r="F711" s="25"/>
      <c r="G711" s="1">
        <v>3425</v>
      </c>
      <c r="H711" s="2">
        <v>103.5</v>
      </c>
      <c r="I711" s="2">
        <v>-14.8</v>
      </c>
      <c r="J711" s="2">
        <v>-18.100000000000001</v>
      </c>
      <c r="K711" s="2">
        <f t="shared" si="93"/>
        <v>-14.8</v>
      </c>
      <c r="L711" s="8">
        <f t="shared" si="97"/>
        <v>1.4791083881682012E-12</v>
      </c>
      <c r="M711" s="26"/>
      <c r="N711" s="17"/>
      <c r="O711" s="9">
        <f t="shared" si="95"/>
        <v>-18.100000000000001</v>
      </c>
      <c r="P711" s="8">
        <f>D710/B710*10^(O711/10)</f>
        <v>2.4264793696295524</v>
      </c>
      <c r="Q711" s="26"/>
      <c r="R711" s="17"/>
      <c r="S711" s="19"/>
      <c r="T711" s="17"/>
      <c r="U711" s="22"/>
    </row>
    <row r="712" spans="1:21" x14ac:dyDescent="0.25">
      <c r="A712" s="24"/>
      <c r="B712" s="24"/>
      <c r="C712" s="17"/>
      <c r="D712" s="24"/>
      <c r="E712" s="24"/>
      <c r="F712" s="25"/>
      <c r="G712" s="1">
        <v>4025</v>
      </c>
      <c r="H712" s="2">
        <v>103.6</v>
      </c>
      <c r="I712" s="2">
        <v>-16.2</v>
      </c>
      <c r="J712" s="2">
        <v>-17.5</v>
      </c>
      <c r="K712" s="2">
        <f t="shared" si="93"/>
        <v>-16.2</v>
      </c>
      <c r="L712" s="8">
        <f t="shared" si="97"/>
        <v>1.0471285480508967E-12</v>
      </c>
      <c r="M712" s="26"/>
      <c r="N712" s="17"/>
      <c r="O712" s="9">
        <f t="shared" si="95"/>
        <v>-17.5</v>
      </c>
      <c r="P712" s="8">
        <f>D710/B710*10^(O712/10)</f>
        <v>2.785971075727645</v>
      </c>
      <c r="Q712" s="26"/>
      <c r="R712" s="17"/>
      <c r="S712" s="19"/>
      <c r="T712" s="17"/>
      <c r="U712" s="22"/>
    </row>
    <row r="713" spans="1:21" x14ac:dyDescent="0.25">
      <c r="A713" s="24"/>
      <c r="B713" s="24"/>
      <c r="C713" s="17"/>
      <c r="D713" s="24"/>
      <c r="E713" s="24"/>
      <c r="F713" s="25"/>
      <c r="G713" s="1">
        <v>4625</v>
      </c>
      <c r="H713" s="2">
        <v>105.6</v>
      </c>
      <c r="I713" s="2">
        <v>-19.899999999999999</v>
      </c>
      <c r="J713" s="2">
        <v>-20.6</v>
      </c>
      <c r="K713" s="2">
        <f t="shared" si="93"/>
        <v>-19.899999999999999</v>
      </c>
      <c r="L713" s="8">
        <f t="shared" si="97"/>
        <v>2.8183829312644412E-13</v>
      </c>
      <c r="M713" s="26"/>
      <c r="N713" s="17"/>
      <c r="O713" s="9">
        <f t="shared" si="95"/>
        <v>-20.6</v>
      </c>
      <c r="P713" s="8">
        <f>D710/B710*10^(O713/10)</f>
        <v>1.3645096242645254</v>
      </c>
      <c r="Q713" s="26"/>
      <c r="R713" s="17"/>
      <c r="S713" s="19"/>
      <c r="T713" s="17"/>
      <c r="U713" s="22"/>
    </row>
    <row r="714" spans="1:21" x14ac:dyDescent="0.25">
      <c r="A714" s="24"/>
      <c r="B714" s="24"/>
      <c r="C714" s="17"/>
      <c r="D714" s="24"/>
      <c r="E714" s="24"/>
      <c r="F714" s="25"/>
      <c r="G714" s="1">
        <v>5225</v>
      </c>
      <c r="H714" s="2">
        <v>103.5</v>
      </c>
      <c r="I714" s="2">
        <v>-13.5</v>
      </c>
      <c r="J714" s="2">
        <v>-20.8</v>
      </c>
      <c r="K714" s="2">
        <f t="shared" si="93"/>
        <v>-13.5</v>
      </c>
      <c r="L714" s="8">
        <f t="shared" si="97"/>
        <v>1.9952623149688759E-12</v>
      </c>
      <c r="M714" s="26"/>
      <c r="N714" s="17"/>
      <c r="O714" s="9">
        <f t="shared" si="95"/>
        <v>-20.8</v>
      </c>
      <c r="P714" s="8">
        <f>D710/B710*10^(O714/10)</f>
        <v>1.3030965747275172</v>
      </c>
      <c r="Q714" s="26"/>
      <c r="R714" s="17"/>
      <c r="S714" s="19"/>
      <c r="T714" s="17"/>
      <c r="U714" s="22"/>
    </row>
    <row r="715" spans="1:21" x14ac:dyDescent="0.25">
      <c r="A715" s="24"/>
      <c r="B715" s="24"/>
      <c r="C715" s="17"/>
      <c r="D715" s="24"/>
      <c r="E715" s="24"/>
      <c r="F715" s="25"/>
      <c r="G715" s="1">
        <v>5625</v>
      </c>
      <c r="H715" s="2">
        <v>99.5</v>
      </c>
      <c r="I715" s="2">
        <v>-14.3</v>
      </c>
      <c r="J715" s="2">
        <v>-17.600000000000001</v>
      </c>
      <c r="K715" s="2">
        <f t="shared" si="93"/>
        <v>-14.3</v>
      </c>
      <c r="L715" s="8">
        <f t="shared" si="97"/>
        <v>4.1686938347033479E-12</v>
      </c>
      <c r="M715" s="26"/>
      <c r="N715" s="17"/>
      <c r="O715" s="9">
        <f t="shared" si="95"/>
        <v>-17.600000000000001</v>
      </c>
      <c r="P715" s="8">
        <f>D710/B710*10^(O715/10)</f>
        <v>2.7225546317073519</v>
      </c>
      <c r="Q715" s="26"/>
      <c r="R715" s="17"/>
      <c r="S715" s="20"/>
      <c r="T715" s="17"/>
      <c r="U715" s="23"/>
    </row>
    <row r="716" spans="1:21" x14ac:dyDescent="0.25">
      <c r="A716" s="24">
        <v>8000</v>
      </c>
      <c r="B716" s="24">
        <v>3</v>
      </c>
      <c r="C716" s="17">
        <v>0.5</v>
      </c>
      <c r="D716" s="24">
        <v>943</v>
      </c>
      <c r="E716" s="24">
        <v>6</v>
      </c>
      <c r="F716" s="25">
        <v>54</v>
      </c>
      <c r="G716" s="1">
        <v>6025</v>
      </c>
      <c r="H716" s="2">
        <v>95</v>
      </c>
      <c r="I716" s="2">
        <v>-16.3</v>
      </c>
      <c r="J716" s="2">
        <v>-21.6</v>
      </c>
      <c r="K716" s="2">
        <f t="shared" si="93"/>
        <v>-16.3</v>
      </c>
      <c r="L716" s="8">
        <f t="shared" si="97"/>
        <v>7.4131024130091739E-12</v>
      </c>
      <c r="M716" s="26">
        <f>SUM(L716:L721)</f>
        <v>1.6983861020559483E-10</v>
      </c>
      <c r="N716" s="17">
        <f>10*LOG10(M716/E716)</f>
        <v>-105.4811482305584</v>
      </c>
      <c r="O716" s="9">
        <f t="shared" si="95"/>
        <v>-21.6</v>
      </c>
      <c r="P716" s="8">
        <f>D716/B716*10^(O716/10)</f>
        <v>2.1746553519218552</v>
      </c>
      <c r="Q716" s="26">
        <f>SUM(P716:P721)</f>
        <v>21.676919880559627</v>
      </c>
      <c r="R716" s="17">
        <f>10*LOG10(Q716)</f>
        <v>13.359975724277485</v>
      </c>
      <c r="S716" s="18">
        <f>F716+N716-Kzt-H</f>
        <v>-51.481148230558404</v>
      </c>
      <c r="T716" s="17">
        <v>0.7</v>
      </c>
      <c r="U716" s="21">
        <f>T716*10^((S716-R716)/10)</f>
        <v>2.2960727508857026E-7</v>
      </c>
    </row>
    <row r="717" spans="1:21" x14ac:dyDescent="0.25">
      <c r="A717" s="24"/>
      <c r="B717" s="24"/>
      <c r="C717" s="17"/>
      <c r="D717" s="24"/>
      <c r="E717" s="24"/>
      <c r="F717" s="25"/>
      <c r="G717" s="1">
        <v>7025</v>
      </c>
      <c r="H717" s="2">
        <v>94.8</v>
      </c>
      <c r="I717" s="2">
        <v>-14</v>
      </c>
      <c r="J717" s="2">
        <v>-18.100000000000001</v>
      </c>
      <c r="K717" s="2">
        <f t="shared" si="93"/>
        <v>-14</v>
      </c>
      <c r="L717" s="8">
        <f t="shared" si="97"/>
        <v>1.3182567385564083E-11</v>
      </c>
      <c r="M717" s="26"/>
      <c r="N717" s="17"/>
      <c r="O717" s="9">
        <f t="shared" si="95"/>
        <v>-18.100000000000001</v>
      </c>
      <c r="P717" s="8">
        <f>D716/B716*10^(O717/10)</f>
        <v>4.8684469054482298</v>
      </c>
      <c r="Q717" s="26"/>
      <c r="R717" s="17"/>
      <c r="S717" s="19"/>
      <c r="T717" s="17"/>
      <c r="U717" s="22"/>
    </row>
    <row r="718" spans="1:21" x14ac:dyDescent="0.25">
      <c r="A718" s="24"/>
      <c r="B718" s="24"/>
      <c r="C718" s="17"/>
      <c r="D718" s="24"/>
      <c r="E718" s="24"/>
      <c r="F718" s="25"/>
      <c r="G718" s="1">
        <v>8025</v>
      </c>
      <c r="H718" s="2">
        <v>101.9</v>
      </c>
      <c r="I718" s="2">
        <v>-14.3</v>
      </c>
      <c r="J718" s="2">
        <v>-19.7</v>
      </c>
      <c r="K718" s="2">
        <f t="shared" si="93"/>
        <v>-14.3</v>
      </c>
      <c r="L718" s="8">
        <f t="shared" si="97"/>
        <v>2.3988329190194755E-12</v>
      </c>
      <c r="M718" s="26"/>
      <c r="N718" s="17"/>
      <c r="O718" s="9">
        <f t="shared" si="95"/>
        <v>-19.7</v>
      </c>
      <c r="P718" s="8">
        <f>D716/B716*10^(O718/10)</f>
        <v>3.3681423494635401</v>
      </c>
      <c r="Q718" s="26"/>
      <c r="R718" s="17"/>
      <c r="S718" s="19"/>
      <c r="T718" s="17"/>
      <c r="U718" s="22"/>
    </row>
    <row r="719" spans="1:21" x14ac:dyDescent="0.25">
      <c r="A719" s="24"/>
      <c r="B719" s="24"/>
      <c r="C719" s="17"/>
      <c r="D719" s="24"/>
      <c r="E719" s="24"/>
      <c r="F719" s="25"/>
      <c r="G719" s="1">
        <v>9025</v>
      </c>
      <c r="H719" s="2">
        <v>93.2</v>
      </c>
      <c r="I719" s="2">
        <v>-12.4</v>
      </c>
      <c r="J719" s="2">
        <v>-23.7</v>
      </c>
      <c r="K719" s="2">
        <f t="shared" si="93"/>
        <v>-12.4</v>
      </c>
      <c r="L719" s="8">
        <f t="shared" si="97"/>
        <v>2.7542287033381602E-11</v>
      </c>
      <c r="M719" s="26"/>
      <c r="N719" s="17"/>
      <c r="O719" s="9">
        <f t="shared" si="95"/>
        <v>-23.7</v>
      </c>
      <c r="P719" s="8">
        <f>D716/B716*10^(O719/10)</f>
        <v>1.340881620766339</v>
      </c>
      <c r="Q719" s="26"/>
      <c r="R719" s="17"/>
      <c r="S719" s="19"/>
      <c r="T719" s="17"/>
      <c r="U719" s="22"/>
    </row>
    <row r="720" spans="1:21" x14ac:dyDescent="0.25">
      <c r="A720" s="24"/>
      <c r="B720" s="24"/>
      <c r="C720" s="17"/>
      <c r="D720" s="24"/>
      <c r="E720" s="24"/>
      <c r="F720" s="25"/>
      <c r="G720" s="1">
        <v>10025</v>
      </c>
      <c r="H720" s="2">
        <v>88.3</v>
      </c>
      <c r="I720" s="2">
        <v>-14.7</v>
      </c>
      <c r="J720" s="2">
        <v>-21.2</v>
      </c>
      <c r="K720" s="2">
        <f t="shared" si="93"/>
        <v>-14.7</v>
      </c>
      <c r="L720" s="8">
        <f t="shared" si="97"/>
        <v>5.0118723362726993E-11</v>
      </c>
      <c r="M720" s="26"/>
      <c r="N720" s="17"/>
      <c r="O720" s="9">
        <f t="shared" si="95"/>
        <v>-21.2</v>
      </c>
      <c r="P720" s="8">
        <f>D716/B716*10^(O720/10)</f>
        <v>2.3844621775083983</v>
      </c>
      <c r="Q720" s="26"/>
      <c r="R720" s="17"/>
      <c r="S720" s="19"/>
      <c r="T720" s="17"/>
      <c r="U720" s="22"/>
    </row>
    <row r="721" spans="1:21" x14ac:dyDescent="0.25">
      <c r="A721" s="24"/>
      <c r="B721" s="24"/>
      <c r="C721" s="17"/>
      <c r="D721" s="24"/>
      <c r="E721" s="24"/>
      <c r="F721" s="25"/>
      <c r="G721" s="1">
        <v>11025</v>
      </c>
      <c r="H721" s="2">
        <v>86</v>
      </c>
      <c r="I721" s="2">
        <v>-15.6</v>
      </c>
      <c r="J721" s="2">
        <v>-16.2</v>
      </c>
      <c r="K721" s="2">
        <f t="shared" si="93"/>
        <v>-15.6</v>
      </c>
      <c r="L721" s="8">
        <f t="shared" si="97"/>
        <v>6.9183097091893483E-11</v>
      </c>
      <c r="M721" s="26"/>
      <c r="N721" s="17"/>
      <c r="O721" s="9">
        <f t="shared" si="95"/>
        <v>-16.2</v>
      </c>
      <c r="P721" s="8">
        <f>D716/B716*10^(O721/10)</f>
        <v>7.5403314754512634</v>
      </c>
      <c r="Q721" s="26"/>
      <c r="R721" s="17"/>
      <c r="S721" s="20"/>
      <c r="T721" s="17"/>
      <c r="U721" s="23"/>
    </row>
    <row r="722" spans="1:21" x14ac:dyDescent="0.25">
      <c r="A722" s="24" t="s">
        <v>20</v>
      </c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12">
        <f>U722</f>
        <v>8.5443781384054868E-2</v>
      </c>
      <c r="T722" s="2"/>
      <c r="U722" s="8">
        <f>0.8*SQRT(SUM(U688:U721))</f>
        <v>8.5443781384054868E-2</v>
      </c>
    </row>
  </sheetData>
  <mergeCells count="1600">
    <mergeCell ref="R4:R7"/>
    <mergeCell ref="S4:S7"/>
    <mergeCell ref="T4:T7"/>
    <mergeCell ref="U4:U7"/>
    <mergeCell ref="A8:A13"/>
    <mergeCell ref="B8:B13"/>
    <mergeCell ref="C8:C13"/>
    <mergeCell ref="D8:D13"/>
    <mergeCell ref="E8:E13"/>
    <mergeCell ref="F8:F13"/>
    <mergeCell ref="A3:U3"/>
    <mergeCell ref="A4:A7"/>
    <mergeCell ref="B4:B7"/>
    <mergeCell ref="C4:C7"/>
    <mergeCell ref="D4:D7"/>
    <mergeCell ref="E4:E7"/>
    <mergeCell ref="F4:F7"/>
    <mergeCell ref="M4:M7"/>
    <mergeCell ref="N4:N7"/>
    <mergeCell ref="Q4:Q7"/>
    <mergeCell ref="R14:R19"/>
    <mergeCell ref="S14:S19"/>
    <mergeCell ref="T14:T19"/>
    <mergeCell ref="U14:U19"/>
    <mergeCell ref="A20:A25"/>
    <mergeCell ref="B20:B25"/>
    <mergeCell ref="C20:C25"/>
    <mergeCell ref="D20:D25"/>
    <mergeCell ref="E20:E25"/>
    <mergeCell ref="F20:F25"/>
    <mergeCell ref="U8:U13"/>
    <mergeCell ref="A14:A19"/>
    <mergeCell ref="B14:B19"/>
    <mergeCell ref="C14:C19"/>
    <mergeCell ref="D14:D19"/>
    <mergeCell ref="E14:E19"/>
    <mergeCell ref="F14:F19"/>
    <mergeCell ref="M14:M19"/>
    <mergeCell ref="N14:N19"/>
    <mergeCell ref="Q14:Q19"/>
    <mergeCell ref="M8:M13"/>
    <mergeCell ref="N8:N13"/>
    <mergeCell ref="Q8:Q13"/>
    <mergeCell ref="R8:R13"/>
    <mergeCell ref="S8:S13"/>
    <mergeCell ref="T8:T13"/>
    <mergeCell ref="R26:R31"/>
    <mergeCell ref="S26:S31"/>
    <mergeCell ref="T26:T31"/>
    <mergeCell ref="U26:U31"/>
    <mergeCell ref="A32:A37"/>
    <mergeCell ref="B32:B37"/>
    <mergeCell ref="C32:C37"/>
    <mergeCell ref="D32:D37"/>
    <mergeCell ref="E32:E37"/>
    <mergeCell ref="F32:F37"/>
    <mergeCell ref="U20:U25"/>
    <mergeCell ref="A26:A31"/>
    <mergeCell ref="B26:B31"/>
    <mergeCell ref="C26:C31"/>
    <mergeCell ref="D26:D31"/>
    <mergeCell ref="E26:E31"/>
    <mergeCell ref="F26:F31"/>
    <mergeCell ref="M26:M31"/>
    <mergeCell ref="N26:N31"/>
    <mergeCell ref="Q26:Q31"/>
    <mergeCell ref="M20:M25"/>
    <mergeCell ref="N20:N25"/>
    <mergeCell ref="Q20:Q25"/>
    <mergeCell ref="R20:R25"/>
    <mergeCell ref="S20:S25"/>
    <mergeCell ref="T20:T25"/>
    <mergeCell ref="N40:N43"/>
    <mergeCell ref="Q40:Q43"/>
    <mergeCell ref="R40:R43"/>
    <mergeCell ref="S40:S43"/>
    <mergeCell ref="T40:T43"/>
    <mergeCell ref="U40:U43"/>
    <mergeCell ref="U32:U37"/>
    <mergeCell ref="A38:R38"/>
    <mergeCell ref="A39:U39"/>
    <mergeCell ref="A40:A43"/>
    <mergeCell ref="B40:B43"/>
    <mergeCell ref="C40:C43"/>
    <mergeCell ref="D40:D43"/>
    <mergeCell ref="E40:E43"/>
    <mergeCell ref="F40:F43"/>
    <mergeCell ref="M40:M43"/>
    <mergeCell ref="M32:M37"/>
    <mergeCell ref="N32:N37"/>
    <mergeCell ref="Q32:Q37"/>
    <mergeCell ref="R32:R37"/>
    <mergeCell ref="S32:S37"/>
    <mergeCell ref="T32:T37"/>
    <mergeCell ref="R50:R55"/>
    <mergeCell ref="S50:S55"/>
    <mergeCell ref="T50:T55"/>
    <mergeCell ref="U50:U55"/>
    <mergeCell ref="A56:A61"/>
    <mergeCell ref="B56:B61"/>
    <mergeCell ref="C56:C61"/>
    <mergeCell ref="D56:D61"/>
    <mergeCell ref="E56:E61"/>
    <mergeCell ref="F56:F61"/>
    <mergeCell ref="U44:U49"/>
    <mergeCell ref="A50:A55"/>
    <mergeCell ref="B50:B55"/>
    <mergeCell ref="C50:C55"/>
    <mergeCell ref="D50:D55"/>
    <mergeCell ref="E50:E55"/>
    <mergeCell ref="F50:F55"/>
    <mergeCell ref="M50:M55"/>
    <mergeCell ref="N50:N55"/>
    <mergeCell ref="Q50:Q55"/>
    <mergeCell ref="M44:M49"/>
    <mergeCell ref="N44:N49"/>
    <mergeCell ref="Q44:Q49"/>
    <mergeCell ref="R44:R49"/>
    <mergeCell ref="S44:S49"/>
    <mergeCell ref="T44:T49"/>
    <mergeCell ref="A44:A49"/>
    <mergeCell ref="B44:B49"/>
    <mergeCell ref="C44:C49"/>
    <mergeCell ref="D44:D49"/>
    <mergeCell ref="E44:E49"/>
    <mergeCell ref="F44:F49"/>
    <mergeCell ref="R62:R67"/>
    <mergeCell ref="S62:S67"/>
    <mergeCell ref="T62:T67"/>
    <mergeCell ref="U62:U67"/>
    <mergeCell ref="A68:A73"/>
    <mergeCell ref="B68:B73"/>
    <mergeCell ref="C68:C73"/>
    <mergeCell ref="D68:D73"/>
    <mergeCell ref="E68:E73"/>
    <mergeCell ref="F68:F73"/>
    <mergeCell ref="U56:U61"/>
    <mergeCell ref="A62:A67"/>
    <mergeCell ref="B62:B67"/>
    <mergeCell ref="C62:C67"/>
    <mergeCell ref="D62:D67"/>
    <mergeCell ref="E62:E67"/>
    <mergeCell ref="F62:F67"/>
    <mergeCell ref="M62:M67"/>
    <mergeCell ref="N62:N67"/>
    <mergeCell ref="Q62:Q67"/>
    <mergeCell ref="M56:M61"/>
    <mergeCell ref="N56:N61"/>
    <mergeCell ref="Q56:Q61"/>
    <mergeCell ref="R56:R61"/>
    <mergeCell ref="S56:S61"/>
    <mergeCell ref="T56:T61"/>
    <mergeCell ref="N76:N79"/>
    <mergeCell ref="Q76:Q79"/>
    <mergeCell ref="R76:R79"/>
    <mergeCell ref="S76:S79"/>
    <mergeCell ref="T76:T79"/>
    <mergeCell ref="U76:U79"/>
    <mergeCell ref="U68:U73"/>
    <mergeCell ref="A74:R74"/>
    <mergeCell ref="A75:U75"/>
    <mergeCell ref="A76:A79"/>
    <mergeCell ref="B76:B79"/>
    <mergeCell ref="C76:C79"/>
    <mergeCell ref="D76:D79"/>
    <mergeCell ref="E76:E79"/>
    <mergeCell ref="F76:F79"/>
    <mergeCell ref="M76:M79"/>
    <mergeCell ref="M68:M73"/>
    <mergeCell ref="N68:N73"/>
    <mergeCell ref="Q68:Q73"/>
    <mergeCell ref="R68:R73"/>
    <mergeCell ref="S68:S73"/>
    <mergeCell ref="T68:T73"/>
    <mergeCell ref="R86:R91"/>
    <mergeCell ref="S86:S91"/>
    <mergeCell ref="T86:T91"/>
    <mergeCell ref="U86:U91"/>
    <mergeCell ref="A92:A97"/>
    <mergeCell ref="B92:B97"/>
    <mergeCell ref="C92:C97"/>
    <mergeCell ref="D92:D97"/>
    <mergeCell ref="E92:E97"/>
    <mergeCell ref="F92:F97"/>
    <mergeCell ref="U80:U85"/>
    <mergeCell ref="A86:A91"/>
    <mergeCell ref="B86:B91"/>
    <mergeCell ref="C86:C91"/>
    <mergeCell ref="D86:D91"/>
    <mergeCell ref="E86:E91"/>
    <mergeCell ref="F86:F91"/>
    <mergeCell ref="M86:M91"/>
    <mergeCell ref="N86:N91"/>
    <mergeCell ref="Q86:Q91"/>
    <mergeCell ref="M80:M85"/>
    <mergeCell ref="N80:N85"/>
    <mergeCell ref="Q80:Q85"/>
    <mergeCell ref="R80:R85"/>
    <mergeCell ref="S80:S85"/>
    <mergeCell ref="T80:T85"/>
    <mergeCell ref="A80:A85"/>
    <mergeCell ref="B80:B85"/>
    <mergeCell ref="C80:C85"/>
    <mergeCell ref="D80:D85"/>
    <mergeCell ref="E80:E85"/>
    <mergeCell ref="F80:F85"/>
    <mergeCell ref="R98:R103"/>
    <mergeCell ref="S98:S103"/>
    <mergeCell ref="T98:T103"/>
    <mergeCell ref="U98:U103"/>
    <mergeCell ref="A104:A109"/>
    <mergeCell ref="B104:B109"/>
    <mergeCell ref="C104:C109"/>
    <mergeCell ref="D104:D109"/>
    <mergeCell ref="E104:E109"/>
    <mergeCell ref="F104:F109"/>
    <mergeCell ref="U92:U97"/>
    <mergeCell ref="A98:A103"/>
    <mergeCell ref="B98:B103"/>
    <mergeCell ref="C98:C103"/>
    <mergeCell ref="D98:D103"/>
    <mergeCell ref="E98:E103"/>
    <mergeCell ref="F98:F103"/>
    <mergeCell ref="M98:M103"/>
    <mergeCell ref="N98:N103"/>
    <mergeCell ref="Q98:Q103"/>
    <mergeCell ref="M92:M97"/>
    <mergeCell ref="N92:N97"/>
    <mergeCell ref="Q92:Q97"/>
    <mergeCell ref="R92:R97"/>
    <mergeCell ref="S92:S97"/>
    <mergeCell ref="T92:T97"/>
    <mergeCell ref="N112:N115"/>
    <mergeCell ref="Q112:Q115"/>
    <mergeCell ref="R112:R115"/>
    <mergeCell ref="S112:S115"/>
    <mergeCell ref="T112:T115"/>
    <mergeCell ref="U112:U115"/>
    <mergeCell ref="U104:U109"/>
    <mergeCell ref="A110:R110"/>
    <mergeCell ref="A111:U111"/>
    <mergeCell ref="A112:A115"/>
    <mergeCell ref="B112:B115"/>
    <mergeCell ref="C112:C115"/>
    <mergeCell ref="D112:D115"/>
    <mergeCell ref="E112:E115"/>
    <mergeCell ref="F112:F115"/>
    <mergeCell ref="M112:M115"/>
    <mergeCell ref="M104:M109"/>
    <mergeCell ref="N104:N109"/>
    <mergeCell ref="Q104:Q109"/>
    <mergeCell ref="R104:R109"/>
    <mergeCell ref="S104:S109"/>
    <mergeCell ref="T104:T109"/>
    <mergeCell ref="R122:R127"/>
    <mergeCell ref="S122:S127"/>
    <mergeCell ref="T122:T127"/>
    <mergeCell ref="U122:U127"/>
    <mergeCell ref="A128:A133"/>
    <mergeCell ref="B128:B133"/>
    <mergeCell ref="C128:C133"/>
    <mergeCell ref="D128:D133"/>
    <mergeCell ref="E128:E133"/>
    <mergeCell ref="F128:F133"/>
    <mergeCell ref="U116:U121"/>
    <mergeCell ref="A122:A127"/>
    <mergeCell ref="B122:B127"/>
    <mergeCell ref="C122:C127"/>
    <mergeCell ref="D122:D127"/>
    <mergeCell ref="E122:E127"/>
    <mergeCell ref="F122:F127"/>
    <mergeCell ref="M122:M127"/>
    <mergeCell ref="N122:N127"/>
    <mergeCell ref="Q122:Q127"/>
    <mergeCell ref="M116:M121"/>
    <mergeCell ref="N116:N121"/>
    <mergeCell ref="Q116:Q121"/>
    <mergeCell ref="R116:R121"/>
    <mergeCell ref="S116:S121"/>
    <mergeCell ref="T116:T121"/>
    <mergeCell ref="A116:A121"/>
    <mergeCell ref="B116:B121"/>
    <mergeCell ref="C116:C121"/>
    <mergeCell ref="D116:D121"/>
    <mergeCell ref="E116:E121"/>
    <mergeCell ref="F116:F121"/>
    <mergeCell ref="R134:R139"/>
    <mergeCell ref="S134:S139"/>
    <mergeCell ref="T134:T139"/>
    <mergeCell ref="U134:U139"/>
    <mergeCell ref="A140:A145"/>
    <mergeCell ref="B140:B145"/>
    <mergeCell ref="C140:C145"/>
    <mergeCell ref="D140:D145"/>
    <mergeCell ref="E140:E145"/>
    <mergeCell ref="F140:F145"/>
    <mergeCell ref="U128:U133"/>
    <mergeCell ref="A134:A139"/>
    <mergeCell ref="B134:B139"/>
    <mergeCell ref="C134:C139"/>
    <mergeCell ref="D134:D139"/>
    <mergeCell ref="E134:E139"/>
    <mergeCell ref="F134:F139"/>
    <mergeCell ref="M134:M139"/>
    <mergeCell ref="N134:N139"/>
    <mergeCell ref="Q134:Q139"/>
    <mergeCell ref="M128:M133"/>
    <mergeCell ref="N128:N133"/>
    <mergeCell ref="Q128:Q133"/>
    <mergeCell ref="R128:R133"/>
    <mergeCell ref="S128:S133"/>
    <mergeCell ref="T128:T133"/>
    <mergeCell ref="N148:N151"/>
    <mergeCell ref="Q148:Q151"/>
    <mergeCell ref="R148:R151"/>
    <mergeCell ref="S148:S151"/>
    <mergeCell ref="T148:T151"/>
    <mergeCell ref="U148:U151"/>
    <mergeCell ref="U140:U145"/>
    <mergeCell ref="A146:R146"/>
    <mergeCell ref="A147:U147"/>
    <mergeCell ref="A148:A151"/>
    <mergeCell ref="B148:B151"/>
    <mergeCell ref="C148:C151"/>
    <mergeCell ref="D148:D151"/>
    <mergeCell ref="E148:E151"/>
    <mergeCell ref="F148:F151"/>
    <mergeCell ref="M148:M151"/>
    <mergeCell ref="M140:M145"/>
    <mergeCell ref="N140:N145"/>
    <mergeCell ref="Q140:Q145"/>
    <mergeCell ref="R140:R145"/>
    <mergeCell ref="S140:S145"/>
    <mergeCell ref="T140:T145"/>
    <mergeCell ref="R158:R163"/>
    <mergeCell ref="S158:S163"/>
    <mergeCell ref="T158:T163"/>
    <mergeCell ref="U158:U163"/>
    <mergeCell ref="A164:A169"/>
    <mergeCell ref="B164:B169"/>
    <mergeCell ref="C164:C169"/>
    <mergeCell ref="D164:D169"/>
    <mergeCell ref="E164:E169"/>
    <mergeCell ref="F164:F169"/>
    <mergeCell ref="U152:U157"/>
    <mergeCell ref="A158:A163"/>
    <mergeCell ref="B158:B163"/>
    <mergeCell ref="C158:C163"/>
    <mergeCell ref="D158:D163"/>
    <mergeCell ref="E158:E163"/>
    <mergeCell ref="F158:F163"/>
    <mergeCell ref="M158:M163"/>
    <mergeCell ref="N158:N163"/>
    <mergeCell ref="Q158:Q163"/>
    <mergeCell ref="M152:M157"/>
    <mergeCell ref="N152:N157"/>
    <mergeCell ref="Q152:Q157"/>
    <mergeCell ref="R152:R157"/>
    <mergeCell ref="S152:S157"/>
    <mergeCell ref="T152:T157"/>
    <mergeCell ref="A152:A157"/>
    <mergeCell ref="B152:B157"/>
    <mergeCell ref="C152:C157"/>
    <mergeCell ref="D152:D157"/>
    <mergeCell ref="E152:E157"/>
    <mergeCell ref="F152:F157"/>
    <mergeCell ref="R170:R175"/>
    <mergeCell ref="S170:S175"/>
    <mergeCell ref="T170:T175"/>
    <mergeCell ref="U170:U175"/>
    <mergeCell ref="A176:A181"/>
    <mergeCell ref="B176:B181"/>
    <mergeCell ref="C176:C181"/>
    <mergeCell ref="D176:D181"/>
    <mergeCell ref="E176:E181"/>
    <mergeCell ref="F176:F181"/>
    <mergeCell ref="U164:U169"/>
    <mergeCell ref="A170:A175"/>
    <mergeCell ref="B170:B175"/>
    <mergeCell ref="C170:C175"/>
    <mergeCell ref="D170:D175"/>
    <mergeCell ref="E170:E175"/>
    <mergeCell ref="F170:F175"/>
    <mergeCell ref="M170:M175"/>
    <mergeCell ref="N170:N175"/>
    <mergeCell ref="Q170:Q175"/>
    <mergeCell ref="M164:M169"/>
    <mergeCell ref="N164:N169"/>
    <mergeCell ref="Q164:Q169"/>
    <mergeCell ref="R164:R169"/>
    <mergeCell ref="S164:S169"/>
    <mergeCell ref="T164:T169"/>
    <mergeCell ref="N184:N187"/>
    <mergeCell ref="Q184:Q187"/>
    <mergeCell ref="R184:R187"/>
    <mergeCell ref="S184:S187"/>
    <mergeCell ref="T184:T187"/>
    <mergeCell ref="U184:U187"/>
    <mergeCell ref="U176:U181"/>
    <mergeCell ref="A182:R182"/>
    <mergeCell ref="A183:U183"/>
    <mergeCell ref="A184:A187"/>
    <mergeCell ref="B184:B187"/>
    <mergeCell ref="C184:C187"/>
    <mergeCell ref="D184:D187"/>
    <mergeCell ref="E184:E187"/>
    <mergeCell ref="F184:F187"/>
    <mergeCell ref="M184:M187"/>
    <mergeCell ref="M176:M181"/>
    <mergeCell ref="N176:N181"/>
    <mergeCell ref="Q176:Q181"/>
    <mergeCell ref="R176:R181"/>
    <mergeCell ref="S176:S181"/>
    <mergeCell ref="T176:T181"/>
    <mergeCell ref="R194:R199"/>
    <mergeCell ref="S194:S199"/>
    <mergeCell ref="T194:T199"/>
    <mergeCell ref="U194:U199"/>
    <mergeCell ref="A200:A205"/>
    <mergeCell ref="B200:B205"/>
    <mergeCell ref="C200:C205"/>
    <mergeCell ref="D200:D205"/>
    <mergeCell ref="E200:E205"/>
    <mergeCell ref="F200:F205"/>
    <mergeCell ref="U188:U193"/>
    <mergeCell ref="A194:A199"/>
    <mergeCell ref="B194:B199"/>
    <mergeCell ref="C194:C199"/>
    <mergeCell ref="D194:D199"/>
    <mergeCell ref="E194:E199"/>
    <mergeCell ref="F194:F199"/>
    <mergeCell ref="M194:M199"/>
    <mergeCell ref="N194:N199"/>
    <mergeCell ref="Q194:Q199"/>
    <mergeCell ref="M188:M193"/>
    <mergeCell ref="N188:N193"/>
    <mergeCell ref="Q188:Q193"/>
    <mergeCell ref="R188:R193"/>
    <mergeCell ref="S188:S193"/>
    <mergeCell ref="T188:T193"/>
    <mergeCell ref="A188:A193"/>
    <mergeCell ref="B188:B193"/>
    <mergeCell ref="C188:C193"/>
    <mergeCell ref="D188:D193"/>
    <mergeCell ref="E188:E193"/>
    <mergeCell ref="F188:F193"/>
    <mergeCell ref="R206:R211"/>
    <mergeCell ref="S206:S211"/>
    <mergeCell ref="T206:T211"/>
    <mergeCell ref="U206:U211"/>
    <mergeCell ref="A212:A217"/>
    <mergeCell ref="B212:B217"/>
    <mergeCell ref="C212:C217"/>
    <mergeCell ref="D212:D217"/>
    <mergeCell ref="E212:E217"/>
    <mergeCell ref="F212:F217"/>
    <mergeCell ref="U200:U205"/>
    <mergeCell ref="A206:A211"/>
    <mergeCell ref="B206:B211"/>
    <mergeCell ref="C206:C211"/>
    <mergeCell ref="D206:D211"/>
    <mergeCell ref="E206:E211"/>
    <mergeCell ref="F206:F211"/>
    <mergeCell ref="M206:M211"/>
    <mergeCell ref="N206:N211"/>
    <mergeCell ref="Q206:Q211"/>
    <mergeCell ref="M200:M205"/>
    <mergeCell ref="N200:N205"/>
    <mergeCell ref="Q200:Q205"/>
    <mergeCell ref="R200:R205"/>
    <mergeCell ref="S200:S205"/>
    <mergeCell ref="T200:T205"/>
    <mergeCell ref="N220:N223"/>
    <mergeCell ref="Q220:Q223"/>
    <mergeCell ref="R220:R223"/>
    <mergeCell ref="S220:S223"/>
    <mergeCell ref="T220:T223"/>
    <mergeCell ref="U220:U223"/>
    <mergeCell ref="U212:U217"/>
    <mergeCell ref="A218:R218"/>
    <mergeCell ref="A219:U219"/>
    <mergeCell ref="A220:A223"/>
    <mergeCell ref="B220:B223"/>
    <mergeCell ref="C220:C223"/>
    <mergeCell ref="D220:D223"/>
    <mergeCell ref="E220:E223"/>
    <mergeCell ref="F220:F223"/>
    <mergeCell ref="M220:M223"/>
    <mergeCell ref="M212:M217"/>
    <mergeCell ref="N212:N217"/>
    <mergeCell ref="Q212:Q217"/>
    <mergeCell ref="R212:R217"/>
    <mergeCell ref="S212:S217"/>
    <mergeCell ref="T212:T217"/>
    <mergeCell ref="R230:R235"/>
    <mergeCell ref="S230:S235"/>
    <mergeCell ref="T230:T235"/>
    <mergeCell ref="U230:U235"/>
    <mergeCell ref="A236:A241"/>
    <mergeCell ref="B236:B241"/>
    <mergeCell ref="C236:C241"/>
    <mergeCell ref="D236:D241"/>
    <mergeCell ref="E236:E241"/>
    <mergeCell ref="F236:F241"/>
    <mergeCell ref="U224:U229"/>
    <mergeCell ref="A230:A235"/>
    <mergeCell ref="B230:B235"/>
    <mergeCell ref="C230:C235"/>
    <mergeCell ref="D230:D235"/>
    <mergeCell ref="E230:E235"/>
    <mergeCell ref="F230:F235"/>
    <mergeCell ref="M230:M235"/>
    <mergeCell ref="N230:N235"/>
    <mergeCell ref="Q230:Q235"/>
    <mergeCell ref="M224:M229"/>
    <mergeCell ref="N224:N229"/>
    <mergeCell ref="Q224:Q229"/>
    <mergeCell ref="R224:R229"/>
    <mergeCell ref="S224:S229"/>
    <mergeCell ref="T224:T229"/>
    <mergeCell ref="A224:A229"/>
    <mergeCell ref="B224:B229"/>
    <mergeCell ref="C224:C229"/>
    <mergeCell ref="D224:D229"/>
    <mergeCell ref="E224:E229"/>
    <mergeCell ref="F224:F229"/>
    <mergeCell ref="R242:R247"/>
    <mergeCell ref="S242:S247"/>
    <mergeCell ref="T242:T247"/>
    <mergeCell ref="U242:U247"/>
    <mergeCell ref="A248:A253"/>
    <mergeCell ref="B248:B253"/>
    <mergeCell ref="C248:C253"/>
    <mergeCell ref="D248:D253"/>
    <mergeCell ref="E248:E253"/>
    <mergeCell ref="F248:F253"/>
    <mergeCell ref="U236:U241"/>
    <mergeCell ref="A242:A247"/>
    <mergeCell ref="B242:B247"/>
    <mergeCell ref="C242:C247"/>
    <mergeCell ref="D242:D247"/>
    <mergeCell ref="E242:E247"/>
    <mergeCell ref="F242:F247"/>
    <mergeCell ref="M242:M247"/>
    <mergeCell ref="N242:N247"/>
    <mergeCell ref="Q242:Q247"/>
    <mergeCell ref="M236:M241"/>
    <mergeCell ref="N236:N241"/>
    <mergeCell ref="Q236:Q241"/>
    <mergeCell ref="R236:R241"/>
    <mergeCell ref="S236:S241"/>
    <mergeCell ref="T236:T241"/>
    <mergeCell ref="N256:N259"/>
    <mergeCell ref="Q256:Q259"/>
    <mergeCell ref="R256:R259"/>
    <mergeCell ref="S256:S259"/>
    <mergeCell ref="T256:T259"/>
    <mergeCell ref="U256:U259"/>
    <mergeCell ref="U248:U253"/>
    <mergeCell ref="A254:R254"/>
    <mergeCell ref="A255:U255"/>
    <mergeCell ref="A256:A259"/>
    <mergeCell ref="B256:B259"/>
    <mergeCell ref="C256:C259"/>
    <mergeCell ref="D256:D259"/>
    <mergeCell ref="E256:E259"/>
    <mergeCell ref="F256:F259"/>
    <mergeCell ref="M256:M259"/>
    <mergeCell ref="M248:M253"/>
    <mergeCell ref="N248:N253"/>
    <mergeCell ref="Q248:Q253"/>
    <mergeCell ref="R248:R253"/>
    <mergeCell ref="S248:S253"/>
    <mergeCell ref="T248:T253"/>
    <mergeCell ref="R266:R271"/>
    <mergeCell ref="S266:S271"/>
    <mergeCell ref="T266:T271"/>
    <mergeCell ref="U266:U271"/>
    <mergeCell ref="A272:A277"/>
    <mergeCell ref="B272:B277"/>
    <mergeCell ref="C272:C277"/>
    <mergeCell ref="D272:D277"/>
    <mergeCell ref="E272:E277"/>
    <mergeCell ref="F272:F277"/>
    <mergeCell ref="U260:U265"/>
    <mergeCell ref="A266:A271"/>
    <mergeCell ref="B266:B271"/>
    <mergeCell ref="C266:C271"/>
    <mergeCell ref="D266:D271"/>
    <mergeCell ref="E266:E271"/>
    <mergeCell ref="F266:F271"/>
    <mergeCell ref="M266:M271"/>
    <mergeCell ref="N266:N271"/>
    <mergeCell ref="Q266:Q271"/>
    <mergeCell ref="M260:M265"/>
    <mergeCell ref="N260:N265"/>
    <mergeCell ref="Q260:Q265"/>
    <mergeCell ref="R260:R265"/>
    <mergeCell ref="S260:S265"/>
    <mergeCell ref="T260:T265"/>
    <mergeCell ref="A260:A265"/>
    <mergeCell ref="B260:B265"/>
    <mergeCell ref="C260:C265"/>
    <mergeCell ref="D260:D265"/>
    <mergeCell ref="E260:E265"/>
    <mergeCell ref="F260:F265"/>
    <mergeCell ref="R278:R283"/>
    <mergeCell ref="S278:S283"/>
    <mergeCell ref="T278:T283"/>
    <mergeCell ref="U278:U283"/>
    <mergeCell ref="A284:A289"/>
    <mergeCell ref="B284:B289"/>
    <mergeCell ref="C284:C289"/>
    <mergeCell ref="D284:D289"/>
    <mergeCell ref="E284:E289"/>
    <mergeCell ref="F284:F289"/>
    <mergeCell ref="U272:U277"/>
    <mergeCell ref="A278:A283"/>
    <mergeCell ref="B278:B283"/>
    <mergeCell ref="C278:C283"/>
    <mergeCell ref="D278:D283"/>
    <mergeCell ref="E278:E283"/>
    <mergeCell ref="F278:F283"/>
    <mergeCell ref="M278:M283"/>
    <mergeCell ref="N278:N283"/>
    <mergeCell ref="Q278:Q283"/>
    <mergeCell ref="M272:M277"/>
    <mergeCell ref="N272:N277"/>
    <mergeCell ref="Q272:Q277"/>
    <mergeCell ref="R272:R277"/>
    <mergeCell ref="S272:S277"/>
    <mergeCell ref="T272:T277"/>
    <mergeCell ref="N292:N295"/>
    <mergeCell ref="Q292:Q295"/>
    <mergeCell ref="R292:R295"/>
    <mergeCell ref="S292:S295"/>
    <mergeCell ref="T292:T295"/>
    <mergeCell ref="U292:U295"/>
    <mergeCell ref="U284:U289"/>
    <mergeCell ref="A290:R290"/>
    <mergeCell ref="A291:U291"/>
    <mergeCell ref="A292:A295"/>
    <mergeCell ref="B292:B295"/>
    <mergeCell ref="C292:C295"/>
    <mergeCell ref="D292:D295"/>
    <mergeCell ref="E292:E295"/>
    <mergeCell ref="F292:F295"/>
    <mergeCell ref="M292:M295"/>
    <mergeCell ref="M284:M289"/>
    <mergeCell ref="N284:N289"/>
    <mergeCell ref="Q284:Q289"/>
    <mergeCell ref="R284:R289"/>
    <mergeCell ref="S284:S289"/>
    <mergeCell ref="T284:T289"/>
    <mergeCell ref="R302:R307"/>
    <mergeCell ref="S302:S307"/>
    <mergeCell ref="T302:T307"/>
    <mergeCell ref="U302:U307"/>
    <mergeCell ref="A308:A313"/>
    <mergeCell ref="B308:B313"/>
    <mergeCell ref="C308:C313"/>
    <mergeCell ref="D308:D313"/>
    <mergeCell ref="E308:E313"/>
    <mergeCell ref="F308:F313"/>
    <mergeCell ref="U296:U301"/>
    <mergeCell ref="A302:A307"/>
    <mergeCell ref="B302:B307"/>
    <mergeCell ref="C302:C307"/>
    <mergeCell ref="D302:D307"/>
    <mergeCell ref="E302:E307"/>
    <mergeCell ref="F302:F307"/>
    <mergeCell ref="M302:M307"/>
    <mergeCell ref="N302:N307"/>
    <mergeCell ref="Q302:Q307"/>
    <mergeCell ref="M296:M301"/>
    <mergeCell ref="N296:N301"/>
    <mergeCell ref="Q296:Q301"/>
    <mergeCell ref="R296:R301"/>
    <mergeCell ref="S296:S301"/>
    <mergeCell ref="T296:T301"/>
    <mergeCell ref="A296:A301"/>
    <mergeCell ref="B296:B301"/>
    <mergeCell ref="C296:C301"/>
    <mergeCell ref="D296:D301"/>
    <mergeCell ref="E296:E301"/>
    <mergeCell ref="F296:F301"/>
    <mergeCell ref="R314:R319"/>
    <mergeCell ref="S314:S319"/>
    <mergeCell ref="T314:T319"/>
    <mergeCell ref="U314:U319"/>
    <mergeCell ref="A320:A325"/>
    <mergeCell ref="B320:B325"/>
    <mergeCell ref="C320:C325"/>
    <mergeCell ref="D320:D325"/>
    <mergeCell ref="E320:E325"/>
    <mergeCell ref="F320:F325"/>
    <mergeCell ref="U308:U313"/>
    <mergeCell ref="A314:A319"/>
    <mergeCell ref="B314:B319"/>
    <mergeCell ref="C314:C319"/>
    <mergeCell ref="D314:D319"/>
    <mergeCell ref="E314:E319"/>
    <mergeCell ref="F314:F319"/>
    <mergeCell ref="M314:M319"/>
    <mergeCell ref="N314:N319"/>
    <mergeCell ref="Q314:Q319"/>
    <mergeCell ref="M308:M313"/>
    <mergeCell ref="N308:N313"/>
    <mergeCell ref="Q308:Q313"/>
    <mergeCell ref="R308:R313"/>
    <mergeCell ref="S308:S313"/>
    <mergeCell ref="T308:T313"/>
    <mergeCell ref="N328:N331"/>
    <mergeCell ref="Q328:Q331"/>
    <mergeCell ref="R328:R331"/>
    <mergeCell ref="S328:S331"/>
    <mergeCell ref="T328:T331"/>
    <mergeCell ref="U328:U331"/>
    <mergeCell ref="U320:U325"/>
    <mergeCell ref="A326:R326"/>
    <mergeCell ref="A327:U327"/>
    <mergeCell ref="A328:A331"/>
    <mergeCell ref="B328:B331"/>
    <mergeCell ref="C328:C331"/>
    <mergeCell ref="D328:D331"/>
    <mergeCell ref="E328:E331"/>
    <mergeCell ref="F328:F331"/>
    <mergeCell ref="M328:M331"/>
    <mergeCell ref="M320:M325"/>
    <mergeCell ref="N320:N325"/>
    <mergeCell ref="Q320:Q325"/>
    <mergeCell ref="R320:R325"/>
    <mergeCell ref="S320:S325"/>
    <mergeCell ref="T320:T325"/>
    <mergeCell ref="R338:R343"/>
    <mergeCell ref="S338:S343"/>
    <mergeCell ref="T338:T343"/>
    <mergeCell ref="U338:U343"/>
    <mergeCell ref="A344:A349"/>
    <mergeCell ref="B344:B349"/>
    <mergeCell ref="C344:C349"/>
    <mergeCell ref="D344:D349"/>
    <mergeCell ref="E344:E349"/>
    <mergeCell ref="F344:F349"/>
    <mergeCell ref="U332:U337"/>
    <mergeCell ref="A338:A343"/>
    <mergeCell ref="B338:B343"/>
    <mergeCell ref="C338:C343"/>
    <mergeCell ref="D338:D343"/>
    <mergeCell ref="E338:E343"/>
    <mergeCell ref="F338:F343"/>
    <mergeCell ref="M338:M343"/>
    <mergeCell ref="N338:N343"/>
    <mergeCell ref="Q338:Q343"/>
    <mergeCell ref="M332:M337"/>
    <mergeCell ref="N332:N337"/>
    <mergeCell ref="Q332:Q337"/>
    <mergeCell ref="R332:R337"/>
    <mergeCell ref="S332:S337"/>
    <mergeCell ref="T332:T337"/>
    <mergeCell ref="A332:A337"/>
    <mergeCell ref="B332:B337"/>
    <mergeCell ref="C332:C337"/>
    <mergeCell ref="D332:D337"/>
    <mergeCell ref="E332:E337"/>
    <mergeCell ref="F332:F337"/>
    <mergeCell ref="R350:R355"/>
    <mergeCell ref="S350:S355"/>
    <mergeCell ref="T350:T355"/>
    <mergeCell ref="U350:U355"/>
    <mergeCell ref="A356:A361"/>
    <mergeCell ref="B356:B361"/>
    <mergeCell ref="C356:C361"/>
    <mergeCell ref="D356:D361"/>
    <mergeCell ref="E356:E361"/>
    <mergeCell ref="F356:F361"/>
    <mergeCell ref="U344:U349"/>
    <mergeCell ref="A350:A355"/>
    <mergeCell ref="B350:B355"/>
    <mergeCell ref="C350:C355"/>
    <mergeCell ref="D350:D355"/>
    <mergeCell ref="E350:E355"/>
    <mergeCell ref="F350:F355"/>
    <mergeCell ref="M350:M355"/>
    <mergeCell ref="N350:N355"/>
    <mergeCell ref="Q350:Q355"/>
    <mergeCell ref="M344:M349"/>
    <mergeCell ref="N344:N349"/>
    <mergeCell ref="Q344:Q349"/>
    <mergeCell ref="R344:R349"/>
    <mergeCell ref="S344:S349"/>
    <mergeCell ref="T344:T349"/>
    <mergeCell ref="N364:N367"/>
    <mergeCell ref="Q364:Q367"/>
    <mergeCell ref="R364:R367"/>
    <mergeCell ref="S364:S367"/>
    <mergeCell ref="T364:T367"/>
    <mergeCell ref="U364:U367"/>
    <mergeCell ref="U356:U361"/>
    <mergeCell ref="A362:R362"/>
    <mergeCell ref="A363:U363"/>
    <mergeCell ref="A364:A367"/>
    <mergeCell ref="B364:B367"/>
    <mergeCell ref="C364:C367"/>
    <mergeCell ref="D364:D367"/>
    <mergeCell ref="E364:E367"/>
    <mergeCell ref="F364:F367"/>
    <mergeCell ref="M364:M367"/>
    <mergeCell ref="M356:M361"/>
    <mergeCell ref="N356:N361"/>
    <mergeCell ref="Q356:Q361"/>
    <mergeCell ref="R356:R361"/>
    <mergeCell ref="S356:S361"/>
    <mergeCell ref="T356:T361"/>
    <mergeCell ref="R374:R379"/>
    <mergeCell ref="S374:S379"/>
    <mergeCell ref="T374:T379"/>
    <mergeCell ref="U374:U379"/>
    <mergeCell ref="A380:A385"/>
    <mergeCell ref="B380:B385"/>
    <mergeCell ref="C380:C385"/>
    <mergeCell ref="D380:D385"/>
    <mergeCell ref="E380:E385"/>
    <mergeCell ref="F380:F385"/>
    <mergeCell ref="U368:U373"/>
    <mergeCell ref="A374:A379"/>
    <mergeCell ref="B374:B379"/>
    <mergeCell ref="C374:C379"/>
    <mergeCell ref="D374:D379"/>
    <mergeCell ref="E374:E379"/>
    <mergeCell ref="F374:F379"/>
    <mergeCell ref="M374:M379"/>
    <mergeCell ref="N374:N379"/>
    <mergeCell ref="Q374:Q379"/>
    <mergeCell ref="M368:M373"/>
    <mergeCell ref="N368:N373"/>
    <mergeCell ref="Q368:Q373"/>
    <mergeCell ref="R368:R373"/>
    <mergeCell ref="S368:S373"/>
    <mergeCell ref="T368:T373"/>
    <mergeCell ref="A368:A373"/>
    <mergeCell ref="B368:B373"/>
    <mergeCell ref="C368:C373"/>
    <mergeCell ref="D368:D373"/>
    <mergeCell ref="E368:E373"/>
    <mergeCell ref="F368:F373"/>
    <mergeCell ref="R386:R391"/>
    <mergeCell ref="S386:S391"/>
    <mergeCell ref="T386:T391"/>
    <mergeCell ref="U386:U391"/>
    <mergeCell ref="A392:A397"/>
    <mergeCell ref="B392:B397"/>
    <mergeCell ref="C392:C397"/>
    <mergeCell ref="D392:D397"/>
    <mergeCell ref="E392:E397"/>
    <mergeCell ref="F392:F397"/>
    <mergeCell ref="U380:U385"/>
    <mergeCell ref="A386:A391"/>
    <mergeCell ref="B386:B391"/>
    <mergeCell ref="C386:C391"/>
    <mergeCell ref="D386:D391"/>
    <mergeCell ref="E386:E391"/>
    <mergeCell ref="F386:F391"/>
    <mergeCell ref="M386:M391"/>
    <mergeCell ref="N386:N391"/>
    <mergeCell ref="Q386:Q391"/>
    <mergeCell ref="M380:M385"/>
    <mergeCell ref="N380:N385"/>
    <mergeCell ref="Q380:Q385"/>
    <mergeCell ref="R380:R385"/>
    <mergeCell ref="S380:S385"/>
    <mergeCell ref="T380:T385"/>
    <mergeCell ref="N400:N403"/>
    <mergeCell ref="Q400:Q403"/>
    <mergeCell ref="R400:R403"/>
    <mergeCell ref="S400:S403"/>
    <mergeCell ref="T400:T403"/>
    <mergeCell ref="U400:U403"/>
    <mergeCell ref="U392:U397"/>
    <mergeCell ref="A398:R398"/>
    <mergeCell ref="A399:U399"/>
    <mergeCell ref="A400:A403"/>
    <mergeCell ref="B400:B403"/>
    <mergeCell ref="C400:C403"/>
    <mergeCell ref="D400:D403"/>
    <mergeCell ref="E400:E403"/>
    <mergeCell ref="F400:F403"/>
    <mergeCell ref="M400:M403"/>
    <mergeCell ref="M392:M397"/>
    <mergeCell ref="N392:N397"/>
    <mergeCell ref="Q392:Q397"/>
    <mergeCell ref="R392:R397"/>
    <mergeCell ref="S392:S397"/>
    <mergeCell ref="T392:T397"/>
    <mergeCell ref="R410:R415"/>
    <mergeCell ref="S410:S415"/>
    <mergeCell ref="T410:T415"/>
    <mergeCell ref="U410:U415"/>
    <mergeCell ref="A416:A421"/>
    <mergeCell ref="B416:B421"/>
    <mergeCell ref="C416:C421"/>
    <mergeCell ref="D416:D421"/>
    <mergeCell ref="E416:E421"/>
    <mergeCell ref="F416:F421"/>
    <mergeCell ref="U404:U409"/>
    <mergeCell ref="A410:A415"/>
    <mergeCell ref="B410:B415"/>
    <mergeCell ref="C410:C415"/>
    <mergeCell ref="D410:D415"/>
    <mergeCell ref="E410:E415"/>
    <mergeCell ref="F410:F415"/>
    <mergeCell ref="M410:M415"/>
    <mergeCell ref="N410:N415"/>
    <mergeCell ref="Q410:Q415"/>
    <mergeCell ref="M404:M409"/>
    <mergeCell ref="N404:N409"/>
    <mergeCell ref="Q404:Q409"/>
    <mergeCell ref="R404:R409"/>
    <mergeCell ref="S404:S409"/>
    <mergeCell ref="T404:T409"/>
    <mergeCell ref="A404:A409"/>
    <mergeCell ref="B404:B409"/>
    <mergeCell ref="C404:C409"/>
    <mergeCell ref="D404:D409"/>
    <mergeCell ref="E404:E409"/>
    <mergeCell ref="F404:F409"/>
    <mergeCell ref="R422:R427"/>
    <mergeCell ref="S422:S427"/>
    <mergeCell ref="T422:T427"/>
    <mergeCell ref="U422:U427"/>
    <mergeCell ref="A428:A433"/>
    <mergeCell ref="B428:B433"/>
    <mergeCell ref="C428:C433"/>
    <mergeCell ref="D428:D433"/>
    <mergeCell ref="E428:E433"/>
    <mergeCell ref="F428:F433"/>
    <mergeCell ref="U416:U421"/>
    <mergeCell ref="A422:A427"/>
    <mergeCell ref="B422:B427"/>
    <mergeCell ref="C422:C427"/>
    <mergeCell ref="D422:D427"/>
    <mergeCell ref="E422:E427"/>
    <mergeCell ref="F422:F427"/>
    <mergeCell ref="M422:M427"/>
    <mergeCell ref="N422:N427"/>
    <mergeCell ref="Q422:Q427"/>
    <mergeCell ref="M416:M421"/>
    <mergeCell ref="N416:N421"/>
    <mergeCell ref="Q416:Q421"/>
    <mergeCell ref="R416:R421"/>
    <mergeCell ref="S416:S421"/>
    <mergeCell ref="T416:T421"/>
    <mergeCell ref="N436:N439"/>
    <mergeCell ref="Q436:Q439"/>
    <mergeCell ref="R436:R439"/>
    <mergeCell ref="S436:S439"/>
    <mergeCell ref="T436:T439"/>
    <mergeCell ref="U436:U439"/>
    <mergeCell ref="U428:U433"/>
    <mergeCell ref="A434:R434"/>
    <mergeCell ref="A435:U435"/>
    <mergeCell ref="A436:A439"/>
    <mergeCell ref="B436:B439"/>
    <mergeCell ref="C436:C439"/>
    <mergeCell ref="D436:D439"/>
    <mergeCell ref="E436:E439"/>
    <mergeCell ref="F436:F439"/>
    <mergeCell ref="M436:M439"/>
    <mergeCell ref="M428:M433"/>
    <mergeCell ref="N428:N433"/>
    <mergeCell ref="Q428:Q433"/>
    <mergeCell ref="R428:R433"/>
    <mergeCell ref="S428:S433"/>
    <mergeCell ref="T428:T433"/>
    <mergeCell ref="R446:R451"/>
    <mergeCell ref="S446:S451"/>
    <mergeCell ref="T446:T451"/>
    <mergeCell ref="U446:U451"/>
    <mergeCell ref="A452:A457"/>
    <mergeCell ref="B452:B457"/>
    <mergeCell ref="C452:C457"/>
    <mergeCell ref="D452:D457"/>
    <mergeCell ref="E452:E457"/>
    <mergeCell ref="F452:F457"/>
    <mergeCell ref="U440:U445"/>
    <mergeCell ref="A446:A451"/>
    <mergeCell ref="B446:B451"/>
    <mergeCell ref="C446:C451"/>
    <mergeCell ref="D446:D451"/>
    <mergeCell ref="E446:E451"/>
    <mergeCell ref="F446:F451"/>
    <mergeCell ref="M446:M451"/>
    <mergeCell ref="N446:N451"/>
    <mergeCell ref="Q446:Q451"/>
    <mergeCell ref="M440:M445"/>
    <mergeCell ref="N440:N445"/>
    <mergeCell ref="Q440:Q445"/>
    <mergeCell ref="R440:R445"/>
    <mergeCell ref="S440:S445"/>
    <mergeCell ref="T440:T445"/>
    <mergeCell ref="A440:A445"/>
    <mergeCell ref="B440:B445"/>
    <mergeCell ref="C440:C445"/>
    <mergeCell ref="D440:D445"/>
    <mergeCell ref="E440:E445"/>
    <mergeCell ref="F440:F445"/>
    <mergeCell ref="R458:R463"/>
    <mergeCell ref="S458:S463"/>
    <mergeCell ref="T458:T463"/>
    <mergeCell ref="U458:U463"/>
    <mergeCell ref="A464:A469"/>
    <mergeCell ref="B464:B469"/>
    <mergeCell ref="C464:C469"/>
    <mergeCell ref="D464:D469"/>
    <mergeCell ref="E464:E469"/>
    <mergeCell ref="F464:F469"/>
    <mergeCell ref="U452:U457"/>
    <mergeCell ref="A458:A463"/>
    <mergeCell ref="B458:B463"/>
    <mergeCell ref="C458:C463"/>
    <mergeCell ref="D458:D463"/>
    <mergeCell ref="E458:E463"/>
    <mergeCell ref="F458:F463"/>
    <mergeCell ref="M458:M463"/>
    <mergeCell ref="N458:N463"/>
    <mergeCell ref="Q458:Q463"/>
    <mergeCell ref="M452:M457"/>
    <mergeCell ref="N452:N457"/>
    <mergeCell ref="Q452:Q457"/>
    <mergeCell ref="R452:R457"/>
    <mergeCell ref="S452:S457"/>
    <mergeCell ref="T452:T457"/>
    <mergeCell ref="N472:N475"/>
    <mergeCell ref="Q472:Q475"/>
    <mergeCell ref="R472:R475"/>
    <mergeCell ref="S472:S475"/>
    <mergeCell ref="T472:T475"/>
    <mergeCell ref="U472:U475"/>
    <mergeCell ref="U464:U469"/>
    <mergeCell ref="A470:R470"/>
    <mergeCell ref="A471:U471"/>
    <mergeCell ref="A472:A475"/>
    <mergeCell ref="B472:B475"/>
    <mergeCell ref="C472:C475"/>
    <mergeCell ref="D472:D475"/>
    <mergeCell ref="E472:E475"/>
    <mergeCell ref="F472:F475"/>
    <mergeCell ref="M472:M475"/>
    <mergeCell ref="M464:M469"/>
    <mergeCell ref="N464:N469"/>
    <mergeCell ref="Q464:Q469"/>
    <mergeCell ref="R464:R469"/>
    <mergeCell ref="S464:S469"/>
    <mergeCell ref="T464:T469"/>
    <mergeCell ref="R482:R487"/>
    <mergeCell ref="S482:S487"/>
    <mergeCell ref="T482:T487"/>
    <mergeCell ref="U482:U487"/>
    <mergeCell ref="A488:A493"/>
    <mergeCell ref="B488:B493"/>
    <mergeCell ref="C488:C493"/>
    <mergeCell ref="D488:D493"/>
    <mergeCell ref="E488:E493"/>
    <mergeCell ref="F488:F493"/>
    <mergeCell ref="U476:U481"/>
    <mergeCell ref="A482:A487"/>
    <mergeCell ref="B482:B487"/>
    <mergeCell ref="C482:C487"/>
    <mergeCell ref="D482:D487"/>
    <mergeCell ref="E482:E487"/>
    <mergeCell ref="F482:F487"/>
    <mergeCell ref="M482:M487"/>
    <mergeCell ref="N482:N487"/>
    <mergeCell ref="Q482:Q487"/>
    <mergeCell ref="M476:M481"/>
    <mergeCell ref="N476:N481"/>
    <mergeCell ref="Q476:Q481"/>
    <mergeCell ref="R476:R481"/>
    <mergeCell ref="S476:S481"/>
    <mergeCell ref="T476:T481"/>
    <mergeCell ref="A476:A481"/>
    <mergeCell ref="B476:B481"/>
    <mergeCell ref="C476:C481"/>
    <mergeCell ref="D476:D481"/>
    <mergeCell ref="E476:E481"/>
    <mergeCell ref="F476:F481"/>
    <mergeCell ref="R494:R499"/>
    <mergeCell ref="S494:S499"/>
    <mergeCell ref="T494:T499"/>
    <mergeCell ref="U494:U499"/>
    <mergeCell ref="A500:A505"/>
    <mergeCell ref="B500:B505"/>
    <mergeCell ref="C500:C505"/>
    <mergeCell ref="D500:D505"/>
    <mergeCell ref="E500:E505"/>
    <mergeCell ref="F500:F505"/>
    <mergeCell ref="U488:U493"/>
    <mergeCell ref="A494:A499"/>
    <mergeCell ref="B494:B499"/>
    <mergeCell ref="C494:C499"/>
    <mergeCell ref="D494:D499"/>
    <mergeCell ref="E494:E499"/>
    <mergeCell ref="F494:F499"/>
    <mergeCell ref="M494:M499"/>
    <mergeCell ref="N494:N499"/>
    <mergeCell ref="Q494:Q499"/>
    <mergeCell ref="M488:M493"/>
    <mergeCell ref="N488:N493"/>
    <mergeCell ref="Q488:Q493"/>
    <mergeCell ref="R488:R493"/>
    <mergeCell ref="S488:S493"/>
    <mergeCell ref="T488:T493"/>
    <mergeCell ref="N508:N511"/>
    <mergeCell ref="Q508:Q511"/>
    <mergeCell ref="R508:R511"/>
    <mergeCell ref="S508:S511"/>
    <mergeCell ref="T508:T511"/>
    <mergeCell ref="U508:U511"/>
    <mergeCell ref="U500:U505"/>
    <mergeCell ref="A506:R506"/>
    <mergeCell ref="A507:U507"/>
    <mergeCell ref="A508:A511"/>
    <mergeCell ref="B508:B511"/>
    <mergeCell ref="C508:C511"/>
    <mergeCell ref="D508:D511"/>
    <mergeCell ref="E508:E511"/>
    <mergeCell ref="F508:F511"/>
    <mergeCell ref="M508:M511"/>
    <mergeCell ref="M500:M505"/>
    <mergeCell ref="N500:N505"/>
    <mergeCell ref="Q500:Q505"/>
    <mergeCell ref="R500:R505"/>
    <mergeCell ref="S500:S505"/>
    <mergeCell ref="T500:T505"/>
    <mergeCell ref="R518:R523"/>
    <mergeCell ref="S518:S523"/>
    <mergeCell ref="T518:T523"/>
    <mergeCell ref="U518:U523"/>
    <mergeCell ref="A524:A529"/>
    <mergeCell ref="B524:B529"/>
    <mergeCell ref="C524:C529"/>
    <mergeCell ref="D524:D529"/>
    <mergeCell ref="E524:E529"/>
    <mergeCell ref="F524:F529"/>
    <mergeCell ref="U512:U517"/>
    <mergeCell ref="A518:A523"/>
    <mergeCell ref="B518:B523"/>
    <mergeCell ref="C518:C523"/>
    <mergeCell ref="D518:D523"/>
    <mergeCell ref="E518:E523"/>
    <mergeCell ref="F518:F523"/>
    <mergeCell ref="M518:M523"/>
    <mergeCell ref="N518:N523"/>
    <mergeCell ref="Q518:Q523"/>
    <mergeCell ref="M512:M517"/>
    <mergeCell ref="N512:N517"/>
    <mergeCell ref="Q512:Q517"/>
    <mergeCell ref="R512:R517"/>
    <mergeCell ref="S512:S517"/>
    <mergeCell ref="T512:T517"/>
    <mergeCell ref="A512:A517"/>
    <mergeCell ref="B512:B517"/>
    <mergeCell ref="C512:C517"/>
    <mergeCell ref="D512:D517"/>
    <mergeCell ref="E512:E517"/>
    <mergeCell ref="F512:F517"/>
    <mergeCell ref="R530:R535"/>
    <mergeCell ref="S530:S535"/>
    <mergeCell ref="T530:T535"/>
    <mergeCell ref="U530:U535"/>
    <mergeCell ref="A536:A541"/>
    <mergeCell ref="B536:B541"/>
    <mergeCell ref="C536:C541"/>
    <mergeCell ref="D536:D541"/>
    <mergeCell ref="E536:E541"/>
    <mergeCell ref="F536:F541"/>
    <mergeCell ref="U524:U529"/>
    <mergeCell ref="A530:A535"/>
    <mergeCell ref="B530:B535"/>
    <mergeCell ref="C530:C535"/>
    <mergeCell ref="D530:D535"/>
    <mergeCell ref="E530:E535"/>
    <mergeCell ref="F530:F535"/>
    <mergeCell ref="M530:M535"/>
    <mergeCell ref="N530:N535"/>
    <mergeCell ref="Q530:Q535"/>
    <mergeCell ref="M524:M529"/>
    <mergeCell ref="N524:N529"/>
    <mergeCell ref="Q524:Q529"/>
    <mergeCell ref="R524:R529"/>
    <mergeCell ref="S524:S529"/>
    <mergeCell ref="T524:T529"/>
    <mergeCell ref="N544:N547"/>
    <mergeCell ref="Q544:Q547"/>
    <mergeCell ref="R544:R547"/>
    <mergeCell ref="S544:S547"/>
    <mergeCell ref="T544:T547"/>
    <mergeCell ref="U544:U547"/>
    <mergeCell ref="U536:U541"/>
    <mergeCell ref="A542:R542"/>
    <mergeCell ref="A543:U543"/>
    <mergeCell ref="A544:A547"/>
    <mergeCell ref="B544:B547"/>
    <mergeCell ref="C544:C547"/>
    <mergeCell ref="D544:D547"/>
    <mergeCell ref="E544:E547"/>
    <mergeCell ref="F544:F547"/>
    <mergeCell ref="M544:M547"/>
    <mergeCell ref="M536:M541"/>
    <mergeCell ref="N536:N541"/>
    <mergeCell ref="Q536:Q541"/>
    <mergeCell ref="R536:R541"/>
    <mergeCell ref="S536:S541"/>
    <mergeCell ref="T536:T541"/>
    <mergeCell ref="R554:R559"/>
    <mergeCell ref="S554:S559"/>
    <mergeCell ref="T554:T559"/>
    <mergeCell ref="U554:U559"/>
    <mergeCell ref="A560:A565"/>
    <mergeCell ref="B560:B565"/>
    <mergeCell ref="C560:C565"/>
    <mergeCell ref="D560:D565"/>
    <mergeCell ref="E560:E565"/>
    <mergeCell ref="F560:F565"/>
    <mergeCell ref="U548:U553"/>
    <mergeCell ref="A554:A559"/>
    <mergeCell ref="B554:B559"/>
    <mergeCell ref="C554:C559"/>
    <mergeCell ref="D554:D559"/>
    <mergeCell ref="E554:E559"/>
    <mergeCell ref="F554:F559"/>
    <mergeCell ref="M554:M559"/>
    <mergeCell ref="N554:N559"/>
    <mergeCell ref="Q554:Q559"/>
    <mergeCell ref="M548:M553"/>
    <mergeCell ref="N548:N553"/>
    <mergeCell ref="Q548:Q553"/>
    <mergeCell ref="R548:R553"/>
    <mergeCell ref="S548:S553"/>
    <mergeCell ref="T548:T553"/>
    <mergeCell ref="A548:A553"/>
    <mergeCell ref="B548:B553"/>
    <mergeCell ref="C548:C553"/>
    <mergeCell ref="D548:D553"/>
    <mergeCell ref="E548:E553"/>
    <mergeCell ref="F548:F553"/>
    <mergeCell ref="R566:R571"/>
    <mergeCell ref="S566:S571"/>
    <mergeCell ref="T566:T571"/>
    <mergeCell ref="U566:U571"/>
    <mergeCell ref="A572:A577"/>
    <mergeCell ref="B572:B577"/>
    <mergeCell ref="C572:C577"/>
    <mergeCell ref="D572:D577"/>
    <mergeCell ref="E572:E577"/>
    <mergeCell ref="F572:F577"/>
    <mergeCell ref="U560:U565"/>
    <mergeCell ref="A566:A571"/>
    <mergeCell ref="B566:B571"/>
    <mergeCell ref="C566:C571"/>
    <mergeCell ref="D566:D571"/>
    <mergeCell ref="E566:E571"/>
    <mergeCell ref="F566:F571"/>
    <mergeCell ref="M566:M571"/>
    <mergeCell ref="N566:N571"/>
    <mergeCell ref="Q566:Q571"/>
    <mergeCell ref="M560:M565"/>
    <mergeCell ref="N560:N565"/>
    <mergeCell ref="Q560:Q565"/>
    <mergeCell ref="R560:R565"/>
    <mergeCell ref="S560:S565"/>
    <mergeCell ref="T560:T565"/>
    <mergeCell ref="N580:N583"/>
    <mergeCell ref="Q580:Q583"/>
    <mergeCell ref="R580:R583"/>
    <mergeCell ref="S580:S583"/>
    <mergeCell ref="T580:T583"/>
    <mergeCell ref="U580:U583"/>
    <mergeCell ref="U572:U577"/>
    <mergeCell ref="A578:R578"/>
    <mergeCell ref="A579:U579"/>
    <mergeCell ref="A580:A583"/>
    <mergeCell ref="B580:B583"/>
    <mergeCell ref="C580:C583"/>
    <mergeCell ref="D580:D583"/>
    <mergeCell ref="E580:E583"/>
    <mergeCell ref="F580:F583"/>
    <mergeCell ref="M580:M583"/>
    <mergeCell ref="M572:M577"/>
    <mergeCell ref="N572:N577"/>
    <mergeCell ref="Q572:Q577"/>
    <mergeCell ref="R572:R577"/>
    <mergeCell ref="S572:S577"/>
    <mergeCell ref="T572:T577"/>
    <mergeCell ref="R590:R595"/>
    <mergeCell ref="S590:S595"/>
    <mergeCell ref="T590:T595"/>
    <mergeCell ref="U590:U595"/>
    <mergeCell ref="A596:A601"/>
    <mergeCell ref="B596:B601"/>
    <mergeCell ref="C596:C601"/>
    <mergeCell ref="D596:D601"/>
    <mergeCell ref="E596:E601"/>
    <mergeCell ref="F596:F601"/>
    <mergeCell ref="U584:U589"/>
    <mergeCell ref="A590:A595"/>
    <mergeCell ref="B590:B595"/>
    <mergeCell ref="C590:C595"/>
    <mergeCell ref="D590:D595"/>
    <mergeCell ref="E590:E595"/>
    <mergeCell ref="F590:F595"/>
    <mergeCell ref="M590:M595"/>
    <mergeCell ref="N590:N595"/>
    <mergeCell ref="Q590:Q595"/>
    <mergeCell ref="M584:M589"/>
    <mergeCell ref="N584:N589"/>
    <mergeCell ref="Q584:Q589"/>
    <mergeCell ref="R584:R589"/>
    <mergeCell ref="S584:S589"/>
    <mergeCell ref="T584:T589"/>
    <mergeCell ref="A584:A589"/>
    <mergeCell ref="B584:B589"/>
    <mergeCell ref="C584:C589"/>
    <mergeCell ref="D584:D589"/>
    <mergeCell ref="E584:E589"/>
    <mergeCell ref="F584:F589"/>
    <mergeCell ref="R602:R607"/>
    <mergeCell ref="S602:S607"/>
    <mergeCell ref="T602:T607"/>
    <mergeCell ref="U602:U607"/>
    <mergeCell ref="A608:A613"/>
    <mergeCell ref="B608:B613"/>
    <mergeCell ref="C608:C613"/>
    <mergeCell ref="D608:D613"/>
    <mergeCell ref="E608:E613"/>
    <mergeCell ref="F608:F613"/>
    <mergeCell ref="U596:U601"/>
    <mergeCell ref="A602:A607"/>
    <mergeCell ref="B602:B607"/>
    <mergeCell ref="C602:C607"/>
    <mergeCell ref="D602:D607"/>
    <mergeCell ref="E602:E607"/>
    <mergeCell ref="F602:F607"/>
    <mergeCell ref="M602:M607"/>
    <mergeCell ref="N602:N607"/>
    <mergeCell ref="Q602:Q607"/>
    <mergeCell ref="M596:M601"/>
    <mergeCell ref="N596:N601"/>
    <mergeCell ref="Q596:Q601"/>
    <mergeCell ref="R596:R601"/>
    <mergeCell ref="S596:S601"/>
    <mergeCell ref="T596:T601"/>
    <mergeCell ref="N616:N619"/>
    <mergeCell ref="Q616:Q619"/>
    <mergeCell ref="R616:R619"/>
    <mergeCell ref="S616:S619"/>
    <mergeCell ref="T616:T619"/>
    <mergeCell ref="U616:U619"/>
    <mergeCell ref="U608:U613"/>
    <mergeCell ref="A614:R614"/>
    <mergeCell ref="A615:U615"/>
    <mergeCell ref="A616:A619"/>
    <mergeCell ref="B616:B619"/>
    <mergeCell ref="C616:C619"/>
    <mergeCell ref="D616:D619"/>
    <mergeCell ref="E616:E619"/>
    <mergeCell ref="F616:F619"/>
    <mergeCell ref="M616:M619"/>
    <mergeCell ref="M608:M613"/>
    <mergeCell ref="N608:N613"/>
    <mergeCell ref="Q608:Q613"/>
    <mergeCell ref="R608:R613"/>
    <mergeCell ref="S608:S613"/>
    <mergeCell ref="T608:T613"/>
    <mergeCell ref="R626:R631"/>
    <mergeCell ref="S626:S631"/>
    <mergeCell ref="T626:T631"/>
    <mergeCell ref="U626:U631"/>
    <mergeCell ref="A632:A637"/>
    <mergeCell ref="B632:B637"/>
    <mergeCell ref="C632:C637"/>
    <mergeCell ref="D632:D637"/>
    <mergeCell ref="E632:E637"/>
    <mergeCell ref="F632:F637"/>
    <mergeCell ref="U620:U625"/>
    <mergeCell ref="A626:A631"/>
    <mergeCell ref="B626:B631"/>
    <mergeCell ref="C626:C631"/>
    <mergeCell ref="D626:D631"/>
    <mergeCell ref="E626:E631"/>
    <mergeCell ref="F626:F631"/>
    <mergeCell ref="M626:M631"/>
    <mergeCell ref="N626:N631"/>
    <mergeCell ref="Q626:Q631"/>
    <mergeCell ref="M620:M625"/>
    <mergeCell ref="N620:N625"/>
    <mergeCell ref="Q620:Q625"/>
    <mergeCell ref="R620:R625"/>
    <mergeCell ref="S620:S625"/>
    <mergeCell ref="T620:T625"/>
    <mergeCell ref="A620:A625"/>
    <mergeCell ref="B620:B625"/>
    <mergeCell ref="C620:C625"/>
    <mergeCell ref="D620:D625"/>
    <mergeCell ref="E620:E625"/>
    <mergeCell ref="F620:F625"/>
    <mergeCell ref="R638:R643"/>
    <mergeCell ref="S638:S643"/>
    <mergeCell ref="T638:T643"/>
    <mergeCell ref="U638:U643"/>
    <mergeCell ref="A644:A649"/>
    <mergeCell ref="B644:B649"/>
    <mergeCell ref="C644:C649"/>
    <mergeCell ref="D644:D649"/>
    <mergeCell ref="E644:E649"/>
    <mergeCell ref="F644:F649"/>
    <mergeCell ref="U632:U637"/>
    <mergeCell ref="A638:A643"/>
    <mergeCell ref="B638:B643"/>
    <mergeCell ref="C638:C643"/>
    <mergeCell ref="D638:D643"/>
    <mergeCell ref="E638:E643"/>
    <mergeCell ref="F638:F643"/>
    <mergeCell ref="M638:M643"/>
    <mergeCell ref="N638:N643"/>
    <mergeCell ref="Q638:Q643"/>
    <mergeCell ref="M632:M637"/>
    <mergeCell ref="N632:N637"/>
    <mergeCell ref="Q632:Q637"/>
    <mergeCell ref="R632:R637"/>
    <mergeCell ref="S632:S637"/>
    <mergeCell ref="T632:T637"/>
    <mergeCell ref="N652:N655"/>
    <mergeCell ref="Q652:Q655"/>
    <mergeCell ref="R652:R655"/>
    <mergeCell ref="S652:S655"/>
    <mergeCell ref="T652:T655"/>
    <mergeCell ref="U652:U655"/>
    <mergeCell ref="U644:U649"/>
    <mergeCell ref="A650:R650"/>
    <mergeCell ref="A651:U651"/>
    <mergeCell ref="A652:A655"/>
    <mergeCell ref="B652:B655"/>
    <mergeCell ref="C652:C655"/>
    <mergeCell ref="D652:D655"/>
    <mergeCell ref="E652:E655"/>
    <mergeCell ref="F652:F655"/>
    <mergeCell ref="M652:M655"/>
    <mergeCell ref="M644:M649"/>
    <mergeCell ref="N644:N649"/>
    <mergeCell ref="Q644:Q649"/>
    <mergeCell ref="R644:R649"/>
    <mergeCell ref="S644:S649"/>
    <mergeCell ref="T644:T649"/>
    <mergeCell ref="R662:R667"/>
    <mergeCell ref="S662:S667"/>
    <mergeCell ref="T662:T667"/>
    <mergeCell ref="U662:U667"/>
    <mergeCell ref="A668:A673"/>
    <mergeCell ref="B668:B673"/>
    <mergeCell ref="C668:C673"/>
    <mergeCell ref="D668:D673"/>
    <mergeCell ref="E668:E673"/>
    <mergeCell ref="F668:F673"/>
    <mergeCell ref="U656:U661"/>
    <mergeCell ref="A662:A667"/>
    <mergeCell ref="B662:B667"/>
    <mergeCell ref="C662:C667"/>
    <mergeCell ref="D662:D667"/>
    <mergeCell ref="E662:E667"/>
    <mergeCell ref="F662:F667"/>
    <mergeCell ref="M662:M667"/>
    <mergeCell ref="N662:N667"/>
    <mergeCell ref="Q662:Q667"/>
    <mergeCell ref="M656:M661"/>
    <mergeCell ref="N656:N661"/>
    <mergeCell ref="Q656:Q661"/>
    <mergeCell ref="R656:R661"/>
    <mergeCell ref="S656:S661"/>
    <mergeCell ref="T656:T661"/>
    <mergeCell ref="A656:A661"/>
    <mergeCell ref="B656:B661"/>
    <mergeCell ref="C656:C661"/>
    <mergeCell ref="D656:D661"/>
    <mergeCell ref="E656:E661"/>
    <mergeCell ref="F656:F661"/>
    <mergeCell ref="R674:R679"/>
    <mergeCell ref="S674:S679"/>
    <mergeCell ref="T674:T679"/>
    <mergeCell ref="U674:U679"/>
    <mergeCell ref="A680:A685"/>
    <mergeCell ref="B680:B685"/>
    <mergeCell ref="C680:C685"/>
    <mergeCell ref="D680:D685"/>
    <mergeCell ref="E680:E685"/>
    <mergeCell ref="F680:F685"/>
    <mergeCell ref="U668:U673"/>
    <mergeCell ref="A674:A679"/>
    <mergeCell ref="B674:B679"/>
    <mergeCell ref="C674:C679"/>
    <mergeCell ref="D674:D679"/>
    <mergeCell ref="E674:E679"/>
    <mergeCell ref="F674:F679"/>
    <mergeCell ref="M674:M679"/>
    <mergeCell ref="N674:N679"/>
    <mergeCell ref="Q674:Q679"/>
    <mergeCell ref="M668:M673"/>
    <mergeCell ref="N668:N673"/>
    <mergeCell ref="Q668:Q673"/>
    <mergeCell ref="R668:R673"/>
    <mergeCell ref="S668:S673"/>
    <mergeCell ref="T668:T673"/>
    <mergeCell ref="N688:N691"/>
    <mergeCell ref="Q688:Q691"/>
    <mergeCell ref="R688:R691"/>
    <mergeCell ref="S688:S691"/>
    <mergeCell ref="T688:T691"/>
    <mergeCell ref="U688:U691"/>
    <mergeCell ref="U680:U685"/>
    <mergeCell ref="A686:R686"/>
    <mergeCell ref="A687:U687"/>
    <mergeCell ref="A688:A691"/>
    <mergeCell ref="B688:B691"/>
    <mergeCell ref="C688:C691"/>
    <mergeCell ref="D688:D691"/>
    <mergeCell ref="E688:E691"/>
    <mergeCell ref="F688:F691"/>
    <mergeCell ref="M688:M691"/>
    <mergeCell ref="M680:M685"/>
    <mergeCell ref="N680:N685"/>
    <mergeCell ref="Q680:Q685"/>
    <mergeCell ref="R680:R685"/>
    <mergeCell ref="S680:S685"/>
    <mergeCell ref="T680:T685"/>
    <mergeCell ref="U692:U697"/>
    <mergeCell ref="A698:A703"/>
    <mergeCell ref="B698:B703"/>
    <mergeCell ref="C698:C703"/>
    <mergeCell ref="D698:D703"/>
    <mergeCell ref="E698:E703"/>
    <mergeCell ref="F698:F703"/>
    <mergeCell ref="M698:M703"/>
    <mergeCell ref="N698:N703"/>
    <mergeCell ref="Q698:Q703"/>
    <mergeCell ref="M692:M697"/>
    <mergeCell ref="N692:N697"/>
    <mergeCell ref="Q692:Q697"/>
    <mergeCell ref="R692:R697"/>
    <mergeCell ref="S692:S697"/>
    <mergeCell ref="T692:T697"/>
    <mergeCell ref="A692:A697"/>
    <mergeCell ref="B692:B697"/>
    <mergeCell ref="C692:C697"/>
    <mergeCell ref="D692:D697"/>
    <mergeCell ref="E692:E697"/>
    <mergeCell ref="F692:F697"/>
    <mergeCell ref="U704:U709"/>
    <mergeCell ref="A710:A715"/>
    <mergeCell ref="B710:B715"/>
    <mergeCell ref="C710:C715"/>
    <mergeCell ref="D710:D715"/>
    <mergeCell ref="E710:E715"/>
    <mergeCell ref="F710:F715"/>
    <mergeCell ref="M710:M715"/>
    <mergeCell ref="N710:N715"/>
    <mergeCell ref="Q710:Q715"/>
    <mergeCell ref="M704:M709"/>
    <mergeCell ref="N704:N709"/>
    <mergeCell ref="Q704:Q709"/>
    <mergeCell ref="R704:R709"/>
    <mergeCell ref="S704:S709"/>
    <mergeCell ref="T704:T709"/>
    <mergeCell ref="R698:R703"/>
    <mergeCell ref="S698:S703"/>
    <mergeCell ref="T698:T703"/>
    <mergeCell ref="U698:U703"/>
    <mergeCell ref="A704:A709"/>
    <mergeCell ref="B704:B709"/>
    <mergeCell ref="C704:C709"/>
    <mergeCell ref="D704:D709"/>
    <mergeCell ref="E704:E709"/>
    <mergeCell ref="F704:F709"/>
    <mergeCell ref="U716:U721"/>
    <mergeCell ref="A722:R722"/>
    <mergeCell ref="M716:M721"/>
    <mergeCell ref="N716:N721"/>
    <mergeCell ref="Q716:Q721"/>
    <mergeCell ref="R716:R721"/>
    <mergeCell ref="S716:S721"/>
    <mergeCell ref="T716:T721"/>
    <mergeCell ref="R710:R715"/>
    <mergeCell ref="S710:S715"/>
    <mergeCell ref="T710:T715"/>
    <mergeCell ref="U710:U715"/>
    <mergeCell ref="A716:A721"/>
    <mergeCell ref="B716:B721"/>
    <mergeCell ref="C716:C721"/>
    <mergeCell ref="D716:D721"/>
    <mergeCell ref="E716:E721"/>
    <mergeCell ref="F716:F7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U722"/>
  <sheetViews>
    <sheetView topLeftCell="A192" workbookViewId="0">
      <selection activeCell="W13" sqref="W13"/>
    </sheetView>
  </sheetViews>
  <sheetFormatPr defaultRowHeight="15" x14ac:dyDescent="0.25"/>
  <cols>
    <col min="1" max="1" width="9.140625" style="16"/>
    <col min="2" max="5" width="0" style="16" hidden="1" customWidth="1"/>
    <col min="6" max="8" width="9.140625" style="16"/>
    <col min="9" max="10" width="0" style="16" hidden="1" customWidth="1"/>
    <col min="11" max="11" width="9.140625" style="16"/>
    <col min="12" max="13" width="0" style="16" hidden="1" customWidth="1"/>
    <col min="14" max="15" width="9.140625" style="16"/>
    <col min="16" max="17" width="0" style="16" hidden="1" customWidth="1"/>
    <col min="18" max="19" width="9.140625" style="16"/>
    <col min="20" max="21" width="0" style="16" hidden="1" customWidth="1"/>
  </cols>
  <sheetData>
    <row r="1" spans="1:21" ht="45" x14ac:dyDescent="0.25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3" t="s">
        <v>5</v>
      </c>
      <c r="G1" s="13" t="s">
        <v>6</v>
      </c>
      <c r="H1" s="13" t="s">
        <v>7</v>
      </c>
      <c r="I1" s="15" t="s">
        <v>8</v>
      </c>
      <c r="J1" s="15" t="s">
        <v>9</v>
      </c>
      <c r="K1" s="13" t="s">
        <v>31</v>
      </c>
      <c r="L1" s="14" t="s">
        <v>10</v>
      </c>
      <c r="M1" s="14" t="s">
        <v>11</v>
      </c>
      <c r="N1" s="13" t="s">
        <v>12</v>
      </c>
      <c r="O1" s="13" t="s">
        <v>13</v>
      </c>
      <c r="P1" s="14" t="s">
        <v>14</v>
      </c>
      <c r="Q1" s="14" t="s">
        <v>15</v>
      </c>
      <c r="R1" s="13" t="s">
        <v>16</v>
      </c>
      <c r="S1" s="13" t="s">
        <v>17</v>
      </c>
      <c r="T1" s="14" t="s">
        <v>18</v>
      </c>
      <c r="U1" s="14" t="s">
        <v>19</v>
      </c>
    </row>
    <row r="2" spans="1:21" x14ac:dyDescent="0.25">
      <c r="A2" s="3">
        <v>1</v>
      </c>
      <c r="B2" s="4"/>
      <c r="C2" s="4"/>
      <c r="D2" s="4"/>
      <c r="E2" s="4"/>
      <c r="F2" s="3">
        <v>2</v>
      </c>
      <c r="G2" s="3">
        <v>3</v>
      </c>
      <c r="H2" s="3">
        <v>4</v>
      </c>
      <c r="I2" s="5"/>
      <c r="J2" s="6"/>
      <c r="K2" s="3">
        <v>5</v>
      </c>
      <c r="L2" s="4"/>
      <c r="M2" s="5"/>
      <c r="N2" s="3">
        <v>6</v>
      </c>
      <c r="O2" s="3">
        <v>7</v>
      </c>
      <c r="P2" s="4"/>
      <c r="Q2" s="5"/>
      <c r="R2" s="7">
        <v>8</v>
      </c>
      <c r="S2" s="7">
        <v>9</v>
      </c>
      <c r="T2" s="4"/>
      <c r="U2" s="4"/>
    </row>
    <row r="3" spans="1:21" x14ac:dyDescent="0.25">
      <c r="A3" s="27" t="s">
        <v>72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9"/>
    </row>
    <row r="4" spans="1:21" x14ac:dyDescent="0.25">
      <c r="A4" s="24">
        <v>250</v>
      </c>
      <c r="B4" s="24">
        <v>3</v>
      </c>
      <c r="C4" s="17">
        <v>0.5</v>
      </c>
      <c r="D4" s="24">
        <v>38</v>
      </c>
      <c r="E4" s="24">
        <v>4</v>
      </c>
      <c r="F4" s="25">
        <v>84</v>
      </c>
      <c r="G4" s="1">
        <v>175</v>
      </c>
      <c r="H4" s="2">
        <v>84.8</v>
      </c>
      <c r="I4" s="2">
        <v>-6</v>
      </c>
      <c r="J4" s="2">
        <v>-12.4</v>
      </c>
      <c r="K4" s="2">
        <f>I4</f>
        <v>-6</v>
      </c>
      <c r="L4" s="8">
        <f>10^((K4-H4)/10)</f>
        <v>8.3176377110266926E-10</v>
      </c>
      <c r="M4" s="26">
        <f>SUM(L4:L7)</f>
        <v>1.1876705276760571E-9</v>
      </c>
      <c r="N4" s="17">
        <f>10*LOG10(M4/E4)</f>
        <v>-95.273640118422605</v>
      </c>
      <c r="O4" s="9">
        <f>J4</f>
        <v>-12.4</v>
      </c>
      <c r="P4" s="8">
        <f>D4/B4*10^(O4/10)</f>
        <v>0.72889058729373202</v>
      </c>
      <c r="Q4" s="26">
        <f>SUM(P4:P7)</f>
        <v>3.1707265189050187</v>
      </c>
      <c r="R4" s="17">
        <f>10*LOG10(Q4)</f>
        <v>5.0115878493076806</v>
      </c>
      <c r="S4" s="18">
        <f>F4+N4-Kzt-H</f>
        <v>-11.273640118422605</v>
      </c>
      <c r="T4" s="17">
        <v>0.2</v>
      </c>
      <c r="U4" s="21">
        <f>T4*10^((S4-R4)/10)</f>
        <v>4.7044320375564403E-3</v>
      </c>
    </row>
    <row r="5" spans="1:21" x14ac:dyDescent="0.25">
      <c r="A5" s="24"/>
      <c r="B5" s="24"/>
      <c r="C5" s="17"/>
      <c r="D5" s="24"/>
      <c r="E5" s="24"/>
      <c r="F5" s="25"/>
      <c r="G5" s="1">
        <v>225</v>
      </c>
      <c r="H5" s="2">
        <v>90</v>
      </c>
      <c r="I5" s="2">
        <v>-9</v>
      </c>
      <c r="J5" s="2">
        <v>-10.7</v>
      </c>
      <c r="K5" s="2">
        <f t="shared" ref="K5:K37" si="0">I5</f>
        <v>-9</v>
      </c>
      <c r="L5" s="8">
        <f t="shared" ref="L5:L37" si="1">10^((K5-H5)/10)</f>
        <v>1.2589254117941656E-10</v>
      </c>
      <c r="M5" s="26"/>
      <c r="N5" s="17"/>
      <c r="O5" s="9">
        <f t="shared" ref="O5:O37" si="2">J5</f>
        <v>-10.7</v>
      </c>
      <c r="P5" s="8">
        <f>D4/B4*10^(O5/10)</f>
        <v>1.07810818172301</v>
      </c>
      <c r="Q5" s="26"/>
      <c r="R5" s="17"/>
      <c r="S5" s="19"/>
      <c r="T5" s="17"/>
      <c r="U5" s="22"/>
    </row>
    <row r="6" spans="1:21" x14ac:dyDescent="0.25">
      <c r="A6" s="24"/>
      <c r="B6" s="24"/>
      <c r="C6" s="17"/>
      <c r="D6" s="24"/>
      <c r="E6" s="24"/>
      <c r="F6" s="25"/>
      <c r="G6" s="1">
        <v>275</v>
      </c>
      <c r="H6" s="2">
        <v>92.2</v>
      </c>
      <c r="I6" s="2">
        <v>-5.4</v>
      </c>
      <c r="J6" s="2">
        <v>-13</v>
      </c>
      <c r="K6" s="2">
        <f t="shared" si="0"/>
        <v>-5.4</v>
      </c>
      <c r="L6" s="8">
        <f t="shared" si="1"/>
        <v>1.7378008287493647E-10</v>
      </c>
      <c r="M6" s="26"/>
      <c r="N6" s="17"/>
      <c r="O6" s="9">
        <f t="shared" si="2"/>
        <v>-13</v>
      </c>
      <c r="P6" s="8">
        <f>D4/B4*10^(O6/10)</f>
        <v>0.63483716259454459</v>
      </c>
      <c r="Q6" s="26"/>
      <c r="R6" s="17"/>
      <c r="S6" s="19"/>
      <c r="T6" s="17"/>
      <c r="U6" s="22"/>
    </row>
    <row r="7" spans="1:21" x14ac:dyDescent="0.25">
      <c r="A7" s="24"/>
      <c r="B7" s="24"/>
      <c r="C7" s="17"/>
      <c r="D7" s="24"/>
      <c r="E7" s="24"/>
      <c r="F7" s="25"/>
      <c r="G7" s="1">
        <v>325</v>
      </c>
      <c r="H7" s="2">
        <v>93.3</v>
      </c>
      <c r="I7" s="2">
        <v>-9.1999999999999993</v>
      </c>
      <c r="J7" s="2">
        <v>-12.4</v>
      </c>
      <c r="K7" s="2">
        <f t="shared" si="0"/>
        <v>-9.1999999999999993</v>
      </c>
      <c r="L7" s="8">
        <f>10^((K7-H7)/10)</f>
        <v>5.6234132519034822E-11</v>
      </c>
      <c r="M7" s="26"/>
      <c r="N7" s="17"/>
      <c r="O7" s="9">
        <f t="shared" si="2"/>
        <v>-12.4</v>
      </c>
      <c r="P7" s="8">
        <f>D4/B4*10^(O7/10)</f>
        <v>0.72889058729373202</v>
      </c>
      <c r="Q7" s="26"/>
      <c r="R7" s="17"/>
      <c r="S7" s="20"/>
      <c r="T7" s="17"/>
      <c r="U7" s="23"/>
    </row>
    <row r="8" spans="1:21" x14ac:dyDescent="0.25">
      <c r="A8" s="24">
        <v>500</v>
      </c>
      <c r="B8" s="24">
        <v>3</v>
      </c>
      <c r="C8" s="17">
        <v>0.5</v>
      </c>
      <c r="D8" s="24">
        <v>59</v>
      </c>
      <c r="E8" s="24">
        <v>6</v>
      </c>
      <c r="F8" s="25">
        <v>84</v>
      </c>
      <c r="G8" s="1">
        <v>375</v>
      </c>
      <c r="H8" s="2">
        <v>91.9</v>
      </c>
      <c r="I8" s="2">
        <v>-3.8</v>
      </c>
      <c r="J8" s="2">
        <v>-11.5</v>
      </c>
      <c r="K8" s="2">
        <f t="shared" si="0"/>
        <v>-3.8</v>
      </c>
      <c r="L8" s="8">
        <f t="shared" si="1"/>
        <v>2.6915348039269034E-10</v>
      </c>
      <c r="M8" s="26">
        <f>SUM(L8:L13)</f>
        <v>7.8788771352461803E-10</v>
      </c>
      <c r="N8" s="17">
        <f>10*LOG10(M8/E8)</f>
        <v>-98.816869223248062</v>
      </c>
      <c r="O8" s="9">
        <f t="shared" si="2"/>
        <v>-11.5</v>
      </c>
      <c r="P8" s="8">
        <f>D8/B8*10^(O8/10)</f>
        <v>1.3922933759554712</v>
      </c>
      <c r="Q8" s="26">
        <f>SUM(P8:P13)</f>
        <v>8.6096750727464926</v>
      </c>
      <c r="R8" s="17">
        <f>10*LOG10(Q8)</f>
        <v>9.3498676158420153</v>
      </c>
      <c r="S8" s="18">
        <f>F8+N8-Kzt-H</f>
        <v>-14.816869223248062</v>
      </c>
      <c r="T8" s="17">
        <v>0.5</v>
      </c>
      <c r="U8" s="21">
        <f>T8*10^((S8-R8)/10)</f>
        <v>1.9155624732578392E-3</v>
      </c>
    </row>
    <row r="9" spans="1:21" x14ac:dyDescent="0.25">
      <c r="A9" s="24"/>
      <c r="B9" s="24"/>
      <c r="C9" s="17"/>
      <c r="D9" s="24"/>
      <c r="E9" s="24"/>
      <c r="F9" s="25"/>
      <c r="G9" s="1">
        <v>425</v>
      </c>
      <c r="H9" s="2">
        <v>88.1</v>
      </c>
      <c r="I9" s="2">
        <v>-11.100000000000001</v>
      </c>
      <c r="J9" s="2">
        <v>-11.8</v>
      </c>
      <c r="K9" s="2">
        <f t="shared" si="0"/>
        <v>-11.100000000000001</v>
      </c>
      <c r="L9" s="8">
        <f t="shared" si="1"/>
        <v>1.2022644346174158E-10</v>
      </c>
      <c r="M9" s="26"/>
      <c r="N9" s="17"/>
      <c r="O9" s="9">
        <f t="shared" si="2"/>
        <v>-11.8</v>
      </c>
      <c r="P9" s="8">
        <f>D8/B8*10^(O9/10)</f>
        <v>1.2993637810816048</v>
      </c>
      <c r="Q9" s="26"/>
      <c r="R9" s="17"/>
      <c r="S9" s="19"/>
      <c r="T9" s="17"/>
      <c r="U9" s="22"/>
    </row>
    <row r="10" spans="1:21" x14ac:dyDescent="0.25">
      <c r="A10" s="24"/>
      <c r="B10" s="24"/>
      <c r="C10" s="17"/>
      <c r="D10" s="24"/>
      <c r="E10" s="24"/>
      <c r="F10" s="25"/>
      <c r="G10" s="1">
        <v>475</v>
      </c>
      <c r="H10" s="2">
        <v>90</v>
      </c>
      <c r="I10" s="2">
        <v>-10.199999999999999</v>
      </c>
      <c r="J10" s="2">
        <v>-10.6</v>
      </c>
      <c r="K10" s="2">
        <f t="shared" si="0"/>
        <v>-10.199999999999999</v>
      </c>
      <c r="L10" s="8">
        <f>10^((K10-H10)/10)</f>
        <v>9.5499258602143585E-11</v>
      </c>
      <c r="M10" s="26"/>
      <c r="N10" s="17"/>
      <c r="O10" s="9">
        <f t="shared" si="2"/>
        <v>-10.6</v>
      </c>
      <c r="P10" s="8">
        <f>D8/B8*10^(O10/10)</f>
        <v>1.7128950602469577</v>
      </c>
      <c r="Q10" s="26"/>
      <c r="R10" s="17"/>
      <c r="S10" s="19"/>
      <c r="T10" s="17"/>
      <c r="U10" s="22"/>
    </row>
    <row r="11" spans="1:21" x14ac:dyDescent="0.25">
      <c r="A11" s="24"/>
      <c r="B11" s="24"/>
      <c r="C11" s="17"/>
      <c r="D11" s="24"/>
      <c r="E11" s="24"/>
      <c r="F11" s="25"/>
      <c r="G11" s="1">
        <v>575</v>
      </c>
      <c r="H11" s="2">
        <v>97</v>
      </c>
      <c r="I11" s="2">
        <v>-9.5</v>
      </c>
      <c r="J11" s="2">
        <v>-11.3</v>
      </c>
      <c r="K11" s="2">
        <f t="shared" si="0"/>
        <v>-9.5</v>
      </c>
      <c r="L11" s="8">
        <f t="shared" si="1"/>
        <v>2.238721138568329E-11</v>
      </c>
      <c r="M11" s="26"/>
      <c r="N11" s="17"/>
      <c r="O11" s="9">
        <f t="shared" si="2"/>
        <v>-11.3</v>
      </c>
      <c r="P11" s="8">
        <f>D8/B8*10^(O11/10)</f>
        <v>1.4579101412251374</v>
      </c>
      <c r="Q11" s="26"/>
      <c r="R11" s="17"/>
      <c r="S11" s="19"/>
      <c r="T11" s="17"/>
      <c r="U11" s="22"/>
    </row>
    <row r="12" spans="1:21" x14ac:dyDescent="0.25">
      <c r="A12" s="24"/>
      <c r="B12" s="24"/>
      <c r="C12" s="17"/>
      <c r="D12" s="24"/>
      <c r="E12" s="24"/>
      <c r="F12" s="25"/>
      <c r="G12" s="1">
        <v>625</v>
      </c>
      <c r="H12" s="2">
        <v>92</v>
      </c>
      <c r="I12" s="2">
        <v>-11.899999999999999</v>
      </c>
      <c r="J12" s="2">
        <v>-12.2</v>
      </c>
      <c r="K12" s="2">
        <f t="shared" si="0"/>
        <v>-11.899999999999999</v>
      </c>
      <c r="L12" s="8">
        <f t="shared" si="1"/>
        <v>4.0738027780411121E-11</v>
      </c>
      <c r="M12" s="26"/>
      <c r="N12" s="17"/>
      <c r="O12" s="9">
        <f t="shared" si="2"/>
        <v>-12.2</v>
      </c>
      <c r="P12" s="8">
        <f>D8/B8*10^(O12/10)</f>
        <v>1.1850338526129032</v>
      </c>
      <c r="Q12" s="26"/>
      <c r="R12" s="17"/>
      <c r="S12" s="19"/>
      <c r="T12" s="17"/>
      <c r="U12" s="22"/>
    </row>
    <row r="13" spans="1:21" x14ac:dyDescent="0.25">
      <c r="A13" s="24"/>
      <c r="B13" s="24"/>
      <c r="C13" s="17"/>
      <c r="D13" s="24"/>
      <c r="E13" s="24"/>
      <c r="F13" s="25"/>
      <c r="G13" s="1">
        <v>675</v>
      </c>
      <c r="H13" s="2">
        <v>94.5</v>
      </c>
      <c r="I13" s="2">
        <v>-1.7</v>
      </c>
      <c r="J13" s="2">
        <v>-11</v>
      </c>
      <c r="K13" s="2">
        <f t="shared" si="0"/>
        <v>-1.7</v>
      </c>
      <c r="L13" s="8">
        <f t="shared" si="1"/>
        <v>2.3988329190194809E-10</v>
      </c>
      <c r="M13" s="26"/>
      <c r="N13" s="17"/>
      <c r="O13" s="9">
        <f t="shared" si="2"/>
        <v>-11</v>
      </c>
      <c r="P13" s="8">
        <f>D8/B8*10^(O13/10)</f>
        <v>1.5621788616244192</v>
      </c>
      <c r="Q13" s="26"/>
      <c r="R13" s="17"/>
      <c r="S13" s="20"/>
      <c r="T13" s="17"/>
      <c r="U13" s="23"/>
    </row>
    <row r="14" spans="1:21" x14ac:dyDescent="0.25">
      <c r="A14" s="24">
        <v>1000</v>
      </c>
      <c r="B14" s="24">
        <v>3</v>
      </c>
      <c r="C14" s="17">
        <v>0.5</v>
      </c>
      <c r="D14" s="24">
        <v>117</v>
      </c>
      <c r="E14" s="24">
        <v>6</v>
      </c>
      <c r="F14" s="25">
        <v>76</v>
      </c>
      <c r="G14" s="1">
        <v>875</v>
      </c>
      <c r="H14" s="2">
        <v>91.1</v>
      </c>
      <c r="I14" s="2">
        <v>-3.5</v>
      </c>
      <c r="J14" s="2">
        <v>-12.8</v>
      </c>
      <c r="K14" s="2">
        <f t="shared" si="0"/>
        <v>-3.5</v>
      </c>
      <c r="L14" s="8">
        <f t="shared" si="1"/>
        <v>3.4673685045253217E-10</v>
      </c>
      <c r="M14" s="26">
        <f>SUM(L14:L19)</f>
        <v>7.4766054467713644E-10</v>
      </c>
      <c r="N14" s="17">
        <f>10*LOG10(M14/E14)</f>
        <v>-99.04446787593217</v>
      </c>
      <c r="O14" s="9">
        <f t="shared" si="2"/>
        <v>-12.8</v>
      </c>
      <c r="P14" s="8">
        <f>D14/B14*10^(O14/10)</f>
        <v>2.0467490949741127</v>
      </c>
      <c r="Q14" s="26">
        <f>SUM(P14:P19)</f>
        <v>15.118585787565896</v>
      </c>
      <c r="R14" s="17">
        <f>10*LOG10(Q14)</f>
        <v>11.795111685870596</v>
      </c>
      <c r="S14" s="18">
        <f>F14+N14-Kzt-H</f>
        <v>-23.04446787593217</v>
      </c>
      <c r="T14" s="17">
        <v>0.8</v>
      </c>
      <c r="U14" s="21">
        <f>T14*10^((S14-R14)/10)</f>
        <v>2.6250164590632539E-4</v>
      </c>
    </row>
    <row r="15" spans="1:21" x14ac:dyDescent="0.25">
      <c r="A15" s="24"/>
      <c r="B15" s="24"/>
      <c r="C15" s="17"/>
      <c r="D15" s="24"/>
      <c r="E15" s="24"/>
      <c r="F15" s="25"/>
      <c r="G15" s="1">
        <v>975</v>
      </c>
      <c r="H15" s="2">
        <v>96.5</v>
      </c>
      <c r="I15" s="2">
        <v>-1.7</v>
      </c>
      <c r="J15" s="2">
        <v>-11.6</v>
      </c>
      <c r="K15" s="2">
        <f t="shared" si="0"/>
        <v>-1.7</v>
      </c>
      <c r="L15" s="8">
        <f t="shared" si="1"/>
        <v>1.5135612484362048E-10</v>
      </c>
      <c r="M15" s="26"/>
      <c r="N15" s="17"/>
      <c r="O15" s="9">
        <f t="shared" si="2"/>
        <v>-11.6</v>
      </c>
      <c r="P15" s="8">
        <f>D14/B14*10^(O15/10)</f>
        <v>2.6981407865838523</v>
      </c>
      <c r="Q15" s="26"/>
      <c r="R15" s="17"/>
      <c r="S15" s="19"/>
      <c r="T15" s="17"/>
      <c r="U15" s="22"/>
    </row>
    <row r="16" spans="1:21" x14ac:dyDescent="0.25">
      <c r="A16" s="24"/>
      <c r="B16" s="24"/>
      <c r="C16" s="17"/>
      <c r="D16" s="24"/>
      <c r="E16" s="24"/>
      <c r="F16" s="25"/>
      <c r="G16" s="1">
        <v>1075</v>
      </c>
      <c r="H16" s="2">
        <v>94.6</v>
      </c>
      <c r="I16" s="2">
        <v>-3.3</v>
      </c>
      <c r="J16" s="2">
        <v>-10.7</v>
      </c>
      <c r="K16" s="2">
        <f t="shared" si="0"/>
        <v>-3.3</v>
      </c>
      <c r="L16" s="8">
        <f t="shared" si="1"/>
        <v>1.6218100973589318E-10</v>
      </c>
      <c r="M16" s="26"/>
      <c r="N16" s="17"/>
      <c r="O16" s="9">
        <f t="shared" si="2"/>
        <v>-10.7</v>
      </c>
      <c r="P16" s="8">
        <f>D14/B14*10^(O16/10)</f>
        <v>3.319438348989268</v>
      </c>
      <c r="Q16" s="26"/>
      <c r="R16" s="17"/>
      <c r="S16" s="19"/>
      <c r="T16" s="17"/>
      <c r="U16" s="22"/>
    </row>
    <row r="17" spans="1:21" x14ac:dyDescent="0.25">
      <c r="A17" s="24"/>
      <c r="B17" s="24"/>
      <c r="C17" s="17"/>
      <c r="D17" s="24"/>
      <c r="E17" s="24"/>
      <c r="F17" s="25"/>
      <c r="G17" s="1">
        <v>1175</v>
      </c>
      <c r="H17" s="2">
        <v>97.8</v>
      </c>
      <c r="I17" s="2">
        <v>-4.3</v>
      </c>
      <c r="J17" s="2">
        <v>-12.3</v>
      </c>
      <c r="K17" s="2">
        <f t="shared" si="0"/>
        <v>-4.3</v>
      </c>
      <c r="L17" s="8">
        <f t="shared" si="1"/>
        <v>6.1659500186148317E-11</v>
      </c>
      <c r="M17" s="26"/>
      <c r="N17" s="17"/>
      <c r="O17" s="9">
        <f t="shared" si="2"/>
        <v>-12.3</v>
      </c>
      <c r="P17" s="8">
        <f>D14/B14*10^(O17/10)</f>
        <v>2.2964902558867966</v>
      </c>
      <c r="Q17" s="26"/>
      <c r="R17" s="17"/>
      <c r="S17" s="19"/>
      <c r="T17" s="17"/>
      <c r="U17" s="22"/>
    </row>
    <row r="18" spans="1:21" x14ac:dyDescent="0.25">
      <c r="A18" s="24"/>
      <c r="B18" s="24"/>
      <c r="C18" s="17"/>
      <c r="D18" s="24"/>
      <c r="E18" s="24"/>
      <c r="F18" s="25"/>
      <c r="G18" s="1">
        <v>1275</v>
      </c>
      <c r="H18" s="2">
        <v>100.1</v>
      </c>
      <c r="I18" s="2">
        <v>-6.3</v>
      </c>
      <c r="J18" s="2">
        <v>-11.3</v>
      </c>
      <c r="K18" s="2">
        <f t="shared" si="0"/>
        <v>-6.3</v>
      </c>
      <c r="L18" s="8">
        <f t="shared" si="1"/>
        <v>2.290867652767778E-11</v>
      </c>
      <c r="M18" s="26"/>
      <c r="N18" s="17"/>
      <c r="O18" s="9">
        <f t="shared" si="2"/>
        <v>-11.3</v>
      </c>
      <c r="P18" s="8">
        <f>D14/B14*10^(O18/10)</f>
        <v>2.8911099410735774</v>
      </c>
      <c r="Q18" s="26"/>
      <c r="R18" s="17"/>
      <c r="S18" s="19"/>
      <c r="T18" s="17"/>
      <c r="U18" s="22"/>
    </row>
    <row r="19" spans="1:21" x14ac:dyDescent="0.25">
      <c r="A19" s="24"/>
      <c r="B19" s="24"/>
      <c r="C19" s="17"/>
      <c r="D19" s="24"/>
      <c r="E19" s="24"/>
      <c r="F19" s="25"/>
      <c r="G19" s="1">
        <v>1375</v>
      </c>
      <c r="H19" s="2">
        <v>103</v>
      </c>
      <c r="I19" s="2">
        <v>-12.5</v>
      </c>
      <c r="J19" s="2">
        <v>-13.2</v>
      </c>
      <c r="K19" s="2">
        <f t="shared" si="0"/>
        <v>-12.5</v>
      </c>
      <c r="L19" s="8">
        <f t="shared" si="1"/>
        <v>2.8183829312644444E-12</v>
      </c>
      <c r="M19" s="26"/>
      <c r="N19" s="17"/>
      <c r="O19" s="9">
        <f t="shared" si="2"/>
        <v>-13.2</v>
      </c>
      <c r="P19" s="8">
        <f>D14/B14*10^(O19/10)</f>
        <v>1.8666573600582896</v>
      </c>
      <c r="Q19" s="26"/>
      <c r="R19" s="17"/>
      <c r="S19" s="20"/>
      <c r="T19" s="17"/>
      <c r="U19" s="23"/>
    </row>
    <row r="20" spans="1:21" x14ac:dyDescent="0.25">
      <c r="A20" s="24">
        <v>2000</v>
      </c>
      <c r="B20" s="24">
        <v>3</v>
      </c>
      <c r="C20" s="17">
        <v>0.5</v>
      </c>
      <c r="D20" s="24">
        <v>234</v>
      </c>
      <c r="E20" s="24">
        <v>6</v>
      </c>
      <c r="F20" s="25">
        <v>68</v>
      </c>
      <c r="G20" s="1">
        <v>1425</v>
      </c>
      <c r="H20" s="2">
        <v>102.8</v>
      </c>
      <c r="I20" s="2">
        <v>-6.4</v>
      </c>
      <c r="J20" s="2">
        <v>-12.6</v>
      </c>
      <c r="K20" s="2">
        <f t="shared" si="0"/>
        <v>-6.4</v>
      </c>
      <c r="L20" s="8">
        <f t="shared" si="1"/>
        <v>1.2022644346174101E-11</v>
      </c>
      <c r="M20" s="26">
        <f>SUM(L20:L25)</f>
        <v>1.4341485528620903E-10</v>
      </c>
      <c r="N20" s="17">
        <f>10*LOG10(M20/E20)</f>
        <v>-106.21557111362316</v>
      </c>
      <c r="O20" s="9">
        <f t="shared" si="2"/>
        <v>-12.6</v>
      </c>
      <c r="P20" s="8">
        <f>D20/B20*10^(O20/10)</f>
        <v>4.2864188160894701</v>
      </c>
      <c r="Q20" s="26">
        <f>SUM(P20:P25)</f>
        <v>40.295089953344835</v>
      </c>
      <c r="R20" s="17">
        <f>10*LOG10(Q20)</f>
        <v>16.052521296130159</v>
      </c>
      <c r="S20" s="18">
        <f>F20+N20-Kzt-H</f>
        <v>-38.215571113623156</v>
      </c>
      <c r="T20" s="17">
        <v>1</v>
      </c>
      <c r="U20" s="21">
        <f>T20*10^((S20-R20)/10)</f>
        <v>3.742749482843059E-6</v>
      </c>
    </row>
    <row r="21" spans="1:21" x14ac:dyDescent="0.25">
      <c r="A21" s="24"/>
      <c r="B21" s="24"/>
      <c r="C21" s="17"/>
      <c r="D21" s="24"/>
      <c r="E21" s="24"/>
      <c r="F21" s="25"/>
      <c r="G21" s="1">
        <v>1625</v>
      </c>
      <c r="H21" s="2">
        <v>104.1</v>
      </c>
      <c r="I21" s="2">
        <v>-1.7</v>
      </c>
      <c r="J21" s="2">
        <v>-11.7</v>
      </c>
      <c r="K21" s="2">
        <f t="shared" si="0"/>
        <v>-1.7</v>
      </c>
      <c r="L21" s="8">
        <f t="shared" si="1"/>
        <v>2.6302679918953769E-11</v>
      </c>
      <c r="M21" s="26"/>
      <c r="N21" s="17"/>
      <c r="O21" s="9">
        <f t="shared" si="2"/>
        <v>-11.7</v>
      </c>
      <c r="P21" s="8">
        <f>D20/B20*10^(O21/10)</f>
        <v>5.2734472080574584</v>
      </c>
      <c r="Q21" s="26"/>
      <c r="R21" s="17"/>
      <c r="S21" s="19"/>
      <c r="T21" s="17"/>
      <c r="U21" s="22"/>
    </row>
    <row r="22" spans="1:21" x14ac:dyDescent="0.25">
      <c r="A22" s="24"/>
      <c r="B22" s="24"/>
      <c r="C22" s="17"/>
      <c r="D22" s="24"/>
      <c r="E22" s="24"/>
      <c r="F22" s="25"/>
      <c r="G22" s="1">
        <v>1825</v>
      </c>
      <c r="H22" s="2">
        <v>107.6</v>
      </c>
      <c r="I22" s="2">
        <v>-7.6</v>
      </c>
      <c r="J22" s="2">
        <v>-11.2</v>
      </c>
      <c r="K22" s="2">
        <f t="shared" si="0"/>
        <v>-7.6</v>
      </c>
      <c r="L22" s="8">
        <f t="shared" si="1"/>
        <v>3.0199517204020161E-12</v>
      </c>
      <c r="M22" s="26"/>
      <c r="N22" s="17"/>
      <c r="O22" s="9">
        <f t="shared" si="2"/>
        <v>-11.2</v>
      </c>
      <c r="P22" s="8">
        <f>D20/B20*10^(O22/10)</f>
        <v>5.9169050852276337</v>
      </c>
      <c r="Q22" s="26"/>
      <c r="R22" s="17"/>
      <c r="S22" s="19"/>
      <c r="T22" s="17"/>
      <c r="U22" s="22"/>
    </row>
    <row r="23" spans="1:21" x14ac:dyDescent="0.25">
      <c r="A23" s="24"/>
      <c r="B23" s="24"/>
      <c r="C23" s="17"/>
      <c r="D23" s="24"/>
      <c r="E23" s="24"/>
      <c r="F23" s="25"/>
      <c r="G23" s="1">
        <v>2125</v>
      </c>
      <c r="H23" s="2">
        <v>104.2</v>
      </c>
      <c r="I23" s="2">
        <v>-6.5</v>
      </c>
      <c r="J23" s="2">
        <v>-10.8</v>
      </c>
      <c r="K23" s="2">
        <f t="shared" si="0"/>
        <v>-6.5</v>
      </c>
      <c r="L23" s="8">
        <f t="shared" si="1"/>
        <v>8.5113803820237273E-12</v>
      </c>
      <c r="M23" s="26"/>
      <c r="N23" s="17"/>
      <c r="O23" s="9">
        <f t="shared" si="2"/>
        <v>-10.8</v>
      </c>
      <c r="P23" s="8">
        <f>D20/B20*10^(O23/10)</f>
        <v>6.4877574146008321</v>
      </c>
      <c r="Q23" s="26"/>
      <c r="R23" s="17"/>
      <c r="S23" s="19"/>
      <c r="T23" s="17"/>
      <c r="U23" s="22"/>
    </row>
    <row r="24" spans="1:21" x14ac:dyDescent="0.25">
      <c r="A24" s="24"/>
      <c r="B24" s="24"/>
      <c r="C24" s="17"/>
      <c r="D24" s="24"/>
      <c r="E24" s="24"/>
      <c r="F24" s="25"/>
      <c r="G24" s="1">
        <v>2425</v>
      </c>
      <c r="H24" s="2">
        <v>93.7</v>
      </c>
      <c r="I24" s="2">
        <v>-7.3</v>
      </c>
      <c r="J24" s="2">
        <v>-10.6</v>
      </c>
      <c r="K24" s="2">
        <f t="shared" si="0"/>
        <v>-7.3</v>
      </c>
      <c r="L24" s="8">
        <f t="shared" si="1"/>
        <v>7.943282347242792E-11</v>
      </c>
      <c r="M24" s="26"/>
      <c r="N24" s="17"/>
      <c r="O24" s="9">
        <f t="shared" si="2"/>
        <v>-10.6</v>
      </c>
      <c r="P24" s="8">
        <f>D20/B20*10^(O24/10)</f>
        <v>6.7935160016574248</v>
      </c>
      <c r="Q24" s="26"/>
      <c r="R24" s="17"/>
      <c r="S24" s="19"/>
      <c r="T24" s="17"/>
      <c r="U24" s="22"/>
    </row>
    <row r="25" spans="1:21" x14ac:dyDescent="0.25">
      <c r="A25" s="24"/>
      <c r="B25" s="24"/>
      <c r="C25" s="17"/>
      <c r="D25" s="24"/>
      <c r="E25" s="24"/>
      <c r="F25" s="25"/>
      <c r="G25" s="1">
        <v>2775</v>
      </c>
      <c r="H25" s="2">
        <v>100.2</v>
      </c>
      <c r="I25" s="2">
        <v>-8.3000000000000007</v>
      </c>
      <c r="J25" s="2">
        <v>-8.3000000000000007</v>
      </c>
      <c r="K25" s="2">
        <f t="shared" si="0"/>
        <v>-8.3000000000000007</v>
      </c>
      <c r="L25" s="8">
        <f t="shared" si="1"/>
        <v>1.4125375446227501E-11</v>
      </c>
      <c r="M25" s="26"/>
      <c r="N25" s="17"/>
      <c r="O25" s="9">
        <f t="shared" si="2"/>
        <v>-8.3000000000000007</v>
      </c>
      <c r="P25" s="8">
        <f>D20/B20*10^(O25/10)</f>
        <v>11.537045427712016</v>
      </c>
      <c r="Q25" s="26"/>
      <c r="R25" s="17"/>
      <c r="S25" s="20"/>
      <c r="T25" s="17"/>
      <c r="U25" s="23"/>
    </row>
    <row r="26" spans="1:21" x14ac:dyDescent="0.25">
      <c r="A26" s="24">
        <v>4000</v>
      </c>
      <c r="B26" s="24">
        <v>3</v>
      </c>
      <c r="C26" s="17">
        <v>0.5</v>
      </c>
      <c r="D26" s="24">
        <v>470</v>
      </c>
      <c r="E26" s="24">
        <v>6</v>
      </c>
      <c r="F26" s="25">
        <v>62</v>
      </c>
      <c r="G26" s="1">
        <v>2825</v>
      </c>
      <c r="H26" s="2">
        <v>99.4</v>
      </c>
      <c r="I26" s="2">
        <v>-9.5</v>
      </c>
      <c r="J26" s="2">
        <v>-10.6</v>
      </c>
      <c r="K26" s="2">
        <f t="shared" si="0"/>
        <v>-9.5</v>
      </c>
      <c r="L26" s="8">
        <f t="shared" si="1"/>
        <v>1.2882495516931307E-11</v>
      </c>
      <c r="M26" s="26">
        <f>SUM(L26:L31)</f>
        <v>1.8847388080413897E-10</v>
      </c>
      <c r="N26" s="17">
        <f>10*LOG10(M26/E26)</f>
        <v>-105.02900077319806</v>
      </c>
      <c r="O26" s="9">
        <f t="shared" si="2"/>
        <v>-10.6</v>
      </c>
      <c r="P26" s="8">
        <f>D26/B26*10^(O26/10)</f>
        <v>13.645096242645254</v>
      </c>
      <c r="Q26" s="26">
        <f>SUM(P26:P31)</f>
        <v>113.00269018196545</v>
      </c>
      <c r="R26" s="17">
        <f>10*LOG10(Q26)</f>
        <v>20.530887825743569</v>
      </c>
      <c r="S26" s="18">
        <f>F26+N26-Kzt-H</f>
        <v>-43.029000773198064</v>
      </c>
      <c r="T26" s="17">
        <v>0.9</v>
      </c>
      <c r="U26" s="21">
        <f>T26*10^((S26-R26)/10)</f>
        <v>3.9650954790837369E-7</v>
      </c>
    </row>
    <row r="27" spans="1:21" x14ac:dyDescent="0.25">
      <c r="A27" s="24"/>
      <c r="B27" s="24"/>
      <c r="C27" s="17"/>
      <c r="D27" s="24"/>
      <c r="E27" s="24"/>
      <c r="F27" s="25"/>
      <c r="G27" s="1">
        <v>3425</v>
      </c>
      <c r="H27" s="2">
        <v>103.5</v>
      </c>
      <c r="I27" s="2">
        <v>-1.6</v>
      </c>
      <c r="J27" s="2">
        <v>-11.3</v>
      </c>
      <c r="K27" s="2">
        <f t="shared" si="0"/>
        <v>-1.6</v>
      </c>
      <c r="L27" s="8">
        <f t="shared" si="1"/>
        <v>3.0902954325135829E-11</v>
      </c>
      <c r="M27" s="26"/>
      <c r="N27" s="17"/>
      <c r="O27" s="9">
        <f t="shared" si="2"/>
        <v>-11.3</v>
      </c>
      <c r="P27" s="8">
        <f>D26/B26*10^(O27/10)</f>
        <v>11.613860447047704</v>
      </c>
      <c r="Q27" s="26"/>
      <c r="R27" s="17"/>
      <c r="S27" s="19"/>
      <c r="T27" s="17"/>
      <c r="U27" s="22"/>
    </row>
    <row r="28" spans="1:21" x14ac:dyDescent="0.25">
      <c r="A28" s="24"/>
      <c r="B28" s="24"/>
      <c r="C28" s="17"/>
      <c r="D28" s="24"/>
      <c r="E28" s="24"/>
      <c r="F28" s="25"/>
      <c r="G28" s="1">
        <v>4025</v>
      </c>
      <c r="H28" s="2">
        <v>103.6</v>
      </c>
      <c r="I28" s="2">
        <v>-7.2</v>
      </c>
      <c r="J28" s="2">
        <v>-9</v>
      </c>
      <c r="K28" s="2">
        <f t="shared" si="0"/>
        <v>-7.2</v>
      </c>
      <c r="L28" s="8">
        <f t="shared" si="1"/>
        <v>8.3176377110266746E-12</v>
      </c>
      <c r="M28" s="26"/>
      <c r="N28" s="17"/>
      <c r="O28" s="9">
        <f t="shared" si="2"/>
        <v>-9</v>
      </c>
      <c r="P28" s="8">
        <f>D26/B26*10^(O28/10)</f>
        <v>19.723164784775278</v>
      </c>
      <c r="Q28" s="26"/>
      <c r="R28" s="17"/>
      <c r="S28" s="19"/>
      <c r="T28" s="17"/>
      <c r="U28" s="22"/>
    </row>
    <row r="29" spans="1:21" x14ac:dyDescent="0.25">
      <c r="A29" s="24"/>
      <c r="B29" s="24"/>
      <c r="C29" s="17"/>
      <c r="D29" s="24"/>
      <c r="E29" s="24"/>
      <c r="F29" s="25"/>
      <c r="G29" s="1">
        <v>4625</v>
      </c>
      <c r="H29" s="2">
        <v>105.6</v>
      </c>
      <c r="I29" s="2">
        <v>3.6</v>
      </c>
      <c r="J29" s="2">
        <v>-8.6</v>
      </c>
      <c r="K29" s="2">
        <f t="shared" si="0"/>
        <v>3.6</v>
      </c>
      <c r="L29" s="8">
        <f t="shared" si="1"/>
        <v>6.3095734448019192E-11</v>
      </c>
      <c r="M29" s="26"/>
      <c r="N29" s="17"/>
      <c r="O29" s="9">
        <f t="shared" si="2"/>
        <v>-8.6</v>
      </c>
      <c r="P29" s="8">
        <f>D26/B26*10^(O29/10)</f>
        <v>21.626020145445189</v>
      </c>
      <c r="Q29" s="26"/>
      <c r="R29" s="17"/>
      <c r="S29" s="19"/>
      <c r="T29" s="17"/>
      <c r="U29" s="22"/>
    </row>
    <row r="30" spans="1:21" x14ac:dyDescent="0.25">
      <c r="A30" s="24"/>
      <c r="B30" s="24"/>
      <c r="C30" s="17"/>
      <c r="D30" s="24"/>
      <c r="E30" s="24"/>
      <c r="F30" s="25"/>
      <c r="G30" s="1">
        <v>5225</v>
      </c>
      <c r="H30" s="2">
        <v>103.5</v>
      </c>
      <c r="I30" s="2">
        <v>-7.1</v>
      </c>
      <c r="J30" s="2">
        <v>-8.1</v>
      </c>
      <c r="K30" s="2">
        <f t="shared" si="0"/>
        <v>-7.1</v>
      </c>
      <c r="L30" s="8">
        <f t="shared" si="1"/>
        <v>8.7096358995607975E-12</v>
      </c>
      <c r="M30" s="26"/>
      <c r="N30" s="17"/>
      <c r="O30" s="9">
        <f t="shared" si="2"/>
        <v>-8.1</v>
      </c>
      <c r="P30" s="8">
        <f>D26/B26*10^(O30/10)</f>
        <v>24.264793696295541</v>
      </c>
      <c r="Q30" s="26"/>
      <c r="R30" s="17"/>
      <c r="S30" s="19"/>
      <c r="T30" s="17"/>
      <c r="U30" s="22"/>
    </row>
    <row r="31" spans="1:21" x14ac:dyDescent="0.25">
      <c r="A31" s="24"/>
      <c r="B31" s="24"/>
      <c r="C31" s="17"/>
      <c r="D31" s="24"/>
      <c r="E31" s="24"/>
      <c r="F31" s="25"/>
      <c r="G31" s="1">
        <v>5625</v>
      </c>
      <c r="H31" s="2">
        <v>99.5</v>
      </c>
      <c r="I31" s="2">
        <v>-2.4</v>
      </c>
      <c r="J31" s="2">
        <v>-8.5</v>
      </c>
      <c r="K31" s="2">
        <f t="shared" si="0"/>
        <v>-2.4</v>
      </c>
      <c r="L31" s="8">
        <f t="shared" si="1"/>
        <v>6.4565422903465183E-11</v>
      </c>
      <c r="M31" s="26"/>
      <c r="N31" s="17"/>
      <c r="O31" s="9">
        <f t="shared" si="2"/>
        <v>-8.5</v>
      </c>
      <c r="P31" s="8">
        <f>D26/B26*10^(O31/10)</f>
        <v>22.129754865756482</v>
      </c>
      <c r="Q31" s="26"/>
      <c r="R31" s="17"/>
      <c r="S31" s="20"/>
      <c r="T31" s="17"/>
      <c r="U31" s="23"/>
    </row>
    <row r="32" spans="1:21" x14ac:dyDescent="0.25">
      <c r="A32" s="24">
        <v>8000</v>
      </c>
      <c r="B32" s="24">
        <v>3</v>
      </c>
      <c r="C32" s="17">
        <v>0.5</v>
      </c>
      <c r="D32" s="24">
        <v>943</v>
      </c>
      <c r="E32" s="24">
        <v>6</v>
      </c>
      <c r="F32" s="25">
        <v>54</v>
      </c>
      <c r="G32" s="1">
        <v>6025</v>
      </c>
      <c r="H32" s="2">
        <v>95</v>
      </c>
      <c r="I32" s="2">
        <v>-5.5</v>
      </c>
      <c r="J32" s="2">
        <v>-7.8</v>
      </c>
      <c r="K32" s="2">
        <f t="shared" si="0"/>
        <v>-5.5</v>
      </c>
      <c r="L32" s="8">
        <f t="shared" si="1"/>
        <v>8.9125093813374255E-11</v>
      </c>
      <c r="M32" s="26">
        <f>SUM(L32:L37)</f>
        <v>4.7523524864974825E-9</v>
      </c>
      <c r="N32" s="17">
        <f>10*LOG10(M32/E32)</f>
        <v>-91.012426051816533</v>
      </c>
      <c r="O32" s="9">
        <f t="shared" si="2"/>
        <v>-7.8</v>
      </c>
      <c r="P32" s="8">
        <f>D32/B32*10^(O32/10)</f>
        <v>52.166348457120634</v>
      </c>
      <c r="Q32" s="26">
        <f>SUM(P32:P37)</f>
        <v>797.77112810659185</v>
      </c>
      <c r="R32" s="17">
        <f>10*LOG10(Q32)</f>
        <v>29.018783148380948</v>
      </c>
      <c r="S32" s="18">
        <f>F32+N32-Kzt-H</f>
        <v>-37.012426051816533</v>
      </c>
      <c r="T32" s="17">
        <v>0.7</v>
      </c>
      <c r="U32" s="21">
        <f>T32*10^((S32-R32)/10)</f>
        <v>1.745730179916172E-7</v>
      </c>
    </row>
    <row r="33" spans="1:21" x14ac:dyDescent="0.25">
      <c r="A33" s="24"/>
      <c r="B33" s="24"/>
      <c r="C33" s="17"/>
      <c r="D33" s="24"/>
      <c r="E33" s="24"/>
      <c r="F33" s="25"/>
      <c r="G33" s="1">
        <v>7025</v>
      </c>
      <c r="H33" s="2">
        <v>94.8</v>
      </c>
      <c r="I33" s="2">
        <v>-5.2</v>
      </c>
      <c r="J33" s="2">
        <v>-8.5</v>
      </c>
      <c r="K33" s="2">
        <f t="shared" si="0"/>
        <v>-5.2</v>
      </c>
      <c r="L33" s="8">
        <f t="shared" si="1"/>
        <v>1E-10</v>
      </c>
      <c r="M33" s="26"/>
      <c r="N33" s="17"/>
      <c r="O33" s="9">
        <f t="shared" si="2"/>
        <v>-8.5</v>
      </c>
      <c r="P33" s="8">
        <f>D32/B32*10^(O33/10)</f>
        <v>44.40076348597524</v>
      </c>
      <c r="Q33" s="26"/>
      <c r="R33" s="17"/>
      <c r="S33" s="19"/>
      <c r="T33" s="17"/>
      <c r="U33" s="22"/>
    </row>
    <row r="34" spans="1:21" x14ac:dyDescent="0.25">
      <c r="A34" s="24"/>
      <c r="B34" s="24"/>
      <c r="C34" s="17"/>
      <c r="D34" s="24"/>
      <c r="E34" s="24"/>
      <c r="F34" s="25"/>
      <c r="G34" s="1">
        <v>8025</v>
      </c>
      <c r="H34" s="2">
        <v>101.9</v>
      </c>
      <c r="I34" s="2">
        <v>-1.9</v>
      </c>
      <c r="J34" s="2">
        <v>-4.9000000000000004</v>
      </c>
      <c r="K34" s="2">
        <f t="shared" si="0"/>
        <v>-1.9</v>
      </c>
      <c r="L34" s="8">
        <f t="shared" si="1"/>
        <v>4.168693834703338E-11</v>
      </c>
      <c r="M34" s="26"/>
      <c r="N34" s="17"/>
      <c r="O34" s="9">
        <f t="shared" si="2"/>
        <v>-4.9000000000000004</v>
      </c>
      <c r="P34" s="8">
        <f>D32/B32*10^(O34/10)</f>
        <v>101.71627282821314</v>
      </c>
      <c r="Q34" s="26"/>
      <c r="R34" s="17"/>
      <c r="S34" s="19"/>
      <c r="T34" s="17"/>
      <c r="U34" s="22"/>
    </row>
    <row r="35" spans="1:21" x14ac:dyDescent="0.25">
      <c r="A35" s="24"/>
      <c r="B35" s="24"/>
      <c r="C35" s="17"/>
      <c r="D35" s="24"/>
      <c r="E35" s="24"/>
      <c r="F35" s="25"/>
      <c r="G35" s="1">
        <v>9025</v>
      </c>
      <c r="H35" s="2">
        <v>93.2</v>
      </c>
      <c r="I35" s="2">
        <v>3.9</v>
      </c>
      <c r="J35" s="2">
        <v>-1.3</v>
      </c>
      <c r="K35" s="2">
        <f t="shared" si="0"/>
        <v>3.9</v>
      </c>
      <c r="L35" s="8">
        <f t="shared" si="1"/>
        <v>1.1748975549395295E-9</v>
      </c>
      <c r="M35" s="26"/>
      <c r="N35" s="17"/>
      <c r="O35" s="9">
        <f t="shared" si="2"/>
        <v>-1.3</v>
      </c>
      <c r="P35" s="8">
        <f>D32/B32*10^(O35/10)</f>
        <v>233.01851918225501</v>
      </c>
      <c r="Q35" s="26"/>
      <c r="R35" s="17"/>
      <c r="S35" s="19"/>
      <c r="T35" s="17"/>
      <c r="U35" s="22"/>
    </row>
    <row r="36" spans="1:21" x14ac:dyDescent="0.25">
      <c r="A36" s="24"/>
      <c r="B36" s="24"/>
      <c r="C36" s="17"/>
      <c r="D36" s="24"/>
      <c r="E36" s="24"/>
      <c r="F36" s="25"/>
      <c r="G36" s="1">
        <v>10025</v>
      </c>
      <c r="H36" s="2">
        <v>88.3</v>
      </c>
      <c r="I36" s="2">
        <v>-2.8</v>
      </c>
      <c r="J36" s="2">
        <v>-3.1</v>
      </c>
      <c r="K36" s="2">
        <f t="shared" si="0"/>
        <v>-2.8</v>
      </c>
      <c r="L36" s="8">
        <f t="shared" si="1"/>
        <v>7.7624711662869035E-10</v>
      </c>
      <c r="M36" s="26"/>
      <c r="N36" s="17"/>
      <c r="O36" s="9">
        <f t="shared" si="2"/>
        <v>-3.1</v>
      </c>
      <c r="P36" s="8">
        <f>D32/B32*10^(O36/10)</f>
        <v>153.95380888814822</v>
      </c>
      <c r="Q36" s="26"/>
      <c r="R36" s="17"/>
      <c r="S36" s="19"/>
      <c r="T36" s="17"/>
      <c r="U36" s="22"/>
    </row>
    <row r="37" spans="1:21" x14ac:dyDescent="0.25">
      <c r="A37" s="24"/>
      <c r="B37" s="24"/>
      <c r="C37" s="17"/>
      <c r="D37" s="24"/>
      <c r="E37" s="24"/>
      <c r="F37" s="25"/>
      <c r="G37" s="1">
        <v>11025</v>
      </c>
      <c r="H37" s="2">
        <v>86</v>
      </c>
      <c r="I37" s="2">
        <v>0.1</v>
      </c>
      <c r="J37" s="2">
        <v>-1.7</v>
      </c>
      <c r="K37" s="2">
        <f t="shared" si="0"/>
        <v>0.1</v>
      </c>
      <c r="L37" s="8">
        <f t="shared" si="1"/>
        <v>2.5703957827688555E-9</v>
      </c>
      <c r="M37" s="26"/>
      <c r="N37" s="17"/>
      <c r="O37" s="9">
        <f t="shared" si="2"/>
        <v>-1.7</v>
      </c>
      <c r="P37" s="8">
        <f>D32/B32*10^(O37/10)</f>
        <v>212.51541526487961</v>
      </c>
      <c r="Q37" s="26"/>
      <c r="R37" s="17"/>
      <c r="S37" s="20"/>
      <c r="T37" s="17"/>
      <c r="U37" s="23"/>
    </row>
    <row r="38" spans="1:21" x14ac:dyDescent="0.25">
      <c r="A38" s="24" t="s">
        <v>20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12">
        <f>U38</f>
        <v>6.6389444890075588E-2</v>
      </c>
      <c r="T38" s="2"/>
      <c r="U38" s="8">
        <f>0.8*SQRT(SUM(U4:U37))</f>
        <v>6.6389444890075588E-2</v>
      </c>
    </row>
    <row r="39" spans="1:21" x14ac:dyDescent="0.25">
      <c r="A39" s="27" t="s">
        <v>73</v>
      </c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9"/>
    </row>
    <row r="40" spans="1:21" x14ac:dyDescent="0.25">
      <c r="A40" s="24">
        <v>250</v>
      </c>
      <c r="B40" s="24">
        <v>3</v>
      </c>
      <c r="C40" s="17">
        <v>0.5</v>
      </c>
      <c r="D40" s="24">
        <v>38</v>
      </c>
      <c r="E40" s="24">
        <v>4</v>
      </c>
      <c r="F40" s="25">
        <v>84</v>
      </c>
      <c r="G40" s="1">
        <v>175</v>
      </c>
      <c r="H40" s="2">
        <v>84.8</v>
      </c>
      <c r="I40" s="2">
        <v>-11.6</v>
      </c>
      <c r="J40" s="2">
        <v>-15.7</v>
      </c>
      <c r="K40" s="2">
        <f>I40</f>
        <v>-11.6</v>
      </c>
      <c r="L40" s="8">
        <f>10^((K40-H40)/10)</f>
        <v>2.2908676527677724E-10</v>
      </c>
      <c r="M40" s="26">
        <f>SUM(L40:L43)</f>
        <v>5.8460620803174125E-9</v>
      </c>
      <c r="N40" s="17">
        <f>10*LOG10(M40/E40)</f>
        <v>-88.351965684358404</v>
      </c>
      <c r="O40" s="9">
        <f>J40</f>
        <v>-15.7</v>
      </c>
      <c r="P40" s="8">
        <f>D40/B40*10^(O40/10)</f>
        <v>0.34092774183074259</v>
      </c>
      <c r="Q40" s="26">
        <f>SUM(P40:P43)</f>
        <v>146.84517189403709</v>
      </c>
      <c r="R40" s="17">
        <f>10*LOG10(Q40)</f>
        <v>21.668596719739167</v>
      </c>
      <c r="S40" s="18">
        <f>F40+N40-Kzt-H</f>
        <v>-4.3519656843584045</v>
      </c>
      <c r="T40" s="17">
        <v>0.2</v>
      </c>
      <c r="U40" s="21">
        <f>T40*10^((S40-R40)/10)</f>
        <v>5.0000431842282041E-4</v>
      </c>
    </row>
    <row r="41" spans="1:21" x14ac:dyDescent="0.25">
      <c r="A41" s="24"/>
      <c r="B41" s="24"/>
      <c r="C41" s="17"/>
      <c r="D41" s="24"/>
      <c r="E41" s="24"/>
      <c r="F41" s="25"/>
      <c r="G41" s="1">
        <v>225</v>
      </c>
      <c r="H41" s="2">
        <v>90</v>
      </c>
      <c r="I41" s="2">
        <v>-13.4</v>
      </c>
      <c r="J41" s="2">
        <v>-15.9</v>
      </c>
      <c r="K41" s="2">
        <f t="shared" ref="K41:K73" si="3">I41</f>
        <v>-13.4</v>
      </c>
      <c r="L41" s="8">
        <f t="shared" ref="L41:L42" si="4">10^((K41-H41)/10)</f>
        <v>4.5708818961487472E-11</v>
      </c>
      <c r="M41" s="26"/>
      <c r="N41" s="17"/>
      <c r="O41" s="9">
        <f t="shared" ref="O41:O73" si="5">J41</f>
        <v>-15.9</v>
      </c>
      <c r="P41" s="8">
        <f>D40/B40*10^(O41/10)</f>
        <v>0.32558346581738928</v>
      </c>
      <c r="Q41" s="26"/>
      <c r="R41" s="17"/>
      <c r="S41" s="19"/>
      <c r="T41" s="17"/>
      <c r="U41" s="22"/>
    </row>
    <row r="42" spans="1:21" x14ac:dyDescent="0.25">
      <c r="A42" s="24"/>
      <c r="B42" s="24"/>
      <c r="C42" s="17"/>
      <c r="D42" s="24"/>
      <c r="E42" s="24"/>
      <c r="F42" s="25"/>
      <c r="G42" s="1">
        <v>275</v>
      </c>
      <c r="H42" s="2">
        <v>92.2</v>
      </c>
      <c r="I42" s="2">
        <v>-9</v>
      </c>
      <c r="J42" s="2">
        <v>-12.3</v>
      </c>
      <c r="K42" s="2">
        <f t="shared" si="3"/>
        <v>-9</v>
      </c>
      <c r="L42" s="8">
        <f t="shared" si="4"/>
        <v>7.5857757502918162E-11</v>
      </c>
      <c r="M42" s="26"/>
      <c r="N42" s="17"/>
      <c r="O42" s="9">
        <f t="shared" si="5"/>
        <v>-12.3</v>
      </c>
      <c r="P42" s="8">
        <f>D40/B40*10^(O42/10)</f>
        <v>0.74586863011707916</v>
      </c>
      <c r="Q42" s="26"/>
      <c r="R42" s="17"/>
      <c r="S42" s="19"/>
      <c r="T42" s="17"/>
      <c r="U42" s="22"/>
    </row>
    <row r="43" spans="1:21" x14ac:dyDescent="0.25">
      <c r="A43" s="24"/>
      <c r="B43" s="24"/>
      <c r="C43" s="17"/>
      <c r="D43" s="24"/>
      <c r="E43" s="24"/>
      <c r="F43" s="25"/>
      <c r="G43" s="1">
        <v>325</v>
      </c>
      <c r="H43" s="2">
        <v>93.3</v>
      </c>
      <c r="I43" s="2">
        <v>10.7</v>
      </c>
      <c r="J43" s="2">
        <v>10.6</v>
      </c>
      <c r="K43" s="2">
        <f t="shared" si="3"/>
        <v>10.7</v>
      </c>
      <c r="L43" s="8">
        <f>10^((K43-H43)/10)</f>
        <v>5.4954087385762298E-9</v>
      </c>
      <c r="M43" s="26"/>
      <c r="N43" s="17"/>
      <c r="O43" s="9">
        <f t="shared" si="5"/>
        <v>10.6</v>
      </c>
      <c r="P43" s="8">
        <f>D40/B40*10^(O43/10)</f>
        <v>145.43279205627189</v>
      </c>
      <c r="Q43" s="26"/>
      <c r="R43" s="17"/>
      <c r="S43" s="20"/>
      <c r="T43" s="17"/>
      <c r="U43" s="23"/>
    </row>
    <row r="44" spans="1:21" x14ac:dyDescent="0.25">
      <c r="A44" s="24">
        <v>500</v>
      </c>
      <c r="B44" s="24">
        <v>3</v>
      </c>
      <c r="C44" s="17">
        <v>0.5</v>
      </c>
      <c r="D44" s="24">
        <v>59</v>
      </c>
      <c r="E44" s="24">
        <v>6</v>
      </c>
      <c r="F44" s="25">
        <v>84</v>
      </c>
      <c r="G44" s="1">
        <v>375</v>
      </c>
      <c r="H44" s="2">
        <v>91.9</v>
      </c>
      <c r="I44" s="2">
        <v>8</v>
      </c>
      <c r="J44" s="2">
        <v>7.5</v>
      </c>
      <c r="K44" s="2">
        <f t="shared" si="3"/>
        <v>8</v>
      </c>
      <c r="L44" s="8">
        <f t="shared" ref="L44:L45" si="6">10^((K44-H44)/10)</f>
        <v>4.0738027780411214E-9</v>
      </c>
      <c r="M44" s="26">
        <f>SUM(L44:L49)</f>
        <v>4.8614767256425653E-9</v>
      </c>
      <c r="N44" s="17">
        <f>10*LOG10(M44/E44)</f>
        <v>-90.913830394789684</v>
      </c>
      <c r="O44" s="9">
        <f t="shared" si="5"/>
        <v>7.5</v>
      </c>
      <c r="P44" s="8">
        <f>D44/B44*10^(O44/10)</f>
        <v>110.59379395410201</v>
      </c>
      <c r="Q44" s="26">
        <f>SUM(P44:P49)</f>
        <v>144.22451770027638</v>
      </c>
      <c r="R44" s="17">
        <f>10*LOG10(Q44)</f>
        <v>21.590390953129059</v>
      </c>
      <c r="S44" s="18">
        <f>F44+N44-Kzt-H</f>
        <v>-6.9138303947896844</v>
      </c>
      <c r="T44" s="17">
        <v>0.5</v>
      </c>
      <c r="U44" s="21">
        <f>T44*10^((S44-R44)/10)</f>
        <v>7.0558261168989324E-4</v>
      </c>
    </row>
    <row r="45" spans="1:21" x14ac:dyDescent="0.25">
      <c r="A45" s="24"/>
      <c r="B45" s="24"/>
      <c r="C45" s="17"/>
      <c r="D45" s="24"/>
      <c r="E45" s="24"/>
      <c r="F45" s="25"/>
      <c r="G45" s="1">
        <v>425</v>
      </c>
      <c r="H45" s="2">
        <v>88.1</v>
      </c>
      <c r="I45" s="2">
        <v>-10.8</v>
      </c>
      <c r="J45" s="2">
        <v>-19.600000000000001</v>
      </c>
      <c r="K45" s="2">
        <f t="shared" si="3"/>
        <v>-10.8</v>
      </c>
      <c r="L45" s="8">
        <f t="shared" si="6"/>
        <v>1.2882495516931369E-10</v>
      </c>
      <c r="M45" s="26"/>
      <c r="N45" s="17"/>
      <c r="O45" s="9">
        <f t="shared" si="5"/>
        <v>-19.600000000000001</v>
      </c>
      <c r="P45" s="8">
        <f>D44/B44*10^(O45/10)</f>
        <v>0.21564071190815956</v>
      </c>
      <c r="Q45" s="26"/>
      <c r="R45" s="17"/>
      <c r="S45" s="19"/>
      <c r="T45" s="17"/>
      <c r="U45" s="22"/>
    </row>
    <row r="46" spans="1:21" x14ac:dyDescent="0.25">
      <c r="A46" s="24"/>
      <c r="B46" s="24"/>
      <c r="C46" s="17"/>
      <c r="D46" s="24"/>
      <c r="E46" s="24"/>
      <c r="F46" s="25"/>
      <c r="G46" s="1">
        <v>475</v>
      </c>
      <c r="H46" s="2">
        <v>90</v>
      </c>
      <c r="I46" s="2">
        <v>-13.7</v>
      </c>
      <c r="J46" s="2">
        <v>-25.1</v>
      </c>
      <c r="K46" s="2">
        <f t="shared" si="3"/>
        <v>-13.7</v>
      </c>
      <c r="L46" s="8">
        <f>10^((K46-H46)/10)</f>
        <v>4.2657951880159099E-11</v>
      </c>
      <c r="M46" s="26"/>
      <c r="N46" s="17"/>
      <c r="O46" s="9">
        <f t="shared" si="5"/>
        <v>-25.1</v>
      </c>
      <c r="P46" s="8">
        <f>D44/B44*10^(O46/10)</f>
        <v>6.0775810172767231E-2</v>
      </c>
      <c r="Q46" s="26"/>
      <c r="R46" s="17"/>
      <c r="S46" s="19"/>
      <c r="T46" s="17"/>
      <c r="U46" s="22"/>
    </row>
    <row r="47" spans="1:21" x14ac:dyDescent="0.25">
      <c r="A47" s="24"/>
      <c r="B47" s="24"/>
      <c r="C47" s="17"/>
      <c r="D47" s="24"/>
      <c r="E47" s="24"/>
      <c r="F47" s="25"/>
      <c r="G47" s="1">
        <v>575</v>
      </c>
      <c r="H47" s="2">
        <v>97</v>
      </c>
      <c r="I47" s="2">
        <v>2.7</v>
      </c>
      <c r="J47" s="2">
        <v>1.5</v>
      </c>
      <c r="K47" s="2">
        <f t="shared" si="3"/>
        <v>2.7</v>
      </c>
      <c r="L47" s="8">
        <f t="shared" ref="L47:L73" si="7">10^((K47-H47)/10)</f>
        <v>3.7153522909717169E-10</v>
      </c>
      <c r="M47" s="26"/>
      <c r="N47" s="17"/>
      <c r="O47" s="9">
        <f t="shared" si="5"/>
        <v>1.5</v>
      </c>
      <c r="P47" s="8">
        <f>D44/B44*10^(O47/10)</f>
        <v>27.779905044247503</v>
      </c>
      <c r="Q47" s="26"/>
      <c r="R47" s="17"/>
      <c r="S47" s="19"/>
      <c r="T47" s="17"/>
      <c r="U47" s="22"/>
    </row>
    <row r="48" spans="1:21" x14ac:dyDescent="0.25">
      <c r="A48" s="24"/>
      <c r="B48" s="24"/>
      <c r="C48" s="17"/>
      <c r="D48" s="24"/>
      <c r="E48" s="24"/>
      <c r="F48" s="25"/>
      <c r="G48" s="1">
        <v>625</v>
      </c>
      <c r="H48" s="2">
        <v>92</v>
      </c>
      <c r="I48" s="2">
        <v>-4.3</v>
      </c>
      <c r="J48" s="2">
        <v>-5.8</v>
      </c>
      <c r="K48" s="2">
        <f t="shared" si="3"/>
        <v>-4.3</v>
      </c>
      <c r="L48" s="8">
        <f t="shared" si="7"/>
        <v>2.3442288153199212E-10</v>
      </c>
      <c r="M48" s="26"/>
      <c r="N48" s="17"/>
      <c r="O48" s="9">
        <f t="shared" si="5"/>
        <v>-5.8</v>
      </c>
      <c r="P48" s="8">
        <f>D44/B44*10^(O48/10)</f>
        <v>5.1728603840609182</v>
      </c>
      <c r="Q48" s="26"/>
      <c r="R48" s="17"/>
      <c r="S48" s="19"/>
      <c r="T48" s="17"/>
      <c r="U48" s="22"/>
    </row>
    <row r="49" spans="1:21" x14ac:dyDescent="0.25">
      <c r="A49" s="24"/>
      <c r="B49" s="24"/>
      <c r="C49" s="17"/>
      <c r="D49" s="24"/>
      <c r="E49" s="24"/>
      <c r="F49" s="25"/>
      <c r="G49" s="1">
        <v>675</v>
      </c>
      <c r="H49" s="2">
        <v>94.5</v>
      </c>
      <c r="I49" s="2">
        <v>-15.4</v>
      </c>
      <c r="J49" s="2">
        <v>-16.899999999999999</v>
      </c>
      <c r="K49" s="2">
        <f t="shared" si="3"/>
        <v>-15.4</v>
      </c>
      <c r="L49" s="8">
        <f t="shared" si="7"/>
        <v>1.0232929922807526E-11</v>
      </c>
      <c r="M49" s="26"/>
      <c r="N49" s="17"/>
      <c r="O49" s="9">
        <f t="shared" si="5"/>
        <v>-16.899999999999999</v>
      </c>
      <c r="P49" s="8">
        <f>D44/B44*10^(O49/10)</f>
        <v>0.40154179578500737</v>
      </c>
      <c r="Q49" s="26"/>
      <c r="R49" s="17"/>
      <c r="S49" s="20"/>
      <c r="T49" s="17"/>
      <c r="U49" s="23"/>
    </row>
    <row r="50" spans="1:21" x14ac:dyDescent="0.25">
      <c r="A50" s="24">
        <v>1000</v>
      </c>
      <c r="B50" s="24">
        <v>3</v>
      </c>
      <c r="C50" s="17">
        <v>0.5</v>
      </c>
      <c r="D50" s="24">
        <v>117</v>
      </c>
      <c r="E50" s="24">
        <v>6</v>
      </c>
      <c r="F50" s="25">
        <v>76</v>
      </c>
      <c r="G50" s="1">
        <v>875</v>
      </c>
      <c r="H50" s="2">
        <v>91.1</v>
      </c>
      <c r="I50" s="2">
        <v>-5.8</v>
      </c>
      <c r="J50" s="2">
        <v>-7.7</v>
      </c>
      <c r="K50" s="2">
        <f t="shared" si="3"/>
        <v>-5.8</v>
      </c>
      <c r="L50" s="8">
        <f t="shared" si="7"/>
        <v>2.0417379446695298E-10</v>
      </c>
      <c r="M50" s="26">
        <f>SUM(L50:L55)</f>
        <v>2.9919484988808965E-8</v>
      </c>
      <c r="N50" s="17">
        <f>10*LOG10(M50/E50)</f>
        <v>-83.021971367407986</v>
      </c>
      <c r="O50" s="9">
        <f t="shared" si="5"/>
        <v>-7.7</v>
      </c>
      <c r="P50" s="8">
        <f>D50/B50*10^(O50/10)</f>
        <v>6.6231502446008026</v>
      </c>
      <c r="Q50" s="26">
        <f>SUM(P50:P55)</f>
        <v>2811.8017618122008</v>
      </c>
      <c r="R50" s="17">
        <f>10*LOG10(Q50)</f>
        <v>34.489846987141121</v>
      </c>
      <c r="S50" s="18">
        <f>F50+N50-Kzt-H</f>
        <v>-7.0219713674079856</v>
      </c>
      <c r="T50" s="17">
        <v>0.8</v>
      </c>
      <c r="U50" s="21">
        <f>T50*10^((S50-R50)/10)</f>
        <v>5.6481750954523558E-5</v>
      </c>
    </row>
    <row r="51" spans="1:21" x14ac:dyDescent="0.25">
      <c r="A51" s="24"/>
      <c r="B51" s="24"/>
      <c r="C51" s="17"/>
      <c r="D51" s="24"/>
      <c r="E51" s="24"/>
      <c r="F51" s="25"/>
      <c r="G51" s="1">
        <v>975</v>
      </c>
      <c r="H51" s="2">
        <v>96.5</v>
      </c>
      <c r="I51" s="2">
        <v>-6.5</v>
      </c>
      <c r="J51" s="2">
        <v>-7.4</v>
      </c>
      <c r="K51" s="2">
        <f t="shared" si="3"/>
        <v>-6.5</v>
      </c>
      <c r="L51" s="8">
        <f t="shared" si="7"/>
        <v>5.0118723362726993E-11</v>
      </c>
      <c r="M51" s="26"/>
      <c r="N51" s="17"/>
      <c r="O51" s="9">
        <f t="shared" si="5"/>
        <v>-7.4</v>
      </c>
      <c r="P51" s="8">
        <f>D50/B50*10^(O51/10)</f>
        <v>7.0968333485789348</v>
      </c>
      <c r="Q51" s="26"/>
      <c r="R51" s="17"/>
      <c r="S51" s="19"/>
      <c r="T51" s="17"/>
      <c r="U51" s="22"/>
    </row>
    <row r="52" spans="1:21" x14ac:dyDescent="0.25">
      <c r="A52" s="24"/>
      <c r="B52" s="24"/>
      <c r="C52" s="17"/>
      <c r="D52" s="24"/>
      <c r="E52" s="24"/>
      <c r="F52" s="25"/>
      <c r="G52" s="1">
        <v>1075</v>
      </c>
      <c r="H52" s="2">
        <v>94.6</v>
      </c>
      <c r="I52" s="2">
        <v>19.200000000000003</v>
      </c>
      <c r="J52" s="2">
        <v>18.100000000000001</v>
      </c>
      <c r="K52" s="2">
        <f t="shared" si="3"/>
        <v>19.200000000000003</v>
      </c>
      <c r="L52" s="8">
        <f t="shared" si="7"/>
        <v>2.884031503126609E-8</v>
      </c>
      <c r="M52" s="26"/>
      <c r="N52" s="17"/>
      <c r="O52" s="9">
        <f t="shared" si="5"/>
        <v>18.100000000000001</v>
      </c>
      <c r="P52" s="8">
        <f>D50/B50*10^(O52/10)</f>
        <v>2518.051493235158</v>
      </c>
      <c r="Q52" s="26"/>
      <c r="R52" s="17"/>
      <c r="S52" s="19"/>
      <c r="T52" s="17"/>
      <c r="U52" s="22"/>
    </row>
    <row r="53" spans="1:21" x14ac:dyDescent="0.25">
      <c r="A53" s="24"/>
      <c r="B53" s="24"/>
      <c r="C53" s="17"/>
      <c r="D53" s="24"/>
      <c r="E53" s="24"/>
      <c r="F53" s="25"/>
      <c r="G53" s="1">
        <v>1175</v>
      </c>
      <c r="H53" s="2">
        <v>97.8</v>
      </c>
      <c r="I53" s="2">
        <v>-13.8</v>
      </c>
      <c r="J53" s="2">
        <v>-15</v>
      </c>
      <c r="K53" s="2">
        <f t="shared" si="3"/>
        <v>-13.8</v>
      </c>
      <c r="L53" s="8">
        <f t="shared" si="7"/>
        <v>6.9183097091893405E-12</v>
      </c>
      <c r="M53" s="26"/>
      <c r="N53" s="17"/>
      <c r="O53" s="9">
        <f t="shared" si="5"/>
        <v>-15</v>
      </c>
      <c r="P53" s="8">
        <f>D50/B50*10^(O53/10)</f>
        <v>1.2332882874656677</v>
      </c>
      <c r="Q53" s="26"/>
      <c r="R53" s="17"/>
      <c r="S53" s="19"/>
      <c r="T53" s="17"/>
      <c r="U53" s="22"/>
    </row>
    <row r="54" spans="1:21" x14ac:dyDescent="0.25">
      <c r="A54" s="24"/>
      <c r="B54" s="24"/>
      <c r="C54" s="17"/>
      <c r="D54" s="24"/>
      <c r="E54" s="24"/>
      <c r="F54" s="25"/>
      <c r="G54" s="1">
        <v>1275</v>
      </c>
      <c r="H54" s="2">
        <v>100.1</v>
      </c>
      <c r="I54" s="2">
        <v>9.1999999999999993</v>
      </c>
      <c r="J54" s="2">
        <v>8.5</v>
      </c>
      <c r="K54" s="2">
        <f t="shared" si="3"/>
        <v>9.1999999999999993</v>
      </c>
      <c r="L54" s="8">
        <f t="shared" si="7"/>
        <v>8.1283051616409768E-10</v>
      </c>
      <c r="M54" s="26"/>
      <c r="N54" s="17"/>
      <c r="O54" s="9">
        <f t="shared" si="5"/>
        <v>8.5</v>
      </c>
      <c r="P54" s="8">
        <f>D50/B50*10^(O54/10)</f>
        <v>276.09885590981378</v>
      </c>
      <c r="Q54" s="26"/>
      <c r="R54" s="17"/>
      <c r="S54" s="19"/>
      <c r="T54" s="17"/>
      <c r="U54" s="22"/>
    </row>
    <row r="55" spans="1:21" x14ac:dyDescent="0.25">
      <c r="A55" s="24"/>
      <c r="B55" s="24"/>
      <c r="C55" s="17"/>
      <c r="D55" s="24"/>
      <c r="E55" s="24"/>
      <c r="F55" s="25"/>
      <c r="G55" s="1">
        <v>1375</v>
      </c>
      <c r="H55" s="2">
        <v>103</v>
      </c>
      <c r="I55" s="2">
        <v>-9.9</v>
      </c>
      <c r="J55" s="2">
        <v>-11.6</v>
      </c>
      <c r="K55" s="2">
        <f t="shared" si="3"/>
        <v>-9.9</v>
      </c>
      <c r="L55" s="8">
        <f t="shared" si="7"/>
        <v>5.1286138399136186E-12</v>
      </c>
      <c r="M55" s="26"/>
      <c r="N55" s="17"/>
      <c r="O55" s="9">
        <f t="shared" si="5"/>
        <v>-11.6</v>
      </c>
      <c r="P55" s="8">
        <f>D50/B50*10^(O55/10)</f>
        <v>2.6981407865838523</v>
      </c>
      <c r="Q55" s="26"/>
      <c r="R55" s="17"/>
      <c r="S55" s="20"/>
      <c r="T55" s="17"/>
      <c r="U55" s="23"/>
    </row>
    <row r="56" spans="1:21" x14ac:dyDescent="0.25">
      <c r="A56" s="24">
        <v>2000</v>
      </c>
      <c r="B56" s="24">
        <v>3</v>
      </c>
      <c r="C56" s="17">
        <v>0.5</v>
      </c>
      <c r="D56" s="24">
        <v>234</v>
      </c>
      <c r="E56" s="24">
        <v>6</v>
      </c>
      <c r="F56" s="25">
        <v>68</v>
      </c>
      <c r="G56" s="1">
        <v>1425</v>
      </c>
      <c r="H56" s="2">
        <v>102.8</v>
      </c>
      <c r="I56" s="2">
        <v>-15.6</v>
      </c>
      <c r="J56" s="2">
        <v>-16</v>
      </c>
      <c r="K56" s="2">
        <f t="shared" si="3"/>
        <v>-15.6</v>
      </c>
      <c r="L56" s="8">
        <f t="shared" si="7"/>
        <v>1.4454397707459267E-12</v>
      </c>
      <c r="M56" s="26">
        <f>SUM(L56:L61)</f>
        <v>6.1837628655045523E-10</v>
      </c>
      <c r="N56" s="17">
        <f>10*LOG10(M56/E56)</f>
        <v>-99.868984234477395</v>
      </c>
      <c r="O56" s="9">
        <f t="shared" si="5"/>
        <v>-16</v>
      </c>
      <c r="P56" s="8">
        <f>D56/B56*10^(O56/10)</f>
        <v>1.9592714165774709</v>
      </c>
      <c r="Q56" s="26">
        <f>SUM(P56:P61)</f>
        <v>66.87384511348688</v>
      </c>
      <c r="R56" s="17">
        <f>10*LOG10(Q56)</f>
        <v>18.252562949893488</v>
      </c>
      <c r="S56" s="18">
        <f>F56+N56-Kzt-H</f>
        <v>-31.868984234477395</v>
      </c>
      <c r="T56" s="17">
        <v>1</v>
      </c>
      <c r="U56" s="21">
        <f>T56*10^((S56-R56)/10)</f>
        <v>9.7240074199728702E-6</v>
      </c>
    </row>
    <row r="57" spans="1:21" x14ac:dyDescent="0.25">
      <c r="A57" s="24"/>
      <c r="B57" s="24"/>
      <c r="C57" s="17"/>
      <c r="D57" s="24"/>
      <c r="E57" s="24"/>
      <c r="F57" s="25"/>
      <c r="G57" s="1">
        <v>1625</v>
      </c>
      <c r="H57" s="2">
        <v>104.1</v>
      </c>
      <c r="I57" s="2">
        <v>-5.3</v>
      </c>
      <c r="J57" s="2">
        <v>-6.2</v>
      </c>
      <c r="K57" s="2">
        <f t="shared" si="3"/>
        <v>-5.3</v>
      </c>
      <c r="L57" s="8">
        <f t="shared" si="7"/>
        <v>1.1481536214968803E-11</v>
      </c>
      <c r="M57" s="26"/>
      <c r="N57" s="17"/>
      <c r="O57" s="9">
        <f t="shared" si="5"/>
        <v>-6.2</v>
      </c>
      <c r="P57" s="8">
        <f>D56/B56*10^(O57/10)</f>
        <v>18.710896768352022</v>
      </c>
      <c r="Q57" s="26"/>
      <c r="R57" s="17"/>
      <c r="S57" s="19"/>
      <c r="T57" s="17"/>
      <c r="U57" s="22"/>
    </row>
    <row r="58" spans="1:21" x14ac:dyDescent="0.25">
      <c r="A58" s="24"/>
      <c r="B58" s="24"/>
      <c r="C58" s="17"/>
      <c r="D58" s="24"/>
      <c r="E58" s="24"/>
      <c r="F58" s="25"/>
      <c r="G58" s="1">
        <v>1825</v>
      </c>
      <c r="H58" s="2">
        <v>107.6</v>
      </c>
      <c r="I58" s="2">
        <v>-7.6</v>
      </c>
      <c r="J58" s="2">
        <v>-13</v>
      </c>
      <c r="K58" s="2">
        <f t="shared" si="3"/>
        <v>-7.6</v>
      </c>
      <c r="L58" s="8">
        <f t="shared" si="7"/>
        <v>3.0199517204020161E-12</v>
      </c>
      <c r="M58" s="26"/>
      <c r="N58" s="17"/>
      <c r="O58" s="9">
        <f t="shared" si="5"/>
        <v>-13</v>
      </c>
      <c r="P58" s="8">
        <f>D56/B56*10^(O58/10)</f>
        <v>3.9092604222927223</v>
      </c>
      <c r="Q58" s="26"/>
      <c r="R58" s="17"/>
      <c r="S58" s="19"/>
      <c r="T58" s="17"/>
      <c r="U58" s="22"/>
    </row>
    <row r="59" spans="1:21" x14ac:dyDescent="0.25">
      <c r="A59" s="24"/>
      <c r="B59" s="24"/>
      <c r="C59" s="17"/>
      <c r="D59" s="24"/>
      <c r="E59" s="24"/>
      <c r="F59" s="25"/>
      <c r="G59" s="1">
        <v>2125</v>
      </c>
      <c r="H59" s="2">
        <v>104.2</v>
      </c>
      <c r="I59" s="2">
        <v>-1.4</v>
      </c>
      <c r="J59" s="2">
        <v>-4.5999999999999996</v>
      </c>
      <c r="K59" s="2">
        <f t="shared" si="3"/>
        <v>-1.4</v>
      </c>
      <c r="L59" s="8">
        <f t="shared" si="7"/>
        <v>2.7542287033381602E-11</v>
      </c>
      <c r="M59" s="26"/>
      <c r="N59" s="17"/>
      <c r="O59" s="9">
        <f t="shared" si="5"/>
        <v>-4.5999999999999996</v>
      </c>
      <c r="P59" s="8">
        <f>D56/B56*10^(O59/10)</f>
        <v>27.04547433529747</v>
      </c>
      <c r="Q59" s="26"/>
      <c r="R59" s="17"/>
      <c r="S59" s="19"/>
      <c r="T59" s="17"/>
      <c r="U59" s="22"/>
    </row>
    <row r="60" spans="1:21" x14ac:dyDescent="0.25">
      <c r="A60" s="24"/>
      <c r="B60" s="24"/>
      <c r="C60" s="17"/>
      <c r="D60" s="24"/>
      <c r="E60" s="24"/>
      <c r="F60" s="25"/>
      <c r="G60" s="1">
        <v>2425</v>
      </c>
      <c r="H60" s="2">
        <v>93.7</v>
      </c>
      <c r="I60" s="2">
        <v>0.4</v>
      </c>
      <c r="J60" s="2">
        <v>-10</v>
      </c>
      <c r="K60" s="2">
        <f t="shared" si="3"/>
        <v>0.4</v>
      </c>
      <c r="L60" s="8">
        <f t="shared" si="7"/>
        <v>4.6773514128719668E-10</v>
      </c>
      <c r="M60" s="26"/>
      <c r="N60" s="17"/>
      <c r="O60" s="9">
        <f t="shared" si="5"/>
        <v>-10</v>
      </c>
      <c r="P60" s="8">
        <f>D56/B56*10^(O60/10)</f>
        <v>7.8000000000000007</v>
      </c>
      <c r="Q60" s="26"/>
      <c r="R60" s="17"/>
      <c r="S60" s="19"/>
      <c r="T60" s="17"/>
      <c r="U60" s="22"/>
    </row>
    <row r="61" spans="1:21" x14ac:dyDescent="0.25">
      <c r="A61" s="24"/>
      <c r="B61" s="24"/>
      <c r="C61" s="17"/>
      <c r="D61" s="24"/>
      <c r="E61" s="24"/>
      <c r="F61" s="25"/>
      <c r="G61" s="1">
        <v>2775</v>
      </c>
      <c r="H61" s="2">
        <v>100.2</v>
      </c>
      <c r="I61" s="2">
        <v>0.5</v>
      </c>
      <c r="J61" s="2">
        <v>-10.199999999999999</v>
      </c>
      <c r="K61" s="2">
        <f t="shared" si="3"/>
        <v>0.5</v>
      </c>
      <c r="L61" s="8">
        <f t="shared" si="7"/>
        <v>1.0715193052376019E-10</v>
      </c>
      <c r="M61" s="26"/>
      <c r="N61" s="17"/>
      <c r="O61" s="9">
        <f t="shared" si="5"/>
        <v>-10.199999999999999</v>
      </c>
      <c r="P61" s="8">
        <f>D56/B56*10^(O61/10)</f>
        <v>7.4489421709671975</v>
      </c>
      <c r="Q61" s="26"/>
      <c r="R61" s="17"/>
      <c r="S61" s="20"/>
      <c r="T61" s="17"/>
      <c r="U61" s="23"/>
    </row>
    <row r="62" spans="1:21" x14ac:dyDescent="0.25">
      <c r="A62" s="24">
        <v>4000</v>
      </c>
      <c r="B62" s="24">
        <v>3</v>
      </c>
      <c r="C62" s="17">
        <v>0.5</v>
      </c>
      <c r="D62" s="24">
        <v>470</v>
      </c>
      <c r="E62" s="24">
        <v>6</v>
      </c>
      <c r="F62" s="25">
        <v>62</v>
      </c>
      <c r="G62" s="1">
        <v>2825</v>
      </c>
      <c r="H62" s="2">
        <v>99.4</v>
      </c>
      <c r="I62" s="2">
        <v>2.7</v>
      </c>
      <c r="J62" s="2">
        <v>-9.6</v>
      </c>
      <c r="K62" s="2">
        <f t="shared" si="3"/>
        <v>2.7</v>
      </c>
      <c r="L62" s="8">
        <f t="shared" si="7"/>
        <v>2.1379620895022245E-10</v>
      </c>
      <c r="M62" s="26">
        <f>SUM(L62:L67)</f>
        <v>4.6722537538520997E-10</v>
      </c>
      <c r="N62" s="17">
        <f>10*LOG10(M62/E62)</f>
        <v>-101.08624828756817</v>
      </c>
      <c r="O62" s="9">
        <f t="shared" si="5"/>
        <v>-9.6</v>
      </c>
      <c r="P62" s="8">
        <f>D62/B62*10^(O62/10)</f>
        <v>17.178158406243231</v>
      </c>
      <c r="Q62" s="26">
        <f>SUM(P62:P67)</f>
        <v>223.77579608035256</v>
      </c>
      <c r="R62" s="17">
        <f>10*LOG10(Q62)</f>
        <v>23.498131108018065</v>
      </c>
      <c r="S62" s="18">
        <f>F62+N62-Kzt-H</f>
        <v>-39.086248287568168</v>
      </c>
      <c r="T62" s="17">
        <v>0.9</v>
      </c>
      <c r="U62" s="21">
        <f>T62*10^((S62-R62)/10)</f>
        <v>4.9636890791835905E-7</v>
      </c>
    </row>
    <row r="63" spans="1:21" x14ac:dyDescent="0.25">
      <c r="A63" s="24"/>
      <c r="B63" s="24"/>
      <c r="C63" s="17"/>
      <c r="D63" s="24"/>
      <c r="E63" s="24"/>
      <c r="F63" s="25"/>
      <c r="G63" s="1">
        <v>3425</v>
      </c>
      <c r="H63" s="2">
        <v>103.5</v>
      </c>
      <c r="I63" s="2">
        <v>3.3</v>
      </c>
      <c r="J63" s="2">
        <v>-11.4</v>
      </c>
      <c r="K63" s="2">
        <f t="shared" si="3"/>
        <v>3.3</v>
      </c>
      <c r="L63" s="8">
        <f t="shared" si="7"/>
        <v>9.5499258602143585E-11</v>
      </c>
      <c r="M63" s="26"/>
      <c r="N63" s="17"/>
      <c r="O63" s="9">
        <f t="shared" si="5"/>
        <v>-11.4</v>
      </c>
      <c r="P63" s="8">
        <f>D62/B62*10^(O63/10)</f>
        <v>11.349496707841503</v>
      </c>
      <c r="Q63" s="26"/>
      <c r="R63" s="17"/>
      <c r="S63" s="19"/>
      <c r="T63" s="17"/>
      <c r="U63" s="22"/>
    </row>
    <row r="64" spans="1:21" x14ac:dyDescent="0.25">
      <c r="A64" s="24"/>
      <c r="B64" s="24"/>
      <c r="C64" s="17"/>
      <c r="D64" s="24"/>
      <c r="E64" s="24"/>
      <c r="F64" s="25"/>
      <c r="G64" s="1">
        <v>4025</v>
      </c>
      <c r="H64" s="2">
        <v>103.6</v>
      </c>
      <c r="I64" s="2">
        <v>-3.3</v>
      </c>
      <c r="J64" s="2">
        <v>-4.3</v>
      </c>
      <c r="K64" s="2">
        <f t="shared" si="3"/>
        <v>-3.3</v>
      </c>
      <c r="L64" s="8">
        <f t="shared" si="7"/>
        <v>2.0417379446695275E-11</v>
      </c>
      <c r="M64" s="26"/>
      <c r="N64" s="17"/>
      <c r="O64" s="9">
        <f t="shared" si="5"/>
        <v>-4.3</v>
      </c>
      <c r="P64" s="8">
        <f>D62/B62*10^(O64/10)</f>
        <v>58.207185891890354</v>
      </c>
      <c r="Q64" s="26"/>
      <c r="R64" s="17"/>
      <c r="S64" s="19"/>
      <c r="T64" s="17"/>
      <c r="U64" s="22"/>
    </row>
    <row r="65" spans="1:21" x14ac:dyDescent="0.25">
      <c r="A65" s="24"/>
      <c r="B65" s="24"/>
      <c r="C65" s="17"/>
      <c r="D65" s="24"/>
      <c r="E65" s="24"/>
      <c r="F65" s="25"/>
      <c r="G65" s="1">
        <v>4625</v>
      </c>
      <c r="H65" s="2">
        <v>105.6</v>
      </c>
      <c r="I65" s="2">
        <v>-6</v>
      </c>
      <c r="J65" s="2">
        <v>-6.9</v>
      </c>
      <c r="K65" s="2">
        <f t="shared" si="3"/>
        <v>-6</v>
      </c>
      <c r="L65" s="8">
        <f t="shared" si="7"/>
        <v>6.9183097091893405E-12</v>
      </c>
      <c r="M65" s="26"/>
      <c r="N65" s="17"/>
      <c r="O65" s="9">
        <f t="shared" si="5"/>
        <v>-6.9</v>
      </c>
      <c r="P65" s="8">
        <f>D62/B62*10^(O65/10)</f>
        <v>31.987227799822616</v>
      </c>
      <c r="Q65" s="26"/>
      <c r="R65" s="17"/>
      <c r="S65" s="19"/>
      <c r="T65" s="17"/>
      <c r="U65" s="22"/>
    </row>
    <row r="66" spans="1:21" x14ac:dyDescent="0.25">
      <c r="A66" s="24"/>
      <c r="B66" s="24"/>
      <c r="C66" s="17"/>
      <c r="D66" s="24"/>
      <c r="E66" s="24"/>
      <c r="F66" s="25"/>
      <c r="G66" s="1">
        <v>5225</v>
      </c>
      <c r="H66" s="2">
        <v>103.5</v>
      </c>
      <c r="I66" s="2">
        <v>-2.8</v>
      </c>
      <c r="J66" s="2">
        <v>-3.5</v>
      </c>
      <c r="K66" s="2">
        <f t="shared" si="3"/>
        <v>-2.8</v>
      </c>
      <c r="L66" s="8">
        <f t="shared" si="7"/>
        <v>2.3442288153199185E-11</v>
      </c>
      <c r="M66" s="26"/>
      <c r="N66" s="17"/>
      <c r="O66" s="9">
        <f t="shared" si="5"/>
        <v>-3.5</v>
      </c>
      <c r="P66" s="8">
        <f>D62/B62*10^(O66/10)</f>
        <v>69.980429436984224</v>
      </c>
      <c r="Q66" s="26"/>
      <c r="R66" s="17"/>
      <c r="S66" s="19"/>
      <c r="T66" s="17"/>
      <c r="U66" s="22"/>
    </row>
    <row r="67" spans="1:21" x14ac:dyDescent="0.25">
      <c r="A67" s="24"/>
      <c r="B67" s="24"/>
      <c r="C67" s="17"/>
      <c r="D67" s="24"/>
      <c r="E67" s="24"/>
      <c r="F67" s="25"/>
      <c r="G67" s="1">
        <v>5625</v>
      </c>
      <c r="H67" s="2">
        <v>99.5</v>
      </c>
      <c r="I67" s="2">
        <v>-0.2</v>
      </c>
      <c r="J67" s="2">
        <v>-6.5</v>
      </c>
      <c r="K67" s="2">
        <f t="shared" si="3"/>
        <v>-0.2</v>
      </c>
      <c r="L67" s="8">
        <f t="shared" si="7"/>
        <v>1.0715193052376019E-10</v>
      </c>
      <c r="M67" s="26"/>
      <c r="N67" s="17"/>
      <c r="O67" s="9">
        <f t="shared" si="5"/>
        <v>-6.5</v>
      </c>
      <c r="P67" s="8">
        <f>D62/B62*10^(O67/10)</f>
        <v>35.073297837570642</v>
      </c>
      <c r="Q67" s="26"/>
      <c r="R67" s="17"/>
      <c r="S67" s="20"/>
      <c r="T67" s="17"/>
      <c r="U67" s="23"/>
    </row>
    <row r="68" spans="1:21" x14ac:dyDescent="0.25">
      <c r="A68" s="24">
        <v>8000</v>
      </c>
      <c r="B68" s="24">
        <v>3</v>
      </c>
      <c r="C68" s="17">
        <v>0.5</v>
      </c>
      <c r="D68" s="24">
        <v>943</v>
      </c>
      <c r="E68" s="24">
        <v>6</v>
      </c>
      <c r="F68" s="25">
        <v>54</v>
      </c>
      <c r="G68" s="1">
        <v>6025</v>
      </c>
      <c r="H68" s="2">
        <v>95</v>
      </c>
      <c r="I68" s="2">
        <v>-0.2</v>
      </c>
      <c r="J68" s="2">
        <v>-3.2</v>
      </c>
      <c r="K68" s="2">
        <f t="shared" si="3"/>
        <v>-0.2</v>
      </c>
      <c r="L68" s="8">
        <f t="shared" si="7"/>
        <v>3.0199517204020115E-10</v>
      </c>
      <c r="M68" s="26">
        <f>SUM(L68:L73)</f>
        <v>4.6691319318849992E-8</v>
      </c>
      <c r="N68" s="17">
        <f>10*LOG10(M68/E68)</f>
        <v>-81.089151047715063</v>
      </c>
      <c r="O68" s="9">
        <f t="shared" si="5"/>
        <v>-3.2</v>
      </c>
      <c r="P68" s="8">
        <f>D68/B68*10^(O68/10)</f>
        <v>150.44939235341596</v>
      </c>
      <c r="Q68" s="26">
        <f>SUM(P68:P73)</f>
        <v>24179.806377747384</v>
      </c>
      <c r="R68" s="17">
        <f>10*LOG10(Q68)</f>
        <v>43.83452818881554</v>
      </c>
      <c r="S68" s="18">
        <f>F68+N68-Kzt-H</f>
        <v>-27.089151047715063</v>
      </c>
      <c r="T68" s="17">
        <v>0.7</v>
      </c>
      <c r="U68" s="21">
        <f>T68*10^((S68-R68)/10)</f>
        <v>5.6588752024337445E-8</v>
      </c>
    </row>
    <row r="69" spans="1:21" x14ac:dyDescent="0.25">
      <c r="A69" s="24"/>
      <c r="B69" s="24"/>
      <c r="C69" s="17"/>
      <c r="D69" s="24"/>
      <c r="E69" s="24"/>
      <c r="F69" s="25"/>
      <c r="G69" s="1">
        <v>7025</v>
      </c>
      <c r="H69" s="2">
        <v>94.8</v>
      </c>
      <c r="I69" s="2">
        <v>5.2</v>
      </c>
      <c r="J69" s="2">
        <v>4.4000000000000004</v>
      </c>
      <c r="K69" s="2">
        <f t="shared" si="3"/>
        <v>5.2</v>
      </c>
      <c r="L69" s="8">
        <f t="shared" si="7"/>
        <v>1.0964781961431854E-9</v>
      </c>
      <c r="M69" s="26"/>
      <c r="N69" s="17"/>
      <c r="O69" s="9">
        <f t="shared" si="5"/>
        <v>4.4000000000000004</v>
      </c>
      <c r="P69" s="8">
        <f>D68/B68*10^(O69/10)</f>
        <v>865.74588908263047</v>
      </c>
      <c r="Q69" s="26"/>
      <c r="R69" s="17"/>
      <c r="S69" s="19"/>
      <c r="T69" s="17"/>
      <c r="U69" s="22"/>
    </row>
    <row r="70" spans="1:21" x14ac:dyDescent="0.25">
      <c r="A70" s="24"/>
      <c r="B70" s="24"/>
      <c r="C70" s="17"/>
      <c r="D70" s="24"/>
      <c r="E70" s="24"/>
      <c r="F70" s="25"/>
      <c r="G70" s="1">
        <v>8025</v>
      </c>
      <c r="H70" s="2">
        <v>101.9</v>
      </c>
      <c r="I70" s="2">
        <v>0.3</v>
      </c>
      <c r="J70" s="2">
        <v>-10.4</v>
      </c>
      <c r="K70" s="2">
        <f t="shared" si="3"/>
        <v>0.3</v>
      </c>
      <c r="L70" s="8">
        <f t="shared" si="7"/>
        <v>6.9183097091893483E-11</v>
      </c>
      <c r="M70" s="26"/>
      <c r="N70" s="17"/>
      <c r="O70" s="9">
        <f t="shared" si="5"/>
        <v>-10.4</v>
      </c>
      <c r="P70" s="8">
        <f>D68/B68*10^(O70/10)</f>
        <v>28.667540717087416</v>
      </c>
      <c r="Q70" s="26"/>
      <c r="R70" s="17"/>
      <c r="S70" s="19"/>
      <c r="T70" s="17"/>
      <c r="U70" s="22"/>
    </row>
    <row r="71" spans="1:21" x14ac:dyDescent="0.25">
      <c r="A71" s="24"/>
      <c r="B71" s="24"/>
      <c r="C71" s="17"/>
      <c r="D71" s="24"/>
      <c r="E71" s="24"/>
      <c r="F71" s="25"/>
      <c r="G71" s="1">
        <v>9025</v>
      </c>
      <c r="H71" s="2">
        <v>93.2</v>
      </c>
      <c r="I71" s="2">
        <v>19.400000000000002</v>
      </c>
      <c r="J71" s="2">
        <v>18.600000000000001</v>
      </c>
      <c r="K71" s="2">
        <f t="shared" si="3"/>
        <v>19.400000000000002</v>
      </c>
      <c r="L71" s="8">
        <f t="shared" si="7"/>
        <v>4.1686938347033516E-8</v>
      </c>
      <c r="M71" s="26"/>
      <c r="N71" s="17"/>
      <c r="O71" s="9">
        <f t="shared" si="5"/>
        <v>18.600000000000001</v>
      </c>
      <c r="P71" s="8">
        <f>D68/B68*10^(O71/10)</f>
        <v>22771.437011690537</v>
      </c>
      <c r="Q71" s="26"/>
      <c r="R71" s="17"/>
      <c r="S71" s="19"/>
      <c r="T71" s="17"/>
      <c r="U71" s="22"/>
    </row>
    <row r="72" spans="1:21" x14ac:dyDescent="0.25">
      <c r="A72" s="24"/>
      <c r="B72" s="24"/>
      <c r="C72" s="17"/>
      <c r="D72" s="24"/>
      <c r="E72" s="24"/>
      <c r="F72" s="25"/>
      <c r="G72" s="1">
        <v>10025</v>
      </c>
      <c r="H72" s="2">
        <v>88.3</v>
      </c>
      <c r="I72" s="2">
        <v>-0.4</v>
      </c>
      <c r="J72" s="2">
        <v>-1.1000000000000001</v>
      </c>
      <c r="K72" s="2">
        <f t="shared" si="3"/>
        <v>-0.4</v>
      </c>
      <c r="L72" s="8">
        <f t="shared" si="7"/>
        <v>1.3489628825916481E-9</v>
      </c>
      <c r="M72" s="26"/>
      <c r="N72" s="17"/>
      <c r="O72" s="9">
        <f t="shared" si="5"/>
        <v>-1.1000000000000001</v>
      </c>
      <c r="P72" s="8">
        <f>D68/B68*10^(O72/10)</f>
        <v>244.00034366028541</v>
      </c>
      <c r="Q72" s="26"/>
      <c r="R72" s="17"/>
      <c r="S72" s="19"/>
      <c r="T72" s="17"/>
      <c r="U72" s="22"/>
    </row>
    <row r="73" spans="1:21" x14ac:dyDescent="0.25">
      <c r="A73" s="24"/>
      <c r="B73" s="24"/>
      <c r="C73" s="17"/>
      <c r="D73" s="24"/>
      <c r="E73" s="24"/>
      <c r="F73" s="25"/>
      <c r="G73" s="1">
        <v>11025</v>
      </c>
      <c r="H73" s="2">
        <v>86</v>
      </c>
      <c r="I73" s="2">
        <v>-0.6</v>
      </c>
      <c r="J73" s="2">
        <v>-4.2</v>
      </c>
      <c r="K73" s="2">
        <f t="shared" si="3"/>
        <v>-0.6</v>
      </c>
      <c r="L73" s="8">
        <f t="shared" si="7"/>
        <v>2.1877616239495468E-9</v>
      </c>
      <c r="M73" s="26"/>
      <c r="N73" s="17"/>
      <c r="O73" s="9">
        <f t="shared" si="5"/>
        <v>-4.2</v>
      </c>
      <c r="P73" s="8">
        <f>D68/B68*10^(O73/10)</f>
        <v>119.50620024342969</v>
      </c>
      <c r="Q73" s="26"/>
      <c r="R73" s="17"/>
      <c r="S73" s="20"/>
      <c r="T73" s="17"/>
      <c r="U73" s="23"/>
    </row>
    <row r="74" spans="1:21" x14ac:dyDescent="0.25">
      <c r="A74" s="24" t="s">
        <v>20</v>
      </c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12">
        <f>U74</f>
        <v>2.8535963511579172E-2</v>
      </c>
      <c r="T74" s="2"/>
      <c r="U74" s="8">
        <f>0.8*SQRT(SUM(U40:U73))</f>
        <v>2.8535963511579172E-2</v>
      </c>
    </row>
    <row r="75" spans="1:21" x14ac:dyDescent="0.25">
      <c r="A75" s="27" t="s">
        <v>74</v>
      </c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9"/>
    </row>
    <row r="76" spans="1:21" x14ac:dyDescent="0.25">
      <c r="A76" s="24">
        <v>250</v>
      </c>
      <c r="B76" s="24">
        <v>3</v>
      </c>
      <c r="C76" s="17">
        <v>0.5</v>
      </c>
      <c r="D76" s="24">
        <v>38</v>
      </c>
      <c r="E76" s="24">
        <v>4</v>
      </c>
      <c r="F76" s="25">
        <v>84</v>
      </c>
      <c r="G76" s="1">
        <v>175</v>
      </c>
      <c r="H76" s="2">
        <v>84.8</v>
      </c>
      <c r="I76" s="2">
        <v>-8</v>
      </c>
      <c r="J76" s="2">
        <v>-8.6999999999999993</v>
      </c>
      <c r="K76" s="2">
        <f>I76</f>
        <v>-8</v>
      </c>
      <c r="L76" s="8">
        <f>10^((K76-H76)/10)</f>
        <v>5.2480746024977249E-10</v>
      </c>
      <c r="M76" s="26">
        <f>SUM(L76:L79)</f>
        <v>6.6855720263899148E-9</v>
      </c>
      <c r="N76" s="17">
        <f>10*LOG10(M76/E76)</f>
        <v>-87.769214193295966</v>
      </c>
      <c r="O76" s="9">
        <f>J76</f>
        <v>-8.6999999999999993</v>
      </c>
      <c r="P76" s="8">
        <f>D76/B76*10^(O76/10)</f>
        <v>1.7086863179494274</v>
      </c>
      <c r="Q76" s="26">
        <f>SUM(P76:P79)</f>
        <v>158.82719220316804</v>
      </c>
      <c r="R76" s="17">
        <f>10*LOG10(Q76)</f>
        <v>22.009248583732287</v>
      </c>
      <c r="S76" s="18">
        <f>F76+N76-Kzt-H</f>
        <v>-3.7692141932959657</v>
      </c>
      <c r="T76" s="17">
        <v>0.2</v>
      </c>
      <c r="U76" s="21">
        <f>T76*10^((S76-R76)/10)</f>
        <v>5.2866884527200651E-4</v>
      </c>
    </row>
    <row r="77" spans="1:21" x14ac:dyDescent="0.25">
      <c r="A77" s="24"/>
      <c r="B77" s="24"/>
      <c r="C77" s="17"/>
      <c r="D77" s="24"/>
      <c r="E77" s="24"/>
      <c r="F77" s="25"/>
      <c r="G77" s="1">
        <v>225</v>
      </c>
      <c r="H77" s="2">
        <v>90</v>
      </c>
      <c r="I77" s="2">
        <v>-12.4</v>
      </c>
      <c r="J77" s="2">
        <v>-12.9</v>
      </c>
      <c r="K77" s="2">
        <f t="shared" ref="K77:K109" si="8">I77</f>
        <v>-12.4</v>
      </c>
      <c r="L77" s="8">
        <f t="shared" ref="L77:L78" si="9">10^((K77-H77)/10)</f>
        <v>5.7543993733715601E-11</v>
      </c>
      <c r="M77" s="26"/>
      <c r="N77" s="17"/>
      <c r="O77" s="9">
        <f t="shared" ref="O77:O109" si="10">J77</f>
        <v>-12.9</v>
      </c>
      <c r="P77" s="8">
        <f>D76/B76*10^(O77/10)</f>
        <v>0.64962441972239504</v>
      </c>
      <c r="Q77" s="26"/>
      <c r="R77" s="17"/>
      <c r="S77" s="19"/>
      <c r="T77" s="17"/>
      <c r="U77" s="22"/>
    </row>
    <row r="78" spans="1:21" x14ac:dyDescent="0.25">
      <c r="A78" s="24"/>
      <c r="B78" s="24"/>
      <c r="C78" s="17"/>
      <c r="D78" s="24"/>
      <c r="E78" s="24"/>
      <c r="F78" s="25"/>
      <c r="G78" s="1">
        <v>275</v>
      </c>
      <c r="H78" s="2">
        <v>92.2</v>
      </c>
      <c r="I78" s="2">
        <v>-8.9</v>
      </c>
      <c r="J78" s="2">
        <v>-13</v>
      </c>
      <c r="K78" s="2">
        <f t="shared" si="8"/>
        <v>-8.9</v>
      </c>
      <c r="L78" s="8">
        <f t="shared" si="9"/>
        <v>7.7624711662868665E-11</v>
      </c>
      <c r="M78" s="26"/>
      <c r="N78" s="17"/>
      <c r="O78" s="9">
        <f t="shared" si="10"/>
        <v>-13</v>
      </c>
      <c r="P78" s="8">
        <f>D76/B76*10^(O78/10)</f>
        <v>0.63483716259454459</v>
      </c>
      <c r="Q78" s="26"/>
      <c r="R78" s="17"/>
      <c r="S78" s="19"/>
      <c r="T78" s="17"/>
      <c r="U78" s="22"/>
    </row>
    <row r="79" spans="1:21" x14ac:dyDescent="0.25">
      <c r="A79" s="24"/>
      <c r="B79" s="24"/>
      <c r="C79" s="17"/>
      <c r="D79" s="24"/>
      <c r="E79" s="24"/>
      <c r="F79" s="25"/>
      <c r="G79" s="1">
        <v>325</v>
      </c>
      <c r="H79" s="2">
        <v>93.3</v>
      </c>
      <c r="I79" s="2">
        <v>11.1</v>
      </c>
      <c r="J79" s="2">
        <v>10.9</v>
      </c>
      <c r="K79" s="2">
        <f t="shared" si="8"/>
        <v>11.1</v>
      </c>
      <c r="L79" s="8">
        <f>10^((K79-H79)/10)</f>
        <v>6.0255958607435582E-9</v>
      </c>
      <c r="M79" s="26"/>
      <c r="N79" s="17"/>
      <c r="O79" s="9">
        <f t="shared" si="10"/>
        <v>10.9</v>
      </c>
      <c r="P79" s="8">
        <f>D76/B76*10^(O79/10)</f>
        <v>155.83404430290167</v>
      </c>
      <c r="Q79" s="26"/>
      <c r="R79" s="17"/>
      <c r="S79" s="20"/>
      <c r="T79" s="17"/>
      <c r="U79" s="23"/>
    </row>
    <row r="80" spans="1:21" x14ac:dyDescent="0.25">
      <c r="A80" s="24">
        <v>500</v>
      </c>
      <c r="B80" s="24">
        <v>3</v>
      </c>
      <c r="C80" s="17">
        <v>0.5</v>
      </c>
      <c r="D80" s="24">
        <v>59</v>
      </c>
      <c r="E80" s="24">
        <v>6</v>
      </c>
      <c r="F80" s="25">
        <v>84</v>
      </c>
      <c r="G80" s="1">
        <v>375</v>
      </c>
      <c r="H80" s="2">
        <v>91.9</v>
      </c>
      <c r="I80" s="2">
        <v>9.9</v>
      </c>
      <c r="J80" s="2">
        <v>8.1</v>
      </c>
      <c r="K80" s="2">
        <f t="shared" si="8"/>
        <v>9.9</v>
      </c>
      <c r="L80" s="8">
        <f t="shared" ref="L80:L81" si="11">10^((K80-H80)/10)</f>
        <v>6.3095734448019329E-9</v>
      </c>
      <c r="M80" s="26">
        <f>SUM(L80:L85)</f>
        <v>8.1572368915569552E-9</v>
      </c>
      <c r="N80" s="17">
        <f>10*LOG10(M80/E80)</f>
        <v>-88.666081756942177</v>
      </c>
      <c r="O80" s="9">
        <f t="shared" si="10"/>
        <v>8.1</v>
      </c>
      <c r="P80" s="8">
        <f>D80/B80*10^(O80/10)</f>
        <v>126.97866504348227</v>
      </c>
      <c r="Q80" s="26">
        <f>SUM(P80:P85)</f>
        <v>169.54901030844559</v>
      </c>
      <c r="R80" s="17">
        <f>10*LOG10(Q80)</f>
        <v>22.292952590575709</v>
      </c>
      <c r="S80" s="18">
        <f>F80+N80-Kzt-H</f>
        <v>-4.6660817569421766</v>
      </c>
      <c r="T80" s="17">
        <v>0.5</v>
      </c>
      <c r="U80" s="21">
        <f>T80*10^((S80-R80)/10)</f>
        <v>1.007086025314822E-3</v>
      </c>
    </row>
    <row r="81" spans="1:21" x14ac:dyDescent="0.25">
      <c r="A81" s="24"/>
      <c r="B81" s="24"/>
      <c r="C81" s="17"/>
      <c r="D81" s="24"/>
      <c r="E81" s="24"/>
      <c r="F81" s="25"/>
      <c r="G81" s="1">
        <v>425</v>
      </c>
      <c r="H81" s="2">
        <v>88.1</v>
      </c>
      <c r="I81" s="2">
        <v>-11.2</v>
      </c>
      <c r="J81" s="2">
        <v>-21.1</v>
      </c>
      <c r="K81" s="2">
        <f t="shared" si="8"/>
        <v>-11.2</v>
      </c>
      <c r="L81" s="8">
        <f t="shared" si="11"/>
        <v>1.1748975549395284E-10</v>
      </c>
      <c r="M81" s="26"/>
      <c r="N81" s="17"/>
      <c r="O81" s="9">
        <f t="shared" si="10"/>
        <v>-21.1</v>
      </c>
      <c r="P81" s="8">
        <f>D80/B80*10^(O81/10)</f>
        <v>0.15266193293697589</v>
      </c>
      <c r="Q81" s="26"/>
      <c r="R81" s="17"/>
      <c r="S81" s="19"/>
      <c r="T81" s="17"/>
      <c r="U81" s="22"/>
    </row>
    <row r="82" spans="1:21" x14ac:dyDescent="0.25">
      <c r="A82" s="24"/>
      <c r="B82" s="24"/>
      <c r="C82" s="17"/>
      <c r="D82" s="24"/>
      <c r="E82" s="24"/>
      <c r="F82" s="25"/>
      <c r="G82" s="1">
        <v>475</v>
      </c>
      <c r="H82" s="2">
        <v>90</v>
      </c>
      <c r="I82" s="2">
        <v>0.1</v>
      </c>
      <c r="J82" s="2">
        <v>-21.3</v>
      </c>
      <c r="K82" s="2">
        <f t="shared" si="8"/>
        <v>0.1</v>
      </c>
      <c r="L82" s="8">
        <f>10^((K82-H82)/10)</f>
        <v>1.0232929922807512E-9</v>
      </c>
      <c r="M82" s="26"/>
      <c r="N82" s="17"/>
      <c r="O82" s="9">
        <f t="shared" si="10"/>
        <v>-21.3</v>
      </c>
      <c r="P82" s="8">
        <f>D80/B80*10^(O82/10)</f>
        <v>0.14579101412251377</v>
      </c>
      <c r="Q82" s="26"/>
      <c r="R82" s="17"/>
      <c r="S82" s="19"/>
      <c r="T82" s="17"/>
      <c r="U82" s="22"/>
    </row>
    <row r="83" spans="1:21" x14ac:dyDescent="0.25">
      <c r="A83" s="24"/>
      <c r="B83" s="24"/>
      <c r="C83" s="17"/>
      <c r="D83" s="24"/>
      <c r="E83" s="24"/>
      <c r="F83" s="25"/>
      <c r="G83" s="1">
        <v>575</v>
      </c>
      <c r="H83" s="2">
        <v>97</v>
      </c>
      <c r="I83" s="2">
        <v>3.8</v>
      </c>
      <c r="J83" s="2">
        <v>2.6</v>
      </c>
      <c r="K83" s="2">
        <f t="shared" si="8"/>
        <v>3.8</v>
      </c>
      <c r="L83" s="8">
        <f t="shared" ref="L83:L109" si="12">10^((K83-H83)/10)</f>
        <v>4.7863009232263674E-10</v>
      </c>
      <c r="M83" s="26"/>
      <c r="N83" s="17"/>
      <c r="O83" s="9">
        <f t="shared" si="10"/>
        <v>2.6</v>
      </c>
      <c r="P83" s="8">
        <f>D80/B80*10^(O83/10)</f>
        <v>35.787450219329678</v>
      </c>
      <c r="Q83" s="26"/>
      <c r="R83" s="17"/>
      <c r="S83" s="19"/>
      <c r="T83" s="17"/>
      <c r="U83" s="22"/>
    </row>
    <row r="84" spans="1:21" x14ac:dyDescent="0.25">
      <c r="A84" s="24"/>
      <c r="B84" s="24"/>
      <c r="C84" s="17"/>
      <c r="D84" s="24"/>
      <c r="E84" s="24"/>
      <c r="F84" s="25"/>
      <c r="G84" s="1">
        <v>625</v>
      </c>
      <c r="H84" s="2">
        <v>92</v>
      </c>
      <c r="I84" s="2">
        <v>-4.7</v>
      </c>
      <c r="J84" s="2">
        <v>-5</v>
      </c>
      <c r="K84" s="2">
        <f t="shared" si="8"/>
        <v>-4.7</v>
      </c>
      <c r="L84" s="8">
        <f t="shared" si="12"/>
        <v>2.1379620895022245E-10</v>
      </c>
      <c r="M84" s="26"/>
      <c r="N84" s="17"/>
      <c r="O84" s="9">
        <f t="shared" si="10"/>
        <v>-5</v>
      </c>
      <c r="P84" s="8">
        <f>D80/B80*10^(O84/10)</f>
        <v>6.2191460649978136</v>
      </c>
      <c r="Q84" s="26"/>
      <c r="R84" s="17"/>
      <c r="S84" s="19"/>
      <c r="T84" s="17"/>
      <c r="U84" s="22"/>
    </row>
    <row r="85" spans="1:21" x14ac:dyDescent="0.25">
      <c r="A85" s="24"/>
      <c r="B85" s="24"/>
      <c r="C85" s="17"/>
      <c r="D85" s="24"/>
      <c r="E85" s="24"/>
      <c r="F85" s="25"/>
      <c r="G85" s="1">
        <v>675</v>
      </c>
      <c r="H85" s="2">
        <v>94.5</v>
      </c>
      <c r="I85" s="2">
        <v>-13.9</v>
      </c>
      <c r="J85" s="2">
        <v>-18.7</v>
      </c>
      <c r="K85" s="2">
        <f t="shared" si="8"/>
        <v>-13.9</v>
      </c>
      <c r="L85" s="8">
        <f t="shared" si="12"/>
        <v>1.4454397707459232E-11</v>
      </c>
      <c r="M85" s="26"/>
      <c r="N85" s="17"/>
      <c r="O85" s="9">
        <f t="shared" si="10"/>
        <v>-18.7</v>
      </c>
      <c r="P85" s="8">
        <f>D80/B80*10^(O85/10)</f>
        <v>0.26529603357635856</v>
      </c>
      <c r="Q85" s="26"/>
      <c r="R85" s="17"/>
      <c r="S85" s="20"/>
      <c r="T85" s="17"/>
      <c r="U85" s="23"/>
    </row>
    <row r="86" spans="1:21" x14ac:dyDescent="0.25">
      <c r="A86" s="24">
        <v>1000</v>
      </c>
      <c r="B86" s="24">
        <v>3</v>
      </c>
      <c r="C86" s="17">
        <v>0.5</v>
      </c>
      <c r="D86" s="24">
        <v>117</v>
      </c>
      <c r="E86" s="24">
        <v>6</v>
      </c>
      <c r="F86" s="25">
        <v>76</v>
      </c>
      <c r="G86" s="1">
        <v>875</v>
      </c>
      <c r="H86" s="2">
        <v>91.1</v>
      </c>
      <c r="I86" s="2">
        <v>-6.4</v>
      </c>
      <c r="J86" s="2">
        <v>-16.2</v>
      </c>
      <c r="K86" s="2">
        <f t="shared" si="8"/>
        <v>-6.4</v>
      </c>
      <c r="L86" s="8">
        <f t="shared" si="12"/>
        <v>1.778279410038918E-10</v>
      </c>
      <c r="M86" s="26">
        <f>SUM(L86:L91)</f>
        <v>2.5924515865037661E-8</v>
      </c>
      <c r="N86" s="17">
        <f>10*LOG10(M86/E86)</f>
        <v>-83.644405956063025</v>
      </c>
      <c r="O86" s="9">
        <f t="shared" si="10"/>
        <v>-16.2</v>
      </c>
      <c r="P86" s="8">
        <f>D86/B86*10^(O86/10)</f>
        <v>0.93554483841760117</v>
      </c>
      <c r="Q86" s="26">
        <f>SUM(P86:P91)</f>
        <v>2938.7012012218997</v>
      </c>
      <c r="R86" s="17">
        <f>10*LOG10(Q86)</f>
        <v>34.681554304899457</v>
      </c>
      <c r="S86" s="18">
        <f>F86+N86-Kzt-H</f>
        <v>-7.6444059560630251</v>
      </c>
      <c r="T86" s="17">
        <v>0.8</v>
      </c>
      <c r="U86" s="21">
        <f>T86*10^((S86-R86)/10)</f>
        <v>4.6826743981130448E-5</v>
      </c>
    </row>
    <row r="87" spans="1:21" x14ac:dyDescent="0.25">
      <c r="A87" s="24"/>
      <c r="B87" s="24"/>
      <c r="C87" s="17"/>
      <c r="D87" s="24"/>
      <c r="E87" s="24"/>
      <c r="F87" s="25"/>
      <c r="G87" s="1">
        <v>975</v>
      </c>
      <c r="H87" s="2">
        <v>96.5</v>
      </c>
      <c r="I87" s="2">
        <v>-6.4</v>
      </c>
      <c r="J87" s="2">
        <v>-6.8</v>
      </c>
      <c r="K87" s="2">
        <f t="shared" si="8"/>
        <v>-6.4</v>
      </c>
      <c r="L87" s="8">
        <f t="shared" si="12"/>
        <v>5.1286138399136241E-11</v>
      </c>
      <c r="M87" s="26"/>
      <c r="N87" s="17"/>
      <c r="O87" s="9">
        <f t="shared" si="10"/>
        <v>-6.8</v>
      </c>
      <c r="P87" s="8">
        <f>D86/B86*10^(O87/10)</f>
        <v>8.1482549103307544</v>
      </c>
      <c r="Q87" s="26"/>
      <c r="R87" s="17"/>
      <c r="S87" s="19"/>
      <c r="T87" s="17"/>
      <c r="U87" s="22"/>
    </row>
    <row r="88" spans="1:21" x14ac:dyDescent="0.25">
      <c r="A88" s="24"/>
      <c r="B88" s="24"/>
      <c r="C88" s="17"/>
      <c r="D88" s="24"/>
      <c r="E88" s="24"/>
      <c r="F88" s="25"/>
      <c r="G88" s="1">
        <v>1075</v>
      </c>
      <c r="H88" s="2">
        <v>94.6</v>
      </c>
      <c r="I88" s="2">
        <v>18.5</v>
      </c>
      <c r="J88" s="2">
        <v>18.3</v>
      </c>
      <c r="K88" s="2">
        <f t="shared" si="8"/>
        <v>18.5</v>
      </c>
      <c r="L88" s="8">
        <f t="shared" si="12"/>
        <v>2.4547089156850259E-8</v>
      </c>
      <c r="M88" s="26"/>
      <c r="N88" s="17"/>
      <c r="O88" s="9">
        <f t="shared" si="10"/>
        <v>18.3</v>
      </c>
      <c r="P88" s="8">
        <f>D86/B86*10^(O88/10)</f>
        <v>2636.7236040287294</v>
      </c>
      <c r="Q88" s="26"/>
      <c r="R88" s="17"/>
      <c r="S88" s="19"/>
      <c r="T88" s="17"/>
      <c r="U88" s="22"/>
    </row>
    <row r="89" spans="1:21" x14ac:dyDescent="0.25">
      <c r="A89" s="24"/>
      <c r="B89" s="24"/>
      <c r="C89" s="17"/>
      <c r="D89" s="24"/>
      <c r="E89" s="24"/>
      <c r="F89" s="25"/>
      <c r="G89" s="1">
        <v>1175</v>
      </c>
      <c r="H89" s="2">
        <v>97.8</v>
      </c>
      <c r="I89" s="2">
        <v>-9.6999999999999993</v>
      </c>
      <c r="J89" s="2">
        <v>-13.4</v>
      </c>
      <c r="K89" s="2">
        <f t="shared" si="8"/>
        <v>-9.6999999999999993</v>
      </c>
      <c r="L89" s="8">
        <f t="shared" si="12"/>
        <v>1.7782794100389159E-11</v>
      </c>
      <c r="M89" s="26"/>
      <c r="N89" s="17"/>
      <c r="O89" s="9">
        <f t="shared" si="10"/>
        <v>-13.4</v>
      </c>
      <c r="P89" s="8">
        <f>D86/B86*10^(O89/10)</f>
        <v>1.7826439394980116</v>
      </c>
      <c r="Q89" s="26"/>
      <c r="R89" s="17"/>
      <c r="S89" s="19"/>
      <c r="T89" s="17"/>
      <c r="U89" s="22"/>
    </row>
    <row r="90" spans="1:21" x14ac:dyDescent="0.25">
      <c r="A90" s="24"/>
      <c r="B90" s="24"/>
      <c r="C90" s="17"/>
      <c r="D90" s="24"/>
      <c r="E90" s="24"/>
      <c r="F90" s="25"/>
      <c r="G90" s="1">
        <v>1275</v>
      </c>
      <c r="H90" s="2">
        <v>100.1</v>
      </c>
      <c r="I90" s="2">
        <v>10.6</v>
      </c>
      <c r="J90" s="2">
        <v>8.6999999999999993</v>
      </c>
      <c r="K90" s="2">
        <f t="shared" si="8"/>
        <v>10.6</v>
      </c>
      <c r="L90" s="8">
        <f t="shared" si="12"/>
        <v>1.1220184543019636E-9</v>
      </c>
      <c r="M90" s="26"/>
      <c r="N90" s="17"/>
      <c r="O90" s="9">
        <f t="shared" si="10"/>
        <v>8.6999999999999993</v>
      </c>
      <c r="P90" s="8">
        <f>D86/B86*10^(O90/10)</f>
        <v>289.1109941073579</v>
      </c>
      <c r="Q90" s="26"/>
      <c r="R90" s="17"/>
      <c r="S90" s="19"/>
      <c r="T90" s="17"/>
      <c r="U90" s="22"/>
    </row>
    <row r="91" spans="1:21" x14ac:dyDescent="0.25">
      <c r="A91" s="24"/>
      <c r="B91" s="24"/>
      <c r="C91" s="17"/>
      <c r="D91" s="24"/>
      <c r="E91" s="24"/>
      <c r="F91" s="25"/>
      <c r="G91" s="1">
        <v>1375</v>
      </c>
      <c r="H91" s="2">
        <v>103</v>
      </c>
      <c r="I91" s="2">
        <v>-7.7</v>
      </c>
      <c r="J91" s="2">
        <v>-12.9</v>
      </c>
      <c r="K91" s="2">
        <f t="shared" si="8"/>
        <v>-7.7</v>
      </c>
      <c r="L91" s="8">
        <f t="shared" si="12"/>
        <v>8.5113803820237273E-12</v>
      </c>
      <c r="M91" s="26"/>
      <c r="N91" s="17"/>
      <c r="O91" s="9">
        <f t="shared" si="10"/>
        <v>-12.9</v>
      </c>
      <c r="P91" s="8">
        <f>D86/B86*10^(O91/10)</f>
        <v>2.0001593975663217</v>
      </c>
      <c r="Q91" s="26"/>
      <c r="R91" s="17"/>
      <c r="S91" s="20"/>
      <c r="T91" s="17"/>
      <c r="U91" s="23"/>
    </row>
    <row r="92" spans="1:21" x14ac:dyDescent="0.25">
      <c r="A92" s="24">
        <v>2000</v>
      </c>
      <c r="B92" s="24">
        <v>3</v>
      </c>
      <c r="C92" s="17">
        <v>0.5</v>
      </c>
      <c r="D92" s="24">
        <v>234</v>
      </c>
      <c r="E92" s="24">
        <v>6</v>
      </c>
      <c r="F92" s="25">
        <v>68</v>
      </c>
      <c r="G92" s="1">
        <v>1425</v>
      </c>
      <c r="H92" s="2">
        <v>102.8</v>
      </c>
      <c r="I92" s="2">
        <v>-5.9</v>
      </c>
      <c r="J92" s="2">
        <v>-14.7</v>
      </c>
      <c r="K92" s="2">
        <f t="shared" si="8"/>
        <v>-5.9</v>
      </c>
      <c r="L92" s="8">
        <f t="shared" si="12"/>
        <v>1.348962882591645E-11</v>
      </c>
      <c r="M92" s="26">
        <f>SUM(L92:L97)</f>
        <v>3.7788880335495596E-10</v>
      </c>
      <c r="N92" s="17">
        <f>10*LOG10(M92/E92)</f>
        <v>-102.00787226191414</v>
      </c>
      <c r="O92" s="9">
        <f t="shared" si="10"/>
        <v>-14.7</v>
      </c>
      <c r="P92" s="8">
        <f>D92/B92*10^(O92/10)</f>
        <v>2.6429844178857795</v>
      </c>
      <c r="Q92" s="26">
        <f>SUM(P92:P97)</f>
        <v>87.873068300059288</v>
      </c>
      <c r="R92" s="17">
        <f>10*LOG10(Q92)</f>
        <v>19.438557911050253</v>
      </c>
      <c r="S92" s="18">
        <f>F92+N92-Kzt-H</f>
        <v>-34.007872261914144</v>
      </c>
      <c r="T92" s="17">
        <v>1</v>
      </c>
      <c r="U92" s="21">
        <f>T92*10^((S92-R92)/10)</f>
        <v>4.5222751499445123E-6</v>
      </c>
    </row>
    <row r="93" spans="1:21" x14ac:dyDescent="0.25">
      <c r="A93" s="24"/>
      <c r="B93" s="24"/>
      <c r="C93" s="17"/>
      <c r="D93" s="24"/>
      <c r="E93" s="24"/>
      <c r="F93" s="25"/>
      <c r="G93" s="1">
        <v>1625</v>
      </c>
      <c r="H93" s="2">
        <v>104.1</v>
      </c>
      <c r="I93" s="2">
        <v>-5.5</v>
      </c>
      <c r="J93" s="2">
        <v>-6.1</v>
      </c>
      <c r="K93" s="2">
        <f t="shared" si="8"/>
        <v>-5.5</v>
      </c>
      <c r="L93" s="8">
        <f t="shared" si="12"/>
        <v>1.096478196143183E-11</v>
      </c>
      <c r="M93" s="26"/>
      <c r="N93" s="17"/>
      <c r="O93" s="9">
        <f t="shared" si="10"/>
        <v>-6.1</v>
      </c>
      <c r="P93" s="8">
        <f>D92/B92*10^(O93/10)</f>
        <v>19.146729542343234</v>
      </c>
      <c r="Q93" s="26"/>
      <c r="R93" s="17"/>
      <c r="S93" s="19"/>
      <c r="T93" s="17"/>
      <c r="U93" s="22"/>
    </row>
    <row r="94" spans="1:21" x14ac:dyDescent="0.25">
      <c r="A94" s="24"/>
      <c r="B94" s="24"/>
      <c r="C94" s="17"/>
      <c r="D94" s="24"/>
      <c r="E94" s="24"/>
      <c r="F94" s="25"/>
      <c r="G94" s="1">
        <v>1825</v>
      </c>
      <c r="H94" s="2">
        <v>107.6</v>
      </c>
      <c r="I94" s="2">
        <v>-9.4</v>
      </c>
      <c r="J94" s="2">
        <v>-14.2</v>
      </c>
      <c r="K94" s="2">
        <f t="shared" si="8"/>
        <v>-9.4</v>
      </c>
      <c r="L94" s="8">
        <f t="shared" si="12"/>
        <v>1.9952623149688759E-12</v>
      </c>
      <c r="M94" s="26"/>
      <c r="N94" s="17"/>
      <c r="O94" s="9">
        <f t="shared" si="10"/>
        <v>-14.2</v>
      </c>
      <c r="P94" s="8">
        <f>D92/B92*10^(O94/10)</f>
        <v>2.9654772913003766</v>
      </c>
      <c r="Q94" s="26"/>
      <c r="R94" s="17"/>
      <c r="S94" s="19"/>
      <c r="T94" s="17"/>
      <c r="U94" s="22"/>
    </row>
    <row r="95" spans="1:21" x14ac:dyDescent="0.25">
      <c r="A95" s="24"/>
      <c r="B95" s="24"/>
      <c r="C95" s="17"/>
      <c r="D95" s="24"/>
      <c r="E95" s="24"/>
      <c r="F95" s="25"/>
      <c r="G95" s="1">
        <v>2125</v>
      </c>
      <c r="H95" s="2">
        <v>104.2</v>
      </c>
      <c r="I95" s="2">
        <v>-4.9000000000000004</v>
      </c>
      <c r="J95" s="2">
        <v>-6.7</v>
      </c>
      <c r="K95" s="2">
        <f t="shared" si="8"/>
        <v>-4.9000000000000004</v>
      </c>
      <c r="L95" s="8">
        <f t="shared" si="12"/>
        <v>1.2302687708123787E-11</v>
      </c>
      <c r="M95" s="26"/>
      <c r="N95" s="17"/>
      <c r="O95" s="9">
        <f t="shared" si="10"/>
        <v>-6.7</v>
      </c>
      <c r="P95" s="8">
        <f>D92/B92*10^(O95/10)</f>
        <v>16.676104298117405</v>
      </c>
      <c r="Q95" s="26"/>
      <c r="R95" s="17"/>
      <c r="S95" s="19"/>
      <c r="T95" s="17"/>
      <c r="U95" s="22"/>
    </row>
    <row r="96" spans="1:21" x14ac:dyDescent="0.25">
      <c r="A96" s="24"/>
      <c r="B96" s="24"/>
      <c r="C96" s="17"/>
      <c r="D96" s="24"/>
      <c r="E96" s="24"/>
      <c r="F96" s="25"/>
      <c r="G96" s="1">
        <v>2425</v>
      </c>
      <c r="H96" s="2">
        <v>93.7</v>
      </c>
      <c r="I96" s="2">
        <v>-1.3</v>
      </c>
      <c r="J96" s="2">
        <v>-4.3</v>
      </c>
      <c r="K96" s="2">
        <f t="shared" si="8"/>
        <v>-1.3</v>
      </c>
      <c r="L96" s="8">
        <f t="shared" si="12"/>
        <v>3.1622776601683744E-10</v>
      </c>
      <c r="M96" s="26"/>
      <c r="N96" s="17"/>
      <c r="O96" s="9">
        <f t="shared" si="10"/>
        <v>-4.3</v>
      </c>
      <c r="P96" s="8">
        <f>D92/B92*10^(O96/10)</f>
        <v>28.979747869579455</v>
      </c>
      <c r="Q96" s="26"/>
      <c r="R96" s="17"/>
      <c r="S96" s="19"/>
      <c r="T96" s="17"/>
      <c r="U96" s="22"/>
    </row>
    <row r="97" spans="1:21" x14ac:dyDescent="0.25">
      <c r="A97" s="24"/>
      <c r="B97" s="24"/>
      <c r="C97" s="17"/>
      <c r="D97" s="24"/>
      <c r="E97" s="24"/>
      <c r="F97" s="25"/>
      <c r="G97" s="1">
        <v>2775</v>
      </c>
      <c r="H97" s="2">
        <v>100.2</v>
      </c>
      <c r="I97" s="2">
        <v>-6.2</v>
      </c>
      <c r="J97" s="2">
        <v>-6.5</v>
      </c>
      <c r="K97" s="2">
        <f t="shared" si="8"/>
        <v>-6.2</v>
      </c>
      <c r="L97" s="8">
        <f t="shared" si="12"/>
        <v>2.2908676527677615E-11</v>
      </c>
      <c r="M97" s="26"/>
      <c r="N97" s="17"/>
      <c r="O97" s="9">
        <f t="shared" si="10"/>
        <v>-6.5</v>
      </c>
      <c r="P97" s="8">
        <f>D92/B92*10^(O97/10)</f>
        <v>17.462024880833045</v>
      </c>
      <c r="Q97" s="26"/>
      <c r="R97" s="17"/>
      <c r="S97" s="20"/>
      <c r="T97" s="17"/>
      <c r="U97" s="23"/>
    </row>
    <row r="98" spans="1:21" x14ac:dyDescent="0.25">
      <c r="A98" s="24">
        <v>4000</v>
      </c>
      <c r="B98" s="24">
        <v>3</v>
      </c>
      <c r="C98" s="17">
        <v>0.5</v>
      </c>
      <c r="D98" s="24">
        <v>470</v>
      </c>
      <c r="E98" s="24">
        <v>6</v>
      </c>
      <c r="F98" s="25">
        <v>62</v>
      </c>
      <c r="G98" s="1">
        <v>2825</v>
      </c>
      <c r="H98" s="2">
        <v>99.4</v>
      </c>
      <c r="I98" s="2">
        <v>-3.7</v>
      </c>
      <c r="J98" s="2">
        <v>-7.2</v>
      </c>
      <c r="K98" s="2">
        <f t="shared" si="8"/>
        <v>-3.7</v>
      </c>
      <c r="L98" s="8">
        <f t="shared" si="12"/>
        <v>4.8977881936844399E-11</v>
      </c>
      <c r="M98" s="26">
        <f>SUM(L98:L103)</f>
        <v>3.045534650624425E-10</v>
      </c>
      <c r="N98" s="17">
        <f>10*LOG10(M98/E98)</f>
        <v>-102.94487705324934</v>
      </c>
      <c r="O98" s="9">
        <f t="shared" si="10"/>
        <v>-7.2</v>
      </c>
      <c r="P98" s="8">
        <f>D98/B98*10^(O98/10)</f>
        <v>29.852217914757535</v>
      </c>
      <c r="Q98" s="26">
        <f>SUM(P98:P103)</f>
        <v>593.15822748475557</v>
      </c>
      <c r="R98" s="17">
        <f>10*LOG10(Q98)</f>
        <v>27.731705587224084</v>
      </c>
      <c r="S98" s="18">
        <f>F98+N98-Kzt-H</f>
        <v>-40.944877053249343</v>
      </c>
      <c r="T98" s="17">
        <v>0.9</v>
      </c>
      <c r="U98" s="21">
        <f>T98*10^((S98-R98)/10)</f>
        <v>1.220630578365314E-7</v>
      </c>
    </row>
    <row r="99" spans="1:21" x14ac:dyDescent="0.25">
      <c r="A99" s="24"/>
      <c r="B99" s="24"/>
      <c r="C99" s="17"/>
      <c r="D99" s="24"/>
      <c r="E99" s="24"/>
      <c r="F99" s="25"/>
      <c r="G99" s="1">
        <v>3425</v>
      </c>
      <c r="H99" s="2">
        <v>103.5</v>
      </c>
      <c r="I99" s="2">
        <v>-8.5</v>
      </c>
      <c r="J99" s="2">
        <v>-10.6</v>
      </c>
      <c r="K99" s="2">
        <f t="shared" si="8"/>
        <v>-8.5</v>
      </c>
      <c r="L99" s="8">
        <f t="shared" si="12"/>
        <v>6.3095734448019345E-12</v>
      </c>
      <c r="M99" s="26"/>
      <c r="N99" s="17"/>
      <c r="O99" s="9">
        <f t="shared" si="10"/>
        <v>-10.6</v>
      </c>
      <c r="P99" s="8">
        <f>D98/B98*10^(O99/10)</f>
        <v>13.645096242645254</v>
      </c>
      <c r="Q99" s="26"/>
      <c r="R99" s="17"/>
      <c r="S99" s="19"/>
      <c r="T99" s="17"/>
      <c r="U99" s="22"/>
    </row>
    <row r="100" spans="1:21" x14ac:dyDescent="0.25">
      <c r="A100" s="24"/>
      <c r="B100" s="24"/>
      <c r="C100" s="17"/>
      <c r="D100" s="24"/>
      <c r="E100" s="24"/>
      <c r="F100" s="25"/>
      <c r="G100" s="1">
        <v>4025</v>
      </c>
      <c r="H100" s="2">
        <v>103.6</v>
      </c>
      <c r="I100" s="2">
        <v>-2.2999999999999998</v>
      </c>
      <c r="J100" s="2">
        <v>-2.7</v>
      </c>
      <c r="K100" s="2">
        <f t="shared" si="8"/>
        <v>-2.2999999999999998</v>
      </c>
      <c r="L100" s="8">
        <f t="shared" si="12"/>
        <v>2.5703957827688591E-11</v>
      </c>
      <c r="M100" s="26"/>
      <c r="N100" s="17"/>
      <c r="O100" s="9">
        <f t="shared" si="10"/>
        <v>-2.7</v>
      </c>
      <c r="P100" s="8">
        <f>D98/B98*10^(O100/10)</f>
        <v>84.134981431339583</v>
      </c>
      <c r="Q100" s="26"/>
      <c r="R100" s="17"/>
      <c r="S100" s="19"/>
      <c r="T100" s="17"/>
      <c r="U100" s="22"/>
    </row>
    <row r="101" spans="1:21" x14ac:dyDescent="0.25">
      <c r="A101" s="24"/>
      <c r="B101" s="24"/>
      <c r="C101" s="17"/>
      <c r="D101" s="24"/>
      <c r="E101" s="24"/>
      <c r="F101" s="25"/>
      <c r="G101" s="1">
        <v>4625</v>
      </c>
      <c r="H101" s="2">
        <v>105.6</v>
      </c>
      <c r="I101" s="2">
        <v>0.1</v>
      </c>
      <c r="J101" s="2">
        <v>-2</v>
      </c>
      <c r="K101" s="2">
        <f t="shared" si="8"/>
        <v>0.1</v>
      </c>
      <c r="L101" s="8">
        <f t="shared" si="12"/>
        <v>2.8183829312644474E-11</v>
      </c>
      <c r="M101" s="26"/>
      <c r="N101" s="17"/>
      <c r="O101" s="9">
        <f t="shared" si="10"/>
        <v>-2</v>
      </c>
      <c r="P101" s="8">
        <f>D98/B98*10^(O101/10)</f>
        <v>98.849983968563606</v>
      </c>
      <c r="Q101" s="26"/>
      <c r="R101" s="17"/>
      <c r="S101" s="19"/>
      <c r="T101" s="17"/>
      <c r="U101" s="22"/>
    </row>
    <row r="102" spans="1:21" x14ac:dyDescent="0.25">
      <c r="A102" s="24"/>
      <c r="B102" s="24"/>
      <c r="C102" s="17"/>
      <c r="D102" s="24"/>
      <c r="E102" s="24"/>
      <c r="F102" s="25"/>
      <c r="G102" s="1">
        <v>5225</v>
      </c>
      <c r="H102" s="2">
        <v>103.5</v>
      </c>
      <c r="I102" s="2">
        <v>4</v>
      </c>
      <c r="J102" s="2">
        <v>3.2</v>
      </c>
      <c r="K102" s="2">
        <f t="shared" si="8"/>
        <v>4</v>
      </c>
      <c r="L102" s="8">
        <f t="shared" si="12"/>
        <v>1.1220184543019624E-10</v>
      </c>
      <c r="M102" s="26"/>
      <c r="N102" s="17"/>
      <c r="O102" s="9">
        <f t="shared" si="10"/>
        <v>3.2</v>
      </c>
      <c r="P102" s="8">
        <f>D98/B98*10^(O102/10)</f>
        <v>327.32306050046617</v>
      </c>
      <c r="Q102" s="26"/>
      <c r="R102" s="17"/>
      <c r="S102" s="19"/>
      <c r="T102" s="17"/>
      <c r="U102" s="22"/>
    </row>
    <row r="103" spans="1:21" x14ac:dyDescent="0.25">
      <c r="A103" s="24"/>
      <c r="B103" s="24"/>
      <c r="C103" s="17"/>
      <c r="D103" s="24"/>
      <c r="E103" s="24"/>
      <c r="F103" s="25"/>
      <c r="G103" s="1">
        <v>5625</v>
      </c>
      <c r="H103" s="2">
        <v>99.5</v>
      </c>
      <c r="I103" s="2">
        <v>-1.3</v>
      </c>
      <c r="J103" s="2">
        <v>-6</v>
      </c>
      <c r="K103" s="2">
        <f t="shared" si="8"/>
        <v>-1.3</v>
      </c>
      <c r="L103" s="8">
        <f t="shared" si="12"/>
        <v>8.3176377110266833E-11</v>
      </c>
      <c r="M103" s="26"/>
      <c r="N103" s="17"/>
      <c r="O103" s="9">
        <f t="shared" si="10"/>
        <v>-6</v>
      </c>
      <c r="P103" s="8">
        <f>D98/B98*10^(O103/10)</f>
        <v>39.352887426983422</v>
      </c>
      <c r="Q103" s="26"/>
      <c r="R103" s="17"/>
      <c r="S103" s="20"/>
      <c r="T103" s="17"/>
      <c r="U103" s="23"/>
    </row>
    <row r="104" spans="1:21" x14ac:dyDescent="0.25">
      <c r="A104" s="24">
        <v>8000</v>
      </c>
      <c r="B104" s="24">
        <v>3</v>
      </c>
      <c r="C104" s="17">
        <v>0.5</v>
      </c>
      <c r="D104" s="24">
        <v>943</v>
      </c>
      <c r="E104" s="24">
        <v>6</v>
      </c>
      <c r="F104" s="25">
        <v>54</v>
      </c>
      <c r="G104" s="1">
        <v>6025</v>
      </c>
      <c r="H104" s="2">
        <v>95</v>
      </c>
      <c r="I104" s="2">
        <v>1.9</v>
      </c>
      <c r="J104" s="2">
        <v>-4.8</v>
      </c>
      <c r="K104" s="2">
        <f t="shared" si="8"/>
        <v>1.9</v>
      </c>
      <c r="L104" s="8">
        <f t="shared" si="12"/>
        <v>4.8977881936844621E-10</v>
      </c>
      <c r="M104" s="26">
        <f>SUM(L104:L109)</f>
        <v>4.6089958514472332E-8</v>
      </c>
      <c r="N104" s="17">
        <f>10*LOG10(M104/E104)</f>
        <v>-81.145449331669965</v>
      </c>
      <c r="O104" s="9">
        <f t="shared" si="10"/>
        <v>-4.8</v>
      </c>
      <c r="P104" s="8">
        <f>D104/B104*10^(O104/10)</f>
        <v>104.08554918602778</v>
      </c>
      <c r="Q104" s="26">
        <f>SUM(P104:P109)</f>
        <v>24471.221463907914</v>
      </c>
      <c r="R104" s="17">
        <f>10*LOG10(Q104)</f>
        <v>43.886556473982012</v>
      </c>
      <c r="S104" s="18">
        <f>F104+N104-Kzt-H</f>
        <v>-27.145449331669965</v>
      </c>
      <c r="T104" s="17">
        <v>0.7</v>
      </c>
      <c r="U104" s="21">
        <f>T104*10^((S104-R104)/10)</f>
        <v>5.5194710457795466E-8</v>
      </c>
    </row>
    <row r="105" spans="1:21" x14ac:dyDescent="0.25">
      <c r="A105" s="24"/>
      <c r="B105" s="24"/>
      <c r="C105" s="17"/>
      <c r="D105" s="24"/>
      <c r="E105" s="24"/>
      <c r="F105" s="25"/>
      <c r="G105" s="1">
        <v>7025</v>
      </c>
      <c r="H105" s="2">
        <v>94.8</v>
      </c>
      <c r="I105" s="2">
        <v>6.8</v>
      </c>
      <c r="J105" s="2">
        <v>5.5</v>
      </c>
      <c r="K105" s="2">
        <f t="shared" si="8"/>
        <v>6.8</v>
      </c>
      <c r="L105" s="8">
        <f t="shared" si="12"/>
        <v>1.584893192461106E-9</v>
      </c>
      <c r="M105" s="26"/>
      <c r="N105" s="17"/>
      <c r="O105" s="9">
        <f t="shared" si="10"/>
        <v>5.5</v>
      </c>
      <c r="P105" s="8">
        <f>D104/B104*10^(O105/10)</f>
        <v>1115.2967534908723</v>
      </c>
      <c r="Q105" s="26"/>
      <c r="R105" s="17"/>
      <c r="S105" s="19"/>
      <c r="T105" s="17"/>
      <c r="U105" s="22"/>
    </row>
    <row r="106" spans="1:21" x14ac:dyDescent="0.25">
      <c r="A106" s="24"/>
      <c r="B106" s="24"/>
      <c r="C106" s="17"/>
      <c r="D106" s="24"/>
      <c r="E106" s="24"/>
      <c r="F106" s="25"/>
      <c r="G106" s="1">
        <v>8025</v>
      </c>
      <c r="H106" s="2">
        <v>101.9</v>
      </c>
      <c r="I106" s="2">
        <v>-6.3</v>
      </c>
      <c r="J106" s="2">
        <v>-6.8</v>
      </c>
      <c r="K106" s="2">
        <f t="shared" si="8"/>
        <v>-6.3</v>
      </c>
      <c r="L106" s="8">
        <f t="shared" si="12"/>
        <v>1.5135612484362034E-11</v>
      </c>
      <c r="M106" s="26"/>
      <c r="N106" s="17"/>
      <c r="O106" s="9">
        <f t="shared" si="10"/>
        <v>-6.8</v>
      </c>
      <c r="P106" s="8">
        <f>D104/B104*10^(O106/10)</f>
        <v>65.673541713178651</v>
      </c>
      <c r="Q106" s="26"/>
      <c r="R106" s="17"/>
      <c r="S106" s="19"/>
      <c r="T106" s="17"/>
      <c r="U106" s="22"/>
    </row>
    <row r="107" spans="1:21" x14ac:dyDescent="0.25">
      <c r="A107" s="24"/>
      <c r="B107" s="24"/>
      <c r="C107" s="17"/>
      <c r="D107" s="24"/>
      <c r="E107" s="24"/>
      <c r="F107" s="25"/>
      <c r="G107" s="1">
        <v>9025</v>
      </c>
      <c r="H107" s="2">
        <v>93.2</v>
      </c>
      <c r="I107" s="2">
        <v>18.8</v>
      </c>
      <c r="J107" s="2">
        <v>18.600000000000001</v>
      </c>
      <c r="K107" s="2">
        <f t="shared" si="8"/>
        <v>18.8</v>
      </c>
      <c r="L107" s="8">
        <f t="shared" si="12"/>
        <v>3.630780547701001E-8</v>
      </c>
      <c r="M107" s="26"/>
      <c r="N107" s="17"/>
      <c r="O107" s="9">
        <f t="shared" si="10"/>
        <v>18.600000000000001</v>
      </c>
      <c r="P107" s="8">
        <f>D104/B104*10^(O107/10)</f>
        <v>22771.437011690537</v>
      </c>
      <c r="Q107" s="26"/>
      <c r="R107" s="17"/>
      <c r="S107" s="19"/>
      <c r="T107" s="17"/>
      <c r="U107" s="22"/>
    </row>
    <row r="108" spans="1:21" x14ac:dyDescent="0.25">
      <c r="A108" s="24"/>
      <c r="B108" s="24"/>
      <c r="C108" s="17"/>
      <c r="D108" s="24"/>
      <c r="E108" s="24"/>
      <c r="F108" s="25"/>
      <c r="G108" s="1">
        <v>10025</v>
      </c>
      <c r="H108" s="2">
        <v>88.3</v>
      </c>
      <c r="I108" s="2">
        <v>4.0999999999999996</v>
      </c>
      <c r="J108" s="2">
        <v>-0.4</v>
      </c>
      <c r="K108" s="2">
        <f t="shared" si="8"/>
        <v>4.0999999999999996</v>
      </c>
      <c r="L108" s="8">
        <f t="shared" si="12"/>
        <v>3.8018939632056068E-9</v>
      </c>
      <c r="M108" s="26"/>
      <c r="N108" s="17"/>
      <c r="O108" s="9">
        <f t="shared" si="10"/>
        <v>-0.4</v>
      </c>
      <c r="P108" s="8">
        <f>D104/B104*10^(O108/10)</f>
        <v>286.67540717087422</v>
      </c>
      <c r="Q108" s="26"/>
      <c r="R108" s="17"/>
      <c r="S108" s="19"/>
      <c r="T108" s="17"/>
      <c r="U108" s="22"/>
    </row>
    <row r="109" spans="1:21" x14ac:dyDescent="0.25">
      <c r="A109" s="24"/>
      <c r="B109" s="24"/>
      <c r="C109" s="17"/>
      <c r="D109" s="24"/>
      <c r="E109" s="24"/>
      <c r="F109" s="25"/>
      <c r="G109" s="1">
        <v>11025</v>
      </c>
      <c r="H109" s="2">
        <v>86</v>
      </c>
      <c r="I109" s="2">
        <v>1.9</v>
      </c>
      <c r="J109" s="2">
        <v>-3.9</v>
      </c>
      <c r="K109" s="2">
        <f t="shared" si="8"/>
        <v>1.9</v>
      </c>
      <c r="L109" s="8">
        <f t="shared" si="12"/>
        <v>3.8904514499428009E-9</v>
      </c>
      <c r="M109" s="26"/>
      <c r="N109" s="17"/>
      <c r="O109" s="9">
        <f t="shared" si="10"/>
        <v>-3.9</v>
      </c>
      <c r="P109" s="8">
        <f>D104/B104*10^(O109/10)</f>
        <v>128.05320065642607</v>
      </c>
      <c r="Q109" s="26"/>
      <c r="R109" s="17"/>
      <c r="S109" s="20"/>
      <c r="T109" s="17"/>
      <c r="U109" s="23"/>
    </row>
    <row r="110" spans="1:21" x14ac:dyDescent="0.25">
      <c r="A110" s="24" t="s">
        <v>20</v>
      </c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12">
        <f>U110</f>
        <v>3.1872557700805354E-2</v>
      </c>
      <c r="T110" s="2"/>
      <c r="U110" s="8">
        <f>0.8*SQRT(SUM(U76:U109))</f>
        <v>3.1872557700805354E-2</v>
      </c>
    </row>
    <row r="111" spans="1:21" x14ac:dyDescent="0.25">
      <c r="A111" s="27" t="s">
        <v>75</v>
      </c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9"/>
    </row>
    <row r="112" spans="1:21" x14ac:dyDescent="0.25">
      <c r="A112" s="24">
        <v>250</v>
      </c>
      <c r="B112" s="24">
        <v>3</v>
      </c>
      <c r="C112" s="17">
        <v>0.5</v>
      </c>
      <c r="D112" s="24">
        <v>38</v>
      </c>
      <c r="E112" s="24">
        <v>4</v>
      </c>
      <c r="F112" s="25">
        <v>84</v>
      </c>
      <c r="G112" s="1">
        <v>175</v>
      </c>
      <c r="H112" s="2">
        <v>84.8</v>
      </c>
      <c r="I112" s="2">
        <v>-0.9</v>
      </c>
      <c r="J112" s="2">
        <v>-11.6</v>
      </c>
      <c r="K112" s="2">
        <f>I112</f>
        <v>-0.9</v>
      </c>
      <c r="L112" s="8">
        <f>10^((K112-H112)/10)</f>
        <v>2.6915348039269064E-9</v>
      </c>
      <c r="M112" s="26">
        <f>SUM(L112:L115)</f>
        <v>2.9749381739529046E-9</v>
      </c>
      <c r="N112" s="17">
        <f>10*LOG10(M112/E112)</f>
        <v>-91.285820468062852</v>
      </c>
      <c r="O112" s="9">
        <f>J112</f>
        <v>-11.6</v>
      </c>
      <c r="P112" s="8">
        <f>D112/B112*10^(O112/10)</f>
        <v>0.8763192298306528</v>
      </c>
      <c r="Q112" s="26">
        <f>SUM(P112:P115)</f>
        <v>3.5185593309659411</v>
      </c>
      <c r="R112" s="17">
        <f>10*LOG10(Q112)</f>
        <v>5.4636487862442511</v>
      </c>
      <c r="S112" s="18">
        <f>F112+N112-Kzt-H</f>
        <v>-7.2858204680628518</v>
      </c>
      <c r="T112" s="17">
        <v>0.2</v>
      </c>
      <c r="U112" s="21">
        <f>T112*10^((S112-R112)/10)</f>
        <v>1.0618986537994108E-2</v>
      </c>
    </row>
    <row r="113" spans="1:21" x14ac:dyDescent="0.25">
      <c r="A113" s="24"/>
      <c r="B113" s="24"/>
      <c r="C113" s="17"/>
      <c r="D113" s="24"/>
      <c r="E113" s="24"/>
      <c r="F113" s="25"/>
      <c r="G113" s="1">
        <v>225</v>
      </c>
      <c r="H113" s="2">
        <v>90</v>
      </c>
      <c r="I113" s="2">
        <v>-9</v>
      </c>
      <c r="J113" s="2">
        <v>-12</v>
      </c>
      <c r="K113" s="2">
        <f t="shared" ref="K113:K145" si="13">I113</f>
        <v>-9</v>
      </c>
      <c r="L113" s="8">
        <f t="shared" ref="L113:L114" si="14">10^((K113-H113)/10)</f>
        <v>1.2589254117941656E-10</v>
      </c>
      <c r="M113" s="26"/>
      <c r="N113" s="17"/>
      <c r="O113" s="9">
        <f t="shared" ref="O113:O145" si="15">J113</f>
        <v>-12</v>
      </c>
      <c r="P113" s="8">
        <f>D112/B112*10^(O113/10)</f>
        <v>0.79921263634157802</v>
      </c>
      <c r="Q113" s="26"/>
      <c r="R113" s="17"/>
      <c r="S113" s="19"/>
      <c r="T113" s="17"/>
      <c r="U113" s="22"/>
    </row>
    <row r="114" spans="1:21" x14ac:dyDescent="0.25">
      <c r="A114" s="24"/>
      <c r="B114" s="24"/>
      <c r="C114" s="17"/>
      <c r="D114" s="24"/>
      <c r="E114" s="24"/>
      <c r="F114" s="25"/>
      <c r="G114" s="1">
        <v>275</v>
      </c>
      <c r="H114" s="2">
        <v>92.2</v>
      </c>
      <c r="I114" s="2">
        <v>-7.4</v>
      </c>
      <c r="J114" s="2">
        <v>-11</v>
      </c>
      <c r="K114" s="2">
        <f t="shared" si="13"/>
        <v>-7.4</v>
      </c>
      <c r="L114" s="8">
        <f t="shared" si="14"/>
        <v>1.0964781961431802E-10</v>
      </c>
      <c r="M114" s="26"/>
      <c r="N114" s="17"/>
      <c r="O114" s="9">
        <f t="shared" si="15"/>
        <v>-11</v>
      </c>
      <c r="P114" s="8">
        <f>D112/B112*10^(O114/10)</f>
        <v>1.0061490973174225</v>
      </c>
      <c r="Q114" s="26"/>
      <c r="R114" s="17"/>
      <c r="S114" s="19"/>
      <c r="T114" s="17"/>
      <c r="U114" s="22"/>
    </row>
    <row r="115" spans="1:21" x14ac:dyDescent="0.25">
      <c r="A115" s="24"/>
      <c r="B115" s="24"/>
      <c r="C115" s="17"/>
      <c r="D115" s="24"/>
      <c r="E115" s="24"/>
      <c r="F115" s="25"/>
      <c r="G115" s="1">
        <v>325</v>
      </c>
      <c r="H115" s="2">
        <v>93.3</v>
      </c>
      <c r="I115" s="2">
        <v>-9.9</v>
      </c>
      <c r="J115" s="2">
        <v>-11.8</v>
      </c>
      <c r="K115" s="2">
        <f t="shared" si="13"/>
        <v>-9.9</v>
      </c>
      <c r="L115" s="8">
        <f>10^((K115-H115)/10)</f>
        <v>4.786300923226362E-11</v>
      </c>
      <c r="M115" s="26"/>
      <c r="N115" s="17"/>
      <c r="O115" s="9">
        <f t="shared" si="15"/>
        <v>-11.8</v>
      </c>
      <c r="P115" s="8">
        <f>D112/B112*10^(O115/10)</f>
        <v>0.83687836747628774</v>
      </c>
      <c r="Q115" s="26"/>
      <c r="R115" s="17"/>
      <c r="S115" s="20"/>
      <c r="T115" s="17"/>
      <c r="U115" s="23"/>
    </row>
    <row r="116" spans="1:21" x14ac:dyDescent="0.25">
      <c r="A116" s="24">
        <v>500</v>
      </c>
      <c r="B116" s="24">
        <v>3</v>
      </c>
      <c r="C116" s="17">
        <v>0.5</v>
      </c>
      <c r="D116" s="24">
        <v>59</v>
      </c>
      <c r="E116" s="24">
        <v>6</v>
      </c>
      <c r="F116" s="25">
        <v>84</v>
      </c>
      <c r="G116" s="1">
        <v>375</v>
      </c>
      <c r="H116" s="2">
        <v>91.9</v>
      </c>
      <c r="I116" s="2">
        <v>0</v>
      </c>
      <c r="J116" s="2">
        <v>-12.3</v>
      </c>
      <c r="K116" s="2">
        <f t="shared" si="13"/>
        <v>0</v>
      </c>
      <c r="L116" s="8">
        <f t="shared" ref="L116:L117" si="16">10^((K116-H116)/10)</f>
        <v>6.4565422903465258E-10</v>
      </c>
      <c r="M116" s="26">
        <f>SUM(L116:L121)</f>
        <v>1.8993052837345883E-9</v>
      </c>
      <c r="N116" s="17">
        <f>10*LOG10(M116/E116)</f>
        <v>-94.995564739639264</v>
      </c>
      <c r="O116" s="9">
        <f t="shared" si="15"/>
        <v>-12.3</v>
      </c>
      <c r="P116" s="8">
        <f>D116/B116*10^(O116/10)</f>
        <v>1.1580591888659915</v>
      </c>
      <c r="Q116" s="26">
        <f>SUM(P116:P121)</f>
        <v>8.5936254816149216</v>
      </c>
      <c r="R116" s="17">
        <f>10*LOG10(Q116)</f>
        <v>9.3417642279305451</v>
      </c>
      <c r="S116" s="18">
        <f>F116+N116-Kzt-H</f>
        <v>-10.995564739639264</v>
      </c>
      <c r="T116" s="17">
        <v>0.5</v>
      </c>
      <c r="U116" s="21">
        <f>T116*10^((S116-R116)/10)</f>
        <v>4.6263353204011757E-3</v>
      </c>
    </row>
    <row r="117" spans="1:21" x14ac:dyDescent="0.25">
      <c r="A117" s="24"/>
      <c r="B117" s="24"/>
      <c r="C117" s="17"/>
      <c r="D117" s="24"/>
      <c r="E117" s="24"/>
      <c r="F117" s="25"/>
      <c r="G117" s="1">
        <v>425</v>
      </c>
      <c r="H117" s="2">
        <v>88.1</v>
      </c>
      <c r="I117" s="2">
        <v>-2.7</v>
      </c>
      <c r="J117" s="2">
        <v>-11.6</v>
      </c>
      <c r="K117" s="2">
        <f t="shared" si="13"/>
        <v>-2.7</v>
      </c>
      <c r="L117" s="8">
        <f t="shared" si="16"/>
        <v>8.3176377110266926E-10</v>
      </c>
      <c r="M117" s="26"/>
      <c r="N117" s="17"/>
      <c r="O117" s="9">
        <f t="shared" si="15"/>
        <v>-11.6</v>
      </c>
      <c r="P117" s="8">
        <f>D116/B116*10^(O117/10)</f>
        <v>1.3606009094739084</v>
      </c>
      <c r="Q117" s="26"/>
      <c r="R117" s="17"/>
      <c r="S117" s="19"/>
      <c r="T117" s="17"/>
      <c r="U117" s="22"/>
    </row>
    <row r="118" spans="1:21" x14ac:dyDescent="0.25">
      <c r="A118" s="24"/>
      <c r="B118" s="24"/>
      <c r="C118" s="17"/>
      <c r="D118" s="24"/>
      <c r="E118" s="24"/>
      <c r="F118" s="25"/>
      <c r="G118" s="1">
        <v>475</v>
      </c>
      <c r="H118" s="2">
        <v>90</v>
      </c>
      <c r="I118" s="2">
        <v>-9.3000000000000007</v>
      </c>
      <c r="J118" s="2">
        <v>-11.1</v>
      </c>
      <c r="K118" s="2">
        <f t="shared" si="13"/>
        <v>-9.3000000000000007</v>
      </c>
      <c r="L118" s="8">
        <f>10^((K118-H118)/10)</f>
        <v>1.1748975549395284E-10</v>
      </c>
      <c r="M118" s="26"/>
      <c r="N118" s="17"/>
      <c r="O118" s="9">
        <f t="shared" si="15"/>
        <v>-11.1</v>
      </c>
      <c r="P118" s="8">
        <f>D116/B116*10^(O118/10)</f>
        <v>1.5266193293697603</v>
      </c>
      <c r="Q118" s="26"/>
      <c r="R118" s="17"/>
      <c r="S118" s="19"/>
      <c r="T118" s="17"/>
      <c r="U118" s="22"/>
    </row>
    <row r="119" spans="1:21" x14ac:dyDescent="0.25">
      <c r="A119" s="24"/>
      <c r="B119" s="24"/>
      <c r="C119" s="17"/>
      <c r="D119" s="24"/>
      <c r="E119" s="24"/>
      <c r="F119" s="25"/>
      <c r="G119" s="1">
        <v>575</v>
      </c>
      <c r="H119" s="2">
        <v>97</v>
      </c>
      <c r="I119" s="2">
        <v>-6.5</v>
      </c>
      <c r="J119" s="2">
        <v>-11.2</v>
      </c>
      <c r="K119" s="2">
        <f t="shared" si="13"/>
        <v>-6.5</v>
      </c>
      <c r="L119" s="8">
        <f t="shared" ref="L119:L145" si="17">10^((K119-H119)/10)</f>
        <v>4.4668359215096281E-11</v>
      </c>
      <c r="M119" s="26"/>
      <c r="N119" s="17"/>
      <c r="O119" s="9">
        <f t="shared" si="15"/>
        <v>-11.2</v>
      </c>
      <c r="P119" s="8">
        <f>D116/B116*10^(O119/10)</f>
        <v>1.4918692308907284</v>
      </c>
      <c r="Q119" s="26"/>
      <c r="R119" s="17"/>
      <c r="S119" s="19"/>
      <c r="T119" s="17"/>
      <c r="U119" s="22"/>
    </row>
    <row r="120" spans="1:21" x14ac:dyDescent="0.25">
      <c r="A120" s="24"/>
      <c r="B120" s="24"/>
      <c r="C120" s="17"/>
      <c r="D120" s="24"/>
      <c r="E120" s="24"/>
      <c r="F120" s="25"/>
      <c r="G120" s="1">
        <v>625</v>
      </c>
      <c r="H120" s="2">
        <v>92</v>
      </c>
      <c r="I120" s="2">
        <v>-9.6</v>
      </c>
      <c r="J120" s="2">
        <v>-10.9</v>
      </c>
      <c r="K120" s="2">
        <f t="shared" si="13"/>
        <v>-9.6</v>
      </c>
      <c r="L120" s="8">
        <f t="shared" si="17"/>
        <v>6.9183097091893483E-11</v>
      </c>
      <c r="M120" s="26"/>
      <c r="N120" s="17"/>
      <c r="O120" s="9">
        <f t="shared" si="15"/>
        <v>-10.9</v>
      </c>
      <c r="P120" s="8">
        <f>D116/B116*10^(O120/10)</f>
        <v>1.5985666817893949</v>
      </c>
      <c r="Q120" s="26"/>
      <c r="R120" s="17"/>
      <c r="S120" s="19"/>
      <c r="T120" s="17"/>
      <c r="U120" s="22"/>
    </row>
    <row r="121" spans="1:21" x14ac:dyDescent="0.25">
      <c r="A121" s="24"/>
      <c r="B121" s="24"/>
      <c r="C121" s="17"/>
      <c r="D121" s="24"/>
      <c r="E121" s="24"/>
      <c r="F121" s="25"/>
      <c r="G121" s="1">
        <v>675</v>
      </c>
      <c r="H121" s="2">
        <v>94.5</v>
      </c>
      <c r="I121" s="2">
        <v>-2.7</v>
      </c>
      <c r="J121" s="2">
        <v>-11.3</v>
      </c>
      <c r="K121" s="2">
        <f t="shared" si="13"/>
        <v>-2.7</v>
      </c>
      <c r="L121" s="8">
        <f t="shared" si="17"/>
        <v>1.9054607179632416E-10</v>
      </c>
      <c r="M121" s="26"/>
      <c r="N121" s="17"/>
      <c r="O121" s="9">
        <f t="shared" si="15"/>
        <v>-11.3</v>
      </c>
      <c r="P121" s="8">
        <f>D116/B116*10^(O121/10)</f>
        <v>1.4579101412251374</v>
      </c>
      <c r="Q121" s="26"/>
      <c r="R121" s="17"/>
      <c r="S121" s="20"/>
      <c r="T121" s="17"/>
      <c r="U121" s="23"/>
    </row>
    <row r="122" spans="1:21" x14ac:dyDescent="0.25">
      <c r="A122" s="24">
        <v>1000</v>
      </c>
      <c r="B122" s="24">
        <v>3</v>
      </c>
      <c r="C122" s="17">
        <v>0.5</v>
      </c>
      <c r="D122" s="24">
        <v>117</v>
      </c>
      <c r="E122" s="24">
        <v>6</v>
      </c>
      <c r="F122" s="25">
        <v>76</v>
      </c>
      <c r="G122" s="1">
        <v>875</v>
      </c>
      <c r="H122" s="2">
        <v>91.1</v>
      </c>
      <c r="I122" s="2">
        <v>-3.6</v>
      </c>
      <c r="J122" s="2">
        <v>-12.7</v>
      </c>
      <c r="K122" s="2">
        <f t="shared" si="13"/>
        <v>-3.6</v>
      </c>
      <c r="L122" s="8">
        <f t="shared" si="17"/>
        <v>3.3884415613920311E-10</v>
      </c>
      <c r="M122" s="26">
        <f>SUM(L122:L127)</f>
        <v>6.04233781636707E-10</v>
      </c>
      <c r="N122" s="17">
        <f>10*LOG10(M122/E122)</f>
        <v>-99.969462481350874</v>
      </c>
      <c r="O122" s="9">
        <f t="shared" si="15"/>
        <v>-12.7</v>
      </c>
      <c r="P122" s="8">
        <f>D122/B122*10^(O122/10)</f>
        <v>2.0944240058439849</v>
      </c>
      <c r="Q122" s="26">
        <f>SUM(P122:P127)</f>
        <v>17.325173083072887</v>
      </c>
      <c r="R122" s="17">
        <f>10*LOG10(Q122)</f>
        <v>12.386775820225449</v>
      </c>
      <c r="S122" s="18">
        <f>F122+N122-Kzt-H</f>
        <v>-23.969462481350874</v>
      </c>
      <c r="T122" s="17">
        <v>0.8</v>
      </c>
      <c r="U122" s="21">
        <f>T122*10^((S122-R122)/10)</f>
        <v>1.8512546262928955E-4</v>
      </c>
    </row>
    <row r="123" spans="1:21" x14ac:dyDescent="0.25">
      <c r="A123" s="24"/>
      <c r="B123" s="24"/>
      <c r="C123" s="17"/>
      <c r="D123" s="24"/>
      <c r="E123" s="24"/>
      <c r="F123" s="25"/>
      <c r="G123" s="1">
        <v>975</v>
      </c>
      <c r="H123" s="2">
        <v>96.5</v>
      </c>
      <c r="I123" s="2">
        <v>-6.3</v>
      </c>
      <c r="J123" s="2">
        <v>-11.9</v>
      </c>
      <c r="K123" s="2">
        <f t="shared" si="13"/>
        <v>-6.3</v>
      </c>
      <c r="L123" s="8">
        <f t="shared" si="17"/>
        <v>5.2480746024977191E-11</v>
      </c>
      <c r="M123" s="26"/>
      <c r="N123" s="17"/>
      <c r="O123" s="9">
        <f t="shared" si="15"/>
        <v>-11.9</v>
      </c>
      <c r="P123" s="8">
        <f>D122/B122*10^(O123/10)</f>
        <v>2.5180514932351561</v>
      </c>
      <c r="Q123" s="26"/>
      <c r="R123" s="17"/>
      <c r="S123" s="19"/>
      <c r="T123" s="17"/>
      <c r="U123" s="22"/>
    </row>
    <row r="124" spans="1:21" x14ac:dyDescent="0.25">
      <c r="A124" s="24"/>
      <c r="B124" s="24"/>
      <c r="C124" s="17"/>
      <c r="D124" s="24"/>
      <c r="E124" s="24"/>
      <c r="F124" s="25"/>
      <c r="G124" s="1">
        <v>1075</v>
      </c>
      <c r="H124" s="2">
        <v>94.6</v>
      </c>
      <c r="I124" s="2">
        <v>-9.3000000000000007</v>
      </c>
      <c r="J124" s="2">
        <v>-10.4</v>
      </c>
      <c r="K124" s="2">
        <f t="shared" si="13"/>
        <v>-9.3000000000000007</v>
      </c>
      <c r="L124" s="8">
        <f t="shared" si="17"/>
        <v>4.073802778041127E-11</v>
      </c>
      <c r="M124" s="26"/>
      <c r="N124" s="17"/>
      <c r="O124" s="9">
        <f t="shared" si="15"/>
        <v>-10.4</v>
      </c>
      <c r="P124" s="8">
        <f>D122/B122*10^(O124/10)</f>
        <v>3.5568422734880465</v>
      </c>
      <c r="Q124" s="26"/>
      <c r="R124" s="17"/>
      <c r="S124" s="19"/>
      <c r="T124" s="17"/>
      <c r="U124" s="22"/>
    </row>
    <row r="125" spans="1:21" x14ac:dyDescent="0.25">
      <c r="A125" s="24"/>
      <c r="B125" s="24"/>
      <c r="C125" s="17"/>
      <c r="D125" s="24"/>
      <c r="E125" s="24"/>
      <c r="F125" s="25"/>
      <c r="G125" s="1">
        <v>1175</v>
      </c>
      <c r="H125" s="2">
        <v>97.8</v>
      </c>
      <c r="I125" s="2">
        <v>-0.9</v>
      </c>
      <c r="J125" s="2">
        <v>-11.1</v>
      </c>
      <c r="K125" s="2">
        <f t="shared" si="13"/>
        <v>-0.9</v>
      </c>
      <c r="L125" s="8">
        <f t="shared" si="17"/>
        <v>1.3489628825916465E-10</v>
      </c>
      <c r="M125" s="26"/>
      <c r="N125" s="17"/>
      <c r="O125" s="9">
        <f t="shared" si="15"/>
        <v>-11.1</v>
      </c>
      <c r="P125" s="8">
        <f>D122/B122*10^(O125/10)</f>
        <v>3.0273637548518972</v>
      </c>
      <c r="Q125" s="26"/>
      <c r="R125" s="17"/>
      <c r="S125" s="19"/>
      <c r="T125" s="17"/>
      <c r="U125" s="22"/>
    </row>
    <row r="126" spans="1:21" x14ac:dyDescent="0.25">
      <c r="A126" s="24"/>
      <c r="B126" s="24"/>
      <c r="C126" s="17"/>
      <c r="D126" s="24"/>
      <c r="E126" s="24"/>
      <c r="F126" s="25"/>
      <c r="G126" s="1">
        <v>1275</v>
      </c>
      <c r="H126" s="2">
        <v>100.1</v>
      </c>
      <c r="I126" s="2">
        <v>-11</v>
      </c>
      <c r="J126" s="2">
        <v>-11.2</v>
      </c>
      <c r="K126" s="2">
        <f t="shared" si="13"/>
        <v>-11</v>
      </c>
      <c r="L126" s="8">
        <f t="shared" si="17"/>
        <v>7.762471166286914E-12</v>
      </c>
      <c r="M126" s="26"/>
      <c r="N126" s="17"/>
      <c r="O126" s="9">
        <f t="shared" si="15"/>
        <v>-11.2</v>
      </c>
      <c r="P126" s="8">
        <f>D122/B122*10^(O126/10)</f>
        <v>2.9584525426138168</v>
      </c>
      <c r="Q126" s="26"/>
      <c r="R126" s="17"/>
      <c r="S126" s="19"/>
      <c r="T126" s="17"/>
      <c r="U126" s="22"/>
    </row>
    <row r="127" spans="1:21" x14ac:dyDescent="0.25">
      <c r="A127" s="24"/>
      <c r="B127" s="24"/>
      <c r="C127" s="17"/>
      <c r="D127" s="24"/>
      <c r="E127" s="24"/>
      <c r="F127" s="25"/>
      <c r="G127" s="1">
        <v>1375</v>
      </c>
      <c r="H127" s="2">
        <v>103</v>
      </c>
      <c r="I127" s="2">
        <v>-2.2999999999999998</v>
      </c>
      <c r="J127" s="2">
        <v>-10.9</v>
      </c>
      <c r="K127" s="2">
        <f t="shared" si="13"/>
        <v>-2.2999999999999998</v>
      </c>
      <c r="L127" s="8">
        <f t="shared" si="17"/>
        <v>2.9512092266663787E-11</v>
      </c>
      <c r="M127" s="26"/>
      <c r="N127" s="17"/>
      <c r="O127" s="9">
        <f t="shared" si="15"/>
        <v>-10.9</v>
      </c>
      <c r="P127" s="8">
        <f>D122/B122*10^(O127/10)</f>
        <v>3.1700390130399865</v>
      </c>
      <c r="Q127" s="26"/>
      <c r="R127" s="17"/>
      <c r="S127" s="20"/>
      <c r="T127" s="17"/>
      <c r="U127" s="23"/>
    </row>
    <row r="128" spans="1:21" x14ac:dyDescent="0.25">
      <c r="A128" s="24">
        <v>2000</v>
      </c>
      <c r="B128" s="24">
        <v>3</v>
      </c>
      <c r="C128" s="17">
        <v>0.5</v>
      </c>
      <c r="D128" s="24">
        <v>234</v>
      </c>
      <c r="E128" s="24">
        <v>6</v>
      </c>
      <c r="F128" s="25">
        <v>68</v>
      </c>
      <c r="G128" s="1">
        <v>1425</v>
      </c>
      <c r="H128" s="2">
        <v>102.8</v>
      </c>
      <c r="I128" s="2">
        <v>-2.9</v>
      </c>
      <c r="J128" s="2">
        <v>-10.5</v>
      </c>
      <c r="K128" s="2">
        <f t="shared" si="13"/>
        <v>-2.9</v>
      </c>
      <c r="L128" s="8">
        <f t="shared" si="17"/>
        <v>2.6915348039269103E-11</v>
      </c>
      <c r="M128" s="26">
        <f>SUM(L128:L133)</f>
        <v>1.9275429400179637E-10</v>
      </c>
      <c r="N128" s="17">
        <f>10*LOG10(M128/E128)</f>
        <v>-104.93147188742292</v>
      </c>
      <c r="O128" s="9">
        <f t="shared" si="15"/>
        <v>-10.5</v>
      </c>
      <c r="P128" s="8">
        <f>D128/B128*10^(O128/10)</f>
        <v>6.9517573174432137</v>
      </c>
      <c r="Q128" s="26">
        <f>SUM(P128:P133)</f>
        <v>46.370582592789368</v>
      </c>
      <c r="R128" s="17">
        <f>10*LOG10(Q128)</f>
        <v>16.662425523384222</v>
      </c>
      <c r="S128" s="18">
        <f>F128+N128-Kzt-H</f>
        <v>-36.931471887422916</v>
      </c>
      <c r="T128" s="17">
        <v>1</v>
      </c>
      <c r="U128" s="21">
        <f>T128*10^((S128-R128)/10)</f>
        <v>4.3712964369584171E-6</v>
      </c>
    </row>
    <row r="129" spans="1:21" x14ac:dyDescent="0.25">
      <c r="A129" s="24"/>
      <c r="B129" s="24"/>
      <c r="C129" s="17"/>
      <c r="D129" s="24"/>
      <c r="E129" s="24"/>
      <c r="F129" s="25"/>
      <c r="G129" s="1">
        <v>1625</v>
      </c>
      <c r="H129" s="2">
        <v>104.1</v>
      </c>
      <c r="I129" s="2">
        <v>-5.7</v>
      </c>
      <c r="J129" s="2">
        <v>-10.4</v>
      </c>
      <c r="K129" s="2">
        <f t="shared" si="13"/>
        <v>-5.7</v>
      </c>
      <c r="L129" s="8">
        <f t="shared" si="17"/>
        <v>1.0471285480508978E-11</v>
      </c>
      <c r="M129" s="26"/>
      <c r="N129" s="17"/>
      <c r="O129" s="9">
        <f t="shared" si="15"/>
        <v>-10.4</v>
      </c>
      <c r="P129" s="8">
        <f>D128/B128*10^(O129/10)</f>
        <v>7.113684546976093</v>
      </c>
      <c r="Q129" s="26"/>
      <c r="R129" s="17"/>
      <c r="S129" s="19"/>
      <c r="T129" s="17"/>
      <c r="U129" s="22"/>
    </row>
    <row r="130" spans="1:21" x14ac:dyDescent="0.25">
      <c r="A130" s="24"/>
      <c r="B130" s="24"/>
      <c r="C130" s="17"/>
      <c r="D130" s="24"/>
      <c r="E130" s="24"/>
      <c r="F130" s="25"/>
      <c r="G130" s="1">
        <v>1825</v>
      </c>
      <c r="H130" s="2">
        <v>107.6</v>
      </c>
      <c r="I130" s="2">
        <v>-6.9</v>
      </c>
      <c r="J130" s="2">
        <v>-8.9</v>
      </c>
      <c r="K130" s="2">
        <f t="shared" si="13"/>
        <v>-6.9</v>
      </c>
      <c r="L130" s="8">
        <f t="shared" si="17"/>
        <v>3.5481338923357515E-12</v>
      </c>
      <c r="M130" s="26"/>
      <c r="N130" s="17"/>
      <c r="O130" s="9">
        <f t="shared" si="15"/>
        <v>-8.9</v>
      </c>
      <c r="P130" s="8">
        <f>D128/B128*10^(O130/10)</f>
        <v>10.048346503206442</v>
      </c>
      <c r="Q130" s="26"/>
      <c r="R130" s="17"/>
      <c r="S130" s="19"/>
      <c r="T130" s="17"/>
      <c r="U130" s="22"/>
    </row>
    <row r="131" spans="1:21" x14ac:dyDescent="0.25">
      <c r="A131" s="24"/>
      <c r="B131" s="24"/>
      <c r="C131" s="17"/>
      <c r="D131" s="24"/>
      <c r="E131" s="24"/>
      <c r="F131" s="25"/>
      <c r="G131" s="1">
        <v>2125</v>
      </c>
      <c r="H131" s="2">
        <v>104.2</v>
      </c>
      <c r="I131" s="2">
        <v>-2.2000000000000002</v>
      </c>
      <c r="J131" s="2">
        <v>-12.7</v>
      </c>
      <c r="K131" s="2">
        <f t="shared" si="13"/>
        <v>-2.2000000000000002</v>
      </c>
      <c r="L131" s="8">
        <f t="shared" si="17"/>
        <v>2.2908676527677615E-11</v>
      </c>
      <c r="M131" s="26"/>
      <c r="N131" s="17"/>
      <c r="O131" s="9">
        <f t="shared" si="15"/>
        <v>-12.7</v>
      </c>
      <c r="P131" s="8">
        <f>D128/B128*10^(O131/10)</f>
        <v>4.1888480116879698</v>
      </c>
      <c r="Q131" s="26"/>
      <c r="R131" s="17"/>
      <c r="S131" s="19"/>
      <c r="T131" s="17"/>
      <c r="U131" s="22"/>
    </row>
    <row r="132" spans="1:21" x14ac:dyDescent="0.25">
      <c r="A132" s="24"/>
      <c r="B132" s="24"/>
      <c r="C132" s="17"/>
      <c r="D132" s="24"/>
      <c r="E132" s="24"/>
      <c r="F132" s="25"/>
      <c r="G132" s="1">
        <v>2425</v>
      </c>
      <c r="H132" s="2">
        <v>93.7</v>
      </c>
      <c r="I132" s="2">
        <v>-9.1999999999999993</v>
      </c>
      <c r="J132" s="2">
        <v>-10.6</v>
      </c>
      <c r="K132" s="2">
        <f t="shared" si="13"/>
        <v>-9.1999999999999993</v>
      </c>
      <c r="L132" s="8">
        <f t="shared" si="17"/>
        <v>5.1286138399136241E-11</v>
      </c>
      <c r="M132" s="26"/>
      <c r="N132" s="17"/>
      <c r="O132" s="9">
        <f t="shared" si="15"/>
        <v>-10.6</v>
      </c>
      <c r="P132" s="8">
        <f>D128/B128*10^(O132/10)</f>
        <v>6.7935160016574248</v>
      </c>
      <c r="Q132" s="26"/>
      <c r="R132" s="17"/>
      <c r="S132" s="19"/>
      <c r="T132" s="17"/>
      <c r="U132" s="22"/>
    </row>
    <row r="133" spans="1:21" x14ac:dyDescent="0.25">
      <c r="A133" s="24"/>
      <c r="B133" s="24"/>
      <c r="C133" s="17"/>
      <c r="D133" s="24"/>
      <c r="E133" s="24"/>
      <c r="F133" s="25"/>
      <c r="G133" s="1">
        <v>2775</v>
      </c>
      <c r="H133" s="2">
        <v>100.2</v>
      </c>
      <c r="I133" s="2">
        <v>-0.9</v>
      </c>
      <c r="J133" s="2">
        <v>-8.4</v>
      </c>
      <c r="K133" s="2">
        <f t="shared" si="13"/>
        <v>-0.9</v>
      </c>
      <c r="L133" s="8">
        <f t="shared" si="17"/>
        <v>7.7624711662868665E-11</v>
      </c>
      <c r="M133" s="26"/>
      <c r="N133" s="17"/>
      <c r="O133" s="9">
        <f t="shared" si="15"/>
        <v>-8.4</v>
      </c>
      <c r="P133" s="8">
        <f>D128/B128*10^(O133/10)</f>
        <v>11.274430211818229</v>
      </c>
      <c r="Q133" s="26"/>
      <c r="R133" s="17"/>
      <c r="S133" s="20"/>
      <c r="T133" s="17"/>
      <c r="U133" s="23"/>
    </row>
    <row r="134" spans="1:21" x14ac:dyDescent="0.25">
      <c r="A134" s="24">
        <v>4000</v>
      </c>
      <c r="B134" s="24">
        <v>3</v>
      </c>
      <c r="C134" s="17">
        <v>0.5</v>
      </c>
      <c r="D134" s="24">
        <v>470</v>
      </c>
      <c r="E134" s="24">
        <v>6</v>
      </c>
      <c r="F134" s="25">
        <v>62</v>
      </c>
      <c r="G134" s="1">
        <v>2825</v>
      </c>
      <c r="H134" s="2">
        <v>99.4</v>
      </c>
      <c r="I134" s="2">
        <v>-8.1999999999999993</v>
      </c>
      <c r="J134" s="2">
        <v>-11.8</v>
      </c>
      <c r="K134" s="2">
        <f t="shared" si="13"/>
        <v>-8.1999999999999993</v>
      </c>
      <c r="L134" s="8">
        <f t="shared" si="17"/>
        <v>1.7378008287493627E-11</v>
      </c>
      <c r="M134" s="26">
        <f>SUM(L134:L139)</f>
        <v>1.6655929977403088E-10</v>
      </c>
      <c r="N134" s="17">
        <f>10*LOG10(M134/E134)</f>
        <v>-105.56582364015176</v>
      </c>
      <c r="O134" s="9">
        <f t="shared" si="15"/>
        <v>-11.8</v>
      </c>
      <c r="P134" s="8">
        <f>D134/B134*10^(O134/10)</f>
        <v>10.350864018785664</v>
      </c>
      <c r="Q134" s="26">
        <f>SUM(P134:P139)</f>
        <v>122.70955407057201</v>
      </c>
      <c r="R134" s="17">
        <f>10*LOG10(Q134)</f>
        <v>20.888783778744788</v>
      </c>
      <c r="S134" s="18">
        <f>F134+N134-Kzt-H</f>
        <v>-43.565823640151763</v>
      </c>
      <c r="T134" s="17">
        <v>0.9</v>
      </c>
      <c r="U134" s="21">
        <f>T134*10^((S134-R134)/10)</f>
        <v>3.2268722148700648E-7</v>
      </c>
    </row>
    <row r="135" spans="1:21" x14ac:dyDescent="0.25">
      <c r="A135" s="24"/>
      <c r="B135" s="24"/>
      <c r="C135" s="17"/>
      <c r="D135" s="24"/>
      <c r="E135" s="24"/>
      <c r="F135" s="25"/>
      <c r="G135" s="1">
        <v>3425</v>
      </c>
      <c r="H135" s="2">
        <v>103.5</v>
      </c>
      <c r="I135" s="2">
        <v>-7.6</v>
      </c>
      <c r="J135" s="2">
        <v>-9.6</v>
      </c>
      <c r="K135" s="2">
        <f t="shared" si="13"/>
        <v>-7.6</v>
      </c>
      <c r="L135" s="8">
        <f t="shared" si="17"/>
        <v>7.762471166286914E-12</v>
      </c>
      <c r="M135" s="26"/>
      <c r="N135" s="17"/>
      <c r="O135" s="9">
        <f t="shared" si="15"/>
        <v>-9.6</v>
      </c>
      <c r="P135" s="8">
        <f>D134/B134*10^(O135/10)</f>
        <v>17.178158406243231</v>
      </c>
      <c r="Q135" s="26"/>
      <c r="R135" s="17"/>
      <c r="S135" s="19"/>
      <c r="T135" s="17"/>
      <c r="U135" s="22"/>
    </row>
    <row r="136" spans="1:21" x14ac:dyDescent="0.25">
      <c r="A136" s="24"/>
      <c r="B136" s="24"/>
      <c r="C136" s="17"/>
      <c r="D136" s="24"/>
      <c r="E136" s="24"/>
      <c r="F136" s="25"/>
      <c r="G136" s="1">
        <v>4025</v>
      </c>
      <c r="H136" s="2">
        <v>103.6</v>
      </c>
      <c r="I136" s="2">
        <v>-1.6</v>
      </c>
      <c r="J136" s="2">
        <v>-11.5</v>
      </c>
      <c r="K136" s="2">
        <f t="shared" si="13"/>
        <v>-1.6</v>
      </c>
      <c r="L136" s="8">
        <f t="shared" si="17"/>
        <v>3.0199517204020087E-11</v>
      </c>
      <c r="M136" s="26"/>
      <c r="N136" s="17"/>
      <c r="O136" s="9">
        <f t="shared" si="15"/>
        <v>-11.5</v>
      </c>
      <c r="P136" s="8">
        <f>D134/B134*10^(O136/10)</f>
        <v>11.09115062201816</v>
      </c>
      <c r="Q136" s="26"/>
      <c r="R136" s="17"/>
      <c r="S136" s="19"/>
      <c r="T136" s="17"/>
      <c r="U136" s="22"/>
    </row>
    <row r="137" spans="1:21" x14ac:dyDescent="0.25">
      <c r="A137" s="24"/>
      <c r="B137" s="24"/>
      <c r="C137" s="17"/>
      <c r="D137" s="24"/>
      <c r="E137" s="24"/>
      <c r="F137" s="25"/>
      <c r="G137" s="1">
        <v>4625</v>
      </c>
      <c r="H137" s="2">
        <v>105.6</v>
      </c>
      <c r="I137" s="2">
        <v>-0.7</v>
      </c>
      <c r="J137" s="2">
        <v>-9.3000000000000007</v>
      </c>
      <c r="K137" s="2">
        <f t="shared" si="13"/>
        <v>-0.7</v>
      </c>
      <c r="L137" s="8">
        <f t="shared" si="17"/>
        <v>2.3442288153199185E-11</v>
      </c>
      <c r="M137" s="26"/>
      <c r="N137" s="17"/>
      <c r="O137" s="9">
        <f t="shared" si="15"/>
        <v>-9.3000000000000007</v>
      </c>
      <c r="P137" s="8">
        <f>D134/B134*10^(O137/10)</f>
        <v>18.406728360719288</v>
      </c>
      <c r="Q137" s="26"/>
      <c r="R137" s="17"/>
      <c r="S137" s="19"/>
      <c r="T137" s="17"/>
      <c r="U137" s="22"/>
    </row>
    <row r="138" spans="1:21" x14ac:dyDescent="0.25">
      <c r="A138" s="24"/>
      <c r="B138" s="24"/>
      <c r="C138" s="17"/>
      <c r="D138" s="24"/>
      <c r="E138" s="24"/>
      <c r="F138" s="25"/>
      <c r="G138" s="1">
        <v>5225</v>
      </c>
      <c r="H138" s="2">
        <v>103.5</v>
      </c>
      <c r="I138" s="2">
        <v>-4.1999999999999993</v>
      </c>
      <c r="J138" s="2">
        <v>-6.1</v>
      </c>
      <c r="K138" s="2">
        <f t="shared" si="13"/>
        <v>-4.1999999999999993</v>
      </c>
      <c r="L138" s="8">
        <f t="shared" si="17"/>
        <v>1.6982436524617441E-11</v>
      </c>
      <c r="M138" s="26"/>
      <c r="N138" s="17"/>
      <c r="O138" s="9">
        <f t="shared" si="15"/>
        <v>-6.1</v>
      </c>
      <c r="P138" s="8">
        <f>D134/B134*10^(O138/10)</f>
        <v>38.457106345732136</v>
      </c>
      <c r="Q138" s="26"/>
      <c r="R138" s="17"/>
      <c r="S138" s="19"/>
      <c r="T138" s="17"/>
      <c r="U138" s="22"/>
    </row>
    <row r="139" spans="1:21" x14ac:dyDescent="0.25">
      <c r="A139" s="24"/>
      <c r="B139" s="24"/>
      <c r="C139" s="17"/>
      <c r="D139" s="24"/>
      <c r="E139" s="24"/>
      <c r="F139" s="25"/>
      <c r="G139" s="1">
        <v>5625</v>
      </c>
      <c r="H139" s="2">
        <v>99.5</v>
      </c>
      <c r="I139" s="2">
        <v>-2</v>
      </c>
      <c r="J139" s="2">
        <v>-7.6</v>
      </c>
      <c r="K139" s="2">
        <f t="shared" si="13"/>
        <v>-2</v>
      </c>
      <c r="L139" s="8">
        <f t="shared" si="17"/>
        <v>7.079457843841361E-11</v>
      </c>
      <c r="M139" s="26"/>
      <c r="N139" s="17"/>
      <c r="O139" s="9">
        <f t="shared" si="15"/>
        <v>-7.6</v>
      </c>
      <c r="P139" s="8">
        <f>D134/B134*10^(O139/10)</f>
        <v>27.225546317073537</v>
      </c>
      <c r="Q139" s="26"/>
      <c r="R139" s="17"/>
      <c r="S139" s="20"/>
      <c r="T139" s="17"/>
      <c r="U139" s="23"/>
    </row>
    <row r="140" spans="1:21" x14ac:dyDescent="0.25">
      <c r="A140" s="24">
        <v>8000</v>
      </c>
      <c r="B140" s="24">
        <v>3</v>
      </c>
      <c r="C140" s="17">
        <v>0.5</v>
      </c>
      <c r="D140" s="24">
        <v>943</v>
      </c>
      <c r="E140" s="24">
        <v>6</v>
      </c>
      <c r="F140" s="25">
        <v>54</v>
      </c>
      <c r="G140" s="1">
        <v>6025</v>
      </c>
      <c r="H140" s="2">
        <v>95</v>
      </c>
      <c r="I140" s="2">
        <v>-1.7</v>
      </c>
      <c r="J140" s="2">
        <v>-12.3</v>
      </c>
      <c r="K140" s="2">
        <f t="shared" si="13"/>
        <v>-1.7</v>
      </c>
      <c r="L140" s="8">
        <f t="shared" si="17"/>
        <v>2.1379620895022245E-10</v>
      </c>
      <c r="M140" s="26">
        <f>SUM(L140:L145)</f>
        <v>5.7297072899589911E-9</v>
      </c>
      <c r="N140" s="17">
        <f>10*LOG10(M140/E140)</f>
        <v>-90.20018814385304</v>
      </c>
      <c r="O140" s="9">
        <f t="shared" si="15"/>
        <v>-12.3</v>
      </c>
      <c r="P140" s="8">
        <f>D140/B140*10^(O140/10)</f>
        <v>18.509318900010676</v>
      </c>
      <c r="Q140" s="26">
        <f>SUM(P140:P145)</f>
        <v>561.25921692437407</v>
      </c>
      <c r="R140" s="17">
        <f>10*LOG10(Q140)</f>
        <v>27.491634859962851</v>
      </c>
      <c r="S140" s="18">
        <f>F140+N140-Kzt-H</f>
        <v>-36.20018814385304</v>
      </c>
      <c r="T140" s="17">
        <v>0.7</v>
      </c>
      <c r="U140" s="21">
        <f>T140*10^((S140-R140)/10)</f>
        <v>2.9916841437148156E-7</v>
      </c>
    </row>
    <row r="141" spans="1:21" x14ac:dyDescent="0.25">
      <c r="A141" s="24"/>
      <c r="B141" s="24"/>
      <c r="C141" s="17"/>
      <c r="D141" s="24"/>
      <c r="E141" s="24"/>
      <c r="F141" s="25"/>
      <c r="G141" s="1">
        <v>7025</v>
      </c>
      <c r="H141" s="2">
        <v>94.8</v>
      </c>
      <c r="I141" s="2">
        <v>-5.9</v>
      </c>
      <c r="J141" s="2">
        <v>-7.5</v>
      </c>
      <c r="K141" s="2">
        <f t="shared" si="13"/>
        <v>-5.9</v>
      </c>
      <c r="L141" s="8">
        <f t="shared" si="17"/>
        <v>8.511380382023737E-11</v>
      </c>
      <c r="M141" s="26"/>
      <c r="N141" s="17"/>
      <c r="O141" s="9">
        <f t="shared" si="15"/>
        <v>-7.5</v>
      </c>
      <c r="P141" s="8">
        <f>D140/B140*10^(O141/10)</f>
        <v>55.897249455556789</v>
      </c>
      <c r="Q141" s="26"/>
      <c r="R141" s="17"/>
      <c r="S141" s="19"/>
      <c r="T141" s="17"/>
      <c r="U141" s="22"/>
    </row>
    <row r="142" spans="1:21" x14ac:dyDescent="0.25">
      <c r="A142" s="24"/>
      <c r="B142" s="24"/>
      <c r="C142" s="17"/>
      <c r="D142" s="24"/>
      <c r="E142" s="24"/>
      <c r="F142" s="25"/>
      <c r="G142" s="1">
        <v>8025</v>
      </c>
      <c r="H142" s="2">
        <v>101.9</v>
      </c>
      <c r="I142" s="2">
        <v>0.8</v>
      </c>
      <c r="J142" s="2">
        <v>-5.8</v>
      </c>
      <c r="K142" s="2">
        <f t="shared" si="13"/>
        <v>0.8</v>
      </c>
      <c r="L142" s="8">
        <f t="shared" si="17"/>
        <v>7.7624711662868665E-11</v>
      </c>
      <c r="M142" s="26"/>
      <c r="N142" s="17"/>
      <c r="O142" s="9">
        <f t="shared" si="15"/>
        <v>-5.8</v>
      </c>
      <c r="P142" s="8">
        <f>D140/B140*10^(O142/10)</f>
        <v>82.678090545244828</v>
      </c>
      <c r="Q142" s="26"/>
      <c r="R142" s="17"/>
      <c r="S142" s="19"/>
      <c r="T142" s="17"/>
      <c r="U142" s="22"/>
    </row>
    <row r="143" spans="1:21" x14ac:dyDescent="0.25">
      <c r="A143" s="24"/>
      <c r="B143" s="24"/>
      <c r="C143" s="17"/>
      <c r="D143" s="24"/>
      <c r="E143" s="24"/>
      <c r="F143" s="25"/>
      <c r="G143" s="1">
        <v>9025</v>
      </c>
      <c r="H143" s="2">
        <v>93.2</v>
      </c>
      <c r="I143" s="2">
        <v>1.2</v>
      </c>
      <c r="J143" s="2">
        <v>-6.2</v>
      </c>
      <c r="K143" s="2">
        <f t="shared" si="13"/>
        <v>1.2</v>
      </c>
      <c r="L143" s="8">
        <f t="shared" si="17"/>
        <v>6.309573444801927E-10</v>
      </c>
      <c r="M143" s="26"/>
      <c r="N143" s="17"/>
      <c r="O143" s="9">
        <f t="shared" si="15"/>
        <v>-6.2</v>
      </c>
      <c r="P143" s="8">
        <f>D140/B140*10^(O143/10)</f>
        <v>75.403314754512635</v>
      </c>
      <c r="Q143" s="26"/>
      <c r="R143" s="17"/>
      <c r="S143" s="19"/>
      <c r="T143" s="17"/>
      <c r="U143" s="22"/>
    </row>
    <row r="144" spans="1:21" x14ac:dyDescent="0.25">
      <c r="A144" s="24"/>
      <c r="B144" s="24"/>
      <c r="C144" s="17"/>
      <c r="D144" s="24"/>
      <c r="E144" s="24"/>
      <c r="F144" s="25"/>
      <c r="G144" s="1">
        <v>10025</v>
      </c>
      <c r="H144" s="2">
        <v>88.3</v>
      </c>
      <c r="I144" s="2">
        <v>-2.5</v>
      </c>
      <c r="J144" s="2">
        <v>-3.4</v>
      </c>
      <c r="K144" s="2">
        <f t="shared" si="13"/>
        <v>-2.5</v>
      </c>
      <c r="L144" s="8">
        <f t="shared" si="17"/>
        <v>8.3176377110266926E-10</v>
      </c>
      <c r="M144" s="26"/>
      <c r="N144" s="17"/>
      <c r="O144" s="9">
        <f t="shared" si="15"/>
        <v>-3.4</v>
      </c>
      <c r="P144" s="8">
        <f>D140/B140*10^(O144/10)</f>
        <v>143.67805426894236</v>
      </c>
      <c r="Q144" s="26"/>
      <c r="R144" s="17"/>
      <c r="S144" s="19"/>
      <c r="T144" s="17"/>
      <c r="U144" s="22"/>
    </row>
    <row r="145" spans="1:21" x14ac:dyDescent="0.25">
      <c r="A145" s="24"/>
      <c r="B145" s="24"/>
      <c r="C145" s="17"/>
      <c r="D145" s="24"/>
      <c r="E145" s="24"/>
      <c r="F145" s="25"/>
      <c r="G145" s="1">
        <v>11025</v>
      </c>
      <c r="H145" s="2">
        <v>86</v>
      </c>
      <c r="I145" s="2">
        <v>1.9</v>
      </c>
      <c r="J145" s="2">
        <v>-2.2999999999999998</v>
      </c>
      <c r="K145" s="2">
        <f t="shared" si="13"/>
        <v>1.9</v>
      </c>
      <c r="L145" s="8">
        <f t="shared" si="17"/>
        <v>3.8904514499428009E-9</v>
      </c>
      <c r="M145" s="26"/>
      <c r="N145" s="17"/>
      <c r="O145" s="9">
        <f t="shared" si="15"/>
        <v>-2.2999999999999998</v>
      </c>
      <c r="P145" s="8">
        <f>D140/B140*10^(O145/10)</f>
        <v>185.09318900010678</v>
      </c>
      <c r="Q145" s="26"/>
      <c r="R145" s="17"/>
      <c r="S145" s="20"/>
      <c r="T145" s="17"/>
      <c r="U145" s="23"/>
    </row>
    <row r="146" spans="1:21" x14ac:dyDescent="0.25">
      <c r="A146" s="24" t="s">
        <v>20</v>
      </c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12">
        <f>U146</f>
        <v>9.9391558508669792E-2</v>
      </c>
      <c r="T146" s="2"/>
      <c r="U146" s="8">
        <f>0.8*SQRT(SUM(U112:U145))</f>
        <v>9.9391558508669792E-2</v>
      </c>
    </row>
    <row r="147" spans="1:21" x14ac:dyDescent="0.25">
      <c r="A147" s="27" t="s">
        <v>76</v>
      </c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9"/>
    </row>
    <row r="148" spans="1:21" x14ac:dyDescent="0.25">
      <c r="A148" s="24">
        <v>250</v>
      </c>
      <c r="B148" s="24">
        <v>3</v>
      </c>
      <c r="C148" s="17">
        <v>0.5</v>
      </c>
      <c r="D148" s="24">
        <v>38</v>
      </c>
      <c r="E148" s="24">
        <v>4</v>
      </c>
      <c r="F148" s="25">
        <v>84</v>
      </c>
      <c r="G148" s="1">
        <v>175</v>
      </c>
      <c r="H148" s="2">
        <v>84.8</v>
      </c>
      <c r="I148" s="2">
        <v>-10.3</v>
      </c>
      <c r="J148" s="2">
        <v>-10.3</v>
      </c>
      <c r="K148" s="2">
        <f>I148</f>
        <v>-10.3</v>
      </c>
      <c r="L148" s="8">
        <f>10^((K148-H148)/10)</f>
        <v>3.090295432513586E-10</v>
      </c>
      <c r="M148" s="26">
        <f>SUM(L148:L151)</f>
        <v>7.3702515585342159E-10</v>
      </c>
      <c r="N148" s="17">
        <f>10*LOG10(M148/E148)</f>
        <v>-97.345776800470901</v>
      </c>
      <c r="O148" s="9">
        <f>J148</f>
        <v>-10.3</v>
      </c>
      <c r="P148" s="8">
        <f>D148/B148*10^(O148/10)</f>
        <v>1.1821221143428549</v>
      </c>
      <c r="Q148" s="26">
        <f>SUM(P148:P151)</f>
        <v>4.0529262549397149</v>
      </c>
      <c r="R148" s="17">
        <f>10*LOG10(Q148)</f>
        <v>6.0776870160398708</v>
      </c>
      <c r="S148" s="18">
        <f>F148+N148-Kzt-H</f>
        <v>-13.345776800470901</v>
      </c>
      <c r="T148" s="17">
        <v>0.2</v>
      </c>
      <c r="U148" s="21">
        <f>T148*10^((S148-R148)/10)</f>
        <v>2.2839343380761596E-3</v>
      </c>
    </row>
    <row r="149" spans="1:21" x14ac:dyDescent="0.25">
      <c r="A149" s="24"/>
      <c r="B149" s="24"/>
      <c r="C149" s="17"/>
      <c r="D149" s="24"/>
      <c r="E149" s="24"/>
      <c r="F149" s="25"/>
      <c r="G149" s="1">
        <v>225</v>
      </c>
      <c r="H149" s="2">
        <v>90</v>
      </c>
      <c r="I149" s="2">
        <v>-5.8</v>
      </c>
      <c r="J149" s="2">
        <v>-11.2</v>
      </c>
      <c r="K149" s="2">
        <f t="shared" ref="K149:K181" si="18">I149</f>
        <v>-5.8</v>
      </c>
      <c r="L149" s="8">
        <f t="shared" ref="L149:L150" si="19">10^((K149-H149)/10)</f>
        <v>2.6302679918953798E-10</v>
      </c>
      <c r="M149" s="26"/>
      <c r="N149" s="17"/>
      <c r="O149" s="9">
        <f t="shared" ref="O149:O181" si="20">J149</f>
        <v>-11.2</v>
      </c>
      <c r="P149" s="8">
        <f>D148/B148*10^(O149/10)</f>
        <v>0.96086492837029946</v>
      </c>
      <c r="Q149" s="26"/>
      <c r="R149" s="17"/>
      <c r="S149" s="19"/>
      <c r="T149" s="17"/>
      <c r="U149" s="22"/>
    </row>
    <row r="150" spans="1:21" x14ac:dyDescent="0.25">
      <c r="A150" s="24"/>
      <c r="B150" s="24"/>
      <c r="C150" s="17"/>
      <c r="D150" s="24"/>
      <c r="E150" s="24"/>
      <c r="F150" s="25"/>
      <c r="G150" s="1">
        <v>275</v>
      </c>
      <c r="H150" s="2">
        <v>92.2</v>
      </c>
      <c r="I150" s="2">
        <v>-7.6</v>
      </c>
      <c r="J150" s="2">
        <v>-11.7</v>
      </c>
      <c r="K150" s="2">
        <f t="shared" si="18"/>
        <v>-7.6</v>
      </c>
      <c r="L150" s="8">
        <f t="shared" si="19"/>
        <v>1.0471285480508951E-10</v>
      </c>
      <c r="M150" s="26"/>
      <c r="N150" s="17"/>
      <c r="O150" s="9">
        <f t="shared" si="20"/>
        <v>-11.7</v>
      </c>
      <c r="P150" s="8">
        <f>D148/B148*10^(O150/10)</f>
        <v>0.85637176882984367</v>
      </c>
      <c r="Q150" s="26"/>
      <c r="R150" s="17"/>
      <c r="S150" s="19"/>
      <c r="T150" s="17"/>
      <c r="U150" s="22"/>
    </row>
    <row r="151" spans="1:21" x14ac:dyDescent="0.25">
      <c r="A151" s="24"/>
      <c r="B151" s="24"/>
      <c r="C151" s="17"/>
      <c r="D151" s="24"/>
      <c r="E151" s="24"/>
      <c r="F151" s="25"/>
      <c r="G151" s="1">
        <v>325</v>
      </c>
      <c r="H151" s="2">
        <v>93.3</v>
      </c>
      <c r="I151" s="2">
        <v>-8.9</v>
      </c>
      <c r="J151" s="2">
        <v>-10.8</v>
      </c>
      <c r="K151" s="2">
        <f t="shared" si="18"/>
        <v>-8.9</v>
      </c>
      <c r="L151" s="8">
        <f>10^((K151-H151)/10)</f>
        <v>6.0255958607435443E-11</v>
      </c>
      <c r="M151" s="26"/>
      <c r="N151" s="17"/>
      <c r="O151" s="9">
        <f t="shared" si="20"/>
        <v>-10.8</v>
      </c>
      <c r="P151" s="8">
        <f>D148/B148*10^(O151/10)</f>
        <v>1.0535674433967164</v>
      </c>
      <c r="Q151" s="26"/>
      <c r="R151" s="17"/>
      <c r="S151" s="20"/>
      <c r="T151" s="17"/>
      <c r="U151" s="23"/>
    </row>
    <row r="152" spans="1:21" x14ac:dyDescent="0.25">
      <c r="A152" s="24">
        <v>500</v>
      </c>
      <c r="B152" s="24">
        <v>3</v>
      </c>
      <c r="C152" s="17">
        <v>0.5</v>
      </c>
      <c r="D152" s="24">
        <v>59</v>
      </c>
      <c r="E152" s="24">
        <v>6</v>
      </c>
      <c r="F152" s="25">
        <v>84</v>
      </c>
      <c r="G152" s="1">
        <v>375</v>
      </c>
      <c r="H152" s="2">
        <v>91.9</v>
      </c>
      <c r="I152" s="2">
        <v>-11</v>
      </c>
      <c r="J152" s="2">
        <v>-11.7</v>
      </c>
      <c r="K152" s="2">
        <f t="shared" si="18"/>
        <v>-11</v>
      </c>
      <c r="L152" s="8">
        <f t="shared" ref="L152:L153" si="21">10^((K152-H152)/10)</f>
        <v>5.1286138399136241E-11</v>
      </c>
      <c r="M152" s="26">
        <f>SUM(L152:L157)</f>
        <v>9.1018339583249512E-10</v>
      </c>
      <c r="N152" s="17">
        <f>10*LOG10(M152/E152)</f>
        <v>-98.190223418281875</v>
      </c>
      <c r="O152" s="9">
        <f t="shared" si="20"/>
        <v>-11.7</v>
      </c>
      <c r="P152" s="8">
        <f>D152/B152*10^(O152/10)</f>
        <v>1.3296298516042311</v>
      </c>
      <c r="Q152" s="26">
        <f>SUM(P152:P157)</f>
        <v>8.7078951464118823</v>
      </c>
      <c r="R152" s="17">
        <f>10*LOG10(Q152)</f>
        <v>9.3991319096978145</v>
      </c>
      <c r="S152" s="18">
        <f>F152+N152-Kzt-H</f>
        <v>-14.190223418281875</v>
      </c>
      <c r="T152" s="17">
        <v>0.5</v>
      </c>
      <c r="U152" s="21">
        <f>T152*10^((S152-R152)/10)</f>
        <v>2.1879352814660243E-3</v>
      </c>
    </row>
    <row r="153" spans="1:21" x14ac:dyDescent="0.25">
      <c r="A153" s="24"/>
      <c r="B153" s="24"/>
      <c r="C153" s="17"/>
      <c r="D153" s="24"/>
      <c r="E153" s="24"/>
      <c r="F153" s="25"/>
      <c r="G153" s="1">
        <v>425</v>
      </c>
      <c r="H153" s="2">
        <v>88.1</v>
      </c>
      <c r="I153" s="2">
        <v>-6.8</v>
      </c>
      <c r="J153" s="2">
        <v>-11.5</v>
      </c>
      <c r="K153" s="2">
        <f t="shared" si="18"/>
        <v>-6.8</v>
      </c>
      <c r="L153" s="8">
        <f t="shared" si="21"/>
        <v>3.235936569296289E-10</v>
      </c>
      <c r="M153" s="26"/>
      <c r="N153" s="17"/>
      <c r="O153" s="9">
        <f t="shared" si="20"/>
        <v>-11.5</v>
      </c>
      <c r="P153" s="8">
        <f>D152/B152*10^(O153/10)</f>
        <v>1.3922933759554712</v>
      </c>
      <c r="Q153" s="26"/>
      <c r="R153" s="17"/>
      <c r="S153" s="19"/>
      <c r="T153" s="17"/>
      <c r="U153" s="22"/>
    </row>
    <row r="154" spans="1:21" x14ac:dyDescent="0.25">
      <c r="A154" s="24"/>
      <c r="B154" s="24"/>
      <c r="C154" s="17"/>
      <c r="D154" s="24"/>
      <c r="E154" s="24"/>
      <c r="F154" s="25"/>
      <c r="G154" s="1">
        <v>475</v>
      </c>
      <c r="H154" s="2">
        <v>90</v>
      </c>
      <c r="I154" s="2">
        <v>-5.7</v>
      </c>
      <c r="J154" s="2">
        <v>-13.3</v>
      </c>
      <c r="K154" s="2">
        <f t="shared" si="18"/>
        <v>-5.7</v>
      </c>
      <c r="L154" s="8">
        <f>10^((K154-H154)/10)</f>
        <v>2.6915348039269034E-10</v>
      </c>
      <c r="M154" s="26"/>
      <c r="N154" s="17"/>
      <c r="O154" s="9">
        <f t="shared" si="20"/>
        <v>-13.3</v>
      </c>
      <c r="P154" s="8">
        <f>D152/B152*10^(O154/10)</f>
        <v>0.91987911119815591</v>
      </c>
      <c r="Q154" s="26"/>
      <c r="R154" s="17"/>
      <c r="S154" s="19"/>
      <c r="T154" s="17"/>
      <c r="U154" s="22"/>
    </row>
    <row r="155" spans="1:21" x14ac:dyDescent="0.25">
      <c r="A155" s="24"/>
      <c r="B155" s="24"/>
      <c r="C155" s="17"/>
      <c r="D155" s="24"/>
      <c r="E155" s="24"/>
      <c r="F155" s="25"/>
      <c r="G155" s="1">
        <v>575</v>
      </c>
      <c r="H155" s="2">
        <v>97</v>
      </c>
      <c r="I155" s="2">
        <v>-2.6</v>
      </c>
      <c r="J155" s="2">
        <v>-10.4</v>
      </c>
      <c r="K155" s="2">
        <f t="shared" si="18"/>
        <v>-2.6</v>
      </c>
      <c r="L155" s="8">
        <f t="shared" ref="L155:L181" si="22">10^((K155-H155)/10)</f>
        <v>1.096478196143184E-10</v>
      </c>
      <c r="M155" s="26"/>
      <c r="N155" s="17"/>
      <c r="O155" s="9">
        <f t="shared" si="20"/>
        <v>-10.4</v>
      </c>
      <c r="P155" s="8">
        <f>D152/B152*10^(O155/10)</f>
        <v>1.7936213173999553</v>
      </c>
      <c r="Q155" s="26"/>
      <c r="R155" s="17"/>
      <c r="S155" s="19"/>
      <c r="T155" s="17"/>
      <c r="U155" s="22"/>
    </row>
    <row r="156" spans="1:21" x14ac:dyDescent="0.25">
      <c r="A156" s="24"/>
      <c r="B156" s="24"/>
      <c r="C156" s="17"/>
      <c r="D156" s="24"/>
      <c r="E156" s="24"/>
      <c r="F156" s="25"/>
      <c r="G156" s="1">
        <v>625</v>
      </c>
      <c r="H156" s="2">
        <v>92</v>
      </c>
      <c r="I156" s="2">
        <v>-7.4</v>
      </c>
      <c r="J156" s="2">
        <v>-10.7</v>
      </c>
      <c r="K156" s="2">
        <f t="shared" si="18"/>
        <v>-7.4</v>
      </c>
      <c r="L156" s="8">
        <f t="shared" si="22"/>
        <v>1.1481536214968775E-10</v>
      </c>
      <c r="M156" s="26"/>
      <c r="N156" s="17"/>
      <c r="O156" s="9">
        <f t="shared" si="20"/>
        <v>-10.7</v>
      </c>
      <c r="P156" s="8">
        <f>D152/B152*10^(O156/10)</f>
        <v>1.6739048084646737</v>
      </c>
      <c r="Q156" s="26"/>
      <c r="R156" s="17"/>
      <c r="S156" s="19"/>
      <c r="T156" s="17"/>
      <c r="U156" s="22"/>
    </row>
    <row r="157" spans="1:21" x14ac:dyDescent="0.25">
      <c r="A157" s="24"/>
      <c r="B157" s="24"/>
      <c r="C157" s="17"/>
      <c r="D157" s="24"/>
      <c r="E157" s="24"/>
      <c r="F157" s="25"/>
      <c r="G157" s="1">
        <v>675</v>
      </c>
      <c r="H157" s="2">
        <v>94.5</v>
      </c>
      <c r="I157" s="2">
        <v>-9.3000000000000007</v>
      </c>
      <c r="J157" s="2">
        <v>-10.9</v>
      </c>
      <c r="K157" s="2">
        <f t="shared" si="18"/>
        <v>-9.3000000000000007</v>
      </c>
      <c r="L157" s="8">
        <f t="shared" si="22"/>
        <v>4.1686938347033529E-11</v>
      </c>
      <c r="M157" s="26"/>
      <c r="N157" s="17"/>
      <c r="O157" s="9">
        <f t="shared" si="20"/>
        <v>-10.9</v>
      </c>
      <c r="P157" s="8">
        <f>D152/B152*10^(O157/10)</f>
        <v>1.5985666817893949</v>
      </c>
      <c r="Q157" s="26"/>
      <c r="R157" s="17"/>
      <c r="S157" s="20"/>
      <c r="T157" s="17"/>
      <c r="U157" s="23"/>
    </row>
    <row r="158" spans="1:21" x14ac:dyDescent="0.25">
      <c r="A158" s="24">
        <v>1000</v>
      </c>
      <c r="B158" s="24">
        <v>3</v>
      </c>
      <c r="C158" s="17">
        <v>0.5</v>
      </c>
      <c r="D158" s="24">
        <v>117</v>
      </c>
      <c r="E158" s="24">
        <v>6</v>
      </c>
      <c r="F158" s="25">
        <v>76</v>
      </c>
      <c r="G158" s="1">
        <v>875</v>
      </c>
      <c r="H158" s="2">
        <v>91.1</v>
      </c>
      <c r="I158" s="2">
        <v>-7.7</v>
      </c>
      <c r="J158" s="2">
        <v>-10</v>
      </c>
      <c r="K158" s="2">
        <f t="shared" si="18"/>
        <v>-7.7</v>
      </c>
      <c r="L158" s="8">
        <f t="shared" si="22"/>
        <v>1.3182567385564051E-10</v>
      </c>
      <c r="M158" s="26">
        <f>SUM(L158:L163)</f>
        <v>2.9859381175038083E-10</v>
      </c>
      <c r="N158" s="17">
        <f>10*LOG10(M158/E158)</f>
        <v>-103.03070447498692</v>
      </c>
      <c r="O158" s="9">
        <f t="shared" si="20"/>
        <v>-10</v>
      </c>
      <c r="P158" s="8">
        <f>D158/B158*10^(O158/10)</f>
        <v>3.9000000000000004</v>
      </c>
      <c r="Q158" s="26">
        <f>SUM(P158:P163)</f>
        <v>22.851134234496964</v>
      </c>
      <c r="R158" s="17">
        <f>10*LOG10(Q158)</f>
        <v>13.589077614981193</v>
      </c>
      <c r="S158" s="18">
        <f>F158+N158-Kzt-H</f>
        <v>-27.030704474986919</v>
      </c>
      <c r="T158" s="17">
        <v>0.8</v>
      </c>
      <c r="U158" s="21">
        <f>T158*10^((S158-R158)/10)</f>
        <v>6.9360430177260688E-5</v>
      </c>
    </row>
    <row r="159" spans="1:21" x14ac:dyDescent="0.25">
      <c r="A159" s="24"/>
      <c r="B159" s="24"/>
      <c r="C159" s="17"/>
      <c r="D159" s="24"/>
      <c r="E159" s="24"/>
      <c r="F159" s="25"/>
      <c r="G159" s="1">
        <v>975</v>
      </c>
      <c r="H159" s="2">
        <v>96.5</v>
      </c>
      <c r="I159" s="2">
        <v>-8.5</v>
      </c>
      <c r="J159" s="2">
        <v>-9.6999999999999993</v>
      </c>
      <c r="K159" s="2">
        <f t="shared" si="18"/>
        <v>-8.5</v>
      </c>
      <c r="L159" s="8">
        <f t="shared" si="22"/>
        <v>3.162277660168371E-11</v>
      </c>
      <c r="M159" s="26"/>
      <c r="N159" s="17"/>
      <c r="O159" s="9">
        <f t="shared" si="20"/>
        <v>-9.6999999999999993</v>
      </c>
      <c r="P159" s="8">
        <f>D158/B158*10^(O159/10)</f>
        <v>4.1789252904266645</v>
      </c>
      <c r="Q159" s="26"/>
      <c r="R159" s="17"/>
      <c r="S159" s="19"/>
      <c r="T159" s="17"/>
      <c r="U159" s="22"/>
    </row>
    <row r="160" spans="1:21" x14ac:dyDescent="0.25">
      <c r="A160" s="24"/>
      <c r="B160" s="24"/>
      <c r="C160" s="17"/>
      <c r="D160" s="24"/>
      <c r="E160" s="24"/>
      <c r="F160" s="25"/>
      <c r="G160" s="1">
        <v>1075</v>
      </c>
      <c r="H160" s="2">
        <v>94.6</v>
      </c>
      <c r="I160" s="2">
        <v>-9.2000000000000011</v>
      </c>
      <c r="J160" s="2">
        <v>-10.4</v>
      </c>
      <c r="K160" s="2">
        <f t="shared" si="18"/>
        <v>-9.2000000000000011</v>
      </c>
      <c r="L160" s="8">
        <f t="shared" si="22"/>
        <v>4.1686938347033529E-11</v>
      </c>
      <c r="M160" s="26"/>
      <c r="N160" s="17"/>
      <c r="O160" s="9">
        <f t="shared" si="20"/>
        <v>-10.4</v>
      </c>
      <c r="P160" s="8">
        <f>D158/B158*10^(O160/10)</f>
        <v>3.5568422734880465</v>
      </c>
      <c r="Q160" s="26"/>
      <c r="R160" s="17"/>
      <c r="S160" s="19"/>
      <c r="T160" s="17"/>
      <c r="U160" s="22"/>
    </row>
    <row r="161" spans="1:21" x14ac:dyDescent="0.25">
      <c r="A161" s="24"/>
      <c r="B161" s="24"/>
      <c r="C161" s="17"/>
      <c r="D161" s="24"/>
      <c r="E161" s="24"/>
      <c r="F161" s="25"/>
      <c r="G161" s="1">
        <v>1175</v>
      </c>
      <c r="H161" s="2">
        <v>97.8</v>
      </c>
      <c r="I161" s="2">
        <v>-3.7</v>
      </c>
      <c r="J161" s="2">
        <v>-11</v>
      </c>
      <c r="K161" s="2">
        <f t="shared" si="18"/>
        <v>-3.7</v>
      </c>
      <c r="L161" s="8">
        <f t="shared" si="22"/>
        <v>7.079457843841361E-11</v>
      </c>
      <c r="M161" s="26"/>
      <c r="N161" s="17"/>
      <c r="O161" s="9">
        <f t="shared" si="20"/>
        <v>-11</v>
      </c>
      <c r="P161" s="8">
        <f>D158/B158*10^(O161/10)</f>
        <v>3.0978801154246955</v>
      </c>
      <c r="Q161" s="26"/>
      <c r="R161" s="17"/>
      <c r="S161" s="19"/>
      <c r="T161" s="17"/>
      <c r="U161" s="22"/>
    </row>
    <row r="162" spans="1:21" x14ac:dyDescent="0.25">
      <c r="A162" s="24"/>
      <c r="B162" s="24"/>
      <c r="C162" s="17"/>
      <c r="D162" s="24"/>
      <c r="E162" s="24"/>
      <c r="F162" s="25"/>
      <c r="G162" s="1">
        <v>1275</v>
      </c>
      <c r="H162" s="2">
        <v>100.1</v>
      </c>
      <c r="I162" s="2">
        <v>-7.3</v>
      </c>
      <c r="J162" s="2">
        <v>-9.1</v>
      </c>
      <c r="K162" s="2">
        <f t="shared" si="18"/>
        <v>-7.3</v>
      </c>
      <c r="L162" s="8">
        <f t="shared" si="22"/>
        <v>1.8197008586099825E-11</v>
      </c>
      <c r="M162" s="26"/>
      <c r="N162" s="17"/>
      <c r="O162" s="9">
        <f t="shared" si="20"/>
        <v>-9.1</v>
      </c>
      <c r="P162" s="8">
        <f>D158/B158*10^(O162/10)</f>
        <v>4.7980482061682874</v>
      </c>
      <c r="Q162" s="26"/>
      <c r="R162" s="17"/>
      <c r="S162" s="19"/>
      <c r="T162" s="17"/>
      <c r="U162" s="22"/>
    </row>
    <row r="163" spans="1:21" x14ac:dyDescent="0.25">
      <c r="A163" s="24"/>
      <c r="B163" s="24"/>
      <c r="C163" s="17"/>
      <c r="D163" s="24"/>
      <c r="E163" s="24"/>
      <c r="F163" s="25"/>
      <c r="G163" s="1">
        <v>1375</v>
      </c>
      <c r="H163" s="2">
        <v>103</v>
      </c>
      <c r="I163" s="2">
        <v>-10.5</v>
      </c>
      <c r="J163" s="2">
        <v>-10.7</v>
      </c>
      <c r="K163" s="2">
        <f t="shared" si="18"/>
        <v>-10.5</v>
      </c>
      <c r="L163" s="8">
        <f t="shared" si="22"/>
        <v>4.4668359215096234E-12</v>
      </c>
      <c r="M163" s="26"/>
      <c r="N163" s="17"/>
      <c r="O163" s="9">
        <f t="shared" si="20"/>
        <v>-10.7</v>
      </c>
      <c r="P163" s="8">
        <f>D158/B158*10^(O163/10)</f>
        <v>3.319438348989268</v>
      </c>
      <c r="Q163" s="26"/>
      <c r="R163" s="17"/>
      <c r="S163" s="20"/>
      <c r="T163" s="17"/>
      <c r="U163" s="23"/>
    </row>
    <row r="164" spans="1:21" x14ac:dyDescent="0.25">
      <c r="A164" s="24">
        <v>2000</v>
      </c>
      <c r="B164" s="24">
        <v>3</v>
      </c>
      <c r="C164" s="17">
        <v>0.5</v>
      </c>
      <c r="D164" s="24">
        <v>234</v>
      </c>
      <c r="E164" s="24">
        <v>6</v>
      </c>
      <c r="F164" s="25">
        <v>68</v>
      </c>
      <c r="G164" s="1">
        <v>1425</v>
      </c>
      <c r="H164" s="2">
        <v>102.8</v>
      </c>
      <c r="I164" s="2">
        <v>-2.7</v>
      </c>
      <c r="J164" s="2">
        <v>-9.5</v>
      </c>
      <c r="K164" s="2">
        <f t="shared" si="18"/>
        <v>-2.7</v>
      </c>
      <c r="L164" s="8">
        <f t="shared" si="22"/>
        <v>2.8183829312644474E-11</v>
      </c>
      <c r="M164" s="26">
        <f>SUM(L164:L169)</f>
        <v>2.0098118609415555E-10</v>
      </c>
      <c r="N164" s="17">
        <f>10*LOG10(M164/E164)</f>
        <v>-104.74995845490088</v>
      </c>
      <c r="O164" s="9">
        <f t="shared" si="20"/>
        <v>-9.5</v>
      </c>
      <c r="P164" s="8">
        <f>D164/B164*10^(O164/10)</f>
        <v>8.7517439435553133</v>
      </c>
      <c r="Q164" s="26">
        <f>SUM(P164:P169)</f>
        <v>63.982581446872032</v>
      </c>
      <c r="R164" s="17">
        <f>10*LOG10(Q164)</f>
        <v>18.060617581850277</v>
      </c>
      <c r="S164" s="18">
        <f>F164+N164-Kzt-H</f>
        <v>-36.749958454900877</v>
      </c>
      <c r="T164" s="17">
        <v>1</v>
      </c>
      <c r="U164" s="21">
        <f>T164*10^((S164-R164)/10)</f>
        <v>3.303257245977822E-6</v>
      </c>
    </row>
    <row r="165" spans="1:21" x14ac:dyDescent="0.25">
      <c r="A165" s="24"/>
      <c r="B165" s="24"/>
      <c r="C165" s="17"/>
      <c r="D165" s="24"/>
      <c r="E165" s="24"/>
      <c r="F165" s="25"/>
      <c r="G165" s="1">
        <v>1625</v>
      </c>
      <c r="H165" s="2">
        <v>104.1</v>
      </c>
      <c r="I165" s="2">
        <v>-4.0999999999999996</v>
      </c>
      <c r="J165" s="2">
        <v>-8.5</v>
      </c>
      <c r="K165" s="2">
        <f t="shared" si="18"/>
        <v>-4.0999999999999996</v>
      </c>
      <c r="L165" s="8">
        <f t="shared" si="22"/>
        <v>1.5135612484362085E-11</v>
      </c>
      <c r="M165" s="26"/>
      <c r="N165" s="17"/>
      <c r="O165" s="9">
        <f t="shared" si="20"/>
        <v>-8.5</v>
      </c>
      <c r="P165" s="8">
        <f>D164/B164*10^(O165/10)</f>
        <v>11.017792848057482</v>
      </c>
      <c r="Q165" s="26"/>
      <c r="R165" s="17"/>
      <c r="S165" s="19"/>
      <c r="T165" s="17"/>
      <c r="U165" s="22"/>
    </row>
    <row r="166" spans="1:21" x14ac:dyDescent="0.25">
      <c r="A166" s="24"/>
      <c r="B166" s="24"/>
      <c r="C166" s="17"/>
      <c r="D166" s="24"/>
      <c r="E166" s="24"/>
      <c r="F166" s="25"/>
      <c r="G166" s="1">
        <v>1825</v>
      </c>
      <c r="H166" s="2">
        <v>107.6</v>
      </c>
      <c r="I166" s="2">
        <v>-6.6</v>
      </c>
      <c r="J166" s="2">
        <v>-11.4</v>
      </c>
      <c r="K166" s="2">
        <f t="shared" si="18"/>
        <v>-6.6</v>
      </c>
      <c r="L166" s="8">
        <f t="shared" si="22"/>
        <v>3.8018939632056213E-12</v>
      </c>
      <c r="M166" s="26"/>
      <c r="N166" s="17"/>
      <c r="O166" s="9">
        <f t="shared" si="20"/>
        <v>-11.4</v>
      </c>
      <c r="P166" s="8">
        <f>D164/B164*10^(O166/10)</f>
        <v>5.650600488584919</v>
      </c>
      <c r="Q166" s="26"/>
      <c r="R166" s="17"/>
      <c r="S166" s="19"/>
      <c r="T166" s="17"/>
      <c r="U166" s="22"/>
    </row>
    <row r="167" spans="1:21" x14ac:dyDescent="0.25">
      <c r="A167" s="24"/>
      <c r="B167" s="24"/>
      <c r="C167" s="17"/>
      <c r="D167" s="24"/>
      <c r="E167" s="24"/>
      <c r="F167" s="25"/>
      <c r="G167" s="1">
        <v>2125</v>
      </c>
      <c r="H167" s="2">
        <v>104.2</v>
      </c>
      <c r="I167" s="2">
        <v>-0.8</v>
      </c>
      <c r="J167" s="2">
        <v>-9</v>
      </c>
      <c r="K167" s="2">
        <f t="shared" si="18"/>
        <v>-0.8</v>
      </c>
      <c r="L167" s="8">
        <f t="shared" si="22"/>
        <v>3.162277660168371E-11</v>
      </c>
      <c r="M167" s="26"/>
      <c r="N167" s="17"/>
      <c r="O167" s="9">
        <f t="shared" si="20"/>
        <v>-9</v>
      </c>
      <c r="P167" s="8">
        <f>D164/B164*10^(O167/10)</f>
        <v>9.8196182119945004</v>
      </c>
      <c r="Q167" s="26"/>
      <c r="R167" s="17"/>
      <c r="S167" s="19"/>
      <c r="T167" s="17"/>
      <c r="U167" s="22"/>
    </row>
    <row r="168" spans="1:21" x14ac:dyDescent="0.25">
      <c r="A168" s="24"/>
      <c r="B168" s="24"/>
      <c r="C168" s="17"/>
      <c r="D168" s="24"/>
      <c r="E168" s="24"/>
      <c r="F168" s="25"/>
      <c r="G168" s="1">
        <v>2425</v>
      </c>
      <c r="H168" s="2">
        <v>93.7</v>
      </c>
      <c r="I168" s="2">
        <v>-5.9</v>
      </c>
      <c r="J168" s="2">
        <v>-6.1</v>
      </c>
      <c r="K168" s="2">
        <f t="shared" si="18"/>
        <v>-5.9</v>
      </c>
      <c r="L168" s="8">
        <f t="shared" si="22"/>
        <v>1.0964781961431802E-10</v>
      </c>
      <c r="M168" s="26"/>
      <c r="N168" s="17"/>
      <c r="O168" s="9">
        <f t="shared" si="20"/>
        <v>-6.1</v>
      </c>
      <c r="P168" s="8">
        <f>D164/B164*10^(O168/10)</f>
        <v>19.146729542343234</v>
      </c>
      <c r="Q168" s="26"/>
      <c r="R168" s="17"/>
      <c r="S168" s="19"/>
      <c r="T168" s="17"/>
      <c r="U168" s="22"/>
    </row>
    <row r="169" spans="1:21" x14ac:dyDescent="0.25">
      <c r="A169" s="24"/>
      <c r="B169" s="24"/>
      <c r="C169" s="17"/>
      <c r="D169" s="24"/>
      <c r="E169" s="24"/>
      <c r="F169" s="25"/>
      <c r="G169" s="1">
        <v>2775</v>
      </c>
      <c r="H169" s="2">
        <v>100.2</v>
      </c>
      <c r="I169" s="2">
        <v>-8.8000000000000007</v>
      </c>
      <c r="J169" s="2">
        <v>-9.1</v>
      </c>
      <c r="K169" s="2">
        <f t="shared" si="18"/>
        <v>-8.8000000000000007</v>
      </c>
      <c r="L169" s="8">
        <f t="shared" si="22"/>
        <v>1.2589254117941641E-11</v>
      </c>
      <c r="M169" s="26"/>
      <c r="N169" s="17"/>
      <c r="O169" s="9">
        <f t="shared" si="20"/>
        <v>-9.1</v>
      </c>
      <c r="P169" s="8">
        <f>D164/B164*10^(O169/10)</f>
        <v>9.5960964123365748</v>
      </c>
      <c r="Q169" s="26"/>
      <c r="R169" s="17"/>
      <c r="S169" s="20"/>
      <c r="T169" s="17"/>
      <c r="U169" s="23"/>
    </row>
    <row r="170" spans="1:21" x14ac:dyDescent="0.25">
      <c r="A170" s="24">
        <v>4000</v>
      </c>
      <c r="B170" s="24">
        <v>3</v>
      </c>
      <c r="C170" s="17">
        <v>0.5</v>
      </c>
      <c r="D170" s="24">
        <v>470</v>
      </c>
      <c r="E170" s="24">
        <v>6</v>
      </c>
      <c r="F170" s="25">
        <v>62</v>
      </c>
      <c r="G170" s="1">
        <v>2825</v>
      </c>
      <c r="H170" s="2">
        <v>99.4</v>
      </c>
      <c r="I170" s="2">
        <v>-7.1999999999999993</v>
      </c>
      <c r="J170" s="2">
        <v>-7.6</v>
      </c>
      <c r="K170" s="2">
        <f t="shared" si="18"/>
        <v>-7.1999999999999993</v>
      </c>
      <c r="L170" s="8">
        <f t="shared" si="22"/>
        <v>2.1877616239495499E-11</v>
      </c>
      <c r="M170" s="26">
        <f>SUM(L170:L175)</f>
        <v>1.8704727184920799E-10</v>
      </c>
      <c r="N170" s="17">
        <f>10*LOG10(M170/E170)</f>
        <v>-105.06199872142258</v>
      </c>
      <c r="O170" s="9">
        <f t="shared" si="20"/>
        <v>-7.6</v>
      </c>
      <c r="P170" s="8">
        <f>D170/B170*10^(O170/10)</f>
        <v>27.225546317073537</v>
      </c>
      <c r="Q170" s="26">
        <f>SUM(P170:P175)</f>
        <v>246.11274280065885</v>
      </c>
      <c r="R170" s="17">
        <f>10*LOG10(Q170)</f>
        <v>23.91134100434779</v>
      </c>
      <c r="S170" s="18">
        <f>F170+N170-Kzt-H</f>
        <v>-43.061998721422583</v>
      </c>
      <c r="T170" s="17">
        <v>0.9</v>
      </c>
      <c r="U170" s="21">
        <f>T170*10^((S170-R170)/10)</f>
        <v>1.8067935722187125E-7</v>
      </c>
    </row>
    <row r="171" spans="1:21" x14ac:dyDescent="0.25">
      <c r="A171" s="24"/>
      <c r="B171" s="24"/>
      <c r="C171" s="17"/>
      <c r="D171" s="24"/>
      <c r="E171" s="24"/>
      <c r="F171" s="25"/>
      <c r="G171" s="1">
        <v>3425</v>
      </c>
      <c r="H171" s="2">
        <v>103.5</v>
      </c>
      <c r="I171" s="2">
        <v>-1.1000000000000001</v>
      </c>
      <c r="J171" s="2">
        <v>-7.4</v>
      </c>
      <c r="K171" s="2">
        <f t="shared" si="18"/>
        <v>-1.1000000000000001</v>
      </c>
      <c r="L171" s="8">
        <f t="shared" si="22"/>
        <v>3.467368504525318E-11</v>
      </c>
      <c r="M171" s="26"/>
      <c r="N171" s="17"/>
      <c r="O171" s="9">
        <f t="shared" si="20"/>
        <v>-7.4</v>
      </c>
      <c r="P171" s="8">
        <f>D170/B170*10^(O171/10)</f>
        <v>28.508646784889738</v>
      </c>
      <c r="Q171" s="26"/>
      <c r="R171" s="17"/>
      <c r="S171" s="19"/>
      <c r="T171" s="17"/>
      <c r="U171" s="22"/>
    </row>
    <row r="172" spans="1:21" x14ac:dyDescent="0.25">
      <c r="A172" s="24"/>
      <c r="B172" s="24"/>
      <c r="C172" s="17"/>
      <c r="D172" s="24"/>
      <c r="E172" s="24"/>
      <c r="F172" s="25"/>
      <c r="G172" s="1">
        <v>4025</v>
      </c>
      <c r="H172" s="2">
        <v>103.6</v>
      </c>
      <c r="I172" s="2">
        <v>-5.9</v>
      </c>
      <c r="J172" s="2">
        <v>-7.8</v>
      </c>
      <c r="K172" s="2">
        <f t="shared" si="18"/>
        <v>-5.9</v>
      </c>
      <c r="L172" s="8">
        <f t="shared" si="22"/>
        <v>1.1220184543019613E-11</v>
      </c>
      <c r="M172" s="26"/>
      <c r="N172" s="17"/>
      <c r="O172" s="9">
        <f t="shared" si="20"/>
        <v>-7.8</v>
      </c>
      <c r="P172" s="8">
        <f>D170/B170*10^(O172/10)</f>
        <v>26.000194883188438</v>
      </c>
      <c r="Q172" s="26"/>
      <c r="R172" s="17"/>
      <c r="S172" s="19"/>
      <c r="T172" s="17"/>
      <c r="U172" s="22"/>
    </row>
    <row r="173" spans="1:21" x14ac:dyDescent="0.25">
      <c r="A173" s="24"/>
      <c r="B173" s="24"/>
      <c r="C173" s="17"/>
      <c r="D173" s="24"/>
      <c r="E173" s="24"/>
      <c r="F173" s="25"/>
      <c r="G173" s="1">
        <v>4625</v>
      </c>
      <c r="H173" s="2">
        <v>105.6</v>
      </c>
      <c r="I173" s="2">
        <v>-0.3</v>
      </c>
      <c r="J173" s="2">
        <v>-4.3</v>
      </c>
      <c r="K173" s="2">
        <f t="shared" si="18"/>
        <v>-0.3</v>
      </c>
      <c r="L173" s="8">
        <f t="shared" si="22"/>
        <v>2.5703957827688591E-11</v>
      </c>
      <c r="M173" s="26"/>
      <c r="N173" s="17"/>
      <c r="O173" s="9">
        <f t="shared" si="20"/>
        <v>-4.3</v>
      </c>
      <c r="P173" s="8">
        <f>D170/B170*10^(O173/10)</f>
        <v>58.207185891890354</v>
      </c>
      <c r="Q173" s="26"/>
      <c r="R173" s="17"/>
      <c r="S173" s="19"/>
      <c r="T173" s="17"/>
      <c r="U173" s="22"/>
    </row>
    <row r="174" spans="1:21" x14ac:dyDescent="0.25">
      <c r="A174" s="24"/>
      <c r="B174" s="24"/>
      <c r="C174" s="17"/>
      <c r="D174" s="24"/>
      <c r="E174" s="24"/>
      <c r="F174" s="25"/>
      <c r="G174" s="1">
        <v>5225</v>
      </c>
      <c r="H174" s="2">
        <v>103.5</v>
      </c>
      <c r="I174" s="2">
        <v>0.1</v>
      </c>
      <c r="J174" s="2">
        <v>-4.7</v>
      </c>
      <c r="K174" s="2">
        <f t="shared" si="18"/>
        <v>0.1</v>
      </c>
      <c r="L174" s="8">
        <f t="shared" si="22"/>
        <v>4.5708818961487472E-11</v>
      </c>
      <c r="M174" s="26"/>
      <c r="N174" s="17"/>
      <c r="O174" s="9">
        <f t="shared" si="20"/>
        <v>-4.7</v>
      </c>
      <c r="P174" s="8">
        <f>D170/B170*10^(O174/10)</f>
        <v>53.085584461808388</v>
      </c>
      <c r="Q174" s="26"/>
      <c r="R174" s="17"/>
      <c r="S174" s="19"/>
      <c r="T174" s="17"/>
      <c r="U174" s="22"/>
    </row>
    <row r="175" spans="1:21" x14ac:dyDescent="0.25">
      <c r="A175" s="24"/>
      <c r="B175" s="24"/>
      <c r="C175" s="17"/>
      <c r="D175" s="24"/>
      <c r="E175" s="24"/>
      <c r="F175" s="25"/>
      <c r="G175" s="1">
        <v>5625</v>
      </c>
      <c r="H175" s="2">
        <v>99.5</v>
      </c>
      <c r="I175" s="2">
        <v>-3.7</v>
      </c>
      <c r="J175" s="2">
        <v>-4.7</v>
      </c>
      <c r="K175" s="2">
        <f t="shared" si="18"/>
        <v>-3.7</v>
      </c>
      <c r="L175" s="8">
        <f t="shared" si="22"/>
        <v>4.786300923226362E-11</v>
      </c>
      <c r="M175" s="26"/>
      <c r="N175" s="17"/>
      <c r="O175" s="9">
        <f t="shared" si="20"/>
        <v>-4.7</v>
      </c>
      <c r="P175" s="8">
        <f>D170/B170*10^(O175/10)</f>
        <v>53.085584461808388</v>
      </c>
      <c r="Q175" s="26"/>
      <c r="R175" s="17"/>
      <c r="S175" s="20"/>
      <c r="T175" s="17"/>
      <c r="U175" s="23"/>
    </row>
    <row r="176" spans="1:21" x14ac:dyDescent="0.25">
      <c r="A176" s="24">
        <v>8000</v>
      </c>
      <c r="B176" s="24">
        <v>3</v>
      </c>
      <c r="C176" s="17">
        <v>0.5</v>
      </c>
      <c r="D176" s="24">
        <v>943</v>
      </c>
      <c r="E176" s="24">
        <v>6</v>
      </c>
      <c r="F176" s="25">
        <v>54</v>
      </c>
      <c r="G176" s="1">
        <v>6025</v>
      </c>
      <c r="H176" s="2">
        <v>95</v>
      </c>
      <c r="I176" s="2">
        <v>6.3</v>
      </c>
      <c r="J176" s="2">
        <v>-3.9</v>
      </c>
      <c r="K176" s="2">
        <f t="shared" si="18"/>
        <v>6.3</v>
      </c>
      <c r="L176" s="8">
        <f t="shared" si="22"/>
        <v>1.3489628825916481E-9</v>
      </c>
      <c r="M176" s="26">
        <f>SUM(L176:L181)</f>
        <v>2.3505136353359184E-8</v>
      </c>
      <c r="N176" s="17">
        <f>10*LOG10(M176/E176)</f>
        <v>-84.069884755086065</v>
      </c>
      <c r="O176" s="9">
        <f t="shared" si="20"/>
        <v>-3.9</v>
      </c>
      <c r="P176" s="8">
        <f>D176/B176*10^(O176/10)</f>
        <v>128.05320065642607</v>
      </c>
      <c r="Q176" s="26">
        <f>SUM(P176:P181)</f>
        <v>1351.1453438395533</v>
      </c>
      <c r="R176" s="17">
        <f>10*LOG10(Q176)</f>
        <v>31.307020689571381</v>
      </c>
      <c r="S176" s="18">
        <f>F176+N176-Kzt-H</f>
        <v>-30.069884755086065</v>
      </c>
      <c r="T176" s="17">
        <v>0.7</v>
      </c>
      <c r="U176" s="21">
        <f>T176*10^((S176-R176)/10)</f>
        <v>5.0980899701364443E-7</v>
      </c>
    </row>
    <row r="177" spans="1:21" x14ac:dyDescent="0.25">
      <c r="A177" s="24"/>
      <c r="B177" s="24"/>
      <c r="C177" s="17"/>
      <c r="D177" s="24"/>
      <c r="E177" s="24"/>
      <c r="F177" s="25"/>
      <c r="G177" s="1">
        <v>7025</v>
      </c>
      <c r="H177" s="2">
        <v>94.8</v>
      </c>
      <c r="I177" s="2">
        <v>-2.8</v>
      </c>
      <c r="J177" s="2">
        <v>-3.6</v>
      </c>
      <c r="K177" s="2">
        <f t="shared" si="18"/>
        <v>-2.8</v>
      </c>
      <c r="L177" s="8">
        <f t="shared" si="22"/>
        <v>1.7378008287493709E-10</v>
      </c>
      <c r="M177" s="26"/>
      <c r="N177" s="17"/>
      <c r="O177" s="9">
        <f t="shared" si="20"/>
        <v>-3.6</v>
      </c>
      <c r="P177" s="8">
        <f>D176/B176*10^(O177/10)</f>
        <v>137.21147660082548</v>
      </c>
      <c r="Q177" s="26"/>
      <c r="R177" s="17"/>
      <c r="S177" s="19"/>
      <c r="T177" s="17"/>
      <c r="U177" s="22"/>
    </row>
    <row r="178" spans="1:21" x14ac:dyDescent="0.25">
      <c r="A178" s="24"/>
      <c r="B178" s="24"/>
      <c r="C178" s="17"/>
      <c r="D178" s="24"/>
      <c r="E178" s="24"/>
      <c r="F178" s="25"/>
      <c r="G178" s="1">
        <v>8025</v>
      </c>
      <c r="H178" s="2">
        <v>101.9</v>
      </c>
      <c r="I178" s="2">
        <v>8.3000000000000007</v>
      </c>
      <c r="J178" s="2">
        <v>-6.4</v>
      </c>
      <c r="K178" s="2">
        <f t="shared" si="18"/>
        <v>8.3000000000000007</v>
      </c>
      <c r="L178" s="8">
        <f t="shared" si="22"/>
        <v>4.3651583224016313E-10</v>
      </c>
      <c r="M178" s="26"/>
      <c r="N178" s="17"/>
      <c r="O178" s="9">
        <f t="shared" si="20"/>
        <v>-6.4</v>
      </c>
      <c r="P178" s="8">
        <f>D176/B176*10^(O178/10)</f>
        <v>72.009606552000321</v>
      </c>
      <c r="Q178" s="26"/>
      <c r="R178" s="17"/>
      <c r="S178" s="19"/>
      <c r="T178" s="17"/>
      <c r="U178" s="22"/>
    </row>
    <row r="179" spans="1:21" x14ac:dyDescent="0.25">
      <c r="A179" s="24"/>
      <c r="B179" s="24"/>
      <c r="C179" s="17"/>
      <c r="D179" s="24"/>
      <c r="E179" s="24"/>
      <c r="F179" s="25"/>
      <c r="G179" s="1">
        <v>9025</v>
      </c>
      <c r="H179" s="2">
        <v>93.2</v>
      </c>
      <c r="I179" s="2">
        <v>0.90000000000000013</v>
      </c>
      <c r="J179" s="2">
        <v>-0.7</v>
      </c>
      <c r="K179" s="2">
        <f t="shared" si="18"/>
        <v>0.90000000000000013</v>
      </c>
      <c r="L179" s="8">
        <f t="shared" si="22"/>
        <v>5.8884365535558649E-10</v>
      </c>
      <c r="M179" s="26"/>
      <c r="N179" s="17"/>
      <c r="O179" s="9">
        <f t="shared" si="20"/>
        <v>-0.7</v>
      </c>
      <c r="P179" s="8">
        <f>D176/B176*10^(O179/10)</f>
        <v>267.54105667494696</v>
      </c>
      <c r="Q179" s="26"/>
      <c r="R179" s="17"/>
      <c r="S179" s="19"/>
      <c r="T179" s="17"/>
      <c r="U179" s="22"/>
    </row>
    <row r="180" spans="1:21" x14ac:dyDescent="0.25">
      <c r="A180" s="24"/>
      <c r="B180" s="24"/>
      <c r="C180" s="17"/>
      <c r="D180" s="24"/>
      <c r="E180" s="24"/>
      <c r="F180" s="25"/>
      <c r="G180" s="1">
        <v>10025</v>
      </c>
      <c r="H180" s="2">
        <v>88.3</v>
      </c>
      <c r="I180" s="2">
        <v>10</v>
      </c>
      <c r="J180" s="2">
        <v>-1.7</v>
      </c>
      <c r="K180" s="2">
        <f t="shared" si="18"/>
        <v>10</v>
      </c>
      <c r="L180" s="8">
        <f t="shared" si="22"/>
        <v>1.4791083881682026E-8</v>
      </c>
      <c r="M180" s="26"/>
      <c r="N180" s="17"/>
      <c r="O180" s="9">
        <f t="shared" si="20"/>
        <v>-1.7</v>
      </c>
      <c r="P180" s="8">
        <f>D176/B176*10^(O180/10)</f>
        <v>212.51541526487961</v>
      </c>
      <c r="Q180" s="26"/>
      <c r="R180" s="17"/>
      <c r="S180" s="19"/>
      <c r="T180" s="17"/>
      <c r="U180" s="22"/>
    </row>
    <row r="181" spans="1:21" x14ac:dyDescent="0.25">
      <c r="A181" s="24"/>
      <c r="B181" s="24"/>
      <c r="C181" s="17"/>
      <c r="D181" s="24"/>
      <c r="E181" s="24"/>
      <c r="F181" s="25"/>
      <c r="G181" s="1">
        <v>11025</v>
      </c>
      <c r="H181" s="2">
        <v>86</v>
      </c>
      <c r="I181" s="2">
        <v>3.9</v>
      </c>
      <c r="J181" s="2">
        <v>2.2999999999999998</v>
      </c>
      <c r="K181" s="2">
        <f t="shared" si="18"/>
        <v>3.9</v>
      </c>
      <c r="L181" s="8">
        <f t="shared" si="22"/>
        <v>6.1659500186148231E-9</v>
      </c>
      <c r="M181" s="26"/>
      <c r="N181" s="17"/>
      <c r="O181" s="9">
        <f t="shared" si="20"/>
        <v>2.2999999999999998</v>
      </c>
      <c r="P181" s="8">
        <f>D176/B176*10^(O181/10)</f>
        <v>533.8145880904749</v>
      </c>
      <c r="Q181" s="26"/>
      <c r="R181" s="17"/>
      <c r="S181" s="20"/>
      <c r="T181" s="17"/>
      <c r="U181" s="23"/>
    </row>
    <row r="182" spans="1:21" x14ac:dyDescent="0.25">
      <c r="A182" s="24" t="s">
        <v>20</v>
      </c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12">
        <f>U182</f>
        <v>5.3934619948643209E-2</v>
      </c>
      <c r="T182" s="2"/>
      <c r="U182" s="8">
        <f>0.8*SQRT(SUM(U148:U181))</f>
        <v>5.3934619948643209E-2</v>
      </c>
    </row>
    <row r="183" spans="1:21" x14ac:dyDescent="0.25">
      <c r="A183" s="27" t="s">
        <v>77</v>
      </c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9"/>
    </row>
    <row r="184" spans="1:21" x14ac:dyDescent="0.25">
      <c r="A184" s="24">
        <v>250</v>
      </c>
      <c r="B184" s="24">
        <v>3</v>
      </c>
      <c r="C184" s="17">
        <v>0.5</v>
      </c>
      <c r="D184" s="24">
        <v>38</v>
      </c>
      <c r="E184" s="24">
        <v>4</v>
      </c>
      <c r="F184" s="25">
        <v>84</v>
      </c>
      <c r="G184" s="1">
        <v>175</v>
      </c>
      <c r="H184" s="2">
        <v>84.8</v>
      </c>
      <c r="I184" s="2">
        <v>-9.5</v>
      </c>
      <c r="J184" s="2">
        <v>-10.7</v>
      </c>
      <c r="K184" s="2">
        <f>I184</f>
        <v>-9.5</v>
      </c>
      <c r="L184" s="8">
        <f>10^((K184-H184)/10)</f>
        <v>3.7153522909717169E-10</v>
      </c>
      <c r="M184" s="26">
        <f>SUM(L184:L187)</f>
        <v>1.2551635908035444E-9</v>
      </c>
      <c r="N184" s="17">
        <f>10*LOG10(M184/E184)</f>
        <v>-95.033596583769082</v>
      </c>
      <c r="O184" s="9">
        <f>J184</f>
        <v>-10.7</v>
      </c>
      <c r="P184" s="8">
        <f>D184/B184*10^(O184/10)</f>
        <v>1.07810818172301</v>
      </c>
      <c r="Q184" s="26">
        <f>SUM(P184:P187)</f>
        <v>4.7864252158066041</v>
      </c>
      <c r="R184" s="17">
        <f>10*LOG10(Q184)</f>
        <v>6.8001127778669321</v>
      </c>
      <c r="S184" s="18">
        <f>F184+N184-Kzt-H</f>
        <v>-11.033596583769082</v>
      </c>
      <c r="T184" s="17">
        <v>0.2</v>
      </c>
      <c r="U184" s="21">
        <f>T184*10^((S184-R184)/10)</f>
        <v>3.2935105542361981E-3</v>
      </c>
    </row>
    <row r="185" spans="1:21" x14ac:dyDescent="0.25">
      <c r="A185" s="24"/>
      <c r="B185" s="24"/>
      <c r="C185" s="17"/>
      <c r="D185" s="24"/>
      <c r="E185" s="24"/>
      <c r="F185" s="25"/>
      <c r="G185" s="1">
        <v>225</v>
      </c>
      <c r="H185" s="2">
        <v>90</v>
      </c>
      <c r="I185" s="2">
        <v>-4.3</v>
      </c>
      <c r="J185" s="2">
        <v>-9.6999999999999993</v>
      </c>
      <c r="K185" s="2">
        <f t="shared" ref="K185:K217" si="23">I185</f>
        <v>-4.3</v>
      </c>
      <c r="L185" s="8">
        <f t="shared" ref="L185:L186" si="24">10^((K185-H185)/10)</f>
        <v>3.7153522909717169E-10</v>
      </c>
      <c r="M185" s="26"/>
      <c r="N185" s="17"/>
      <c r="O185" s="9">
        <f t="shared" ref="O185:O217" si="25">J185</f>
        <v>-9.6999999999999993</v>
      </c>
      <c r="P185" s="8">
        <f>D184/B184*10^(O185/10)</f>
        <v>1.3572577866343014</v>
      </c>
      <c r="Q185" s="26"/>
      <c r="R185" s="17"/>
      <c r="S185" s="19"/>
      <c r="T185" s="17"/>
      <c r="U185" s="22"/>
    </row>
    <row r="186" spans="1:21" x14ac:dyDescent="0.25">
      <c r="A186" s="24"/>
      <c r="B186" s="24"/>
      <c r="C186" s="17"/>
      <c r="D186" s="24"/>
      <c r="E186" s="24"/>
      <c r="F186" s="25"/>
      <c r="G186" s="1">
        <v>275</v>
      </c>
      <c r="H186" s="2">
        <v>92.2</v>
      </c>
      <c r="I186" s="2">
        <v>-1.7</v>
      </c>
      <c r="J186" s="2">
        <v>-9.4</v>
      </c>
      <c r="K186" s="2">
        <f t="shared" si="23"/>
        <v>-1.7</v>
      </c>
      <c r="L186" s="8">
        <f t="shared" si="24"/>
        <v>4.073802778041116E-10</v>
      </c>
      <c r="M186" s="26"/>
      <c r="N186" s="17"/>
      <c r="O186" s="9">
        <f t="shared" si="25"/>
        <v>-9.4</v>
      </c>
      <c r="P186" s="8">
        <f>D184/B184*10^(O186/10)</f>
        <v>1.4543279205627178</v>
      </c>
      <c r="Q186" s="26"/>
      <c r="R186" s="17"/>
      <c r="S186" s="19"/>
      <c r="T186" s="17"/>
      <c r="U186" s="22"/>
    </row>
    <row r="187" spans="1:21" x14ac:dyDescent="0.25">
      <c r="A187" s="24"/>
      <c r="B187" s="24"/>
      <c r="C187" s="17"/>
      <c r="D187" s="24"/>
      <c r="E187" s="24"/>
      <c r="F187" s="25"/>
      <c r="G187" s="1">
        <v>325</v>
      </c>
      <c r="H187" s="2">
        <v>93.3</v>
      </c>
      <c r="I187" s="2">
        <v>-6.5</v>
      </c>
      <c r="J187" s="2">
        <v>-11.5</v>
      </c>
      <c r="K187" s="2">
        <f t="shared" si="23"/>
        <v>-6.5</v>
      </c>
      <c r="L187" s="8">
        <f>10^((K187-H187)/10)</f>
        <v>1.0471285480508951E-10</v>
      </c>
      <c r="M187" s="26"/>
      <c r="N187" s="17"/>
      <c r="O187" s="9">
        <f t="shared" si="25"/>
        <v>-11.5</v>
      </c>
      <c r="P187" s="8">
        <f>D184/B184*10^(O187/10)</f>
        <v>0.89673132688657464</v>
      </c>
      <c r="Q187" s="26"/>
      <c r="R187" s="17"/>
      <c r="S187" s="20"/>
      <c r="T187" s="17"/>
      <c r="U187" s="23"/>
    </row>
    <row r="188" spans="1:21" x14ac:dyDescent="0.25">
      <c r="A188" s="24">
        <v>500</v>
      </c>
      <c r="B188" s="24">
        <v>3</v>
      </c>
      <c r="C188" s="17">
        <v>0.5</v>
      </c>
      <c r="D188" s="24">
        <v>59</v>
      </c>
      <c r="E188" s="24">
        <v>6</v>
      </c>
      <c r="F188" s="25">
        <v>84</v>
      </c>
      <c r="G188" s="1">
        <v>375</v>
      </c>
      <c r="H188" s="2">
        <v>91.9</v>
      </c>
      <c r="I188" s="2">
        <v>-2.6</v>
      </c>
      <c r="J188" s="2">
        <v>-10.9</v>
      </c>
      <c r="K188" s="2">
        <f t="shared" si="23"/>
        <v>-2.6</v>
      </c>
      <c r="L188" s="8">
        <f t="shared" ref="L188:L189" si="26">10^((K188-H188)/10)</f>
        <v>3.5481338923357471E-10</v>
      </c>
      <c r="M188" s="26">
        <f>SUM(L188:L193)</f>
        <v>1.8860460392573186E-9</v>
      </c>
      <c r="N188" s="17">
        <f>10*LOG10(M188/E188)</f>
        <v>-95.025989605234983</v>
      </c>
      <c r="O188" s="9">
        <f t="shared" si="25"/>
        <v>-10.9</v>
      </c>
      <c r="P188" s="8">
        <f>D188/B188*10^(O188/10)</f>
        <v>1.5985666817893949</v>
      </c>
      <c r="Q188" s="26">
        <f>SUM(P188:P193)</f>
        <v>12.684988691545405</v>
      </c>
      <c r="R188" s="17">
        <f>10*LOG10(Q188)</f>
        <v>11.03290084391678</v>
      </c>
      <c r="S188" s="18">
        <f>F188+N188-Kzt-H</f>
        <v>-11.025989605234983</v>
      </c>
      <c r="T188" s="17">
        <v>0.5</v>
      </c>
      <c r="U188" s="21">
        <f>T188*10^((S188-R188)/10)</f>
        <v>3.1122964647513044E-3</v>
      </c>
    </row>
    <row r="189" spans="1:21" x14ac:dyDescent="0.25">
      <c r="A189" s="24"/>
      <c r="B189" s="24"/>
      <c r="C189" s="17"/>
      <c r="D189" s="24"/>
      <c r="E189" s="24"/>
      <c r="F189" s="25"/>
      <c r="G189" s="1">
        <v>425</v>
      </c>
      <c r="H189" s="2">
        <v>88.1</v>
      </c>
      <c r="I189" s="2">
        <v>-3.1</v>
      </c>
      <c r="J189" s="2">
        <v>-10.4</v>
      </c>
      <c r="K189" s="2">
        <f t="shared" si="23"/>
        <v>-3.1</v>
      </c>
      <c r="L189" s="8">
        <f t="shared" si="26"/>
        <v>7.5857757502918245E-10</v>
      </c>
      <c r="M189" s="26"/>
      <c r="N189" s="17"/>
      <c r="O189" s="9">
        <f t="shared" si="25"/>
        <v>-10.4</v>
      </c>
      <c r="P189" s="8">
        <f>D188/B188*10^(O189/10)</f>
        <v>1.7936213173999553</v>
      </c>
      <c r="Q189" s="26"/>
      <c r="R189" s="17"/>
      <c r="S189" s="19"/>
      <c r="T189" s="17"/>
      <c r="U189" s="22"/>
    </row>
    <row r="190" spans="1:21" x14ac:dyDescent="0.25">
      <c r="A190" s="24"/>
      <c r="B190" s="24"/>
      <c r="C190" s="17"/>
      <c r="D190" s="24"/>
      <c r="E190" s="24"/>
      <c r="F190" s="25"/>
      <c r="G190" s="1">
        <v>475</v>
      </c>
      <c r="H190" s="2">
        <v>90</v>
      </c>
      <c r="I190" s="2">
        <v>-3</v>
      </c>
      <c r="J190" s="2">
        <v>-10.199999999999999</v>
      </c>
      <c r="K190" s="2">
        <f t="shared" si="23"/>
        <v>-3</v>
      </c>
      <c r="L190" s="8">
        <f>10^((K190-H190)/10)</f>
        <v>5.011872336272705E-10</v>
      </c>
      <c r="M190" s="26"/>
      <c r="N190" s="17"/>
      <c r="O190" s="9">
        <f t="shared" si="25"/>
        <v>-10.199999999999999</v>
      </c>
      <c r="P190" s="8">
        <f>D188/B188*10^(O190/10)</f>
        <v>1.8781520858421568</v>
      </c>
      <c r="Q190" s="26"/>
      <c r="R190" s="17"/>
      <c r="S190" s="19"/>
      <c r="T190" s="17"/>
      <c r="U190" s="22"/>
    </row>
    <row r="191" spans="1:21" x14ac:dyDescent="0.25">
      <c r="A191" s="24"/>
      <c r="B191" s="24"/>
      <c r="C191" s="17"/>
      <c r="D191" s="24"/>
      <c r="E191" s="24"/>
      <c r="F191" s="25"/>
      <c r="G191" s="1">
        <v>575</v>
      </c>
      <c r="H191" s="2">
        <v>97</v>
      </c>
      <c r="I191" s="2">
        <v>-4.7</v>
      </c>
      <c r="J191" s="2">
        <v>-8.6</v>
      </c>
      <c r="K191" s="2">
        <f t="shared" si="23"/>
        <v>-4.7</v>
      </c>
      <c r="L191" s="8">
        <f t="shared" ref="L191:L217" si="27">10^((K191-H191)/10)</f>
        <v>6.7608297539198024E-11</v>
      </c>
      <c r="M191" s="26"/>
      <c r="N191" s="17"/>
      <c r="O191" s="9">
        <f t="shared" si="25"/>
        <v>-8.6</v>
      </c>
      <c r="P191" s="8">
        <f>D188/B188*10^(O191/10)</f>
        <v>2.7147557203856727</v>
      </c>
      <c r="Q191" s="26"/>
      <c r="R191" s="17"/>
      <c r="S191" s="19"/>
      <c r="T191" s="17"/>
      <c r="U191" s="22"/>
    </row>
    <row r="192" spans="1:21" x14ac:dyDescent="0.25">
      <c r="A192" s="24"/>
      <c r="B192" s="24"/>
      <c r="C192" s="17"/>
      <c r="D192" s="24"/>
      <c r="E192" s="24"/>
      <c r="F192" s="25"/>
      <c r="G192" s="1">
        <v>625</v>
      </c>
      <c r="H192" s="2">
        <v>92</v>
      </c>
      <c r="I192" s="2">
        <v>-6.1</v>
      </c>
      <c r="J192" s="2">
        <v>-9.6999999999999993</v>
      </c>
      <c r="K192" s="2">
        <f t="shared" si="23"/>
        <v>-6.1</v>
      </c>
      <c r="L192" s="8">
        <f t="shared" si="27"/>
        <v>1.5488166189124834E-10</v>
      </c>
      <c r="M192" s="26"/>
      <c r="N192" s="17"/>
      <c r="O192" s="9">
        <f t="shared" si="25"/>
        <v>-9.6999999999999993</v>
      </c>
      <c r="P192" s="8">
        <f>D188/B188*10^(O192/10)</f>
        <v>2.1073213003006259</v>
      </c>
      <c r="Q192" s="26"/>
      <c r="R192" s="17"/>
      <c r="S192" s="19"/>
      <c r="T192" s="17"/>
      <c r="U192" s="22"/>
    </row>
    <row r="193" spans="1:21" x14ac:dyDescent="0.25">
      <c r="A193" s="24"/>
      <c r="B193" s="24"/>
      <c r="C193" s="17"/>
      <c r="D193" s="24"/>
      <c r="E193" s="24"/>
      <c r="F193" s="25"/>
      <c r="G193" s="1">
        <v>675</v>
      </c>
      <c r="H193" s="2">
        <v>94.5</v>
      </c>
      <c r="I193" s="2">
        <v>-8.6000000000000014</v>
      </c>
      <c r="J193" s="2">
        <v>-8.8000000000000007</v>
      </c>
      <c r="K193" s="2">
        <f t="shared" si="23"/>
        <v>-8.6000000000000014</v>
      </c>
      <c r="L193" s="8">
        <f t="shared" si="27"/>
        <v>4.8977881936844573E-11</v>
      </c>
      <c r="M193" s="26"/>
      <c r="N193" s="17"/>
      <c r="O193" s="9">
        <f t="shared" si="25"/>
        <v>-8.8000000000000007</v>
      </c>
      <c r="P193" s="8">
        <f>D188/B188*10^(O193/10)</f>
        <v>2.5925715858275997</v>
      </c>
      <c r="Q193" s="26"/>
      <c r="R193" s="17"/>
      <c r="S193" s="20"/>
      <c r="T193" s="17"/>
      <c r="U193" s="23"/>
    </row>
    <row r="194" spans="1:21" x14ac:dyDescent="0.25">
      <c r="A194" s="24">
        <v>1000</v>
      </c>
      <c r="B194" s="24">
        <v>3</v>
      </c>
      <c r="C194" s="17">
        <v>0.5</v>
      </c>
      <c r="D194" s="24">
        <v>117</v>
      </c>
      <c r="E194" s="24">
        <v>6</v>
      </c>
      <c r="F194" s="25">
        <v>76</v>
      </c>
      <c r="G194" s="1">
        <v>875</v>
      </c>
      <c r="H194" s="2">
        <v>91.1</v>
      </c>
      <c r="I194" s="2">
        <v>-2.9</v>
      </c>
      <c r="J194" s="2">
        <v>-9.8000000000000007</v>
      </c>
      <c r="K194" s="2">
        <f t="shared" si="23"/>
        <v>-2.9</v>
      </c>
      <c r="L194" s="8">
        <f t="shared" si="27"/>
        <v>3.9810717055349621E-10</v>
      </c>
      <c r="M194" s="26">
        <f>SUM(L194:L199)</f>
        <v>5.5506951154977552E-10</v>
      </c>
      <c r="N194" s="17">
        <f>10*LOG10(M194/E194)</f>
        <v>-100.33803877004823</v>
      </c>
      <c r="O194" s="9">
        <f t="shared" si="25"/>
        <v>-9.8000000000000007</v>
      </c>
      <c r="P194" s="8">
        <f>D194/B194*10^(O194/10)</f>
        <v>4.0838013373985067</v>
      </c>
      <c r="Q194" s="26">
        <f>SUM(P194:P199)</f>
        <v>26.847714787859029</v>
      </c>
      <c r="R194" s="17">
        <f>10*LOG10(Q194)</f>
        <v>14.289073255194001</v>
      </c>
      <c r="S194" s="18">
        <f>F194+N194-Kzt-H</f>
        <v>-24.338038770048229</v>
      </c>
      <c r="T194" s="17">
        <v>0.8</v>
      </c>
      <c r="U194" s="21">
        <f>T194*10^((S194-R194)/10)</f>
        <v>1.0974349434687444E-4</v>
      </c>
    </row>
    <row r="195" spans="1:21" x14ac:dyDescent="0.25">
      <c r="A195" s="24"/>
      <c r="B195" s="24"/>
      <c r="C195" s="17"/>
      <c r="D195" s="24"/>
      <c r="E195" s="24"/>
      <c r="F195" s="25"/>
      <c r="G195" s="1">
        <v>975</v>
      </c>
      <c r="H195" s="2">
        <v>96.5</v>
      </c>
      <c r="I195" s="2">
        <v>-5.4</v>
      </c>
      <c r="J195" s="2">
        <v>-9.1</v>
      </c>
      <c r="K195" s="2">
        <f t="shared" si="23"/>
        <v>-5.4</v>
      </c>
      <c r="L195" s="8">
        <f t="shared" si="27"/>
        <v>6.4565422903465183E-11</v>
      </c>
      <c r="M195" s="26"/>
      <c r="N195" s="17"/>
      <c r="O195" s="9">
        <f t="shared" si="25"/>
        <v>-9.1</v>
      </c>
      <c r="P195" s="8">
        <f>D194/B194*10^(O195/10)</f>
        <v>4.7980482061682874</v>
      </c>
      <c r="Q195" s="26"/>
      <c r="R195" s="17"/>
      <c r="S195" s="19"/>
      <c r="T195" s="17"/>
      <c r="U195" s="22"/>
    </row>
    <row r="196" spans="1:21" x14ac:dyDescent="0.25">
      <c r="A196" s="24"/>
      <c r="B196" s="24"/>
      <c r="C196" s="17"/>
      <c r="D196" s="24"/>
      <c r="E196" s="24"/>
      <c r="F196" s="25"/>
      <c r="G196" s="1">
        <v>1075</v>
      </c>
      <c r="H196" s="2">
        <v>94.6</v>
      </c>
      <c r="I196" s="2">
        <v>-9.3000000000000007</v>
      </c>
      <c r="J196" s="2">
        <v>-9.6</v>
      </c>
      <c r="K196" s="2">
        <f t="shared" si="23"/>
        <v>-9.3000000000000007</v>
      </c>
      <c r="L196" s="8">
        <f t="shared" si="27"/>
        <v>4.073802778041127E-11</v>
      </c>
      <c r="M196" s="26"/>
      <c r="N196" s="17"/>
      <c r="O196" s="9">
        <f t="shared" si="25"/>
        <v>-9.6</v>
      </c>
      <c r="P196" s="8">
        <f>D194/B194*10^(O196/10)</f>
        <v>4.276264964958421</v>
      </c>
      <c r="Q196" s="26"/>
      <c r="R196" s="17"/>
      <c r="S196" s="19"/>
      <c r="T196" s="17"/>
      <c r="U196" s="22"/>
    </row>
    <row r="197" spans="1:21" x14ac:dyDescent="0.25">
      <c r="A197" s="24"/>
      <c r="B197" s="24"/>
      <c r="C197" s="17"/>
      <c r="D197" s="24"/>
      <c r="E197" s="24"/>
      <c r="F197" s="25"/>
      <c r="G197" s="1">
        <v>1175</v>
      </c>
      <c r="H197" s="2">
        <v>97.8</v>
      </c>
      <c r="I197" s="2">
        <v>-9.1999999999999993</v>
      </c>
      <c r="J197" s="2">
        <v>-11</v>
      </c>
      <c r="K197" s="2">
        <f t="shared" si="23"/>
        <v>-9.1999999999999993</v>
      </c>
      <c r="L197" s="8">
        <f t="shared" si="27"/>
        <v>1.995262314968878E-11</v>
      </c>
      <c r="M197" s="26"/>
      <c r="N197" s="17"/>
      <c r="O197" s="9">
        <f t="shared" si="25"/>
        <v>-11</v>
      </c>
      <c r="P197" s="8">
        <f>D194/B194*10^(O197/10)</f>
        <v>3.0978801154246955</v>
      </c>
      <c r="Q197" s="26"/>
      <c r="R197" s="17"/>
      <c r="S197" s="19"/>
      <c r="T197" s="17"/>
      <c r="U197" s="22"/>
    </row>
    <row r="198" spans="1:21" x14ac:dyDescent="0.25">
      <c r="A198" s="24"/>
      <c r="B198" s="24"/>
      <c r="C198" s="17"/>
      <c r="D198" s="24"/>
      <c r="E198" s="24"/>
      <c r="F198" s="25"/>
      <c r="G198" s="1">
        <v>1275</v>
      </c>
      <c r="H198" s="2">
        <v>100.1</v>
      </c>
      <c r="I198" s="2">
        <v>-7.8</v>
      </c>
      <c r="J198" s="2">
        <v>-9.1999999999999993</v>
      </c>
      <c r="K198" s="2">
        <f t="shared" si="23"/>
        <v>-7.8</v>
      </c>
      <c r="L198" s="8">
        <f t="shared" si="27"/>
        <v>1.6218100973589298E-11</v>
      </c>
      <c r="M198" s="26"/>
      <c r="N198" s="17"/>
      <c r="O198" s="9">
        <f t="shared" si="25"/>
        <v>-9.1999999999999993</v>
      </c>
      <c r="P198" s="8">
        <f>D194/B194*10^(O198/10)</f>
        <v>4.6888312950079101</v>
      </c>
      <c r="Q198" s="26"/>
      <c r="R198" s="17"/>
      <c r="S198" s="19"/>
      <c r="T198" s="17"/>
      <c r="U198" s="22"/>
    </row>
    <row r="199" spans="1:21" x14ac:dyDescent="0.25">
      <c r="A199" s="24"/>
      <c r="B199" s="24"/>
      <c r="C199" s="17"/>
      <c r="D199" s="24"/>
      <c r="E199" s="24"/>
      <c r="F199" s="25"/>
      <c r="G199" s="1">
        <v>1375</v>
      </c>
      <c r="H199" s="2">
        <v>103</v>
      </c>
      <c r="I199" s="2">
        <v>-5.0999999999999996</v>
      </c>
      <c r="J199" s="2">
        <v>-8.1999999999999993</v>
      </c>
      <c r="K199" s="2">
        <f t="shared" si="23"/>
        <v>-5.0999999999999996</v>
      </c>
      <c r="L199" s="8">
        <f t="shared" si="27"/>
        <v>1.5488166189124818E-11</v>
      </c>
      <c r="M199" s="26"/>
      <c r="N199" s="17"/>
      <c r="O199" s="9">
        <f t="shared" si="25"/>
        <v>-8.1999999999999993</v>
      </c>
      <c r="P199" s="8">
        <f>D194/B194*10^(O199/10)</f>
        <v>5.9028888689012113</v>
      </c>
      <c r="Q199" s="26"/>
      <c r="R199" s="17"/>
      <c r="S199" s="20"/>
      <c r="T199" s="17"/>
      <c r="U199" s="23"/>
    </row>
    <row r="200" spans="1:21" x14ac:dyDescent="0.25">
      <c r="A200" s="24">
        <v>2000</v>
      </c>
      <c r="B200" s="24">
        <v>3</v>
      </c>
      <c r="C200" s="17">
        <v>0.5</v>
      </c>
      <c r="D200" s="24">
        <v>234</v>
      </c>
      <c r="E200" s="24">
        <v>6</v>
      </c>
      <c r="F200" s="25">
        <v>68</v>
      </c>
      <c r="G200" s="1">
        <v>1425</v>
      </c>
      <c r="H200" s="2">
        <v>102.8</v>
      </c>
      <c r="I200" s="2">
        <v>-4.5</v>
      </c>
      <c r="J200" s="2">
        <v>-9.8000000000000007</v>
      </c>
      <c r="K200" s="2">
        <f t="shared" si="23"/>
        <v>-4.5</v>
      </c>
      <c r="L200" s="8">
        <f t="shared" si="27"/>
        <v>1.8620871366628599E-11</v>
      </c>
      <c r="M200" s="26">
        <f>SUM(L200:L205)</f>
        <v>1.826998419602244E-10</v>
      </c>
      <c r="N200" s="17">
        <f>10*LOG10(M200/E200)</f>
        <v>-105.16413078706158</v>
      </c>
      <c r="O200" s="9">
        <f t="shared" si="25"/>
        <v>-9.8000000000000007</v>
      </c>
      <c r="P200" s="8">
        <f>D200/B200*10^(O200/10)</f>
        <v>8.1676026747970134</v>
      </c>
      <c r="Q200" s="26">
        <f>SUM(P200:P205)</f>
        <v>60.904644296357816</v>
      </c>
      <c r="R200" s="17">
        <f>10*LOG10(Q200)</f>
        <v>17.846504111119476</v>
      </c>
      <c r="S200" s="18">
        <f>F200+N200-Kzt-H</f>
        <v>-37.16413078706158</v>
      </c>
      <c r="T200" s="17">
        <v>1</v>
      </c>
      <c r="U200" s="21">
        <f>T200*10^((S200-R200)/10)</f>
        <v>3.1545434247249967E-6</v>
      </c>
    </row>
    <row r="201" spans="1:21" x14ac:dyDescent="0.25">
      <c r="A201" s="24"/>
      <c r="B201" s="24"/>
      <c r="C201" s="17"/>
      <c r="D201" s="24"/>
      <c r="E201" s="24"/>
      <c r="F201" s="25"/>
      <c r="G201" s="1">
        <v>1625</v>
      </c>
      <c r="H201" s="2">
        <v>104.1</v>
      </c>
      <c r="I201" s="2">
        <v>-6.9</v>
      </c>
      <c r="J201" s="2">
        <v>-9.6999999999999993</v>
      </c>
      <c r="K201" s="2">
        <f t="shared" si="23"/>
        <v>-6.9</v>
      </c>
      <c r="L201" s="8">
        <f t="shared" si="27"/>
        <v>7.9432823472428101E-12</v>
      </c>
      <c r="M201" s="26"/>
      <c r="N201" s="17"/>
      <c r="O201" s="9">
        <f t="shared" si="25"/>
        <v>-9.6999999999999993</v>
      </c>
      <c r="P201" s="8">
        <f>D200/B200*10^(O201/10)</f>
        <v>8.357850580853329</v>
      </c>
      <c r="Q201" s="26"/>
      <c r="R201" s="17"/>
      <c r="S201" s="19"/>
      <c r="T201" s="17"/>
      <c r="U201" s="22"/>
    </row>
    <row r="202" spans="1:21" x14ac:dyDescent="0.25">
      <c r="A202" s="24"/>
      <c r="B202" s="24"/>
      <c r="C202" s="17"/>
      <c r="D202" s="24"/>
      <c r="E202" s="24"/>
      <c r="F202" s="25"/>
      <c r="G202" s="1">
        <v>1825</v>
      </c>
      <c r="H202" s="2">
        <v>107.6</v>
      </c>
      <c r="I202" s="2">
        <v>-8.1</v>
      </c>
      <c r="J202" s="2">
        <v>-9.4</v>
      </c>
      <c r="K202" s="2">
        <f t="shared" si="23"/>
        <v>-8.1</v>
      </c>
      <c r="L202" s="8">
        <f t="shared" si="27"/>
        <v>2.6915348039269171E-12</v>
      </c>
      <c r="M202" s="26"/>
      <c r="N202" s="17"/>
      <c r="O202" s="9">
        <f t="shared" si="25"/>
        <v>-9.4</v>
      </c>
      <c r="P202" s="8">
        <f>D200/B200*10^(O202/10)</f>
        <v>8.9555982476756828</v>
      </c>
      <c r="Q202" s="26"/>
      <c r="R202" s="17"/>
      <c r="S202" s="19"/>
      <c r="T202" s="17"/>
      <c r="U202" s="22"/>
    </row>
    <row r="203" spans="1:21" x14ac:dyDescent="0.25">
      <c r="A203" s="24"/>
      <c r="B203" s="24"/>
      <c r="C203" s="17"/>
      <c r="D203" s="24"/>
      <c r="E203" s="24"/>
      <c r="F203" s="25"/>
      <c r="G203" s="1">
        <v>2125</v>
      </c>
      <c r="H203" s="2">
        <v>104.2</v>
      </c>
      <c r="I203" s="2">
        <v>-5.8</v>
      </c>
      <c r="J203" s="2">
        <v>-8.3000000000000007</v>
      </c>
      <c r="K203" s="2">
        <f t="shared" si="23"/>
        <v>-5.8</v>
      </c>
      <c r="L203" s="8">
        <f t="shared" si="27"/>
        <v>9.9999999999999994E-12</v>
      </c>
      <c r="M203" s="26"/>
      <c r="N203" s="17"/>
      <c r="O203" s="9">
        <f t="shared" si="25"/>
        <v>-8.3000000000000007</v>
      </c>
      <c r="P203" s="8">
        <f>D200/B200*10^(O203/10)</f>
        <v>11.537045427712016</v>
      </c>
      <c r="Q203" s="26"/>
      <c r="R203" s="17"/>
      <c r="S203" s="19"/>
      <c r="T203" s="17"/>
      <c r="U203" s="22"/>
    </row>
    <row r="204" spans="1:21" x14ac:dyDescent="0.25">
      <c r="A204" s="24"/>
      <c r="B204" s="24"/>
      <c r="C204" s="17"/>
      <c r="D204" s="24"/>
      <c r="E204" s="24"/>
      <c r="F204" s="25"/>
      <c r="G204" s="1">
        <v>2425</v>
      </c>
      <c r="H204" s="2">
        <v>93.7</v>
      </c>
      <c r="I204" s="2">
        <v>-6.6</v>
      </c>
      <c r="J204" s="2">
        <v>-8.1</v>
      </c>
      <c r="K204" s="2">
        <f t="shared" si="23"/>
        <v>-6.6</v>
      </c>
      <c r="L204" s="8">
        <f t="shared" si="27"/>
        <v>9.3325430079699086E-11</v>
      </c>
      <c r="M204" s="26"/>
      <c r="N204" s="17"/>
      <c r="O204" s="9">
        <f t="shared" si="25"/>
        <v>-8.1</v>
      </c>
      <c r="P204" s="8">
        <f>D200/B200*10^(O204/10)</f>
        <v>12.080769627517354</v>
      </c>
      <c r="Q204" s="26"/>
      <c r="R204" s="17"/>
      <c r="S204" s="19"/>
      <c r="T204" s="17"/>
      <c r="U204" s="22"/>
    </row>
    <row r="205" spans="1:21" x14ac:dyDescent="0.25">
      <c r="A205" s="24"/>
      <c r="B205" s="24"/>
      <c r="C205" s="17"/>
      <c r="D205" s="24"/>
      <c r="E205" s="24"/>
      <c r="F205" s="25"/>
      <c r="G205" s="1">
        <v>2775</v>
      </c>
      <c r="H205" s="2">
        <v>100.2</v>
      </c>
      <c r="I205" s="2">
        <v>-2.8</v>
      </c>
      <c r="J205" s="2">
        <v>-8.1999999999999993</v>
      </c>
      <c r="K205" s="2">
        <f t="shared" si="23"/>
        <v>-2.8</v>
      </c>
      <c r="L205" s="8">
        <f t="shared" si="27"/>
        <v>5.0118723362726993E-11</v>
      </c>
      <c r="M205" s="26"/>
      <c r="N205" s="17"/>
      <c r="O205" s="9">
        <f t="shared" si="25"/>
        <v>-8.1999999999999993</v>
      </c>
      <c r="P205" s="8">
        <f>D200/B200*10^(O205/10)</f>
        <v>11.805777737802423</v>
      </c>
      <c r="Q205" s="26"/>
      <c r="R205" s="17"/>
      <c r="S205" s="20"/>
      <c r="T205" s="17"/>
      <c r="U205" s="23"/>
    </row>
    <row r="206" spans="1:21" x14ac:dyDescent="0.25">
      <c r="A206" s="24">
        <v>4000</v>
      </c>
      <c r="B206" s="24">
        <v>3</v>
      </c>
      <c r="C206" s="17">
        <v>0.5</v>
      </c>
      <c r="D206" s="24">
        <v>470</v>
      </c>
      <c r="E206" s="24">
        <v>6</v>
      </c>
      <c r="F206" s="25">
        <v>62</v>
      </c>
      <c r="G206" s="1">
        <v>2825</v>
      </c>
      <c r="H206" s="2">
        <v>99.4</v>
      </c>
      <c r="I206" s="2">
        <v>-4.8000000000000007</v>
      </c>
      <c r="J206" s="2">
        <v>-6.2</v>
      </c>
      <c r="K206" s="2">
        <f t="shared" si="23"/>
        <v>-4.8000000000000007</v>
      </c>
      <c r="L206" s="8">
        <f t="shared" si="27"/>
        <v>3.8018939632055986E-11</v>
      </c>
      <c r="M206" s="26">
        <f>SUM(L206:L211)</f>
        <v>1.43635030571403E-10</v>
      </c>
      <c r="N206" s="17">
        <f>10*LOG10(M206/E206)</f>
        <v>-106.20890879220276</v>
      </c>
      <c r="O206" s="9">
        <f t="shared" si="25"/>
        <v>-6.2</v>
      </c>
      <c r="P206" s="8">
        <f>D206/B206*10^(O206/10)</f>
        <v>37.581715731305344</v>
      </c>
      <c r="Q206" s="26">
        <f>SUM(P206:P211)</f>
        <v>209.53127903366027</v>
      </c>
      <c r="R206" s="17">
        <f>10*LOG10(Q206)</f>
        <v>23.212488640456449</v>
      </c>
      <c r="S206" s="18">
        <f>F206+N206-Kzt-H</f>
        <v>-44.208908792202763</v>
      </c>
      <c r="T206" s="17">
        <v>0.9</v>
      </c>
      <c r="U206" s="21">
        <f>T206*10^((S206-R206)/10)</f>
        <v>1.6296816150894873E-7</v>
      </c>
    </row>
    <row r="207" spans="1:21" x14ac:dyDescent="0.25">
      <c r="A207" s="24"/>
      <c r="B207" s="24"/>
      <c r="C207" s="17"/>
      <c r="D207" s="24"/>
      <c r="E207" s="24"/>
      <c r="F207" s="25"/>
      <c r="G207" s="1">
        <v>3425</v>
      </c>
      <c r="H207" s="2">
        <v>103.5</v>
      </c>
      <c r="I207" s="2">
        <v>-4.7</v>
      </c>
      <c r="J207" s="2">
        <v>-7.2</v>
      </c>
      <c r="K207" s="2">
        <f t="shared" si="23"/>
        <v>-4.7</v>
      </c>
      <c r="L207" s="8">
        <f t="shared" si="27"/>
        <v>1.5135612484362034E-11</v>
      </c>
      <c r="M207" s="26"/>
      <c r="N207" s="17"/>
      <c r="O207" s="9">
        <f t="shared" si="25"/>
        <v>-7.2</v>
      </c>
      <c r="P207" s="8">
        <f>D206/B206*10^(O207/10)</f>
        <v>29.852217914757535</v>
      </c>
      <c r="Q207" s="26"/>
      <c r="R207" s="17"/>
      <c r="S207" s="19"/>
      <c r="T207" s="17"/>
      <c r="U207" s="22"/>
    </row>
    <row r="208" spans="1:21" x14ac:dyDescent="0.25">
      <c r="A208" s="24"/>
      <c r="B208" s="24"/>
      <c r="C208" s="17"/>
      <c r="D208" s="24"/>
      <c r="E208" s="24"/>
      <c r="F208" s="25"/>
      <c r="G208" s="1">
        <v>4025</v>
      </c>
      <c r="H208" s="2">
        <v>103.6</v>
      </c>
      <c r="I208" s="2">
        <v>-5.8</v>
      </c>
      <c r="J208" s="2">
        <v>-8.5</v>
      </c>
      <c r="K208" s="2">
        <f t="shared" si="23"/>
        <v>-5.8</v>
      </c>
      <c r="L208" s="8">
        <f t="shared" si="27"/>
        <v>1.1481536214968803E-11</v>
      </c>
      <c r="M208" s="26"/>
      <c r="N208" s="17"/>
      <c r="O208" s="9">
        <f t="shared" si="25"/>
        <v>-8.5</v>
      </c>
      <c r="P208" s="8">
        <f>D206/B206*10^(O208/10)</f>
        <v>22.129754865756482</v>
      </c>
      <c r="Q208" s="26"/>
      <c r="R208" s="17"/>
      <c r="S208" s="19"/>
      <c r="T208" s="17"/>
      <c r="U208" s="22"/>
    </row>
    <row r="209" spans="1:21" x14ac:dyDescent="0.25">
      <c r="A209" s="24"/>
      <c r="B209" s="24"/>
      <c r="C209" s="17"/>
      <c r="D209" s="24"/>
      <c r="E209" s="24"/>
      <c r="F209" s="25"/>
      <c r="G209" s="1">
        <v>4625</v>
      </c>
      <c r="H209" s="2">
        <v>105.6</v>
      </c>
      <c r="I209" s="2">
        <v>-2.8</v>
      </c>
      <c r="J209" s="2">
        <v>-6.5</v>
      </c>
      <c r="K209" s="2">
        <f t="shared" si="23"/>
        <v>-2.8</v>
      </c>
      <c r="L209" s="8">
        <f t="shared" si="27"/>
        <v>1.4454397707459232E-11</v>
      </c>
      <c r="M209" s="26"/>
      <c r="N209" s="17"/>
      <c r="O209" s="9">
        <f t="shared" si="25"/>
        <v>-6.5</v>
      </c>
      <c r="P209" s="8">
        <f>D206/B206*10^(O209/10)</f>
        <v>35.073297837570642</v>
      </c>
      <c r="Q209" s="26"/>
      <c r="R209" s="17"/>
      <c r="S209" s="19"/>
      <c r="T209" s="17"/>
      <c r="U209" s="22"/>
    </row>
    <row r="210" spans="1:21" x14ac:dyDescent="0.25">
      <c r="A210" s="24"/>
      <c r="B210" s="24"/>
      <c r="C210" s="17"/>
      <c r="D210" s="24"/>
      <c r="E210" s="24"/>
      <c r="F210" s="25"/>
      <c r="G210" s="1">
        <v>5225</v>
      </c>
      <c r="H210" s="2">
        <v>103.5</v>
      </c>
      <c r="I210" s="2">
        <v>-3.3</v>
      </c>
      <c r="J210" s="2">
        <v>-6.2</v>
      </c>
      <c r="K210" s="2">
        <f t="shared" si="23"/>
        <v>-3.3</v>
      </c>
      <c r="L210" s="8">
        <f t="shared" si="27"/>
        <v>2.0892961308540373E-11</v>
      </c>
      <c r="M210" s="26"/>
      <c r="N210" s="17"/>
      <c r="O210" s="9">
        <f t="shared" si="25"/>
        <v>-6.2</v>
      </c>
      <c r="P210" s="8">
        <f>D206/B206*10^(O210/10)</f>
        <v>37.581715731305344</v>
      </c>
      <c r="Q210" s="26"/>
      <c r="R210" s="17"/>
      <c r="S210" s="19"/>
      <c r="T210" s="17"/>
      <c r="U210" s="22"/>
    </row>
    <row r="211" spans="1:21" x14ac:dyDescent="0.25">
      <c r="A211" s="24"/>
      <c r="B211" s="24"/>
      <c r="C211" s="17"/>
      <c r="D211" s="24"/>
      <c r="E211" s="24"/>
      <c r="F211" s="25"/>
      <c r="G211" s="1">
        <v>5625</v>
      </c>
      <c r="H211" s="2">
        <v>99.5</v>
      </c>
      <c r="I211" s="2">
        <v>-4.0999999999999996</v>
      </c>
      <c r="J211" s="2">
        <v>-5.2</v>
      </c>
      <c r="K211" s="2">
        <f t="shared" si="23"/>
        <v>-4.0999999999999996</v>
      </c>
      <c r="L211" s="8">
        <f t="shared" si="27"/>
        <v>4.3651583224016577E-11</v>
      </c>
      <c r="M211" s="26"/>
      <c r="N211" s="17"/>
      <c r="O211" s="9">
        <f t="shared" si="25"/>
        <v>-5.2</v>
      </c>
      <c r="P211" s="8">
        <f>D206/B206*10^(O211/10)</f>
        <v>47.312576952964903</v>
      </c>
      <c r="Q211" s="26"/>
      <c r="R211" s="17"/>
      <c r="S211" s="20"/>
      <c r="T211" s="17"/>
      <c r="U211" s="23"/>
    </row>
    <row r="212" spans="1:21" x14ac:dyDescent="0.25">
      <c r="A212" s="24">
        <v>8000</v>
      </c>
      <c r="B212" s="24">
        <v>3</v>
      </c>
      <c r="C212" s="17">
        <v>0.5</v>
      </c>
      <c r="D212" s="24">
        <v>943</v>
      </c>
      <c r="E212" s="24">
        <v>6</v>
      </c>
      <c r="F212" s="25">
        <v>54</v>
      </c>
      <c r="G212" s="1">
        <v>6025</v>
      </c>
      <c r="H212" s="2">
        <v>95</v>
      </c>
      <c r="I212" s="2">
        <v>-5.1999999999999993</v>
      </c>
      <c r="J212" s="2">
        <v>-6.3</v>
      </c>
      <c r="K212" s="2">
        <f t="shared" si="23"/>
        <v>-5.1999999999999993</v>
      </c>
      <c r="L212" s="8">
        <f t="shared" si="27"/>
        <v>9.5499258602143585E-11</v>
      </c>
      <c r="M212" s="26">
        <f>SUM(L212:L217)</f>
        <v>4.5544827561630694E-9</v>
      </c>
      <c r="N212" s="17">
        <f>10*LOG10(M212/E212)</f>
        <v>-91.197121882622099</v>
      </c>
      <c r="O212" s="9">
        <f t="shared" si="25"/>
        <v>-6.3</v>
      </c>
      <c r="P212" s="8">
        <f>D212/B212*10^(O212/10)</f>
        <v>73.686925761556196</v>
      </c>
      <c r="Q212" s="26">
        <f>SUM(P212:P217)</f>
        <v>978.53616819324952</v>
      </c>
      <c r="R212" s="17">
        <f>10*LOG10(Q212)</f>
        <v>29.905768824789007</v>
      </c>
      <c r="S212" s="18">
        <f>F212+N212-Kzt-H</f>
        <v>-37.197121882622099</v>
      </c>
      <c r="T212" s="17">
        <v>0.7</v>
      </c>
      <c r="U212" s="21">
        <f>T212*10^((S212-R212)/10)</f>
        <v>1.3639830368953926E-7</v>
      </c>
    </row>
    <row r="213" spans="1:21" x14ac:dyDescent="0.25">
      <c r="A213" s="24"/>
      <c r="B213" s="24"/>
      <c r="C213" s="17"/>
      <c r="D213" s="24"/>
      <c r="E213" s="24"/>
      <c r="F213" s="25"/>
      <c r="G213" s="1">
        <v>7025</v>
      </c>
      <c r="H213" s="2">
        <v>94.8</v>
      </c>
      <c r="I213" s="2">
        <v>-5</v>
      </c>
      <c r="J213" s="2">
        <v>-5.5</v>
      </c>
      <c r="K213" s="2">
        <f t="shared" si="23"/>
        <v>-5</v>
      </c>
      <c r="L213" s="8">
        <f t="shared" si="27"/>
        <v>1.0471285480508951E-10</v>
      </c>
      <c r="M213" s="26"/>
      <c r="N213" s="17"/>
      <c r="O213" s="9">
        <f t="shared" si="25"/>
        <v>-5.5</v>
      </c>
      <c r="P213" s="8">
        <f>D212/B212*10^(O213/10)</f>
        <v>88.59117013941264</v>
      </c>
      <c r="Q213" s="26"/>
      <c r="R213" s="17"/>
      <c r="S213" s="19"/>
      <c r="T213" s="17"/>
      <c r="U213" s="22"/>
    </row>
    <row r="214" spans="1:21" x14ac:dyDescent="0.25">
      <c r="A214" s="24"/>
      <c r="B214" s="24"/>
      <c r="C214" s="17"/>
      <c r="D214" s="24"/>
      <c r="E214" s="24"/>
      <c r="F214" s="25"/>
      <c r="G214" s="1">
        <v>8025</v>
      </c>
      <c r="H214" s="2">
        <v>101.9</v>
      </c>
      <c r="I214" s="2">
        <v>-2</v>
      </c>
      <c r="J214" s="2">
        <v>-5</v>
      </c>
      <c r="K214" s="2">
        <f t="shared" si="23"/>
        <v>-2</v>
      </c>
      <c r="L214" s="8">
        <f t="shared" si="27"/>
        <v>4.0738027780411121E-11</v>
      </c>
      <c r="M214" s="26"/>
      <c r="N214" s="17"/>
      <c r="O214" s="9">
        <f t="shared" si="25"/>
        <v>-5</v>
      </c>
      <c r="P214" s="8">
        <f>D212/B212*10^(O214/10)</f>
        <v>99.400927784626049</v>
      </c>
      <c r="Q214" s="26"/>
      <c r="R214" s="17"/>
      <c r="S214" s="19"/>
      <c r="T214" s="17"/>
      <c r="U214" s="22"/>
    </row>
    <row r="215" spans="1:21" x14ac:dyDescent="0.25">
      <c r="A215" s="24"/>
      <c r="B215" s="24"/>
      <c r="C215" s="17"/>
      <c r="D215" s="24"/>
      <c r="E215" s="24"/>
      <c r="F215" s="25"/>
      <c r="G215" s="1">
        <v>9025</v>
      </c>
      <c r="H215" s="2">
        <v>93.2</v>
      </c>
      <c r="I215" s="2">
        <v>-1.2</v>
      </c>
      <c r="J215" s="2">
        <v>-2.1</v>
      </c>
      <c r="K215" s="2">
        <f t="shared" si="23"/>
        <v>-1.2</v>
      </c>
      <c r="L215" s="8">
        <f t="shared" si="27"/>
        <v>3.6307805477009923E-10</v>
      </c>
      <c r="M215" s="26"/>
      <c r="N215" s="17"/>
      <c r="O215" s="9">
        <f t="shared" si="25"/>
        <v>-2.1</v>
      </c>
      <c r="P215" s="8">
        <f>D212/B212*10^(O215/10)</f>
        <v>193.81636225179253</v>
      </c>
      <c r="Q215" s="26"/>
      <c r="R215" s="17"/>
      <c r="S215" s="19"/>
      <c r="T215" s="17"/>
      <c r="U215" s="22"/>
    </row>
    <row r="216" spans="1:21" x14ac:dyDescent="0.25">
      <c r="A216" s="24"/>
      <c r="B216" s="24"/>
      <c r="C216" s="17"/>
      <c r="D216" s="24"/>
      <c r="E216" s="24"/>
      <c r="F216" s="25"/>
      <c r="G216" s="1">
        <v>10025</v>
      </c>
      <c r="H216" s="2">
        <v>88.3</v>
      </c>
      <c r="I216" s="2">
        <v>0.49999999999999989</v>
      </c>
      <c r="J216" s="2">
        <v>-0.9</v>
      </c>
      <c r="K216" s="2">
        <f t="shared" si="23"/>
        <v>0.49999999999999989</v>
      </c>
      <c r="L216" s="8">
        <f t="shared" si="27"/>
        <v>1.6595869074375584E-9</v>
      </c>
      <c r="M216" s="26"/>
      <c r="N216" s="17"/>
      <c r="O216" s="9">
        <f t="shared" si="25"/>
        <v>-0.9</v>
      </c>
      <c r="P216" s="8">
        <f>D212/B212*10^(O216/10)</f>
        <v>255.49972558091517</v>
      </c>
      <c r="Q216" s="26"/>
      <c r="R216" s="17"/>
      <c r="S216" s="19"/>
      <c r="T216" s="17"/>
      <c r="U216" s="22"/>
    </row>
    <row r="217" spans="1:21" x14ac:dyDescent="0.25">
      <c r="A217" s="24"/>
      <c r="B217" s="24"/>
      <c r="C217" s="17"/>
      <c r="D217" s="24"/>
      <c r="E217" s="24"/>
      <c r="F217" s="25"/>
      <c r="G217" s="1">
        <v>11025</v>
      </c>
      <c r="H217" s="2">
        <v>86</v>
      </c>
      <c r="I217" s="2">
        <v>-0.39999999999999997</v>
      </c>
      <c r="J217" s="2">
        <v>-0.7</v>
      </c>
      <c r="K217" s="2">
        <f t="shared" si="23"/>
        <v>-0.39999999999999997</v>
      </c>
      <c r="L217" s="8">
        <f t="shared" si="27"/>
        <v>2.2908676527677671E-9</v>
      </c>
      <c r="M217" s="26"/>
      <c r="N217" s="17"/>
      <c r="O217" s="9">
        <f t="shared" si="25"/>
        <v>-0.7</v>
      </c>
      <c r="P217" s="8">
        <f>D212/B212*10^(O217/10)</f>
        <v>267.54105667494696</v>
      </c>
      <c r="Q217" s="26"/>
      <c r="R217" s="17"/>
      <c r="S217" s="20"/>
      <c r="T217" s="17"/>
      <c r="U217" s="23"/>
    </row>
    <row r="218" spans="1:21" x14ac:dyDescent="0.25">
      <c r="A218" s="24" t="s">
        <v>20</v>
      </c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12">
        <f>U218</f>
        <v>6.4592281511520799E-2</v>
      </c>
      <c r="T218" s="2"/>
      <c r="U218" s="8">
        <f>0.8*SQRT(SUM(U184:U217))</f>
        <v>6.4592281511520799E-2</v>
      </c>
    </row>
    <row r="219" spans="1:21" x14ac:dyDescent="0.25">
      <c r="A219" s="27" t="s">
        <v>78</v>
      </c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9"/>
    </row>
    <row r="220" spans="1:21" x14ac:dyDescent="0.25">
      <c r="A220" s="24">
        <v>250</v>
      </c>
      <c r="B220" s="24">
        <v>3</v>
      </c>
      <c r="C220" s="17">
        <v>0.5</v>
      </c>
      <c r="D220" s="24">
        <v>38</v>
      </c>
      <c r="E220" s="24">
        <v>4</v>
      </c>
      <c r="F220" s="25">
        <v>84</v>
      </c>
      <c r="G220" s="1">
        <v>175</v>
      </c>
      <c r="H220" s="2">
        <v>84.8</v>
      </c>
      <c r="I220" s="2">
        <v>-8.1</v>
      </c>
      <c r="J220" s="2">
        <v>-9</v>
      </c>
      <c r="K220" s="2">
        <f>I220</f>
        <v>-8.1</v>
      </c>
      <c r="L220" s="8">
        <f>10^((K220-H220)/10)</f>
        <v>5.128613839913648E-10</v>
      </c>
      <c r="M220" s="26">
        <f>SUM(L220:L223)</f>
        <v>1.0450805976112007E-9</v>
      </c>
      <c r="N220" s="17">
        <f>10*LOG10(M220/E220)</f>
        <v>-95.829102063851678</v>
      </c>
      <c r="O220" s="9">
        <f>J220</f>
        <v>-9</v>
      </c>
      <c r="P220" s="8">
        <f>D220/B220*10^(O220/10)</f>
        <v>1.5946388549392778</v>
      </c>
      <c r="Q220" s="26">
        <f>SUM(P220:P223)</f>
        <v>6.8920859369334302</v>
      </c>
      <c r="R220" s="17">
        <f>10*LOG10(Q220)</f>
        <v>8.3835068399701491</v>
      </c>
      <c r="S220" s="18">
        <f>F220+N220-Kzt-H</f>
        <v>-11.829102063851678</v>
      </c>
      <c r="T220" s="17">
        <v>0.2</v>
      </c>
      <c r="U220" s="21">
        <f>T220*10^((S220-R220)/10)</f>
        <v>1.9044479399958894E-3</v>
      </c>
    </row>
    <row r="221" spans="1:21" x14ac:dyDescent="0.25">
      <c r="A221" s="24"/>
      <c r="B221" s="24"/>
      <c r="C221" s="17"/>
      <c r="D221" s="24"/>
      <c r="E221" s="24"/>
      <c r="F221" s="25"/>
      <c r="G221" s="1">
        <v>225</v>
      </c>
      <c r="H221" s="2">
        <v>90</v>
      </c>
      <c r="I221" s="2">
        <v>-8.1</v>
      </c>
      <c r="J221" s="2">
        <v>-8.9</v>
      </c>
      <c r="K221" s="2">
        <f t="shared" ref="K221:K253" si="28">I221</f>
        <v>-8.1</v>
      </c>
      <c r="L221" s="8">
        <f t="shared" ref="L221:L222" si="29">10^((K221-H221)/10)</f>
        <v>1.5488166189124834E-10</v>
      </c>
      <c r="M221" s="26"/>
      <c r="N221" s="17"/>
      <c r="O221" s="9">
        <f t="shared" ref="O221:O253" si="30">J221</f>
        <v>-8.9</v>
      </c>
      <c r="P221" s="8">
        <f>D220/B220*10^(O221/10)</f>
        <v>1.6317827654779691</v>
      </c>
      <c r="Q221" s="26"/>
      <c r="R221" s="17"/>
      <c r="S221" s="19"/>
      <c r="T221" s="17"/>
      <c r="U221" s="22"/>
    </row>
    <row r="222" spans="1:21" x14ac:dyDescent="0.25">
      <c r="A222" s="24"/>
      <c r="B222" s="24"/>
      <c r="C222" s="17"/>
      <c r="D222" s="24"/>
      <c r="E222" s="24"/>
      <c r="F222" s="25"/>
      <c r="G222" s="1">
        <v>275</v>
      </c>
      <c r="H222" s="2">
        <v>92.2</v>
      </c>
      <c r="I222" s="2">
        <v>-3.3</v>
      </c>
      <c r="J222" s="2">
        <v>-8.6</v>
      </c>
      <c r="K222" s="2">
        <f t="shared" si="28"/>
        <v>-3.3</v>
      </c>
      <c r="L222" s="8">
        <f t="shared" si="29"/>
        <v>2.8183829312644407E-10</v>
      </c>
      <c r="M222" s="26"/>
      <c r="N222" s="17"/>
      <c r="O222" s="9">
        <f t="shared" si="30"/>
        <v>-8.6</v>
      </c>
      <c r="P222" s="8">
        <f>D220/B220*10^(O222/10)</f>
        <v>1.7484867351636535</v>
      </c>
      <c r="Q222" s="26"/>
      <c r="R222" s="17"/>
      <c r="S222" s="19"/>
      <c r="T222" s="17"/>
      <c r="U222" s="22"/>
    </row>
    <row r="223" spans="1:21" x14ac:dyDescent="0.25">
      <c r="A223" s="24"/>
      <c r="B223" s="24"/>
      <c r="C223" s="17"/>
      <c r="D223" s="24"/>
      <c r="E223" s="24"/>
      <c r="F223" s="25"/>
      <c r="G223" s="1">
        <v>325</v>
      </c>
      <c r="H223" s="2">
        <v>93.3</v>
      </c>
      <c r="I223" s="2">
        <v>-6.8999999999999995</v>
      </c>
      <c r="J223" s="2">
        <v>-8.1999999999999993</v>
      </c>
      <c r="K223" s="2">
        <f t="shared" si="28"/>
        <v>-6.8999999999999995</v>
      </c>
      <c r="L223" s="8">
        <f>10^((K223-H223)/10)</f>
        <v>9.5499258602143585E-11</v>
      </c>
      <c r="M223" s="26"/>
      <c r="N223" s="17"/>
      <c r="O223" s="9">
        <f t="shared" si="30"/>
        <v>-8.1999999999999993</v>
      </c>
      <c r="P223" s="8">
        <f>D220/B220*10^(O223/10)</f>
        <v>1.91717758135253</v>
      </c>
      <c r="Q223" s="26"/>
      <c r="R223" s="17"/>
      <c r="S223" s="20"/>
      <c r="T223" s="17"/>
      <c r="U223" s="23"/>
    </row>
    <row r="224" spans="1:21" x14ac:dyDescent="0.25">
      <c r="A224" s="24">
        <v>500</v>
      </c>
      <c r="B224" s="24">
        <v>3</v>
      </c>
      <c r="C224" s="17">
        <v>0.5</v>
      </c>
      <c r="D224" s="24">
        <v>59</v>
      </c>
      <c r="E224" s="24">
        <v>6</v>
      </c>
      <c r="F224" s="25">
        <v>84</v>
      </c>
      <c r="G224" s="1">
        <v>375</v>
      </c>
      <c r="H224" s="2">
        <v>91.9</v>
      </c>
      <c r="I224" s="2">
        <v>-9.1</v>
      </c>
      <c r="J224" s="2">
        <v>-9.6</v>
      </c>
      <c r="K224" s="2">
        <f t="shared" si="28"/>
        <v>-9.1</v>
      </c>
      <c r="L224" s="8">
        <f t="shared" ref="L224:L225" si="31">10^((K224-H224)/10)</f>
        <v>7.943282347242792E-11</v>
      </c>
      <c r="M224" s="26">
        <f>SUM(L224:L229)</f>
        <v>9.1133483790457351E-10</v>
      </c>
      <c r="N224" s="17">
        <f>10*LOG10(M224/E224)</f>
        <v>-98.184732778710099</v>
      </c>
      <c r="O224" s="9">
        <f t="shared" si="30"/>
        <v>-9.6</v>
      </c>
      <c r="P224" s="8">
        <f>D224/B224*10^(O224/10)</f>
        <v>2.1564071190815972</v>
      </c>
      <c r="Q224" s="26">
        <f>SUM(P224:P229)</f>
        <v>13.223112767770429</v>
      </c>
      <c r="R224" s="17">
        <f>10*LOG10(Q224)</f>
        <v>11.213337016501949</v>
      </c>
      <c r="S224" s="18">
        <f>F224+N224-Kzt-H</f>
        <v>-14.184732778710099</v>
      </c>
      <c r="T224" s="17">
        <v>0.5</v>
      </c>
      <c r="U224" s="21">
        <f>T224*10^((S224-R224)/10)</f>
        <v>1.4426567922506805E-3</v>
      </c>
    </row>
    <row r="225" spans="1:21" x14ac:dyDescent="0.25">
      <c r="A225" s="24"/>
      <c r="B225" s="24"/>
      <c r="C225" s="17"/>
      <c r="D225" s="24"/>
      <c r="E225" s="24"/>
      <c r="F225" s="25"/>
      <c r="G225" s="1">
        <v>425</v>
      </c>
      <c r="H225" s="2">
        <v>88.1</v>
      </c>
      <c r="I225" s="2">
        <v>-7.4</v>
      </c>
      <c r="J225" s="2">
        <v>-8.9</v>
      </c>
      <c r="K225" s="2">
        <f t="shared" si="28"/>
        <v>-7.4</v>
      </c>
      <c r="L225" s="8">
        <f t="shared" si="31"/>
        <v>2.8183829312644407E-10</v>
      </c>
      <c r="M225" s="26"/>
      <c r="N225" s="17"/>
      <c r="O225" s="9">
        <f t="shared" si="30"/>
        <v>-8.9</v>
      </c>
      <c r="P225" s="8">
        <f>D224/B224*10^(O225/10)</f>
        <v>2.5335574516631629</v>
      </c>
      <c r="Q225" s="26"/>
      <c r="R225" s="17"/>
      <c r="S225" s="19"/>
      <c r="T225" s="17"/>
      <c r="U225" s="22"/>
    </row>
    <row r="226" spans="1:21" x14ac:dyDescent="0.25">
      <c r="A226" s="24"/>
      <c r="B226" s="24"/>
      <c r="C226" s="17"/>
      <c r="D226" s="24"/>
      <c r="E226" s="24"/>
      <c r="F226" s="25"/>
      <c r="G226" s="1">
        <v>475</v>
      </c>
      <c r="H226" s="2">
        <v>90</v>
      </c>
      <c r="I226" s="2">
        <v>-6.5</v>
      </c>
      <c r="J226" s="2">
        <v>-9.4</v>
      </c>
      <c r="K226" s="2">
        <f t="shared" si="28"/>
        <v>-6.5</v>
      </c>
      <c r="L226" s="8">
        <f>10^((K226-H226)/10)</f>
        <v>2.238721138568331E-10</v>
      </c>
      <c r="M226" s="26"/>
      <c r="N226" s="17"/>
      <c r="O226" s="9">
        <f t="shared" si="30"/>
        <v>-9.4</v>
      </c>
      <c r="P226" s="8">
        <f>D224/B224*10^(O226/10)</f>
        <v>2.258035455610536</v>
      </c>
      <c r="Q226" s="26"/>
      <c r="R226" s="17"/>
      <c r="S226" s="19"/>
      <c r="T226" s="17"/>
      <c r="U226" s="22"/>
    </row>
    <row r="227" spans="1:21" x14ac:dyDescent="0.25">
      <c r="A227" s="24"/>
      <c r="B227" s="24"/>
      <c r="C227" s="17"/>
      <c r="D227" s="24"/>
      <c r="E227" s="24"/>
      <c r="F227" s="25"/>
      <c r="G227" s="1">
        <v>575</v>
      </c>
      <c r="H227" s="2">
        <v>97</v>
      </c>
      <c r="I227" s="2">
        <v>-8.6</v>
      </c>
      <c r="J227" s="2">
        <v>-9.6</v>
      </c>
      <c r="K227" s="2">
        <f t="shared" si="28"/>
        <v>-8.6</v>
      </c>
      <c r="L227" s="8">
        <f t="shared" ref="L227:L253" si="32">10^((K227-H227)/10)</f>
        <v>2.7542287033381702E-11</v>
      </c>
      <c r="M227" s="26"/>
      <c r="N227" s="17"/>
      <c r="O227" s="9">
        <f t="shared" si="30"/>
        <v>-9.6</v>
      </c>
      <c r="P227" s="8">
        <f>D224/B224*10^(O227/10)</f>
        <v>2.1564071190815972</v>
      </c>
      <c r="Q227" s="26"/>
      <c r="R227" s="17"/>
      <c r="S227" s="19"/>
      <c r="T227" s="17"/>
      <c r="U227" s="22"/>
    </row>
    <row r="228" spans="1:21" x14ac:dyDescent="0.25">
      <c r="A228" s="24"/>
      <c r="B228" s="24"/>
      <c r="C228" s="17"/>
      <c r="D228" s="24"/>
      <c r="E228" s="24"/>
      <c r="F228" s="25"/>
      <c r="G228" s="1">
        <v>625</v>
      </c>
      <c r="H228" s="2">
        <v>92</v>
      </c>
      <c r="I228" s="2">
        <v>-6.9</v>
      </c>
      <c r="J228" s="2">
        <v>-9.8000000000000007</v>
      </c>
      <c r="K228" s="2">
        <f t="shared" si="28"/>
        <v>-6.9</v>
      </c>
      <c r="L228" s="8">
        <f t="shared" si="32"/>
        <v>1.2882495516931275E-10</v>
      </c>
      <c r="M228" s="26"/>
      <c r="N228" s="17"/>
      <c r="O228" s="9">
        <f t="shared" si="30"/>
        <v>-9.8000000000000007</v>
      </c>
      <c r="P228" s="8">
        <f>D224/B224*10^(O228/10)</f>
        <v>2.059352811166768</v>
      </c>
      <c r="Q228" s="26"/>
      <c r="R228" s="17"/>
      <c r="S228" s="19"/>
      <c r="T228" s="17"/>
      <c r="U228" s="22"/>
    </row>
    <row r="229" spans="1:21" x14ac:dyDescent="0.25">
      <c r="A229" s="24"/>
      <c r="B229" s="24"/>
      <c r="C229" s="17"/>
      <c r="D229" s="24"/>
      <c r="E229" s="24"/>
      <c r="F229" s="25"/>
      <c r="G229" s="1">
        <v>675</v>
      </c>
      <c r="H229" s="2">
        <v>94.5</v>
      </c>
      <c r="I229" s="2">
        <v>-3.2</v>
      </c>
      <c r="J229" s="2">
        <v>-9.8000000000000007</v>
      </c>
      <c r="K229" s="2">
        <f t="shared" si="28"/>
        <v>-3.2</v>
      </c>
      <c r="L229" s="8">
        <f t="shared" si="32"/>
        <v>1.6982436524617399E-10</v>
      </c>
      <c r="M229" s="26"/>
      <c r="N229" s="17"/>
      <c r="O229" s="9">
        <f t="shared" si="30"/>
        <v>-9.8000000000000007</v>
      </c>
      <c r="P229" s="8">
        <f>D224/B224*10^(O229/10)</f>
        <v>2.059352811166768</v>
      </c>
      <c r="Q229" s="26"/>
      <c r="R229" s="17"/>
      <c r="S229" s="20"/>
      <c r="T229" s="17"/>
      <c r="U229" s="23"/>
    </row>
    <row r="230" spans="1:21" x14ac:dyDescent="0.25">
      <c r="A230" s="24">
        <v>1000</v>
      </c>
      <c r="B230" s="24">
        <v>3</v>
      </c>
      <c r="C230" s="17">
        <v>0.5</v>
      </c>
      <c r="D230" s="24">
        <v>117</v>
      </c>
      <c r="E230" s="24">
        <v>6</v>
      </c>
      <c r="F230" s="25">
        <v>76</v>
      </c>
      <c r="G230" s="1">
        <v>875</v>
      </c>
      <c r="H230" s="2">
        <v>91.1</v>
      </c>
      <c r="I230" s="2">
        <v>-3.8</v>
      </c>
      <c r="J230" s="2">
        <v>-8.1</v>
      </c>
      <c r="K230" s="2">
        <f t="shared" si="28"/>
        <v>-3.8</v>
      </c>
      <c r="L230" s="8">
        <f t="shared" si="32"/>
        <v>3.235936569296289E-10</v>
      </c>
      <c r="M230" s="26">
        <f>SUM(L230:L235)</f>
        <v>6.0047980419944317E-10</v>
      </c>
      <c r="N230" s="17">
        <f>10*LOG10(M230/E230)</f>
        <v>-99.996528449265384</v>
      </c>
      <c r="O230" s="9">
        <f t="shared" si="30"/>
        <v>-8.1</v>
      </c>
      <c r="P230" s="8">
        <f>D230/B230*10^(O230/10)</f>
        <v>6.0403848137586769</v>
      </c>
      <c r="Q230" s="26">
        <f>SUM(P230:P235)</f>
        <v>29.841398876311899</v>
      </c>
      <c r="R230" s="17">
        <f>10*LOG10(Q230)</f>
        <v>14.748191777156256</v>
      </c>
      <c r="S230" s="18">
        <f>F230+N230-Kzt-H</f>
        <v>-23.996528449265384</v>
      </c>
      <c r="T230" s="17">
        <v>0.8</v>
      </c>
      <c r="U230" s="21">
        <f>T230*10^((S230-R230)/10)</f>
        <v>1.068114877657967E-4</v>
      </c>
    </row>
    <row r="231" spans="1:21" x14ac:dyDescent="0.25">
      <c r="A231" s="24"/>
      <c r="B231" s="24"/>
      <c r="C231" s="17"/>
      <c r="D231" s="24"/>
      <c r="E231" s="24"/>
      <c r="F231" s="25"/>
      <c r="G231" s="1">
        <v>975</v>
      </c>
      <c r="H231" s="2">
        <v>96.5</v>
      </c>
      <c r="I231" s="2">
        <v>-1.4</v>
      </c>
      <c r="J231" s="2">
        <v>-9.8000000000000007</v>
      </c>
      <c r="K231" s="2">
        <f t="shared" si="28"/>
        <v>-1.4</v>
      </c>
      <c r="L231" s="8">
        <f t="shared" si="32"/>
        <v>1.6218100973589201E-10</v>
      </c>
      <c r="M231" s="26"/>
      <c r="N231" s="17"/>
      <c r="O231" s="9">
        <f t="shared" si="30"/>
        <v>-9.8000000000000007</v>
      </c>
      <c r="P231" s="8">
        <f>D230/B230*10^(O231/10)</f>
        <v>4.0838013373985067</v>
      </c>
      <c r="Q231" s="26"/>
      <c r="R231" s="17"/>
      <c r="S231" s="19"/>
      <c r="T231" s="17"/>
      <c r="U231" s="22"/>
    </row>
    <row r="232" spans="1:21" x14ac:dyDescent="0.25">
      <c r="A232" s="24"/>
      <c r="B232" s="24"/>
      <c r="C232" s="17"/>
      <c r="D232" s="24"/>
      <c r="E232" s="24"/>
      <c r="F232" s="25"/>
      <c r="G232" s="1">
        <v>1075</v>
      </c>
      <c r="H232" s="2">
        <v>94.6</v>
      </c>
      <c r="I232" s="2">
        <v>-8.9</v>
      </c>
      <c r="J232" s="2">
        <v>-9.6</v>
      </c>
      <c r="K232" s="2">
        <f t="shared" si="28"/>
        <v>-8.9</v>
      </c>
      <c r="L232" s="8">
        <f t="shared" si="32"/>
        <v>4.4668359215096281E-11</v>
      </c>
      <c r="M232" s="26"/>
      <c r="N232" s="17"/>
      <c r="O232" s="9">
        <f t="shared" si="30"/>
        <v>-9.6</v>
      </c>
      <c r="P232" s="8">
        <f>D230/B230*10^(O232/10)</f>
        <v>4.276264964958421</v>
      </c>
      <c r="Q232" s="26"/>
      <c r="R232" s="17"/>
      <c r="S232" s="19"/>
      <c r="T232" s="17"/>
      <c r="U232" s="22"/>
    </row>
    <row r="233" spans="1:21" x14ac:dyDescent="0.25">
      <c r="A233" s="24"/>
      <c r="B233" s="24"/>
      <c r="C233" s="17"/>
      <c r="D233" s="24"/>
      <c r="E233" s="24"/>
      <c r="F233" s="25"/>
      <c r="G233" s="1">
        <v>1175</v>
      </c>
      <c r="H233" s="2">
        <v>97.8</v>
      </c>
      <c r="I233" s="2">
        <v>-7.4</v>
      </c>
      <c r="J233" s="2">
        <v>-7.7</v>
      </c>
      <c r="K233" s="2">
        <f t="shared" si="28"/>
        <v>-7.4</v>
      </c>
      <c r="L233" s="8">
        <f t="shared" si="32"/>
        <v>3.0199517204020087E-11</v>
      </c>
      <c r="M233" s="26"/>
      <c r="N233" s="17"/>
      <c r="O233" s="9">
        <f t="shared" si="30"/>
        <v>-7.7</v>
      </c>
      <c r="P233" s="8">
        <f>D230/B230*10^(O233/10)</f>
        <v>6.6231502446008026</v>
      </c>
      <c r="Q233" s="26"/>
      <c r="R233" s="17"/>
      <c r="S233" s="19"/>
      <c r="T233" s="17"/>
      <c r="U233" s="22"/>
    </row>
    <row r="234" spans="1:21" x14ac:dyDescent="0.25">
      <c r="A234" s="24"/>
      <c r="B234" s="24"/>
      <c r="C234" s="17"/>
      <c r="D234" s="24"/>
      <c r="E234" s="24"/>
      <c r="F234" s="25"/>
      <c r="G234" s="1">
        <v>1275</v>
      </c>
      <c r="H234" s="2">
        <v>100.1</v>
      </c>
      <c r="I234" s="2">
        <v>-7.9</v>
      </c>
      <c r="J234" s="2">
        <v>-10.4</v>
      </c>
      <c r="K234" s="2">
        <f t="shared" si="28"/>
        <v>-7.9</v>
      </c>
      <c r="L234" s="8">
        <f t="shared" si="32"/>
        <v>1.5848931924611082E-11</v>
      </c>
      <c r="M234" s="26"/>
      <c r="N234" s="17"/>
      <c r="O234" s="9">
        <f t="shared" si="30"/>
        <v>-10.4</v>
      </c>
      <c r="P234" s="8">
        <f>D230/B230*10^(O234/10)</f>
        <v>3.5568422734880465</v>
      </c>
      <c r="Q234" s="26"/>
      <c r="R234" s="17"/>
      <c r="S234" s="19"/>
      <c r="T234" s="17"/>
      <c r="U234" s="22"/>
    </row>
    <row r="235" spans="1:21" x14ac:dyDescent="0.25">
      <c r="A235" s="24"/>
      <c r="B235" s="24"/>
      <c r="C235" s="17"/>
      <c r="D235" s="24"/>
      <c r="E235" s="24"/>
      <c r="F235" s="25"/>
      <c r="G235" s="1">
        <v>1375</v>
      </c>
      <c r="H235" s="2">
        <v>103</v>
      </c>
      <c r="I235" s="2">
        <v>-3.2</v>
      </c>
      <c r="J235" s="2">
        <v>-8.6999999999999993</v>
      </c>
      <c r="K235" s="2">
        <f t="shared" si="28"/>
        <v>-3.2</v>
      </c>
      <c r="L235" s="8">
        <f t="shared" si="32"/>
        <v>2.3988329190194783E-11</v>
      </c>
      <c r="M235" s="26"/>
      <c r="N235" s="17"/>
      <c r="O235" s="9">
        <f t="shared" si="30"/>
        <v>-8.6999999999999993</v>
      </c>
      <c r="P235" s="8">
        <f>D230/B230*10^(O235/10)</f>
        <v>5.2609552421074479</v>
      </c>
      <c r="Q235" s="26"/>
      <c r="R235" s="17"/>
      <c r="S235" s="20"/>
      <c r="T235" s="17"/>
      <c r="U235" s="23"/>
    </row>
    <row r="236" spans="1:21" x14ac:dyDescent="0.25">
      <c r="A236" s="24">
        <v>2000</v>
      </c>
      <c r="B236" s="24">
        <v>3</v>
      </c>
      <c r="C236" s="17">
        <v>0.5</v>
      </c>
      <c r="D236" s="24">
        <v>234</v>
      </c>
      <c r="E236" s="24">
        <v>6</v>
      </c>
      <c r="F236" s="25">
        <v>68</v>
      </c>
      <c r="G236" s="1">
        <v>1425</v>
      </c>
      <c r="H236" s="2">
        <v>102.8</v>
      </c>
      <c r="I236" s="2">
        <v>-6.9</v>
      </c>
      <c r="J236" s="2">
        <v>-8.5</v>
      </c>
      <c r="K236" s="2">
        <f t="shared" si="28"/>
        <v>-6.9</v>
      </c>
      <c r="L236" s="8">
        <f t="shared" si="32"/>
        <v>1.0715193052376007E-11</v>
      </c>
      <c r="M236" s="26">
        <f>SUM(L236:L241)</f>
        <v>1.9546951040886365E-10</v>
      </c>
      <c r="N236" s="17">
        <f>10*LOG10(M236/E236)</f>
        <v>-104.87072225193153</v>
      </c>
      <c r="O236" s="9">
        <f t="shared" si="30"/>
        <v>-8.5</v>
      </c>
      <c r="P236" s="8">
        <f>D236/B236*10^(O236/10)</f>
        <v>11.017792848057482</v>
      </c>
      <c r="Q236" s="26">
        <f>SUM(P236:P241)</f>
        <v>81.174893442240489</v>
      </c>
      <c r="R236" s="17">
        <f>10*LOG10(Q236)</f>
        <v>19.094217272028455</v>
      </c>
      <c r="S236" s="18">
        <f>F236+N236-Kzt-H</f>
        <v>-36.870722251931525</v>
      </c>
      <c r="T236" s="17">
        <v>1</v>
      </c>
      <c r="U236" s="21">
        <f>T236*10^((S236-R236)/10)</f>
        <v>2.5322468968843705E-6</v>
      </c>
    </row>
    <row r="237" spans="1:21" x14ac:dyDescent="0.25">
      <c r="A237" s="24"/>
      <c r="B237" s="24"/>
      <c r="C237" s="17"/>
      <c r="D237" s="24"/>
      <c r="E237" s="24"/>
      <c r="F237" s="25"/>
      <c r="G237" s="1">
        <v>1625</v>
      </c>
      <c r="H237" s="2">
        <v>104.1</v>
      </c>
      <c r="I237" s="2">
        <v>-5.3999999999999995</v>
      </c>
      <c r="J237" s="2">
        <v>-6.3</v>
      </c>
      <c r="K237" s="2">
        <f t="shared" si="28"/>
        <v>-5.3999999999999995</v>
      </c>
      <c r="L237" s="8">
        <f t="shared" si="32"/>
        <v>1.1220184543019613E-11</v>
      </c>
      <c r="M237" s="26"/>
      <c r="N237" s="17"/>
      <c r="O237" s="9">
        <f t="shared" si="30"/>
        <v>-6.3</v>
      </c>
      <c r="P237" s="8">
        <f>D236/B236*10^(O237/10)</f>
        <v>18.284984759495391</v>
      </c>
      <c r="Q237" s="26"/>
      <c r="R237" s="17"/>
      <c r="S237" s="19"/>
      <c r="T237" s="17"/>
      <c r="U237" s="22"/>
    </row>
    <row r="238" spans="1:21" x14ac:dyDescent="0.25">
      <c r="A238" s="24"/>
      <c r="B238" s="24"/>
      <c r="C238" s="17"/>
      <c r="D238" s="24"/>
      <c r="E238" s="24"/>
      <c r="F238" s="25"/>
      <c r="G238" s="1">
        <v>1825</v>
      </c>
      <c r="H238" s="2">
        <v>107.6</v>
      </c>
      <c r="I238" s="2">
        <v>-5.5</v>
      </c>
      <c r="J238" s="2">
        <v>-7</v>
      </c>
      <c r="K238" s="2">
        <f t="shared" si="28"/>
        <v>-5.5</v>
      </c>
      <c r="L238" s="8">
        <f t="shared" si="32"/>
        <v>4.8977881936844688E-12</v>
      </c>
      <c r="M238" s="26"/>
      <c r="N238" s="17"/>
      <c r="O238" s="9">
        <f t="shared" si="30"/>
        <v>-7</v>
      </c>
      <c r="P238" s="8">
        <f>D236/B236*10^(O238/10)</f>
        <v>15.56304605675726</v>
      </c>
      <c r="Q238" s="26"/>
      <c r="R238" s="17"/>
      <c r="S238" s="19"/>
      <c r="T238" s="17"/>
      <c r="U238" s="22"/>
    </row>
    <row r="239" spans="1:21" x14ac:dyDescent="0.25">
      <c r="A239" s="24"/>
      <c r="B239" s="24"/>
      <c r="C239" s="17"/>
      <c r="D239" s="24"/>
      <c r="E239" s="24"/>
      <c r="F239" s="25"/>
      <c r="G239" s="1">
        <v>2125</v>
      </c>
      <c r="H239" s="2">
        <v>104.2</v>
      </c>
      <c r="I239" s="2">
        <v>-7.8</v>
      </c>
      <c r="J239" s="2">
        <v>-8.6</v>
      </c>
      <c r="K239" s="2">
        <f t="shared" si="28"/>
        <v>-7.8</v>
      </c>
      <c r="L239" s="8">
        <f t="shared" si="32"/>
        <v>6.3095734448019345E-12</v>
      </c>
      <c r="M239" s="26"/>
      <c r="N239" s="17"/>
      <c r="O239" s="9">
        <f t="shared" si="30"/>
        <v>-8.6</v>
      </c>
      <c r="P239" s="8">
        <f>D236/B236*10^(O239/10)</f>
        <v>10.766997263902498</v>
      </c>
      <c r="Q239" s="26"/>
      <c r="R239" s="17"/>
      <c r="S239" s="19"/>
      <c r="T239" s="17"/>
      <c r="U239" s="22"/>
    </row>
    <row r="240" spans="1:21" x14ac:dyDescent="0.25">
      <c r="A240" s="24"/>
      <c r="B240" s="24"/>
      <c r="C240" s="17"/>
      <c r="D240" s="24"/>
      <c r="E240" s="24"/>
      <c r="F240" s="25"/>
      <c r="G240" s="1">
        <v>2425</v>
      </c>
      <c r="H240" s="2">
        <v>93.7</v>
      </c>
      <c r="I240" s="2">
        <v>-4.7</v>
      </c>
      <c r="J240" s="2">
        <v>-8.5</v>
      </c>
      <c r="K240" s="2">
        <f t="shared" si="28"/>
        <v>-4.7</v>
      </c>
      <c r="L240" s="8">
        <f t="shared" si="32"/>
        <v>1.4454397707459247E-10</v>
      </c>
      <c r="M240" s="26"/>
      <c r="N240" s="17"/>
      <c r="O240" s="9">
        <f t="shared" si="30"/>
        <v>-8.5</v>
      </c>
      <c r="P240" s="8">
        <f>D236/B236*10^(O240/10)</f>
        <v>11.017792848057482</v>
      </c>
      <c r="Q240" s="26"/>
      <c r="R240" s="17"/>
      <c r="S240" s="19"/>
      <c r="T240" s="17"/>
      <c r="U240" s="22"/>
    </row>
    <row r="241" spans="1:21" x14ac:dyDescent="0.25">
      <c r="A241" s="24"/>
      <c r="B241" s="24"/>
      <c r="C241" s="17"/>
      <c r="D241" s="24"/>
      <c r="E241" s="24"/>
      <c r="F241" s="25"/>
      <c r="G241" s="1">
        <v>2775</v>
      </c>
      <c r="H241" s="2">
        <v>100.2</v>
      </c>
      <c r="I241" s="2">
        <v>-7.3</v>
      </c>
      <c r="J241" s="2">
        <v>-7.3</v>
      </c>
      <c r="K241" s="2">
        <f t="shared" si="28"/>
        <v>-7.3</v>
      </c>
      <c r="L241" s="8">
        <f t="shared" si="32"/>
        <v>1.7782794100389159E-11</v>
      </c>
      <c r="M241" s="26"/>
      <c r="N241" s="17"/>
      <c r="O241" s="9">
        <f t="shared" si="30"/>
        <v>-7.3</v>
      </c>
      <c r="P241" s="8">
        <f>D236/B236*10^(O241/10)</f>
        <v>14.524279665970363</v>
      </c>
      <c r="Q241" s="26"/>
      <c r="R241" s="17"/>
      <c r="S241" s="20"/>
      <c r="T241" s="17"/>
      <c r="U241" s="23"/>
    </row>
    <row r="242" spans="1:21" x14ac:dyDescent="0.25">
      <c r="A242" s="24">
        <v>4000</v>
      </c>
      <c r="B242" s="24">
        <v>3</v>
      </c>
      <c r="C242" s="17">
        <v>0.5</v>
      </c>
      <c r="D242" s="24">
        <v>470</v>
      </c>
      <c r="E242" s="24">
        <v>6</v>
      </c>
      <c r="F242" s="25">
        <v>62</v>
      </c>
      <c r="G242" s="1">
        <v>2825</v>
      </c>
      <c r="H242" s="2">
        <v>99.4</v>
      </c>
      <c r="I242" s="2">
        <v>-4.3</v>
      </c>
      <c r="J242" s="2">
        <v>-5.8</v>
      </c>
      <c r="K242" s="2">
        <f t="shared" si="28"/>
        <v>-4.3</v>
      </c>
      <c r="L242" s="8">
        <f t="shared" si="32"/>
        <v>4.2657951880159099E-11</v>
      </c>
      <c r="M242" s="26">
        <f>SUM(L242:L247)</f>
        <v>2.0606127148715799E-10</v>
      </c>
      <c r="N242" s="17">
        <f>10*LOG10(M242/E242)</f>
        <v>-104.64154875100849</v>
      </c>
      <c r="O242" s="9">
        <f t="shared" si="30"/>
        <v>-5.8</v>
      </c>
      <c r="P242" s="8">
        <f>D242/B242*10^(O242/10)</f>
        <v>41.207531873027648</v>
      </c>
      <c r="Q242" s="26">
        <f>SUM(P242:P247)</f>
        <v>338.97670264661423</v>
      </c>
      <c r="R242" s="17">
        <f>10*LOG10(Q242)</f>
        <v>25.301698508293214</v>
      </c>
      <c r="S242" s="18">
        <f>F242+N242-Kzt-H</f>
        <v>-42.641548751008486</v>
      </c>
      <c r="T242" s="17">
        <v>0.9</v>
      </c>
      <c r="U242" s="21">
        <f>T242*10^((S242-R242)/10)</f>
        <v>1.4451661597685647E-7</v>
      </c>
    </row>
    <row r="243" spans="1:21" x14ac:dyDescent="0.25">
      <c r="A243" s="24"/>
      <c r="B243" s="24"/>
      <c r="C243" s="17"/>
      <c r="D243" s="24"/>
      <c r="E243" s="24"/>
      <c r="F243" s="25"/>
      <c r="G243" s="1">
        <v>3425</v>
      </c>
      <c r="H243" s="2">
        <v>103.5</v>
      </c>
      <c r="I243" s="2">
        <v>-5.4</v>
      </c>
      <c r="J243" s="2">
        <v>-7.7</v>
      </c>
      <c r="K243" s="2">
        <f t="shared" si="28"/>
        <v>-5.4</v>
      </c>
      <c r="L243" s="8">
        <f t="shared" si="32"/>
        <v>1.2882495516931307E-11</v>
      </c>
      <c r="M243" s="26"/>
      <c r="N243" s="17"/>
      <c r="O243" s="9">
        <f t="shared" si="30"/>
        <v>-7.7</v>
      </c>
      <c r="P243" s="8">
        <f>D242/B242*10^(O243/10)</f>
        <v>26.605817221900658</v>
      </c>
      <c r="Q243" s="26"/>
      <c r="R243" s="17"/>
      <c r="S243" s="19"/>
      <c r="T243" s="17"/>
      <c r="U243" s="22"/>
    </row>
    <row r="244" spans="1:21" x14ac:dyDescent="0.25">
      <c r="A244" s="24"/>
      <c r="B244" s="24"/>
      <c r="C244" s="17"/>
      <c r="D244" s="24"/>
      <c r="E244" s="24"/>
      <c r="F244" s="25"/>
      <c r="G244" s="1">
        <v>4025</v>
      </c>
      <c r="H244" s="2">
        <v>103.6</v>
      </c>
      <c r="I244" s="2">
        <v>-1.8</v>
      </c>
      <c r="J244" s="2">
        <v>-3.1</v>
      </c>
      <c r="K244" s="2">
        <f t="shared" si="28"/>
        <v>-1.8</v>
      </c>
      <c r="L244" s="8">
        <f t="shared" si="32"/>
        <v>2.8840315031266094E-11</v>
      </c>
      <c r="M244" s="26"/>
      <c r="N244" s="17"/>
      <c r="O244" s="9">
        <f t="shared" si="30"/>
        <v>-3.1</v>
      </c>
      <c r="P244" s="8">
        <f>D242/B242*10^(O244/10)</f>
        <v>76.732015034389889</v>
      </c>
      <c r="Q244" s="26"/>
      <c r="R244" s="17"/>
      <c r="S244" s="19"/>
      <c r="T244" s="17"/>
      <c r="U244" s="22"/>
    </row>
    <row r="245" spans="1:21" x14ac:dyDescent="0.25">
      <c r="A245" s="24"/>
      <c r="B245" s="24"/>
      <c r="C245" s="17"/>
      <c r="D245" s="24"/>
      <c r="E245" s="24"/>
      <c r="F245" s="25"/>
      <c r="G245" s="1">
        <v>4625</v>
      </c>
      <c r="H245" s="2">
        <v>105.6</v>
      </c>
      <c r="I245" s="2">
        <v>-2.0999999999999996</v>
      </c>
      <c r="J245" s="2">
        <v>-3.3</v>
      </c>
      <c r="K245" s="2">
        <f t="shared" si="28"/>
        <v>-2.0999999999999996</v>
      </c>
      <c r="L245" s="8">
        <f t="shared" si="32"/>
        <v>1.6982436524617441E-11</v>
      </c>
      <c r="M245" s="26"/>
      <c r="N245" s="17"/>
      <c r="O245" s="9">
        <f t="shared" si="30"/>
        <v>-3.3</v>
      </c>
      <c r="P245" s="8">
        <f>D242/B242*10^(O245/10)</f>
        <v>73.278505468327708</v>
      </c>
      <c r="Q245" s="26"/>
      <c r="R245" s="17"/>
      <c r="S245" s="19"/>
      <c r="T245" s="17"/>
      <c r="U245" s="22"/>
    </row>
    <row r="246" spans="1:21" x14ac:dyDescent="0.25">
      <c r="A246" s="24"/>
      <c r="B246" s="24"/>
      <c r="C246" s="17"/>
      <c r="D246" s="24"/>
      <c r="E246" s="24"/>
      <c r="F246" s="25"/>
      <c r="G246" s="1">
        <v>5225</v>
      </c>
      <c r="H246" s="2">
        <v>103.5</v>
      </c>
      <c r="I246" s="2">
        <v>-1.9</v>
      </c>
      <c r="J246" s="2">
        <v>-5</v>
      </c>
      <c r="K246" s="2">
        <f t="shared" si="28"/>
        <v>-1.9</v>
      </c>
      <c r="L246" s="8">
        <f t="shared" si="32"/>
        <v>2.8840315031265894E-11</v>
      </c>
      <c r="M246" s="26"/>
      <c r="N246" s="17"/>
      <c r="O246" s="9">
        <f t="shared" si="30"/>
        <v>-5</v>
      </c>
      <c r="P246" s="8">
        <f>D242/B242*10^(O246/10)</f>
        <v>49.542350009304606</v>
      </c>
      <c r="Q246" s="26"/>
      <c r="R246" s="17"/>
      <c r="S246" s="19"/>
      <c r="T246" s="17"/>
      <c r="U246" s="22"/>
    </row>
    <row r="247" spans="1:21" x14ac:dyDescent="0.25">
      <c r="A247" s="24"/>
      <c r="B247" s="24"/>
      <c r="C247" s="17"/>
      <c r="D247" s="24"/>
      <c r="E247" s="24"/>
      <c r="F247" s="25"/>
      <c r="G247" s="1">
        <v>5625</v>
      </c>
      <c r="H247" s="2">
        <v>99.5</v>
      </c>
      <c r="I247" s="2">
        <v>-1.7</v>
      </c>
      <c r="J247" s="2">
        <v>-3.4</v>
      </c>
      <c r="K247" s="2">
        <f t="shared" si="28"/>
        <v>-1.7</v>
      </c>
      <c r="L247" s="8">
        <f t="shared" si="32"/>
        <v>7.5857757502918162E-11</v>
      </c>
      <c r="M247" s="26"/>
      <c r="N247" s="17"/>
      <c r="O247" s="9">
        <f t="shared" si="30"/>
        <v>-3.4</v>
      </c>
      <c r="P247" s="8">
        <f>D242/B242*10^(O247/10)</f>
        <v>71.610483039663748</v>
      </c>
      <c r="Q247" s="26"/>
      <c r="R247" s="17"/>
      <c r="S247" s="20"/>
      <c r="T247" s="17"/>
      <c r="U247" s="23"/>
    </row>
    <row r="248" spans="1:21" x14ac:dyDescent="0.25">
      <c r="A248" s="24">
        <v>8000</v>
      </c>
      <c r="B248" s="24">
        <v>3</v>
      </c>
      <c r="C248" s="17">
        <v>0.5</v>
      </c>
      <c r="D248" s="24">
        <v>943</v>
      </c>
      <c r="E248" s="24">
        <v>6</v>
      </c>
      <c r="F248" s="25">
        <v>54</v>
      </c>
      <c r="G248" s="1">
        <v>6025</v>
      </c>
      <c r="H248" s="2">
        <v>95</v>
      </c>
      <c r="I248" s="2">
        <v>-2.5</v>
      </c>
      <c r="J248" s="2">
        <v>-3.8</v>
      </c>
      <c r="K248" s="2">
        <f t="shared" si="28"/>
        <v>-2.5</v>
      </c>
      <c r="L248" s="8">
        <f t="shared" si="32"/>
        <v>1.778279410038918E-10</v>
      </c>
      <c r="M248" s="26">
        <f>SUM(L248:L253)</f>
        <v>8.4898850483418313E-9</v>
      </c>
      <c r="N248" s="17">
        <f>10*LOG10(M248/E248)</f>
        <v>-88.49249440376299</v>
      </c>
      <c r="O248" s="9">
        <f t="shared" si="30"/>
        <v>-3.8</v>
      </c>
      <c r="P248" s="8">
        <f>D248/B248*10^(O248/10)</f>
        <v>131.03594287084206</v>
      </c>
      <c r="Q248" s="26">
        <f>SUM(P248:P253)</f>
        <v>1686.3273809701798</v>
      </c>
      <c r="R248" s="17">
        <f>10*LOG10(Q248)</f>
        <v>32.269418917280227</v>
      </c>
      <c r="S248" s="18">
        <f>F248+N248-Kzt-H</f>
        <v>-34.49249440376299</v>
      </c>
      <c r="T248" s="17">
        <v>0.7</v>
      </c>
      <c r="U248" s="21">
        <f>T248*10^((S248-R248)/10)</f>
        <v>1.4753895664094748E-7</v>
      </c>
    </row>
    <row r="249" spans="1:21" x14ac:dyDescent="0.25">
      <c r="A249" s="24"/>
      <c r="B249" s="24"/>
      <c r="C249" s="17"/>
      <c r="D249" s="24"/>
      <c r="E249" s="24"/>
      <c r="F249" s="25"/>
      <c r="G249" s="1">
        <v>7025</v>
      </c>
      <c r="H249" s="2">
        <v>94.8</v>
      </c>
      <c r="I249" s="2">
        <v>-0.89999999999999991</v>
      </c>
      <c r="J249" s="2">
        <v>-2.2999999999999998</v>
      </c>
      <c r="K249" s="2">
        <f t="shared" si="28"/>
        <v>-0.89999999999999991</v>
      </c>
      <c r="L249" s="8">
        <f t="shared" si="32"/>
        <v>2.6915348039269034E-10</v>
      </c>
      <c r="M249" s="26"/>
      <c r="N249" s="17"/>
      <c r="O249" s="9">
        <f t="shared" si="30"/>
        <v>-2.2999999999999998</v>
      </c>
      <c r="P249" s="8">
        <f>D248/B248*10^(O249/10)</f>
        <v>185.09318900010678</v>
      </c>
      <c r="Q249" s="26"/>
      <c r="R249" s="17"/>
      <c r="S249" s="19"/>
      <c r="T249" s="17"/>
      <c r="U249" s="22"/>
    </row>
    <row r="250" spans="1:21" x14ac:dyDescent="0.25">
      <c r="A250" s="24"/>
      <c r="B250" s="24"/>
      <c r="C250" s="17"/>
      <c r="D250" s="24"/>
      <c r="E250" s="24"/>
      <c r="F250" s="25"/>
      <c r="G250" s="1">
        <v>8025</v>
      </c>
      <c r="H250" s="2">
        <v>101.9</v>
      </c>
      <c r="I250" s="2">
        <v>6.1</v>
      </c>
      <c r="J250" s="2">
        <v>-0.5</v>
      </c>
      <c r="K250" s="2">
        <f t="shared" si="28"/>
        <v>6.1</v>
      </c>
      <c r="L250" s="8">
        <f t="shared" si="32"/>
        <v>2.6302679918953612E-10</v>
      </c>
      <c r="M250" s="26"/>
      <c r="N250" s="17"/>
      <c r="O250" s="9">
        <f t="shared" si="30"/>
        <v>-0.5</v>
      </c>
      <c r="P250" s="8">
        <f>D248/B248*10^(O250/10)</f>
        <v>280.14987822004065</v>
      </c>
      <c r="Q250" s="26"/>
      <c r="R250" s="17"/>
      <c r="S250" s="19"/>
      <c r="T250" s="17"/>
      <c r="U250" s="22"/>
    </row>
    <row r="251" spans="1:21" x14ac:dyDescent="0.25">
      <c r="A251" s="24"/>
      <c r="B251" s="24"/>
      <c r="C251" s="17"/>
      <c r="D251" s="24"/>
      <c r="E251" s="24"/>
      <c r="F251" s="25"/>
      <c r="G251" s="1">
        <v>9025</v>
      </c>
      <c r="H251" s="2">
        <v>93.2</v>
      </c>
      <c r="I251" s="2">
        <v>1.5</v>
      </c>
      <c r="J251" s="2">
        <v>-0.3</v>
      </c>
      <c r="K251" s="2">
        <f t="shared" si="28"/>
        <v>1.5</v>
      </c>
      <c r="L251" s="8">
        <f t="shared" si="32"/>
        <v>6.7608297539198086E-10</v>
      </c>
      <c r="M251" s="26"/>
      <c r="N251" s="17"/>
      <c r="O251" s="9">
        <f t="shared" si="30"/>
        <v>-0.3</v>
      </c>
      <c r="P251" s="8">
        <f>D248/B248*10^(O251/10)</f>
        <v>293.35293521718751</v>
      </c>
      <c r="Q251" s="26"/>
      <c r="R251" s="17"/>
      <c r="S251" s="19"/>
      <c r="T251" s="17"/>
      <c r="U251" s="22"/>
    </row>
    <row r="252" spans="1:21" x14ac:dyDescent="0.25">
      <c r="A252" s="24"/>
      <c r="B252" s="24"/>
      <c r="C252" s="17"/>
      <c r="D252" s="24"/>
      <c r="E252" s="24"/>
      <c r="F252" s="25"/>
      <c r="G252" s="1">
        <v>10025</v>
      </c>
      <c r="H252" s="2">
        <v>88.3</v>
      </c>
      <c r="I252" s="2">
        <v>3.6</v>
      </c>
      <c r="J252" s="2">
        <v>0.5</v>
      </c>
      <c r="K252" s="2">
        <f t="shared" si="28"/>
        <v>3.6</v>
      </c>
      <c r="L252" s="8">
        <f t="shared" si="32"/>
        <v>3.3884415613920108E-9</v>
      </c>
      <c r="M252" s="26"/>
      <c r="N252" s="17"/>
      <c r="O252" s="9">
        <f t="shared" si="30"/>
        <v>0.5</v>
      </c>
      <c r="P252" s="8">
        <f>D248/B248*10^(O252/10)</f>
        <v>352.68780080225054</v>
      </c>
      <c r="Q252" s="26"/>
      <c r="R252" s="17"/>
      <c r="S252" s="19"/>
      <c r="T252" s="17"/>
      <c r="U252" s="22"/>
    </row>
    <row r="253" spans="1:21" x14ac:dyDescent="0.25">
      <c r="A253" s="24"/>
      <c r="B253" s="24"/>
      <c r="C253" s="17"/>
      <c r="D253" s="24"/>
      <c r="E253" s="24"/>
      <c r="F253" s="25"/>
      <c r="G253" s="1">
        <v>11025</v>
      </c>
      <c r="H253" s="2">
        <v>86</v>
      </c>
      <c r="I253" s="2">
        <v>1.7</v>
      </c>
      <c r="J253" s="2">
        <v>1.5</v>
      </c>
      <c r="K253" s="2">
        <f t="shared" si="28"/>
        <v>1.7</v>
      </c>
      <c r="L253" s="8">
        <f t="shared" si="32"/>
        <v>3.7153522909717206E-9</v>
      </c>
      <c r="M253" s="26"/>
      <c r="N253" s="17"/>
      <c r="O253" s="9">
        <f t="shared" si="30"/>
        <v>1.5</v>
      </c>
      <c r="P253" s="8">
        <f>D248/B248*10^(O253/10)</f>
        <v>444.00763485975244</v>
      </c>
      <c r="Q253" s="26"/>
      <c r="R253" s="17"/>
      <c r="S253" s="20"/>
      <c r="T253" s="17"/>
      <c r="U253" s="23"/>
    </row>
    <row r="254" spans="1:21" x14ac:dyDescent="0.25">
      <c r="A254" s="24" t="s">
        <v>20</v>
      </c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12">
        <f>U254</f>
        <v>4.7035241408845734E-2</v>
      </c>
      <c r="T254" s="2"/>
      <c r="U254" s="8">
        <f>0.8*SQRT(SUM(U220:U253))</f>
        <v>4.7035241408845734E-2</v>
      </c>
    </row>
    <row r="255" spans="1:21" x14ac:dyDescent="0.25">
      <c r="A255" s="27" t="s">
        <v>79</v>
      </c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9"/>
    </row>
    <row r="256" spans="1:21" x14ac:dyDescent="0.25">
      <c r="A256" s="24">
        <v>250</v>
      </c>
      <c r="B256" s="24">
        <v>3</v>
      </c>
      <c r="C256" s="17">
        <v>0.5</v>
      </c>
      <c r="D256" s="24">
        <v>38</v>
      </c>
      <c r="E256" s="24">
        <v>4</v>
      </c>
      <c r="F256" s="25">
        <v>84</v>
      </c>
      <c r="G256" s="1">
        <v>175</v>
      </c>
      <c r="H256" s="2">
        <v>84.8</v>
      </c>
      <c r="I256" s="2">
        <v>0.7</v>
      </c>
      <c r="J256" s="2">
        <v>-8.5</v>
      </c>
      <c r="K256" s="2">
        <f>I256</f>
        <v>0.7</v>
      </c>
      <c r="L256" s="8">
        <f>10^((K256-H256)/10)</f>
        <v>3.8904514499428009E-9</v>
      </c>
      <c r="M256" s="26">
        <f>SUM(L256:L259)</f>
        <v>4.5134771722053438E-9</v>
      </c>
      <c r="N256" s="17">
        <f>10*LOG10(M256/E256)</f>
        <v>-89.475487410560334</v>
      </c>
      <c r="O256" s="9">
        <f>J256</f>
        <v>-8.5</v>
      </c>
      <c r="P256" s="8">
        <f>D256/B256*10^(O256/10)</f>
        <v>1.789214223188822</v>
      </c>
      <c r="Q256" s="26">
        <f>SUM(P256:P259)</f>
        <v>6.3271184846960082</v>
      </c>
      <c r="R256" s="17">
        <f>10*LOG10(Q256)</f>
        <v>8.0120596734485403</v>
      </c>
      <c r="S256" s="18">
        <f>F256+N256-Kzt-H</f>
        <v>-5.4754874105603335</v>
      </c>
      <c r="T256" s="17">
        <v>0.2</v>
      </c>
      <c r="U256" s="21">
        <f>T256*10^((S256-R256)/10)</f>
        <v>8.9593249243028611E-3</v>
      </c>
    </row>
    <row r="257" spans="1:21" x14ac:dyDescent="0.25">
      <c r="A257" s="24"/>
      <c r="B257" s="24"/>
      <c r="C257" s="17"/>
      <c r="D257" s="24"/>
      <c r="E257" s="24"/>
      <c r="F257" s="25"/>
      <c r="G257" s="1">
        <v>225</v>
      </c>
      <c r="H257" s="2">
        <v>90</v>
      </c>
      <c r="I257" s="2">
        <v>-3.3</v>
      </c>
      <c r="J257" s="2">
        <v>-9.5</v>
      </c>
      <c r="K257" s="2">
        <f t="shared" ref="K257:K289" si="33">I257</f>
        <v>-3.3</v>
      </c>
      <c r="L257" s="8">
        <f t="shared" ref="L257:L258" si="34">10^((K257-H257)/10)</f>
        <v>4.6773514128719668E-10</v>
      </c>
      <c r="M257" s="26"/>
      <c r="N257" s="17"/>
      <c r="O257" s="9">
        <f t="shared" ref="O257:O289" si="35">J257</f>
        <v>-9.5</v>
      </c>
      <c r="P257" s="8">
        <f>D256/B256*10^(O257/10)</f>
        <v>1.4212233754491532</v>
      </c>
      <c r="Q257" s="26"/>
      <c r="R257" s="17"/>
      <c r="S257" s="19"/>
      <c r="T257" s="17"/>
      <c r="U257" s="22"/>
    </row>
    <row r="258" spans="1:21" x14ac:dyDescent="0.25">
      <c r="A258" s="24"/>
      <c r="B258" s="24"/>
      <c r="C258" s="17"/>
      <c r="D258" s="24"/>
      <c r="E258" s="24"/>
      <c r="F258" s="25"/>
      <c r="G258" s="1">
        <v>275</v>
      </c>
      <c r="H258" s="2">
        <v>92.2</v>
      </c>
      <c r="I258" s="2">
        <v>-8.7999999999999989</v>
      </c>
      <c r="J258" s="2">
        <v>-9.1</v>
      </c>
      <c r="K258" s="2">
        <f t="shared" si="33"/>
        <v>-8.7999999999999989</v>
      </c>
      <c r="L258" s="8">
        <f t="shared" si="34"/>
        <v>7.943282347242792E-11</v>
      </c>
      <c r="M258" s="26"/>
      <c r="N258" s="17"/>
      <c r="O258" s="9">
        <f t="shared" si="35"/>
        <v>-9.1</v>
      </c>
      <c r="P258" s="8">
        <f>D256/B256*10^(O258/10)</f>
        <v>1.5583404430290164</v>
      </c>
      <c r="Q258" s="26"/>
      <c r="R258" s="17"/>
      <c r="S258" s="19"/>
      <c r="T258" s="17"/>
      <c r="U258" s="22"/>
    </row>
    <row r="259" spans="1:21" x14ac:dyDescent="0.25">
      <c r="A259" s="24"/>
      <c r="B259" s="24"/>
      <c r="C259" s="17"/>
      <c r="D259" s="24"/>
      <c r="E259" s="24"/>
      <c r="F259" s="25"/>
      <c r="G259" s="1">
        <v>325</v>
      </c>
      <c r="H259" s="2">
        <v>93.3</v>
      </c>
      <c r="I259" s="2">
        <v>-7.8999999999999995</v>
      </c>
      <c r="J259" s="2">
        <v>-9.1</v>
      </c>
      <c r="K259" s="2">
        <f t="shared" si="33"/>
        <v>-7.8999999999999995</v>
      </c>
      <c r="L259" s="8">
        <f>10^((K259-H259)/10)</f>
        <v>7.5857757502918162E-11</v>
      </c>
      <c r="M259" s="26"/>
      <c r="N259" s="17"/>
      <c r="O259" s="9">
        <f t="shared" si="35"/>
        <v>-9.1</v>
      </c>
      <c r="P259" s="8">
        <f>D256/B256*10^(O259/10)</f>
        <v>1.5583404430290164</v>
      </c>
      <c r="Q259" s="26"/>
      <c r="R259" s="17"/>
      <c r="S259" s="20"/>
      <c r="T259" s="17"/>
      <c r="U259" s="23"/>
    </row>
    <row r="260" spans="1:21" x14ac:dyDescent="0.25">
      <c r="A260" s="24">
        <v>500</v>
      </c>
      <c r="B260" s="24">
        <v>3</v>
      </c>
      <c r="C260" s="17">
        <v>0.5</v>
      </c>
      <c r="D260" s="24">
        <v>59</v>
      </c>
      <c r="E260" s="24">
        <v>6</v>
      </c>
      <c r="F260" s="25">
        <v>84</v>
      </c>
      <c r="G260" s="1">
        <v>375</v>
      </c>
      <c r="H260" s="2">
        <v>91.9</v>
      </c>
      <c r="I260" s="2">
        <v>-8.4</v>
      </c>
      <c r="J260" s="2">
        <v>-9.1</v>
      </c>
      <c r="K260" s="2">
        <f t="shared" si="33"/>
        <v>-8.4</v>
      </c>
      <c r="L260" s="8">
        <f t="shared" ref="L260:L261" si="36">10^((K260-H260)/10)</f>
        <v>9.3325430079698775E-11</v>
      </c>
      <c r="M260" s="26">
        <f>SUM(L260:L265)</f>
        <v>1.0393683893375416E-9</v>
      </c>
      <c r="N260" s="17">
        <f>10*LOG10(M260/E260)</f>
        <v>-97.613817460409592</v>
      </c>
      <c r="O260" s="9">
        <f t="shared" si="35"/>
        <v>-9.1</v>
      </c>
      <c r="P260" s="8">
        <f>D260/B260*10^(O260/10)</f>
        <v>2.4195285825976836</v>
      </c>
      <c r="Q260" s="26">
        <f>SUM(P260:P265)</f>
        <v>15.752064760381256</v>
      </c>
      <c r="R260" s="17">
        <f>10*LOG10(Q260)</f>
        <v>11.973374886187877</v>
      </c>
      <c r="S260" s="18">
        <f>F260+N260-Kzt-H</f>
        <v>-13.613817460409592</v>
      </c>
      <c r="T260" s="17">
        <v>0.5</v>
      </c>
      <c r="U260" s="21">
        <f>T260*10^((S260-R260)/10)</f>
        <v>1.3811815542024543E-3</v>
      </c>
    </row>
    <row r="261" spans="1:21" x14ac:dyDescent="0.25">
      <c r="A261" s="24"/>
      <c r="B261" s="24"/>
      <c r="C261" s="17"/>
      <c r="D261" s="24"/>
      <c r="E261" s="24"/>
      <c r="F261" s="25"/>
      <c r="G261" s="1">
        <v>425</v>
      </c>
      <c r="H261" s="2">
        <v>88.1</v>
      </c>
      <c r="I261" s="2">
        <v>-7.3999999999999995</v>
      </c>
      <c r="J261" s="2">
        <v>-9.1</v>
      </c>
      <c r="K261" s="2">
        <f t="shared" si="33"/>
        <v>-7.3999999999999995</v>
      </c>
      <c r="L261" s="8">
        <f t="shared" si="36"/>
        <v>2.8183829312644407E-10</v>
      </c>
      <c r="M261" s="26"/>
      <c r="N261" s="17"/>
      <c r="O261" s="9">
        <f t="shared" si="35"/>
        <v>-9.1</v>
      </c>
      <c r="P261" s="8">
        <f>D260/B260*10^(O261/10)</f>
        <v>2.4195285825976836</v>
      </c>
      <c r="Q261" s="26"/>
      <c r="R261" s="17"/>
      <c r="S261" s="19"/>
      <c r="T261" s="17"/>
      <c r="U261" s="22"/>
    </row>
    <row r="262" spans="1:21" x14ac:dyDescent="0.25">
      <c r="A262" s="24"/>
      <c r="B262" s="24"/>
      <c r="C262" s="17"/>
      <c r="D262" s="24"/>
      <c r="E262" s="24"/>
      <c r="F262" s="25"/>
      <c r="G262" s="1">
        <v>475</v>
      </c>
      <c r="H262" s="2">
        <v>90</v>
      </c>
      <c r="I262" s="2">
        <v>-3.9</v>
      </c>
      <c r="J262" s="2">
        <v>-9.6</v>
      </c>
      <c r="K262" s="2">
        <f t="shared" si="33"/>
        <v>-3.9</v>
      </c>
      <c r="L262" s="8">
        <f>10^((K262-H262)/10)</f>
        <v>4.073802778041116E-10</v>
      </c>
      <c r="M262" s="26"/>
      <c r="N262" s="17"/>
      <c r="O262" s="9">
        <f t="shared" si="35"/>
        <v>-9.6</v>
      </c>
      <c r="P262" s="8">
        <f>D260/B260*10^(O262/10)</f>
        <v>2.1564071190815972</v>
      </c>
      <c r="Q262" s="26"/>
      <c r="R262" s="17"/>
      <c r="S262" s="19"/>
      <c r="T262" s="17"/>
      <c r="U262" s="22"/>
    </row>
    <row r="263" spans="1:21" x14ac:dyDescent="0.25">
      <c r="A263" s="24"/>
      <c r="B263" s="24"/>
      <c r="C263" s="17"/>
      <c r="D263" s="24"/>
      <c r="E263" s="24"/>
      <c r="F263" s="25"/>
      <c r="G263" s="1">
        <v>575</v>
      </c>
      <c r="H263" s="2">
        <v>97</v>
      </c>
      <c r="I263" s="2">
        <v>-7.6</v>
      </c>
      <c r="J263" s="2">
        <v>-8.5</v>
      </c>
      <c r="K263" s="2">
        <f t="shared" si="33"/>
        <v>-7.6</v>
      </c>
      <c r="L263" s="8">
        <f t="shared" ref="L263:L289" si="37">10^((K263-H263)/10)</f>
        <v>3.467368504525318E-11</v>
      </c>
      <c r="M263" s="26"/>
      <c r="N263" s="17"/>
      <c r="O263" s="9">
        <f t="shared" si="35"/>
        <v>-8.5</v>
      </c>
      <c r="P263" s="8">
        <f>D260/B260*10^(O263/10)</f>
        <v>2.7779905044247499</v>
      </c>
      <c r="Q263" s="26"/>
      <c r="R263" s="17"/>
      <c r="S263" s="19"/>
      <c r="T263" s="17"/>
      <c r="U263" s="22"/>
    </row>
    <row r="264" spans="1:21" x14ac:dyDescent="0.25">
      <c r="A264" s="24"/>
      <c r="B264" s="24"/>
      <c r="C264" s="17"/>
      <c r="D264" s="24"/>
      <c r="E264" s="24"/>
      <c r="F264" s="25"/>
      <c r="G264" s="1">
        <v>625</v>
      </c>
      <c r="H264" s="2">
        <v>92</v>
      </c>
      <c r="I264" s="2">
        <v>-6.1999999999999993</v>
      </c>
      <c r="J264" s="2">
        <v>-7.8</v>
      </c>
      <c r="K264" s="2">
        <f t="shared" si="33"/>
        <v>-6.1999999999999993</v>
      </c>
      <c r="L264" s="8">
        <f t="shared" si="37"/>
        <v>1.5135612484362048E-10</v>
      </c>
      <c r="M264" s="26"/>
      <c r="N264" s="17"/>
      <c r="O264" s="9">
        <f t="shared" si="35"/>
        <v>-7.8</v>
      </c>
      <c r="P264" s="8">
        <f>D260/B260*10^(O264/10)</f>
        <v>3.2638542512938682</v>
      </c>
      <c r="Q264" s="26"/>
      <c r="R264" s="17"/>
      <c r="S264" s="19"/>
      <c r="T264" s="17"/>
      <c r="U264" s="22"/>
    </row>
    <row r="265" spans="1:21" x14ac:dyDescent="0.25">
      <c r="A265" s="24"/>
      <c r="B265" s="24"/>
      <c r="C265" s="17"/>
      <c r="D265" s="24"/>
      <c r="E265" s="24"/>
      <c r="F265" s="25"/>
      <c r="G265" s="1">
        <v>675</v>
      </c>
      <c r="H265" s="2">
        <v>94.5</v>
      </c>
      <c r="I265" s="2">
        <v>-7</v>
      </c>
      <c r="J265" s="2">
        <v>-8.6</v>
      </c>
      <c r="K265" s="2">
        <f t="shared" si="33"/>
        <v>-7</v>
      </c>
      <c r="L265" s="8">
        <f t="shared" si="37"/>
        <v>7.079457843841361E-11</v>
      </c>
      <c r="M265" s="26"/>
      <c r="N265" s="17"/>
      <c r="O265" s="9">
        <f t="shared" si="35"/>
        <v>-8.6</v>
      </c>
      <c r="P265" s="8">
        <f>D260/B260*10^(O265/10)</f>
        <v>2.7147557203856727</v>
      </c>
      <c r="Q265" s="26"/>
      <c r="R265" s="17"/>
      <c r="S265" s="20"/>
      <c r="T265" s="17"/>
      <c r="U265" s="23"/>
    </row>
    <row r="266" spans="1:21" x14ac:dyDescent="0.25">
      <c r="A266" s="24">
        <v>1000</v>
      </c>
      <c r="B266" s="24">
        <v>3</v>
      </c>
      <c r="C266" s="17">
        <v>0.5</v>
      </c>
      <c r="D266" s="24">
        <v>117</v>
      </c>
      <c r="E266" s="24">
        <v>6</v>
      </c>
      <c r="F266" s="25">
        <v>76</v>
      </c>
      <c r="G266" s="1">
        <v>875</v>
      </c>
      <c r="H266" s="2">
        <v>91.1</v>
      </c>
      <c r="I266" s="2">
        <v>-7.9</v>
      </c>
      <c r="J266" s="2">
        <v>-9</v>
      </c>
      <c r="K266" s="2">
        <f t="shared" si="33"/>
        <v>-7.9</v>
      </c>
      <c r="L266" s="8">
        <f t="shared" si="37"/>
        <v>1.2589254117941656E-10</v>
      </c>
      <c r="M266" s="26">
        <f>SUM(L266:L271)</f>
        <v>5.6758366645189751E-10</v>
      </c>
      <c r="N266" s="17">
        <f>10*LOG10(M266/E266)</f>
        <v>-100.24121361258315</v>
      </c>
      <c r="O266" s="9">
        <f t="shared" si="35"/>
        <v>-9</v>
      </c>
      <c r="P266" s="8">
        <f>D266/B266*10^(O266/10)</f>
        <v>4.9098091059972502</v>
      </c>
      <c r="Q266" s="26">
        <f>SUM(P266:P271)</f>
        <v>35.288255302547462</v>
      </c>
      <c r="R266" s="17">
        <f>10*LOG10(Q266)</f>
        <v>15.476301868040874</v>
      </c>
      <c r="S266" s="18">
        <f>F266+N266-Kzt-H</f>
        <v>-24.241213612583152</v>
      </c>
      <c r="T266" s="17">
        <v>0.8</v>
      </c>
      <c r="U266" s="21">
        <f>T266*10^((S266-R266)/10)</f>
        <v>8.5376518076155222E-5</v>
      </c>
    </row>
    <row r="267" spans="1:21" x14ac:dyDescent="0.25">
      <c r="A267" s="24"/>
      <c r="B267" s="24"/>
      <c r="C267" s="17"/>
      <c r="D267" s="24"/>
      <c r="E267" s="24"/>
      <c r="F267" s="25"/>
      <c r="G267" s="1">
        <v>975</v>
      </c>
      <c r="H267" s="2">
        <v>96.5</v>
      </c>
      <c r="I267" s="2">
        <v>-6.9</v>
      </c>
      <c r="J267" s="2">
        <v>-9.5</v>
      </c>
      <c r="K267" s="2">
        <f t="shared" si="33"/>
        <v>-6.9</v>
      </c>
      <c r="L267" s="8">
        <f t="shared" si="37"/>
        <v>4.5708818961487472E-11</v>
      </c>
      <c r="M267" s="26"/>
      <c r="N267" s="17"/>
      <c r="O267" s="9">
        <f t="shared" si="35"/>
        <v>-9.5</v>
      </c>
      <c r="P267" s="8">
        <f>D266/B266*10^(O267/10)</f>
        <v>4.3758719717776566</v>
      </c>
      <c r="Q267" s="26"/>
      <c r="R267" s="17"/>
      <c r="S267" s="19"/>
      <c r="T267" s="17"/>
      <c r="U267" s="22"/>
    </row>
    <row r="268" spans="1:21" x14ac:dyDescent="0.25">
      <c r="A268" s="24"/>
      <c r="B268" s="24"/>
      <c r="C268" s="17"/>
      <c r="D268" s="24"/>
      <c r="E268" s="24"/>
      <c r="F268" s="25"/>
      <c r="G268" s="1">
        <v>1075</v>
      </c>
      <c r="H268" s="2">
        <v>94.6</v>
      </c>
      <c r="I268" s="2">
        <v>-0.5</v>
      </c>
      <c r="J268" s="2">
        <v>-7.4</v>
      </c>
      <c r="K268" s="2">
        <f t="shared" si="33"/>
        <v>-0.5</v>
      </c>
      <c r="L268" s="8">
        <f t="shared" si="37"/>
        <v>3.090295432513586E-10</v>
      </c>
      <c r="M268" s="26"/>
      <c r="N268" s="17"/>
      <c r="O268" s="9">
        <f t="shared" si="35"/>
        <v>-7.4</v>
      </c>
      <c r="P268" s="8">
        <f>D266/B266*10^(O268/10)</f>
        <v>7.0968333485789348</v>
      </c>
      <c r="Q268" s="26"/>
      <c r="R268" s="17"/>
      <c r="S268" s="19"/>
      <c r="T268" s="17"/>
      <c r="U268" s="22"/>
    </row>
    <row r="269" spans="1:21" x14ac:dyDescent="0.25">
      <c r="A269" s="24"/>
      <c r="B269" s="24"/>
      <c r="C269" s="17"/>
      <c r="D269" s="24"/>
      <c r="E269" s="24"/>
      <c r="F269" s="25"/>
      <c r="G269" s="1">
        <v>1175</v>
      </c>
      <c r="H269" s="2">
        <v>97.8</v>
      </c>
      <c r="I269" s="2">
        <v>-4.7</v>
      </c>
      <c r="J269" s="2">
        <v>-8.1</v>
      </c>
      <c r="K269" s="2">
        <f t="shared" si="33"/>
        <v>-4.7</v>
      </c>
      <c r="L269" s="8">
        <f t="shared" si="37"/>
        <v>5.6234132519034822E-11</v>
      </c>
      <c r="M269" s="26"/>
      <c r="N269" s="17"/>
      <c r="O269" s="9">
        <f t="shared" si="35"/>
        <v>-8.1</v>
      </c>
      <c r="P269" s="8">
        <f>D266/B266*10^(O269/10)</f>
        <v>6.0403848137586769</v>
      </c>
      <c r="Q269" s="26"/>
      <c r="R269" s="17"/>
      <c r="S269" s="19"/>
      <c r="T269" s="17"/>
      <c r="U269" s="22"/>
    </row>
    <row r="270" spans="1:21" x14ac:dyDescent="0.25">
      <c r="A270" s="24"/>
      <c r="B270" s="24"/>
      <c r="C270" s="17"/>
      <c r="D270" s="24"/>
      <c r="E270" s="24"/>
      <c r="F270" s="25"/>
      <c r="G270" s="1">
        <v>1275</v>
      </c>
      <c r="H270" s="2">
        <v>100.1</v>
      </c>
      <c r="I270" s="2">
        <v>-7.0000000000000009</v>
      </c>
      <c r="J270" s="2">
        <v>-8.3000000000000007</v>
      </c>
      <c r="K270" s="2">
        <f t="shared" si="33"/>
        <v>-7.0000000000000009</v>
      </c>
      <c r="L270" s="8">
        <f t="shared" si="37"/>
        <v>1.949844599758044E-11</v>
      </c>
      <c r="M270" s="26"/>
      <c r="N270" s="17"/>
      <c r="O270" s="9">
        <f t="shared" si="35"/>
        <v>-8.3000000000000007</v>
      </c>
      <c r="P270" s="8">
        <f>D266/B266*10^(O270/10)</f>
        <v>5.768522713856008</v>
      </c>
      <c r="Q270" s="26"/>
      <c r="R270" s="17"/>
      <c r="S270" s="19"/>
      <c r="T270" s="17"/>
      <c r="U270" s="22"/>
    </row>
    <row r="271" spans="1:21" x14ac:dyDescent="0.25">
      <c r="A271" s="24"/>
      <c r="B271" s="24"/>
      <c r="C271" s="17"/>
      <c r="D271" s="24"/>
      <c r="E271" s="24"/>
      <c r="F271" s="25"/>
      <c r="G271" s="1">
        <v>1375</v>
      </c>
      <c r="H271" s="2">
        <v>103</v>
      </c>
      <c r="I271" s="2">
        <v>-6.5</v>
      </c>
      <c r="J271" s="2">
        <v>-7.4</v>
      </c>
      <c r="K271" s="2">
        <f t="shared" si="33"/>
        <v>-6.5</v>
      </c>
      <c r="L271" s="8">
        <f t="shared" si="37"/>
        <v>1.1220184543019613E-11</v>
      </c>
      <c r="M271" s="26"/>
      <c r="N271" s="17"/>
      <c r="O271" s="9">
        <f t="shared" si="35"/>
        <v>-7.4</v>
      </c>
      <c r="P271" s="8">
        <f>D266/B266*10^(O271/10)</f>
        <v>7.0968333485789348</v>
      </c>
      <c r="Q271" s="26"/>
      <c r="R271" s="17"/>
      <c r="S271" s="20"/>
      <c r="T271" s="17"/>
      <c r="U271" s="23"/>
    </row>
    <row r="272" spans="1:21" x14ac:dyDescent="0.25">
      <c r="A272" s="24">
        <v>2000</v>
      </c>
      <c r="B272" s="24">
        <v>3</v>
      </c>
      <c r="C272" s="17">
        <v>0.5</v>
      </c>
      <c r="D272" s="24">
        <v>234</v>
      </c>
      <c r="E272" s="24">
        <v>6</v>
      </c>
      <c r="F272" s="25">
        <v>68</v>
      </c>
      <c r="G272" s="1">
        <v>1425</v>
      </c>
      <c r="H272" s="2">
        <v>102.8</v>
      </c>
      <c r="I272" s="2">
        <v>-8.5</v>
      </c>
      <c r="J272" s="2">
        <v>-8.8000000000000007</v>
      </c>
      <c r="K272" s="2">
        <f t="shared" si="33"/>
        <v>-8.5</v>
      </c>
      <c r="L272" s="8">
        <f t="shared" si="37"/>
        <v>7.4131024130091739E-12</v>
      </c>
      <c r="M272" s="26">
        <f>SUM(L272:L277)</f>
        <v>1.0558373000048875E-10</v>
      </c>
      <c r="N272" s="17">
        <f>10*LOG10(M272/E272)</f>
        <v>-107.54554249945302</v>
      </c>
      <c r="O272" s="9">
        <f t="shared" si="35"/>
        <v>-8.8000000000000007</v>
      </c>
      <c r="P272" s="8">
        <f>D272/B272*10^(O272/10)</f>
        <v>10.282402560739971</v>
      </c>
      <c r="Q272" s="26">
        <f>SUM(P272:P277)</f>
        <v>61.606417664247275</v>
      </c>
      <c r="R272" s="17">
        <f>10*LOG10(Q272)</f>
        <v>17.896259558493675</v>
      </c>
      <c r="S272" s="18">
        <f>F272+N272-Kzt-H</f>
        <v>-39.54554249945302</v>
      </c>
      <c r="T272" s="17">
        <v>1</v>
      </c>
      <c r="U272" s="21">
        <f>T272*10^((S272-R272)/10)</f>
        <v>1.8022697533583931E-6</v>
      </c>
    </row>
    <row r="273" spans="1:21" x14ac:dyDescent="0.25">
      <c r="A273" s="24"/>
      <c r="B273" s="24"/>
      <c r="C273" s="17"/>
      <c r="D273" s="24"/>
      <c r="E273" s="24"/>
      <c r="F273" s="25"/>
      <c r="G273" s="1">
        <v>1625</v>
      </c>
      <c r="H273" s="2">
        <v>104.1</v>
      </c>
      <c r="I273" s="2">
        <v>-4.8</v>
      </c>
      <c r="J273" s="2">
        <v>-7.4</v>
      </c>
      <c r="K273" s="2">
        <f t="shared" si="33"/>
        <v>-4.8</v>
      </c>
      <c r="L273" s="8">
        <f t="shared" si="37"/>
        <v>1.2882495516931353E-11</v>
      </c>
      <c r="M273" s="26"/>
      <c r="N273" s="17"/>
      <c r="O273" s="9">
        <f t="shared" si="35"/>
        <v>-7.4</v>
      </c>
      <c r="P273" s="8">
        <f>D272/B272*10^(O273/10)</f>
        <v>14.19366669715787</v>
      </c>
      <c r="Q273" s="26"/>
      <c r="R273" s="17"/>
      <c r="S273" s="19"/>
      <c r="T273" s="17"/>
      <c r="U273" s="22"/>
    </row>
    <row r="274" spans="1:21" x14ac:dyDescent="0.25">
      <c r="A274" s="24"/>
      <c r="B274" s="24"/>
      <c r="C274" s="17"/>
      <c r="D274" s="24"/>
      <c r="E274" s="24"/>
      <c r="F274" s="25"/>
      <c r="G274" s="1">
        <v>1825</v>
      </c>
      <c r="H274" s="2">
        <v>107.6</v>
      </c>
      <c r="I274" s="2">
        <v>-7.5</v>
      </c>
      <c r="J274" s="2">
        <v>-10.199999999999999</v>
      </c>
      <c r="K274" s="2">
        <f t="shared" si="33"/>
        <v>-7.5</v>
      </c>
      <c r="L274" s="8">
        <f t="shared" si="37"/>
        <v>3.0902954325135792E-12</v>
      </c>
      <c r="M274" s="26"/>
      <c r="N274" s="17"/>
      <c r="O274" s="9">
        <f t="shared" si="35"/>
        <v>-10.199999999999999</v>
      </c>
      <c r="P274" s="8">
        <f>D272/B272*10^(O274/10)</f>
        <v>7.4489421709671975</v>
      </c>
      <c r="Q274" s="26"/>
      <c r="R274" s="17"/>
      <c r="S274" s="19"/>
      <c r="T274" s="17"/>
      <c r="U274" s="22"/>
    </row>
    <row r="275" spans="1:21" x14ac:dyDescent="0.25">
      <c r="A275" s="24"/>
      <c r="B275" s="24"/>
      <c r="C275" s="17"/>
      <c r="D275" s="24"/>
      <c r="E275" s="24"/>
      <c r="F275" s="25"/>
      <c r="G275" s="1">
        <v>2125</v>
      </c>
      <c r="H275" s="2">
        <v>104.2</v>
      </c>
      <c r="I275" s="2">
        <v>-7.3</v>
      </c>
      <c r="J275" s="2">
        <v>-8.6999999999999993</v>
      </c>
      <c r="K275" s="2">
        <f t="shared" si="33"/>
        <v>-7.3</v>
      </c>
      <c r="L275" s="8">
        <f t="shared" si="37"/>
        <v>7.0794578438413538E-12</v>
      </c>
      <c r="M275" s="26"/>
      <c r="N275" s="17"/>
      <c r="O275" s="9">
        <f t="shared" si="35"/>
        <v>-8.6999999999999993</v>
      </c>
      <c r="P275" s="8">
        <f>D272/B272*10^(O275/10)</f>
        <v>10.521910484214896</v>
      </c>
      <c r="Q275" s="26"/>
      <c r="R275" s="17"/>
      <c r="S275" s="19"/>
      <c r="T275" s="17"/>
      <c r="U275" s="22"/>
    </row>
    <row r="276" spans="1:21" x14ac:dyDescent="0.25">
      <c r="A276" s="24"/>
      <c r="B276" s="24"/>
      <c r="C276" s="17"/>
      <c r="D276" s="24"/>
      <c r="E276" s="24"/>
      <c r="F276" s="25"/>
      <c r="G276" s="1">
        <v>2425</v>
      </c>
      <c r="H276" s="2">
        <v>93.7</v>
      </c>
      <c r="I276" s="2">
        <v>-8.3000000000000007</v>
      </c>
      <c r="J276" s="2">
        <v>-8.3000000000000007</v>
      </c>
      <c r="K276" s="2">
        <f t="shared" si="33"/>
        <v>-8.3000000000000007</v>
      </c>
      <c r="L276" s="8">
        <f t="shared" si="37"/>
        <v>6.3095734448019192E-11</v>
      </c>
      <c r="M276" s="26"/>
      <c r="N276" s="17"/>
      <c r="O276" s="9">
        <f t="shared" si="35"/>
        <v>-8.3000000000000007</v>
      </c>
      <c r="P276" s="8">
        <f>D272/B272*10^(O276/10)</f>
        <v>11.537045427712016</v>
      </c>
      <c r="Q276" s="26"/>
      <c r="R276" s="17"/>
      <c r="S276" s="19"/>
      <c r="T276" s="17"/>
      <c r="U276" s="22"/>
    </row>
    <row r="277" spans="1:21" x14ac:dyDescent="0.25">
      <c r="A277" s="24"/>
      <c r="B277" s="24"/>
      <c r="C277" s="17"/>
      <c r="D277" s="24"/>
      <c r="E277" s="24"/>
      <c r="F277" s="25"/>
      <c r="G277" s="1">
        <v>2775</v>
      </c>
      <c r="H277" s="2">
        <v>100.2</v>
      </c>
      <c r="I277" s="2">
        <v>-9</v>
      </c>
      <c r="J277" s="2">
        <v>-10.1</v>
      </c>
      <c r="K277" s="2">
        <f t="shared" si="33"/>
        <v>-9</v>
      </c>
      <c r="L277" s="8">
        <f t="shared" si="37"/>
        <v>1.2022644346174101E-11</v>
      </c>
      <c r="M277" s="26"/>
      <c r="N277" s="17"/>
      <c r="O277" s="9">
        <f t="shared" si="35"/>
        <v>-10.1</v>
      </c>
      <c r="P277" s="8">
        <f>D272/B272*10^(O277/10)</f>
        <v>7.6224503234553227</v>
      </c>
      <c r="Q277" s="26"/>
      <c r="R277" s="17"/>
      <c r="S277" s="20"/>
      <c r="T277" s="17"/>
      <c r="U277" s="23"/>
    </row>
    <row r="278" spans="1:21" x14ac:dyDescent="0.25">
      <c r="A278" s="24">
        <v>4000</v>
      </c>
      <c r="B278" s="24">
        <v>3</v>
      </c>
      <c r="C278" s="17">
        <v>0.5</v>
      </c>
      <c r="D278" s="24">
        <v>470</v>
      </c>
      <c r="E278" s="24">
        <v>6</v>
      </c>
      <c r="F278" s="25">
        <v>62</v>
      </c>
      <c r="G278" s="1">
        <v>2825</v>
      </c>
      <c r="H278" s="2">
        <v>99.4</v>
      </c>
      <c r="I278" s="2">
        <v>-5.1999999999999993</v>
      </c>
      <c r="J278" s="2">
        <v>-7.1</v>
      </c>
      <c r="K278" s="2">
        <f t="shared" si="33"/>
        <v>-5.1999999999999993</v>
      </c>
      <c r="L278" s="8">
        <f t="shared" si="37"/>
        <v>3.4673685045253057E-11</v>
      </c>
      <c r="M278" s="26">
        <f>SUM(L278:L283)</f>
        <v>1.1736608417116439E-10</v>
      </c>
      <c r="N278" s="17">
        <f>10*LOG10(M278/E278)</f>
        <v>-107.08608635459507</v>
      </c>
      <c r="O278" s="9">
        <f t="shared" si="35"/>
        <v>-7.1</v>
      </c>
      <c r="P278" s="8">
        <f>D278/B278*10^(O278/10)</f>
        <v>30.547565396209368</v>
      </c>
      <c r="Q278" s="26">
        <f>SUM(P278:P283)</f>
        <v>167.56681462467802</v>
      </c>
      <c r="R278" s="17">
        <f>10*LOG10(Q278)</f>
        <v>22.241880139815748</v>
      </c>
      <c r="S278" s="18">
        <f>F278+N278-Kzt-H</f>
        <v>-45.086086354595068</v>
      </c>
      <c r="T278" s="17">
        <v>0.9</v>
      </c>
      <c r="U278" s="21">
        <f>T278*10^((S278-R278)/10)</f>
        <v>1.6651212375672444E-7</v>
      </c>
    </row>
    <row r="279" spans="1:21" x14ac:dyDescent="0.25">
      <c r="A279" s="24"/>
      <c r="B279" s="24"/>
      <c r="C279" s="17"/>
      <c r="D279" s="24"/>
      <c r="E279" s="24"/>
      <c r="F279" s="25"/>
      <c r="G279" s="1">
        <v>3425</v>
      </c>
      <c r="H279" s="2">
        <v>103.5</v>
      </c>
      <c r="I279" s="2">
        <v>-4.3</v>
      </c>
      <c r="J279" s="2">
        <v>-8.9</v>
      </c>
      <c r="K279" s="2">
        <f t="shared" si="33"/>
        <v>-4.3</v>
      </c>
      <c r="L279" s="8">
        <f t="shared" si="37"/>
        <v>1.6595869074375605E-11</v>
      </c>
      <c r="M279" s="26"/>
      <c r="N279" s="17"/>
      <c r="O279" s="9">
        <f t="shared" si="35"/>
        <v>-8.9</v>
      </c>
      <c r="P279" s="8">
        <f>D278/B278*10^(O279/10)</f>
        <v>20.18257630985909</v>
      </c>
      <c r="Q279" s="26"/>
      <c r="R279" s="17"/>
      <c r="S279" s="19"/>
      <c r="T279" s="17"/>
      <c r="U279" s="22"/>
    </row>
    <row r="280" spans="1:21" x14ac:dyDescent="0.25">
      <c r="A280" s="24"/>
      <c r="B280" s="24"/>
      <c r="C280" s="17"/>
      <c r="D280" s="24"/>
      <c r="E280" s="24"/>
      <c r="F280" s="25"/>
      <c r="G280" s="1">
        <v>4025</v>
      </c>
      <c r="H280" s="2">
        <v>103.6</v>
      </c>
      <c r="I280" s="2">
        <v>-3.8</v>
      </c>
      <c r="J280" s="2">
        <v>-6.6</v>
      </c>
      <c r="K280" s="2">
        <f t="shared" si="33"/>
        <v>-3.8</v>
      </c>
      <c r="L280" s="8">
        <f t="shared" si="37"/>
        <v>1.8197008586099825E-11</v>
      </c>
      <c r="M280" s="26"/>
      <c r="N280" s="17"/>
      <c r="O280" s="9">
        <f t="shared" si="35"/>
        <v>-6.6</v>
      </c>
      <c r="P280" s="8">
        <f>D278/B278*10^(O280/10)</f>
        <v>34.274932108542991</v>
      </c>
      <c r="Q280" s="26"/>
      <c r="R280" s="17"/>
      <c r="S280" s="19"/>
      <c r="T280" s="17"/>
      <c r="U280" s="22"/>
    </row>
    <row r="281" spans="1:21" x14ac:dyDescent="0.25">
      <c r="A281" s="24"/>
      <c r="B281" s="24"/>
      <c r="C281" s="17"/>
      <c r="D281" s="24"/>
      <c r="E281" s="24"/>
      <c r="F281" s="25"/>
      <c r="G281" s="1">
        <v>4625</v>
      </c>
      <c r="H281" s="2">
        <v>105.6</v>
      </c>
      <c r="I281" s="2">
        <v>-4.8</v>
      </c>
      <c r="J281" s="2">
        <v>-7.1</v>
      </c>
      <c r="K281" s="2">
        <f t="shared" si="33"/>
        <v>-4.8</v>
      </c>
      <c r="L281" s="8">
        <f t="shared" si="37"/>
        <v>9.1201083935590882E-12</v>
      </c>
      <c r="M281" s="26"/>
      <c r="N281" s="17"/>
      <c r="O281" s="9">
        <f t="shared" si="35"/>
        <v>-7.1</v>
      </c>
      <c r="P281" s="8">
        <f>D278/B278*10^(O281/10)</f>
        <v>30.547565396209368</v>
      </c>
      <c r="Q281" s="26"/>
      <c r="R281" s="17"/>
      <c r="S281" s="19"/>
      <c r="T281" s="17"/>
      <c r="U281" s="22"/>
    </row>
    <row r="282" spans="1:21" x14ac:dyDescent="0.25">
      <c r="A282" s="24"/>
      <c r="B282" s="24"/>
      <c r="C282" s="17"/>
      <c r="D282" s="24"/>
      <c r="E282" s="24"/>
      <c r="F282" s="25"/>
      <c r="G282" s="1">
        <v>5225</v>
      </c>
      <c r="H282" s="2">
        <v>103.5</v>
      </c>
      <c r="I282" s="2">
        <v>-4.8</v>
      </c>
      <c r="J282" s="2">
        <v>-7.9</v>
      </c>
      <c r="K282" s="2">
        <f t="shared" si="33"/>
        <v>-4.8</v>
      </c>
      <c r="L282" s="8">
        <f t="shared" si="37"/>
        <v>1.4791083881682027E-11</v>
      </c>
      <c r="M282" s="26"/>
      <c r="N282" s="17"/>
      <c r="O282" s="9">
        <f t="shared" si="35"/>
        <v>-7.9</v>
      </c>
      <c r="P282" s="8">
        <f>D278/B278*10^(O282/10)</f>
        <v>25.408358191956562</v>
      </c>
      <c r="Q282" s="26"/>
      <c r="R282" s="17"/>
      <c r="S282" s="19"/>
      <c r="T282" s="17"/>
      <c r="U282" s="22"/>
    </row>
    <row r="283" spans="1:21" x14ac:dyDescent="0.25">
      <c r="A283" s="24"/>
      <c r="B283" s="24"/>
      <c r="C283" s="17"/>
      <c r="D283" s="24"/>
      <c r="E283" s="24"/>
      <c r="F283" s="25"/>
      <c r="G283" s="1">
        <v>5625</v>
      </c>
      <c r="H283" s="2">
        <v>99.5</v>
      </c>
      <c r="I283" s="2">
        <v>-6.7</v>
      </c>
      <c r="J283" s="2">
        <v>-7.7</v>
      </c>
      <c r="K283" s="2">
        <f t="shared" si="33"/>
        <v>-6.7</v>
      </c>
      <c r="L283" s="8">
        <f t="shared" si="37"/>
        <v>2.3988329190194783E-11</v>
      </c>
      <c r="M283" s="26"/>
      <c r="N283" s="17"/>
      <c r="O283" s="9">
        <f t="shared" si="35"/>
        <v>-7.7</v>
      </c>
      <c r="P283" s="8">
        <f>D278/B278*10^(O283/10)</f>
        <v>26.605817221900658</v>
      </c>
      <c r="Q283" s="26"/>
      <c r="R283" s="17"/>
      <c r="S283" s="20"/>
      <c r="T283" s="17"/>
      <c r="U283" s="23"/>
    </row>
    <row r="284" spans="1:21" x14ac:dyDescent="0.25">
      <c r="A284" s="24">
        <v>8000</v>
      </c>
      <c r="B284" s="24">
        <v>3</v>
      </c>
      <c r="C284" s="17">
        <v>0.5</v>
      </c>
      <c r="D284" s="24">
        <v>943</v>
      </c>
      <c r="E284" s="24">
        <v>6</v>
      </c>
      <c r="F284" s="25">
        <v>54</v>
      </c>
      <c r="G284" s="1">
        <v>6025</v>
      </c>
      <c r="H284" s="2">
        <v>95</v>
      </c>
      <c r="I284" s="2">
        <v>-5.5</v>
      </c>
      <c r="J284" s="2">
        <v>-5.8</v>
      </c>
      <c r="K284" s="2">
        <f t="shared" si="33"/>
        <v>-5.5</v>
      </c>
      <c r="L284" s="8">
        <f t="shared" si="37"/>
        <v>8.9125093813374255E-11</v>
      </c>
      <c r="M284" s="26">
        <f>SUM(L284:L289)</f>
        <v>1.0275510724328499E-8</v>
      </c>
      <c r="N284" s="17">
        <f>10*LOG10(M284/E284)</f>
        <v>-87.663478335342845</v>
      </c>
      <c r="O284" s="9">
        <f t="shared" si="35"/>
        <v>-5.8</v>
      </c>
      <c r="P284" s="8">
        <f>D284/B284*10^(O284/10)</f>
        <v>82.678090545244828</v>
      </c>
      <c r="Q284" s="26">
        <f>SUM(P284:P289)</f>
        <v>741.8364700342654</v>
      </c>
      <c r="R284" s="17">
        <f>10*LOG10(Q284)</f>
        <v>28.703081802264808</v>
      </c>
      <c r="S284" s="18">
        <f>F284+N284-Kzt-H</f>
        <v>-33.663478335342845</v>
      </c>
      <c r="T284" s="17">
        <v>0.7</v>
      </c>
      <c r="U284" s="21">
        <f>T284*10^((S284-R284)/10)</f>
        <v>4.059214733865317E-7</v>
      </c>
    </row>
    <row r="285" spans="1:21" x14ac:dyDescent="0.25">
      <c r="A285" s="24"/>
      <c r="B285" s="24"/>
      <c r="C285" s="17"/>
      <c r="D285" s="24"/>
      <c r="E285" s="24"/>
      <c r="F285" s="25"/>
      <c r="G285" s="1">
        <v>7025</v>
      </c>
      <c r="H285" s="2">
        <v>94.8</v>
      </c>
      <c r="I285" s="2">
        <v>-1.1000000000000001</v>
      </c>
      <c r="J285" s="2">
        <v>-6.2</v>
      </c>
      <c r="K285" s="2">
        <f t="shared" si="33"/>
        <v>-1.1000000000000001</v>
      </c>
      <c r="L285" s="8">
        <f t="shared" si="37"/>
        <v>2.5703957827688617E-10</v>
      </c>
      <c r="M285" s="26"/>
      <c r="N285" s="17"/>
      <c r="O285" s="9">
        <f t="shared" si="35"/>
        <v>-6.2</v>
      </c>
      <c r="P285" s="8">
        <f>D284/B284*10^(O285/10)</f>
        <v>75.403314754512635</v>
      </c>
      <c r="Q285" s="26"/>
      <c r="R285" s="17"/>
      <c r="S285" s="19"/>
      <c r="T285" s="17"/>
      <c r="U285" s="22"/>
    </row>
    <row r="286" spans="1:21" x14ac:dyDescent="0.25">
      <c r="A286" s="24"/>
      <c r="B286" s="24"/>
      <c r="C286" s="17"/>
      <c r="D286" s="24"/>
      <c r="E286" s="24"/>
      <c r="F286" s="25"/>
      <c r="G286" s="1">
        <v>8025</v>
      </c>
      <c r="H286" s="2">
        <v>101.9</v>
      </c>
      <c r="I286" s="2">
        <v>-0.5</v>
      </c>
      <c r="J286" s="2">
        <v>-3.6</v>
      </c>
      <c r="K286" s="2">
        <f t="shared" si="33"/>
        <v>-0.5</v>
      </c>
      <c r="L286" s="8">
        <f t="shared" si="37"/>
        <v>5.7543993733715601E-11</v>
      </c>
      <c r="M286" s="26"/>
      <c r="N286" s="17"/>
      <c r="O286" s="9">
        <f t="shared" si="35"/>
        <v>-3.6</v>
      </c>
      <c r="P286" s="8">
        <f>D284/B284*10^(O286/10)</f>
        <v>137.21147660082548</v>
      </c>
      <c r="Q286" s="26"/>
      <c r="R286" s="17"/>
      <c r="S286" s="19"/>
      <c r="T286" s="17"/>
      <c r="U286" s="22"/>
    </row>
    <row r="287" spans="1:21" x14ac:dyDescent="0.25">
      <c r="A287" s="24"/>
      <c r="B287" s="24"/>
      <c r="C287" s="17"/>
      <c r="D287" s="24"/>
      <c r="E287" s="24"/>
      <c r="F287" s="25"/>
      <c r="G287" s="1">
        <v>9025</v>
      </c>
      <c r="H287" s="2">
        <v>93.2</v>
      </c>
      <c r="I287" s="2">
        <v>-4.4000000000000004</v>
      </c>
      <c r="J287" s="2">
        <v>-5.5</v>
      </c>
      <c r="K287" s="2">
        <f t="shared" si="33"/>
        <v>-4.4000000000000004</v>
      </c>
      <c r="L287" s="8">
        <f t="shared" si="37"/>
        <v>1.7378008287493647E-10</v>
      </c>
      <c r="M287" s="26"/>
      <c r="N287" s="17"/>
      <c r="O287" s="9">
        <f t="shared" si="35"/>
        <v>-5.5</v>
      </c>
      <c r="P287" s="8">
        <f>D284/B284*10^(O287/10)</f>
        <v>88.59117013941264</v>
      </c>
      <c r="Q287" s="26"/>
      <c r="R287" s="17"/>
      <c r="S287" s="19"/>
      <c r="T287" s="17"/>
      <c r="U287" s="22"/>
    </row>
    <row r="288" spans="1:21" x14ac:dyDescent="0.25">
      <c r="A288" s="24"/>
      <c r="B288" s="24"/>
      <c r="C288" s="17"/>
      <c r="D288" s="24"/>
      <c r="E288" s="24"/>
      <c r="F288" s="25"/>
      <c r="G288" s="1">
        <v>10025</v>
      </c>
      <c r="H288" s="2">
        <v>88.3</v>
      </c>
      <c r="I288" s="2">
        <v>-0.3</v>
      </c>
      <c r="J288" s="2">
        <v>-4.2</v>
      </c>
      <c r="K288" s="2">
        <f t="shared" si="33"/>
        <v>-0.3</v>
      </c>
      <c r="L288" s="8">
        <f t="shared" si="37"/>
        <v>1.380384264602884E-9</v>
      </c>
      <c r="M288" s="26"/>
      <c r="N288" s="17"/>
      <c r="O288" s="9">
        <f t="shared" si="35"/>
        <v>-4.2</v>
      </c>
      <c r="P288" s="8">
        <f>D284/B284*10^(O288/10)</f>
        <v>119.50620024342969</v>
      </c>
      <c r="Q288" s="26"/>
      <c r="R288" s="17"/>
      <c r="S288" s="19"/>
      <c r="T288" s="17"/>
      <c r="U288" s="22"/>
    </row>
    <row r="289" spans="1:21" x14ac:dyDescent="0.25">
      <c r="A289" s="24"/>
      <c r="B289" s="24"/>
      <c r="C289" s="17"/>
      <c r="D289" s="24"/>
      <c r="E289" s="24"/>
      <c r="F289" s="25"/>
      <c r="G289" s="1">
        <v>11025</v>
      </c>
      <c r="H289" s="2">
        <v>86</v>
      </c>
      <c r="I289" s="2">
        <v>5.2</v>
      </c>
      <c r="J289" s="2">
        <v>-1.2</v>
      </c>
      <c r="K289" s="2">
        <f t="shared" si="33"/>
        <v>5.2</v>
      </c>
      <c r="L289" s="8">
        <f t="shared" si="37"/>
        <v>8.3176377110267021E-9</v>
      </c>
      <c r="M289" s="26"/>
      <c r="N289" s="17"/>
      <c r="O289" s="9">
        <f t="shared" si="35"/>
        <v>-1.2</v>
      </c>
      <c r="P289" s="8">
        <f>D284/B284*10^(O289/10)</f>
        <v>238.44621775084005</v>
      </c>
      <c r="Q289" s="26"/>
      <c r="R289" s="17"/>
      <c r="S289" s="20"/>
      <c r="T289" s="17"/>
      <c r="U289" s="23"/>
    </row>
    <row r="290" spans="1:21" x14ac:dyDescent="0.25">
      <c r="A290" s="24" t="s">
        <v>20</v>
      </c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12">
        <f>U290</f>
        <v>8.1695072849936684E-2</v>
      </c>
      <c r="T290" s="2"/>
      <c r="U290" s="8">
        <f>0.8*SQRT(SUM(U256:U289))</f>
        <v>8.1695072849936684E-2</v>
      </c>
    </row>
    <row r="291" spans="1:21" x14ac:dyDescent="0.25">
      <c r="A291" s="27" t="s">
        <v>80</v>
      </c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9"/>
    </row>
    <row r="292" spans="1:21" x14ac:dyDescent="0.25">
      <c r="A292" s="24">
        <v>250</v>
      </c>
      <c r="B292" s="24">
        <v>3</v>
      </c>
      <c r="C292" s="17">
        <v>0.5</v>
      </c>
      <c r="D292" s="24">
        <v>38</v>
      </c>
      <c r="E292" s="24">
        <v>4</v>
      </c>
      <c r="F292" s="25">
        <v>84</v>
      </c>
      <c r="G292" s="1">
        <v>175</v>
      </c>
      <c r="H292" s="2">
        <v>84.8</v>
      </c>
      <c r="I292" s="2">
        <v>-6.5</v>
      </c>
      <c r="J292" s="2">
        <v>-8.4</v>
      </c>
      <c r="K292" s="2">
        <f>I292</f>
        <v>-6.5</v>
      </c>
      <c r="L292" s="8">
        <f>10^((K292-H292)/10)</f>
        <v>7.4131024130091898E-10</v>
      </c>
      <c r="M292" s="26">
        <f>SUM(L292:L295)</f>
        <v>9.7923450951754336E-10</v>
      </c>
      <c r="N292" s="17">
        <f>10*LOG10(M292/E292)</f>
        <v>-96.111732811456022</v>
      </c>
      <c r="O292" s="9">
        <f>J292</f>
        <v>-8.4</v>
      </c>
      <c r="P292" s="8">
        <f>D292/B292*10^(O292/10)</f>
        <v>1.8308903762781739</v>
      </c>
      <c r="Q292" s="26">
        <f>SUM(P292:P295)</f>
        <v>4.2033314035634977</v>
      </c>
      <c r="R292" s="17">
        <f>10*LOG10(Q292)</f>
        <v>6.2359363246676178</v>
      </c>
      <c r="S292" s="18">
        <f>F292+N292-Kzt-H</f>
        <v>-12.111732811456022</v>
      </c>
      <c r="T292" s="17">
        <v>0.2</v>
      </c>
      <c r="U292" s="21">
        <f>T292*10^((S292-R292)/10)</f>
        <v>2.9259242747761267E-3</v>
      </c>
    </row>
    <row r="293" spans="1:21" x14ac:dyDescent="0.25">
      <c r="A293" s="24"/>
      <c r="B293" s="24"/>
      <c r="C293" s="17"/>
      <c r="D293" s="24"/>
      <c r="E293" s="24"/>
      <c r="F293" s="25"/>
      <c r="G293" s="1">
        <v>225</v>
      </c>
      <c r="H293" s="2">
        <v>90</v>
      </c>
      <c r="I293" s="2">
        <v>-11.3</v>
      </c>
      <c r="J293" s="2">
        <v>-11.5</v>
      </c>
      <c r="K293" s="2">
        <f t="shared" ref="K293:K325" si="38">I293</f>
        <v>-11.3</v>
      </c>
      <c r="L293" s="8">
        <f t="shared" ref="L293:L294" si="39">10^((K293-H293)/10)</f>
        <v>7.413102413009181E-11</v>
      </c>
      <c r="M293" s="26"/>
      <c r="N293" s="17"/>
      <c r="O293" s="9">
        <f t="shared" ref="O293:O325" si="40">J293</f>
        <v>-11.5</v>
      </c>
      <c r="P293" s="8">
        <f>D292/B292*10^(O293/10)</f>
        <v>0.89673132688657464</v>
      </c>
      <c r="Q293" s="26"/>
      <c r="R293" s="17"/>
      <c r="S293" s="19"/>
      <c r="T293" s="17"/>
      <c r="U293" s="22"/>
    </row>
    <row r="294" spans="1:21" x14ac:dyDescent="0.25">
      <c r="A294" s="24"/>
      <c r="B294" s="24"/>
      <c r="C294" s="17"/>
      <c r="D294" s="24"/>
      <c r="E294" s="24"/>
      <c r="F294" s="25"/>
      <c r="G294" s="1">
        <v>275</v>
      </c>
      <c r="H294" s="2">
        <v>92.2</v>
      </c>
      <c r="I294" s="2">
        <v>-10.9</v>
      </c>
      <c r="J294" s="2">
        <v>-11.5</v>
      </c>
      <c r="K294" s="2">
        <f t="shared" si="38"/>
        <v>-10.9</v>
      </c>
      <c r="L294" s="8">
        <f t="shared" si="39"/>
        <v>4.8977881936844399E-11</v>
      </c>
      <c r="M294" s="26"/>
      <c r="N294" s="17"/>
      <c r="O294" s="9">
        <f t="shared" si="40"/>
        <v>-11.5</v>
      </c>
      <c r="P294" s="8">
        <f>D292/B292*10^(O294/10)</f>
        <v>0.89673132688657464</v>
      </c>
      <c r="Q294" s="26"/>
      <c r="R294" s="17"/>
      <c r="S294" s="19"/>
      <c r="T294" s="17"/>
      <c r="U294" s="22"/>
    </row>
    <row r="295" spans="1:21" x14ac:dyDescent="0.25">
      <c r="A295" s="24"/>
      <c r="B295" s="24"/>
      <c r="C295" s="17"/>
      <c r="D295" s="24"/>
      <c r="E295" s="24"/>
      <c r="F295" s="25"/>
      <c r="G295" s="1">
        <v>325</v>
      </c>
      <c r="H295" s="2">
        <v>93.3</v>
      </c>
      <c r="I295" s="2">
        <v>-6.1</v>
      </c>
      <c r="J295" s="2">
        <v>-13.4</v>
      </c>
      <c r="K295" s="2">
        <f t="shared" si="38"/>
        <v>-6.1</v>
      </c>
      <c r="L295" s="8">
        <f>10^((K295-H295)/10)</f>
        <v>1.1481536214968818E-10</v>
      </c>
      <c r="M295" s="26"/>
      <c r="N295" s="17"/>
      <c r="O295" s="9">
        <f t="shared" si="40"/>
        <v>-13.4</v>
      </c>
      <c r="P295" s="8">
        <f>D292/B292*10^(O295/10)</f>
        <v>0.57897837351217474</v>
      </c>
      <c r="Q295" s="26"/>
      <c r="R295" s="17"/>
      <c r="S295" s="20"/>
      <c r="T295" s="17"/>
      <c r="U295" s="23"/>
    </row>
    <row r="296" spans="1:21" x14ac:dyDescent="0.25">
      <c r="A296" s="24">
        <v>500</v>
      </c>
      <c r="B296" s="24">
        <v>3</v>
      </c>
      <c r="C296" s="17">
        <v>0.5</v>
      </c>
      <c r="D296" s="24">
        <v>59</v>
      </c>
      <c r="E296" s="24">
        <v>6</v>
      </c>
      <c r="F296" s="25">
        <v>84</v>
      </c>
      <c r="G296" s="1">
        <v>375</v>
      </c>
      <c r="H296" s="2">
        <v>91.9</v>
      </c>
      <c r="I296" s="2">
        <v>-8.3000000000000007</v>
      </c>
      <c r="J296" s="2">
        <v>-8.9</v>
      </c>
      <c r="K296" s="2">
        <f t="shared" si="38"/>
        <v>-8.3000000000000007</v>
      </c>
      <c r="L296" s="8">
        <f t="shared" ref="L296:L297" si="41">10^((K296-H296)/10)</f>
        <v>9.5499258602143585E-11</v>
      </c>
      <c r="M296" s="26">
        <f>SUM(L296:L301)</f>
        <v>5.2220749958315291E-10</v>
      </c>
      <c r="N296" s="17">
        <f>10*LOG10(M296/E296)</f>
        <v>-100.60308145814773</v>
      </c>
      <c r="O296" s="9">
        <f t="shared" si="40"/>
        <v>-8.9</v>
      </c>
      <c r="P296" s="8">
        <f>D296/B296*10^(O296/10)</f>
        <v>2.5335574516631629</v>
      </c>
      <c r="Q296" s="26">
        <f>SUM(P296:P301)</f>
        <v>11.184725288256358</v>
      </c>
      <c r="R296" s="17">
        <f>10*LOG10(Q296)</f>
        <v>10.486253217129775</v>
      </c>
      <c r="S296" s="18">
        <f>F296+N296-Kzt-H</f>
        <v>-16.603081458147727</v>
      </c>
      <c r="T296" s="17">
        <v>0.5</v>
      </c>
      <c r="U296" s="21">
        <f>T296*10^((S296-R296)/10)</f>
        <v>9.7731943851192722E-4</v>
      </c>
    </row>
    <row r="297" spans="1:21" x14ac:dyDescent="0.25">
      <c r="A297" s="24"/>
      <c r="B297" s="24"/>
      <c r="C297" s="17"/>
      <c r="D297" s="24"/>
      <c r="E297" s="24"/>
      <c r="F297" s="25"/>
      <c r="G297" s="1">
        <v>425</v>
      </c>
      <c r="H297" s="2">
        <v>88.1</v>
      </c>
      <c r="I297" s="2">
        <v>-12.4</v>
      </c>
      <c r="J297" s="2">
        <v>-13.5</v>
      </c>
      <c r="K297" s="2">
        <f t="shared" si="38"/>
        <v>-12.4</v>
      </c>
      <c r="L297" s="8">
        <f t="shared" si="41"/>
        <v>8.9125093813374255E-11</v>
      </c>
      <c r="M297" s="26"/>
      <c r="N297" s="17"/>
      <c r="O297" s="9">
        <f t="shared" si="40"/>
        <v>-13.5</v>
      </c>
      <c r="P297" s="8">
        <f>D296/B296*10^(O297/10)</f>
        <v>0.8784777312302271</v>
      </c>
      <c r="Q297" s="26"/>
      <c r="R297" s="17"/>
      <c r="S297" s="19"/>
      <c r="T297" s="17"/>
      <c r="U297" s="22"/>
    </row>
    <row r="298" spans="1:21" x14ac:dyDescent="0.25">
      <c r="A298" s="24"/>
      <c r="B298" s="24"/>
      <c r="C298" s="17"/>
      <c r="D298" s="24"/>
      <c r="E298" s="24"/>
      <c r="F298" s="25"/>
      <c r="G298" s="1">
        <v>475</v>
      </c>
      <c r="H298" s="2">
        <v>90</v>
      </c>
      <c r="I298" s="2">
        <v>-8.5</v>
      </c>
      <c r="J298" s="2">
        <v>-28.6</v>
      </c>
      <c r="K298" s="2">
        <f t="shared" si="38"/>
        <v>-8.5</v>
      </c>
      <c r="L298" s="8">
        <f>10^((K298-H298)/10)</f>
        <v>1.4125375446227517E-10</v>
      </c>
      <c r="M298" s="26"/>
      <c r="N298" s="17"/>
      <c r="O298" s="9">
        <f t="shared" si="40"/>
        <v>-28.6</v>
      </c>
      <c r="P298" s="8">
        <f>D296/B296*10^(O298/10)</f>
        <v>2.7147557203856709E-2</v>
      </c>
      <c r="Q298" s="26"/>
      <c r="R298" s="17"/>
      <c r="S298" s="19"/>
      <c r="T298" s="17"/>
      <c r="U298" s="22"/>
    </row>
    <row r="299" spans="1:21" x14ac:dyDescent="0.25">
      <c r="A299" s="24"/>
      <c r="B299" s="24"/>
      <c r="C299" s="17"/>
      <c r="D299" s="24"/>
      <c r="E299" s="24"/>
      <c r="F299" s="25"/>
      <c r="G299" s="1">
        <v>575</v>
      </c>
      <c r="H299" s="2">
        <v>97</v>
      </c>
      <c r="I299" s="2">
        <v>-5.6000000000000005</v>
      </c>
      <c r="J299" s="2">
        <v>-6.2</v>
      </c>
      <c r="K299" s="2">
        <f t="shared" si="38"/>
        <v>-5.6000000000000005</v>
      </c>
      <c r="L299" s="8">
        <f t="shared" ref="L299:L325" si="42">10^((K299-H299)/10)</f>
        <v>5.4954087385762376E-11</v>
      </c>
      <c r="M299" s="26"/>
      <c r="N299" s="17"/>
      <c r="O299" s="9">
        <f t="shared" si="40"/>
        <v>-6.2</v>
      </c>
      <c r="P299" s="8">
        <f>D296/B296*10^(O299/10)</f>
        <v>4.7177047407383306</v>
      </c>
      <c r="Q299" s="26"/>
      <c r="R299" s="17"/>
      <c r="S299" s="19"/>
      <c r="T299" s="17"/>
      <c r="U299" s="22"/>
    </row>
    <row r="300" spans="1:21" x14ac:dyDescent="0.25">
      <c r="A300" s="24"/>
      <c r="B300" s="24"/>
      <c r="C300" s="17"/>
      <c r="D300" s="24"/>
      <c r="E300" s="24"/>
      <c r="F300" s="25"/>
      <c r="G300" s="1">
        <v>625</v>
      </c>
      <c r="H300" s="2">
        <v>92</v>
      </c>
      <c r="I300" s="2">
        <v>-8.1</v>
      </c>
      <c r="J300" s="2">
        <v>-10.1</v>
      </c>
      <c r="K300" s="2">
        <f t="shared" si="38"/>
        <v>-8.1</v>
      </c>
      <c r="L300" s="8">
        <f t="shared" si="42"/>
        <v>9.7723722095581033E-11</v>
      </c>
      <c r="M300" s="26"/>
      <c r="N300" s="17"/>
      <c r="O300" s="9">
        <f t="shared" si="40"/>
        <v>-10.1</v>
      </c>
      <c r="P300" s="8">
        <f>D296/B296*10^(O300/10)</f>
        <v>1.921899867879761</v>
      </c>
      <c r="Q300" s="26"/>
      <c r="R300" s="17"/>
      <c r="S300" s="19"/>
      <c r="T300" s="17"/>
      <c r="U300" s="22"/>
    </row>
    <row r="301" spans="1:21" x14ac:dyDescent="0.25">
      <c r="A301" s="24"/>
      <c r="B301" s="24"/>
      <c r="C301" s="17"/>
      <c r="D301" s="24"/>
      <c r="E301" s="24"/>
      <c r="F301" s="25"/>
      <c r="G301" s="1">
        <v>675</v>
      </c>
      <c r="H301" s="2">
        <v>94.5</v>
      </c>
      <c r="I301" s="2">
        <v>-9.1</v>
      </c>
      <c r="J301" s="2">
        <v>-12.5</v>
      </c>
      <c r="K301" s="2">
        <f t="shared" si="38"/>
        <v>-9.1</v>
      </c>
      <c r="L301" s="8">
        <f t="shared" si="42"/>
        <v>4.3651583224016577E-11</v>
      </c>
      <c r="M301" s="26"/>
      <c r="N301" s="17"/>
      <c r="O301" s="9">
        <f t="shared" si="40"/>
        <v>-12.5</v>
      </c>
      <c r="P301" s="8">
        <f>D296/B296*10^(O301/10)</f>
        <v>1.1059379395410194</v>
      </c>
      <c r="Q301" s="26"/>
      <c r="R301" s="17"/>
      <c r="S301" s="20"/>
      <c r="T301" s="17"/>
      <c r="U301" s="23"/>
    </row>
    <row r="302" spans="1:21" x14ac:dyDescent="0.25">
      <c r="A302" s="24">
        <v>1000</v>
      </c>
      <c r="B302" s="24">
        <v>3</v>
      </c>
      <c r="C302" s="17">
        <v>0.5</v>
      </c>
      <c r="D302" s="24">
        <v>117</v>
      </c>
      <c r="E302" s="24">
        <v>6</v>
      </c>
      <c r="F302" s="25">
        <v>76</v>
      </c>
      <c r="G302" s="1">
        <v>875</v>
      </c>
      <c r="H302" s="2">
        <v>91.1</v>
      </c>
      <c r="I302" s="2">
        <v>-1</v>
      </c>
      <c r="J302" s="2">
        <v>-13.7</v>
      </c>
      <c r="K302" s="2">
        <f t="shared" si="38"/>
        <v>-1</v>
      </c>
      <c r="L302" s="8">
        <f t="shared" si="42"/>
        <v>6.1659500186148165E-10</v>
      </c>
      <c r="M302" s="26">
        <f>SUM(L302:L307)</f>
        <v>5.0931447799276877E-9</v>
      </c>
      <c r="N302" s="17">
        <f>10*LOG10(M302/E302)</f>
        <v>-90.711652285899532</v>
      </c>
      <c r="O302" s="9">
        <f t="shared" si="40"/>
        <v>-13.7</v>
      </c>
      <c r="P302" s="8">
        <f>D302/B302*10^(O302/10)</f>
        <v>1.6636601233262109</v>
      </c>
      <c r="Q302" s="26">
        <f>SUM(P302:P307)</f>
        <v>496.76933895067361</v>
      </c>
      <c r="R302" s="17">
        <f>10*LOG10(Q302)</f>
        <v>26.961547829506113</v>
      </c>
      <c r="S302" s="18">
        <f>F302+N302-Kzt-H</f>
        <v>-14.711652285899532</v>
      </c>
      <c r="T302" s="17">
        <v>0.8</v>
      </c>
      <c r="U302" s="21">
        <f>T302*10^((S302-R302)/10)</f>
        <v>5.4421433277645824E-5</v>
      </c>
    </row>
    <row r="303" spans="1:21" x14ac:dyDescent="0.25">
      <c r="A303" s="24"/>
      <c r="B303" s="24"/>
      <c r="C303" s="17"/>
      <c r="D303" s="24"/>
      <c r="E303" s="24"/>
      <c r="F303" s="25"/>
      <c r="G303" s="1">
        <v>975</v>
      </c>
      <c r="H303" s="2">
        <v>96.5</v>
      </c>
      <c r="I303" s="2">
        <v>-4.5</v>
      </c>
      <c r="J303" s="2">
        <v>-5.2</v>
      </c>
      <c r="K303" s="2">
        <f t="shared" si="38"/>
        <v>-4.5</v>
      </c>
      <c r="L303" s="8">
        <f t="shared" si="42"/>
        <v>7.943282347242792E-11</v>
      </c>
      <c r="M303" s="26"/>
      <c r="N303" s="17"/>
      <c r="O303" s="9">
        <f t="shared" si="40"/>
        <v>-5.2</v>
      </c>
      <c r="P303" s="8">
        <f>D302/B302*10^(O303/10)</f>
        <v>11.77781170956786</v>
      </c>
      <c r="Q303" s="26"/>
      <c r="R303" s="17"/>
      <c r="S303" s="19"/>
      <c r="T303" s="17"/>
      <c r="U303" s="22"/>
    </row>
    <row r="304" spans="1:21" x14ac:dyDescent="0.25">
      <c r="A304" s="24"/>
      <c r="B304" s="24"/>
      <c r="C304" s="17"/>
      <c r="D304" s="24"/>
      <c r="E304" s="24"/>
      <c r="F304" s="25"/>
      <c r="G304" s="1">
        <v>1075</v>
      </c>
      <c r="H304" s="2">
        <v>94.6</v>
      </c>
      <c r="I304" s="2">
        <v>10.6</v>
      </c>
      <c r="J304" s="2">
        <v>9.4</v>
      </c>
      <c r="K304" s="2">
        <f t="shared" si="38"/>
        <v>10.6</v>
      </c>
      <c r="L304" s="8">
        <f t="shared" si="42"/>
        <v>3.9810717055349665E-9</v>
      </c>
      <c r="M304" s="26"/>
      <c r="N304" s="17"/>
      <c r="O304" s="9">
        <f t="shared" si="40"/>
        <v>9.4</v>
      </c>
      <c r="P304" s="8">
        <f>D302/B302*10^(O304/10)</f>
        <v>339.67580008287155</v>
      </c>
      <c r="Q304" s="26"/>
      <c r="R304" s="17"/>
      <c r="S304" s="19"/>
      <c r="T304" s="17"/>
      <c r="U304" s="22"/>
    </row>
    <row r="305" spans="1:21" x14ac:dyDescent="0.25">
      <c r="A305" s="24"/>
      <c r="B305" s="24"/>
      <c r="C305" s="17"/>
      <c r="D305" s="24"/>
      <c r="E305" s="24"/>
      <c r="F305" s="25"/>
      <c r="G305" s="1">
        <v>1175</v>
      </c>
      <c r="H305" s="2">
        <v>97.8</v>
      </c>
      <c r="I305" s="2">
        <v>-11.6</v>
      </c>
      <c r="J305" s="2">
        <v>-11.6</v>
      </c>
      <c r="K305" s="2">
        <f t="shared" si="38"/>
        <v>-11.6</v>
      </c>
      <c r="L305" s="8">
        <f t="shared" si="42"/>
        <v>1.1481536214968803E-11</v>
      </c>
      <c r="M305" s="26"/>
      <c r="N305" s="17"/>
      <c r="O305" s="9">
        <f t="shared" si="40"/>
        <v>-11.6</v>
      </c>
      <c r="P305" s="8">
        <f>D302/B302*10^(O305/10)</f>
        <v>2.6981407865838523</v>
      </c>
      <c r="Q305" s="26"/>
      <c r="R305" s="17"/>
      <c r="S305" s="19"/>
      <c r="T305" s="17"/>
      <c r="U305" s="22"/>
    </row>
    <row r="306" spans="1:21" x14ac:dyDescent="0.25">
      <c r="A306" s="24"/>
      <c r="B306" s="24"/>
      <c r="C306" s="17"/>
      <c r="D306" s="24"/>
      <c r="E306" s="24"/>
      <c r="F306" s="25"/>
      <c r="G306" s="1">
        <v>1275</v>
      </c>
      <c r="H306" s="2">
        <v>100.1</v>
      </c>
      <c r="I306" s="2">
        <v>6.1</v>
      </c>
      <c r="J306" s="2">
        <v>5.5</v>
      </c>
      <c r="K306" s="2">
        <f t="shared" si="38"/>
        <v>6.1</v>
      </c>
      <c r="L306" s="8">
        <f t="shared" si="42"/>
        <v>3.9810717055349621E-10</v>
      </c>
      <c r="M306" s="26"/>
      <c r="N306" s="17"/>
      <c r="O306" s="9">
        <f t="shared" si="40"/>
        <v>5.5</v>
      </c>
      <c r="P306" s="8">
        <f>D302/B302*10^(O306/10)</f>
        <v>138.37722180109446</v>
      </c>
      <c r="Q306" s="26"/>
      <c r="R306" s="17"/>
      <c r="S306" s="19"/>
      <c r="T306" s="17"/>
      <c r="U306" s="22"/>
    </row>
    <row r="307" spans="1:21" x14ac:dyDescent="0.25">
      <c r="A307" s="24"/>
      <c r="B307" s="24"/>
      <c r="C307" s="17"/>
      <c r="D307" s="24"/>
      <c r="E307" s="24"/>
      <c r="F307" s="25"/>
      <c r="G307" s="1">
        <v>1375</v>
      </c>
      <c r="H307" s="2">
        <v>103</v>
      </c>
      <c r="I307" s="2">
        <v>-8.9</v>
      </c>
      <c r="J307" s="2">
        <v>-11.8</v>
      </c>
      <c r="K307" s="2">
        <f t="shared" si="38"/>
        <v>-8.9</v>
      </c>
      <c r="L307" s="8">
        <f t="shared" si="42"/>
        <v>6.4565422903465118E-12</v>
      </c>
      <c r="M307" s="26"/>
      <c r="N307" s="17"/>
      <c r="O307" s="9">
        <f t="shared" si="40"/>
        <v>-11.8</v>
      </c>
      <c r="P307" s="8">
        <f>D302/B302*10^(O307/10)</f>
        <v>2.5767044472296226</v>
      </c>
      <c r="Q307" s="26"/>
      <c r="R307" s="17"/>
      <c r="S307" s="20"/>
      <c r="T307" s="17"/>
      <c r="U307" s="23"/>
    </row>
    <row r="308" spans="1:21" x14ac:dyDescent="0.25">
      <c r="A308" s="24">
        <v>2000</v>
      </c>
      <c r="B308" s="24">
        <v>3</v>
      </c>
      <c r="C308" s="17">
        <v>0.5</v>
      </c>
      <c r="D308" s="24">
        <v>234</v>
      </c>
      <c r="E308" s="24">
        <v>6</v>
      </c>
      <c r="F308" s="25">
        <v>68</v>
      </c>
      <c r="G308" s="1">
        <v>1425</v>
      </c>
      <c r="H308" s="2">
        <v>102.8</v>
      </c>
      <c r="I308" s="2">
        <v>3.5</v>
      </c>
      <c r="J308" s="2">
        <v>-6.1</v>
      </c>
      <c r="K308" s="2">
        <f t="shared" si="38"/>
        <v>3.5</v>
      </c>
      <c r="L308" s="8">
        <f t="shared" si="42"/>
        <v>1.1748975549395284E-10</v>
      </c>
      <c r="M308" s="26">
        <f>SUM(L308:L313)</f>
        <v>2.916163495274404E-10</v>
      </c>
      <c r="N308" s="17">
        <f>10*LOG10(M308/E308)</f>
        <v>-103.13339381250395</v>
      </c>
      <c r="O308" s="9">
        <f t="shared" si="40"/>
        <v>-6.1</v>
      </c>
      <c r="P308" s="8">
        <f>D308/B308*10^(O308/10)</f>
        <v>19.146729542343234</v>
      </c>
      <c r="Q308" s="26">
        <f>SUM(P308:P313)</f>
        <v>66.821899294715934</v>
      </c>
      <c r="R308" s="17">
        <f>10*LOG10(Q308)</f>
        <v>18.249188155327623</v>
      </c>
      <c r="S308" s="18">
        <f>F308+N308-Kzt-H</f>
        <v>-35.133393812503954</v>
      </c>
      <c r="T308" s="17">
        <v>1</v>
      </c>
      <c r="U308" s="21">
        <f>T308*10^((S308-R308)/10)</f>
        <v>4.5892509154153894E-6</v>
      </c>
    </row>
    <row r="309" spans="1:21" x14ac:dyDescent="0.25">
      <c r="A309" s="24"/>
      <c r="B309" s="24"/>
      <c r="C309" s="17"/>
      <c r="D309" s="24"/>
      <c r="E309" s="24"/>
      <c r="F309" s="25"/>
      <c r="G309" s="1">
        <v>1625</v>
      </c>
      <c r="H309" s="2">
        <v>104.1</v>
      </c>
      <c r="I309" s="2">
        <v>-1.8</v>
      </c>
      <c r="J309" s="2">
        <v>-7.9</v>
      </c>
      <c r="K309" s="2">
        <f t="shared" si="38"/>
        <v>-1.8</v>
      </c>
      <c r="L309" s="8">
        <f t="shared" si="42"/>
        <v>2.5703957827688591E-11</v>
      </c>
      <c r="M309" s="26"/>
      <c r="N309" s="17"/>
      <c r="O309" s="9">
        <f t="shared" si="40"/>
        <v>-7.9</v>
      </c>
      <c r="P309" s="8">
        <f>D308/B308*10^(O309/10)</f>
        <v>12.650118759399652</v>
      </c>
      <c r="Q309" s="26"/>
      <c r="R309" s="17"/>
      <c r="S309" s="19"/>
      <c r="T309" s="17"/>
      <c r="U309" s="22"/>
    </row>
    <row r="310" spans="1:21" x14ac:dyDescent="0.25">
      <c r="A310" s="24"/>
      <c r="B310" s="24"/>
      <c r="C310" s="17"/>
      <c r="D310" s="24"/>
      <c r="E310" s="24"/>
      <c r="F310" s="25"/>
      <c r="G310" s="1">
        <v>1825</v>
      </c>
      <c r="H310" s="2">
        <v>107.6</v>
      </c>
      <c r="I310" s="2">
        <v>-5.5</v>
      </c>
      <c r="J310" s="2">
        <v>-14.3</v>
      </c>
      <c r="K310" s="2">
        <f t="shared" si="38"/>
        <v>-5.5</v>
      </c>
      <c r="L310" s="8">
        <f t="shared" si="42"/>
        <v>4.8977881936844688E-12</v>
      </c>
      <c r="M310" s="26"/>
      <c r="N310" s="17"/>
      <c r="O310" s="9">
        <f t="shared" si="40"/>
        <v>-14.3</v>
      </c>
      <c r="P310" s="8">
        <f>D308/B308*10^(O310/10)</f>
        <v>2.8979747869579442</v>
      </c>
      <c r="Q310" s="26"/>
      <c r="R310" s="17"/>
      <c r="S310" s="19"/>
      <c r="T310" s="17"/>
      <c r="U310" s="22"/>
    </row>
    <row r="311" spans="1:21" x14ac:dyDescent="0.25">
      <c r="A311" s="24"/>
      <c r="B311" s="24"/>
      <c r="C311" s="17"/>
      <c r="D311" s="24"/>
      <c r="E311" s="24"/>
      <c r="F311" s="25"/>
      <c r="G311" s="1">
        <v>2125</v>
      </c>
      <c r="H311" s="2">
        <v>104.2</v>
      </c>
      <c r="I311" s="2">
        <v>-2.9</v>
      </c>
      <c r="J311" s="2">
        <v>-11.3</v>
      </c>
      <c r="K311" s="2">
        <f t="shared" si="38"/>
        <v>-2.9</v>
      </c>
      <c r="L311" s="8">
        <f t="shared" si="42"/>
        <v>1.9498445997580369E-11</v>
      </c>
      <c r="M311" s="26"/>
      <c r="N311" s="17"/>
      <c r="O311" s="9">
        <f t="shared" si="40"/>
        <v>-11.3</v>
      </c>
      <c r="P311" s="8">
        <f>D308/B308*10^(O311/10)</f>
        <v>5.7822198821471549</v>
      </c>
      <c r="Q311" s="26"/>
      <c r="R311" s="17"/>
      <c r="S311" s="19"/>
      <c r="T311" s="17"/>
      <c r="U311" s="22"/>
    </row>
    <row r="312" spans="1:21" x14ac:dyDescent="0.25">
      <c r="A312" s="24"/>
      <c r="B312" s="24"/>
      <c r="C312" s="17"/>
      <c r="D312" s="24"/>
      <c r="E312" s="24"/>
      <c r="F312" s="25"/>
      <c r="G312" s="1">
        <v>2425</v>
      </c>
      <c r="H312" s="2">
        <v>93.7</v>
      </c>
      <c r="I312" s="2">
        <v>-6.3999999999999995</v>
      </c>
      <c r="J312" s="2">
        <v>-6.8</v>
      </c>
      <c r="K312" s="2">
        <f t="shared" si="38"/>
        <v>-6.3999999999999995</v>
      </c>
      <c r="L312" s="8">
        <f t="shared" si="42"/>
        <v>9.7723722095580348E-11</v>
      </c>
      <c r="M312" s="26"/>
      <c r="N312" s="17"/>
      <c r="O312" s="9">
        <f t="shared" si="40"/>
        <v>-6.8</v>
      </c>
      <c r="P312" s="8">
        <f>D308/B308*10^(O312/10)</f>
        <v>16.296509820661509</v>
      </c>
      <c r="Q312" s="26"/>
      <c r="R312" s="17"/>
      <c r="S312" s="19"/>
      <c r="T312" s="17"/>
      <c r="U312" s="22"/>
    </row>
    <row r="313" spans="1:21" x14ac:dyDescent="0.25">
      <c r="A313" s="24"/>
      <c r="B313" s="24"/>
      <c r="C313" s="17"/>
      <c r="D313" s="24"/>
      <c r="E313" s="24"/>
      <c r="F313" s="25"/>
      <c r="G313" s="1">
        <v>2775</v>
      </c>
      <c r="H313" s="2">
        <v>100.2</v>
      </c>
      <c r="I313" s="2">
        <v>-5.6</v>
      </c>
      <c r="J313" s="2">
        <v>-8.9</v>
      </c>
      <c r="K313" s="2">
        <f t="shared" si="38"/>
        <v>-5.6</v>
      </c>
      <c r="L313" s="8">
        <f t="shared" si="42"/>
        <v>2.6302679918953769E-11</v>
      </c>
      <c r="M313" s="26"/>
      <c r="N313" s="17"/>
      <c r="O313" s="9">
        <f t="shared" si="40"/>
        <v>-8.9</v>
      </c>
      <c r="P313" s="8">
        <f>D308/B308*10^(O313/10)</f>
        <v>10.048346503206442</v>
      </c>
      <c r="Q313" s="26"/>
      <c r="R313" s="17"/>
      <c r="S313" s="20"/>
      <c r="T313" s="17"/>
      <c r="U313" s="23"/>
    </row>
    <row r="314" spans="1:21" x14ac:dyDescent="0.25">
      <c r="A314" s="24">
        <v>4000</v>
      </c>
      <c r="B314" s="24">
        <v>3</v>
      </c>
      <c r="C314" s="17">
        <v>0.5</v>
      </c>
      <c r="D314" s="24">
        <v>470</v>
      </c>
      <c r="E314" s="24">
        <v>6</v>
      </c>
      <c r="F314" s="25">
        <v>62</v>
      </c>
      <c r="G314" s="1">
        <v>2825</v>
      </c>
      <c r="H314" s="2">
        <v>99.4</v>
      </c>
      <c r="I314" s="2">
        <v>-0.2</v>
      </c>
      <c r="J314" s="2">
        <v>-0.5</v>
      </c>
      <c r="K314" s="2">
        <f t="shared" si="38"/>
        <v>-0.2</v>
      </c>
      <c r="L314" s="8">
        <f t="shared" si="42"/>
        <v>1.0964781961431802E-10</v>
      </c>
      <c r="M314" s="26">
        <f>SUM(L314:L319)</f>
        <v>3.2743676839813093E-10</v>
      </c>
      <c r="N314" s="17">
        <f>10*LOG10(M314/E314)</f>
        <v>-102.63023804947827</v>
      </c>
      <c r="O314" s="9">
        <f t="shared" si="40"/>
        <v>-0.5</v>
      </c>
      <c r="P314" s="8">
        <f>D314/B314*10^(O314/10)</f>
        <v>139.62931364095346</v>
      </c>
      <c r="Q314" s="26">
        <f>SUM(P314:P319)</f>
        <v>360.50318864232548</v>
      </c>
      <c r="R314" s="17">
        <f>10*LOG10(Q314)</f>
        <v>25.569091103970358</v>
      </c>
      <c r="S314" s="18">
        <f>F314+N314-Kzt-H</f>
        <v>-40.630238049478265</v>
      </c>
      <c r="T314" s="17">
        <v>0.9</v>
      </c>
      <c r="U314" s="21">
        <f>T314*10^((S314-R314)/10)</f>
        <v>2.1592831417805207E-7</v>
      </c>
    </row>
    <row r="315" spans="1:21" x14ac:dyDescent="0.25">
      <c r="A315" s="24"/>
      <c r="B315" s="24"/>
      <c r="C315" s="17"/>
      <c r="D315" s="24"/>
      <c r="E315" s="24"/>
      <c r="F315" s="25"/>
      <c r="G315" s="1">
        <v>3425</v>
      </c>
      <c r="H315" s="2">
        <v>103.5</v>
      </c>
      <c r="I315" s="2">
        <v>-3.1</v>
      </c>
      <c r="J315" s="2">
        <v>-11.1</v>
      </c>
      <c r="K315" s="2">
        <f t="shared" si="38"/>
        <v>-3.1</v>
      </c>
      <c r="L315" s="8">
        <f t="shared" si="42"/>
        <v>2.1877616239495499E-11</v>
      </c>
      <c r="M315" s="26"/>
      <c r="N315" s="17"/>
      <c r="O315" s="9">
        <f t="shared" si="40"/>
        <v>-11.1</v>
      </c>
      <c r="P315" s="8">
        <f>D314/B314*10^(O315/10)</f>
        <v>12.161204827182834</v>
      </c>
      <c r="Q315" s="26"/>
      <c r="R315" s="17"/>
      <c r="S315" s="19"/>
      <c r="T315" s="17"/>
      <c r="U315" s="22"/>
    </row>
    <row r="316" spans="1:21" x14ac:dyDescent="0.25">
      <c r="A316" s="24"/>
      <c r="B316" s="24"/>
      <c r="C316" s="17"/>
      <c r="D316" s="24"/>
      <c r="E316" s="24"/>
      <c r="F316" s="25"/>
      <c r="G316" s="1">
        <v>4025</v>
      </c>
      <c r="H316" s="2">
        <v>103.6</v>
      </c>
      <c r="I316" s="2">
        <v>-5.0999999999999996</v>
      </c>
      <c r="J316" s="2">
        <v>-9.3000000000000007</v>
      </c>
      <c r="K316" s="2">
        <f t="shared" si="38"/>
        <v>-5.0999999999999996</v>
      </c>
      <c r="L316" s="8">
        <f t="shared" si="42"/>
        <v>1.3489628825916547E-11</v>
      </c>
      <c r="M316" s="26"/>
      <c r="N316" s="17"/>
      <c r="O316" s="9">
        <f t="shared" si="40"/>
        <v>-9.3000000000000007</v>
      </c>
      <c r="P316" s="8">
        <f>D314/B314*10^(O316/10)</f>
        <v>18.406728360719288</v>
      </c>
      <c r="Q316" s="26"/>
      <c r="R316" s="17"/>
      <c r="S316" s="19"/>
      <c r="T316" s="17"/>
      <c r="U316" s="22"/>
    </row>
    <row r="317" spans="1:21" x14ac:dyDescent="0.25">
      <c r="A317" s="24"/>
      <c r="B317" s="24"/>
      <c r="C317" s="17"/>
      <c r="D317" s="24"/>
      <c r="E317" s="24"/>
      <c r="F317" s="25"/>
      <c r="G317" s="1">
        <v>4625</v>
      </c>
      <c r="H317" s="2">
        <v>105.6</v>
      </c>
      <c r="I317" s="2">
        <v>3.4</v>
      </c>
      <c r="J317" s="2">
        <v>-4.9000000000000004</v>
      </c>
      <c r="K317" s="2">
        <f t="shared" si="38"/>
        <v>3.4</v>
      </c>
      <c r="L317" s="8">
        <f t="shared" si="42"/>
        <v>6.0255958607435882E-11</v>
      </c>
      <c r="M317" s="26"/>
      <c r="N317" s="17"/>
      <c r="O317" s="9">
        <f t="shared" si="40"/>
        <v>-4.9000000000000004</v>
      </c>
      <c r="P317" s="8">
        <f>D314/B314*10^(O317/10)</f>
        <v>50.696339585641752</v>
      </c>
      <c r="Q317" s="26"/>
      <c r="R317" s="17"/>
      <c r="S317" s="19"/>
      <c r="T317" s="17"/>
      <c r="U317" s="22"/>
    </row>
    <row r="318" spans="1:21" x14ac:dyDescent="0.25">
      <c r="A318" s="24"/>
      <c r="B318" s="24"/>
      <c r="C318" s="17"/>
      <c r="D318" s="24"/>
      <c r="E318" s="24"/>
      <c r="F318" s="25"/>
      <c r="G318" s="1">
        <v>5225</v>
      </c>
      <c r="H318" s="2">
        <v>103.5</v>
      </c>
      <c r="I318" s="2">
        <v>-1.9</v>
      </c>
      <c r="J318" s="2">
        <v>-6.1</v>
      </c>
      <c r="K318" s="2">
        <f t="shared" si="38"/>
        <v>-1.9</v>
      </c>
      <c r="L318" s="8">
        <f t="shared" si="42"/>
        <v>2.8840315031265894E-11</v>
      </c>
      <c r="M318" s="26"/>
      <c r="N318" s="17"/>
      <c r="O318" s="9">
        <f t="shared" si="40"/>
        <v>-6.1</v>
      </c>
      <c r="P318" s="8">
        <f>D314/B314*10^(O318/10)</f>
        <v>38.457106345732136</v>
      </c>
      <c r="Q318" s="26"/>
      <c r="R318" s="17"/>
      <c r="S318" s="19"/>
      <c r="T318" s="17"/>
      <c r="U318" s="22"/>
    </row>
    <row r="319" spans="1:21" x14ac:dyDescent="0.25">
      <c r="A319" s="24"/>
      <c r="B319" s="24"/>
      <c r="C319" s="17"/>
      <c r="D319" s="24"/>
      <c r="E319" s="24"/>
      <c r="F319" s="25"/>
      <c r="G319" s="1">
        <v>5625</v>
      </c>
      <c r="H319" s="2">
        <v>99.5</v>
      </c>
      <c r="I319" s="2">
        <v>-0.79999999999999982</v>
      </c>
      <c r="J319" s="2">
        <v>-1.9</v>
      </c>
      <c r="K319" s="2">
        <f t="shared" si="38"/>
        <v>-0.79999999999999982</v>
      </c>
      <c r="L319" s="8">
        <f t="shared" si="42"/>
        <v>9.3325430079699086E-11</v>
      </c>
      <c r="M319" s="26"/>
      <c r="N319" s="17"/>
      <c r="O319" s="9">
        <f t="shared" si="40"/>
        <v>-1.9</v>
      </c>
      <c r="P319" s="8">
        <f>D314/B314*10^(O319/10)</f>
        <v>101.15249588209601</v>
      </c>
      <c r="Q319" s="26"/>
      <c r="R319" s="17"/>
      <c r="S319" s="20"/>
      <c r="T319" s="17"/>
      <c r="U319" s="23"/>
    </row>
    <row r="320" spans="1:21" x14ac:dyDescent="0.25">
      <c r="A320" s="24">
        <v>8000</v>
      </c>
      <c r="B320" s="24">
        <v>3</v>
      </c>
      <c r="C320" s="17">
        <v>0.5</v>
      </c>
      <c r="D320" s="24">
        <v>943</v>
      </c>
      <c r="E320" s="24">
        <v>6</v>
      </c>
      <c r="F320" s="25">
        <v>54</v>
      </c>
      <c r="G320" s="1">
        <v>6025</v>
      </c>
      <c r="H320" s="2">
        <v>95</v>
      </c>
      <c r="I320" s="2">
        <v>2.1</v>
      </c>
      <c r="J320" s="2">
        <v>-2.2000000000000002</v>
      </c>
      <c r="K320" s="2">
        <f t="shared" si="38"/>
        <v>2.1</v>
      </c>
      <c r="L320" s="8">
        <f t="shared" si="42"/>
        <v>5.1286138399136304E-10</v>
      </c>
      <c r="M320" s="26">
        <f>SUM(L320:L325)</f>
        <v>9.5026343148592558E-9</v>
      </c>
      <c r="N320" s="17">
        <f>10*LOG10(M320/E320)</f>
        <v>-88.003072335354986</v>
      </c>
      <c r="O320" s="9">
        <f t="shared" si="40"/>
        <v>-2.2000000000000002</v>
      </c>
      <c r="P320" s="8">
        <f>D320/B320*10^(O320/10)</f>
        <v>189.40456322270643</v>
      </c>
      <c r="Q320" s="26">
        <f>SUM(P320:P325)</f>
        <v>2943.1347150147831</v>
      </c>
      <c r="R320" s="17">
        <f>10*LOG10(Q320)</f>
        <v>34.688101413549774</v>
      </c>
      <c r="S320" s="18">
        <f>F320+N320-Kzt-H</f>
        <v>-34.003072335354986</v>
      </c>
      <c r="T320" s="17">
        <v>0.7</v>
      </c>
      <c r="U320" s="21">
        <f>T320*10^((S320-R320)/10)</f>
        <v>9.4619503563797259E-8</v>
      </c>
    </row>
    <row r="321" spans="1:21" x14ac:dyDescent="0.25">
      <c r="A321" s="24"/>
      <c r="B321" s="24"/>
      <c r="C321" s="17"/>
      <c r="D321" s="24"/>
      <c r="E321" s="24"/>
      <c r="F321" s="25"/>
      <c r="G321" s="1">
        <v>7025</v>
      </c>
      <c r="H321" s="2">
        <v>94.8</v>
      </c>
      <c r="I321" s="2">
        <v>-2.1</v>
      </c>
      <c r="J321" s="2">
        <v>-5.6</v>
      </c>
      <c r="K321" s="2">
        <f t="shared" si="38"/>
        <v>-2.1</v>
      </c>
      <c r="L321" s="8">
        <f t="shared" si="42"/>
        <v>2.0417379446695298E-10</v>
      </c>
      <c r="M321" s="26"/>
      <c r="N321" s="17"/>
      <c r="O321" s="9">
        <f t="shared" si="40"/>
        <v>-5.6</v>
      </c>
      <c r="P321" s="8">
        <f>D320/B320*10^(O321/10)</f>
        <v>86.574588908263024</v>
      </c>
      <c r="Q321" s="26"/>
      <c r="R321" s="17"/>
      <c r="S321" s="19"/>
      <c r="T321" s="17"/>
      <c r="U321" s="22"/>
    </row>
    <row r="322" spans="1:21" x14ac:dyDescent="0.25">
      <c r="A322" s="24"/>
      <c r="B322" s="24"/>
      <c r="C322" s="17"/>
      <c r="D322" s="24"/>
      <c r="E322" s="24"/>
      <c r="F322" s="25"/>
      <c r="G322" s="1">
        <v>8025</v>
      </c>
      <c r="H322" s="2">
        <v>101.9</v>
      </c>
      <c r="I322" s="2">
        <v>4.0999999999999996</v>
      </c>
      <c r="J322" s="2">
        <v>3.3</v>
      </c>
      <c r="K322" s="2">
        <f t="shared" si="38"/>
        <v>4.0999999999999996</v>
      </c>
      <c r="L322" s="8">
        <f t="shared" si="42"/>
        <v>1.6595869074375505E-10</v>
      </c>
      <c r="M322" s="26"/>
      <c r="N322" s="17"/>
      <c r="O322" s="9">
        <f t="shared" si="40"/>
        <v>3.3</v>
      </c>
      <c r="P322" s="8">
        <f>D320/B320*10^(O322/10)</f>
        <v>672.03275013353493</v>
      </c>
      <c r="Q322" s="26"/>
      <c r="R322" s="17"/>
      <c r="S322" s="19"/>
      <c r="T322" s="17"/>
      <c r="U322" s="22"/>
    </row>
    <row r="323" spans="1:21" x14ac:dyDescent="0.25">
      <c r="A323" s="24"/>
      <c r="B323" s="24"/>
      <c r="C323" s="17"/>
      <c r="D323" s="24"/>
      <c r="E323" s="24"/>
      <c r="F323" s="25"/>
      <c r="G323" s="1">
        <v>9025</v>
      </c>
      <c r="H323" s="2">
        <v>93.2</v>
      </c>
      <c r="I323" s="2">
        <v>8.5</v>
      </c>
      <c r="J323" s="2">
        <v>7.2</v>
      </c>
      <c r="K323" s="2">
        <f t="shared" si="38"/>
        <v>8.5</v>
      </c>
      <c r="L323" s="8">
        <f t="shared" si="42"/>
        <v>3.3884415613920108E-9</v>
      </c>
      <c r="M323" s="26"/>
      <c r="N323" s="17"/>
      <c r="O323" s="9">
        <f t="shared" si="40"/>
        <v>7.2</v>
      </c>
      <c r="P323" s="8">
        <f>D320/B320*10^(O323/10)</f>
        <v>1649.6447833851184</v>
      </c>
      <c r="Q323" s="26"/>
      <c r="R323" s="17"/>
      <c r="S323" s="19"/>
      <c r="T323" s="17"/>
      <c r="U323" s="22"/>
    </row>
    <row r="324" spans="1:21" x14ac:dyDescent="0.25">
      <c r="A324" s="24"/>
      <c r="B324" s="24"/>
      <c r="C324" s="17"/>
      <c r="D324" s="24"/>
      <c r="E324" s="24"/>
      <c r="F324" s="25"/>
      <c r="G324" s="1">
        <v>10025</v>
      </c>
      <c r="H324" s="2">
        <v>88.3</v>
      </c>
      <c r="I324" s="2">
        <v>3.4</v>
      </c>
      <c r="J324" s="2">
        <v>-2.6</v>
      </c>
      <c r="K324" s="2">
        <f t="shared" si="38"/>
        <v>3.4</v>
      </c>
      <c r="L324" s="8">
        <f t="shared" si="42"/>
        <v>3.2359365692962919E-9</v>
      </c>
      <c r="M324" s="26"/>
      <c r="N324" s="17"/>
      <c r="O324" s="9">
        <f t="shared" si="40"/>
        <v>-2.6</v>
      </c>
      <c r="P324" s="8">
        <f>D320/B320*10^(O324/10)</f>
        <v>172.73901468257995</v>
      </c>
      <c r="Q324" s="26"/>
      <c r="R324" s="17"/>
      <c r="S324" s="19"/>
      <c r="T324" s="17"/>
      <c r="U324" s="22"/>
    </row>
    <row r="325" spans="1:21" x14ac:dyDescent="0.25">
      <c r="A325" s="24"/>
      <c r="B325" s="24"/>
      <c r="C325" s="17"/>
      <c r="D325" s="24"/>
      <c r="E325" s="24"/>
      <c r="F325" s="25"/>
      <c r="G325" s="1">
        <v>11025</v>
      </c>
      <c r="H325" s="2">
        <v>86</v>
      </c>
      <c r="I325" s="2">
        <v>-1</v>
      </c>
      <c r="J325" s="2">
        <v>-2.6</v>
      </c>
      <c r="K325" s="2">
        <f t="shared" si="38"/>
        <v>-1</v>
      </c>
      <c r="L325" s="8">
        <f t="shared" si="42"/>
        <v>1.9952623149688824E-9</v>
      </c>
      <c r="M325" s="26"/>
      <c r="N325" s="17"/>
      <c r="O325" s="9">
        <f t="shared" si="40"/>
        <v>-2.6</v>
      </c>
      <c r="P325" s="8">
        <f>D320/B320*10^(O325/10)</f>
        <v>172.73901468257995</v>
      </c>
      <c r="Q325" s="26"/>
      <c r="R325" s="17"/>
      <c r="S325" s="20"/>
      <c r="T325" s="17"/>
      <c r="U325" s="23"/>
    </row>
    <row r="326" spans="1:21" x14ac:dyDescent="0.25">
      <c r="A326" s="24" t="s">
        <v>20</v>
      </c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12">
        <f>U326</f>
        <v>5.035912593553693E-2</v>
      </c>
      <c r="T326" s="2"/>
      <c r="U326" s="8">
        <f>0.8*SQRT(SUM(U292:U325))</f>
        <v>5.035912593553693E-2</v>
      </c>
    </row>
    <row r="327" spans="1:21" x14ac:dyDescent="0.25">
      <c r="A327" s="27" t="s">
        <v>81</v>
      </c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9"/>
    </row>
    <row r="328" spans="1:21" x14ac:dyDescent="0.25">
      <c r="A328" s="24">
        <v>250</v>
      </c>
      <c r="B328" s="24">
        <v>3</v>
      </c>
      <c r="C328" s="17">
        <v>0.5</v>
      </c>
      <c r="D328" s="24">
        <v>38</v>
      </c>
      <c r="E328" s="24">
        <v>4</v>
      </c>
      <c r="F328" s="25">
        <v>84</v>
      </c>
      <c r="G328" s="1">
        <v>175</v>
      </c>
      <c r="H328" s="2">
        <v>84.8</v>
      </c>
      <c r="I328" s="2">
        <v>-4.2</v>
      </c>
      <c r="J328" s="2">
        <v>-5.2</v>
      </c>
      <c r="K328" s="2">
        <f>I328</f>
        <v>-4.2</v>
      </c>
      <c r="L328" s="8">
        <f>10^((K328-H328)/10)</f>
        <v>1.2589254117941623E-9</v>
      </c>
      <c r="M328" s="26">
        <f>SUM(L328:L331)</f>
        <v>1.1115350634513514E-8</v>
      </c>
      <c r="N328" s="17">
        <f>10*LOG10(M328/E328)</f>
        <v>-85.561368242270476</v>
      </c>
      <c r="O328" s="9">
        <f>J328</f>
        <v>-5.2</v>
      </c>
      <c r="P328" s="8">
        <f>D328/B328*10^(O328/10)</f>
        <v>3.8252721791758861</v>
      </c>
      <c r="Q328" s="26">
        <f>SUM(P328:P331)</f>
        <v>79.55174804934822</v>
      </c>
      <c r="R328" s="17">
        <f>10*LOG10(Q328)</f>
        <v>19.006497271610424</v>
      </c>
      <c r="S328" s="18">
        <f>F328+N328-Kzt-H</f>
        <v>-1.5613682422704755</v>
      </c>
      <c r="T328" s="17">
        <v>0.2</v>
      </c>
      <c r="U328" s="21">
        <f>T328*10^((S328-R328)/10)</f>
        <v>1.7548639171942521E-3</v>
      </c>
    </row>
    <row r="329" spans="1:21" x14ac:dyDescent="0.25">
      <c r="A329" s="24"/>
      <c r="B329" s="24"/>
      <c r="C329" s="17"/>
      <c r="D329" s="24"/>
      <c r="E329" s="24"/>
      <c r="F329" s="25"/>
      <c r="G329" s="1">
        <v>225</v>
      </c>
      <c r="H329" s="2">
        <v>90</v>
      </c>
      <c r="I329" s="2">
        <v>8.1</v>
      </c>
      <c r="J329" s="2">
        <v>-2.8</v>
      </c>
      <c r="K329" s="2">
        <f t="shared" ref="K329:K361" si="43">I329</f>
        <v>8.1</v>
      </c>
      <c r="L329" s="8">
        <f t="shared" ref="L329:L330" si="44">10^((K329-H329)/10)</f>
        <v>6.4565422903465326E-9</v>
      </c>
      <c r="M329" s="26"/>
      <c r="N329" s="17"/>
      <c r="O329" s="9">
        <f t="shared" ref="O329:O361" si="45">J329</f>
        <v>-2.8</v>
      </c>
      <c r="P329" s="8">
        <f>D328/B328*10^(O329/10)</f>
        <v>6.6475611631637852</v>
      </c>
      <c r="Q329" s="26"/>
      <c r="R329" s="17"/>
      <c r="S329" s="19"/>
      <c r="T329" s="17"/>
      <c r="U329" s="22"/>
    </row>
    <row r="330" spans="1:21" x14ac:dyDescent="0.25">
      <c r="A330" s="24"/>
      <c r="B330" s="24"/>
      <c r="C330" s="17"/>
      <c r="D330" s="24"/>
      <c r="E330" s="24"/>
      <c r="F330" s="25"/>
      <c r="G330" s="1">
        <v>275</v>
      </c>
      <c r="H330" s="2">
        <v>92.2</v>
      </c>
      <c r="I330" s="2">
        <v>0.3</v>
      </c>
      <c r="J330" s="2">
        <v>-1.1000000000000001</v>
      </c>
      <c r="K330" s="2">
        <f t="shared" si="43"/>
        <v>0.3</v>
      </c>
      <c r="L330" s="8">
        <f t="shared" si="44"/>
        <v>6.4565422903465258E-10</v>
      </c>
      <c r="M330" s="26"/>
      <c r="N330" s="17"/>
      <c r="O330" s="9">
        <f t="shared" si="45"/>
        <v>-1.1000000000000001</v>
      </c>
      <c r="P330" s="8">
        <f>D328/B328*10^(O330/10)</f>
        <v>9.832463477296761</v>
      </c>
      <c r="Q330" s="26"/>
      <c r="R330" s="17"/>
      <c r="S330" s="19"/>
      <c r="T330" s="17"/>
      <c r="U330" s="22"/>
    </row>
    <row r="331" spans="1:21" x14ac:dyDescent="0.25">
      <c r="A331" s="24"/>
      <c r="B331" s="24"/>
      <c r="C331" s="17"/>
      <c r="D331" s="24"/>
      <c r="E331" s="24"/>
      <c r="F331" s="25"/>
      <c r="G331" s="1">
        <v>325</v>
      </c>
      <c r="H331" s="2">
        <v>93.3</v>
      </c>
      <c r="I331" s="2">
        <v>7.7</v>
      </c>
      <c r="J331" s="2">
        <v>6.7</v>
      </c>
      <c r="K331" s="2">
        <f t="shared" si="43"/>
        <v>7.7</v>
      </c>
      <c r="L331" s="8">
        <f>10^((K331-H331)/10)</f>
        <v>2.7542287033381667E-9</v>
      </c>
      <c r="M331" s="26"/>
      <c r="N331" s="17"/>
      <c r="O331" s="9">
        <f t="shared" si="45"/>
        <v>6.7</v>
      </c>
      <c r="P331" s="8">
        <f>D328/B328*10^(O331/10)</f>
        <v>59.246451229711788</v>
      </c>
      <c r="Q331" s="26"/>
      <c r="R331" s="17"/>
      <c r="S331" s="20"/>
      <c r="T331" s="17"/>
      <c r="U331" s="23"/>
    </row>
    <row r="332" spans="1:21" x14ac:dyDescent="0.25">
      <c r="A332" s="24">
        <v>500</v>
      </c>
      <c r="B332" s="24">
        <v>3</v>
      </c>
      <c r="C332" s="17">
        <v>0.5</v>
      </c>
      <c r="D332" s="24">
        <v>59</v>
      </c>
      <c r="E332" s="24">
        <v>6</v>
      </c>
      <c r="F332" s="25">
        <v>84</v>
      </c>
      <c r="G332" s="1">
        <v>375</v>
      </c>
      <c r="H332" s="2">
        <v>91.9</v>
      </c>
      <c r="I332" s="2">
        <v>-2.5</v>
      </c>
      <c r="J332" s="2">
        <v>-7.2</v>
      </c>
      <c r="K332" s="2">
        <f t="shared" si="43"/>
        <v>-2.5</v>
      </c>
      <c r="L332" s="8">
        <f t="shared" ref="L332:L333" si="46">10^((K332-H332)/10)</f>
        <v>3.6307805477009923E-10</v>
      </c>
      <c r="M332" s="26">
        <f>SUM(L332:L337)</f>
        <v>7.7621943465055244E-9</v>
      </c>
      <c r="N332" s="17">
        <f>10*LOG10(M332/E332)</f>
        <v>-88.881667381638408</v>
      </c>
      <c r="O332" s="9">
        <f t="shared" si="45"/>
        <v>-7.2</v>
      </c>
      <c r="P332" s="8">
        <f>D332/B332*10^(O332/10)</f>
        <v>3.747406078661053</v>
      </c>
      <c r="Q332" s="26">
        <f>SUM(P332:P337)</f>
        <v>59.268999428171938</v>
      </c>
      <c r="R332" s="17">
        <f>10*LOG10(Q332)</f>
        <v>17.728275955958324</v>
      </c>
      <c r="S332" s="18">
        <f>F332+N332-Kzt-H</f>
        <v>-4.8816673816384082</v>
      </c>
      <c r="T332" s="17">
        <v>0.5</v>
      </c>
      <c r="U332" s="21">
        <f>T332*10^((S332-R332)/10)</f>
        <v>2.7414205916867964E-3</v>
      </c>
    </row>
    <row r="333" spans="1:21" x14ac:dyDescent="0.25">
      <c r="A333" s="24"/>
      <c r="B333" s="24"/>
      <c r="C333" s="17"/>
      <c r="D333" s="24"/>
      <c r="E333" s="24"/>
      <c r="F333" s="25"/>
      <c r="G333" s="1">
        <v>425</v>
      </c>
      <c r="H333" s="2">
        <v>88.1</v>
      </c>
      <c r="I333" s="2">
        <v>4.8</v>
      </c>
      <c r="J333" s="2">
        <v>-3.2</v>
      </c>
      <c r="K333" s="2">
        <f t="shared" si="43"/>
        <v>4.8</v>
      </c>
      <c r="L333" s="8">
        <f t="shared" si="46"/>
        <v>4.6773514128719724E-9</v>
      </c>
      <c r="M333" s="26"/>
      <c r="N333" s="17"/>
      <c r="O333" s="9">
        <f t="shared" si="45"/>
        <v>-3.2</v>
      </c>
      <c r="P333" s="8">
        <f>D332/B332*10^(O333/10)</f>
        <v>9.413058482345221</v>
      </c>
      <c r="Q333" s="26"/>
      <c r="R333" s="17"/>
      <c r="S333" s="19"/>
      <c r="T333" s="17"/>
      <c r="U333" s="22"/>
    </row>
    <row r="334" spans="1:21" x14ac:dyDescent="0.25">
      <c r="A334" s="24"/>
      <c r="B334" s="24"/>
      <c r="C334" s="17"/>
      <c r="D334" s="24"/>
      <c r="E334" s="24"/>
      <c r="F334" s="25"/>
      <c r="G334" s="1">
        <v>475</v>
      </c>
      <c r="H334" s="2">
        <v>90</v>
      </c>
      <c r="I334" s="2">
        <v>0.49999999999999994</v>
      </c>
      <c r="J334" s="2">
        <v>-0.2</v>
      </c>
      <c r="K334" s="2">
        <f t="shared" si="43"/>
        <v>0.49999999999999994</v>
      </c>
      <c r="L334" s="8">
        <f>10^((K334-H334)/10)</f>
        <v>1.1220184543019636E-9</v>
      </c>
      <c r="M334" s="26"/>
      <c r="N334" s="17"/>
      <c r="O334" s="9">
        <f t="shared" si="45"/>
        <v>-0.2</v>
      </c>
      <c r="P334" s="8">
        <f>D332/B332*10^(O334/10)</f>
        <v>18.781520858421572</v>
      </c>
      <c r="Q334" s="26"/>
      <c r="R334" s="17"/>
      <c r="S334" s="19"/>
      <c r="T334" s="17"/>
      <c r="U334" s="22"/>
    </row>
    <row r="335" spans="1:21" x14ac:dyDescent="0.25">
      <c r="A335" s="24"/>
      <c r="B335" s="24"/>
      <c r="C335" s="17"/>
      <c r="D335" s="24"/>
      <c r="E335" s="24"/>
      <c r="F335" s="25"/>
      <c r="G335" s="1">
        <v>575</v>
      </c>
      <c r="H335" s="2">
        <v>97</v>
      </c>
      <c r="I335" s="2">
        <v>4.0999999999999996</v>
      </c>
      <c r="J335" s="2">
        <v>-1.4</v>
      </c>
      <c r="K335" s="2">
        <f t="shared" si="43"/>
        <v>4.0999999999999996</v>
      </c>
      <c r="L335" s="8">
        <f t="shared" ref="L335:L361" si="47">10^((K335-H335)/10)</f>
        <v>5.1286138399136304E-10</v>
      </c>
      <c r="M335" s="26"/>
      <c r="N335" s="17"/>
      <c r="O335" s="9">
        <f t="shared" si="45"/>
        <v>-1.4</v>
      </c>
      <c r="P335" s="8">
        <f>D332/B332*10^(O335/10)</f>
        <v>14.247240548141473</v>
      </c>
      <c r="Q335" s="26"/>
      <c r="R335" s="17"/>
      <c r="S335" s="19"/>
      <c r="T335" s="17"/>
      <c r="U335" s="22"/>
    </row>
    <row r="336" spans="1:21" x14ac:dyDescent="0.25">
      <c r="A336" s="24"/>
      <c r="B336" s="24"/>
      <c r="C336" s="17"/>
      <c r="D336" s="24"/>
      <c r="E336" s="24"/>
      <c r="F336" s="25"/>
      <c r="G336" s="1">
        <v>625</v>
      </c>
      <c r="H336" s="2">
        <v>92</v>
      </c>
      <c r="I336" s="2">
        <v>1.9</v>
      </c>
      <c r="J336" s="2">
        <v>-4.4000000000000004</v>
      </c>
      <c r="K336" s="2">
        <f t="shared" si="43"/>
        <v>1.9</v>
      </c>
      <c r="L336" s="8">
        <f t="shared" si="47"/>
        <v>9.7723722095580808E-10</v>
      </c>
      <c r="M336" s="26"/>
      <c r="N336" s="17"/>
      <c r="O336" s="9">
        <f t="shared" si="45"/>
        <v>-4.4000000000000004</v>
      </c>
      <c r="P336" s="8">
        <f>D332/B332*10^(O336/10)</f>
        <v>7.1405350771453246</v>
      </c>
      <c r="Q336" s="26"/>
      <c r="R336" s="17"/>
      <c r="S336" s="19"/>
      <c r="T336" s="17"/>
      <c r="U336" s="22"/>
    </row>
    <row r="337" spans="1:21" x14ac:dyDescent="0.25">
      <c r="A337" s="24"/>
      <c r="B337" s="24"/>
      <c r="C337" s="17"/>
      <c r="D337" s="24"/>
      <c r="E337" s="24"/>
      <c r="F337" s="25"/>
      <c r="G337" s="1">
        <v>675</v>
      </c>
      <c r="H337" s="2">
        <v>94.5</v>
      </c>
      <c r="I337" s="2">
        <v>-5.1000000000000005</v>
      </c>
      <c r="J337" s="2">
        <v>-5.2</v>
      </c>
      <c r="K337" s="2">
        <f t="shared" si="43"/>
        <v>-5.1000000000000005</v>
      </c>
      <c r="L337" s="8">
        <f t="shared" si="47"/>
        <v>1.096478196143184E-10</v>
      </c>
      <c r="M337" s="26"/>
      <c r="N337" s="17"/>
      <c r="O337" s="9">
        <f t="shared" si="45"/>
        <v>-5.2</v>
      </c>
      <c r="P337" s="8">
        <f>D332/B332*10^(O337/10)</f>
        <v>5.9392383834572975</v>
      </c>
      <c r="Q337" s="26"/>
      <c r="R337" s="17"/>
      <c r="S337" s="20"/>
      <c r="T337" s="17"/>
      <c r="U337" s="23"/>
    </row>
    <row r="338" spans="1:21" x14ac:dyDescent="0.25">
      <c r="A338" s="24">
        <v>1000</v>
      </c>
      <c r="B338" s="24">
        <v>3</v>
      </c>
      <c r="C338" s="17">
        <v>0.5</v>
      </c>
      <c r="D338" s="24">
        <v>117</v>
      </c>
      <c r="E338" s="24">
        <v>6</v>
      </c>
      <c r="F338" s="25">
        <v>76</v>
      </c>
      <c r="G338" s="1">
        <v>875</v>
      </c>
      <c r="H338" s="2">
        <v>91.1</v>
      </c>
      <c r="I338" s="2">
        <v>8.6999999999999993</v>
      </c>
      <c r="J338" s="2">
        <v>-3.8</v>
      </c>
      <c r="K338" s="2">
        <f t="shared" si="43"/>
        <v>8.6999999999999993</v>
      </c>
      <c r="L338" s="8">
        <f t="shared" si="47"/>
        <v>5.7543993733715727E-9</v>
      </c>
      <c r="M338" s="26">
        <f>SUM(L338:L343)</f>
        <v>7.9373161163416959E-9</v>
      </c>
      <c r="N338" s="17">
        <f>10*LOG10(M338/E338)</f>
        <v>-88.784775732594426</v>
      </c>
      <c r="O338" s="9">
        <f t="shared" si="45"/>
        <v>-3.8</v>
      </c>
      <c r="P338" s="8">
        <f>D338/B338*10^(O338/10)</f>
        <v>16.25790595534308</v>
      </c>
      <c r="Q338" s="26">
        <f>SUM(P338:P343)</f>
        <v>286.70757944187392</v>
      </c>
      <c r="R338" s="17">
        <f>10*LOG10(Q338)</f>
        <v>24.574391741682192</v>
      </c>
      <c r="S338" s="18">
        <f>F338+N338-Kzt-H</f>
        <v>-12.784775732594426</v>
      </c>
      <c r="T338" s="17">
        <v>0.8</v>
      </c>
      <c r="U338" s="21">
        <f>T338*10^((S338-R338)/10)</f>
        <v>1.4695123475129922E-4</v>
      </c>
    </row>
    <row r="339" spans="1:21" x14ac:dyDescent="0.25">
      <c r="A339" s="24"/>
      <c r="B339" s="24"/>
      <c r="C339" s="17"/>
      <c r="D339" s="24"/>
      <c r="E339" s="24"/>
      <c r="F339" s="25"/>
      <c r="G339" s="1">
        <v>975</v>
      </c>
      <c r="H339" s="2">
        <v>96.5</v>
      </c>
      <c r="I339" s="2">
        <v>2.1</v>
      </c>
      <c r="J339" s="2">
        <v>-3.7</v>
      </c>
      <c r="K339" s="2">
        <f t="shared" si="43"/>
        <v>2.1</v>
      </c>
      <c r="L339" s="8">
        <f t="shared" si="47"/>
        <v>3.6307805477009923E-10</v>
      </c>
      <c r="M339" s="26"/>
      <c r="N339" s="17"/>
      <c r="O339" s="9">
        <f t="shared" si="45"/>
        <v>-3.7</v>
      </c>
      <c r="P339" s="8">
        <f>D338/B338*10^(O339/10)</f>
        <v>16.636601233262112</v>
      </c>
      <c r="Q339" s="26"/>
      <c r="R339" s="17"/>
      <c r="S339" s="19"/>
      <c r="T339" s="17"/>
      <c r="U339" s="22"/>
    </row>
    <row r="340" spans="1:21" x14ac:dyDescent="0.25">
      <c r="A340" s="24"/>
      <c r="B340" s="24"/>
      <c r="C340" s="17"/>
      <c r="D340" s="24"/>
      <c r="E340" s="24"/>
      <c r="F340" s="25"/>
      <c r="G340" s="1">
        <v>1075</v>
      </c>
      <c r="H340" s="2">
        <v>94.6</v>
      </c>
      <c r="I340" s="2">
        <v>4.8</v>
      </c>
      <c r="J340" s="2">
        <v>0.1</v>
      </c>
      <c r="K340" s="2">
        <f t="shared" si="43"/>
        <v>4.8</v>
      </c>
      <c r="L340" s="8">
        <f t="shared" si="47"/>
        <v>1.0471285480508964E-9</v>
      </c>
      <c r="M340" s="26"/>
      <c r="N340" s="17"/>
      <c r="O340" s="9">
        <f t="shared" si="45"/>
        <v>0.1</v>
      </c>
      <c r="P340" s="8">
        <f>D338/B338*10^(O340/10)</f>
        <v>39.908426698949413</v>
      </c>
      <c r="Q340" s="26"/>
      <c r="R340" s="17"/>
      <c r="S340" s="19"/>
      <c r="T340" s="17"/>
      <c r="U340" s="22"/>
    </row>
    <row r="341" spans="1:21" x14ac:dyDescent="0.25">
      <c r="A341" s="24"/>
      <c r="B341" s="24"/>
      <c r="C341" s="17"/>
      <c r="D341" s="24"/>
      <c r="E341" s="24"/>
      <c r="F341" s="25"/>
      <c r="G341" s="1">
        <v>1175</v>
      </c>
      <c r="H341" s="2">
        <v>97.8</v>
      </c>
      <c r="I341" s="2">
        <v>-2.9999999999999996</v>
      </c>
      <c r="J341" s="2">
        <v>-4.0999999999999996</v>
      </c>
      <c r="K341" s="2">
        <f t="shared" si="43"/>
        <v>-2.9999999999999996</v>
      </c>
      <c r="L341" s="8">
        <f t="shared" si="47"/>
        <v>8.3176377110266833E-11</v>
      </c>
      <c r="M341" s="26"/>
      <c r="N341" s="17"/>
      <c r="O341" s="9">
        <f t="shared" si="45"/>
        <v>-4.0999999999999996</v>
      </c>
      <c r="P341" s="8">
        <f>D338/B338*10^(O341/10)</f>
        <v>15.172760654776942</v>
      </c>
      <c r="Q341" s="26"/>
      <c r="R341" s="17"/>
      <c r="S341" s="19"/>
      <c r="T341" s="17"/>
      <c r="U341" s="22"/>
    </row>
    <row r="342" spans="1:21" x14ac:dyDescent="0.25">
      <c r="A342" s="24"/>
      <c r="B342" s="24"/>
      <c r="C342" s="17"/>
      <c r="D342" s="24"/>
      <c r="E342" s="24"/>
      <c r="F342" s="25"/>
      <c r="G342" s="1">
        <v>1275</v>
      </c>
      <c r="H342" s="2">
        <v>100.1</v>
      </c>
      <c r="I342" s="2">
        <v>8.3000000000000007</v>
      </c>
      <c r="J342" s="2">
        <v>6.6</v>
      </c>
      <c r="K342" s="2">
        <f t="shared" si="43"/>
        <v>8.3000000000000007</v>
      </c>
      <c r="L342" s="8">
        <f t="shared" si="47"/>
        <v>6.6069344800759527E-10</v>
      </c>
      <c r="M342" s="26"/>
      <c r="N342" s="17"/>
      <c r="O342" s="9">
        <f t="shared" si="45"/>
        <v>6.6</v>
      </c>
      <c r="P342" s="8">
        <f>D338/B338*10^(O342/10)</f>
        <v>178.26439394980125</v>
      </c>
      <c r="Q342" s="26"/>
      <c r="R342" s="17"/>
      <c r="S342" s="19"/>
      <c r="T342" s="17"/>
      <c r="U342" s="22"/>
    </row>
    <row r="343" spans="1:21" x14ac:dyDescent="0.25">
      <c r="A343" s="24"/>
      <c r="B343" s="24"/>
      <c r="C343" s="17"/>
      <c r="D343" s="24"/>
      <c r="E343" s="24"/>
      <c r="F343" s="25"/>
      <c r="G343" s="1">
        <v>1375</v>
      </c>
      <c r="H343" s="2">
        <v>103</v>
      </c>
      <c r="I343" s="2">
        <v>-2.4</v>
      </c>
      <c r="J343" s="2">
        <v>-2.8</v>
      </c>
      <c r="K343" s="2">
        <f t="shared" si="43"/>
        <v>-2.4</v>
      </c>
      <c r="L343" s="8">
        <f t="shared" si="47"/>
        <v>2.8840315031265894E-11</v>
      </c>
      <c r="M343" s="26"/>
      <c r="N343" s="17"/>
      <c r="O343" s="9">
        <f t="shared" si="45"/>
        <v>-2.8</v>
      </c>
      <c r="P343" s="8">
        <f>D338/B338*10^(O343/10)</f>
        <v>20.46749094974113</v>
      </c>
      <c r="Q343" s="26"/>
      <c r="R343" s="17"/>
      <c r="S343" s="20"/>
      <c r="T343" s="17"/>
      <c r="U343" s="23"/>
    </row>
    <row r="344" spans="1:21" x14ac:dyDescent="0.25">
      <c r="A344" s="24">
        <v>2000</v>
      </c>
      <c r="B344" s="24">
        <v>3</v>
      </c>
      <c r="C344" s="17">
        <v>0.5</v>
      </c>
      <c r="D344" s="24">
        <v>234</v>
      </c>
      <c r="E344" s="24">
        <v>6</v>
      </c>
      <c r="F344" s="25">
        <v>68</v>
      </c>
      <c r="G344" s="1">
        <v>1425</v>
      </c>
      <c r="H344" s="2">
        <v>102.8</v>
      </c>
      <c r="I344" s="2">
        <v>0.5</v>
      </c>
      <c r="J344" s="2">
        <v>-0.4</v>
      </c>
      <c r="K344" s="2">
        <f t="shared" si="43"/>
        <v>0.5</v>
      </c>
      <c r="L344" s="8">
        <f t="shared" si="47"/>
        <v>5.8884365535558786E-11</v>
      </c>
      <c r="M344" s="26">
        <f>SUM(L344:L349)</f>
        <v>4.8716793286310791E-10</v>
      </c>
      <c r="N344" s="17">
        <f>10*LOG10(M344/E344)</f>
        <v>-100.90472556635142</v>
      </c>
      <c r="O344" s="9">
        <f t="shared" si="45"/>
        <v>-0.4</v>
      </c>
      <c r="P344" s="8">
        <f>D344/B344*10^(O344/10)</f>
        <v>71.136845469760956</v>
      </c>
      <c r="Q344" s="26">
        <f>SUM(P344:P349)</f>
        <v>290.00445941710092</v>
      </c>
      <c r="R344" s="17">
        <f>10*LOG10(Q344)</f>
        <v>24.624046761242973</v>
      </c>
      <c r="S344" s="18">
        <f>F344+N344-Kzt-H</f>
        <v>-32.904725566351416</v>
      </c>
      <c r="T344" s="17">
        <v>1</v>
      </c>
      <c r="U344" s="21">
        <f>T344*10^((S344-R344)/10)</f>
        <v>1.766537118389136E-6</v>
      </c>
    </row>
    <row r="345" spans="1:21" x14ac:dyDescent="0.25">
      <c r="A345" s="24"/>
      <c r="B345" s="24"/>
      <c r="C345" s="17"/>
      <c r="D345" s="24"/>
      <c r="E345" s="24"/>
      <c r="F345" s="25"/>
      <c r="G345" s="1">
        <v>1625</v>
      </c>
      <c r="H345" s="2">
        <v>104.1</v>
      </c>
      <c r="I345" s="2">
        <v>-5.1000000000000005</v>
      </c>
      <c r="J345" s="2">
        <v>-5.7</v>
      </c>
      <c r="K345" s="2">
        <f t="shared" si="43"/>
        <v>-5.1000000000000005</v>
      </c>
      <c r="L345" s="8">
        <f t="shared" si="47"/>
        <v>1.2022644346174143E-11</v>
      </c>
      <c r="M345" s="26"/>
      <c r="N345" s="17"/>
      <c r="O345" s="9">
        <f t="shared" si="45"/>
        <v>-5.7</v>
      </c>
      <c r="P345" s="8">
        <f>D344/B344*10^(O345/10)</f>
        <v>20.993971470629937</v>
      </c>
      <c r="Q345" s="26"/>
      <c r="R345" s="17"/>
      <c r="S345" s="19"/>
      <c r="T345" s="17"/>
      <c r="U345" s="22"/>
    </row>
    <row r="346" spans="1:21" x14ac:dyDescent="0.25">
      <c r="A346" s="24"/>
      <c r="B346" s="24"/>
      <c r="C346" s="17"/>
      <c r="D346" s="24"/>
      <c r="E346" s="24"/>
      <c r="F346" s="25"/>
      <c r="G346" s="1">
        <v>1825</v>
      </c>
      <c r="H346" s="2">
        <v>107.6</v>
      </c>
      <c r="I346" s="2">
        <v>-1.3</v>
      </c>
      <c r="J346" s="2">
        <v>-2.5</v>
      </c>
      <c r="K346" s="2">
        <f t="shared" si="43"/>
        <v>-1.3</v>
      </c>
      <c r="L346" s="8">
        <f t="shared" si="47"/>
        <v>1.2882495516931353E-11</v>
      </c>
      <c r="M346" s="26"/>
      <c r="N346" s="17"/>
      <c r="O346" s="9">
        <f t="shared" si="45"/>
        <v>-2.5</v>
      </c>
      <c r="P346" s="8">
        <f>D344/B344*10^(O346/10)</f>
        <v>43.862623364847231</v>
      </c>
      <c r="Q346" s="26"/>
      <c r="R346" s="17"/>
      <c r="S346" s="19"/>
      <c r="T346" s="17"/>
      <c r="U346" s="22"/>
    </row>
    <row r="347" spans="1:21" x14ac:dyDescent="0.25">
      <c r="A347" s="24"/>
      <c r="B347" s="24"/>
      <c r="C347" s="17"/>
      <c r="D347" s="24"/>
      <c r="E347" s="24"/>
      <c r="F347" s="25"/>
      <c r="G347" s="1">
        <v>2125</v>
      </c>
      <c r="H347" s="2">
        <v>104.2</v>
      </c>
      <c r="I347" s="2">
        <v>-1.1000000000000001</v>
      </c>
      <c r="J347" s="2">
        <v>-2.1</v>
      </c>
      <c r="K347" s="2">
        <f t="shared" si="43"/>
        <v>-1.1000000000000001</v>
      </c>
      <c r="L347" s="8">
        <f t="shared" si="47"/>
        <v>2.9512092266663787E-11</v>
      </c>
      <c r="M347" s="26"/>
      <c r="N347" s="17"/>
      <c r="O347" s="9">
        <f t="shared" si="45"/>
        <v>-2.1</v>
      </c>
      <c r="P347" s="8">
        <f>D344/B344*10^(O347/10)</f>
        <v>48.094410145195603</v>
      </c>
      <c r="Q347" s="26"/>
      <c r="R347" s="17"/>
      <c r="S347" s="19"/>
      <c r="T347" s="17"/>
      <c r="U347" s="22"/>
    </row>
    <row r="348" spans="1:21" x14ac:dyDescent="0.25">
      <c r="A348" s="24"/>
      <c r="B348" s="24"/>
      <c r="C348" s="17"/>
      <c r="D348" s="24"/>
      <c r="E348" s="24"/>
      <c r="F348" s="25"/>
      <c r="G348" s="1">
        <v>2425</v>
      </c>
      <c r="H348" s="2">
        <v>93.7</v>
      </c>
      <c r="I348" s="2">
        <v>-2</v>
      </c>
      <c r="J348" s="2">
        <v>-2.1</v>
      </c>
      <c r="K348" s="2">
        <f t="shared" si="43"/>
        <v>-2</v>
      </c>
      <c r="L348" s="8">
        <f t="shared" si="47"/>
        <v>2.6915348039269034E-10</v>
      </c>
      <c r="M348" s="26"/>
      <c r="N348" s="17"/>
      <c r="O348" s="9">
        <f t="shared" si="45"/>
        <v>-2.1</v>
      </c>
      <c r="P348" s="8">
        <f>D344/B344*10^(O348/10)</f>
        <v>48.094410145195603</v>
      </c>
      <c r="Q348" s="26"/>
      <c r="R348" s="17"/>
      <c r="S348" s="19"/>
      <c r="T348" s="17"/>
      <c r="U348" s="22"/>
    </row>
    <row r="349" spans="1:21" x14ac:dyDescent="0.25">
      <c r="A349" s="24"/>
      <c r="B349" s="24"/>
      <c r="C349" s="17"/>
      <c r="D349" s="24"/>
      <c r="E349" s="24"/>
      <c r="F349" s="25"/>
      <c r="G349" s="1">
        <v>2775</v>
      </c>
      <c r="H349" s="2">
        <v>100.2</v>
      </c>
      <c r="I349" s="2">
        <v>0.39999999999999991</v>
      </c>
      <c r="J349" s="2">
        <v>-1.3</v>
      </c>
      <c r="K349" s="2">
        <f t="shared" si="43"/>
        <v>0.39999999999999991</v>
      </c>
      <c r="L349" s="8">
        <f t="shared" si="47"/>
        <v>1.0471285480508951E-10</v>
      </c>
      <c r="M349" s="26"/>
      <c r="N349" s="17"/>
      <c r="O349" s="9">
        <f t="shared" si="45"/>
        <v>-1.3</v>
      </c>
      <c r="P349" s="8">
        <f>D344/B344*10^(O349/10)</f>
        <v>57.822198821471559</v>
      </c>
      <c r="Q349" s="26"/>
      <c r="R349" s="17"/>
      <c r="S349" s="20"/>
      <c r="T349" s="17"/>
      <c r="U349" s="23"/>
    </row>
    <row r="350" spans="1:21" x14ac:dyDescent="0.25">
      <c r="A350" s="24">
        <v>4000</v>
      </c>
      <c r="B350" s="24">
        <v>3</v>
      </c>
      <c r="C350" s="17">
        <v>0.5</v>
      </c>
      <c r="D350" s="24">
        <v>470</v>
      </c>
      <c r="E350" s="24">
        <v>6</v>
      </c>
      <c r="F350" s="25">
        <v>62</v>
      </c>
      <c r="G350" s="1">
        <v>2825</v>
      </c>
      <c r="H350" s="2">
        <v>99.4</v>
      </c>
      <c r="I350" s="2">
        <v>1.9000000000000001</v>
      </c>
      <c r="J350" s="2">
        <v>1.1000000000000001</v>
      </c>
      <c r="K350" s="2">
        <f t="shared" si="43"/>
        <v>1.9000000000000001</v>
      </c>
      <c r="L350" s="8">
        <f t="shared" si="47"/>
        <v>1.778279410038918E-10</v>
      </c>
      <c r="M350" s="26">
        <f>SUM(L350:L355)</f>
        <v>4.6140896831712376E-10</v>
      </c>
      <c r="N350" s="17">
        <f>10*LOG10(M350/E350)</f>
        <v>-101.14065218818452</v>
      </c>
      <c r="O350" s="9">
        <f t="shared" si="45"/>
        <v>1.1000000000000001</v>
      </c>
      <c r="P350" s="8">
        <f>D350/B350*10^(O350/10)</f>
        <v>201.82576309859098</v>
      </c>
      <c r="Q350" s="26">
        <f>SUM(P350:P355)</f>
        <v>841.14027384747942</v>
      </c>
      <c r="R350" s="17">
        <f>10*LOG10(Q350)</f>
        <v>29.248684275195753</v>
      </c>
      <c r="S350" s="18">
        <f>F350+N350-Kzt-H</f>
        <v>-39.140652188184518</v>
      </c>
      <c r="T350" s="17">
        <v>0.9</v>
      </c>
      <c r="U350" s="21">
        <f>T350*10^((S350-R350)/10)</f>
        <v>1.3040938988951202E-7</v>
      </c>
    </row>
    <row r="351" spans="1:21" x14ac:dyDescent="0.25">
      <c r="A351" s="24"/>
      <c r="B351" s="24"/>
      <c r="C351" s="17"/>
      <c r="D351" s="24"/>
      <c r="E351" s="24"/>
      <c r="F351" s="25"/>
      <c r="G351" s="1">
        <v>3425</v>
      </c>
      <c r="H351" s="2">
        <v>103.5</v>
      </c>
      <c r="I351" s="2">
        <v>-2.5</v>
      </c>
      <c r="J351" s="2">
        <v>-2.5</v>
      </c>
      <c r="K351" s="2">
        <f t="shared" si="43"/>
        <v>-2.5</v>
      </c>
      <c r="L351" s="8">
        <f t="shared" si="47"/>
        <v>2.5118864315095759E-11</v>
      </c>
      <c r="M351" s="26"/>
      <c r="N351" s="17"/>
      <c r="O351" s="9">
        <f t="shared" si="45"/>
        <v>-2.5</v>
      </c>
      <c r="P351" s="8">
        <f>D350/B350*10^(O351/10)</f>
        <v>88.100140946488011</v>
      </c>
      <c r="Q351" s="26"/>
      <c r="R351" s="17"/>
      <c r="S351" s="19"/>
      <c r="T351" s="17"/>
      <c r="U351" s="22"/>
    </row>
    <row r="352" spans="1:21" x14ac:dyDescent="0.25">
      <c r="A352" s="24"/>
      <c r="B352" s="24"/>
      <c r="C352" s="17"/>
      <c r="D352" s="24"/>
      <c r="E352" s="24"/>
      <c r="F352" s="25"/>
      <c r="G352" s="1">
        <v>4025</v>
      </c>
      <c r="H352" s="2">
        <v>103.6</v>
      </c>
      <c r="I352" s="2">
        <v>-0.7</v>
      </c>
      <c r="J352" s="2">
        <v>-3.9</v>
      </c>
      <c r="K352" s="2">
        <f t="shared" si="43"/>
        <v>-0.7</v>
      </c>
      <c r="L352" s="8">
        <f t="shared" si="47"/>
        <v>3.7153522909717256E-11</v>
      </c>
      <c r="M352" s="26"/>
      <c r="N352" s="17"/>
      <c r="O352" s="9">
        <f t="shared" si="45"/>
        <v>-3.9</v>
      </c>
      <c r="P352" s="8">
        <f>D350/B350*10^(O352/10)</f>
        <v>63.822910189310981</v>
      </c>
      <c r="Q352" s="26"/>
      <c r="R352" s="17"/>
      <c r="S352" s="19"/>
      <c r="T352" s="17"/>
      <c r="U352" s="22"/>
    </row>
    <row r="353" spans="1:21" x14ac:dyDescent="0.25">
      <c r="A353" s="24"/>
      <c r="B353" s="24"/>
      <c r="C353" s="17"/>
      <c r="D353" s="24"/>
      <c r="E353" s="24"/>
      <c r="F353" s="25"/>
      <c r="G353" s="1">
        <v>4625</v>
      </c>
      <c r="H353" s="2">
        <v>105.6</v>
      </c>
      <c r="I353" s="2">
        <v>1.7</v>
      </c>
      <c r="J353" s="2">
        <v>-1.9</v>
      </c>
      <c r="K353" s="2">
        <f t="shared" si="43"/>
        <v>1.7</v>
      </c>
      <c r="L353" s="8">
        <f t="shared" si="47"/>
        <v>4.073802778041127E-11</v>
      </c>
      <c r="M353" s="26"/>
      <c r="N353" s="17"/>
      <c r="O353" s="9">
        <f t="shared" si="45"/>
        <v>-1.9</v>
      </c>
      <c r="P353" s="8">
        <f>D350/B350*10^(O353/10)</f>
        <v>101.15249588209601</v>
      </c>
      <c r="Q353" s="26"/>
      <c r="R353" s="17"/>
      <c r="S353" s="19"/>
      <c r="T353" s="17"/>
      <c r="U353" s="22"/>
    </row>
    <row r="354" spans="1:21" x14ac:dyDescent="0.25">
      <c r="A354" s="24"/>
      <c r="B354" s="24"/>
      <c r="C354" s="17"/>
      <c r="D354" s="24"/>
      <c r="E354" s="24"/>
      <c r="F354" s="25"/>
      <c r="G354" s="1">
        <v>5225</v>
      </c>
      <c r="H354" s="2">
        <v>103.5</v>
      </c>
      <c r="I354" s="2">
        <v>3.7</v>
      </c>
      <c r="J354" s="2">
        <v>2.6</v>
      </c>
      <c r="K354" s="2">
        <f t="shared" si="43"/>
        <v>3.7</v>
      </c>
      <c r="L354" s="8">
        <f t="shared" si="47"/>
        <v>1.0471285480508951E-10</v>
      </c>
      <c r="M354" s="26"/>
      <c r="N354" s="17"/>
      <c r="O354" s="9">
        <f t="shared" si="45"/>
        <v>2.6</v>
      </c>
      <c r="P354" s="8">
        <f>D350/B350*10^(O354/10)</f>
        <v>285.08646784889743</v>
      </c>
      <c r="Q354" s="26"/>
      <c r="R354" s="17"/>
      <c r="S354" s="19"/>
      <c r="T354" s="17"/>
      <c r="U354" s="22"/>
    </row>
    <row r="355" spans="1:21" x14ac:dyDescent="0.25">
      <c r="A355" s="24"/>
      <c r="B355" s="24"/>
      <c r="C355" s="17"/>
      <c r="D355" s="24"/>
      <c r="E355" s="24"/>
      <c r="F355" s="25"/>
      <c r="G355" s="1">
        <v>5625</v>
      </c>
      <c r="H355" s="2">
        <v>99.5</v>
      </c>
      <c r="I355" s="2">
        <v>-1.7</v>
      </c>
      <c r="J355" s="2">
        <v>-1.9</v>
      </c>
      <c r="K355" s="2">
        <f t="shared" si="43"/>
        <v>-1.7</v>
      </c>
      <c r="L355" s="8">
        <f t="shared" si="47"/>
        <v>7.5857757502918162E-11</v>
      </c>
      <c r="M355" s="26"/>
      <c r="N355" s="17"/>
      <c r="O355" s="9">
        <f t="shared" si="45"/>
        <v>-1.9</v>
      </c>
      <c r="P355" s="8">
        <f>D350/B350*10^(O355/10)</f>
        <v>101.15249588209601</v>
      </c>
      <c r="Q355" s="26"/>
      <c r="R355" s="17"/>
      <c r="S355" s="20"/>
      <c r="T355" s="17"/>
      <c r="U355" s="23"/>
    </row>
    <row r="356" spans="1:21" x14ac:dyDescent="0.25">
      <c r="A356" s="24">
        <v>8000</v>
      </c>
      <c r="B356" s="24">
        <v>3</v>
      </c>
      <c r="C356" s="17">
        <v>0.5</v>
      </c>
      <c r="D356" s="24">
        <v>943</v>
      </c>
      <c r="E356" s="24">
        <v>6</v>
      </c>
      <c r="F356" s="25">
        <v>54</v>
      </c>
      <c r="G356" s="1">
        <v>6025</v>
      </c>
      <c r="H356" s="2">
        <v>95</v>
      </c>
      <c r="I356" s="2">
        <v>2.1999999999999997</v>
      </c>
      <c r="J356" s="2">
        <v>1.9</v>
      </c>
      <c r="K356" s="2">
        <f t="shared" si="43"/>
        <v>2.1999999999999997</v>
      </c>
      <c r="L356" s="8">
        <f t="shared" si="47"/>
        <v>5.2480746024977249E-10</v>
      </c>
      <c r="M356" s="26">
        <f>SUM(L356:L361)</f>
        <v>3.8071537264794516E-8</v>
      </c>
      <c r="N356" s="17">
        <f>10*LOG10(M356/E356)</f>
        <v>-81.975508371327521</v>
      </c>
      <c r="O356" s="9">
        <f t="shared" si="45"/>
        <v>1.9</v>
      </c>
      <c r="P356" s="8">
        <f>D356/B356*10^(O356/10)</f>
        <v>486.84469054482332</v>
      </c>
      <c r="Q356" s="26">
        <f>SUM(P356:P361)</f>
        <v>9559.1071024273479</v>
      </c>
      <c r="R356" s="17">
        <f>10*LOG10(Q356)</f>
        <v>39.804173275690864</v>
      </c>
      <c r="S356" s="18">
        <f>F356+N356-Kzt-H</f>
        <v>-27.975508371327521</v>
      </c>
      <c r="T356" s="17">
        <v>0.7</v>
      </c>
      <c r="U356" s="21">
        <f>T356*10^((S356-R356)/10)</f>
        <v>1.1671586024407622E-7</v>
      </c>
    </row>
    <row r="357" spans="1:21" x14ac:dyDescent="0.25">
      <c r="A357" s="24"/>
      <c r="B357" s="24"/>
      <c r="C357" s="17"/>
      <c r="D357" s="24"/>
      <c r="E357" s="24"/>
      <c r="F357" s="25"/>
      <c r="G357" s="1">
        <v>7025</v>
      </c>
      <c r="H357" s="2">
        <v>94.8</v>
      </c>
      <c r="I357" s="2">
        <v>6.8</v>
      </c>
      <c r="J357" s="2">
        <v>6.2</v>
      </c>
      <c r="K357" s="2">
        <f t="shared" si="43"/>
        <v>6.8</v>
      </c>
      <c r="L357" s="8">
        <f t="shared" si="47"/>
        <v>1.584893192461106E-9</v>
      </c>
      <c r="M357" s="26"/>
      <c r="N357" s="17"/>
      <c r="O357" s="9">
        <f t="shared" si="45"/>
        <v>6.2</v>
      </c>
      <c r="P357" s="8">
        <f>D356/B356*10^(O357/10)</f>
        <v>1310.3594287084211</v>
      </c>
      <c r="Q357" s="26"/>
      <c r="R357" s="17"/>
      <c r="S357" s="19"/>
      <c r="T357" s="17"/>
      <c r="U357" s="22"/>
    </row>
    <row r="358" spans="1:21" x14ac:dyDescent="0.25">
      <c r="A358" s="24"/>
      <c r="B358" s="24"/>
      <c r="C358" s="17"/>
      <c r="D358" s="24"/>
      <c r="E358" s="24"/>
      <c r="F358" s="25"/>
      <c r="G358" s="1">
        <v>8025</v>
      </c>
      <c r="H358" s="2">
        <v>101.9</v>
      </c>
      <c r="I358" s="2">
        <v>6.2</v>
      </c>
      <c r="J358" s="2">
        <v>-2.2000000000000002</v>
      </c>
      <c r="K358" s="2">
        <f t="shared" si="43"/>
        <v>6.2</v>
      </c>
      <c r="L358" s="8">
        <f t="shared" si="47"/>
        <v>2.6915348039269034E-10</v>
      </c>
      <c r="M358" s="26"/>
      <c r="N358" s="17"/>
      <c r="O358" s="9">
        <f t="shared" si="45"/>
        <v>-2.2000000000000002</v>
      </c>
      <c r="P358" s="8">
        <f>D356/B356*10^(O358/10)</f>
        <v>189.40456322270643</v>
      </c>
      <c r="Q358" s="26"/>
      <c r="R358" s="17"/>
      <c r="S358" s="19"/>
      <c r="T358" s="17"/>
      <c r="U358" s="22"/>
    </row>
    <row r="359" spans="1:21" x14ac:dyDescent="0.25">
      <c r="A359" s="24"/>
      <c r="B359" s="24"/>
      <c r="C359" s="17"/>
      <c r="D359" s="24"/>
      <c r="E359" s="24"/>
      <c r="F359" s="25"/>
      <c r="G359" s="1">
        <v>9025</v>
      </c>
      <c r="H359" s="2">
        <v>93.2</v>
      </c>
      <c r="I359" s="2">
        <v>17.899999999999999</v>
      </c>
      <c r="J359" s="2">
        <v>13.5</v>
      </c>
      <c r="K359" s="2">
        <f t="shared" si="43"/>
        <v>17.899999999999999</v>
      </c>
      <c r="L359" s="8">
        <f t="shared" si="47"/>
        <v>2.9512092266663779E-8</v>
      </c>
      <c r="M359" s="26"/>
      <c r="N359" s="17"/>
      <c r="O359" s="9">
        <f t="shared" si="45"/>
        <v>13.5</v>
      </c>
      <c r="P359" s="8">
        <f>D356/B356*10^(O359/10)</f>
        <v>7037.0467788998167</v>
      </c>
      <c r="Q359" s="26"/>
      <c r="R359" s="17"/>
      <c r="S359" s="19"/>
      <c r="T359" s="17"/>
      <c r="U359" s="22"/>
    </row>
    <row r="360" spans="1:21" x14ac:dyDescent="0.25">
      <c r="A360" s="24"/>
      <c r="B360" s="24"/>
      <c r="C360" s="17"/>
      <c r="D360" s="24"/>
      <c r="E360" s="24"/>
      <c r="F360" s="25"/>
      <c r="G360" s="1">
        <v>10025</v>
      </c>
      <c r="H360" s="2">
        <v>88.3</v>
      </c>
      <c r="I360" s="2">
        <v>3.2</v>
      </c>
      <c r="J360" s="2">
        <v>0.8</v>
      </c>
      <c r="K360" s="2">
        <f t="shared" si="43"/>
        <v>3.2</v>
      </c>
      <c r="L360" s="8">
        <f t="shared" si="47"/>
        <v>3.0902954325135894E-9</v>
      </c>
      <c r="M360" s="26"/>
      <c r="N360" s="17"/>
      <c r="O360" s="9">
        <f t="shared" si="45"/>
        <v>0.8</v>
      </c>
      <c r="P360" s="8">
        <f>D356/B356*10^(O360/10)</f>
        <v>377.91178728140676</v>
      </c>
      <c r="Q360" s="26"/>
      <c r="R360" s="17"/>
      <c r="S360" s="19"/>
      <c r="T360" s="17"/>
      <c r="U360" s="22"/>
    </row>
    <row r="361" spans="1:21" x14ac:dyDescent="0.25">
      <c r="A361" s="24"/>
      <c r="B361" s="24"/>
      <c r="C361" s="17"/>
      <c r="D361" s="24"/>
      <c r="E361" s="24"/>
      <c r="F361" s="25"/>
      <c r="G361" s="1">
        <v>11025</v>
      </c>
      <c r="H361" s="2">
        <v>86</v>
      </c>
      <c r="I361" s="2">
        <v>0.9</v>
      </c>
      <c r="J361" s="2">
        <v>-3</v>
      </c>
      <c r="K361" s="2">
        <f t="shared" si="43"/>
        <v>0.9</v>
      </c>
      <c r="L361" s="8">
        <f t="shared" si="47"/>
        <v>3.0902954325135894E-9</v>
      </c>
      <c r="M361" s="26"/>
      <c r="N361" s="17"/>
      <c r="O361" s="9">
        <f t="shared" si="45"/>
        <v>-3</v>
      </c>
      <c r="P361" s="8">
        <f>D356/B356*10^(O361/10)</f>
        <v>157.53985377017256</v>
      </c>
      <c r="Q361" s="26"/>
      <c r="R361" s="17"/>
      <c r="S361" s="20"/>
      <c r="T361" s="17"/>
      <c r="U361" s="23"/>
    </row>
    <row r="362" spans="1:21" x14ac:dyDescent="0.25">
      <c r="A362" s="24" t="s">
        <v>20</v>
      </c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12">
        <f>U362</f>
        <v>5.4524853230802528E-2</v>
      </c>
      <c r="T362" s="2"/>
      <c r="U362" s="8">
        <f>0.8*SQRT(SUM(U328:U361))</f>
        <v>5.4524853230802528E-2</v>
      </c>
    </row>
    <row r="363" spans="1:21" x14ac:dyDescent="0.25">
      <c r="A363" s="27" t="s">
        <v>82</v>
      </c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9"/>
    </row>
    <row r="364" spans="1:21" x14ac:dyDescent="0.25">
      <c r="A364" s="24">
        <v>250</v>
      </c>
      <c r="B364" s="24">
        <v>3</v>
      </c>
      <c r="C364" s="17">
        <v>0.5</v>
      </c>
      <c r="D364" s="24">
        <v>38</v>
      </c>
      <c r="E364" s="24">
        <v>4</v>
      </c>
      <c r="F364" s="25">
        <v>84</v>
      </c>
      <c r="G364" s="1">
        <v>175</v>
      </c>
      <c r="H364" s="2">
        <v>84.8</v>
      </c>
      <c r="I364" s="2">
        <v>-10.5</v>
      </c>
      <c r="J364" s="2">
        <v>-12.2</v>
      </c>
      <c r="K364" s="2">
        <f>I364</f>
        <v>-10.5</v>
      </c>
      <c r="L364" s="8">
        <f>10^((K364-H364)/10)</f>
        <v>2.9512092266663821E-10</v>
      </c>
      <c r="M364" s="26">
        <f>SUM(L364:L367)</f>
        <v>5.0667254076897011E-9</v>
      </c>
      <c r="N364" s="17">
        <f>10*LOG10(M364/E364)</f>
        <v>-88.973326230855591</v>
      </c>
      <c r="O364" s="9">
        <f>J364</f>
        <v>-12.2</v>
      </c>
      <c r="P364" s="8">
        <f>D364/B364*10^(O364/10)</f>
        <v>0.76324214236085275</v>
      </c>
      <c r="Q364" s="26">
        <f>SUM(P364:P367)</f>
        <v>120.10804927417691</v>
      </c>
      <c r="R364" s="17">
        <f>10*LOG10(Q364)</f>
        <v>20.795721134663392</v>
      </c>
      <c r="S364" s="18">
        <f>F364+N364-Kzt-H</f>
        <v>-4.9733262308555908</v>
      </c>
      <c r="T364" s="17">
        <v>0.2</v>
      </c>
      <c r="U364" s="21">
        <f>T364*10^((S364-R364)/10)</f>
        <v>5.2981623132967244E-4</v>
      </c>
    </row>
    <row r="365" spans="1:21" x14ac:dyDescent="0.25">
      <c r="A365" s="24"/>
      <c r="B365" s="24"/>
      <c r="C365" s="17"/>
      <c r="D365" s="24"/>
      <c r="E365" s="24"/>
      <c r="F365" s="25"/>
      <c r="G365" s="1">
        <v>225</v>
      </c>
      <c r="H365" s="2">
        <v>90</v>
      </c>
      <c r="I365" s="2">
        <v>-14.2</v>
      </c>
      <c r="J365" s="2">
        <v>-17.3</v>
      </c>
      <c r="K365" s="2">
        <f t="shared" ref="K365:K397" si="48">I365</f>
        <v>-14.2</v>
      </c>
      <c r="L365" s="8">
        <f t="shared" ref="L365:L366" si="49">10^((K365-H365)/10)</f>
        <v>3.8018939632055986E-11</v>
      </c>
      <c r="M365" s="26"/>
      <c r="N365" s="17"/>
      <c r="O365" s="9">
        <f t="shared" ref="O365:O397" si="50">J365</f>
        <v>-17.3</v>
      </c>
      <c r="P365" s="8">
        <f>D364/B364*10^(O365/10)</f>
        <v>0.23586437064396312</v>
      </c>
      <c r="Q365" s="26"/>
      <c r="R365" s="17"/>
      <c r="S365" s="19"/>
      <c r="T365" s="17"/>
      <c r="U365" s="22"/>
    </row>
    <row r="366" spans="1:21" x14ac:dyDescent="0.25">
      <c r="A366" s="24"/>
      <c r="B366" s="24"/>
      <c r="C366" s="17"/>
      <c r="D366" s="24"/>
      <c r="E366" s="24"/>
      <c r="F366" s="25"/>
      <c r="G366" s="1">
        <v>275</v>
      </c>
      <c r="H366" s="2">
        <v>92.2</v>
      </c>
      <c r="I366" s="2">
        <v>-10.3</v>
      </c>
      <c r="J366" s="2">
        <v>-11.5</v>
      </c>
      <c r="K366" s="2">
        <f t="shared" si="48"/>
        <v>-10.3</v>
      </c>
      <c r="L366" s="8">
        <f t="shared" si="49"/>
        <v>5.6234132519034822E-11</v>
      </c>
      <c r="M366" s="26"/>
      <c r="N366" s="17"/>
      <c r="O366" s="9">
        <f t="shared" si="50"/>
        <v>-11.5</v>
      </c>
      <c r="P366" s="8">
        <f>D364/B364*10^(O366/10)</f>
        <v>0.89673132688657464</v>
      </c>
      <c r="Q366" s="26"/>
      <c r="R366" s="17"/>
      <c r="S366" s="19"/>
      <c r="T366" s="17"/>
      <c r="U366" s="22"/>
    </row>
    <row r="367" spans="1:21" x14ac:dyDescent="0.25">
      <c r="A367" s="24"/>
      <c r="B367" s="24"/>
      <c r="C367" s="17"/>
      <c r="D367" s="24"/>
      <c r="E367" s="24"/>
      <c r="F367" s="25"/>
      <c r="G367" s="1">
        <v>325</v>
      </c>
      <c r="H367" s="2">
        <v>93.3</v>
      </c>
      <c r="I367" s="2">
        <v>10</v>
      </c>
      <c r="J367" s="2">
        <v>9.6999999999999993</v>
      </c>
      <c r="K367" s="2">
        <f t="shared" si="48"/>
        <v>10</v>
      </c>
      <c r="L367" s="8">
        <f>10^((K367-H367)/10)</f>
        <v>4.6773514128719724E-9</v>
      </c>
      <c r="M367" s="26"/>
      <c r="N367" s="17"/>
      <c r="O367" s="9">
        <f t="shared" si="50"/>
        <v>9.6999999999999993</v>
      </c>
      <c r="P367" s="8">
        <f>D364/B364*10^(O367/10)</f>
        <v>118.21221143428552</v>
      </c>
      <c r="Q367" s="26"/>
      <c r="R367" s="17"/>
      <c r="S367" s="20"/>
      <c r="T367" s="17"/>
      <c r="U367" s="23"/>
    </row>
    <row r="368" spans="1:21" x14ac:dyDescent="0.25">
      <c r="A368" s="24">
        <v>500</v>
      </c>
      <c r="B368" s="24">
        <v>3</v>
      </c>
      <c r="C368" s="17">
        <v>0.5</v>
      </c>
      <c r="D368" s="24">
        <v>59</v>
      </c>
      <c r="E368" s="24">
        <v>6</v>
      </c>
      <c r="F368" s="25">
        <v>84</v>
      </c>
      <c r="G368" s="1">
        <v>375</v>
      </c>
      <c r="H368" s="2">
        <v>91.9</v>
      </c>
      <c r="I368" s="2">
        <v>7</v>
      </c>
      <c r="J368" s="2">
        <v>6.8</v>
      </c>
      <c r="K368" s="2">
        <f t="shared" si="48"/>
        <v>7</v>
      </c>
      <c r="L368" s="8">
        <f t="shared" ref="L368:L369" si="51">10^((K368-H368)/10)</f>
        <v>3.2359365692962808E-9</v>
      </c>
      <c r="M368" s="26">
        <f>SUM(L368:L373)</f>
        <v>3.9237653376987371E-9</v>
      </c>
      <c r="N368" s="17">
        <f>10*LOG10(M368/E368)</f>
        <v>-91.844482240482975</v>
      </c>
      <c r="O368" s="9">
        <f t="shared" si="50"/>
        <v>6.8</v>
      </c>
      <c r="P368" s="8">
        <f>D368/B368*10^(O368/10)</f>
        <v>94.13058482345221</v>
      </c>
      <c r="Q368" s="26">
        <f>SUM(P368:P373)</f>
        <v>129.31360191682012</v>
      </c>
      <c r="R368" s="17">
        <f>10*LOG10(Q368)</f>
        <v>21.116442087684799</v>
      </c>
      <c r="S368" s="18">
        <f>F368+N368-Kzt-H</f>
        <v>-7.844482240482975</v>
      </c>
      <c r="T368" s="17">
        <v>0.5</v>
      </c>
      <c r="U368" s="21">
        <f>T368*10^((S368-R368)/10)</f>
        <v>6.3515185603682707E-4</v>
      </c>
    </row>
    <row r="369" spans="1:21" x14ac:dyDescent="0.25">
      <c r="A369" s="24"/>
      <c r="B369" s="24"/>
      <c r="C369" s="17"/>
      <c r="D369" s="24"/>
      <c r="E369" s="24"/>
      <c r="F369" s="25"/>
      <c r="G369" s="1">
        <v>425</v>
      </c>
      <c r="H369" s="2">
        <v>88.1</v>
      </c>
      <c r="I369" s="2">
        <v>-13.1</v>
      </c>
      <c r="J369" s="2">
        <v>-21</v>
      </c>
      <c r="K369" s="2">
        <f t="shared" si="48"/>
        <v>-13.1</v>
      </c>
      <c r="L369" s="8">
        <f t="shared" si="51"/>
        <v>7.5857757502918434E-11</v>
      </c>
      <c r="M369" s="26"/>
      <c r="N369" s="17"/>
      <c r="O369" s="9">
        <f t="shared" si="50"/>
        <v>-21</v>
      </c>
      <c r="P369" s="8">
        <f>D368/B368*10^(O369/10)</f>
        <v>0.15621788616244198</v>
      </c>
      <c r="Q369" s="26"/>
      <c r="R369" s="17"/>
      <c r="S369" s="19"/>
      <c r="T369" s="17"/>
      <c r="U369" s="22"/>
    </row>
    <row r="370" spans="1:21" x14ac:dyDescent="0.25">
      <c r="A370" s="24"/>
      <c r="B370" s="24"/>
      <c r="C370" s="17"/>
      <c r="D370" s="24"/>
      <c r="E370" s="24"/>
      <c r="F370" s="25"/>
      <c r="G370" s="1">
        <v>475</v>
      </c>
      <c r="H370" s="2">
        <v>90</v>
      </c>
      <c r="I370" s="2">
        <v>-13.6</v>
      </c>
      <c r="J370" s="2">
        <v>-17.5</v>
      </c>
      <c r="K370" s="2">
        <f t="shared" si="48"/>
        <v>-13.6</v>
      </c>
      <c r="L370" s="8">
        <f>10^((K370-H370)/10)</f>
        <v>4.3651583224016577E-11</v>
      </c>
      <c r="M370" s="26"/>
      <c r="N370" s="17"/>
      <c r="O370" s="9">
        <f t="shared" si="50"/>
        <v>-17.5</v>
      </c>
      <c r="P370" s="8">
        <f>D368/B368*10^(O370/10)</f>
        <v>0.34972828397432149</v>
      </c>
      <c r="Q370" s="26"/>
      <c r="R370" s="17"/>
      <c r="S370" s="19"/>
      <c r="T370" s="17"/>
      <c r="U370" s="22"/>
    </row>
    <row r="371" spans="1:21" x14ac:dyDescent="0.25">
      <c r="A371" s="24"/>
      <c r="B371" s="24"/>
      <c r="C371" s="17"/>
      <c r="D371" s="24"/>
      <c r="E371" s="24"/>
      <c r="F371" s="25"/>
      <c r="G371" s="1">
        <v>575</v>
      </c>
      <c r="H371" s="2">
        <v>97</v>
      </c>
      <c r="I371" s="2">
        <v>1.8</v>
      </c>
      <c r="J371" s="2">
        <v>1.7</v>
      </c>
      <c r="K371" s="2">
        <f t="shared" si="48"/>
        <v>1.8</v>
      </c>
      <c r="L371" s="8">
        <f t="shared" ref="L371:L397" si="52">10^((K371-H371)/10)</f>
        <v>3.0199517204020115E-10</v>
      </c>
      <c r="M371" s="26"/>
      <c r="N371" s="17"/>
      <c r="O371" s="9">
        <f t="shared" si="50"/>
        <v>1.7</v>
      </c>
      <c r="P371" s="8">
        <f>D368/B368*10^(O371/10)</f>
        <v>29.089131633974748</v>
      </c>
      <c r="Q371" s="26"/>
      <c r="R371" s="17"/>
      <c r="S371" s="19"/>
      <c r="T371" s="17"/>
      <c r="U371" s="22"/>
    </row>
    <row r="372" spans="1:21" x14ac:dyDescent="0.25">
      <c r="A372" s="24"/>
      <c r="B372" s="24"/>
      <c r="C372" s="17"/>
      <c r="D372" s="24"/>
      <c r="E372" s="24"/>
      <c r="F372" s="25"/>
      <c r="G372" s="1">
        <v>625</v>
      </c>
      <c r="H372" s="2">
        <v>92</v>
      </c>
      <c r="I372" s="2">
        <v>-3.9999999999999996</v>
      </c>
      <c r="J372" s="2">
        <v>-5.6</v>
      </c>
      <c r="K372" s="2">
        <f t="shared" si="48"/>
        <v>-3.9999999999999996</v>
      </c>
      <c r="L372" s="8">
        <f t="shared" si="52"/>
        <v>2.5118864315095784E-10</v>
      </c>
      <c r="M372" s="26"/>
      <c r="N372" s="17"/>
      <c r="O372" s="9">
        <f t="shared" si="50"/>
        <v>-5.6</v>
      </c>
      <c r="P372" s="8">
        <f>D368/B368*10^(O372/10)</f>
        <v>5.4166497832317271</v>
      </c>
      <c r="Q372" s="26"/>
      <c r="R372" s="17"/>
      <c r="S372" s="19"/>
      <c r="T372" s="17"/>
      <c r="U372" s="22"/>
    </row>
    <row r="373" spans="1:21" x14ac:dyDescent="0.25">
      <c r="A373" s="24"/>
      <c r="B373" s="24"/>
      <c r="C373" s="17"/>
      <c r="D373" s="24"/>
      <c r="E373" s="24"/>
      <c r="F373" s="25"/>
      <c r="G373" s="1">
        <v>675</v>
      </c>
      <c r="H373" s="2">
        <v>94.5</v>
      </c>
      <c r="I373" s="2">
        <v>-13.7</v>
      </c>
      <c r="J373" s="2">
        <v>-20.6</v>
      </c>
      <c r="K373" s="2">
        <f t="shared" si="48"/>
        <v>-13.7</v>
      </c>
      <c r="L373" s="8">
        <f t="shared" si="52"/>
        <v>1.5135612484362034E-11</v>
      </c>
      <c r="M373" s="26"/>
      <c r="N373" s="17"/>
      <c r="O373" s="9">
        <f t="shared" si="50"/>
        <v>-20.6</v>
      </c>
      <c r="P373" s="8">
        <f>D368/B368*10^(O373/10)</f>
        <v>0.17128950602469575</v>
      </c>
      <c r="Q373" s="26"/>
      <c r="R373" s="17"/>
      <c r="S373" s="20"/>
      <c r="T373" s="17"/>
      <c r="U373" s="23"/>
    </row>
    <row r="374" spans="1:21" x14ac:dyDescent="0.25">
      <c r="A374" s="24">
        <v>1000</v>
      </c>
      <c r="B374" s="24">
        <v>3</v>
      </c>
      <c r="C374" s="17">
        <v>0.5</v>
      </c>
      <c r="D374" s="24">
        <v>117</v>
      </c>
      <c r="E374" s="24">
        <v>6</v>
      </c>
      <c r="F374" s="25">
        <v>76</v>
      </c>
      <c r="G374" s="1">
        <v>875</v>
      </c>
      <c r="H374" s="2">
        <v>91.1</v>
      </c>
      <c r="I374" s="2">
        <v>-6</v>
      </c>
      <c r="J374" s="2">
        <v>-6.3</v>
      </c>
      <c r="K374" s="2">
        <f t="shared" si="48"/>
        <v>-6</v>
      </c>
      <c r="L374" s="8">
        <f t="shared" si="52"/>
        <v>1.949844599758046E-10</v>
      </c>
      <c r="M374" s="26">
        <f>SUM(L374:L379)</f>
        <v>2.1958670584095126E-8</v>
      </c>
      <c r="N374" s="17">
        <f>10*LOG10(M374/E374)</f>
        <v>-84.365452067489599</v>
      </c>
      <c r="O374" s="9">
        <f t="shared" si="50"/>
        <v>-6.3</v>
      </c>
      <c r="P374" s="8">
        <f>D374/B374*10^(O374/10)</f>
        <v>9.1424923797476954</v>
      </c>
      <c r="Q374" s="26">
        <f>SUM(P374:P379)</f>
        <v>2569.8647426946709</v>
      </c>
      <c r="R374" s="17">
        <f>10*LOG10(Q374)</f>
        <v>34.099102661145018</v>
      </c>
      <c r="S374" s="18">
        <f>F374+N374-Kzt-H</f>
        <v>-8.3654520674895991</v>
      </c>
      <c r="T374" s="17">
        <v>0.8</v>
      </c>
      <c r="U374" s="21">
        <f>T374*10^((S374-R374)/10)</f>
        <v>4.5355975719219961E-5</v>
      </c>
    </row>
    <row r="375" spans="1:21" x14ac:dyDescent="0.25">
      <c r="A375" s="24"/>
      <c r="B375" s="24"/>
      <c r="C375" s="17"/>
      <c r="D375" s="24"/>
      <c r="E375" s="24"/>
      <c r="F375" s="25"/>
      <c r="G375" s="1">
        <v>975</v>
      </c>
      <c r="H375" s="2">
        <v>96.5</v>
      </c>
      <c r="I375" s="2">
        <v>-5.6</v>
      </c>
      <c r="J375" s="2">
        <v>-6.5</v>
      </c>
      <c r="K375" s="2">
        <f t="shared" si="48"/>
        <v>-5.6</v>
      </c>
      <c r="L375" s="8">
        <f t="shared" si="52"/>
        <v>6.1659500186148317E-11</v>
      </c>
      <c r="M375" s="26"/>
      <c r="N375" s="17"/>
      <c r="O375" s="9">
        <f t="shared" si="50"/>
        <v>-6.5</v>
      </c>
      <c r="P375" s="8">
        <f>D374/B374*10^(O375/10)</f>
        <v>8.7310124404165226</v>
      </c>
      <c r="Q375" s="26"/>
      <c r="R375" s="17"/>
      <c r="S375" s="19"/>
      <c r="T375" s="17"/>
      <c r="U375" s="22"/>
    </row>
    <row r="376" spans="1:21" x14ac:dyDescent="0.25">
      <c r="A376" s="24"/>
      <c r="B376" s="24"/>
      <c r="C376" s="17"/>
      <c r="D376" s="24"/>
      <c r="E376" s="24"/>
      <c r="F376" s="25"/>
      <c r="G376" s="1">
        <v>1075</v>
      </c>
      <c r="H376" s="2">
        <v>94.6</v>
      </c>
      <c r="I376" s="2">
        <v>17.8</v>
      </c>
      <c r="J376" s="2">
        <v>17.7</v>
      </c>
      <c r="K376" s="2">
        <f t="shared" si="48"/>
        <v>17.8</v>
      </c>
      <c r="L376" s="8">
        <f t="shared" si="52"/>
        <v>2.0892961308540368E-8</v>
      </c>
      <c r="M376" s="26"/>
      <c r="N376" s="17"/>
      <c r="O376" s="9">
        <f t="shared" si="50"/>
        <v>17.7</v>
      </c>
      <c r="P376" s="8">
        <f>D374/B374*10^(O376/10)</f>
        <v>2296.4902558867989</v>
      </c>
      <c r="Q376" s="26"/>
      <c r="R376" s="17"/>
      <c r="S376" s="19"/>
      <c r="T376" s="17"/>
      <c r="U376" s="22"/>
    </row>
    <row r="377" spans="1:21" x14ac:dyDescent="0.25">
      <c r="A377" s="24"/>
      <c r="B377" s="24"/>
      <c r="C377" s="17"/>
      <c r="D377" s="24"/>
      <c r="E377" s="24"/>
      <c r="F377" s="25"/>
      <c r="G377" s="1">
        <v>1175</v>
      </c>
      <c r="H377" s="2">
        <v>97.8</v>
      </c>
      <c r="I377" s="2">
        <v>-12</v>
      </c>
      <c r="J377" s="2">
        <v>-15.2</v>
      </c>
      <c r="K377" s="2">
        <f t="shared" si="48"/>
        <v>-12</v>
      </c>
      <c r="L377" s="8">
        <f t="shared" si="52"/>
        <v>1.0471285480508978E-11</v>
      </c>
      <c r="M377" s="26"/>
      <c r="N377" s="17"/>
      <c r="O377" s="9">
        <f t="shared" si="50"/>
        <v>-15.2</v>
      </c>
      <c r="P377" s="8">
        <f>D374/B374*10^(O377/10)</f>
        <v>1.1777811709567858</v>
      </c>
      <c r="Q377" s="26"/>
      <c r="R377" s="17"/>
      <c r="S377" s="19"/>
      <c r="T377" s="17"/>
      <c r="U377" s="22"/>
    </row>
    <row r="378" spans="1:21" x14ac:dyDescent="0.25">
      <c r="A378" s="24"/>
      <c r="B378" s="24"/>
      <c r="C378" s="17"/>
      <c r="D378" s="24"/>
      <c r="E378" s="24"/>
      <c r="F378" s="25"/>
      <c r="G378" s="1">
        <v>1275</v>
      </c>
      <c r="H378" s="2">
        <v>100.1</v>
      </c>
      <c r="I378" s="2">
        <v>9.1</v>
      </c>
      <c r="J378" s="2">
        <v>8.1</v>
      </c>
      <c r="K378" s="2">
        <f t="shared" si="48"/>
        <v>9.1</v>
      </c>
      <c r="L378" s="8">
        <f t="shared" si="52"/>
        <v>7.9432823472428E-10</v>
      </c>
      <c r="M378" s="26"/>
      <c r="N378" s="17"/>
      <c r="O378" s="9">
        <f t="shared" si="50"/>
        <v>8.1</v>
      </c>
      <c r="P378" s="8">
        <f>D374/B374*10^(O378/10)</f>
        <v>251.80514932351565</v>
      </c>
      <c r="Q378" s="26"/>
      <c r="R378" s="17"/>
      <c r="S378" s="19"/>
      <c r="T378" s="17"/>
      <c r="U378" s="22"/>
    </row>
    <row r="379" spans="1:21" x14ac:dyDescent="0.25">
      <c r="A379" s="24"/>
      <c r="B379" s="24"/>
      <c r="C379" s="17"/>
      <c r="D379" s="24"/>
      <c r="E379" s="24"/>
      <c r="F379" s="25"/>
      <c r="G379" s="1">
        <v>1375</v>
      </c>
      <c r="H379" s="2">
        <v>103</v>
      </c>
      <c r="I379" s="2">
        <v>-10.7</v>
      </c>
      <c r="J379" s="2">
        <v>-11.9</v>
      </c>
      <c r="K379" s="2">
        <f t="shared" si="48"/>
        <v>-10.7</v>
      </c>
      <c r="L379" s="8">
        <f t="shared" si="52"/>
        <v>4.2657951880159045E-12</v>
      </c>
      <c r="M379" s="26"/>
      <c r="N379" s="17"/>
      <c r="O379" s="9">
        <f t="shared" si="50"/>
        <v>-11.9</v>
      </c>
      <c r="P379" s="8">
        <f>D374/B374*10^(O379/10)</f>
        <v>2.5180514932351561</v>
      </c>
      <c r="Q379" s="26"/>
      <c r="R379" s="17"/>
      <c r="S379" s="20"/>
      <c r="T379" s="17"/>
      <c r="U379" s="23"/>
    </row>
    <row r="380" spans="1:21" x14ac:dyDescent="0.25">
      <c r="A380" s="24">
        <v>2000</v>
      </c>
      <c r="B380" s="24">
        <v>3</v>
      </c>
      <c r="C380" s="17">
        <v>0.5</v>
      </c>
      <c r="D380" s="24">
        <v>234</v>
      </c>
      <c r="E380" s="24">
        <v>6</v>
      </c>
      <c r="F380" s="25">
        <v>68</v>
      </c>
      <c r="G380" s="1">
        <v>1425</v>
      </c>
      <c r="H380" s="2">
        <v>102.8</v>
      </c>
      <c r="I380" s="2">
        <v>-8.4</v>
      </c>
      <c r="J380" s="2">
        <v>-13.3</v>
      </c>
      <c r="K380" s="2">
        <f t="shared" si="48"/>
        <v>-8.4</v>
      </c>
      <c r="L380" s="8">
        <f t="shared" si="52"/>
        <v>7.5857757502918081E-12</v>
      </c>
      <c r="M380" s="26">
        <f>SUM(L380:L385)</f>
        <v>3.1106698703379177E-10</v>
      </c>
      <c r="N380" s="17">
        <f>10*LOG10(M380/E380)</f>
        <v>-102.85297327702543</v>
      </c>
      <c r="O380" s="9">
        <f t="shared" si="50"/>
        <v>-13.3</v>
      </c>
      <c r="P380" s="8">
        <f>D380/B380*10^(O380/10)</f>
        <v>3.6483341020401432</v>
      </c>
      <c r="Q380" s="26">
        <f>SUM(P380:P385)</f>
        <v>69.333836062338492</v>
      </c>
      <c r="R380" s="17">
        <f>10*LOG10(Q380)</f>
        <v>18.409452292571558</v>
      </c>
      <c r="S380" s="18">
        <f>F380+N380-Kzt-H</f>
        <v>-34.852973277025427</v>
      </c>
      <c r="T380" s="17">
        <v>1</v>
      </c>
      <c r="U380" s="21">
        <f>T380*10^((S380-R380)/10)</f>
        <v>4.717994638717424E-6</v>
      </c>
    </row>
    <row r="381" spans="1:21" x14ac:dyDescent="0.25">
      <c r="A381" s="24"/>
      <c r="B381" s="24"/>
      <c r="C381" s="17"/>
      <c r="D381" s="24"/>
      <c r="E381" s="24"/>
      <c r="F381" s="25"/>
      <c r="G381" s="1">
        <v>1625</v>
      </c>
      <c r="H381" s="2">
        <v>104.1</v>
      </c>
      <c r="I381" s="2">
        <v>-5.9</v>
      </c>
      <c r="J381" s="2">
        <v>-9.3000000000000007</v>
      </c>
      <c r="K381" s="2">
        <f t="shared" si="48"/>
        <v>-5.9</v>
      </c>
      <c r="L381" s="8">
        <f t="shared" si="52"/>
        <v>9.9999999999999994E-12</v>
      </c>
      <c r="M381" s="26"/>
      <c r="N381" s="17"/>
      <c r="O381" s="9">
        <f t="shared" si="50"/>
        <v>-9.3000000000000007</v>
      </c>
      <c r="P381" s="8">
        <f>D380/B380*10^(O381/10)</f>
        <v>9.1642009285283272</v>
      </c>
      <c r="Q381" s="26"/>
      <c r="R381" s="17"/>
      <c r="S381" s="19"/>
      <c r="T381" s="17"/>
      <c r="U381" s="22"/>
    </row>
    <row r="382" spans="1:21" x14ac:dyDescent="0.25">
      <c r="A382" s="24"/>
      <c r="B382" s="24"/>
      <c r="C382" s="17"/>
      <c r="D382" s="24"/>
      <c r="E382" s="24"/>
      <c r="F382" s="25"/>
      <c r="G382" s="1">
        <v>1825</v>
      </c>
      <c r="H382" s="2">
        <v>107.6</v>
      </c>
      <c r="I382" s="2">
        <v>-11.5</v>
      </c>
      <c r="J382" s="2">
        <v>-14.3</v>
      </c>
      <c r="K382" s="2">
        <f t="shared" si="48"/>
        <v>-11.5</v>
      </c>
      <c r="L382" s="8">
        <f t="shared" si="52"/>
        <v>1.2302687708123772E-12</v>
      </c>
      <c r="M382" s="26"/>
      <c r="N382" s="17"/>
      <c r="O382" s="9">
        <f t="shared" si="50"/>
        <v>-14.3</v>
      </c>
      <c r="P382" s="8">
        <f>D380/B380*10^(O382/10)</f>
        <v>2.8979747869579442</v>
      </c>
      <c r="Q382" s="26"/>
      <c r="R382" s="17"/>
      <c r="S382" s="19"/>
      <c r="T382" s="17"/>
      <c r="U382" s="22"/>
    </row>
    <row r="383" spans="1:21" x14ac:dyDescent="0.25">
      <c r="A383" s="24"/>
      <c r="B383" s="24"/>
      <c r="C383" s="17"/>
      <c r="D383" s="24"/>
      <c r="E383" s="24"/>
      <c r="F383" s="25"/>
      <c r="G383" s="1">
        <v>2125</v>
      </c>
      <c r="H383" s="2">
        <v>104.2</v>
      </c>
      <c r="I383" s="2">
        <v>-4.9000000000000004</v>
      </c>
      <c r="J383" s="2">
        <v>-7.1</v>
      </c>
      <c r="K383" s="2">
        <f t="shared" si="48"/>
        <v>-4.9000000000000004</v>
      </c>
      <c r="L383" s="8">
        <f t="shared" si="52"/>
        <v>1.2302687708123787E-11</v>
      </c>
      <c r="M383" s="26"/>
      <c r="N383" s="17"/>
      <c r="O383" s="9">
        <f t="shared" si="50"/>
        <v>-7.1</v>
      </c>
      <c r="P383" s="8">
        <f>D380/B380*10^(O383/10)</f>
        <v>15.20878787811275</v>
      </c>
      <c r="Q383" s="26"/>
      <c r="R383" s="17"/>
      <c r="S383" s="19"/>
      <c r="T383" s="17"/>
      <c r="U383" s="22"/>
    </row>
    <row r="384" spans="1:21" x14ac:dyDescent="0.25">
      <c r="A384" s="24"/>
      <c r="B384" s="24"/>
      <c r="C384" s="17"/>
      <c r="D384" s="24"/>
      <c r="E384" s="24"/>
      <c r="F384" s="25"/>
      <c r="G384" s="1">
        <v>2425</v>
      </c>
      <c r="H384" s="2">
        <v>93.7</v>
      </c>
      <c r="I384" s="2">
        <v>-2.2000000000000002</v>
      </c>
      <c r="J384" s="2">
        <v>-3.9</v>
      </c>
      <c r="K384" s="2">
        <f t="shared" si="48"/>
        <v>-2.2000000000000002</v>
      </c>
      <c r="L384" s="8">
        <f t="shared" si="52"/>
        <v>2.5703957827688617E-10</v>
      </c>
      <c r="M384" s="26"/>
      <c r="N384" s="17"/>
      <c r="O384" s="9">
        <f t="shared" si="50"/>
        <v>-3.9</v>
      </c>
      <c r="P384" s="8">
        <f>D380/B380*10^(O384/10)</f>
        <v>31.77566166872079</v>
      </c>
      <c r="Q384" s="26"/>
      <c r="R384" s="17"/>
      <c r="S384" s="19"/>
      <c r="T384" s="17"/>
      <c r="U384" s="22"/>
    </row>
    <row r="385" spans="1:21" x14ac:dyDescent="0.25">
      <c r="A385" s="24"/>
      <c r="B385" s="24"/>
      <c r="C385" s="17"/>
      <c r="D385" s="24"/>
      <c r="E385" s="24"/>
      <c r="F385" s="25"/>
      <c r="G385" s="1">
        <v>2775</v>
      </c>
      <c r="H385" s="2">
        <v>100.2</v>
      </c>
      <c r="I385" s="2">
        <v>-6.2</v>
      </c>
      <c r="J385" s="2">
        <v>-10.7</v>
      </c>
      <c r="K385" s="2">
        <f t="shared" si="48"/>
        <v>-6.2</v>
      </c>
      <c r="L385" s="8">
        <f t="shared" si="52"/>
        <v>2.2908676527677615E-11</v>
      </c>
      <c r="M385" s="26"/>
      <c r="N385" s="17"/>
      <c r="O385" s="9">
        <f t="shared" si="50"/>
        <v>-10.7</v>
      </c>
      <c r="P385" s="8">
        <f>D380/B380*10^(O385/10)</f>
        <v>6.6388766979785361</v>
      </c>
      <c r="Q385" s="26"/>
      <c r="R385" s="17"/>
      <c r="S385" s="20"/>
      <c r="T385" s="17"/>
      <c r="U385" s="23"/>
    </row>
    <row r="386" spans="1:21" x14ac:dyDescent="0.25">
      <c r="A386" s="24">
        <v>4000</v>
      </c>
      <c r="B386" s="24">
        <v>3</v>
      </c>
      <c r="C386" s="17">
        <v>0.5</v>
      </c>
      <c r="D386" s="24">
        <v>470</v>
      </c>
      <c r="E386" s="24">
        <v>6</v>
      </c>
      <c r="F386" s="25">
        <v>62</v>
      </c>
      <c r="G386" s="1">
        <v>2825</v>
      </c>
      <c r="H386" s="2">
        <v>99.4</v>
      </c>
      <c r="I386" s="2">
        <v>0.5</v>
      </c>
      <c r="J386" s="2">
        <v>-7</v>
      </c>
      <c r="K386" s="2">
        <f t="shared" si="48"/>
        <v>0.5</v>
      </c>
      <c r="L386" s="8">
        <f t="shared" si="52"/>
        <v>1.2882495516931275E-10</v>
      </c>
      <c r="M386" s="26">
        <f>SUM(L386:L391)</f>
        <v>4.3550514468865823E-10</v>
      </c>
      <c r="N386" s="17">
        <f>10*LOG10(M386/E386)</f>
        <v>-101.39157960622745</v>
      </c>
      <c r="O386" s="9">
        <f t="shared" si="50"/>
        <v>-7</v>
      </c>
      <c r="P386" s="8">
        <f>D386/B386*10^(O386/10)</f>
        <v>31.259109601179109</v>
      </c>
      <c r="Q386" s="26">
        <f>SUM(P386:P391)</f>
        <v>471.32201653094154</v>
      </c>
      <c r="R386" s="17">
        <f>10*LOG10(Q386)</f>
        <v>26.733177271234627</v>
      </c>
      <c r="S386" s="18">
        <f>F386+N386-Kzt-H</f>
        <v>-39.391579606227452</v>
      </c>
      <c r="T386" s="17">
        <v>0.9</v>
      </c>
      <c r="U386" s="21">
        <f>T386*10^((S386-R386)/10)</f>
        <v>2.1966801302189914E-7</v>
      </c>
    </row>
    <row r="387" spans="1:21" x14ac:dyDescent="0.25">
      <c r="A387" s="24"/>
      <c r="B387" s="24"/>
      <c r="C387" s="17"/>
      <c r="D387" s="24"/>
      <c r="E387" s="24"/>
      <c r="F387" s="25"/>
      <c r="G387" s="1">
        <v>3425</v>
      </c>
      <c r="H387" s="2">
        <v>103.5</v>
      </c>
      <c r="I387" s="2">
        <v>1.3</v>
      </c>
      <c r="J387" s="2">
        <v>-13.4</v>
      </c>
      <c r="K387" s="2">
        <f t="shared" si="48"/>
        <v>1.3</v>
      </c>
      <c r="L387" s="8">
        <f t="shared" si="52"/>
        <v>6.0255958607435443E-11</v>
      </c>
      <c r="M387" s="26"/>
      <c r="N387" s="17"/>
      <c r="O387" s="9">
        <f t="shared" si="50"/>
        <v>-13.4</v>
      </c>
      <c r="P387" s="8">
        <f>D386/B386*10^(O387/10)</f>
        <v>7.1610483039663713</v>
      </c>
      <c r="Q387" s="26"/>
      <c r="R387" s="17"/>
      <c r="S387" s="19"/>
      <c r="T387" s="17"/>
      <c r="U387" s="22"/>
    </row>
    <row r="388" spans="1:21" x14ac:dyDescent="0.25">
      <c r="A388" s="24"/>
      <c r="B388" s="24"/>
      <c r="C388" s="17"/>
      <c r="D388" s="24"/>
      <c r="E388" s="24"/>
      <c r="F388" s="25"/>
      <c r="G388" s="1">
        <v>4025</v>
      </c>
      <c r="H388" s="2">
        <v>103.6</v>
      </c>
      <c r="I388" s="2">
        <v>-4.0999999999999996</v>
      </c>
      <c r="J388" s="2">
        <v>-4.8</v>
      </c>
      <c r="K388" s="2">
        <f t="shared" si="48"/>
        <v>-4.0999999999999996</v>
      </c>
      <c r="L388" s="8">
        <f t="shared" si="52"/>
        <v>1.6982436524617441E-11</v>
      </c>
      <c r="M388" s="26"/>
      <c r="N388" s="17"/>
      <c r="O388" s="9">
        <f t="shared" si="50"/>
        <v>-4.8</v>
      </c>
      <c r="P388" s="8">
        <f>D386/B386*10^(O388/10)</f>
        <v>51.877209032272596</v>
      </c>
      <c r="Q388" s="26"/>
      <c r="R388" s="17"/>
      <c r="S388" s="19"/>
      <c r="T388" s="17"/>
      <c r="U388" s="22"/>
    </row>
    <row r="389" spans="1:21" x14ac:dyDescent="0.25">
      <c r="A389" s="24"/>
      <c r="B389" s="24"/>
      <c r="C389" s="17"/>
      <c r="D389" s="24"/>
      <c r="E389" s="24"/>
      <c r="F389" s="25"/>
      <c r="G389" s="1">
        <v>4625</v>
      </c>
      <c r="H389" s="2">
        <v>105.6</v>
      </c>
      <c r="I389" s="2">
        <v>-2.4</v>
      </c>
      <c r="J389" s="2">
        <v>-6</v>
      </c>
      <c r="K389" s="2">
        <f t="shared" si="48"/>
        <v>-2.4</v>
      </c>
      <c r="L389" s="8">
        <f t="shared" si="52"/>
        <v>1.5848931924611082E-11</v>
      </c>
      <c r="M389" s="26"/>
      <c r="N389" s="17"/>
      <c r="O389" s="9">
        <f t="shared" si="50"/>
        <v>-6</v>
      </c>
      <c r="P389" s="8">
        <f>D386/B386*10^(O389/10)</f>
        <v>39.352887426983422</v>
      </c>
      <c r="Q389" s="26"/>
      <c r="R389" s="17"/>
      <c r="S389" s="19"/>
      <c r="T389" s="17"/>
      <c r="U389" s="22"/>
    </row>
    <row r="390" spans="1:21" x14ac:dyDescent="0.25">
      <c r="A390" s="24"/>
      <c r="B390" s="24"/>
      <c r="C390" s="17"/>
      <c r="D390" s="24"/>
      <c r="E390" s="24"/>
      <c r="F390" s="25"/>
      <c r="G390" s="1">
        <v>5225</v>
      </c>
      <c r="H390" s="2">
        <v>103.5</v>
      </c>
      <c r="I390" s="2">
        <v>6.1</v>
      </c>
      <c r="J390" s="2">
        <v>2.8</v>
      </c>
      <c r="K390" s="2">
        <f t="shared" si="48"/>
        <v>6.1</v>
      </c>
      <c r="L390" s="8">
        <f t="shared" si="52"/>
        <v>1.8197008586099781E-10</v>
      </c>
      <c r="M390" s="26"/>
      <c r="N390" s="17"/>
      <c r="O390" s="9">
        <f t="shared" si="50"/>
        <v>2.8</v>
      </c>
      <c r="P390" s="8">
        <f>D386/B386*10^(O390/10)</f>
        <v>298.5221791475754</v>
      </c>
      <c r="Q390" s="26"/>
      <c r="R390" s="17"/>
      <c r="S390" s="19"/>
      <c r="T390" s="17"/>
      <c r="U390" s="22"/>
    </row>
    <row r="391" spans="1:21" x14ac:dyDescent="0.25">
      <c r="A391" s="24"/>
      <c r="B391" s="24"/>
      <c r="C391" s="17"/>
      <c r="D391" s="24"/>
      <c r="E391" s="24"/>
      <c r="F391" s="25"/>
      <c r="G391" s="1">
        <v>5625</v>
      </c>
      <c r="H391" s="2">
        <v>99.5</v>
      </c>
      <c r="I391" s="2">
        <v>-5.5</v>
      </c>
      <c r="J391" s="2">
        <v>-5.6</v>
      </c>
      <c r="K391" s="2">
        <f t="shared" si="48"/>
        <v>-5.5</v>
      </c>
      <c r="L391" s="8">
        <f t="shared" si="52"/>
        <v>3.162277660168371E-11</v>
      </c>
      <c r="M391" s="26"/>
      <c r="N391" s="17"/>
      <c r="O391" s="9">
        <f t="shared" si="50"/>
        <v>-5.6</v>
      </c>
      <c r="P391" s="8">
        <f>D386/B386*10^(O391/10)</f>
        <v>43.149583018964606</v>
      </c>
      <c r="Q391" s="26"/>
      <c r="R391" s="17"/>
      <c r="S391" s="20"/>
      <c r="T391" s="17"/>
      <c r="U391" s="23"/>
    </row>
    <row r="392" spans="1:21" x14ac:dyDescent="0.25">
      <c r="A392" s="24">
        <v>8000</v>
      </c>
      <c r="B392" s="24">
        <v>3</v>
      </c>
      <c r="C392" s="17">
        <v>0.5</v>
      </c>
      <c r="D392" s="24">
        <v>943</v>
      </c>
      <c r="E392" s="24">
        <v>6</v>
      </c>
      <c r="F392" s="25">
        <v>54</v>
      </c>
      <c r="G392" s="1">
        <v>6025</v>
      </c>
      <c r="H392" s="2">
        <v>95</v>
      </c>
      <c r="I392" s="2">
        <v>-0.70000000000000018</v>
      </c>
      <c r="J392" s="2">
        <v>-2.6</v>
      </c>
      <c r="K392" s="2">
        <f t="shared" si="48"/>
        <v>-0.70000000000000018</v>
      </c>
      <c r="L392" s="8">
        <f t="shared" si="52"/>
        <v>2.6915348039269034E-10</v>
      </c>
      <c r="M392" s="26">
        <f>SUM(L392:L397)</f>
        <v>1.2329038181958755E-8</v>
      </c>
      <c r="N392" s="17">
        <f>10*LOG10(M392/E392)</f>
        <v>-86.872220528277211</v>
      </c>
      <c r="O392" s="9">
        <f t="shared" si="50"/>
        <v>-2.6</v>
      </c>
      <c r="P392" s="8">
        <f>D392/B392*10^(O392/10)</f>
        <v>172.73901468257995</v>
      </c>
      <c r="Q392" s="26">
        <f>SUM(P392:P397)</f>
        <v>4970.207786195936</v>
      </c>
      <c r="R392" s="17">
        <f>10*LOG10(Q392)</f>
        <v>36.963745453755806</v>
      </c>
      <c r="S392" s="18">
        <f>F392+N392-Kzt-H</f>
        <v>-32.872220528277211</v>
      </c>
      <c r="T392" s="17">
        <v>0.7</v>
      </c>
      <c r="U392" s="21">
        <f>T392*10^((S392-R392)/10)</f>
        <v>7.269448125886792E-8</v>
      </c>
    </row>
    <row r="393" spans="1:21" x14ac:dyDescent="0.25">
      <c r="A393" s="24"/>
      <c r="B393" s="24"/>
      <c r="C393" s="17"/>
      <c r="D393" s="24"/>
      <c r="E393" s="24"/>
      <c r="F393" s="25"/>
      <c r="G393" s="1">
        <v>7025</v>
      </c>
      <c r="H393" s="2">
        <v>94.8</v>
      </c>
      <c r="I393" s="2">
        <v>8.6</v>
      </c>
      <c r="J393" s="2">
        <v>4.3</v>
      </c>
      <c r="K393" s="2">
        <f t="shared" si="48"/>
        <v>8.6</v>
      </c>
      <c r="L393" s="8">
        <f t="shared" si="52"/>
        <v>2.3988329190194835E-9</v>
      </c>
      <c r="M393" s="26"/>
      <c r="N393" s="17"/>
      <c r="O393" s="9">
        <f t="shared" si="50"/>
        <v>4.3</v>
      </c>
      <c r="P393" s="8">
        <f>D392/B392*10^(O393/10)</f>
        <v>846.03910670102721</v>
      </c>
      <c r="Q393" s="26"/>
      <c r="R393" s="17"/>
      <c r="S393" s="19"/>
      <c r="T393" s="17"/>
      <c r="U393" s="22"/>
    </row>
    <row r="394" spans="1:21" x14ac:dyDescent="0.25">
      <c r="A394" s="24"/>
      <c r="B394" s="24"/>
      <c r="C394" s="17"/>
      <c r="D394" s="24"/>
      <c r="E394" s="24"/>
      <c r="F394" s="25"/>
      <c r="G394" s="1">
        <v>8025</v>
      </c>
      <c r="H394" s="2">
        <v>101.9</v>
      </c>
      <c r="I394" s="2">
        <v>-2.5</v>
      </c>
      <c r="J394" s="2">
        <v>-3.7</v>
      </c>
      <c r="K394" s="2">
        <f t="shared" si="48"/>
        <v>-2.5</v>
      </c>
      <c r="L394" s="8">
        <f t="shared" si="52"/>
        <v>3.6307805477009883E-11</v>
      </c>
      <c r="M394" s="26"/>
      <c r="N394" s="17"/>
      <c r="O394" s="9">
        <f t="shared" si="50"/>
        <v>-3.7</v>
      </c>
      <c r="P394" s="8">
        <f>D392/B392*10^(O394/10)</f>
        <v>134.08816207663395</v>
      </c>
      <c r="Q394" s="26"/>
      <c r="R394" s="17"/>
      <c r="S394" s="19"/>
      <c r="T394" s="17"/>
      <c r="U394" s="22"/>
    </row>
    <row r="395" spans="1:21" x14ac:dyDescent="0.25">
      <c r="A395" s="24"/>
      <c r="B395" s="24"/>
      <c r="C395" s="17"/>
      <c r="D395" s="24"/>
      <c r="E395" s="24"/>
      <c r="F395" s="25"/>
      <c r="G395" s="1">
        <v>9025</v>
      </c>
      <c r="H395" s="2">
        <v>93.2</v>
      </c>
      <c r="I395" s="2">
        <v>10.899999999999999</v>
      </c>
      <c r="J395" s="2">
        <v>10.199999999999999</v>
      </c>
      <c r="K395" s="2">
        <f t="shared" si="48"/>
        <v>10.899999999999999</v>
      </c>
      <c r="L395" s="8">
        <f t="shared" si="52"/>
        <v>5.8884365535558713E-9</v>
      </c>
      <c r="M395" s="26"/>
      <c r="N395" s="17"/>
      <c r="O395" s="9">
        <f t="shared" si="50"/>
        <v>10.199999999999999</v>
      </c>
      <c r="P395" s="8">
        <f>D392/B392*10^(O395/10)</f>
        <v>3291.4740693733288</v>
      </c>
      <c r="Q395" s="26"/>
      <c r="R395" s="17"/>
      <c r="S395" s="19"/>
      <c r="T395" s="17"/>
      <c r="U395" s="22"/>
    </row>
    <row r="396" spans="1:21" x14ac:dyDescent="0.25">
      <c r="A396" s="24"/>
      <c r="B396" s="24"/>
      <c r="C396" s="17"/>
      <c r="D396" s="24"/>
      <c r="E396" s="24"/>
      <c r="F396" s="25"/>
      <c r="G396" s="1">
        <v>10025</v>
      </c>
      <c r="H396" s="2">
        <v>88.3</v>
      </c>
      <c r="I396" s="2">
        <v>1.9</v>
      </c>
      <c r="J396" s="2">
        <v>0.6</v>
      </c>
      <c r="K396" s="2">
        <f t="shared" si="48"/>
        <v>1.9</v>
      </c>
      <c r="L396" s="8">
        <f t="shared" si="52"/>
        <v>2.2908676527677749E-9</v>
      </c>
      <c r="M396" s="26"/>
      <c r="N396" s="17"/>
      <c r="O396" s="9">
        <f t="shared" si="50"/>
        <v>0.6</v>
      </c>
      <c r="P396" s="8">
        <f>D392/B392*10^(O396/10)</f>
        <v>360.90295502385351</v>
      </c>
      <c r="Q396" s="26"/>
      <c r="R396" s="17"/>
      <c r="S396" s="19"/>
      <c r="T396" s="17"/>
      <c r="U396" s="22"/>
    </row>
    <row r="397" spans="1:21" x14ac:dyDescent="0.25">
      <c r="A397" s="24"/>
      <c r="B397" s="24"/>
      <c r="C397" s="17"/>
      <c r="D397" s="24"/>
      <c r="E397" s="24"/>
      <c r="F397" s="25"/>
      <c r="G397" s="1">
        <v>11025</v>
      </c>
      <c r="H397" s="2">
        <v>86</v>
      </c>
      <c r="I397" s="2">
        <v>-2.4</v>
      </c>
      <c r="J397" s="2">
        <v>-2.8</v>
      </c>
      <c r="K397" s="2">
        <f t="shared" si="48"/>
        <v>-2.4</v>
      </c>
      <c r="L397" s="8">
        <f t="shared" si="52"/>
        <v>1.4454397707459262E-9</v>
      </c>
      <c r="M397" s="26"/>
      <c r="N397" s="17"/>
      <c r="O397" s="9">
        <f t="shared" si="50"/>
        <v>-2.8</v>
      </c>
      <c r="P397" s="8">
        <f>D392/B392*10^(O397/10)</f>
        <v>164.96447833851184</v>
      </c>
      <c r="Q397" s="26"/>
      <c r="R397" s="17"/>
      <c r="S397" s="20"/>
      <c r="T397" s="17"/>
      <c r="U397" s="23"/>
    </row>
    <row r="398" spans="1:21" x14ac:dyDescent="0.25">
      <c r="A398" s="24" t="s">
        <v>20</v>
      </c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12">
        <f>U398</f>
        <v>2.7889317469955762E-2</v>
      </c>
      <c r="T398" s="2"/>
      <c r="U398" s="8">
        <f>0.8*SQRT(SUM(U364:U397))</f>
        <v>2.7889317469955762E-2</v>
      </c>
    </row>
    <row r="399" spans="1:21" x14ac:dyDescent="0.25">
      <c r="A399" s="27" t="s">
        <v>83</v>
      </c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9"/>
    </row>
    <row r="400" spans="1:21" x14ac:dyDescent="0.25">
      <c r="A400" s="24">
        <v>250</v>
      </c>
      <c r="B400" s="24">
        <v>3</v>
      </c>
      <c r="C400" s="17">
        <v>0.5</v>
      </c>
      <c r="D400" s="24">
        <v>38</v>
      </c>
      <c r="E400" s="24">
        <v>4</v>
      </c>
      <c r="F400" s="25">
        <v>84</v>
      </c>
      <c r="G400" s="1">
        <v>175</v>
      </c>
      <c r="H400" s="2">
        <v>84.8</v>
      </c>
      <c r="I400" s="2">
        <v>-2.2999999999999998</v>
      </c>
      <c r="J400" s="2">
        <v>-9.1</v>
      </c>
      <c r="K400" s="2">
        <f>I400</f>
        <v>-2.2999999999999998</v>
      </c>
      <c r="L400" s="8">
        <f>10^((K400-H400)/10)</f>
        <v>1.9498445997580482E-9</v>
      </c>
      <c r="M400" s="26">
        <f>SUM(L400:L403)</f>
        <v>2.352152640359344E-9</v>
      </c>
      <c r="N400" s="17">
        <f>10*LOG10(M400/E400)</f>
        <v>-92.305944899464819</v>
      </c>
      <c r="O400" s="9">
        <f>J400</f>
        <v>-9.1</v>
      </c>
      <c r="P400" s="8">
        <f>D400/B400*10^(O400/10)</f>
        <v>1.5583404430290164</v>
      </c>
      <c r="Q400" s="26">
        <f>SUM(P400:P403)</f>
        <v>6.1277527394968256</v>
      </c>
      <c r="R400" s="17">
        <f>10*LOG10(Q400)</f>
        <v>7.8730123279318143</v>
      </c>
      <c r="S400" s="18">
        <f>F400+N400-Kzt-H</f>
        <v>-8.3059448994648193</v>
      </c>
      <c r="T400" s="17">
        <v>0.2</v>
      </c>
      <c r="U400" s="21">
        <f>T400*10^((S400-R400)/10)</f>
        <v>4.8209682679226616E-3</v>
      </c>
    </row>
    <row r="401" spans="1:21" x14ac:dyDescent="0.25">
      <c r="A401" s="24"/>
      <c r="B401" s="24"/>
      <c r="C401" s="17"/>
      <c r="D401" s="24"/>
      <c r="E401" s="24"/>
      <c r="F401" s="25"/>
      <c r="G401" s="1">
        <v>225</v>
      </c>
      <c r="H401" s="2">
        <v>90</v>
      </c>
      <c r="I401" s="2">
        <v>-6.4</v>
      </c>
      <c r="J401" s="2">
        <v>-9.1</v>
      </c>
      <c r="K401" s="2">
        <f t="shared" ref="K401:K433" si="53">I401</f>
        <v>-6.4</v>
      </c>
      <c r="L401" s="8">
        <f t="shared" ref="L401:L402" si="54">10^((K401-H401)/10)</f>
        <v>2.2908676527677644E-10</v>
      </c>
      <c r="M401" s="26"/>
      <c r="N401" s="17"/>
      <c r="O401" s="9">
        <f t="shared" ref="O401:O433" si="55">J401</f>
        <v>-9.1</v>
      </c>
      <c r="P401" s="8">
        <f>D400/B400*10^(O401/10)</f>
        <v>1.5583404430290164</v>
      </c>
      <c r="Q401" s="26"/>
      <c r="R401" s="17"/>
      <c r="S401" s="19"/>
      <c r="T401" s="17"/>
      <c r="U401" s="22"/>
    </row>
    <row r="402" spans="1:21" x14ac:dyDescent="0.25">
      <c r="A402" s="24"/>
      <c r="B402" s="24"/>
      <c r="C402" s="17"/>
      <c r="D402" s="24"/>
      <c r="E402" s="24"/>
      <c r="F402" s="25"/>
      <c r="G402" s="1">
        <v>275</v>
      </c>
      <c r="H402" s="2">
        <v>92.2</v>
      </c>
      <c r="I402" s="2">
        <v>-7.5</v>
      </c>
      <c r="J402" s="2">
        <v>-9.3000000000000007</v>
      </c>
      <c r="K402" s="2">
        <f t="shared" si="53"/>
        <v>-7.5</v>
      </c>
      <c r="L402" s="8">
        <f t="shared" si="54"/>
        <v>1.0715193052376019E-10</v>
      </c>
      <c r="M402" s="26"/>
      <c r="N402" s="17"/>
      <c r="O402" s="9">
        <f t="shared" si="55"/>
        <v>-9.3000000000000007</v>
      </c>
      <c r="P402" s="8">
        <f>D400/B400*10^(O402/10)</f>
        <v>1.4882035695900702</v>
      </c>
      <c r="Q402" s="26"/>
      <c r="R402" s="17"/>
      <c r="S402" s="19"/>
      <c r="T402" s="17"/>
      <c r="U402" s="22"/>
    </row>
    <row r="403" spans="1:21" x14ac:dyDescent="0.25">
      <c r="A403" s="24"/>
      <c r="B403" s="24"/>
      <c r="C403" s="17"/>
      <c r="D403" s="24"/>
      <c r="E403" s="24"/>
      <c r="F403" s="25"/>
      <c r="G403" s="1">
        <v>325</v>
      </c>
      <c r="H403" s="2">
        <v>93.3</v>
      </c>
      <c r="I403" s="2">
        <v>-8.5</v>
      </c>
      <c r="J403" s="2">
        <v>-9.1999999999999993</v>
      </c>
      <c r="K403" s="2">
        <f t="shared" si="53"/>
        <v>-8.5</v>
      </c>
      <c r="L403" s="8">
        <f>10^((K403-H403)/10)</f>
        <v>6.606934480075945E-11</v>
      </c>
      <c r="M403" s="26"/>
      <c r="N403" s="17"/>
      <c r="O403" s="9">
        <f t="shared" si="55"/>
        <v>-9.1999999999999993</v>
      </c>
      <c r="P403" s="8">
        <f>D400/B400*10^(O403/10)</f>
        <v>1.5228682838487229</v>
      </c>
      <c r="Q403" s="26"/>
      <c r="R403" s="17"/>
      <c r="S403" s="20"/>
      <c r="T403" s="17"/>
      <c r="U403" s="23"/>
    </row>
    <row r="404" spans="1:21" x14ac:dyDescent="0.25">
      <c r="A404" s="24">
        <v>500</v>
      </c>
      <c r="B404" s="24">
        <v>3</v>
      </c>
      <c r="C404" s="17">
        <v>0.5</v>
      </c>
      <c r="D404" s="24">
        <v>59</v>
      </c>
      <c r="E404" s="24">
        <v>6</v>
      </c>
      <c r="F404" s="25">
        <v>84</v>
      </c>
      <c r="G404" s="1">
        <v>375</v>
      </c>
      <c r="H404" s="2">
        <v>91.9</v>
      </c>
      <c r="I404" s="2">
        <v>-8.6</v>
      </c>
      <c r="J404" s="2">
        <v>-9.6999999999999993</v>
      </c>
      <c r="K404" s="2">
        <f t="shared" si="53"/>
        <v>-8.6</v>
      </c>
      <c r="L404" s="8">
        <f t="shared" ref="L404:L405" si="56">10^((K404-H404)/10)</f>
        <v>8.9125093813374255E-11</v>
      </c>
      <c r="M404" s="26">
        <f>SUM(L404:L409)</f>
        <v>1.2907285960329621E-9</v>
      </c>
      <c r="N404" s="17">
        <f>10*LOG10(M404/E404)</f>
        <v>-96.673163184477261</v>
      </c>
      <c r="O404" s="9">
        <f t="shared" si="55"/>
        <v>-9.6999999999999993</v>
      </c>
      <c r="P404" s="8">
        <f>D404/B404*10^(O404/10)</f>
        <v>2.1073213003006259</v>
      </c>
      <c r="Q404" s="26">
        <f>SUM(P404:P409)</f>
        <v>13.475456413916472</v>
      </c>
      <c r="R404" s="17">
        <f>10*LOG10(Q404)</f>
        <v>11.295434836686855</v>
      </c>
      <c r="S404" s="18">
        <f>F404+N404-Kzt-H</f>
        <v>-12.673163184477261</v>
      </c>
      <c r="T404" s="17">
        <v>0.5</v>
      </c>
      <c r="U404" s="21">
        <f>T404*10^((S404-R404)/10)</f>
        <v>2.0049807266567057E-3</v>
      </c>
    </row>
    <row r="405" spans="1:21" x14ac:dyDescent="0.25">
      <c r="A405" s="24"/>
      <c r="B405" s="24"/>
      <c r="C405" s="17"/>
      <c r="D405" s="24"/>
      <c r="E405" s="24"/>
      <c r="F405" s="25"/>
      <c r="G405" s="1">
        <v>425</v>
      </c>
      <c r="H405" s="2">
        <v>88.1</v>
      </c>
      <c r="I405" s="2">
        <v>-2.9</v>
      </c>
      <c r="J405" s="2">
        <v>-9</v>
      </c>
      <c r="K405" s="2">
        <f t="shared" si="53"/>
        <v>-2.9</v>
      </c>
      <c r="L405" s="8">
        <f t="shared" si="56"/>
        <v>7.9432823472428E-10</v>
      </c>
      <c r="M405" s="26"/>
      <c r="N405" s="17"/>
      <c r="O405" s="9">
        <f t="shared" si="55"/>
        <v>-9</v>
      </c>
      <c r="P405" s="8">
        <f>D404/B404*10^(O405/10)</f>
        <v>2.4758866431951949</v>
      </c>
      <c r="Q405" s="26"/>
      <c r="R405" s="17"/>
      <c r="S405" s="19"/>
      <c r="T405" s="17"/>
      <c r="U405" s="22"/>
    </row>
    <row r="406" spans="1:21" x14ac:dyDescent="0.25">
      <c r="A406" s="24"/>
      <c r="B406" s="24"/>
      <c r="C406" s="17"/>
      <c r="D406" s="24"/>
      <c r="E406" s="24"/>
      <c r="F406" s="25"/>
      <c r="G406" s="1">
        <v>475</v>
      </c>
      <c r="H406" s="2">
        <v>90</v>
      </c>
      <c r="I406" s="2">
        <v>-7.8</v>
      </c>
      <c r="J406" s="2">
        <v>-9.4</v>
      </c>
      <c r="K406" s="2">
        <f t="shared" si="53"/>
        <v>-7.8</v>
      </c>
      <c r="L406" s="8">
        <f>10^((K406-H406)/10)</f>
        <v>1.6595869074375624E-10</v>
      </c>
      <c r="M406" s="26"/>
      <c r="N406" s="17"/>
      <c r="O406" s="9">
        <f t="shared" si="55"/>
        <v>-9.4</v>
      </c>
      <c r="P406" s="8">
        <f>D404/B404*10^(O406/10)</f>
        <v>2.258035455610536</v>
      </c>
      <c r="Q406" s="26"/>
      <c r="R406" s="17"/>
      <c r="S406" s="19"/>
      <c r="T406" s="17"/>
      <c r="U406" s="22"/>
    </row>
    <row r="407" spans="1:21" x14ac:dyDescent="0.25">
      <c r="A407" s="24"/>
      <c r="B407" s="24"/>
      <c r="C407" s="17"/>
      <c r="D407" s="24"/>
      <c r="E407" s="24"/>
      <c r="F407" s="25"/>
      <c r="G407" s="1">
        <v>575</v>
      </c>
      <c r="H407" s="2">
        <v>97</v>
      </c>
      <c r="I407" s="2">
        <v>-8.4</v>
      </c>
      <c r="J407" s="2">
        <v>-10.1</v>
      </c>
      <c r="K407" s="2">
        <f t="shared" si="53"/>
        <v>-8.4</v>
      </c>
      <c r="L407" s="8">
        <f t="shared" ref="L407:L433" si="57">10^((K407-H407)/10)</f>
        <v>2.8840315031265894E-11</v>
      </c>
      <c r="M407" s="26"/>
      <c r="N407" s="17"/>
      <c r="O407" s="9">
        <f t="shared" si="55"/>
        <v>-10.1</v>
      </c>
      <c r="P407" s="8">
        <f>D404/B404*10^(O407/10)</f>
        <v>1.921899867879761</v>
      </c>
      <c r="Q407" s="26"/>
      <c r="R407" s="17"/>
      <c r="S407" s="19"/>
      <c r="T407" s="17"/>
      <c r="U407" s="22"/>
    </row>
    <row r="408" spans="1:21" x14ac:dyDescent="0.25">
      <c r="A408" s="24"/>
      <c r="B408" s="24"/>
      <c r="C408" s="17"/>
      <c r="D408" s="24"/>
      <c r="E408" s="24"/>
      <c r="F408" s="25"/>
      <c r="G408" s="1">
        <v>625</v>
      </c>
      <c r="H408" s="2">
        <v>92</v>
      </c>
      <c r="I408" s="2">
        <v>-6.3</v>
      </c>
      <c r="J408" s="2">
        <v>-9.8000000000000007</v>
      </c>
      <c r="K408" s="2">
        <f t="shared" si="53"/>
        <v>-6.3</v>
      </c>
      <c r="L408" s="8">
        <f t="shared" si="57"/>
        <v>1.4791083881682045E-10</v>
      </c>
      <c r="M408" s="26"/>
      <c r="N408" s="17"/>
      <c r="O408" s="9">
        <f t="shared" si="55"/>
        <v>-9.8000000000000007</v>
      </c>
      <c r="P408" s="8">
        <f>D404/B404*10^(O408/10)</f>
        <v>2.059352811166768</v>
      </c>
      <c r="Q408" s="26"/>
      <c r="R408" s="17"/>
      <c r="S408" s="19"/>
      <c r="T408" s="17"/>
      <c r="U408" s="22"/>
    </row>
    <row r="409" spans="1:21" x14ac:dyDescent="0.25">
      <c r="A409" s="24"/>
      <c r="B409" s="24"/>
      <c r="C409" s="17"/>
      <c r="D409" s="24"/>
      <c r="E409" s="24"/>
      <c r="F409" s="25"/>
      <c r="G409" s="1">
        <v>675</v>
      </c>
      <c r="H409" s="2">
        <v>94.5</v>
      </c>
      <c r="I409" s="2">
        <v>-7.3999999999999995</v>
      </c>
      <c r="J409" s="2">
        <v>-8.6999999999999993</v>
      </c>
      <c r="K409" s="2">
        <f t="shared" si="53"/>
        <v>-7.3999999999999995</v>
      </c>
      <c r="L409" s="8">
        <f t="shared" si="57"/>
        <v>6.4565422903465183E-11</v>
      </c>
      <c r="M409" s="26"/>
      <c r="N409" s="17"/>
      <c r="O409" s="9">
        <f t="shared" si="55"/>
        <v>-8.6999999999999993</v>
      </c>
      <c r="P409" s="8">
        <f>D404/B404*10^(O409/10)</f>
        <v>2.6529603357635851</v>
      </c>
      <c r="Q409" s="26"/>
      <c r="R409" s="17"/>
      <c r="S409" s="20"/>
      <c r="T409" s="17"/>
      <c r="U409" s="23"/>
    </row>
    <row r="410" spans="1:21" x14ac:dyDescent="0.25">
      <c r="A410" s="24">
        <v>1000</v>
      </c>
      <c r="B410" s="24">
        <v>3</v>
      </c>
      <c r="C410" s="17">
        <v>0.5</v>
      </c>
      <c r="D410" s="24">
        <v>117</v>
      </c>
      <c r="E410" s="24">
        <v>6</v>
      </c>
      <c r="F410" s="25">
        <v>76</v>
      </c>
      <c r="G410" s="1">
        <v>875</v>
      </c>
      <c r="H410" s="2">
        <v>91.1</v>
      </c>
      <c r="I410" s="2">
        <v>-7.4</v>
      </c>
      <c r="J410" s="2">
        <v>-7.7</v>
      </c>
      <c r="K410" s="2">
        <f t="shared" si="53"/>
        <v>-7.4</v>
      </c>
      <c r="L410" s="8">
        <f t="shared" si="57"/>
        <v>1.4125375446227517E-10</v>
      </c>
      <c r="M410" s="26">
        <f>SUM(L410:L415)</f>
        <v>5.0004234549676473E-10</v>
      </c>
      <c r="N410" s="17">
        <f>10*LOG10(M410/E410)</f>
        <v>-100.79144466773883</v>
      </c>
      <c r="O410" s="9">
        <f t="shared" si="55"/>
        <v>-7.7</v>
      </c>
      <c r="P410" s="8">
        <f>D410/B410*10^(O410/10)</f>
        <v>6.6231502446008026</v>
      </c>
      <c r="Q410" s="26">
        <f>SUM(P410:P415)</f>
        <v>29.086077415366574</v>
      </c>
      <c r="R410" s="17">
        <f>10*LOG10(Q410)</f>
        <v>14.636851557012417</v>
      </c>
      <c r="S410" s="18">
        <f>F410+N410-Kzt-H</f>
        <v>-24.79144466773883</v>
      </c>
      <c r="T410" s="17">
        <v>0.8</v>
      </c>
      <c r="U410" s="21">
        <f>T410*10^((S410-R410)/10)</f>
        <v>9.1255776422882618E-5</v>
      </c>
    </row>
    <row r="411" spans="1:21" x14ac:dyDescent="0.25">
      <c r="A411" s="24"/>
      <c r="B411" s="24"/>
      <c r="C411" s="17"/>
      <c r="D411" s="24"/>
      <c r="E411" s="24"/>
      <c r="F411" s="25"/>
      <c r="G411" s="1">
        <v>975</v>
      </c>
      <c r="H411" s="2">
        <v>96.5</v>
      </c>
      <c r="I411" s="2">
        <v>-2.9</v>
      </c>
      <c r="J411" s="2">
        <v>-10.7</v>
      </c>
      <c r="K411" s="2">
        <f t="shared" si="53"/>
        <v>-2.9</v>
      </c>
      <c r="L411" s="8">
        <f t="shared" si="57"/>
        <v>1.1481536214968775E-10</v>
      </c>
      <c r="M411" s="26"/>
      <c r="N411" s="17"/>
      <c r="O411" s="9">
        <f t="shared" si="55"/>
        <v>-10.7</v>
      </c>
      <c r="P411" s="8">
        <f>D410/B410*10^(O411/10)</f>
        <v>3.319438348989268</v>
      </c>
      <c r="Q411" s="26"/>
      <c r="R411" s="17"/>
      <c r="S411" s="19"/>
      <c r="T411" s="17"/>
      <c r="U411" s="22"/>
    </row>
    <row r="412" spans="1:21" x14ac:dyDescent="0.25">
      <c r="A412" s="24"/>
      <c r="B412" s="24"/>
      <c r="C412" s="17"/>
      <c r="D412" s="24"/>
      <c r="E412" s="24"/>
      <c r="F412" s="25"/>
      <c r="G412" s="1">
        <v>1075</v>
      </c>
      <c r="H412" s="2">
        <v>94.6</v>
      </c>
      <c r="I412" s="2">
        <v>-2.4</v>
      </c>
      <c r="J412" s="2">
        <v>-8.4</v>
      </c>
      <c r="K412" s="2">
        <f t="shared" si="53"/>
        <v>-2.4</v>
      </c>
      <c r="L412" s="8">
        <f t="shared" si="57"/>
        <v>1.9952623149688802E-10</v>
      </c>
      <c r="M412" s="26"/>
      <c r="N412" s="17"/>
      <c r="O412" s="9">
        <f t="shared" si="55"/>
        <v>-8.4</v>
      </c>
      <c r="P412" s="8">
        <f>D410/B410*10^(O412/10)</f>
        <v>5.6372151059091147</v>
      </c>
      <c r="Q412" s="26"/>
      <c r="R412" s="17"/>
      <c r="S412" s="19"/>
      <c r="T412" s="17"/>
      <c r="U412" s="22"/>
    </row>
    <row r="413" spans="1:21" x14ac:dyDescent="0.25">
      <c r="A413" s="24"/>
      <c r="B413" s="24"/>
      <c r="C413" s="17"/>
      <c r="D413" s="24"/>
      <c r="E413" s="24"/>
      <c r="F413" s="25"/>
      <c r="G413" s="1">
        <v>1175</v>
      </c>
      <c r="H413" s="2">
        <v>97.8</v>
      </c>
      <c r="I413" s="2">
        <v>-9</v>
      </c>
      <c r="J413" s="2">
        <v>-10</v>
      </c>
      <c r="K413" s="2">
        <f t="shared" si="53"/>
        <v>-9</v>
      </c>
      <c r="L413" s="8">
        <f t="shared" si="57"/>
        <v>2.0892961308540373E-11</v>
      </c>
      <c r="M413" s="26"/>
      <c r="N413" s="17"/>
      <c r="O413" s="9">
        <f t="shared" si="55"/>
        <v>-10</v>
      </c>
      <c r="P413" s="8">
        <f>D410/B410*10^(O413/10)</f>
        <v>3.9000000000000004</v>
      </c>
      <c r="Q413" s="26"/>
      <c r="R413" s="17"/>
      <c r="S413" s="19"/>
      <c r="T413" s="17"/>
      <c r="U413" s="22"/>
    </row>
    <row r="414" spans="1:21" x14ac:dyDescent="0.25">
      <c r="A414" s="24"/>
      <c r="B414" s="24"/>
      <c r="C414" s="17"/>
      <c r="D414" s="24"/>
      <c r="E414" s="24"/>
      <c r="F414" s="25"/>
      <c r="G414" s="1">
        <v>1275</v>
      </c>
      <c r="H414" s="2">
        <v>100.1</v>
      </c>
      <c r="I414" s="2">
        <v>-8.9</v>
      </c>
      <c r="J414" s="2">
        <v>-8.9</v>
      </c>
      <c r="K414" s="2">
        <f t="shared" si="53"/>
        <v>-8.9</v>
      </c>
      <c r="L414" s="8">
        <f t="shared" si="57"/>
        <v>1.2589254117941641E-11</v>
      </c>
      <c r="M414" s="26"/>
      <c r="N414" s="17"/>
      <c r="O414" s="9">
        <f t="shared" si="55"/>
        <v>-8.9</v>
      </c>
      <c r="P414" s="8">
        <f>D410/B410*10^(O414/10)</f>
        <v>5.0241732516032211</v>
      </c>
      <c r="Q414" s="26"/>
      <c r="R414" s="17"/>
      <c r="S414" s="19"/>
      <c r="T414" s="17"/>
      <c r="U414" s="22"/>
    </row>
    <row r="415" spans="1:21" x14ac:dyDescent="0.25">
      <c r="A415" s="24"/>
      <c r="B415" s="24"/>
      <c r="C415" s="17"/>
      <c r="D415" s="24"/>
      <c r="E415" s="24"/>
      <c r="F415" s="25"/>
      <c r="G415" s="1">
        <v>1375</v>
      </c>
      <c r="H415" s="2">
        <v>103</v>
      </c>
      <c r="I415" s="2">
        <v>-6.6</v>
      </c>
      <c r="J415" s="2">
        <v>-9.3000000000000007</v>
      </c>
      <c r="K415" s="2">
        <f t="shared" si="53"/>
        <v>-6.6</v>
      </c>
      <c r="L415" s="8">
        <f t="shared" si="57"/>
        <v>1.096478196143183E-11</v>
      </c>
      <c r="M415" s="26"/>
      <c r="N415" s="17"/>
      <c r="O415" s="9">
        <f t="shared" si="55"/>
        <v>-9.3000000000000007</v>
      </c>
      <c r="P415" s="8">
        <f>D410/B410*10^(O415/10)</f>
        <v>4.5821004642641636</v>
      </c>
      <c r="Q415" s="26"/>
      <c r="R415" s="17"/>
      <c r="S415" s="20"/>
      <c r="T415" s="17"/>
      <c r="U415" s="23"/>
    </row>
    <row r="416" spans="1:21" x14ac:dyDescent="0.25">
      <c r="A416" s="24">
        <v>2000</v>
      </c>
      <c r="B416" s="24">
        <v>3</v>
      </c>
      <c r="C416" s="17">
        <v>0.5</v>
      </c>
      <c r="D416" s="24">
        <v>234</v>
      </c>
      <c r="E416" s="24">
        <v>6</v>
      </c>
      <c r="F416" s="25">
        <v>68</v>
      </c>
      <c r="G416" s="1">
        <v>1425</v>
      </c>
      <c r="H416" s="2">
        <v>102.8</v>
      </c>
      <c r="I416" s="2">
        <v>-7.6999999999999993</v>
      </c>
      <c r="J416" s="2">
        <v>-8.1</v>
      </c>
      <c r="K416" s="2">
        <f t="shared" si="53"/>
        <v>-7.6999999999999993</v>
      </c>
      <c r="L416" s="8">
        <f t="shared" si="57"/>
        <v>8.9125093813374152E-12</v>
      </c>
      <c r="M416" s="26">
        <f>SUM(L416:L421)</f>
        <v>4.4466313694443413E-10</v>
      </c>
      <c r="N416" s="17">
        <f>10*LOG10(M416/E416)</f>
        <v>-101.30120122925263</v>
      </c>
      <c r="O416" s="9">
        <f t="shared" si="55"/>
        <v>-8.1</v>
      </c>
      <c r="P416" s="8">
        <f>D416/B416*10^(O416/10)</f>
        <v>12.080769627517354</v>
      </c>
      <c r="Q416" s="26">
        <f>SUM(P416:P421)</f>
        <v>66.906548860660678</v>
      </c>
      <c r="R416" s="17">
        <f>10*LOG10(Q416)</f>
        <v>18.254686289016078</v>
      </c>
      <c r="S416" s="18">
        <f>F416+N416-Kzt-H</f>
        <v>-33.301201229252626</v>
      </c>
      <c r="T416" s="17">
        <v>1</v>
      </c>
      <c r="U416" s="21">
        <f>T416*10^((S416-R416)/10)</f>
        <v>6.9889389716541527E-6</v>
      </c>
    </row>
    <row r="417" spans="1:21" x14ac:dyDescent="0.25">
      <c r="A417" s="24"/>
      <c r="B417" s="24"/>
      <c r="C417" s="17"/>
      <c r="D417" s="24"/>
      <c r="E417" s="24"/>
      <c r="F417" s="25"/>
      <c r="G417" s="1">
        <v>1625</v>
      </c>
      <c r="H417" s="2">
        <v>104.1</v>
      </c>
      <c r="I417" s="2">
        <v>-6.6</v>
      </c>
      <c r="J417" s="2">
        <v>-9.3000000000000007</v>
      </c>
      <c r="K417" s="2">
        <f t="shared" si="53"/>
        <v>-6.6</v>
      </c>
      <c r="L417" s="8">
        <f t="shared" si="57"/>
        <v>8.5113803820237871E-12</v>
      </c>
      <c r="M417" s="26"/>
      <c r="N417" s="17"/>
      <c r="O417" s="9">
        <f t="shared" si="55"/>
        <v>-9.3000000000000007</v>
      </c>
      <c r="P417" s="8">
        <f>D416/B416*10^(O417/10)</f>
        <v>9.1642009285283272</v>
      </c>
      <c r="Q417" s="26"/>
      <c r="R417" s="17"/>
      <c r="S417" s="19"/>
      <c r="T417" s="17"/>
      <c r="U417" s="22"/>
    </row>
    <row r="418" spans="1:21" x14ac:dyDescent="0.25">
      <c r="A418" s="24"/>
      <c r="B418" s="24"/>
      <c r="C418" s="17"/>
      <c r="D418" s="24"/>
      <c r="E418" s="24"/>
      <c r="F418" s="25"/>
      <c r="G418" s="1">
        <v>1825</v>
      </c>
      <c r="H418" s="2">
        <v>107.6</v>
      </c>
      <c r="I418" s="2">
        <v>-4</v>
      </c>
      <c r="J418" s="2">
        <v>-10</v>
      </c>
      <c r="K418" s="2">
        <f t="shared" si="53"/>
        <v>-4</v>
      </c>
      <c r="L418" s="8">
        <f t="shared" si="57"/>
        <v>6.9183097091893405E-12</v>
      </c>
      <c r="M418" s="26"/>
      <c r="N418" s="17"/>
      <c r="O418" s="9">
        <f t="shared" si="55"/>
        <v>-10</v>
      </c>
      <c r="P418" s="8">
        <f>D416/B416*10^(O418/10)</f>
        <v>7.8000000000000007</v>
      </c>
      <c r="Q418" s="26"/>
      <c r="R418" s="17"/>
      <c r="S418" s="19"/>
      <c r="T418" s="17"/>
      <c r="U418" s="22"/>
    </row>
    <row r="419" spans="1:21" x14ac:dyDescent="0.25">
      <c r="A419" s="24"/>
      <c r="B419" s="24"/>
      <c r="C419" s="17"/>
      <c r="D419" s="24"/>
      <c r="E419" s="24"/>
      <c r="F419" s="25"/>
      <c r="G419" s="1">
        <v>2125</v>
      </c>
      <c r="H419" s="2">
        <v>104.2</v>
      </c>
      <c r="I419" s="2">
        <v>-4.8</v>
      </c>
      <c r="J419" s="2">
        <v>-7.9</v>
      </c>
      <c r="K419" s="2">
        <f t="shared" si="53"/>
        <v>-4.8</v>
      </c>
      <c r="L419" s="8">
        <f t="shared" si="57"/>
        <v>1.2589254117941641E-11</v>
      </c>
      <c r="M419" s="26"/>
      <c r="N419" s="17"/>
      <c r="O419" s="9">
        <f t="shared" si="55"/>
        <v>-7.9</v>
      </c>
      <c r="P419" s="8">
        <f>D416/B416*10^(O419/10)</f>
        <v>12.650118759399652</v>
      </c>
      <c r="Q419" s="26"/>
      <c r="R419" s="17"/>
      <c r="S419" s="19"/>
      <c r="T419" s="17"/>
      <c r="U419" s="22"/>
    </row>
    <row r="420" spans="1:21" x14ac:dyDescent="0.25">
      <c r="A420" s="24"/>
      <c r="B420" s="24"/>
      <c r="C420" s="17"/>
      <c r="D420" s="24"/>
      <c r="E420" s="24"/>
      <c r="F420" s="25"/>
      <c r="G420" s="1">
        <v>2425</v>
      </c>
      <c r="H420" s="2">
        <v>93.7</v>
      </c>
      <c r="I420" s="2">
        <v>-0.5</v>
      </c>
      <c r="J420" s="2">
        <v>-8.5</v>
      </c>
      <c r="K420" s="2">
        <f t="shared" si="53"/>
        <v>-0.5</v>
      </c>
      <c r="L420" s="8">
        <f t="shared" si="57"/>
        <v>3.801893963205603E-10</v>
      </c>
      <c r="M420" s="26"/>
      <c r="N420" s="17"/>
      <c r="O420" s="9">
        <f t="shared" si="55"/>
        <v>-8.5</v>
      </c>
      <c r="P420" s="8">
        <f>D416/B416*10^(O420/10)</f>
        <v>11.017792848057482</v>
      </c>
      <c r="Q420" s="26"/>
      <c r="R420" s="17"/>
      <c r="S420" s="19"/>
      <c r="T420" s="17"/>
      <c r="U420" s="22"/>
    </row>
    <row r="421" spans="1:21" x14ac:dyDescent="0.25">
      <c r="A421" s="24"/>
      <c r="B421" s="24"/>
      <c r="C421" s="17"/>
      <c r="D421" s="24"/>
      <c r="E421" s="24"/>
      <c r="F421" s="25"/>
      <c r="G421" s="1">
        <v>2775</v>
      </c>
      <c r="H421" s="2">
        <v>100.2</v>
      </c>
      <c r="I421" s="2">
        <v>-5.4</v>
      </c>
      <c r="J421" s="2">
        <v>-7.4</v>
      </c>
      <c r="K421" s="2">
        <f t="shared" si="53"/>
        <v>-5.4</v>
      </c>
      <c r="L421" s="8">
        <f t="shared" si="57"/>
        <v>2.7542287033381602E-11</v>
      </c>
      <c r="M421" s="26"/>
      <c r="N421" s="17"/>
      <c r="O421" s="9">
        <f t="shared" si="55"/>
        <v>-7.4</v>
      </c>
      <c r="P421" s="8">
        <f>D416/B416*10^(O421/10)</f>
        <v>14.19366669715787</v>
      </c>
      <c r="Q421" s="26"/>
      <c r="R421" s="17"/>
      <c r="S421" s="20"/>
      <c r="T421" s="17"/>
      <c r="U421" s="23"/>
    </row>
    <row r="422" spans="1:21" x14ac:dyDescent="0.25">
      <c r="A422" s="24">
        <v>4000</v>
      </c>
      <c r="B422" s="24">
        <v>3</v>
      </c>
      <c r="C422" s="17">
        <v>0.5</v>
      </c>
      <c r="D422" s="24">
        <v>470</v>
      </c>
      <c r="E422" s="24">
        <v>6</v>
      </c>
      <c r="F422" s="25">
        <v>62</v>
      </c>
      <c r="G422" s="1">
        <v>2825</v>
      </c>
      <c r="H422" s="2">
        <v>99.4</v>
      </c>
      <c r="I422" s="2">
        <v>-4.0999999999999996</v>
      </c>
      <c r="J422" s="2">
        <v>-6.1</v>
      </c>
      <c r="K422" s="2">
        <f t="shared" si="53"/>
        <v>-4.0999999999999996</v>
      </c>
      <c r="L422" s="8">
        <f t="shared" si="57"/>
        <v>4.4668359215096281E-11</v>
      </c>
      <c r="M422" s="26">
        <f>SUM(L422:L427)</f>
        <v>1.5951313928837376E-10</v>
      </c>
      <c r="N422" s="17">
        <f>10*LOG10(M422/E422)</f>
        <v>-105.75354788160274</v>
      </c>
      <c r="O422" s="9">
        <f t="shared" si="55"/>
        <v>-6.1</v>
      </c>
      <c r="P422" s="8">
        <f>D422/B422*10^(O422/10)</f>
        <v>38.457106345732136</v>
      </c>
      <c r="Q422" s="26">
        <f>SUM(P422:P427)</f>
        <v>135.28875310460796</v>
      </c>
      <c r="R422" s="17">
        <f>10*LOG10(Q422)</f>
        <v>21.312616941022007</v>
      </c>
      <c r="S422" s="18">
        <f>F422+N422-Kzt-H</f>
        <v>-43.753547881602742</v>
      </c>
      <c r="T422" s="17">
        <v>0.9</v>
      </c>
      <c r="U422" s="21">
        <f>T422*10^((S422-R422)/10)</f>
        <v>2.8030189069460038E-7</v>
      </c>
    </row>
    <row r="423" spans="1:21" x14ac:dyDescent="0.25">
      <c r="A423" s="24"/>
      <c r="B423" s="24"/>
      <c r="C423" s="17"/>
      <c r="D423" s="24"/>
      <c r="E423" s="24"/>
      <c r="F423" s="25"/>
      <c r="G423" s="1">
        <v>3425</v>
      </c>
      <c r="H423" s="2">
        <v>103.5</v>
      </c>
      <c r="I423" s="2">
        <v>-4</v>
      </c>
      <c r="J423" s="2">
        <v>-11.5</v>
      </c>
      <c r="K423" s="2">
        <f t="shared" si="53"/>
        <v>-4</v>
      </c>
      <c r="L423" s="8">
        <f t="shared" si="57"/>
        <v>1.7782794100389159E-11</v>
      </c>
      <c r="M423" s="26"/>
      <c r="N423" s="17"/>
      <c r="O423" s="9">
        <f t="shared" si="55"/>
        <v>-11.5</v>
      </c>
      <c r="P423" s="8">
        <f>D422/B422*10^(O423/10)</f>
        <v>11.09115062201816</v>
      </c>
      <c r="Q423" s="26"/>
      <c r="R423" s="17"/>
      <c r="S423" s="19"/>
      <c r="T423" s="17"/>
      <c r="U423" s="22"/>
    </row>
    <row r="424" spans="1:21" x14ac:dyDescent="0.25">
      <c r="A424" s="24"/>
      <c r="B424" s="24"/>
      <c r="C424" s="17"/>
      <c r="D424" s="24"/>
      <c r="E424" s="24"/>
      <c r="F424" s="25"/>
      <c r="G424" s="1">
        <v>4025</v>
      </c>
      <c r="H424" s="2">
        <v>103.6</v>
      </c>
      <c r="I424" s="2">
        <v>-5.4</v>
      </c>
      <c r="J424" s="2">
        <v>-6.7</v>
      </c>
      <c r="K424" s="2">
        <f t="shared" si="53"/>
        <v>-5.4</v>
      </c>
      <c r="L424" s="8">
        <f t="shared" si="57"/>
        <v>1.2589254117941641E-11</v>
      </c>
      <c r="M424" s="26"/>
      <c r="N424" s="17"/>
      <c r="O424" s="9">
        <f t="shared" si="55"/>
        <v>-6.7</v>
      </c>
      <c r="P424" s="8">
        <f>D422/B422*10^(O424/10)</f>
        <v>33.494739402201624</v>
      </c>
      <c r="Q424" s="26"/>
      <c r="R424" s="17"/>
      <c r="S424" s="19"/>
      <c r="T424" s="17"/>
      <c r="U424" s="22"/>
    </row>
    <row r="425" spans="1:21" x14ac:dyDescent="0.25">
      <c r="A425" s="24"/>
      <c r="B425" s="24"/>
      <c r="C425" s="17"/>
      <c r="D425" s="24"/>
      <c r="E425" s="24"/>
      <c r="F425" s="25"/>
      <c r="G425" s="1">
        <v>4625</v>
      </c>
      <c r="H425" s="2">
        <v>105.6</v>
      </c>
      <c r="I425" s="2">
        <v>-3.5</v>
      </c>
      <c r="J425" s="2">
        <v>-9.9</v>
      </c>
      <c r="K425" s="2">
        <f t="shared" si="53"/>
        <v>-3.5</v>
      </c>
      <c r="L425" s="8">
        <f t="shared" si="57"/>
        <v>1.2302687708123787E-11</v>
      </c>
      <c r="M425" s="26"/>
      <c r="N425" s="17"/>
      <c r="O425" s="9">
        <f t="shared" si="55"/>
        <v>-9.9</v>
      </c>
      <c r="P425" s="8">
        <f>D422/B422*10^(O425/10)</f>
        <v>16.031590212398473</v>
      </c>
      <c r="Q425" s="26"/>
      <c r="R425" s="17"/>
      <c r="S425" s="19"/>
      <c r="T425" s="17"/>
      <c r="U425" s="22"/>
    </row>
    <row r="426" spans="1:21" x14ac:dyDescent="0.25">
      <c r="A426" s="24"/>
      <c r="B426" s="24"/>
      <c r="C426" s="17"/>
      <c r="D426" s="24"/>
      <c r="E426" s="24"/>
      <c r="F426" s="25"/>
      <c r="G426" s="1">
        <v>5225</v>
      </c>
      <c r="H426" s="2">
        <v>103.5</v>
      </c>
      <c r="I426" s="2">
        <v>-0.2</v>
      </c>
      <c r="J426" s="2">
        <v>-9.9</v>
      </c>
      <c r="K426" s="2">
        <f t="shared" si="53"/>
        <v>-0.2</v>
      </c>
      <c r="L426" s="8">
        <f t="shared" si="57"/>
        <v>4.2657951880159099E-11</v>
      </c>
      <c r="M426" s="26"/>
      <c r="N426" s="17"/>
      <c r="O426" s="9">
        <f t="shared" si="55"/>
        <v>-9.9</v>
      </c>
      <c r="P426" s="8">
        <f>D422/B422*10^(O426/10)</f>
        <v>16.031590212398473</v>
      </c>
      <c r="Q426" s="26"/>
      <c r="R426" s="17"/>
      <c r="S426" s="19"/>
      <c r="T426" s="17"/>
      <c r="U426" s="22"/>
    </row>
    <row r="427" spans="1:21" x14ac:dyDescent="0.25">
      <c r="A427" s="24"/>
      <c r="B427" s="24"/>
      <c r="C427" s="17"/>
      <c r="D427" s="24"/>
      <c r="E427" s="24"/>
      <c r="F427" s="25"/>
      <c r="G427" s="1">
        <v>5625</v>
      </c>
      <c r="H427" s="2">
        <v>99.5</v>
      </c>
      <c r="I427" s="2">
        <v>-5.8</v>
      </c>
      <c r="J427" s="2">
        <v>-8.9</v>
      </c>
      <c r="K427" s="2">
        <f t="shared" si="53"/>
        <v>-5.8</v>
      </c>
      <c r="L427" s="8">
        <f t="shared" si="57"/>
        <v>2.9512092266663787E-11</v>
      </c>
      <c r="M427" s="26"/>
      <c r="N427" s="17"/>
      <c r="O427" s="9">
        <f t="shared" si="55"/>
        <v>-8.9</v>
      </c>
      <c r="P427" s="8">
        <f>D422/B422*10^(O427/10)</f>
        <v>20.18257630985909</v>
      </c>
      <c r="Q427" s="26"/>
      <c r="R427" s="17"/>
      <c r="S427" s="20"/>
      <c r="T427" s="17"/>
      <c r="U427" s="23"/>
    </row>
    <row r="428" spans="1:21" x14ac:dyDescent="0.25">
      <c r="A428" s="24">
        <v>8000</v>
      </c>
      <c r="B428" s="24">
        <v>3</v>
      </c>
      <c r="C428" s="17">
        <v>0.5</v>
      </c>
      <c r="D428" s="24">
        <v>943</v>
      </c>
      <c r="E428" s="24">
        <v>6</v>
      </c>
      <c r="F428" s="25">
        <v>54</v>
      </c>
      <c r="G428" s="1">
        <v>6025</v>
      </c>
      <c r="H428" s="2">
        <v>95</v>
      </c>
      <c r="I428" s="2">
        <v>-3</v>
      </c>
      <c r="J428" s="2">
        <v>-4.5</v>
      </c>
      <c r="K428" s="2">
        <f t="shared" si="53"/>
        <v>-3</v>
      </c>
      <c r="L428" s="8">
        <f t="shared" si="57"/>
        <v>1.5848931924611098E-10</v>
      </c>
      <c r="M428" s="26">
        <f>SUM(L428:L433)</f>
        <v>6.5610005111583986E-9</v>
      </c>
      <c r="N428" s="17">
        <f>10*LOG10(M428/E428)</f>
        <v>-89.611811787910653</v>
      </c>
      <c r="O428" s="9">
        <f t="shared" si="55"/>
        <v>-4.5</v>
      </c>
      <c r="P428" s="8">
        <f>D428/B428*10^(O428/10)</f>
        <v>111.5296753490872</v>
      </c>
      <c r="Q428" s="26">
        <f>SUM(P428:P433)</f>
        <v>785.57845301379371</v>
      </c>
      <c r="R428" s="17">
        <f>10*LOG10(Q428)</f>
        <v>28.951895630355857</v>
      </c>
      <c r="S428" s="18">
        <f>F428+N428-Kzt-H</f>
        <v>-35.611811787910653</v>
      </c>
      <c r="T428" s="17">
        <v>0.7</v>
      </c>
      <c r="U428" s="21">
        <f>T428*10^((S428-R428)/10)</f>
        <v>2.4475259108996421E-7</v>
      </c>
    </row>
    <row r="429" spans="1:21" x14ac:dyDescent="0.25">
      <c r="A429" s="24"/>
      <c r="B429" s="24"/>
      <c r="C429" s="17"/>
      <c r="D429" s="24"/>
      <c r="E429" s="24"/>
      <c r="F429" s="25"/>
      <c r="G429" s="1">
        <v>7025</v>
      </c>
      <c r="H429" s="2">
        <v>94.8</v>
      </c>
      <c r="I429" s="2">
        <v>-1.6</v>
      </c>
      <c r="J429" s="2">
        <v>-3.5</v>
      </c>
      <c r="K429" s="2">
        <f t="shared" si="53"/>
        <v>-1.6</v>
      </c>
      <c r="L429" s="8">
        <f t="shared" si="57"/>
        <v>2.2908676527677724E-10</v>
      </c>
      <c r="M429" s="26"/>
      <c r="N429" s="17"/>
      <c r="O429" s="9">
        <f t="shared" si="55"/>
        <v>-3.5</v>
      </c>
      <c r="P429" s="8">
        <f>D428/B428*10^(O429/10)</f>
        <v>140.40754246611939</v>
      </c>
      <c r="Q429" s="26"/>
      <c r="R429" s="17"/>
      <c r="S429" s="19"/>
      <c r="T429" s="17"/>
      <c r="U429" s="22"/>
    </row>
    <row r="430" spans="1:21" x14ac:dyDescent="0.25">
      <c r="A430" s="24"/>
      <c r="B430" s="24"/>
      <c r="C430" s="17"/>
      <c r="D430" s="24"/>
      <c r="E430" s="24"/>
      <c r="F430" s="25"/>
      <c r="G430" s="1">
        <v>8025</v>
      </c>
      <c r="H430" s="2">
        <v>101.9</v>
      </c>
      <c r="I430" s="2">
        <v>1.9</v>
      </c>
      <c r="J430" s="2">
        <v>-5.2</v>
      </c>
      <c r="K430" s="2">
        <f t="shared" si="53"/>
        <v>1.9</v>
      </c>
      <c r="L430" s="8">
        <f t="shared" si="57"/>
        <v>1E-10</v>
      </c>
      <c r="M430" s="26"/>
      <c r="N430" s="17"/>
      <c r="O430" s="9">
        <f t="shared" si="55"/>
        <v>-5.2</v>
      </c>
      <c r="P430" s="8">
        <f>D428/B428*10^(O430/10)</f>
        <v>94.927149077970014</v>
      </c>
      <c r="Q430" s="26"/>
      <c r="R430" s="17"/>
      <c r="S430" s="19"/>
      <c r="T430" s="17"/>
      <c r="U430" s="22"/>
    </row>
    <row r="431" spans="1:21" x14ac:dyDescent="0.25">
      <c r="A431" s="24"/>
      <c r="B431" s="24"/>
      <c r="C431" s="17"/>
      <c r="D431" s="24"/>
      <c r="E431" s="24"/>
      <c r="F431" s="25"/>
      <c r="G431" s="1">
        <v>9025</v>
      </c>
      <c r="H431" s="2">
        <v>93.2</v>
      </c>
      <c r="I431" s="2">
        <v>-3.1</v>
      </c>
      <c r="J431" s="2">
        <v>-8</v>
      </c>
      <c r="K431" s="2">
        <f t="shared" si="53"/>
        <v>-3.1</v>
      </c>
      <c r="L431" s="8">
        <f t="shared" si="57"/>
        <v>2.3442288153199212E-10</v>
      </c>
      <c r="M431" s="26"/>
      <c r="N431" s="17"/>
      <c r="O431" s="9">
        <f t="shared" si="55"/>
        <v>-8</v>
      </c>
      <c r="P431" s="8">
        <f>D428/B428*10^(O431/10)</f>
        <v>49.818476016360989</v>
      </c>
      <c r="Q431" s="26"/>
      <c r="R431" s="17"/>
      <c r="S431" s="19"/>
      <c r="T431" s="17"/>
      <c r="U431" s="22"/>
    </row>
    <row r="432" spans="1:21" x14ac:dyDescent="0.25">
      <c r="A432" s="24"/>
      <c r="B432" s="24"/>
      <c r="C432" s="17"/>
      <c r="D432" s="24"/>
      <c r="E432" s="24"/>
      <c r="F432" s="25"/>
      <c r="G432" s="1">
        <v>10025</v>
      </c>
      <c r="H432" s="2">
        <v>88.3</v>
      </c>
      <c r="I432" s="2">
        <v>3.8</v>
      </c>
      <c r="J432" s="2">
        <v>-3.2</v>
      </c>
      <c r="K432" s="2">
        <f t="shared" si="53"/>
        <v>3.8</v>
      </c>
      <c r="L432" s="8">
        <f t="shared" si="57"/>
        <v>3.5481338923357512E-9</v>
      </c>
      <c r="M432" s="26"/>
      <c r="N432" s="17"/>
      <c r="O432" s="9">
        <f t="shared" si="55"/>
        <v>-3.2</v>
      </c>
      <c r="P432" s="8">
        <f>D428/B428*10^(O432/10)</f>
        <v>150.44939235341596</v>
      </c>
      <c r="Q432" s="26"/>
      <c r="R432" s="17"/>
      <c r="S432" s="19"/>
      <c r="T432" s="17"/>
      <c r="U432" s="22"/>
    </row>
    <row r="433" spans="1:21" x14ac:dyDescent="0.25">
      <c r="A433" s="24"/>
      <c r="B433" s="24"/>
      <c r="C433" s="17"/>
      <c r="D433" s="24"/>
      <c r="E433" s="24"/>
      <c r="F433" s="25"/>
      <c r="G433" s="1">
        <v>11025</v>
      </c>
      <c r="H433" s="2">
        <v>86</v>
      </c>
      <c r="I433" s="2">
        <v>-0.39999999999999991</v>
      </c>
      <c r="J433" s="2">
        <v>-1.2</v>
      </c>
      <c r="K433" s="2">
        <f t="shared" si="53"/>
        <v>-0.39999999999999991</v>
      </c>
      <c r="L433" s="8">
        <f t="shared" si="57"/>
        <v>2.2908676527677671E-9</v>
      </c>
      <c r="M433" s="26"/>
      <c r="N433" s="17"/>
      <c r="O433" s="9">
        <f t="shared" si="55"/>
        <v>-1.2</v>
      </c>
      <c r="P433" s="8">
        <f>D428/B428*10^(O433/10)</f>
        <v>238.44621775084005</v>
      </c>
      <c r="Q433" s="26"/>
      <c r="R433" s="17"/>
      <c r="S433" s="20"/>
      <c r="T433" s="17"/>
      <c r="U433" s="23"/>
    </row>
    <row r="434" spans="1:21" x14ac:dyDescent="0.25">
      <c r="A434" s="24" t="s">
        <v>20</v>
      </c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12">
        <f>U434</f>
        <v>6.65719160701541E-2</v>
      </c>
      <c r="T434" s="2"/>
      <c r="U434" s="8">
        <f>0.8*SQRT(SUM(U400:U433))</f>
        <v>6.65719160701541E-2</v>
      </c>
    </row>
    <row r="435" spans="1:21" x14ac:dyDescent="0.25">
      <c r="A435" s="27" t="s">
        <v>84</v>
      </c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9"/>
    </row>
    <row r="436" spans="1:21" x14ac:dyDescent="0.25">
      <c r="A436" s="24">
        <v>250</v>
      </c>
      <c r="B436" s="24">
        <v>3</v>
      </c>
      <c r="C436" s="17">
        <v>0.5</v>
      </c>
      <c r="D436" s="24">
        <v>38</v>
      </c>
      <c r="E436" s="24">
        <v>4</v>
      </c>
      <c r="F436" s="25">
        <v>84</v>
      </c>
      <c r="G436" s="1">
        <v>175</v>
      </c>
      <c r="H436" s="2">
        <v>84.8</v>
      </c>
      <c r="I436" s="2">
        <v>-9.1999999999999993</v>
      </c>
      <c r="J436" s="2">
        <v>-10.3</v>
      </c>
      <c r="K436" s="2">
        <f>I436</f>
        <v>-9.1999999999999993</v>
      </c>
      <c r="L436" s="8">
        <f>10^((K436-H436)/10)</f>
        <v>3.9810717055349621E-10</v>
      </c>
      <c r="M436" s="26">
        <f>SUM(L436:L439)</f>
        <v>6.4102734585160026E-9</v>
      </c>
      <c r="N436" s="17">
        <f>10*LOG10(M436/E436)</f>
        <v>-87.951834346654095</v>
      </c>
      <c r="O436" s="9">
        <f>J436</f>
        <v>-10.3</v>
      </c>
      <c r="P436" s="8">
        <f>D436/B436*10^(O436/10)</f>
        <v>1.1821221143428549</v>
      </c>
      <c r="Q436" s="26">
        <f>SUM(P436:P439)</f>
        <v>154.3282660910219</v>
      </c>
      <c r="R436" s="17">
        <f>10*LOG10(Q436)</f>
        <v>21.884454768285117</v>
      </c>
      <c r="S436" s="18">
        <f>F436+N436-Kzt-H</f>
        <v>-3.9518343466540955</v>
      </c>
      <c r="T436" s="17">
        <v>0.2</v>
      </c>
      <c r="U436" s="21">
        <f>T436*10^((S436-R436)/10)</f>
        <v>5.2167627261539727E-4</v>
      </c>
    </row>
    <row r="437" spans="1:21" x14ac:dyDescent="0.25">
      <c r="A437" s="24"/>
      <c r="B437" s="24"/>
      <c r="C437" s="17"/>
      <c r="D437" s="24"/>
      <c r="E437" s="24"/>
      <c r="F437" s="25"/>
      <c r="G437" s="1">
        <v>225</v>
      </c>
      <c r="H437" s="2">
        <v>90</v>
      </c>
      <c r="I437" s="2">
        <v>-11.4</v>
      </c>
      <c r="J437" s="2">
        <v>-14.9</v>
      </c>
      <c r="K437" s="2">
        <f t="shared" ref="K437:K469" si="58">I437</f>
        <v>-11.4</v>
      </c>
      <c r="L437" s="8">
        <f t="shared" ref="L437:L438" si="59">10^((K437-H437)/10)</f>
        <v>7.2443596007498811E-11</v>
      </c>
      <c r="M437" s="26"/>
      <c r="N437" s="17"/>
      <c r="O437" s="9">
        <f t="shared" ref="O437:O469" si="60">J437</f>
        <v>-14.9</v>
      </c>
      <c r="P437" s="8">
        <f>D436/B436*10^(O437/10)</f>
        <v>0.40988529877752894</v>
      </c>
      <c r="Q437" s="26"/>
      <c r="R437" s="17"/>
      <c r="S437" s="19"/>
      <c r="T437" s="17"/>
      <c r="U437" s="22"/>
    </row>
    <row r="438" spans="1:21" x14ac:dyDescent="0.25">
      <c r="A438" s="24"/>
      <c r="B438" s="24"/>
      <c r="C438" s="17"/>
      <c r="D438" s="24"/>
      <c r="E438" s="24"/>
      <c r="F438" s="25"/>
      <c r="G438" s="1">
        <v>275</v>
      </c>
      <c r="H438" s="2">
        <v>92.2</v>
      </c>
      <c r="I438" s="2">
        <v>-10.7</v>
      </c>
      <c r="J438" s="2">
        <v>-14.5</v>
      </c>
      <c r="K438" s="2">
        <f t="shared" si="58"/>
        <v>-10.7</v>
      </c>
      <c r="L438" s="8">
        <f t="shared" si="59"/>
        <v>5.1286138399136241E-11</v>
      </c>
      <c r="M438" s="26"/>
      <c r="N438" s="17"/>
      <c r="O438" s="9">
        <f t="shared" si="60"/>
        <v>-14.5</v>
      </c>
      <c r="P438" s="8">
        <f>D436/B436*10^(O438/10)</f>
        <v>0.44943029302919535</v>
      </c>
      <c r="Q438" s="26"/>
      <c r="R438" s="17"/>
      <c r="S438" s="19"/>
      <c r="T438" s="17"/>
      <c r="U438" s="22"/>
    </row>
    <row r="439" spans="1:21" x14ac:dyDescent="0.25">
      <c r="A439" s="24"/>
      <c r="B439" s="24"/>
      <c r="C439" s="17"/>
      <c r="D439" s="24"/>
      <c r="E439" s="24"/>
      <c r="F439" s="25"/>
      <c r="G439" s="1">
        <v>325</v>
      </c>
      <c r="H439" s="2">
        <v>93.3</v>
      </c>
      <c r="I439" s="2">
        <v>11</v>
      </c>
      <c r="J439" s="2">
        <v>10.8</v>
      </c>
      <c r="K439" s="2">
        <f t="shared" si="58"/>
        <v>11</v>
      </c>
      <c r="L439" s="8">
        <f>10^((K439-H439)/10)</f>
        <v>5.8884365535558713E-9</v>
      </c>
      <c r="M439" s="26"/>
      <c r="N439" s="17"/>
      <c r="O439" s="9">
        <f t="shared" si="60"/>
        <v>10.8</v>
      </c>
      <c r="P439" s="8">
        <f>D436/B436*10^(O439/10)</f>
        <v>152.28682838487234</v>
      </c>
      <c r="Q439" s="26"/>
      <c r="R439" s="17"/>
      <c r="S439" s="20"/>
      <c r="T439" s="17"/>
      <c r="U439" s="23"/>
    </row>
    <row r="440" spans="1:21" x14ac:dyDescent="0.25">
      <c r="A440" s="24">
        <v>500</v>
      </c>
      <c r="B440" s="24">
        <v>3</v>
      </c>
      <c r="C440" s="17">
        <v>0.5</v>
      </c>
      <c r="D440" s="24">
        <v>59</v>
      </c>
      <c r="E440" s="24">
        <v>6</v>
      </c>
      <c r="F440" s="25">
        <v>84</v>
      </c>
      <c r="G440" s="1">
        <v>375</v>
      </c>
      <c r="H440" s="2">
        <v>91.9</v>
      </c>
      <c r="I440" s="2">
        <v>8.5</v>
      </c>
      <c r="J440" s="2">
        <v>7.8</v>
      </c>
      <c r="K440" s="2">
        <f t="shared" si="58"/>
        <v>8.5</v>
      </c>
      <c r="L440" s="8">
        <f t="shared" ref="L440:L441" si="61">10^((K440-H440)/10)</f>
        <v>4.570881896148741E-9</v>
      </c>
      <c r="M440" s="26">
        <f>SUM(L440:L445)</f>
        <v>5.8190010167725355E-9</v>
      </c>
      <c r="N440" s="17">
        <f>10*LOG10(M440/E440)</f>
        <v>-90.133028173045716</v>
      </c>
      <c r="O440" s="9">
        <f t="shared" si="60"/>
        <v>7.8</v>
      </c>
      <c r="P440" s="8">
        <f>D440/B440*10^(O440/10)</f>
        <v>118.5033852612904</v>
      </c>
      <c r="Q440" s="26">
        <f>SUM(P440:P445)</f>
        <v>153.18414339641774</v>
      </c>
      <c r="R440" s="17">
        <f>10*LOG10(Q440)</f>
        <v>21.852138123472105</v>
      </c>
      <c r="S440" s="18">
        <f>F440+N440-Kzt-H</f>
        <v>-6.1330281730457159</v>
      </c>
      <c r="T440" s="17">
        <v>0.5</v>
      </c>
      <c r="U440" s="21">
        <f>T440*10^((S440-R440)/10)</f>
        <v>7.9515789378765381E-4</v>
      </c>
    </row>
    <row r="441" spans="1:21" x14ac:dyDescent="0.25">
      <c r="A441" s="24"/>
      <c r="B441" s="24"/>
      <c r="C441" s="17"/>
      <c r="D441" s="24"/>
      <c r="E441" s="24"/>
      <c r="F441" s="25"/>
      <c r="G441" s="1">
        <v>425</v>
      </c>
      <c r="H441" s="2">
        <v>88.1</v>
      </c>
      <c r="I441" s="2">
        <v>-15.9</v>
      </c>
      <c r="J441" s="2">
        <v>-17.3</v>
      </c>
      <c r="K441" s="2">
        <f t="shared" si="58"/>
        <v>-15.9</v>
      </c>
      <c r="L441" s="8">
        <f t="shared" si="61"/>
        <v>3.9810717055349579E-11</v>
      </c>
      <c r="M441" s="26"/>
      <c r="N441" s="17"/>
      <c r="O441" s="9">
        <f t="shared" si="60"/>
        <v>-17.3</v>
      </c>
      <c r="P441" s="8">
        <f>D440/B440*10^(O441/10)</f>
        <v>0.36621047021036385</v>
      </c>
      <c r="Q441" s="26"/>
      <c r="R441" s="17"/>
      <c r="S441" s="19"/>
      <c r="T441" s="17"/>
      <c r="U441" s="22"/>
    </row>
    <row r="442" spans="1:21" x14ac:dyDescent="0.25">
      <c r="A442" s="24"/>
      <c r="B442" s="24"/>
      <c r="C442" s="17"/>
      <c r="D442" s="24"/>
      <c r="E442" s="24"/>
      <c r="F442" s="25"/>
      <c r="G442" s="1">
        <v>475</v>
      </c>
      <c r="H442" s="2">
        <v>90</v>
      </c>
      <c r="I442" s="2">
        <v>-2.2000000000000002</v>
      </c>
      <c r="J442" s="2">
        <v>-19.5</v>
      </c>
      <c r="K442" s="2">
        <f t="shared" si="58"/>
        <v>-2.2000000000000002</v>
      </c>
      <c r="L442" s="8">
        <f>10^((K442-H442)/10)</f>
        <v>6.0255958607435515E-10</v>
      </c>
      <c r="M442" s="26"/>
      <c r="N442" s="17"/>
      <c r="O442" s="9">
        <f t="shared" si="60"/>
        <v>-19.5</v>
      </c>
      <c r="P442" s="8">
        <f>D440/B440*10^(O442/10)</f>
        <v>0.22066362934605283</v>
      </c>
      <c r="Q442" s="26"/>
      <c r="R442" s="17"/>
      <c r="S442" s="19"/>
      <c r="T442" s="17"/>
      <c r="U442" s="22"/>
    </row>
    <row r="443" spans="1:21" x14ac:dyDescent="0.25">
      <c r="A443" s="24"/>
      <c r="B443" s="24"/>
      <c r="C443" s="17"/>
      <c r="D443" s="24"/>
      <c r="E443" s="24"/>
      <c r="F443" s="25"/>
      <c r="G443" s="1">
        <v>575</v>
      </c>
      <c r="H443" s="2">
        <v>97</v>
      </c>
      <c r="I443" s="2">
        <v>2.7</v>
      </c>
      <c r="J443" s="2">
        <v>1.5</v>
      </c>
      <c r="K443" s="2">
        <f t="shared" si="58"/>
        <v>2.7</v>
      </c>
      <c r="L443" s="8">
        <f t="shared" ref="L443:L469" si="62">10^((K443-H443)/10)</f>
        <v>3.7153522909717169E-10</v>
      </c>
      <c r="M443" s="26"/>
      <c r="N443" s="17"/>
      <c r="O443" s="9">
        <f t="shared" si="60"/>
        <v>1.5</v>
      </c>
      <c r="P443" s="8">
        <f>D440/B440*10^(O443/10)</f>
        <v>27.779905044247503</v>
      </c>
      <c r="Q443" s="26"/>
      <c r="R443" s="17"/>
      <c r="S443" s="19"/>
      <c r="T443" s="17"/>
      <c r="U443" s="22"/>
    </row>
    <row r="444" spans="1:21" x14ac:dyDescent="0.25">
      <c r="A444" s="24"/>
      <c r="B444" s="24"/>
      <c r="C444" s="17"/>
      <c r="D444" s="24"/>
      <c r="E444" s="24"/>
      <c r="F444" s="25"/>
      <c r="G444" s="1">
        <v>625</v>
      </c>
      <c r="H444" s="2">
        <v>92</v>
      </c>
      <c r="I444" s="2">
        <v>-4.7</v>
      </c>
      <c r="J444" s="2">
        <v>-5.2</v>
      </c>
      <c r="K444" s="2">
        <f t="shared" si="58"/>
        <v>-4.7</v>
      </c>
      <c r="L444" s="8">
        <f t="shared" si="62"/>
        <v>2.1379620895022245E-10</v>
      </c>
      <c r="M444" s="26"/>
      <c r="N444" s="17"/>
      <c r="O444" s="9">
        <f t="shared" si="60"/>
        <v>-5.2</v>
      </c>
      <c r="P444" s="8">
        <f>D440/B440*10^(O444/10)</f>
        <v>5.9392383834572975</v>
      </c>
      <c r="Q444" s="26"/>
      <c r="R444" s="17"/>
      <c r="S444" s="19"/>
      <c r="T444" s="17"/>
      <c r="U444" s="22"/>
    </row>
    <row r="445" spans="1:21" x14ac:dyDescent="0.25">
      <c r="A445" s="24"/>
      <c r="B445" s="24"/>
      <c r="C445" s="17"/>
      <c r="D445" s="24"/>
      <c r="E445" s="24"/>
      <c r="F445" s="25"/>
      <c r="G445" s="1">
        <v>675</v>
      </c>
      <c r="H445" s="2">
        <v>94.5</v>
      </c>
      <c r="I445" s="2">
        <v>-12.4</v>
      </c>
      <c r="J445" s="2">
        <v>-17.2</v>
      </c>
      <c r="K445" s="2">
        <f t="shared" si="58"/>
        <v>-12.4</v>
      </c>
      <c r="L445" s="8">
        <f t="shared" si="62"/>
        <v>2.04173794466952E-11</v>
      </c>
      <c r="M445" s="26"/>
      <c r="N445" s="17"/>
      <c r="O445" s="9">
        <f t="shared" si="60"/>
        <v>-17.2</v>
      </c>
      <c r="P445" s="8">
        <f>D440/B440*10^(O445/10)</f>
        <v>0.37474060786610514</v>
      </c>
      <c r="Q445" s="26"/>
      <c r="R445" s="17"/>
      <c r="S445" s="20"/>
      <c r="T445" s="17"/>
      <c r="U445" s="23"/>
    </row>
    <row r="446" spans="1:21" x14ac:dyDescent="0.25">
      <c r="A446" s="24">
        <v>1000</v>
      </c>
      <c r="B446" s="24">
        <v>3</v>
      </c>
      <c r="C446" s="17">
        <v>0.5</v>
      </c>
      <c r="D446" s="24">
        <v>117</v>
      </c>
      <c r="E446" s="24">
        <v>6</v>
      </c>
      <c r="F446" s="25">
        <v>76</v>
      </c>
      <c r="G446" s="1">
        <v>875</v>
      </c>
      <c r="H446" s="2">
        <v>91.1</v>
      </c>
      <c r="I446" s="2">
        <v>-6.2</v>
      </c>
      <c r="J446" s="2">
        <v>-7.3</v>
      </c>
      <c r="K446" s="2">
        <f t="shared" si="58"/>
        <v>-6.2</v>
      </c>
      <c r="L446" s="8">
        <f t="shared" si="62"/>
        <v>1.862087136662862E-10</v>
      </c>
      <c r="M446" s="26">
        <f>SUM(L446:L451)</f>
        <v>2.9206340388868283E-8</v>
      </c>
      <c r="N446" s="17">
        <f>10*LOG10(M446/E446)</f>
        <v>-83.126741079424633</v>
      </c>
      <c r="O446" s="9">
        <f t="shared" si="60"/>
        <v>-7.3</v>
      </c>
      <c r="P446" s="8">
        <f>D446/B446*10^(O446/10)</f>
        <v>7.2621398329851816</v>
      </c>
      <c r="Q446" s="26">
        <f>SUM(P446:P451)</f>
        <v>2926.6664492328191</v>
      </c>
      <c r="R446" s="17">
        <f>10*LOG10(Q446)</f>
        <v>34.663732289209534</v>
      </c>
      <c r="S446" s="18">
        <f>F446+N446-Kzt-H</f>
        <v>-7.1267410794246331</v>
      </c>
      <c r="T446" s="17">
        <v>0.8</v>
      </c>
      <c r="U446" s="21">
        <f>T446*10^((S446-R446)/10)</f>
        <v>5.2971546233577282E-5</v>
      </c>
    </row>
    <row r="447" spans="1:21" x14ac:dyDescent="0.25">
      <c r="A447" s="24"/>
      <c r="B447" s="24"/>
      <c r="C447" s="17"/>
      <c r="D447" s="24"/>
      <c r="E447" s="24"/>
      <c r="F447" s="25"/>
      <c r="G447" s="1">
        <v>975</v>
      </c>
      <c r="H447" s="2">
        <v>96.5</v>
      </c>
      <c r="I447" s="2">
        <v>-5.6</v>
      </c>
      <c r="J447" s="2">
        <v>-10.7</v>
      </c>
      <c r="K447" s="2">
        <f t="shared" si="58"/>
        <v>-5.6</v>
      </c>
      <c r="L447" s="8">
        <f t="shared" si="62"/>
        <v>6.1659500186148317E-11</v>
      </c>
      <c r="M447" s="26"/>
      <c r="N447" s="17"/>
      <c r="O447" s="9">
        <f t="shared" si="60"/>
        <v>-10.7</v>
      </c>
      <c r="P447" s="8">
        <f>D446/B446*10^(O447/10)</f>
        <v>3.319438348989268</v>
      </c>
      <c r="Q447" s="26"/>
      <c r="R447" s="17"/>
      <c r="S447" s="19"/>
      <c r="T447" s="17"/>
      <c r="U447" s="22"/>
    </row>
    <row r="448" spans="1:21" x14ac:dyDescent="0.25">
      <c r="A448" s="24"/>
      <c r="B448" s="24"/>
      <c r="C448" s="17"/>
      <c r="D448" s="24"/>
      <c r="E448" s="24"/>
      <c r="F448" s="25"/>
      <c r="G448" s="1">
        <v>1075</v>
      </c>
      <c r="H448" s="2">
        <v>94.6</v>
      </c>
      <c r="I448" s="2">
        <v>19.100000000000001</v>
      </c>
      <c r="J448" s="2">
        <v>18.3</v>
      </c>
      <c r="K448" s="2">
        <f t="shared" si="58"/>
        <v>19.100000000000001</v>
      </c>
      <c r="L448" s="8">
        <f t="shared" si="62"/>
        <v>2.8183829312644468E-8</v>
      </c>
      <c r="M448" s="26"/>
      <c r="N448" s="17"/>
      <c r="O448" s="9">
        <f t="shared" si="60"/>
        <v>18.3</v>
      </c>
      <c r="P448" s="8">
        <f>D446/B446*10^(O448/10)</f>
        <v>2636.7236040287294</v>
      </c>
      <c r="Q448" s="26"/>
      <c r="R448" s="17"/>
      <c r="S448" s="19"/>
      <c r="T448" s="17"/>
      <c r="U448" s="22"/>
    </row>
    <row r="449" spans="1:21" x14ac:dyDescent="0.25">
      <c r="A449" s="24"/>
      <c r="B449" s="24"/>
      <c r="C449" s="17"/>
      <c r="D449" s="24"/>
      <c r="E449" s="24"/>
      <c r="F449" s="25"/>
      <c r="G449" s="1">
        <v>1175</v>
      </c>
      <c r="H449" s="2">
        <v>97.8</v>
      </c>
      <c r="I449" s="2">
        <v>-10.4</v>
      </c>
      <c r="J449" s="2">
        <v>-14.6</v>
      </c>
      <c r="K449" s="2">
        <f t="shared" si="58"/>
        <v>-10.4</v>
      </c>
      <c r="L449" s="8">
        <f t="shared" si="62"/>
        <v>1.5135612484362034E-11</v>
      </c>
      <c r="M449" s="26"/>
      <c r="N449" s="17"/>
      <c r="O449" s="9">
        <f t="shared" si="60"/>
        <v>-14.6</v>
      </c>
      <c r="P449" s="8">
        <f>D446/B446*10^(O449/10)</f>
        <v>1.3522737167648731</v>
      </c>
      <c r="Q449" s="26"/>
      <c r="R449" s="17"/>
      <c r="S449" s="19"/>
      <c r="T449" s="17"/>
      <c r="U449" s="22"/>
    </row>
    <row r="450" spans="1:21" x14ac:dyDescent="0.25">
      <c r="A450" s="24"/>
      <c r="B450" s="24"/>
      <c r="C450" s="17"/>
      <c r="D450" s="24"/>
      <c r="E450" s="24"/>
      <c r="F450" s="25"/>
      <c r="G450" s="1">
        <v>1275</v>
      </c>
      <c r="H450" s="2">
        <v>100.1</v>
      </c>
      <c r="I450" s="2">
        <v>8.8000000000000007</v>
      </c>
      <c r="J450" s="2">
        <v>8.5</v>
      </c>
      <c r="K450" s="2">
        <f t="shared" si="58"/>
        <v>8.8000000000000007</v>
      </c>
      <c r="L450" s="8">
        <f t="shared" si="62"/>
        <v>7.4131024130091898E-10</v>
      </c>
      <c r="M450" s="26"/>
      <c r="N450" s="17"/>
      <c r="O450" s="9">
        <f t="shared" si="60"/>
        <v>8.5</v>
      </c>
      <c r="P450" s="8">
        <f>D446/B446*10^(O450/10)</f>
        <v>276.09885590981378</v>
      </c>
      <c r="Q450" s="26"/>
      <c r="R450" s="17"/>
      <c r="S450" s="19"/>
      <c r="T450" s="17"/>
      <c r="U450" s="22"/>
    </row>
    <row r="451" spans="1:21" x14ac:dyDescent="0.25">
      <c r="A451" s="24"/>
      <c r="B451" s="24"/>
      <c r="C451" s="17"/>
      <c r="D451" s="24"/>
      <c r="E451" s="24"/>
      <c r="F451" s="25"/>
      <c r="G451" s="1">
        <v>1375</v>
      </c>
      <c r="H451" s="2">
        <v>103</v>
      </c>
      <c r="I451" s="2">
        <v>-4.4000000000000004</v>
      </c>
      <c r="J451" s="2">
        <v>-13.1</v>
      </c>
      <c r="K451" s="2">
        <f t="shared" si="58"/>
        <v>-4.4000000000000004</v>
      </c>
      <c r="L451" s="8">
        <f t="shared" si="62"/>
        <v>1.8197008586099764E-11</v>
      </c>
      <c r="M451" s="26"/>
      <c r="N451" s="17"/>
      <c r="O451" s="9">
        <f t="shared" si="60"/>
        <v>-13.1</v>
      </c>
      <c r="P451" s="8">
        <f>D446/B446*10^(O451/10)</f>
        <v>1.9101373955369394</v>
      </c>
      <c r="Q451" s="26"/>
      <c r="R451" s="17"/>
      <c r="S451" s="20"/>
      <c r="T451" s="17"/>
      <c r="U451" s="23"/>
    </row>
    <row r="452" spans="1:21" x14ac:dyDescent="0.25">
      <c r="A452" s="24">
        <v>2000</v>
      </c>
      <c r="B452" s="24">
        <v>3</v>
      </c>
      <c r="C452" s="17">
        <v>0.5</v>
      </c>
      <c r="D452" s="24">
        <v>234</v>
      </c>
      <c r="E452" s="24">
        <v>6</v>
      </c>
      <c r="F452" s="25">
        <v>68</v>
      </c>
      <c r="G452" s="1">
        <v>1425</v>
      </c>
      <c r="H452" s="2">
        <v>102.8</v>
      </c>
      <c r="I452" s="2">
        <v>-7.7</v>
      </c>
      <c r="J452" s="2">
        <v>-12.6</v>
      </c>
      <c r="K452" s="2">
        <f t="shared" si="58"/>
        <v>-7.7</v>
      </c>
      <c r="L452" s="8">
        <f t="shared" si="62"/>
        <v>8.9125093813374152E-12</v>
      </c>
      <c r="M452" s="26">
        <f>SUM(L452:L457)</f>
        <v>2.3517898845919279E-10</v>
      </c>
      <c r="N452" s="17">
        <f>10*LOG10(M452/E452)</f>
        <v>-104.06752732315647</v>
      </c>
      <c r="O452" s="9">
        <f t="shared" si="60"/>
        <v>-12.6</v>
      </c>
      <c r="P452" s="8">
        <f>D452/B452*10^(O452/10)</f>
        <v>4.2864188160894701</v>
      </c>
      <c r="Q452" s="26">
        <f>SUM(P452:P457)</f>
        <v>52.145334748163108</v>
      </c>
      <c r="R452" s="17">
        <f>10*LOG10(Q452)</f>
        <v>17.172154597661869</v>
      </c>
      <c r="S452" s="18">
        <f>F452+N452-Kzt-H</f>
        <v>-36.067527323156469</v>
      </c>
      <c r="T452" s="17">
        <v>1</v>
      </c>
      <c r="U452" s="21">
        <f>T452*10^((S452-R452)/10)</f>
        <v>4.7427672022304759E-6</v>
      </c>
    </row>
    <row r="453" spans="1:21" x14ac:dyDescent="0.25">
      <c r="A453" s="24"/>
      <c r="B453" s="24"/>
      <c r="C453" s="17"/>
      <c r="D453" s="24"/>
      <c r="E453" s="24"/>
      <c r="F453" s="25"/>
      <c r="G453" s="1">
        <v>1625</v>
      </c>
      <c r="H453" s="2">
        <v>104.1</v>
      </c>
      <c r="I453" s="2">
        <v>-3.6</v>
      </c>
      <c r="J453" s="2">
        <v>-5.9</v>
      </c>
      <c r="K453" s="2">
        <f t="shared" si="58"/>
        <v>-3.6</v>
      </c>
      <c r="L453" s="8">
        <f t="shared" si="62"/>
        <v>1.6982436524617441E-11</v>
      </c>
      <c r="M453" s="26"/>
      <c r="N453" s="17"/>
      <c r="O453" s="9">
        <f t="shared" si="60"/>
        <v>-5.9</v>
      </c>
      <c r="P453" s="8">
        <f>D452/B452*10^(O453/10)</f>
        <v>20.049087105597131</v>
      </c>
      <c r="Q453" s="26"/>
      <c r="R453" s="17"/>
      <c r="S453" s="19"/>
      <c r="T453" s="17"/>
      <c r="U453" s="22"/>
    </row>
    <row r="454" spans="1:21" x14ac:dyDescent="0.25">
      <c r="A454" s="24"/>
      <c r="B454" s="24"/>
      <c r="C454" s="17"/>
      <c r="D454" s="24"/>
      <c r="E454" s="24"/>
      <c r="F454" s="25"/>
      <c r="G454" s="1">
        <v>1825</v>
      </c>
      <c r="H454" s="2">
        <v>107.6</v>
      </c>
      <c r="I454" s="2">
        <v>-10.3</v>
      </c>
      <c r="J454" s="2">
        <v>-12.4</v>
      </c>
      <c r="K454" s="2">
        <f t="shared" si="58"/>
        <v>-10.3</v>
      </c>
      <c r="L454" s="8">
        <f t="shared" si="62"/>
        <v>1.6218100973589284E-12</v>
      </c>
      <c r="M454" s="26"/>
      <c r="N454" s="17"/>
      <c r="O454" s="9">
        <f t="shared" si="60"/>
        <v>-12.4</v>
      </c>
      <c r="P454" s="8">
        <f>D452/B452*10^(O454/10)</f>
        <v>4.4884315112298232</v>
      </c>
      <c r="Q454" s="26"/>
      <c r="R454" s="17"/>
      <c r="S454" s="19"/>
      <c r="T454" s="17"/>
      <c r="U454" s="22"/>
    </row>
    <row r="455" spans="1:21" x14ac:dyDescent="0.25">
      <c r="A455" s="24"/>
      <c r="B455" s="24"/>
      <c r="C455" s="17"/>
      <c r="D455" s="24"/>
      <c r="E455" s="24"/>
      <c r="F455" s="25"/>
      <c r="G455" s="1">
        <v>2125</v>
      </c>
      <c r="H455" s="2">
        <v>104.2</v>
      </c>
      <c r="I455" s="2">
        <v>-2.4</v>
      </c>
      <c r="J455" s="2">
        <v>-10.1</v>
      </c>
      <c r="K455" s="2">
        <f t="shared" si="58"/>
        <v>-2.4</v>
      </c>
      <c r="L455" s="8">
        <f t="shared" si="62"/>
        <v>2.1877616239495499E-11</v>
      </c>
      <c r="M455" s="26"/>
      <c r="N455" s="17"/>
      <c r="O455" s="9">
        <f t="shared" si="60"/>
        <v>-10.1</v>
      </c>
      <c r="P455" s="8">
        <f>D452/B452*10^(O455/10)</f>
        <v>7.6224503234553227</v>
      </c>
      <c r="Q455" s="26"/>
      <c r="R455" s="17"/>
      <c r="S455" s="19"/>
      <c r="T455" s="17"/>
      <c r="U455" s="22"/>
    </row>
    <row r="456" spans="1:21" x14ac:dyDescent="0.25">
      <c r="A456" s="24"/>
      <c r="B456" s="24"/>
      <c r="C456" s="17"/>
      <c r="D456" s="24"/>
      <c r="E456" s="24"/>
      <c r="F456" s="25"/>
      <c r="G456" s="1">
        <v>2425</v>
      </c>
      <c r="H456" s="2">
        <v>93.7</v>
      </c>
      <c r="I456" s="2">
        <v>-4.4000000000000004</v>
      </c>
      <c r="J456" s="2">
        <v>-11.4</v>
      </c>
      <c r="K456" s="2">
        <f t="shared" si="58"/>
        <v>-4.4000000000000004</v>
      </c>
      <c r="L456" s="8">
        <f t="shared" si="62"/>
        <v>1.548816618912478E-10</v>
      </c>
      <c r="M456" s="26"/>
      <c r="N456" s="17"/>
      <c r="O456" s="9">
        <f t="shared" si="60"/>
        <v>-11.4</v>
      </c>
      <c r="P456" s="8">
        <f>D452/B452*10^(O456/10)</f>
        <v>5.650600488584919</v>
      </c>
      <c r="Q456" s="26"/>
      <c r="R456" s="17"/>
      <c r="S456" s="19"/>
      <c r="T456" s="17"/>
      <c r="U456" s="22"/>
    </row>
    <row r="457" spans="1:21" x14ac:dyDescent="0.25">
      <c r="A457" s="24"/>
      <c r="B457" s="24"/>
      <c r="C457" s="17"/>
      <c r="D457" s="24"/>
      <c r="E457" s="24"/>
      <c r="F457" s="25"/>
      <c r="G457" s="1">
        <v>2775</v>
      </c>
      <c r="H457" s="2">
        <v>100.2</v>
      </c>
      <c r="I457" s="2">
        <v>-4.9000000000000004</v>
      </c>
      <c r="J457" s="2">
        <v>-8.9</v>
      </c>
      <c r="K457" s="2">
        <f t="shared" si="58"/>
        <v>-4.9000000000000004</v>
      </c>
      <c r="L457" s="8">
        <f t="shared" si="62"/>
        <v>3.0902954325135712E-11</v>
      </c>
      <c r="M457" s="26"/>
      <c r="N457" s="17"/>
      <c r="O457" s="9">
        <f t="shared" si="60"/>
        <v>-8.9</v>
      </c>
      <c r="P457" s="8">
        <f>D452/B452*10^(O457/10)</f>
        <v>10.048346503206442</v>
      </c>
      <c r="Q457" s="26"/>
      <c r="R457" s="17"/>
      <c r="S457" s="20"/>
      <c r="T457" s="17"/>
      <c r="U457" s="23"/>
    </row>
    <row r="458" spans="1:21" x14ac:dyDescent="0.25">
      <c r="A458" s="24">
        <v>4000</v>
      </c>
      <c r="B458" s="24">
        <v>3</v>
      </c>
      <c r="C458" s="17">
        <v>0.5</v>
      </c>
      <c r="D458" s="24">
        <v>470</v>
      </c>
      <c r="E458" s="24">
        <v>6</v>
      </c>
      <c r="F458" s="25">
        <v>62</v>
      </c>
      <c r="G458" s="1">
        <v>2825</v>
      </c>
      <c r="H458" s="2">
        <v>99.4</v>
      </c>
      <c r="I458" s="2">
        <v>-0.7</v>
      </c>
      <c r="J458" s="2">
        <v>-8.4</v>
      </c>
      <c r="K458" s="2">
        <f t="shared" si="58"/>
        <v>-0.7</v>
      </c>
      <c r="L458" s="8">
        <f t="shared" si="62"/>
        <v>9.7723722095580348E-11</v>
      </c>
      <c r="M458" s="26">
        <f>SUM(L458:L463)</f>
        <v>4.0446319986057023E-10</v>
      </c>
      <c r="N458" s="17">
        <f>10*LOG10(M458/E458)</f>
        <v>-101.71272236980549</v>
      </c>
      <c r="O458" s="9">
        <f t="shared" si="60"/>
        <v>-8.4</v>
      </c>
      <c r="P458" s="8">
        <f>D458/B458*10^(O458/10)</f>
        <v>22.645223075019519</v>
      </c>
      <c r="Q458" s="26">
        <f>SUM(P458:P463)</f>
        <v>563.0252104854809</v>
      </c>
      <c r="R458" s="17">
        <f>10*LOG10(Q458)</f>
        <v>27.505278416179557</v>
      </c>
      <c r="S458" s="18">
        <f>F458+N458-Kzt-H</f>
        <v>-39.712722369805491</v>
      </c>
      <c r="T458" s="17">
        <v>0.9</v>
      </c>
      <c r="U458" s="21">
        <f>T458*10^((S458-R458)/10)</f>
        <v>1.7078213198676644E-7</v>
      </c>
    </row>
    <row r="459" spans="1:21" x14ac:dyDescent="0.25">
      <c r="A459" s="24"/>
      <c r="B459" s="24"/>
      <c r="C459" s="17"/>
      <c r="D459" s="24"/>
      <c r="E459" s="24"/>
      <c r="F459" s="25"/>
      <c r="G459" s="1">
        <v>3425</v>
      </c>
      <c r="H459" s="2">
        <v>103.5</v>
      </c>
      <c r="I459" s="2">
        <v>2.2000000000000002</v>
      </c>
      <c r="J459" s="2">
        <v>-11.8</v>
      </c>
      <c r="K459" s="2">
        <f t="shared" si="58"/>
        <v>2.2000000000000002</v>
      </c>
      <c r="L459" s="8">
        <f t="shared" si="62"/>
        <v>7.413102413009181E-11</v>
      </c>
      <c r="M459" s="26"/>
      <c r="N459" s="17"/>
      <c r="O459" s="9">
        <f t="shared" si="60"/>
        <v>-11.8</v>
      </c>
      <c r="P459" s="8">
        <f>D458/B458*10^(O459/10)</f>
        <v>10.350864018785664</v>
      </c>
      <c r="Q459" s="26"/>
      <c r="R459" s="17"/>
      <c r="S459" s="19"/>
      <c r="T459" s="17"/>
      <c r="U459" s="22"/>
    </row>
    <row r="460" spans="1:21" x14ac:dyDescent="0.25">
      <c r="A460" s="24"/>
      <c r="B460" s="24"/>
      <c r="C460" s="17"/>
      <c r="D460" s="24"/>
      <c r="E460" s="24"/>
      <c r="F460" s="25"/>
      <c r="G460" s="1">
        <v>4025</v>
      </c>
      <c r="H460" s="2">
        <v>103.6</v>
      </c>
      <c r="I460" s="2">
        <v>-2.4</v>
      </c>
      <c r="J460" s="2">
        <v>-4.0999999999999996</v>
      </c>
      <c r="K460" s="2">
        <f t="shared" si="58"/>
        <v>-2.4</v>
      </c>
      <c r="L460" s="8">
        <f t="shared" si="62"/>
        <v>2.5118864315095759E-11</v>
      </c>
      <c r="M460" s="26"/>
      <c r="N460" s="17"/>
      <c r="O460" s="9">
        <f t="shared" si="60"/>
        <v>-4.0999999999999996</v>
      </c>
      <c r="P460" s="8">
        <f>D458/B458*10^(O460/10)</f>
        <v>60.950406049103947</v>
      </c>
      <c r="Q460" s="26"/>
      <c r="R460" s="17"/>
      <c r="S460" s="19"/>
      <c r="T460" s="17"/>
      <c r="U460" s="22"/>
    </row>
    <row r="461" spans="1:21" x14ac:dyDescent="0.25">
      <c r="A461" s="24"/>
      <c r="B461" s="24"/>
      <c r="C461" s="17"/>
      <c r="D461" s="24"/>
      <c r="E461" s="24"/>
      <c r="F461" s="25"/>
      <c r="G461" s="1">
        <v>4625</v>
      </c>
      <c r="H461" s="2">
        <v>105.6</v>
      </c>
      <c r="I461" s="2">
        <v>-1.6</v>
      </c>
      <c r="J461" s="2">
        <v>-2.5</v>
      </c>
      <c r="K461" s="2">
        <f t="shared" si="58"/>
        <v>-1.6</v>
      </c>
      <c r="L461" s="8">
        <f t="shared" si="62"/>
        <v>1.905460717963246E-11</v>
      </c>
      <c r="M461" s="26"/>
      <c r="N461" s="17"/>
      <c r="O461" s="9">
        <f t="shared" si="60"/>
        <v>-2.5</v>
      </c>
      <c r="P461" s="8">
        <f>D458/B458*10^(O461/10)</f>
        <v>88.100140946488011</v>
      </c>
      <c r="Q461" s="26"/>
      <c r="R461" s="17"/>
      <c r="S461" s="19"/>
      <c r="T461" s="17"/>
      <c r="U461" s="22"/>
    </row>
    <row r="462" spans="1:21" x14ac:dyDescent="0.25">
      <c r="A462" s="24"/>
      <c r="B462" s="24"/>
      <c r="C462" s="17"/>
      <c r="D462" s="24"/>
      <c r="E462" s="24"/>
      <c r="F462" s="25"/>
      <c r="G462" s="1">
        <v>5225</v>
      </c>
      <c r="H462" s="2">
        <v>103.5</v>
      </c>
      <c r="I462" s="2">
        <v>3.8</v>
      </c>
      <c r="J462" s="2">
        <v>3</v>
      </c>
      <c r="K462" s="2">
        <f t="shared" si="58"/>
        <v>3.8</v>
      </c>
      <c r="L462" s="8">
        <f t="shared" si="62"/>
        <v>1.0715193052376019E-10</v>
      </c>
      <c r="M462" s="26"/>
      <c r="N462" s="17"/>
      <c r="O462" s="9">
        <f t="shared" si="60"/>
        <v>3</v>
      </c>
      <c r="P462" s="8">
        <f>D458/B458*10^(O462/10)</f>
        <v>312.59109601179114</v>
      </c>
      <c r="Q462" s="26"/>
      <c r="R462" s="17"/>
      <c r="S462" s="19"/>
      <c r="T462" s="17"/>
      <c r="U462" s="22"/>
    </row>
    <row r="463" spans="1:21" x14ac:dyDescent="0.25">
      <c r="A463" s="24"/>
      <c r="B463" s="24"/>
      <c r="C463" s="17"/>
      <c r="D463" s="24"/>
      <c r="E463" s="24"/>
      <c r="F463" s="25"/>
      <c r="G463" s="1">
        <v>5625</v>
      </c>
      <c r="H463" s="2">
        <v>99.5</v>
      </c>
      <c r="I463" s="2">
        <v>-1.4</v>
      </c>
      <c r="J463" s="2">
        <v>-3.6</v>
      </c>
      <c r="K463" s="2">
        <f t="shared" si="58"/>
        <v>-1.4</v>
      </c>
      <c r="L463" s="8">
        <f t="shared" si="62"/>
        <v>8.1283051616409667E-11</v>
      </c>
      <c r="M463" s="26"/>
      <c r="N463" s="17"/>
      <c r="O463" s="9">
        <f t="shared" si="60"/>
        <v>-3.6</v>
      </c>
      <c r="P463" s="8">
        <f>D458/B458*10^(O463/10)</f>
        <v>68.387480384292658</v>
      </c>
      <c r="Q463" s="26"/>
      <c r="R463" s="17"/>
      <c r="S463" s="20"/>
      <c r="T463" s="17"/>
      <c r="U463" s="23"/>
    </row>
    <row r="464" spans="1:21" x14ac:dyDescent="0.25">
      <c r="A464" s="24">
        <v>8000</v>
      </c>
      <c r="B464" s="24">
        <v>3</v>
      </c>
      <c r="C464" s="17">
        <v>0.5</v>
      </c>
      <c r="D464" s="24">
        <v>943</v>
      </c>
      <c r="E464" s="24">
        <v>6</v>
      </c>
      <c r="F464" s="25">
        <v>54</v>
      </c>
      <c r="G464" s="1">
        <v>6025</v>
      </c>
      <c r="H464" s="2">
        <v>95</v>
      </c>
      <c r="I464" s="2">
        <v>-1.2</v>
      </c>
      <c r="J464" s="2">
        <v>-6.1</v>
      </c>
      <c r="K464" s="2">
        <f t="shared" si="58"/>
        <v>-1.2</v>
      </c>
      <c r="L464" s="8">
        <f t="shared" si="62"/>
        <v>2.3988329190194809E-10</v>
      </c>
      <c r="M464" s="26">
        <f>SUM(L464:L469)</f>
        <v>5.0912020705160559E-8</v>
      </c>
      <c r="N464" s="17">
        <f>10*LOG10(M464/E464)</f>
        <v>-80.713309157960225</v>
      </c>
      <c r="O464" s="9">
        <f t="shared" si="60"/>
        <v>-6.1</v>
      </c>
      <c r="P464" s="8">
        <f>D464/B464*10^(O464/10)</f>
        <v>77.159683583032773</v>
      </c>
      <c r="Q464" s="26">
        <f>SUM(P464:P469)</f>
        <v>26140.391474288823</v>
      </c>
      <c r="R464" s="17">
        <f>10*LOG10(Q464)</f>
        <v>44.173120872173783</v>
      </c>
      <c r="S464" s="18">
        <f>F464+N464-Kzt-H</f>
        <v>-26.713309157960225</v>
      </c>
      <c r="T464" s="17">
        <v>0.7</v>
      </c>
      <c r="U464" s="21">
        <f>T464*10^((S464-R464)/10)</f>
        <v>5.7076198147905338E-8</v>
      </c>
    </row>
    <row r="465" spans="1:21" x14ac:dyDescent="0.25">
      <c r="A465" s="24"/>
      <c r="B465" s="24"/>
      <c r="C465" s="17"/>
      <c r="D465" s="24"/>
      <c r="E465" s="24"/>
      <c r="F465" s="25"/>
      <c r="G465" s="1">
        <v>7025</v>
      </c>
      <c r="H465" s="2">
        <v>94.8</v>
      </c>
      <c r="I465" s="2">
        <v>7.9</v>
      </c>
      <c r="J465" s="2">
        <v>6.9</v>
      </c>
      <c r="K465" s="2">
        <f t="shared" si="58"/>
        <v>7.9</v>
      </c>
      <c r="L465" s="8">
        <f t="shared" si="62"/>
        <v>2.0417379446695247E-9</v>
      </c>
      <c r="M465" s="26"/>
      <c r="N465" s="17"/>
      <c r="O465" s="9">
        <f t="shared" si="60"/>
        <v>6.9</v>
      </c>
      <c r="P465" s="8">
        <f>D464/B464*10^(O465/10)</f>
        <v>1539.538088881483</v>
      </c>
      <c r="Q465" s="26"/>
      <c r="R465" s="17"/>
      <c r="S465" s="19"/>
      <c r="T465" s="17"/>
      <c r="U465" s="22"/>
    </row>
    <row r="466" spans="1:21" x14ac:dyDescent="0.25">
      <c r="A466" s="24"/>
      <c r="B466" s="24"/>
      <c r="C466" s="17"/>
      <c r="D466" s="24"/>
      <c r="E466" s="24"/>
      <c r="F466" s="25"/>
      <c r="G466" s="1">
        <v>8025</v>
      </c>
      <c r="H466" s="2">
        <v>101.9</v>
      </c>
      <c r="I466" s="2">
        <v>-0.9</v>
      </c>
      <c r="J466" s="2">
        <v>-2</v>
      </c>
      <c r="K466" s="2">
        <f t="shared" si="58"/>
        <v>-0.9</v>
      </c>
      <c r="L466" s="8">
        <f t="shared" si="62"/>
        <v>5.2480746024977003E-11</v>
      </c>
      <c r="M466" s="26"/>
      <c r="N466" s="17"/>
      <c r="O466" s="9">
        <f t="shared" si="60"/>
        <v>-2</v>
      </c>
      <c r="P466" s="8">
        <f>D464/B464*10^(O466/10)</f>
        <v>198.33092528160739</v>
      </c>
      <c r="Q466" s="26"/>
      <c r="R466" s="17"/>
      <c r="S466" s="19"/>
      <c r="T466" s="17"/>
      <c r="U466" s="22"/>
    </row>
    <row r="467" spans="1:21" x14ac:dyDescent="0.25">
      <c r="A467" s="24"/>
      <c r="B467" s="24"/>
      <c r="C467" s="17"/>
      <c r="D467" s="24"/>
      <c r="E467" s="24"/>
      <c r="F467" s="25"/>
      <c r="G467" s="1">
        <v>9025</v>
      </c>
      <c r="H467" s="2">
        <v>93.2</v>
      </c>
      <c r="I467" s="2">
        <v>18.899999999999999</v>
      </c>
      <c r="J467" s="2">
        <v>18.8</v>
      </c>
      <c r="K467" s="2">
        <f t="shared" si="58"/>
        <v>18.899999999999999</v>
      </c>
      <c r="L467" s="8">
        <f t="shared" si="62"/>
        <v>3.715352290971712E-8</v>
      </c>
      <c r="M467" s="26"/>
      <c r="N467" s="17"/>
      <c r="O467" s="9">
        <f t="shared" si="60"/>
        <v>18.8</v>
      </c>
      <c r="P467" s="8">
        <f>D464/B464*10^(O467/10)</f>
        <v>23844.621775084026</v>
      </c>
      <c r="Q467" s="26"/>
      <c r="R467" s="17"/>
      <c r="S467" s="19"/>
      <c r="T467" s="17"/>
      <c r="U467" s="22"/>
    </row>
    <row r="468" spans="1:21" x14ac:dyDescent="0.25">
      <c r="A468" s="24"/>
      <c r="B468" s="24"/>
      <c r="C468" s="17"/>
      <c r="D468" s="24"/>
      <c r="E468" s="24"/>
      <c r="F468" s="25"/>
      <c r="G468" s="1">
        <v>10025</v>
      </c>
      <c r="H468" s="2">
        <v>88.3</v>
      </c>
      <c r="I468" s="2">
        <v>2.2999999999999998</v>
      </c>
      <c r="J468" s="2">
        <v>0.5</v>
      </c>
      <c r="K468" s="2">
        <f t="shared" si="58"/>
        <v>2.2999999999999998</v>
      </c>
      <c r="L468" s="8">
        <f t="shared" si="62"/>
        <v>2.5118864315095812E-9</v>
      </c>
      <c r="M468" s="26"/>
      <c r="N468" s="17"/>
      <c r="O468" s="9">
        <f t="shared" si="60"/>
        <v>0.5</v>
      </c>
      <c r="P468" s="8">
        <f>D464/B464*10^(O468/10)</f>
        <v>352.68780080225054</v>
      </c>
      <c r="Q468" s="26"/>
      <c r="R468" s="17"/>
      <c r="S468" s="19"/>
      <c r="T468" s="17"/>
      <c r="U468" s="22"/>
    </row>
    <row r="469" spans="1:21" x14ac:dyDescent="0.25">
      <c r="A469" s="24"/>
      <c r="B469" s="24"/>
      <c r="C469" s="17"/>
      <c r="D469" s="24"/>
      <c r="E469" s="24"/>
      <c r="F469" s="25"/>
      <c r="G469" s="1">
        <v>11025</v>
      </c>
      <c r="H469" s="2">
        <v>86</v>
      </c>
      <c r="I469" s="2">
        <v>5.5</v>
      </c>
      <c r="J469" s="2">
        <v>-3.9</v>
      </c>
      <c r="K469" s="2">
        <f t="shared" si="58"/>
        <v>5.5</v>
      </c>
      <c r="L469" s="8">
        <f t="shared" si="62"/>
        <v>8.9125093813374133E-9</v>
      </c>
      <c r="M469" s="26"/>
      <c r="N469" s="17"/>
      <c r="O469" s="9">
        <f t="shared" si="60"/>
        <v>-3.9</v>
      </c>
      <c r="P469" s="8">
        <f>D464/B464*10^(O469/10)</f>
        <v>128.05320065642607</v>
      </c>
      <c r="Q469" s="26"/>
      <c r="R469" s="17"/>
      <c r="S469" s="20"/>
      <c r="T469" s="17"/>
      <c r="U469" s="23"/>
    </row>
    <row r="470" spans="1:21" x14ac:dyDescent="0.25">
      <c r="A470" s="24" t="s">
        <v>20</v>
      </c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12">
        <f>U470</f>
        <v>2.9662381165849717E-2</v>
      </c>
      <c r="T470" s="2"/>
      <c r="U470" s="8">
        <f>0.8*SQRT(SUM(U436:U469))</f>
        <v>2.9662381165849717E-2</v>
      </c>
    </row>
    <row r="471" spans="1:21" x14ac:dyDescent="0.25">
      <c r="A471" s="27" t="s">
        <v>85</v>
      </c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9"/>
    </row>
    <row r="472" spans="1:21" x14ac:dyDescent="0.25">
      <c r="A472" s="24">
        <v>250</v>
      </c>
      <c r="B472" s="24">
        <v>3</v>
      </c>
      <c r="C472" s="17">
        <v>0.5</v>
      </c>
      <c r="D472" s="24">
        <v>38</v>
      </c>
      <c r="E472" s="24">
        <v>4</v>
      </c>
      <c r="F472" s="25">
        <v>84</v>
      </c>
      <c r="G472" s="1">
        <v>175</v>
      </c>
      <c r="H472" s="2">
        <v>84.8</v>
      </c>
      <c r="I472" s="2">
        <v>-7.4</v>
      </c>
      <c r="J472" s="2">
        <v>-8.1</v>
      </c>
      <c r="K472" s="2">
        <f>I472</f>
        <v>-7.4</v>
      </c>
      <c r="L472" s="8">
        <f>10^((K472-H472)/10)</f>
        <v>6.0255958607435515E-10</v>
      </c>
      <c r="M472" s="26">
        <f>SUM(L472:L475)</f>
        <v>1.2317895289229812E-9</v>
      </c>
      <c r="N472" s="17">
        <f>10*LOG10(M472/E472)</f>
        <v>-95.115234833664672</v>
      </c>
      <c r="O472" s="9">
        <f>J472</f>
        <v>-8.1</v>
      </c>
      <c r="P472" s="8">
        <f>D472/B472*10^(O472/10)</f>
        <v>1.9618343839558097</v>
      </c>
      <c r="Q472" s="26">
        <f>SUM(P472:P475)</f>
        <v>8.0527433900673611</v>
      </c>
      <c r="R472" s="17">
        <f>10*LOG10(Q472)</f>
        <v>9.0594386001961222</v>
      </c>
      <c r="S472" s="18">
        <f>F472+N472-Kzt-H</f>
        <v>-11.115234833664672</v>
      </c>
      <c r="T472" s="17">
        <v>0.2</v>
      </c>
      <c r="U472" s="21">
        <f>T472*10^((S472-R472)/10)</f>
        <v>1.921156091968385E-3</v>
      </c>
    </row>
    <row r="473" spans="1:21" x14ac:dyDescent="0.25">
      <c r="A473" s="24"/>
      <c r="B473" s="24"/>
      <c r="C473" s="17"/>
      <c r="D473" s="24"/>
      <c r="E473" s="24"/>
      <c r="F473" s="25"/>
      <c r="G473" s="1">
        <v>225</v>
      </c>
      <c r="H473" s="2">
        <v>90</v>
      </c>
      <c r="I473" s="2">
        <v>-3.9</v>
      </c>
      <c r="J473" s="2">
        <v>-7.5</v>
      </c>
      <c r="K473" s="2">
        <f t="shared" ref="K473:K505" si="63">I473</f>
        <v>-3.9</v>
      </c>
      <c r="L473" s="8">
        <f t="shared" ref="L473:L474" si="64">10^((K473-H473)/10)</f>
        <v>4.073802778041116E-10</v>
      </c>
      <c r="M473" s="26"/>
      <c r="N473" s="17"/>
      <c r="O473" s="9">
        <f t="shared" ref="O473:O505" si="65">J473</f>
        <v>-7.5</v>
      </c>
      <c r="P473" s="8">
        <f>D472/B472*10^(O473/10)</f>
        <v>2.2524872527159681</v>
      </c>
      <c r="Q473" s="26"/>
      <c r="R473" s="17"/>
      <c r="S473" s="19"/>
      <c r="T473" s="17"/>
      <c r="U473" s="22"/>
    </row>
    <row r="474" spans="1:21" x14ac:dyDescent="0.25">
      <c r="A474" s="24"/>
      <c r="B474" s="24"/>
      <c r="C474" s="17"/>
      <c r="D474" s="24"/>
      <c r="E474" s="24"/>
      <c r="F474" s="25"/>
      <c r="G474" s="1">
        <v>275</v>
      </c>
      <c r="H474" s="2">
        <v>92.2</v>
      </c>
      <c r="I474" s="2">
        <v>-7.4</v>
      </c>
      <c r="J474" s="2">
        <v>-8.4</v>
      </c>
      <c r="K474" s="2">
        <f t="shared" si="63"/>
        <v>-7.4</v>
      </c>
      <c r="L474" s="8">
        <f t="shared" si="64"/>
        <v>1.0964781961431802E-10</v>
      </c>
      <c r="M474" s="26"/>
      <c r="N474" s="17"/>
      <c r="O474" s="9">
        <f t="shared" si="65"/>
        <v>-8.4</v>
      </c>
      <c r="P474" s="8">
        <f>D472/B472*10^(O474/10)</f>
        <v>1.8308903762781739</v>
      </c>
      <c r="Q474" s="26"/>
      <c r="R474" s="17"/>
      <c r="S474" s="19"/>
      <c r="T474" s="17"/>
      <c r="U474" s="22"/>
    </row>
    <row r="475" spans="1:21" x14ac:dyDescent="0.25">
      <c r="A475" s="24"/>
      <c r="B475" s="24"/>
      <c r="C475" s="17"/>
      <c r="D475" s="24"/>
      <c r="E475" s="24"/>
      <c r="F475" s="25"/>
      <c r="G475" s="1">
        <v>325</v>
      </c>
      <c r="H475" s="2">
        <v>93.3</v>
      </c>
      <c r="I475" s="2">
        <v>-6.2</v>
      </c>
      <c r="J475" s="2">
        <v>-8</v>
      </c>
      <c r="K475" s="2">
        <f t="shared" si="63"/>
        <v>-6.2</v>
      </c>
      <c r="L475" s="8">
        <f>10^((K475-H475)/10)</f>
        <v>1.1220184543019624E-10</v>
      </c>
      <c r="M475" s="26"/>
      <c r="N475" s="17"/>
      <c r="O475" s="9">
        <f t="shared" si="65"/>
        <v>-8</v>
      </c>
      <c r="P475" s="8">
        <f>D472/B472*10^(O475/10)</f>
        <v>2.0075313771174099</v>
      </c>
      <c r="Q475" s="26"/>
      <c r="R475" s="17"/>
      <c r="S475" s="20"/>
      <c r="T475" s="17"/>
      <c r="U475" s="23"/>
    </row>
    <row r="476" spans="1:21" x14ac:dyDescent="0.25">
      <c r="A476" s="24">
        <v>500</v>
      </c>
      <c r="B476" s="24">
        <v>3</v>
      </c>
      <c r="C476" s="17">
        <v>0.5</v>
      </c>
      <c r="D476" s="24">
        <v>59</v>
      </c>
      <c r="E476" s="24">
        <v>6</v>
      </c>
      <c r="F476" s="25">
        <v>84</v>
      </c>
      <c r="G476" s="1">
        <v>375</v>
      </c>
      <c r="H476" s="2">
        <v>91.9</v>
      </c>
      <c r="I476" s="2">
        <v>-6.4</v>
      </c>
      <c r="J476" s="2">
        <v>-7.3</v>
      </c>
      <c r="K476" s="2">
        <f t="shared" si="63"/>
        <v>-6.4</v>
      </c>
      <c r="L476" s="8">
        <f t="shared" ref="L476:L477" si="66">10^((K476-H476)/10)</f>
        <v>1.4791083881681993E-10</v>
      </c>
      <c r="M476" s="26">
        <f>SUM(L476:L481)</f>
        <v>1.2076768374083853E-9</v>
      </c>
      <c r="N476" s="17">
        <f>10*LOG10(M476/E476)</f>
        <v>-96.962005135376586</v>
      </c>
      <c r="O476" s="9">
        <f t="shared" si="65"/>
        <v>-7.3</v>
      </c>
      <c r="P476" s="8">
        <f>D476/B476*10^(O476/10)</f>
        <v>3.662104702103639</v>
      </c>
      <c r="Q476" s="26">
        <f>SUM(P476:P481)</f>
        <v>23.226337190949096</v>
      </c>
      <c r="R476" s="17">
        <f>10*LOG10(Q476)</f>
        <v>13.65980726667102</v>
      </c>
      <c r="S476" s="18">
        <f>F476+N476-Kzt-H</f>
        <v>-12.962005135376586</v>
      </c>
      <c r="T476" s="17">
        <v>0.5</v>
      </c>
      <c r="U476" s="21">
        <f>T476*10^((S476-R476)/10)</f>
        <v>1.0884005789760082E-3</v>
      </c>
    </row>
    <row r="477" spans="1:21" x14ac:dyDescent="0.25">
      <c r="A477" s="24"/>
      <c r="B477" s="24"/>
      <c r="C477" s="17"/>
      <c r="D477" s="24"/>
      <c r="E477" s="24"/>
      <c r="F477" s="25"/>
      <c r="G477" s="1">
        <v>425</v>
      </c>
      <c r="H477" s="2">
        <v>88.1</v>
      </c>
      <c r="I477" s="2">
        <v>-6</v>
      </c>
      <c r="J477" s="2">
        <v>-6.9</v>
      </c>
      <c r="K477" s="2">
        <f t="shared" si="63"/>
        <v>-6</v>
      </c>
      <c r="L477" s="8">
        <f t="shared" si="66"/>
        <v>3.8904514499427963E-10</v>
      </c>
      <c r="M477" s="26"/>
      <c r="N477" s="17"/>
      <c r="O477" s="9">
        <f t="shared" si="65"/>
        <v>-6.9</v>
      </c>
      <c r="P477" s="8">
        <f>D476/B476*10^(O477/10)</f>
        <v>4.0154179578500733</v>
      </c>
      <c r="Q477" s="26"/>
      <c r="R477" s="17"/>
      <c r="S477" s="19"/>
      <c r="T477" s="17"/>
      <c r="U477" s="22"/>
    </row>
    <row r="478" spans="1:21" x14ac:dyDescent="0.25">
      <c r="A478" s="24"/>
      <c r="B478" s="24"/>
      <c r="C478" s="17"/>
      <c r="D478" s="24"/>
      <c r="E478" s="24"/>
      <c r="F478" s="25"/>
      <c r="G478" s="1">
        <v>475</v>
      </c>
      <c r="H478" s="2">
        <v>90</v>
      </c>
      <c r="I478" s="2">
        <v>-6.8</v>
      </c>
      <c r="J478" s="2">
        <v>-7.5</v>
      </c>
      <c r="K478" s="2">
        <f t="shared" si="63"/>
        <v>-6.8</v>
      </c>
      <c r="L478" s="8">
        <f>10^((K478-H478)/10)</f>
        <v>2.0892961308540397E-10</v>
      </c>
      <c r="M478" s="26"/>
      <c r="N478" s="17"/>
      <c r="O478" s="9">
        <f t="shared" si="65"/>
        <v>-7.5</v>
      </c>
      <c r="P478" s="8">
        <f>D476/B476*10^(O478/10)</f>
        <v>3.4972828397432143</v>
      </c>
      <c r="Q478" s="26"/>
      <c r="R478" s="17"/>
      <c r="S478" s="19"/>
      <c r="T478" s="17"/>
      <c r="U478" s="22"/>
    </row>
    <row r="479" spans="1:21" x14ac:dyDescent="0.25">
      <c r="A479" s="24"/>
      <c r="B479" s="24"/>
      <c r="C479" s="17"/>
      <c r="D479" s="24"/>
      <c r="E479" s="24"/>
      <c r="F479" s="25"/>
      <c r="G479" s="1">
        <v>575</v>
      </c>
      <c r="H479" s="2">
        <v>97</v>
      </c>
      <c r="I479" s="2">
        <v>-5.4</v>
      </c>
      <c r="J479" s="2">
        <v>-7.4</v>
      </c>
      <c r="K479" s="2">
        <f t="shared" si="63"/>
        <v>-5.4</v>
      </c>
      <c r="L479" s="8">
        <f t="shared" ref="L479:L505" si="67">10^((K479-H479)/10)</f>
        <v>5.7543993733715601E-11</v>
      </c>
      <c r="M479" s="26"/>
      <c r="N479" s="17"/>
      <c r="O479" s="9">
        <f t="shared" si="65"/>
        <v>-7.4</v>
      </c>
      <c r="P479" s="8">
        <f>D476/B476*10^(O479/10)</f>
        <v>3.5787450219329675</v>
      </c>
      <c r="Q479" s="26"/>
      <c r="R479" s="17"/>
      <c r="S479" s="19"/>
      <c r="T479" s="17"/>
      <c r="U479" s="22"/>
    </row>
    <row r="480" spans="1:21" x14ac:dyDescent="0.25">
      <c r="A480" s="24"/>
      <c r="B480" s="24"/>
      <c r="C480" s="17"/>
      <c r="D480" s="24"/>
      <c r="E480" s="24"/>
      <c r="F480" s="25"/>
      <c r="G480" s="1">
        <v>625</v>
      </c>
      <c r="H480" s="2">
        <v>92</v>
      </c>
      <c r="I480" s="2">
        <v>-4.3000000000000007</v>
      </c>
      <c r="J480" s="2">
        <v>-5.9</v>
      </c>
      <c r="K480" s="2">
        <f t="shared" si="63"/>
        <v>-4.3000000000000007</v>
      </c>
      <c r="L480" s="8">
        <f t="shared" si="67"/>
        <v>2.3442288153199212E-10</v>
      </c>
      <c r="M480" s="26"/>
      <c r="N480" s="17"/>
      <c r="O480" s="9">
        <f t="shared" si="65"/>
        <v>-5.9</v>
      </c>
      <c r="P480" s="8">
        <f>D476/B476*10^(O480/10)</f>
        <v>5.0551117061120969</v>
      </c>
      <c r="Q480" s="26"/>
      <c r="R480" s="17"/>
      <c r="S480" s="19"/>
      <c r="T480" s="17"/>
      <c r="U480" s="22"/>
    </row>
    <row r="481" spans="1:21" x14ac:dyDescent="0.25">
      <c r="A481" s="24"/>
      <c r="B481" s="24"/>
      <c r="C481" s="17"/>
      <c r="D481" s="24"/>
      <c r="E481" s="24"/>
      <c r="F481" s="25"/>
      <c r="G481" s="1">
        <v>675</v>
      </c>
      <c r="H481" s="2">
        <v>94.5</v>
      </c>
      <c r="I481" s="2">
        <v>-3.2</v>
      </c>
      <c r="J481" s="2">
        <v>-7.6</v>
      </c>
      <c r="K481" s="2">
        <f t="shared" si="63"/>
        <v>-3.2</v>
      </c>
      <c r="L481" s="8">
        <f t="shared" si="67"/>
        <v>1.6982436524617399E-10</v>
      </c>
      <c r="M481" s="26"/>
      <c r="N481" s="17"/>
      <c r="O481" s="9">
        <f t="shared" si="65"/>
        <v>-7.6</v>
      </c>
      <c r="P481" s="8">
        <f>D476/B476*10^(O481/10)</f>
        <v>3.4176749632071042</v>
      </c>
      <c r="Q481" s="26"/>
      <c r="R481" s="17"/>
      <c r="S481" s="20"/>
      <c r="T481" s="17"/>
      <c r="U481" s="23"/>
    </row>
    <row r="482" spans="1:21" x14ac:dyDescent="0.25">
      <c r="A482" s="24">
        <v>1000</v>
      </c>
      <c r="B482" s="24">
        <v>3</v>
      </c>
      <c r="C482" s="17">
        <v>0.5</v>
      </c>
      <c r="D482" s="24">
        <v>117</v>
      </c>
      <c r="E482" s="24">
        <v>6</v>
      </c>
      <c r="F482" s="25">
        <v>76</v>
      </c>
      <c r="G482" s="1">
        <v>875</v>
      </c>
      <c r="H482" s="2">
        <v>91.1</v>
      </c>
      <c r="I482" s="2">
        <v>-2.2999999999999998</v>
      </c>
      <c r="J482" s="2">
        <v>-8</v>
      </c>
      <c r="K482" s="2">
        <f t="shared" si="63"/>
        <v>-2.2999999999999998</v>
      </c>
      <c r="L482" s="8">
        <f t="shared" si="67"/>
        <v>4.5708818961487362E-10</v>
      </c>
      <c r="M482" s="26">
        <f>SUM(L482:L487)</f>
        <v>8.958761052247905E-10</v>
      </c>
      <c r="N482" s="17">
        <f>10*LOG10(M482/E482)</f>
        <v>-98.259032971251258</v>
      </c>
      <c r="O482" s="9">
        <f t="shared" si="65"/>
        <v>-8</v>
      </c>
      <c r="P482" s="8">
        <f>D482/B482*10^(O482/10)</f>
        <v>6.181083450598341</v>
      </c>
      <c r="Q482" s="26">
        <f>SUM(P482:P487)</f>
        <v>46.103567582048868</v>
      </c>
      <c r="R482" s="17">
        <f>10*LOG10(Q482)</f>
        <v>16.637345332258516</v>
      </c>
      <c r="S482" s="18">
        <f>F482+N482-Kzt-H</f>
        <v>-22.259032971251258</v>
      </c>
      <c r="T482" s="17">
        <v>0.8</v>
      </c>
      <c r="U482" s="21">
        <f>T482*10^((S482-R482)/10)</f>
        <v>1.0314594440955958E-4</v>
      </c>
    </row>
    <row r="483" spans="1:21" x14ac:dyDescent="0.25">
      <c r="A483" s="24"/>
      <c r="B483" s="24"/>
      <c r="C483" s="17"/>
      <c r="D483" s="24"/>
      <c r="E483" s="24"/>
      <c r="F483" s="25"/>
      <c r="G483" s="1">
        <v>975</v>
      </c>
      <c r="H483" s="2">
        <v>96.5</v>
      </c>
      <c r="I483" s="2">
        <v>-0.4</v>
      </c>
      <c r="J483" s="2">
        <v>-7.2</v>
      </c>
      <c r="K483" s="2">
        <f t="shared" si="63"/>
        <v>-0.4</v>
      </c>
      <c r="L483" s="8">
        <f t="shared" si="67"/>
        <v>2.0417379446695223E-10</v>
      </c>
      <c r="M483" s="26"/>
      <c r="N483" s="17"/>
      <c r="O483" s="9">
        <f t="shared" si="65"/>
        <v>-7.2</v>
      </c>
      <c r="P483" s="8">
        <f>D482/B482*10^(O483/10)</f>
        <v>7.4312968000566642</v>
      </c>
      <c r="Q483" s="26"/>
      <c r="R483" s="17"/>
      <c r="S483" s="19"/>
      <c r="T483" s="17"/>
      <c r="U483" s="22"/>
    </row>
    <row r="484" spans="1:21" x14ac:dyDescent="0.25">
      <c r="A484" s="24"/>
      <c r="B484" s="24"/>
      <c r="C484" s="17"/>
      <c r="D484" s="24"/>
      <c r="E484" s="24"/>
      <c r="F484" s="25"/>
      <c r="G484" s="1">
        <v>1075</v>
      </c>
      <c r="H484" s="2">
        <v>94.6</v>
      </c>
      <c r="I484" s="2">
        <v>-3.2</v>
      </c>
      <c r="J484" s="2">
        <v>-6.9</v>
      </c>
      <c r="K484" s="2">
        <f t="shared" si="63"/>
        <v>-3.2</v>
      </c>
      <c r="L484" s="8">
        <f t="shared" si="67"/>
        <v>1.6595869074375624E-10</v>
      </c>
      <c r="M484" s="26"/>
      <c r="N484" s="17"/>
      <c r="O484" s="9">
        <f t="shared" si="65"/>
        <v>-6.9</v>
      </c>
      <c r="P484" s="8">
        <f>D482/B482*10^(O484/10)</f>
        <v>7.9627779842111623</v>
      </c>
      <c r="Q484" s="26"/>
      <c r="R484" s="17"/>
      <c r="S484" s="19"/>
      <c r="T484" s="17"/>
      <c r="U484" s="22"/>
    </row>
    <row r="485" spans="1:21" x14ac:dyDescent="0.25">
      <c r="A485" s="24"/>
      <c r="B485" s="24"/>
      <c r="C485" s="17"/>
      <c r="D485" s="24"/>
      <c r="E485" s="24"/>
      <c r="F485" s="25"/>
      <c r="G485" s="1">
        <v>1175</v>
      </c>
      <c r="H485" s="2">
        <v>97.8</v>
      </c>
      <c r="I485" s="2">
        <v>-7.1</v>
      </c>
      <c r="J485" s="2">
        <v>-7.1</v>
      </c>
      <c r="K485" s="2">
        <f t="shared" si="63"/>
        <v>-7.1</v>
      </c>
      <c r="L485" s="8">
        <f t="shared" si="67"/>
        <v>3.2359365692962849E-11</v>
      </c>
      <c r="M485" s="26"/>
      <c r="N485" s="17"/>
      <c r="O485" s="9">
        <f t="shared" si="65"/>
        <v>-7.1</v>
      </c>
      <c r="P485" s="8">
        <f>D482/B482*10^(O485/10)</f>
        <v>7.6043939390563748</v>
      </c>
      <c r="Q485" s="26"/>
      <c r="R485" s="17"/>
      <c r="S485" s="19"/>
      <c r="T485" s="17"/>
      <c r="U485" s="22"/>
    </row>
    <row r="486" spans="1:21" x14ac:dyDescent="0.25">
      <c r="A486" s="24"/>
      <c r="B486" s="24"/>
      <c r="C486" s="17"/>
      <c r="D486" s="24"/>
      <c r="E486" s="24"/>
      <c r="F486" s="25"/>
      <c r="G486" s="1">
        <v>1275</v>
      </c>
      <c r="H486" s="2">
        <v>100.1</v>
      </c>
      <c r="I486" s="2">
        <v>-6</v>
      </c>
      <c r="J486" s="2">
        <v>-6.3</v>
      </c>
      <c r="K486" s="2">
        <f t="shared" si="63"/>
        <v>-6</v>
      </c>
      <c r="L486" s="8">
        <f t="shared" si="67"/>
        <v>2.4547089156850264E-11</v>
      </c>
      <c r="M486" s="26"/>
      <c r="N486" s="17"/>
      <c r="O486" s="9">
        <f t="shared" si="65"/>
        <v>-6.3</v>
      </c>
      <c r="P486" s="8">
        <f>D482/B482*10^(O486/10)</f>
        <v>9.1424923797476954</v>
      </c>
      <c r="Q486" s="26"/>
      <c r="R486" s="17"/>
      <c r="S486" s="19"/>
      <c r="T486" s="17"/>
      <c r="U486" s="22"/>
    </row>
    <row r="487" spans="1:21" x14ac:dyDescent="0.25">
      <c r="A487" s="24"/>
      <c r="B487" s="24"/>
      <c r="C487" s="17"/>
      <c r="D487" s="24"/>
      <c r="E487" s="24"/>
      <c r="F487" s="25"/>
      <c r="G487" s="1">
        <v>1375</v>
      </c>
      <c r="H487" s="2">
        <v>103</v>
      </c>
      <c r="I487" s="2">
        <v>-6.3</v>
      </c>
      <c r="J487" s="2">
        <v>-7</v>
      </c>
      <c r="K487" s="2">
        <f t="shared" si="63"/>
        <v>-6.3</v>
      </c>
      <c r="L487" s="8">
        <f t="shared" si="67"/>
        <v>1.1748975549395269E-11</v>
      </c>
      <c r="M487" s="26"/>
      <c r="N487" s="17"/>
      <c r="O487" s="9">
        <f t="shared" si="65"/>
        <v>-7</v>
      </c>
      <c r="P487" s="8">
        <f>D482/B482*10^(O487/10)</f>
        <v>7.7815230283786301</v>
      </c>
      <c r="Q487" s="26"/>
      <c r="R487" s="17"/>
      <c r="S487" s="20"/>
      <c r="T487" s="17"/>
      <c r="U487" s="23"/>
    </row>
    <row r="488" spans="1:21" x14ac:dyDescent="0.25">
      <c r="A488" s="24">
        <v>2000</v>
      </c>
      <c r="B488" s="24">
        <v>3</v>
      </c>
      <c r="C488" s="17">
        <v>0.5</v>
      </c>
      <c r="D488" s="24">
        <v>234</v>
      </c>
      <c r="E488" s="24">
        <v>6</v>
      </c>
      <c r="F488" s="25">
        <v>68</v>
      </c>
      <c r="G488" s="1">
        <v>1425</v>
      </c>
      <c r="H488" s="2">
        <v>102.8</v>
      </c>
      <c r="I488" s="2">
        <v>-1.9</v>
      </c>
      <c r="J488" s="2">
        <v>-8.3000000000000007</v>
      </c>
      <c r="K488" s="2">
        <f t="shared" si="63"/>
        <v>-1.9</v>
      </c>
      <c r="L488" s="8">
        <f t="shared" si="67"/>
        <v>3.3884415613920157E-11</v>
      </c>
      <c r="M488" s="26">
        <f>SUM(L488:L493)</f>
        <v>3.4573426756515396E-10</v>
      </c>
      <c r="N488" s="17">
        <f>10*LOG10(M488/E488)</f>
        <v>-102.39408823468074</v>
      </c>
      <c r="O488" s="9">
        <f t="shared" si="65"/>
        <v>-8.3000000000000007</v>
      </c>
      <c r="P488" s="8">
        <f>D488/B488*10^(O488/10)</f>
        <v>11.537045427712016</v>
      </c>
      <c r="Q488" s="26">
        <f>SUM(P488:P493)</f>
        <v>79.476709904207127</v>
      </c>
      <c r="R488" s="17">
        <f>10*LOG10(Q488)</f>
        <v>19.002398803297901</v>
      </c>
      <c r="S488" s="18">
        <f>F488+N488-Kzt-H</f>
        <v>-34.394088234680737</v>
      </c>
      <c r="T488" s="17">
        <v>1</v>
      </c>
      <c r="U488" s="21">
        <f>T488*10^((S488-R488)/10)</f>
        <v>4.5745807298272489E-6</v>
      </c>
    </row>
    <row r="489" spans="1:21" x14ac:dyDescent="0.25">
      <c r="A489" s="24"/>
      <c r="B489" s="24"/>
      <c r="C489" s="17"/>
      <c r="D489" s="24"/>
      <c r="E489" s="24"/>
      <c r="F489" s="25"/>
      <c r="G489" s="1">
        <v>1625</v>
      </c>
      <c r="H489" s="2">
        <v>104.1</v>
      </c>
      <c r="I489" s="2">
        <v>-3.2</v>
      </c>
      <c r="J489" s="2">
        <v>-7.2</v>
      </c>
      <c r="K489" s="2">
        <f t="shared" si="63"/>
        <v>-3.2</v>
      </c>
      <c r="L489" s="8">
        <f t="shared" si="67"/>
        <v>1.8620871366628599E-11</v>
      </c>
      <c r="M489" s="26"/>
      <c r="N489" s="17"/>
      <c r="O489" s="9">
        <f t="shared" si="65"/>
        <v>-7.2</v>
      </c>
      <c r="P489" s="8">
        <f>D488/B488*10^(O489/10)</f>
        <v>14.862593600113328</v>
      </c>
      <c r="Q489" s="26"/>
      <c r="R489" s="17"/>
      <c r="S489" s="19"/>
      <c r="T489" s="17"/>
      <c r="U489" s="22"/>
    </row>
    <row r="490" spans="1:21" x14ac:dyDescent="0.25">
      <c r="A490" s="24"/>
      <c r="B490" s="24"/>
      <c r="C490" s="17"/>
      <c r="D490" s="24"/>
      <c r="E490" s="24"/>
      <c r="F490" s="25"/>
      <c r="G490" s="1">
        <v>1825</v>
      </c>
      <c r="H490" s="2">
        <v>107.6</v>
      </c>
      <c r="I490" s="2">
        <v>-2.2000000000000002</v>
      </c>
      <c r="J490" s="2">
        <v>-7.5</v>
      </c>
      <c r="K490" s="2">
        <f t="shared" si="63"/>
        <v>-2.2000000000000002</v>
      </c>
      <c r="L490" s="8">
        <f t="shared" si="67"/>
        <v>1.0471285480508978E-11</v>
      </c>
      <c r="M490" s="26"/>
      <c r="N490" s="17"/>
      <c r="O490" s="9">
        <f t="shared" si="65"/>
        <v>-7.5</v>
      </c>
      <c r="P490" s="8">
        <f>D488/B488*10^(O490/10)</f>
        <v>13.870579398303594</v>
      </c>
      <c r="Q490" s="26"/>
      <c r="R490" s="17"/>
      <c r="S490" s="19"/>
      <c r="T490" s="17"/>
      <c r="U490" s="22"/>
    </row>
    <row r="491" spans="1:21" x14ac:dyDescent="0.25">
      <c r="A491" s="24"/>
      <c r="B491" s="24"/>
      <c r="C491" s="17"/>
      <c r="D491" s="24"/>
      <c r="E491" s="24"/>
      <c r="F491" s="25"/>
      <c r="G491" s="1">
        <v>2125</v>
      </c>
      <c r="H491" s="2">
        <v>104.2</v>
      </c>
      <c r="I491" s="2">
        <v>-3.9</v>
      </c>
      <c r="J491" s="2">
        <v>-7.2</v>
      </c>
      <c r="K491" s="2">
        <f t="shared" si="63"/>
        <v>-3.9</v>
      </c>
      <c r="L491" s="8">
        <f t="shared" si="67"/>
        <v>1.5488166189124763E-11</v>
      </c>
      <c r="M491" s="26"/>
      <c r="N491" s="17"/>
      <c r="O491" s="9">
        <f t="shared" si="65"/>
        <v>-7.2</v>
      </c>
      <c r="P491" s="8">
        <f>D488/B488*10^(O491/10)</f>
        <v>14.862593600113328</v>
      </c>
      <c r="Q491" s="26"/>
      <c r="R491" s="17"/>
      <c r="S491" s="19"/>
      <c r="T491" s="17"/>
      <c r="U491" s="22"/>
    </row>
    <row r="492" spans="1:21" x14ac:dyDescent="0.25">
      <c r="A492" s="24"/>
      <c r="B492" s="24"/>
      <c r="C492" s="17"/>
      <c r="D492" s="24"/>
      <c r="E492" s="24"/>
      <c r="F492" s="25"/>
      <c r="G492" s="1">
        <v>2425</v>
      </c>
      <c r="H492" s="2">
        <v>93.7</v>
      </c>
      <c r="I492" s="2">
        <v>-3.2</v>
      </c>
      <c r="J492" s="2">
        <v>-7.3</v>
      </c>
      <c r="K492" s="2">
        <f t="shared" si="63"/>
        <v>-3.2</v>
      </c>
      <c r="L492" s="8">
        <f t="shared" si="67"/>
        <v>2.0417379446695223E-10</v>
      </c>
      <c r="M492" s="26"/>
      <c r="N492" s="17"/>
      <c r="O492" s="9">
        <f t="shared" si="65"/>
        <v>-7.3</v>
      </c>
      <c r="P492" s="8">
        <f>D488/B488*10^(O492/10)</f>
        <v>14.524279665970363</v>
      </c>
      <c r="Q492" s="26"/>
      <c r="R492" s="17"/>
      <c r="S492" s="19"/>
      <c r="T492" s="17"/>
      <c r="U492" s="22"/>
    </row>
    <row r="493" spans="1:21" x14ac:dyDescent="0.25">
      <c r="A493" s="24"/>
      <c r="B493" s="24"/>
      <c r="C493" s="17"/>
      <c r="D493" s="24"/>
      <c r="E493" s="24"/>
      <c r="F493" s="25"/>
      <c r="G493" s="1">
        <v>2775</v>
      </c>
      <c r="H493" s="2">
        <v>100.2</v>
      </c>
      <c r="I493" s="2">
        <v>-1.8</v>
      </c>
      <c r="J493" s="2">
        <v>-9</v>
      </c>
      <c r="K493" s="2">
        <f t="shared" si="63"/>
        <v>-1.8</v>
      </c>
      <c r="L493" s="8">
        <f t="shared" si="67"/>
        <v>6.3095734448019192E-11</v>
      </c>
      <c r="M493" s="26"/>
      <c r="N493" s="17"/>
      <c r="O493" s="9">
        <f t="shared" si="65"/>
        <v>-9</v>
      </c>
      <c r="P493" s="8">
        <f>D488/B488*10^(O493/10)</f>
        <v>9.8196182119945004</v>
      </c>
      <c r="Q493" s="26"/>
      <c r="R493" s="17"/>
      <c r="S493" s="20"/>
      <c r="T493" s="17"/>
      <c r="U493" s="23"/>
    </row>
    <row r="494" spans="1:21" x14ac:dyDescent="0.25">
      <c r="A494" s="24">
        <v>4000</v>
      </c>
      <c r="B494" s="24">
        <v>3</v>
      </c>
      <c r="C494" s="17">
        <v>0.5</v>
      </c>
      <c r="D494" s="24">
        <v>470</v>
      </c>
      <c r="E494" s="24">
        <v>6</v>
      </c>
      <c r="F494" s="25">
        <v>62</v>
      </c>
      <c r="G494" s="1">
        <v>2825</v>
      </c>
      <c r="H494" s="2">
        <v>99.4</v>
      </c>
      <c r="I494" s="2">
        <v>-2.4</v>
      </c>
      <c r="J494" s="2">
        <v>-6.7</v>
      </c>
      <c r="K494" s="2">
        <f t="shared" si="63"/>
        <v>-2.4</v>
      </c>
      <c r="L494" s="8">
        <f t="shared" si="67"/>
        <v>6.6069344800759217E-11</v>
      </c>
      <c r="M494" s="26">
        <f>SUM(L494:L499)</f>
        <v>3.0472443536460743E-10</v>
      </c>
      <c r="N494" s="17">
        <f>10*LOG10(M494/E494)</f>
        <v>-102.94243969385403</v>
      </c>
      <c r="O494" s="9">
        <f t="shared" si="65"/>
        <v>-6.7</v>
      </c>
      <c r="P494" s="8">
        <f>D494/B494*10^(O494/10)</f>
        <v>33.494739402201624</v>
      </c>
      <c r="Q494" s="26">
        <f>SUM(P494:P499)</f>
        <v>283.68789734142723</v>
      </c>
      <c r="R494" s="17">
        <f>10*LOG10(Q494)</f>
        <v>24.528408083726912</v>
      </c>
      <c r="S494" s="18">
        <f>F494+N494-Kzt-H</f>
        <v>-40.942439693854027</v>
      </c>
      <c r="T494" s="17">
        <v>0.9</v>
      </c>
      <c r="U494" s="21">
        <f>T494*10^((S494-R494)/10)</f>
        <v>2.5536285882051671E-7</v>
      </c>
    </row>
    <row r="495" spans="1:21" x14ac:dyDescent="0.25">
      <c r="A495" s="24"/>
      <c r="B495" s="24"/>
      <c r="C495" s="17"/>
      <c r="D495" s="24"/>
      <c r="E495" s="24"/>
      <c r="F495" s="25"/>
      <c r="G495" s="1">
        <v>3425</v>
      </c>
      <c r="H495" s="2">
        <v>103.5</v>
      </c>
      <c r="I495" s="2">
        <v>0.2</v>
      </c>
      <c r="J495" s="2">
        <v>-6.2</v>
      </c>
      <c r="K495" s="2">
        <f t="shared" si="63"/>
        <v>0.2</v>
      </c>
      <c r="L495" s="8">
        <f t="shared" si="67"/>
        <v>4.6773514128719782E-11</v>
      </c>
      <c r="M495" s="26"/>
      <c r="N495" s="17"/>
      <c r="O495" s="9">
        <f t="shared" si="65"/>
        <v>-6.2</v>
      </c>
      <c r="P495" s="8">
        <f>D494/B494*10^(O495/10)</f>
        <v>37.581715731305344</v>
      </c>
      <c r="Q495" s="26"/>
      <c r="R495" s="17"/>
      <c r="S495" s="19"/>
      <c r="T495" s="17"/>
      <c r="U495" s="22"/>
    </row>
    <row r="496" spans="1:21" x14ac:dyDescent="0.25">
      <c r="A496" s="24"/>
      <c r="B496" s="24"/>
      <c r="C496" s="17"/>
      <c r="D496" s="24"/>
      <c r="E496" s="24"/>
      <c r="F496" s="25"/>
      <c r="G496" s="1">
        <v>4025</v>
      </c>
      <c r="H496" s="2">
        <v>103.6</v>
      </c>
      <c r="I496" s="2">
        <v>-1.9</v>
      </c>
      <c r="J496" s="2">
        <v>-6.1</v>
      </c>
      <c r="K496" s="2">
        <f t="shared" si="63"/>
        <v>-1.9</v>
      </c>
      <c r="L496" s="8">
        <f t="shared" si="67"/>
        <v>2.8183829312644474E-11</v>
      </c>
      <c r="M496" s="26"/>
      <c r="N496" s="17"/>
      <c r="O496" s="9">
        <f t="shared" si="65"/>
        <v>-6.1</v>
      </c>
      <c r="P496" s="8">
        <f>D494/B494*10^(O496/10)</f>
        <v>38.457106345732136</v>
      </c>
      <c r="Q496" s="26"/>
      <c r="R496" s="17"/>
      <c r="S496" s="19"/>
      <c r="T496" s="17"/>
      <c r="U496" s="22"/>
    </row>
    <row r="497" spans="1:21" x14ac:dyDescent="0.25">
      <c r="A497" s="24"/>
      <c r="B497" s="24"/>
      <c r="C497" s="17"/>
      <c r="D497" s="24"/>
      <c r="E497" s="24"/>
      <c r="F497" s="25"/>
      <c r="G497" s="1">
        <v>4625</v>
      </c>
      <c r="H497" s="2">
        <v>105.6</v>
      </c>
      <c r="I497" s="2">
        <v>-0.3</v>
      </c>
      <c r="J497" s="2">
        <v>-5.9</v>
      </c>
      <c r="K497" s="2">
        <f t="shared" si="63"/>
        <v>-0.3</v>
      </c>
      <c r="L497" s="8">
        <f t="shared" si="67"/>
        <v>2.5703957827688591E-11</v>
      </c>
      <c r="M497" s="26"/>
      <c r="N497" s="17"/>
      <c r="O497" s="9">
        <f t="shared" si="65"/>
        <v>-5.9</v>
      </c>
      <c r="P497" s="8">
        <f>D494/B494*10^(O497/10)</f>
        <v>40.269533930045512</v>
      </c>
      <c r="Q497" s="26"/>
      <c r="R497" s="17"/>
      <c r="S497" s="19"/>
      <c r="T497" s="17"/>
      <c r="U497" s="22"/>
    </row>
    <row r="498" spans="1:21" x14ac:dyDescent="0.25">
      <c r="A498" s="24"/>
      <c r="B498" s="24"/>
      <c r="C498" s="17"/>
      <c r="D498" s="24"/>
      <c r="E498" s="24"/>
      <c r="F498" s="25"/>
      <c r="G498" s="1">
        <v>5225</v>
      </c>
      <c r="H498" s="2">
        <v>103.5</v>
      </c>
      <c r="I498" s="2">
        <v>0</v>
      </c>
      <c r="J498" s="2">
        <v>-6.8</v>
      </c>
      <c r="K498" s="2">
        <f t="shared" si="63"/>
        <v>0</v>
      </c>
      <c r="L498" s="8">
        <f t="shared" si="67"/>
        <v>4.4668359215096281E-11</v>
      </c>
      <c r="M498" s="26"/>
      <c r="N498" s="17"/>
      <c r="O498" s="9">
        <f t="shared" si="65"/>
        <v>-6.8</v>
      </c>
      <c r="P498" s="8">
        <f>D494/B494*10^(O498/10)</f>
        <v>32.732306050046624</v>
      </c>
      <c r="Q498" s="26"/>
      <c r="R498" s="17"/>
      <c r="S498" s="19"/>
      <c r="T498" s="17"/>
      <c r="U498" s="22"/>
    </row>
    <row r="499" spans="1:21" x14ac:dyDescent="0.25">
      <c r="A499" s="24"/>
      <c r="B499" s="24"/>
      <c r="C499" s="17"/>
      <c r="D499" s="24"/>
      <c r="E499" s="24"/>
      <c r="F499" s="25"/>
      <c r="G499" s="1">
        <v>5625</v>
      </c>
      <c r="H499" s="2">
        <v>99.5</v>
      </c>
      <c r="I499" s="2">
        <v>-0.79999999999999982</v>
      </c>
      <c r="J499" s="2">
        <v>-1.9</v>
      </c>
      <c r="K499" s="2">
        <f t="shared" si="63"/>
        <v>-0.79999999999999982</v>
      </c>
      <c r="L499" s="8">
        <f t="shared" si="67"/>
        <v>9.3325430079699086E-11</v>
      </c>
      <c r="M499" s="26"/>
      <c r="N499" s="17"/>
      <c r="O499" s="9">
        <f t="shared" si="65"/>
        <v>-1.9</v>
      </c>
      <c r="P499" s="8">
        <f>D494/B494*10^(O499/10)</f>
        <v>101.15249588209601</v>
      </c>
      <c r="Q499" s="26"/>
      <c r="R499" s="17"/>
      <c r="S499" s="20"/>
      <c r="T499" s="17"/>
      <c r="U499" s="23"/>
    </row>
    <row r="500" spans="1:21" x14ac:dyDescent="0.25">
      <c r="A500" s="24">
        <v>8000</v>
      </c>
      <c r="B500" s="24">
        <v>3</v>
      </c>
      <c r="C500" s="17">
        <v>0.5</v>
      </c>
      <c r="D500" s="24">
        <v>943</v>
      </c>
      <c r="E500" s="24">
        <v>6</v>
      </c>
      <c r="F500" s="25">
        <v>54</v>
      </c>
      <c r="G500" s="1">
        <v>6025</v>
      </c>
      <c r="H500" s="2">
        <v>95</v>
      </c>
      <c r="I500" s="2">
        <v>-0.5</v>
      </c>
      <c r="J500" s="2">
        <v>-3</v>
      </c>
      <c r="K500" s="2">
        <f t="shared" si="63"/>
        <v>-0.5</v>
      </c>
      <c r="L500" s="8">
        <f t="shared" si="67"/>
        <v>2.8183829312644407E-10</v>
      </c>
      <c r="M500" s="26">
        <f>SUM(L500:L505)</f>
        <v>1.0091659359645727E-8</v>
      </c>
      <c r="N500" s="17">
        <f>10*LOG10(M500/E500)</f>
        <v>-87.741886677456918</v>
      </c>
      <c r="O500" s="9">
        <f t="shared" si="65"/>
        <v>-3</v>
      </c>
      <c r="P500" s="8">
        <f>D500/B500*10^(O500/10)</f>
        <v>157.53985377017256</v>
      </c>
      <c r="Q500" s="26">
        <f>SUM(P500:P505)</f>
        <v>1078.9754110115355</v>
      </c>
      <c r="R500" s="17">
        <f>10*LOG10(Q500)</f>
        <v>30.330115475710606</v>
      </c>
      <c r="S500" s="18">
        <f>F500+N500-Kzt-H</f>
        <v>-33.741886677456918</v>
      </c>
      <c r="T500" s="17">
        <v>0.7</v>
      </c>
      <c r="U500" s="21">
        <f>T500*10^((S500-R500)/10)</f>
        <v>2.7409292449649451E-7</v>
      </c>
    </row>
    <row r="501" spans="1:21" x14ac:dyDescent="0.25">
      <c r="A501" s="24"/>
      <c r="B501" s="24"/>
      <c r="C501" s="17"/>
      <c r="D501" s="24"/>
      <c r="E501" s="24"/>
      <c r="F501" s="25"/>
      <c r="G501" s="1">
        <v>7025</v>
      </c>
      <c r="H501" s="2">
        <v>94.8</v>
      </c>
      <c r="I501" s="2">
        <v>2.2999999999999998</v>
      </c>
      <c r="J501" s="2">
        <v>-5.3</v>
      </c>
      <c r="K501" s="2">
        <f t="shared" si="63"/>
        <v>2.2999999999999998</v>
      </c>
      <c r="L501" s="8">
        <f t="shared" si="67"/>
        <v>5.6234132519034889E-10</v>
      </c>
      <c r="M501" s="26"/>
      <c r="N501" s="17"/>
      <c r="O501" s="9">
        <f t="shared" si="65"/>
        <v>-5.3</v>
      </c>
      <c r="P501" s="8">
        <f>D500/B500*10^(O501/10)</f>
        <v>92.766343358213348</v>
      </c>
      <c r="Q501" s="26"/>
      <c r="R501" s="17"/>
      <c r="S501" s="19"/>
      <c r="T501" s="17"/>
      <c r="U501" s="22"/>
    </row>
    <row r="502" spans="1:21" x14ac:dyDescent="0.25">
      <c r="A502" s="24"/>
      <c r="B502" s="24"/>
      <c r="C502" s="17"/>
      <c r="D502" s="24"/>
      <c r="E502" s="24"/>
      <c r="F502" s="25"/>
      <c r="G502" s="1">
        <v>8025</v>
      </c>
      <c r="H502" s="2">
        <v>101.9</v>
      </c>
      <c r="I502" s="2">
        <v>0.3</v>
      </c>
      <c r="J502" s="2">
        <v>-3.3</v>
      </c>
      <c r="K502" s="2">
        <f t="shared" si="63"/>
        <v>0.3</v>
      </c>
      <c r="L502" s="8">
        <f t="shared" si="67"/>
        <v>6.9183097091893483E-11</v>
      </c>
      <c r="M502" s="26"/>
      <c r="N502" s="17"/>
      <c r="O502" s="9">
        <f t="shared" si="65"/>
        <v>-3.3</v>
      </c>
      <c r="P502" s="8">
        <f>D500/B500*10^(O502/10)</f>
        <v>147.02474607794261</v>
      </c>
      <c r="Q502" s="26"/>
      <c r="R502" s="17"/>
      <c r="S502" s="19"/>
      <c r="T502" s="17"/>
      <c r="U502" s="22"/>
    </row>
    <row r="503" spans="1:21" x14ac:dyDescent="0.25">
      <c r="A503" s="24"/>
      <c r="B503" s="24"/>
      <c r="C503" s="17"/>
      <c r="D503" s="24"/>
      <c r="E503" s="24"/>
      <c r="F503" s="25"/>
      <c r="G503" s="1">
        <v>9025</v>
      </c>
      <c r="H503" s="2">
        <v>93.2</v>
      </c>
      <c r="I503" s="2">
        <v>2.8</v>
      </c>
      <c r="J503" s="2">
        <v>-0.8</v>
      </c>
      <c r="K503" s="2">
        <f t="shared" si="63"/>
        <v>2.8</v>
      </c>
      <c r="L503" s="8">
        <f t="shared" si="67"/>
        <v>9.120108393559075E-10</v>
      </c>
      <c r="M503" s="26"/>
      <c r="N503" s="17"/>
      <c r="O503" s="9">
        <f t="shared" si="65"/>
        <v>-0.8</v>
      </c>
      <c r="P503" s="8">
        <f>D500/B500*10^(O503/10)</f>
        <v>261.45107871660622</v>
      </c>
      <c r="Q503" s="26"/>
      <c r="R503" s="17"/>
      <c r="S503" s="19"/>
      <c r="T503" s="17"/>
      <c r="U503" s="22"/>
    </row>
    <row r="504" spans="1:21" x14ac:dyDescent="0.25">
      <c r="A504" s="24"/>
      <c r="B504" s="24"/>
      <c r="C504" s="17"/>
      <c r="D504" s="24"/>
      <c r="E504" s="24"/>
      <c r="F504" s="25"/>
      <c r="G504" s="1">
        <v>10025</v>
      </c>
      <c r="H504" s="2">
        <v>88.3</v>
      </c>
      <c r="I504" s="2">
        <v>2.2999999999999998</v>
      </c>
      <c r="J504" s="2">
        <v>-1.7</v>
      </c>
      <c r="K504" s="2">
        <f t="shared" si="63"/>
        <v>2.2999999999999998</v>
      </c>
      <c r="L504" s="8">
        <f t="shared" si="67"/>
        <v>2.5118864315095812E-9</v>
      </c>
      <c r="M504" s="26"/>
      <c r="N504" s="17"/>
      <c r="O504" s="9">
        <f t="shared" si="65"/>
        <v>-1.7</v>
      </c>
      <c r="P504" s="8">
        <f>D500/B500*10^(O504/10)</f>
        <v>212.51541526487961</v>
      </c>
      <c r="Q504" s="26"/>
      <c r="R504" s="17"/>
      <c r="S504" s="19"/>
      <c r="T504" s="17"/>
      <c r="U504" s="22"/>
    </row>
    <row r="505" spans="1:21" x14ac:dyDescent="0.25">
      <c r="A505" s="24"/>
      <c r="B505" s="24"/>
      <c r="C505" s="17"/>
      <c r="D505" s="24"/>
      <c r="E505" s="24"/>
      <c r="F505" s="25"/>
      <c r="G505" s="1">
        <v>11025</v>
      </c>
      <c r="H505" s="2">
        <v>86</v>
      </c>
      <c r="I505" s="2">
        <v>3.6</v>
      </c>
      <c r="J505" s="2">
        <v>-1.8</v>
      </c>
      <c r="K505" s="2">
        <f t="shared" si="63"/>
        <v>3.6</v>
      </c>
      <c r="L505" s="8">
        <f t="shared" si="67"/>
        <v>5.754399373371552E-9</v>
      </c>
      <c r="M505" s="26"/>
      <c r="N505" s="17"/>
      <c r="O505" s="9">
        <f t="shared" si="65"/>
        <v>-1.8</v>
      </c>
      <c r="P505" s="8">
        <f>D500/B500*10^(O505/10)</f>
        <v>207.677973823721</v>
      </c>
      <c r="Q505" s="26"/>
      <c r="R505" s="17"/>
      <c r="S505" s="20"/>
      <c r="T505" s="17"/>
      <c r="U505" s="23"/>
    </row>
    <row r="506" spans="1:21" x14ac:dyDescent="0.25">
      <c r="A506" s="24" t="s">
        <v>20</v>
      </c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12">
        <f>U506</f>
        <v>4.466985848639933E-2</v>
      </c>
      <c r="T506" s="2"/>
      <c r="U506" s="8">
        <f>0.8*SQRT(SUM(U472:U505))</f>
        <v>4.466985848639933E-2</v>
      </c>
    </row>
    <row r="507" spans="1:21" x14ac:dyDescent="0.25">
      <c r="A507" s="27" t="s">
        <v>86</v>
      </c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9"/>
    </row>
    <row r="508" spans="1:21" x14ac:dyDescent="0.25">
      <c r="A508" s="24">
        <v>250</v>
      </c>
      <c r="B508" s="24">
        <v>3</v>
      </c>
      <c r="C508" s="17">
        <v>0.5</v>
      </c>
      <c r="D508" s="24">
        <v>38</v>
      </c>
      <c r="E508" s="24">
        <v>4</v>
      </c>
      <c r="F508" s="25">
        <v>84</v>
      </c>
      <c r="G508" s="1">
        <v>175</v>
      </c>
      <c r="H508" s="2">
        <v>84.8</v>
      </c>
      <c r="I508" s="2">
        <v>-13.6</v>
      </c>
      <c r="J508" s="2">
        <v>-14.9</v>
      </c>
      <c r="K508" s="2">
        <f>I508</f>
        <v>-13.6</v>
      </c>
      <c r="L508" s="8">
        <f>10^((K508-H508)/10)</f>
        <v>1.4454397707459247E-10</v>
      </c>
      <c r="M508" s="26">
        <f>SUM(L508:L511)</f>
        <v>4.5134140693710985E-9</v>
      </c>
      <c r="N508" s="17">
        <f>10*LOG10(M508/E508)</f>
        <v>-89.475548129609621</v>
      </c>
      <c r="O508" s="9">
        <f>J508</f>
        <v>-14.9</v>
      </c>
      <c r="P508" s="8">
        <f>D508/B508*10^(O508/10)</f>
        <v>0.40988529877752894</v>
      </c>
      <c r="Q508" s="26">
        <f>SUM(P508:P511)</f>
        <v>7.2668712250898624</v>
      </c>
      <c r="R508" s="17">
        <f>10*LOG10(Q508)</f>
        <v>8.613474642075154</v>
      </c>
      <c r="S508" s="18">
        <f>F508+N508-Kzt-H</f>
        <v>-5.4755481296096207</v>
      </c>
      <c r="T508" s="17">
        <v>0.2</v>
      </c>
      <c r="U508" s="21">
        <f>T508*10^((S508-R508)/10)</f>
        <v>7.8005947879567009E-3</v>
      </c>
    </row>
    <row r="509" spans="1:21" x14ac:dyDescent="0.25">
      <c r="A509" s="24"/>
      <c r="B509" s="24"/>
      <c r="C509" s="17"/>
      <c r="D509" s="24"/>
      <c r="E509" s="24"/>
      <c r="F509" s="25"/>
      <c r="G509" s="1">
        <v>225</v>
      </c>
      <c r="H509" s="2">
        <v>90</v>
      </c>
      <c r="I509" s="2">
        <v>-13.799999999999999</v>
      </c>
      <c r="J509" s="2">
        <v>-14.1</v>
      </c>
      <c r="K509" s="2">
        <f t="shared" ref="K509:K541" si="68">I509</f>
        <v>-13.799999999999999</v>
      </c>
      <c r="L509" s="8">
        <f t="shared" ref="L509:L510" si="69">10^((K509-H509)/10)</f>
        <v>4.1686938347033529E-11</v>
      </c>
      <c r="M509" s="26"/>
      <c r="N509" s="17"/>
      <c r="O509" s="9">
        <f t="shared" ref="O509:O541" si="70">J509</f>
        <v>-14.1</v>
      </c>
      <c r="P509" s="8">
        <f>D508/B508*10^(O509/10)</f>
        <v>0.49279051699275528</v>
      </c>
      <c r="Q509" s="26"/>
      <c r="R509" s="17"/>
      <c r="S509" s="19"/>
      <c r="T509" s="17"/>
      <c r="U509" s="22"/>
    </row>
    <row r="510" spans="1:21" x14ac:dyDescent="0.25">
      <c r="A510" s="24"/>
      <c r="B510" s="24"/>
      <c r="C510" s="17"/>
      <c r="D510" s="24"/>
      <c r="E510" s="24"/>
      <c r="F510" s="25"/>
      <c r="G510" s="1">
        <v>275</v>
      </c>
      <c r="H510" s="2">
        <v>92.2</v>
      </c>
      <c r="I510" s="2">
        <v>-5.8</v>
      </c>
      <c r="J510" s="2">
        <v>-7.3</v>
      </c>
      <c r="K510" s="2">
        <f t="shared" si="68"/>
        <v>-5.8</v>
      </c>
      <c r="L510" s="8">
        <f t="shared" si="69"/>
        <v>1.5848931924611098E-10</v>
      </c>
      <c r="M510" s="26"/>
      <c r="N510" s="17"/>
      <c r="O510" s="9">
        <f t="shared" si="70"/>
        <v>-7.3</v>
      </c>
      <c r="P510" s="8">
        <f>D508/B508*10^(O510/10)</f>
        <v>2.3586437064396315</v>
      </c>
      <c r="Q510" s="26"/>
      <c r="R510" s="17"/>
      <c r="S510" s="19"/>
      <c r="T510" s="17"/>
      <c r="U510" s="22"/>
    </row>
    <row r="511" spans="1:21" x14ac:dyDescent="0.25">
      <c r="A511" s="24"/>
      <c r="B511" s="24"/>
      <c r="C511" s="17"/>
      <c r="D511" s="24"/>
      <c r="E511" s="24"/>
      <c r="F511" s="25"/>
      <c r="G511" s="1">
        <v>325</v>
      </c>
      <c r="H511" s="2">
        <v>93.3</v>
      </c>
      <c r="I511" s="2">
        <v>9.5</v>
      </c>
      <c r="J511" s="2">
        <v>-5</v>
      </c>
      <c r="K511" s="2">
        <f t="shared" si="68"/>
        <v>9.5</v>
      </c>
      <c r="L511" s="8">
        <f>10^((K511-H511)/10)</f>
        <v>4.1686938347033617E-9</v>
      </c>
      <c r="M511" s="26"/>
      <c r="N511" s="17"/>
      <c r="O511" s="9">
        <f t="shared" si="70"/>
        <v>-5</v>
      </c>
      <c r="P511" s="8">
        <f>D508/B508*10^(O511/10)</f>
        <v>4.0055517028799468</v>
      </c>
      <c r="Q511" s="26"/>
      <c r="R511" s="17"/>
      <c r="S511" s="20"/>
      <c r="T511" s="17"/>
      <c r="U511" s="23"/>
    </row>
    <row r="512" spans="1:21" x14ac:dyDescent="0.25">
      <c r="A512" s="24">
        <v>500</v>
      </c>
      <c r="B512" s="24">
        <v>3</v>
      </c>
      <c r="C512" s="17">
        <v>0.5</v>
      </c>
      <c r="D512" s="24">
        <v>59</v>
      </c>
      <c r="E512" s="24">
        <v>6</v>
      </c>
      <c r="F512" s="25">
        <v>84</v>
      </c>
      <c r="G512" s="1">
        <v>375</v>
      </c>
      <c r="H512" s="2">
        <v>91.9</v>
      </c>
      <c r="I512" s="2">
        <v>-5.3</v>
      </c>
      <c r="J512" s="2">
        <v>-7</v>
      </c>
      <c r="K512" s="2">
        <f t="shared" si="68"/>
        <v>-5.3</v>
      </c>
      <c r="L512" s="8">
        <f t="shared" ref="L512:L513" si="71">10^((K512-H512)/10)</f>
        <v>1.9054607179632416E-10</v>
      </c>
      <c r="M512" s="26">
        <f>SUM(L512:L517)</f>
        <v>1.0076849129889422E-9</v>
      </c>
      <c r="N512" s="17">
        <f>10*LOG10(M512/E512)</f>
        <v>-97.748264940101706</v>
      </c>
      <c r="O512" s="9">
        <f t="shared" si="70"/>
        <v>-7</v>
      </c>
      <c r="P512" s="8">
        <f>D512/B512*10^(O512/10)</f>
        <v>3.924015886105463</v>
      </c>
      <c r="Q512" s="26">
        <f>SUM(P512:P517)</f>
        <v>9.808367223738971</v>
      </c>
      <c r="R512" s="17">
        <f>10*LOG10(Q512)</f>
        <v>9.9159671739639403</v>
      </c>
      <c r="S512" s="18">
        <f>F512+N512-Kzt-H</f>
        <v>-13.748264940101706</v>
      </c>
      <c r="T512" s="17">
        <v>0.5</v>
      </c>
      <c r="U512" s="21">
        <f>T512*10^((S512-R512)/10)</f>
        <v>2.1505363757585547E-3</v>
      </c>
    </row>
    <row r="513" spans="1:21" x14ac:dyDescent="0.25">
      <c r="A513" s="24"/>
      <c r="B513" s="24"/>
      <c r="C513" s="17"/>
      <c r="D513" s="24"/>
      <c r="E513" s="24"/>
      <c r="F513" s="25"/>
      <c r="G513" s="1">
        <v>425</v>
      </c>
      <c r="H513" s="2">
        <v>88.1</v>
      </c>
      <c r="I513" s="2">
        <v>-6.5</v>
      </c>
      <c r="J513" s="2">
        <v>-11.9</v>
      </c>
      <c r="K513" s="2">
        <f t="shared" si="68"/>
        <v>-6.5</v>
      </c>
      <c r="L513" s="8">
        <f t="shared" si="71"/>
        <v>3.4673685045253217E-10</v>
      </c>
      <c r="M513" s="26"/>
      <c r="N513" s="17"/>
      <c r="O513" s="9">
        <f t="shared" si="70"/>
        <v>-11.9</v>
      </c>
      <c r="P513" s="8">
        <f>D512/B512*10^(O513/10)</f>
        <v>1.2697866504348223</v>
      </c>
      <c r="Q513" s="26"/>
      <c r="R513" s="17"/>
      <c r="S513" s="19"/>
      <c r="T513" s="17"/>
      <c r="U513" s="22"/>
    </row>
    <row r="514" spans="1:21" x14ac:dyDescent="0.25">
      <c r="A514" s="24"/>
      <c r="B514" s="24"/>
      <c r="C514" s="17"/>
      <c r="D514" s="24"/>
      <c r="E514" s="24"/>
      <c r="F514" s="25"/>
      <c r="G514" s="1">
        <v>475</v>
      </c>
      <c r="H514" s="2">
        <v>90</v>
      </c>
      <c r="I514" s="2">
        <v>-8</v>
      </c>
      <c r="J514" s="2">
        <v>-10.8</v>
      </c>
      <c r="K514" s="2">
        <f t="shared" si="68"/>
        <v>-8</v>
      </c>
      <c r="L514" s="8">
        <f>10^((K514-H514)/10)</f>
        <v>1.5848931924611098E-10</v>
      </c>
      <c r="M514" s="26"/>
      <c r="N514" s="17"/>
      <c r="O514" s="9">
        <f t="shared" si="70"/>
        <v>-10.8</v>
      </c>
      <c r="P514" s="8">
        <f>D512/B512*10^(O514/10)</f>
        <v>1.635802083168586</v>
      </c>
      <c r="Q514" s="26"/>
      <c r="R514" s="17"/>
      <c r="S514" s="19"/>
      <c r="T514" s="17"/>
      <c r="U514" s="22"/>
    </row>
    <row r="515" spans="1:21" x14ac:dyDescent="0.25">
      <c r="A515" s="24"/>
      <c r="B515" s="24"/>
      <c r="C515" s="17"/>
      <c r="D515" s="24"/>
      <c r="E515" s="24"/>
      <c r="F515" s="25"/>
      <c r="G515" s="1">
        <v>575</v>
      </c>
      <c r="H515" s="2">
        <v>97</v>
      </c>
      <c r="I515" s="2">
        <v>-8.9</v>
      </c>
      <c r="J515" s="2">
        <v>-13.7</v>
      </c>
      <c r="K515" s="2">
        <f t="shared" si="68"/>
        <v>-8.9</v>
      </c>
      <c r="L515" s="8">
        <f t="shared" ref="L515:L541" si="72">10^((K515-H515)/10)</f>
        <v>2.5703957827688591E-11</v>
      </c>
      <c r="M515" s="26"/>
      <c r="N515" s="17"/>
      <c r="O515" s="9">
        <f t="shared" si="70"/>
        <v>-13.7</v>
      </c>
      <c r="P515" s="8">
        <f>D512/B512*10^(O515/10)</f>
        <v>0.8389397203097988</v>
      </c>
      <c r="Q515" s="26"/>
      <c r="R515" s="17"/>
      <c r="S515" s="19"/>
      <c r="T515" s="17"/>
      <c r="U515" s="22"/>
    </row>
    <row r="516" spans="1:21" x14ac:dyDescent="0.25">
      <c r="A516" s="24"/>
      <c r="B516" s="24"/>
      <c r="C516" s="17"/>
      <c r="D516" s="24"/>
      <c r="E516" s="24"/>
      <c r="F516" s="25"/>
      <c r="G516" s="1">
        <v>625</v>
      </c>
      <c r="H516" s="2">
        <v>92</v>
      </c>
      <c r="I516" s="2">
        <v>-5.3</v>
      </c>
      <c r="J516" s="2">
        <v>-13.4</v>
      </c>
      <c r="K516" s="2">
        <f t="shared" si="68"/>
        <v>-5.3</v>
      </c>
      <c r="L516" s="8">
        <f t="shared" si="72"/>
        <v>1.862087136662862E-10</v>
      </c>
      <c r="M516" s="26"/>
      <c r="N516" s="17"/>
      <c r="O516" s="9">
        <f t="shared" si="70"/>
        <v>-13.4</v>
      </c>
      <c r="P516" s="8">
        <f>D512/B512*10^(O516/10)</f>
        <v>0.89894010624258713</v>
      </c>
      <c r="Q516" s="26"/>
      <c r="R516" s="17"/>
      <c r="S516" s="19"/>
      <c r="T516" s="17"/>
      <c r="U516" s="22"/>
    </row>
    <row r="517" spans="1:21" x14ac:dyDescent="0.25">
      <c r="A517" s="24"/>
      <c r="B517" s="24"/>
      <c r="C517" s="17"/>
      <c r="D517" s="24"/>
      <c r="E517" s="24"/>
      <c r="F517" s="25"/>
      <c r="G517" s="1">
        <v>675</v>
      </c>
      <c r="H517" s="2">
        <v>94.5</v>
      </c>
      <c r="I517" s="2">
        <v>-5.5</v>
      </c>
      <c r="J517" s="2">
        <v>-12</v>
      </c>
      <c r="K517" s="2">
        <f t="shared" si="68"/>
        <v>-5.5</v>
      </c>
      <c r="L517" s="8">
        <f t="shared" si="72"/>
        <v>1E-10</v>
      </c>
      <c r="M517" s="26"/>
      <c r="N517" s="17"/>
      <c r="O517" s="9">
        <f t="shared" si="70"/>
        <v>-12</v>
      </c>
      <c r="P517" s="8">
        <f>D512/B512*10^(O517/10)</f>
        <v>1.2408827774777134</v>
      </c>
      <c r="Q517" s="26"/>
      <c r="R517" s="17"/>
      <c r="S517" s="20"/>
      <c r="T517" s="17"/>
      <c r="U517" s="23"/>
    </row>
    <row r="518" spans="1:21" x14ac:dyDescent="0.25">
      <c r="A518" s="24">
        <v>1000</v>
      </c>
      <c r="B518" s="24">
        <v>3</v>
      </c>
      <c r="C518" s="17">
        <v>0.5</v>
      </c>
      <c r="D518" s="24">
        <v>117</v>
      </c>
      <c r="E518" s="24">
        <v>6</v>
      </c>
      <c r="F518" s="25">
        <v>76</v>
      </c>
      <c r="G518" s="1">
        <v>875</v>
      </c>
      <c r="H518" s="2">
        <v>91.1</v>
      </c>
      <c r="I518" s="2">
        <v>-4.4000000000000004</v>
      </c>
      <c r="J518" s="2">
        <v>-11.1</v>
      </c>
      <c r="K518" s="2">
        <f t="shared" si="68"/>
        <v>-4.4000000000000004</v>
      </c>
      <c r="L518" s="8">
        <f t="shared" si="72"/>
        <v>2.8183829312644407E-10</v>
      </c>
      <c r="M518" s="26">
        <f>SUM(L518:L523)</f>
        <v>6.375706415301414E-10</v>
      </c>
      <c r="N518" s="17">
        <f>10*LOG10(M518/E518)</f>
        <v>-99.736229396665564</v>
      </c>
      <c r="O518" s="9">
        <f t="shared" si="70"/>
        <v>-11.1</v>
      </c>
      <c r="P518" s="8">
        <f>D518/B518*10^(O518/10)</f>
        <v>3.0273637548518972</v>
      </c>
      <c r="Q518" s="26">
        <f>SUM(P518:P523)</f>
        <v>32.383025097261509</v>
      </c>
      <c r="R518" s="17">
        <f>10*LOG10(Q518)</f>
        <v>15.103174164272904</v>
      </c>
      <c r="S518" s="18">
        <f>F518+N518-Kzt-H</f>
        <v>-23.736229396665564</v>
      </c>
      <c r="T518" s="17">
        <v>0.8</v>
      </c>
      <c r="U518" s="21">
        <f>T518*10^((S518-R518)/10)</f>
        <v>1.0450802269201103E-4</v>
      </c>
    </row>
    <row r="519" spans="1:21" x14ac:dyDescent="0.25">
      <c r="A519" s="24"/>
      <c r="B519" s="24"/>
      <c r="C519" s="17"/>
      <c r="D519" s="24"/>
      <c r="E519" s="24"/>
      <c r="F519" s="25"/>
      <c r="G519" s="1">
        <v>975</v>
      </c>
      <c r="H519" s="2">
        <v>96.5</v>
      </c>
      <c r="I519" s="2">
        <v>-5</v>
      </c>
      <c r="J519" s="2">
        <v>-10.5</v>
      </c>
      <c r="K519" s="2">
        <f t="shared" si="68"/>
        <v>-5</v>
      </c>
      <c r="L519" s="8">
        <f t="shared" si="72"/>
        <v>7.079457843841361E-11</v>
      </c>
      <c r="M519" s="26"/>
      <c r="N519" s="17"/>
      <c r="O519" s="9">
        <f t="shared" si="70"/>
        <v>-10.5</v>
      </c>
      <c r="P519" s="8">
        <f>D518/B518*10^(O519/10)</f>
        <v>3.4758786587216068</v>
      </c>
      <c r="Q519" s="26"/>
      <c r="R519" s="17"/>
      <c r="S519" s="19"/>
      <c r="T519" s="17"/>
      <c r="U519" s="22"/>
    </row>
    <row r="520" spans="1:21" x14ac:dyDescent="0.25">
      <c r="A520" s="24"/>
      <c r="B520" s="24"/>
      <c r="C520" s="17"/>
      <c r="D520" s="24"/>
      <c r="E520" s="24"/>
      <c r="F520" s="25"/>
      <c r="G520" s="1">
        <v>1075</v>
      </c>
      <c r="H520" s="2">
        <v>94.6</v>
      </c>
      <c r="I520" s="2">
        <v>-4</v>
      </c>
      <c r="J520" s="2">
        <v>-9.3000000000000007</v>
      </c>
      <c r="K520" s="2">
        <f t="shared" si="68"/>
        <v>-4</v>
      </c>
      <c r="L520" s="8">
        <f t="shared" si="72"/>
        <v>1.3803842646028825E-10</v>
      </c>
      <c r="M520" s="26"/>
      <c r="N520" s="17"/>
      <c r="O520" s="9">
        <f t="shared" si="70"/>
        <v>-9.3000000000000007</v>
      </c>
      <c r="P520" s="8">
        <f>D518/B518*10^(O520/10)</f>
        <v>4.5821004642641636</v>
      </c>
      <c r="Q520" s="26"/>
      <c r="R520" s="17"/>
      <c r="S520" s="19"/>
      <c r="T520" s="17"/>
      <c r="U520" s="22"/>
    </row>
    <row r="521" spans="1:21" x14ac:dyDescent="0.25">
      <c r="A521" s="24"/>
      <c r="B521" s="24"/>
      <c r="C521" s="17"/>
      <c r="D521" s="24"/>
      <c r="E521" s="24"/>
      <c r="F521" s="25"/>
      <c r="G521" s="1">
        <v>1175</v>
      </c>
      <c r="H521" s="2">
        <v>97.8</v>
      </c>
      <c r="I521" s="2">
        <v>-5.7</v>
      </c>
      <c r="J521" s="2">
        <v>-7.8</v>
      </c>
      <c r="K521" s="2">
        <f t="shared" si="68"/>
        <v>-5.7</v>
      </c>
      <c r="L521" s="8">
        <f t="shared" si="72"/>
        <v>4.4668359215096281E-11</v>
      </c>
      <c r="M521" s="26"/>
      <c r="N521" s="17"/>
      <c r="O521" s="9">
        <f t="shared" si="70"/>
        <v>-7.8</v>
      </c>
      <c r="P521" s="8">
        <f>D518/B518*10^(O521/10)</f>
        <v>6.4723889390064837</v>
      </c>
      <c r="Q521" s="26"/>
      <c r="R521" s="17"/>
      <c r="S521" s="19"/>
      <c r="T521" s="17"/>
      <c r="U521" s="22"/>
    </row>
    <row r="522" spans="1:21" x14ac:dyDescent="0.25">
      <c r="A522" s="24"/>
      <c r="B522" s="24"/>
      <c r="C522" s="17"/>
      <c r="D522" s="24"/>
      <c r="E522" s="24"/>
      <c r="F522" s="25"/>
      <c r="G522" s="1">
        <v>1275</v>
      </c>
      <c r="H522" s="2">
        <v>100.1</v>
      </c>
      <c r="I522" s="2">
        <v>-0.7</v>
      </c>
      <c r="J522" s="2">
        <v>-9.8000000000000007</v>
      </c>
      <c r="K522" s="2">
        <f t="shared" si="68"/>
        <v>-0.7</v>
      </c>
      <c r="L522" s="8">
        <f t="shared" si="72"/>
        <v>8.3176377110266833E-11</v>
      </c>
      <c r="M522" s="26"/>
      <c r="N522" s="17"/>
      <c r="O522" s="9">
        <f t="shared" si="70"/>
        <v>-9.8000000000000007</v>
      </c>
      <c r="P522" s="8">
        <f>D518/B518*10^(O522/10)</f>
        <v>4.0838013373985067</v>
      </c>
      <c r="Q522" s="26"/>
      <c r="R522" s="17"/>
      <c r="S522" s="19"/>
      <c r="T522" s="17"/>
      <c r="U522" s="22"/>
    </row>
    <row r="523" spans="1:21" x14ac:dyDescent="0.25">
      <c r="A523" s="24"/>
      <c r="B523" s="24"/>
      <c r="C523" s="17"/>
      <c r="D523" s="24"/>
      <c r="E523" s="24"/>
      <c r="F523" s="25"/>
      <c r="G523" s="1">
        <v>1375</v>
      </c>
      <c r="H523" s="2">
        <v>103</v>
      </c>
      <c r="I523" s="2">
        <v>-4.1999999999999993</v>
      </c>
      <c r="J523" s="2">
        <v>-5.6</v>
      </c>
      <c r="K523" s="2">
        <f t="shared" si="68"/>
        <v>-4.1999999999999993</v>
      </c>
      <c r="L523" s="8">
        <f t="shared" si="72"/>
        <v>1.9054607179632392E-11</v>
      </c>
      <c r="M523" s="26"/>
      <c r="N523" s="17"/>
      <c r="O523" s="9">
        <f t="shared" si="70"/>
        <v>-5.6</v>
      </c>
      <c r="P523" s="8">
        <f>D518/B518*10^(O523/10)</f>
        <v>10.741491943018849</v>
      </c>
      <c r="Q523" s="26"/>
      <c r="R523" s="17"/>
      <c r="S523" s="20"/>
      <c r="T523" s="17"/>
      <c r="U523" s="23"/>
    </row>
    <row r="524" spans="1:21" x14ac:dyDescent="0.25">
      <c r="A524" s="24">
        <v>2000</v>
      </c>
      <c r="B524" s="24">
        <v>3</v>
      </c>
      <c r="C524" s="17">
        <v>0.5</v>
      </c>
      <c r="D524" s="24">
        <v>234</v>
      </c>
      <c r="E524" s="24">
        <v>6</v>
      </c>
      <c r="F524" s="25">
        <v>68</v>
      </c>
      <c r="G524" s="1">
        <v>1425</v>
      </c>
      <c r="H524" s="2">
        <v>102.8</v>
      </c>
      <c r="I524" s="2">
        <v>-3.5</v>
      </c>
      <c r="J524" s="2">
        <v>-9.6999999999999993</v>
      </c>
      <c r="K524" s="2">
        <f t="shared" si="68"/>
        <v>-3.5</v>
      </c>
      <c r="L524" s="8">
        <f t="shared" si="72"/>
        <v>2.3442288153199185E-11</v>
      </c>
      <c r="M524" s="26">
        <f>SUM(L524:L529)</f>
        <v>3.2674956306203397E-10</v>
      </c>
      <c r="N524" s="17">
        <f>10*LOG10(M524/E524)</f>
        <v>-102.63936234880487</v>
      </c>
      <c r="O524" s="9">
        <f t="shared" si="70"/>
        <v>-9.6999999999999993</v>
      </c>
      <c r="P524" s="8">
        <f>D524/B524*10^(O524/10)</f>
        <v>8.357850580853329</v>
      </c>
      <c r="Q524" s="26">
        <f>SUM(P524:P529)</f>
        <v>175.84416369287507</v>
      </c>
      <c r="R524" s="17">
        <f>10*LOG10(Q524)</f>
        <v>22.451279585611683</v>
      </c>
      <c r="S524" s="18">
        <f>F524+N524-Kzt-H</f>
        <v>-34.639362348804866</v>
      </c>
      <c r="T524" s="17">
        <v>1</v>
      </c>
      <c r="U524" s="21">
        <f>T524*10^((S524-R524)/10)</f>
        <v>1.9540506045243422E-6</v>
      </c>
    </row>
    <row r="525" spans="1:21" x14ac:dyDescent="0.25">
      <c r="A525" s="24"/>
      <c r="B525" s="24"/>
      <c r="C525" s="17"/>
      <c r="D525" s="24"/>
      <c r="E525" s="24"/>
      <c r="F525" s="25"/>
      <c r="G525" s="1">
        <v>1625</v>
      </c>
      <c r="H525" s="2">
        <v>104.1</v>
      </c>
      <c r="I525" s="2">
        <v>-0.8</v>
      </c>
      <c r="J525" s="2">
        <v>-2.5</v>
      </c>
      <c r="K525" s="2">
        <f t="shared" si="68"/>
        <v>-0.8</v>
      </c>
      <c r="L525" s="8">
        <f t="shared" si="72"/>
        <v>3.2359365692962849E-11</v>
      </c>
      <c r="M525" s="26"/>
      <c r="N525" s="17"/>
      <c r="O525" s="9">
        <f t="shared" si="70"/>
        <v>-2.5</v>
      </c>
      <c r="P525" s="8">
        <f>D524/B524*10^(O525/10)</f>
        <v>43.862623364847231</v>
      </c>
      <c r="Q525" s="26"/>
      <c r="R525" s="17"/>
      <c r="S525" s="19"/>
      <c r="T525" s="17"/>
      <c r="U525" s="22"/>
    </row>
    <row r="526" spans="1:21" x14ac:dyDescent="0.25">
      <c r="A526" s="24"/>
      <c r="B526" s="24"/>
      <c r="C526" s="17"/>
      <c r="D526" s="24"/>
      <c r="E526" s="24"/>
      <c r="F526" s="25"/>
      <c r="G526" s="1">
        <v>1825</v>
      </c>
      <c r="H526" s="2">
        <v>107.6</v>
      </c>
      <c r="I526" s="2">
        <v>-1.9</v>
      </c>
      <c r="J526" s="2">
        <v>-3.3</v>
      </c>
      <c r="K526" s="2">
        <f t="shared" si="68"/>
        <v>-1.9</v>
      </c>
      <c r="L526" s="8">
        <f t="shared" si="72"/>
        <v>1.1220184543019613E-11</v>
      </c>
      <c r="M526" s="26"/>
      <c r="N526" s="17"/>
      <c r="O526" s="9">
        <f t="shared" si="70"/>
        <v>-3.3</v>
      </c>
      <c r="P526" s="8">
        <f>D524/B524*10^(O526/10)</f>
        <v>36.483341020401454</v>
      </c>
      <c r="Q526" s="26"/>
      <c r="R526" s="17"/>
      <c r="S526" s="19"/>
      <c r="T526" s="17"/>
      <c r="U526" s="22"/>
    </row>
    <row r="527" spans="1:21" x14ac:dyDescent="0.25">
      <c r="A527" s="24"/>
      <c r="B527" s="24"/>
      <c r="C527" s="17"/>
      <c r="D527" s="24"/>
      <c r="E527" s="24"/>
      <c r="F527" s="25"/>
      <c r="G527" s="1">
        <v>2125</v>
      </c>
      <c r="H527" s="2">
        <v>104.2</v>
      </c>
      <c r="I527" s="2">
        <v>-0.70000000000000018</v>
      </c>
      <c r="J527" s="2">
        <v>-2.2000000000000002</v>
      </c>
      <c r="K527" s="2">
        <f t="shared" si="68"/>
        <v>-0.70000000000000018</v>
      </c>
      <c r="L527" s="8">
        <f t="shared" si="72"/>
        <v>3.2359365692962733E-11</v>
      </c>
      <c r="M527" s="26"/>
      <c r="N527" s="17"/>
      <c r="O527" s="9">
        <f t="shared" si="70"/>
        <v>-2.2000000000000002</v>
      </c>
      <c r="P527" s="8">
        <f>D524/B524*10^(O527/10)</f>
        <v>46.999647713799895</v>
      </c>
      <c r="Q527" s="26"/>
      <c r="R527" s="17"/>
      <c r="S527" s="19"/>
      <c r="T527" s="17"/>
      <c r="U527" s="22"/>
    </row>
    <row r="528" spans="1:21" x14ac:dyDescent="0.25">
      <c r="A528" s="24"/>
      <c r="B528" s="24"/>
      <c r="C528" s="17"/>
      <c r="D528" s="24"/>
      <c r="E528" s="24"/>
      <c r="F528" s="25"/>
      <c r="G528" s="1">
        <v>2425</v>
      </c>
      <c r="H528" s="2">
        <v>93.7</v>
      </c>
      <c r="I528" s="2">
        <v>-4</v>
      </c>
      <c r="J528" s="2">
        <v>-5.7</v>
      </c>
      <c r="K528" s="2">
        <f t="shared" si="68"/>
        <v>-4</v>
      </c>
      <c r="L528" s="8">
        <f t="shared" si="72"/>
        <v>1.6982436524617399E-10</v>
      </c>
      <c r="M528" s="26"/>
      <c r="N528" s="17"/>
      <c r="O528" s="9">
        <f t="shared" si="70"/>
        <v>-5.7</v>
      </c>
      <c r="P528" s="8">
        <f>D524/B524*10^(O528/10)</f>
        <v>20.993971470629937</v>
      </c>
      <c r="Q528" s="26"/>
      <c r="R528" s="17"/>
      <c r="S528" s="19"/>
      <c r="T528" s="17"/>
      <c r="U528" s="22"/>
    </row>
    <row r="529" spans="1:21" x14ac:dyDescent="0.25">
      <c r="A529" s="24"/>
      <c r="B529" s="24"/>
      <c r="C529" s="17"/>
      <c r="D529" s="24"/>
      <c r="E529" s="24"/>
      <c r="F529" s="25"/>
      <c r="G529" s="1">
        <v>2775</v>
      </c>
      <c r="H529" s="2">
        <v>100.2</v>
      </c>
      <c r="I529" s="2">
        <v>-2.2000000000000002</v>
      </c>
      <c r="J529" s="2">
        <v>-6.1</v>
      </c>
      <c r="K529" s="2">
        <f t="shared" si="68"/>
        <v>-2.2000000000000002</v>
      </c>
      <c r="L529" s="8">
        <f t="shared" si="72"/>
        <v>5.7543993733715601E-11</v>
      </c>
      <c r="M529" s="26"/>
      <c r="N529" s="17"/>
      <c r="O529" s="9">
        <f t="shared" si="70"/>
        <v>-6.1</v>
      </c>
      <c r="P529" s="8">
        <f>D524/B524*10^(O529/10)</f>
        <v>19.146729542343234</v>
      </c>
      <c r="Q529" s="26"/>
      <c r="R529" s="17"/>
      <c r="S529" s="20"/>
      <c r="T529" s="17"/>
      <c r="U529" s="23"/>
    </row>
    <row r="530" spans="1:21" x14ac:dyDescent="0.25">
      <c r="A530" s="24">
        <v>4000</v>
      </c>
      <c r="B530" s="24">
        <v>3</v>
      </c>
      <c r="C530" s="17">
        <v>0.5</v>
      </c>
      <c r="D530" s="24">
        <v>470</v>
      </c>
      <c r="E530" s="24">
        <v>6</v>
      </c>
      <c r="F530" s="25">
        <v>62</v>
      </c>
      <c r="G530" s="1">
        <v>2825</v>
      </c>
      <c r="H530" s="2">
        <v>99.4</v>
      </c>
      <c r="I530" s="2">
        <v>-7.6</v>
      </c>
      <c r="J530" s="2">
        <v>-9.5</v>
      </c>
      <c r="K530" s="2">
        <f t="shared" si="68"/>
        <v>-7.6</v>
      </c>
      <c r="L530" s="8">
        <f t="shared" si="72"/>
        <v>1.995262314968878E-11</v>
      </c>
      <c r="M530" s="26">
        <f>SUM(L530:L535)</f>
        <v>2.3046762289524754E-10</v>
      </c>
      <c r="N530" s="17">
        <f>10*LOG10(M530/E530)</f>
        <v>-104.15541327970675</v>
      </c>
      <c r="O530" s="9">
        <f t="shared" si="70"/>
        <v>-9.5</v>
      </c>
      <c r="P530" s="8">
        <f>D530/B530*10^(O530/10)</f>
        <v>17.578289117397421</v>
      </c>
      <c r="Q530" s="26">
        <f>SUM(P530:P535)</f>
        <v>366.8475363004963</v>
      </c>
      <c r="R530" s="17">
        <f>10*LOG10(Q530)</f>
        <v>25.644856067563225</v>
      </c>
      <c r="S530" s="18">
        <f>F530+N530-Kzt-H</f>
        <v>-42.15541327970675</v>
      </c>
      <c r="T530" s="17">
        <v>0.9</v>
      </c>
      <c r="U530" s="21">
        <f>T530*10^((S530-R530)/10)</f>
        <v>1.4935355854898213E-7</v>
      </c>
    </row>
    <row r="531" spans="1:21" x14ac:dyDescent="0.25">
      <c r="A531" s="24"/>
      <c r="B531" s="24"/>
      <c r="C531" s="17"/>
      <c r="D531" s="24"/>
      <c r="E531" s="24"/>
      <c r="F531" s="25"/>
      <c r="G531" s="1">
        <v>3425</v>
      </c>
      <c r="H531" s="2">
        <v>103.5</v>
      </c>
      <c r="I531" s="2">
        <v>-5.2</v>
      </c>
      <c r="J531" s="2">
        <v>-7.5</v>
      </c>
      <c r="K531" s="2">
        <f t="shared" si="68"/>
        <v>-5.2</v>
      </c>
      <c r="L531" s="8">
        <f t="shared" si="72"/>
        <v>1.348962882591645E-11</v>
      </c>
      <c r="M531" s="26"/>
      <c r="N531" s="17"/>
      <c r="O531" s="9">
        <f t="shared" si="70"/>
        <v>-7.5</v>
      </c>
      <c r="P531" s="8">
        <f>D530/B530*10^(O531/10)</f>
        <v>27.859710757276449</v>
      </c>
      <c r="Q531" s="26"/>
      <c r="R531" s="17"/>
      <c r="S531" s="19"/>
      <c r="T531" s="17"/>
      <c r="U531" s="22"/>
    </row>
    <row r="532" spans="1:21" x14ac:dyDescent="0.25">
      <c r="A532" s="24"/>
      <c r="B532" s="24"/>
      <c r="C532" s="17"/>
      <c r="D532" s="24"/>
      <c r="E532" s="24"/>
      <c r="F532" s="25"/>
      <c r="G532" s="1">
        <v>4025</v>
      </c>
      <c r="H532" s="2">
        <v>103.6</v>
      </c>
      <c r="I532" s="2">
        <v>-7.2</v>
      </c>
      <c r="J532" s="2">
        <v>-7.6</v>
      </c>
      <c r="K532" s="2">
        <f t="shared" si="68"/>
        <v>-7.2</v>
      </c>
      <c r="L532" s="8">
        <f t="shared" si="72"/>
        <v>8.3176377110266746E-12</v>
      </c>
      <c r="M532" s="26"/>
      <c r="N532" s="17"/>
      <c r="O532" s="9">
        <f t="shared" si="70"/>
        <v>-7.6</v>
      </c>
      <c r="P532" s="8">
        <f>D530/B530*10^(O532/10)</f>
        <v>27.225546317073537</v>
      </c>
      <c r="Q532" s="26"/>
      <c r="R532" s="17"/>
      <c r="S532" s="19"/>
      <c r="T532" s="17"/>
      <c r="U532" s="22"/>
    </row>
    <row r="533" spans="1:21" x14ac:dyDescent="0.25">
      <c r="A533" s="24"/>
      <c r="B533" s="24"/>
      <c r="C533" s="17"/>
      <c r="D533" s="24"/>
      <c r="E533" s="24"/>
      <c r="F533" s="25"/>
      <c r="G533" s="1">
        <v>4625</v>
      </c>
      <c r="H533" s="2">
        <v>105.6</v>
      </c>
      <c r="I533" s="2">
        <v>0.4</v>
      </c>
      <c r="J533" s="2">
        <v>0</v>
      </c>
      <c r="K533" s="2">
        <f t="shared" si="68"/>
        <v>0.4</v>
      </c>
      <c r="L533" s="8">
        <f t="shared" si="72"/>
        <v>3.0199517204020087E-11</v>
      </c>
      <c r="M533" s="26"/>
      <c r="N533" s="17"/>
      <c r="O533" s="9">
        <f t="shared" si="70"/>
        <v>0</v>
      </c>
      <c r="P533" s="8">
        <f>D530/B530*10^(O533/10)</f>
        <v>156.66666666666666</v>
      </c>
      <c r="Q533" s="26"/>
      <c r="R533" s="17"/>
      <c r="S533" s="19"/>
      <c r="T533" s="17"/>
      <c r="U533" s="22"/>
    </row>
    <row r="534" spans="1:21" x14ac:dyDescent="0.25">
      <c r="A534" s="24"/>
      <c r="B534" s="24"/>
      <c r="C534" s="17"/>
      <c r="D534" s="24"/>
      <c r="E534" s="24"/>
      <c r="F534" s="25"/>
      <c r="G534" s="1">
        <v>5225</v>
      </c>
      <c r="H534" s="2">
        <v>103.5</v>
      </c>
      <c r="I534" s="2">
        <v>-1</v>
      </c>
      <c r="J534" s="2">
        <v>-7.7</v>
      </c>
      <c r="K534" s="2">
        <f t="shared" si="68"/>
        <v>-1</v>
      </c>
      <c r="L534" s="8">
        <f t="shared" si="72"/>
        <v>3.5481338923357562E-11</v>
      </c>
      <c r="M534" s="26"/>
      <c r="N534" s="17"/>
      <c r="O534" s="9">
        <f t="shared" si="70"/>
        <v>-7.7</v>
      </c>
      <c r="P534" s="8">
        <f>D530/B530*10^(O534/10)</f>
        <v>26.605817221900658</v>
      </c>
      <c r="Q534" s="26"/>
      <c r="R534" s="17"/>
      <c r="S534" s="19"/>
      <c r="T534" s="17"/>
      <c r="U534" s="22"/>
    </row>
    <row r="535" spans="1:21" x14ac:dyDescent="0.25">
      <c r="A535" s="24"/>
      <c r="B535" s="24"/>
      <c r="C535" s="17"/>
      <c r="D535" s="24"/>
      <c r="E535" s="24"/>
      <c r="F535" s="25"/>
      <c r="G535" s="1">
        <v>5625</v>
      </c>
      <c r="H535" s="2">
        <v>99.5</v>
      </c>
      <c r="I535" s="2">
        <v>0.39999999999999991</v>
      </c>
      <c r="J535" s="2">
        <v>-1.5</v>
      </c>
      <c r="K535" s="2">
        <f t="shared" si="68"/>
        <v>0.39999999999999991</v>
      </c>
      <c r="L535" s="8">
        <f t="shared" si="72"/>
        <v>1.2302687708123799E-10</v>
      </c>
      <c r="M535" s="26"/>
      <c r="N535" s="17"/>
      <c r="O535" s="9">
        <f t="shared" si="70"/>
        <v>-1.5</v>
      </c>
      <c r="P535" s="8">
        <f>D530/B530*10^(O535/10)</f>
        <v>110.91150622018159</v>
      </c>
      <c r="Q535" s="26"/>
      <c r="R535" s="17"/>
      <c r="S535" s="20"/>
      <c r="T535" s="17"/>
      <c r="U535" s="23"/>
    </row>
    <row r="536" spans="1:21" x14ac:dyDescent="0.25">
      <c r="A536" s="24">
        <v>8000</v>
      </c>
      <c r="B536" s="24">
        <v>3</v>
      </c>
      <c r="C536" s="17">
        <v>0.5</v>
      </c>
      <c r="D536" s="24">
        <v>943</v>
      </c>
      <c r="E536" s="24">
        <v>6</v>
      </c>
      <c r="F536" s="25">
        <v>54</v>
      </c>
      <c r="G536" s="1">
        <v>6025</v>
      </c>
      <c r="H536" s="2">
        <v>95</v>
      </c>
      <c r="I536" s="2">
        <v>-2.7</v>
      </c>
      <c r="J536" s="2">
        <v>-2.9</v>
      </c>
      <c r="K536" s="2">
        <f t="shared" si="68"/>
        <v>-2.7</v>
      </c>
      <c r="L536" s="8">
        <f t="shared" si="72"/>
        <v>1.6982436524617399E-10</v>
      </c>
      <c r="M536" s="26">
        <f>SUM(L536:L541)</f>
        <v>1.3319812671925084E-8</v>
      </c>
      <c r="N536" s="17">
        <f>10*LOG10(M536/E536)</f>
        <v>-86.536531333662779</v>
      </c>
      <c r="O536" s="9">
        <f t="shared" si="70"/>
        <v>-2.9</v>
      </c>
      <c r="P536" s="8">
        <f>D536/B536*10^(O536/10)</f>
        <v>161.20942836795234</v>
      </c>
      <c r="Q536" s="26">
        <f>SUM(P536:P541)</f>
        <v>2982.1290977951376</v>
      </c>
      <c r="R536" s="17">
        <f>10*LOG10(Q536)</f>
        <v>34.745264403398011</v>
      </c>
      <c r="S536" s="18">
        <f>F536+N536-Kzt-H</f>
        <v>-32.536531333662779</v>
      </c>
      <c r="T536" s="17">
        <v>0.7</v>
      </c>
      <c r="U536" s="21">
        <f>T536*10^((S536-R536)/10)</f>
        <v>1.3089361625287935E-7</v>
      </c>
    </row>
    <row r="537" spans="1:21" x14ac:dyDescent="0.25">
      <c r="A537" s="24"/>
      <c r="B537" s="24"/>
      <c r="C537" s="17"/>
      <c r="D537" s="24"/>
      <c r="E537" s="24"/>
      <c r="F537" s="25"/>
      <c r="G537" s="1">
        <v>7025</v>
      </c>
      <c r="H537" s="2">
        <v>94.8</v>
      </c>
      <c r="I537" s="2">
        <v>-3.2</v>
      </c>
      <c r="J537" s="2">
        <v>-3.6</v>
      </c>
      <c r="K537" s="2">
        <f t="shared" si="68"/>
        <v>-3.2</v>
      </c>
      <c r="L537" s="8">
        <f t="shared" si="72"/>
        <v>1.5848931924611098E-10</v>
      </c>
      <c r="M537" s="26"/>
      <c r="N537" s="17"/>
      <c r="O537" s="9">
        <f t="shared" si="70"/>
        <v>-3.6</v>
      </c>
      <c r="P537" s="8">
        <f>D536/B536*10^(O537/10)</f>
        <v>137.21147660082548</v>
      </c>
      <c r="Q537" s="26"/>
      <c r="R537" s="17"/>
      <c r="S537" s="19"/>
      <c r="T537" s="17"/>
      <c r="U537" s="22"/>
    </row>
    <row r="538" spans="1:21" x14ac:dyDescent="0.25">
      <c r="A538" s="24"/>
      <c r="B538" s="24"/>
      <c r="C538" s="17"/>
      <c r="D538" s="24"/>
      <c r="E538" s="24"/>
      <c r="F538" s="25"/>
      <c r="G538" s="1">
        <v>8025</v>
      </c>
      <c r="H538" s="2">
        <v>101.9</v>
      </c>
      <c r="I538" s="2">
        <v>5.3</v>
      </c>
      <c r="J538" s="2">
        <v>3.3</v>
      </c>
      <c r="K538" s="2">
        <f t="shared" si="68"/>
        <v>5.3</v>
      </c>
      <c r="L538" s="8">
        <f t="shared" si="72"/>
        <v>2.1877616239495448E-10</v>
      </c>
      <c r="M538" s="26"/>
      <c r="N538" s="17"/>
      <c r="O538" s="9">
        <f t="shared" si="70"/>
        <v>3.3</v>
      </c>
      <c r="P538" s="8">
        <f>D536/B536*10^(O538/10)</f>
        <v>672.03275013353493</v>
      </c>
      <c r="Q538" s="26"/>
      <c r="R538" s="17"/>
      <c r="S538" s="19"/>
      <c r="T538" s="17"/>
      <c r="U538" s="22"/>
    </row>
    <row r="539" spans="1:21" x14ac:dyDescent="0.25">
      <c r="A539" s="24"/>
      <c r="B539" s="24"/>
      <c r="C539" s="17"/>
      <c r="D539" s="24"/>
      <c r="E539" s="24"/>
      <c r="F539" s="25"/>
      <c r="G539" s="1">
        <v>9025</v>
      </c>
      <c r="H539" s="2">
        <v>93.2</v>
      </c>
      <c r="I539" s="2">
        <v>5.3</v>
      </c>
      <c r="J539" s="2">
        <v>3.9</v>
      </c>
      <c r="K539" s="2">
        <f t="shared" si="68"/>
        <v>5.3</v>
      </c>
      <c r="L539" s="8">
        <f t="shared" si="72"/>
        <v>1.6218100973589222E-9</v>
      </c>
      <c r="M539" s="26"/>
      <c r="N539" s="17"/>
      <c r="O539" s="9">
        <f t="shared" si="70"/>
        <v>3.9</v>
      </c>
      <c r="P539" s="8">
        <f>D536/B536*10^(O539/10)</f>
        <v>771.5968358303279</v>
      </c>
      <c r="Q539" s="26"/>
      <c r="R539" s="17"/>
      <c r="S539" s="19"/>
      <c r="T539" s="17"/>
      <c r="U539" s="22"/>
    </row>
    <row r="540" spans="1:21" x14ac:dyDescent="0.25">
      <c r="A540" s="24"/>
      <c r="B540" s="24"/>
      <c r="C540" s="17"/>
      <c r="D540" s="24"/>
      <c r="E540" s="24"/>
      <c r="F540" s="25"/>
      <c r="G540" s="1">
        <v>10025</v>
      </c>
      <c r="H540" s="2">
        <v>88.3</v>
      </c>
      <c r="I540" s="2">
        <v>3.5999999999999996</v>
      </c>
      <c r="J540" s="2">
        <v>2.9</v>
      </c>
      <c r="K540" s="2">
        <f t="shared" si="68"/>
        <v>3.5999999999999996</v>
      </c>
      <c r="L540" s="8">
        <f t="shared" si="72"/>
        <v>3.3884415613920108E-9</v>
      </c>
      <c r="M540" s="26"/>
      <c r="N540" s="17"/>
      <c r="O540" s="9">
        <f t="shared" si="70"/>
        <v>2.9</v>
      </c>
      <c r="P540" s="8">
        <f>D536/B536*10^(O540/10)</f>
        <v>612.9011525239456</v>
      </c>
      <c r="Q540" s="26"/>
      <c r="R540" s="17"/>
      <c r="S540" s="19"/>
      <c r="T540" s="17"/>
      <c r="U540" s="22"/>
    </row>
    <row r="541" spans="1:21" x14ac:dyDescent="0.25">
      <c r="A541" s="24"/>
      <c r="B541" s="24"/>
      <c r="C541" s="17"/>
      <c r="D541" s="24"/>
      <c r="E541" s="24"/>
      <c r="F541" s="25"/>
      <c r="G541" s="1">
        <v>11025</v>
      </c>
      <c r="H541" s="2">
        <v>86</v>
      </c>
      <c r="I541" s="2">
        <v>4.9000000000000004</v>
      </c>
      <c r="J541" s="2">
        <v>3</v>
      </c>
      <c r="K541" s="2">
        <f t="shared" si="68"/>
        <v>4.9000000000000004</v>
      </c>
      <c r="L541" s="8">
        <f t="shared" si="72"/>
        <v>7.7624711662869124E-9</v>
      </c>
      <c r="M541" s="26"/>
      <c r="N541" s="17"/>
      <c r="O541" s="9">
        <f t="shared" si="70"/>
        <v>3</v>
      </c>
      <c r="P541" s="8">
        <f>D536/B536*10^(O541/10)</f>
        <v>627.17745433855112</v>
      </c>
      <c r="Q541" s="26"/>
      <c r="R541" s="17"/>
      <c r="S541" s="20"/>
      <c r="T541" s="17"/>
      <c r="U541" s="23"/>
    </row>
    <row r="542" spans="1:21" x14ac:dyDescent="0.25">
      <c r="A542" s="24" t="s">
        <v>20</v>
      </c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12">
        <f>U542</f>
        <v>8.0231159968427612E-2</v>
      </c>
      <c r="T542" s="2"/>
      <c r="U542" s="8">
        <f>0.8*SQRT(SUM(U508:U541))</f>
        <v>8.0231159968427612E-2</v>
      </c>
    </row>
    <row r="543" spans="1:21" x14ac:dyDescent="0.25">
      <c r="A543" s="27" t="s">
        <v>87</v>
      </c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9"/>
    </row>
    <row r="544" spans="1:21" x14ac:dyDescent="0.25">
      <c r="A544" s="24">
        <v>250</v>
      </c>
      <c r="B544" s="24">
        <v>3</v>
      </c>
      <c r="C544" s="17">
        <v>0.5</v>
      </c>
      <c r="D544" s="24">
        <v>38</v>
      </c>
      <c r="E544" s="24">
        <v>4</v>
      </c>
      <c r="F544" s="25">
        <v>84</v>
      </c>
      <c r="G544" s="1">
        <v>175</v>
      </c>
      <c r="H544" s="2">
        <v>84.8</v>
      </c>
      <c r="I544" s="2">
        <v>-9.1999999999999993</v>
      </c>
      <c r="J544" s="2">
        <v>-10.6</v>
      </c>
      <c r="K544" s="2">
        <f>I544</f>
        <v>-9.1999999999999993</v>
      </c>
      <c r="L544" s="8">
        <f>10^((K544-H544)/10)</f>
        <v>3.9810717055349621E-10</v>
      </c>
      <c r="M544" s="26">
        <f>SUM(L544:L547)</f>
        <v>5.1708053368963238E-9</v>
      </c>
      <c r="N544" s="17">
        <f>10*LOG10(M544/E544)</f>
        <v>-88.885018029473201</v>
      </c>
      <c r="O544" s="9">
        <f>J544</f>
        <v>-10.6</v>
      </c>
      <c r="P544" s="8">
        <f>D544/B544*10^(O544/10)</f>
        <v>1.1032205472777015</v>
      </c>
      <c r="Q544" s="26">
        <f>SUM(P544:P547)</f>
        <v>105.10746316589392</v>
      </c>
      <c r="R544" s="17">
        <f>10*LOG10(Q544)</f>
        <v>20.21633554246047</v>
      </c>
      <c r="S544" s="18">
        <f>F544+N544-Kzt-H</f>
        <v>-4.8850180294732013</v>
      </c>
      <c r="T544" s="17">
        <v>0.2</v>
      </c>
      <c r="U544" s="21">
        <f>T544*10^((S544-R544)/10)</f>
        <v>6.178664851432652E-4</v>
      </c>
    </row>
    <row r="545" spans="1:21" x14ac:dyDescent="0.25">
      <c r="A545" s="24"/>
      <c r="B545" s="24"/>
      <c r="C545" s="17"/>
      <c r="D545" s="24"/>
      <c r="E545" s="24"/>
      <c r="F545" s="25"/>
      <c r="G545" s="1">
        <v>225</v>
      </c>
      <c r="H545" s="2">
        <v>90</v>
      </c>
      <c r="I545" s="2">
        <v>-7.5</v>
      </c>
      <c r="J545" s="2">
        <v>-13.6</v>
      </c>
      <c r="K545" s="2">
        <f t="shared" ref="K545:K577" si="73">I545</f>
        <v>-7.5</v>
      </c>
      <c r="L545" s="8">
        <f t="shared" ref="L545:L546" si="74">10^((K545-H545)/10)</f>
        <v>1.778279410038918E-10</v>
      </c>
      <c r="M545" s="26"/>
      <c r="N545" s="17"/>
      <c r="O545" s="9">
        <f t="shared" ref="O545:O577" si="75">J545</f>
        <v>-13.6</v>
      </c>
      <c r="P545" s="8">
        <f>D544/B544*10^(O545/10)</f>
        <v>0.55292005417087697</v>
      </c>
      <c r="Q545" s="26"/>
      <c r="R545" s="17"/>
      <c r="S545" s="19"/>
      <c r="T545" s="17"/>
      <c r="U545" s="22"/>
    </row>
    <row r="546" spans="1:21" x14ac:dyDescent="0.25">
      <c r="A546" s="24"/>
      <c r="B546" s="24"/>
      <c r="C546" s="17"/>
      <c r="D546" s="24"/>
      <c r="E546" s="24"/>
      <c r="F546" s="25"/>
      <c r="G546" s="1">
        <v>275</v>
      </c>
      <c r="H546" s="2">
        <v>92.2</v>
      </c>
      <c r="I546" s="2">
        <v>-14</v>
      </c>
      <c r="J546" s="2">
        <v>-14.1</v>
      </c>
      <c r="K546" s="2">
        <f t="shared" si="73"/>
        <v>-14</v>
      </c>
      <c r="L546" s="8">
        <f t="shared" si="74"/>
        <v>2.3988329190194783E-11</v>
      </c>
      <c r="M546" s="26"/>
      <c r="N546" s="17"/>
      <c r="O546" s="9">
        <f t="shared" si="75"/>
        <v>-14.1</v>
      </c>
      <c r="P546" s="8">
        <f>D544/B544*10^(O546/10)</f>
        <v>0.49279051699275528</v>
      </c>
      <c r="Q546" s="26"/>
      <c r="R546" s="17"/>
      <c r="S546" s="19"/>
      <c r="T546" s="17"/>
      <c r="U546" s="22"/>
    </row>
    <row r="547" spans="1:21" x14ac:dyDescent="0.25">
      <c r="A547" s="24"/>
      <c r="B547" s="24"/>
      <c r="C547" s="17"/>
      <c r="D547" s="24"/>
      <c r="E547" s="24"/>
      <c r="F547" s="25"/>
      <c r="G547" s="1">
        <v>325</v>
      </c>
      <c r="H547" s="2">
        <v>93.3</v>
      </c>
      <c r="I547" s="2">
        <v>9.9</v>
      </c>
      <c r="J547" s="2">
        <v>9.1</v>
      </c>
      <c r="K547" s="2">
        <f t="shared" si="73"/>
        <v>9.9</v>
      </c>
      <c r="L547" s="8">
        <f>10^((K547-H547)/10)</f>
        <v>4.570881896148741E-9</v>
      </c>
      <c r="M547" s="26"/>
      <c r="N547" s="17"/>
      <c r="O547" s="9">
        <f t="shared" si="75"/>
        <v>9.1</v>
      </c>
      <c r="P547" s="8">
        <f>D544/B544*10^(O547/10)</f>
        <v>102.95853204745258</v>
      </c>
      <c r="Q547" s="26"/>
      <c r="R547" s="17"/>
      <c r="S547" s="20"/>
      <c r="T547" s="17"/>
      <c r="U547" s="23"/>
    </row>
    <row r="548" spans="1:21" x14ac:dyDescent="0.25">
      <c r="A548" s="24">
        <v>500</v>
      </c>
      <c r="B548" s="24">
        <v>3</v>
      </c>
      <c r="C548" s="17">
        <v>0.5</v>
      </c>
      <c r="D548" s="24">
        <v>59</v>
      </c>
      <c r="E548" s="24">
        <v>6</v>
      </c>
      <c r="F548" s="25">
        <v>84</v>
      </c>
      <c r="G548" s="1">
        <v>375</v>
      </c>
      <c r="H548" s="2">
        <v>91.9</v>
      </c>
      <c r="I548" s="2">
        <v>6.3</v>
      </c>
      <c r="J548" s="2">
        <v>6.3</v>
      </c>
      <c r="K548" s="2">
        <f t="shared" si="73"/>
        <v>6.3</v>
      </c>
      <c r="L548" s="8">
        <f t="shared" ref="L548:L549" si="76">10^((K548-H548)/10)</f>
        <v>2.7542287033381568E-9</v>
      </c>
      <c r="M548" s="26">
        <f>SUM(L548:L553)</f>
        <v>3.295599444249506E-9</v>
      </c>
      <c r="N548" s="17">
        <f>10*LOG10(M548/E548)</f>
        <v>-92.602168294348502</v>
      </c>
      <c r="O548" s="9">
        <f t="shared" si="75"/>
        <v>6.3</v>
      </c>
      <c r="P548" s="8">
        <f>D548/B548*10^(O548/10)</f>
        <v>83.89397203097991</v>
      </c>
      <c r="Q548" s="26">
        <f>SUM(P548:P553)</f>
        <v>110.82875309655216</v>
      </c>
      <c r="R548" s="17">
        <f>10*LOG10(Q548)</f>
        <v>20.44652447136038</v>
      </c>
      <c r="S548" s="18">
        <f>F548+N548-Kzt-H</f>
        <v>-8.6021682943485018</v>
      </c>
      <c r="T548" s="17">
        <v>0.5</v>
      </c>
      <c r="U548" s="21">
        <f>T548*10^((S548-R548)/10)</f>
        <v>6.2244463465849686E-4</v>
      </c>
    </row>
    <row r="549" spans="1:21" x14ac:dyDescent="0.25">
      <c r="A549" s="24"/>
      <c r="B549" s="24"/>
      <c r="C549" s="17"/>
      <c r="D549" s="24"/>
      <c r="E549" s="24"/>
      <c r="F549" s="25"/>
      <c r="G549" s="1">
        <v>425</v>
      </c>
      <c r="H549" s="2">
        <v>88.1</v>
      </c>
      <c r="I549" s="2">
        <v>-17.8</v>
      </c>
      <c r="J549" s="2">
        <v>-19.100000000000001</v>
      </c>
      <c r="K549" s="2">
        <f t="shared" si="73"/>
        <v>-17.8</v>
      </c>
      <c r="L549" s="8">
        <f t="shared" si="76"/>
        <v>2.5703957827688591E-11</v>
      </c>
      <c r="M549" s="26"/>
      <c r="N549" s="17"/>
      <c r="O549" s="9">
        <f t="shared" si="75"/>
        <v>-19.100000000000001</v>
      </c>
      <c r="P549" s="8">
        <f>D548/B548*10^(O549/10)</f>
        <v>0.24195285825976826</v>
      </c>
      <c r="Q549" s="26"/>
      <c r="R549" s="17"/>
      <c r="S549" s="19"/>
      <c r="T549" s="17"/>
      <c r="U549" s="22"/>
    </row>
    <row r="550" spans="1:21" x14ac:dyDescent="0.25">
      <c r="A550" s="24"/>
      <c r="B550" s="24"/>
      <c r="C550" s="17"/>
      <c r="D550" s="24"/>
      <c r="E550" s="24"/>
      <c r="F550" s="25"/>
      <c r="G550" s="1">
        <v>475</v>
      </c>
      <c r="H550" s="2">
        <v>90</v>
      </c>
      <c r="I550" s="2">
        <v>-13.6</v>
      </c>
      <c r="J550" s="2">
        <v>-20.100000000000001</v>
      </c>
      <c r="K550" s="2">
        <f t="shared" si="73"/>
        <v>-13.6</v>
      </c>
      <c r="L550" s="8">
        <f>10^((K550-H550)/10)</f>
        <v>4.3651583224016577E-11</v>
      </c>
      <c r="M550" s="26"/>
      <c r="N550" s="17"/>
      <c r="O550" s="9">
        <f t="shared" si="75"/>
        <v>-20.100000000000001</v>
      </c>
      <c r="P550" s="8">
        <f>D548/B548*10^(O550/10)</f>
        <v>0.19218998678797586</v>
      </c>
      <c r="Q550" s="26"/>
      <c r="R550" s="17"/>
      <c r="S550" s="19"/>
      <c r="T550" s="17"/>
      <c r="U550" s="22"/>
    </row>
    <row r="551" spans="1:21" x14ac:dyDescent="0.25">
      <c r="A551" s="24"/>
      <c r="B551" s="24"/>
      <c r="C551" s="17"/>
      <c r="D551" s="24"/>
      <c r="E551" s="24"/>
      <c r="F551" s="25"/>
      <c r="G551" s="1">
        <v>575</v>
      </c>
      <c r="H551" s="2">
        <v>97</v>
      </c>
      <c r="I551" s="2">
        <v>2.1</v>
      </c>
      <c r="J551" s="2">
        <v>0.6</v>
      </c>
      <c r="K551" s="2">
        <f t="shared" si="73"/>
        <v>2.1</v>
      </c>
      <c r="L551" s="8">
        <f t="shared" ref="L551:L577" si="77">10^((K551-H551)/10)</f>
        <v>3.2359365692962771E-10</v>
      </c>
      <c r="M551" s="26"/>
      <c r="N551" s="17"/>
      <c r="O551" s="9">
        <f t="shared" si="75"/>
        <v>0.6</v>
      </c>
      <c r="P551" s="8">
        <f>D548/B548*10^(O551/10)</f>
        <v>22.580354556105362</v>
      </c>
      <c r="Q551" s="26"/>
      <c r="R551" s="17"/>
      <c r="S551" s="19"/>
      <c r="T551" s="17"/>
      <c r="U551" s="22"/>
    </row>
    <row r="552" spans="1:21" x14ac:dyDescent="0.25">
      <c r="A552" s="24"/>
      <c r="B552" s="24"/>
      <c r="C552" s="17"/>
      <c r="D552" s="24"/>
      <c r="E552" s="24"/>
      <c r="F552" s="25"/>
      <c r="G552" s="1">
        <v>625</v>
      </c>
      <c r="H552" s="2">
        <v>92</v>
      </c>
      <c r="I552" s="2">
        <v>-6.8</v>
      </c>
      <c r="J552" s="2">
        <v>-7.7</v>
      </c>
      <c r="K552" s="2">
        <f t="shared" si="73"/>
        <v>-6.8</v>
      </c>
      <c r="L552" s="8">
        <f t="shared" si="77"/>
        <v>1.3182567385564051E-10</v>
      </c>
      <c r="M552" s="26"/>
      <c r="N552" s="17"/>
      <c r="O552" s="9">
        <f t="shared" si="75"/>
        <v>-7.7</v>
      </c>
      <c r="P552" s="8">
        <f>D548/B548*10^(O552/10)</f>
        <v>3.3398791831747636</v>
      </c>
      <c r="Q552" s="26"/>
      <c r="R552" s="17"/>
      <c r="S552" s="19"/>
      <c r="T552" s="17"/>
      <c r="U552" s="22"/>
    </row>
    <row r="553" spans="1:21" x14ac:dyDescent="0.25">
      <c r="A553" s="24"/>
      <c r="B553" s="24"/>
      <c r="C553" s="17"/>
      <c r="D553" s="24"/>
      <c r="E553" s="24"/>
      <c r="F553" s="25"/>
      <c r="G553" s="1">
        <v>675</v>
      </c>
      <c r="H553" s="2">
        <v>94.5</v>
      </c>
      <c r="I553" s="2">
        <v>-13.3</v>
      </c>
      <c r="J553" s="2">
        <v>-15.3</v>
      </c>
      <c r="K553" s="2">
        <f t="shared" si="73"/>
        <v>-13.3</v>
      </c>
      <c r="L553" s="8">
        <f t="shared" si="77"/>
        <v>1.6595869074375605E-11</v>
      </c>
      <c r="M553" s="26"/>
      <c r="N553" s="17"/>
      <c r="O553" s="9">
        <f t="shared" si="75"/>
        <v>-15.3</v>
      </c>
      <c r="P553" s="8">
        <f>D548/B548*10^(O553/10)</f>
        <v>0.58040448124438893</v>
      </c>
      <c r="Q553" s="26"/>
      <c r="R553" s="17"/>
      <c r="S553" s="20"/>
      <c r="T553" s="17"/>
      <c r="U553" s="23"/>
    </row>
    <row r="554" spans="1:21" x14ac:dyDescent="0.25">
      <c r="A554" s="24">
        <v>1000</v>
      </c>
      <c r="B554" s="24">
        <v>3</v>
      </c>
      <c r="C554" s="17">
        <v>0.5</v>
      </c>
      <c r="D554" s="24">
        <v>117</v>
      </c>
      <c r="E554" s="24">
        <v>6</v>
      </c>
      <c r="F554" s="25">
        <v>76</v>
      </c>
      <c r="G554" s="1">
        <v>875</v>
      </c>
      <c r="H554" s="2">
        <v>91.1</v>
      </c>
      <c r="I554" s="2">
        <v>-7.9</v>
      </c>
      <c r="J554" s="2">
        <v>-13.2</v>
      </c>
      <c r="K554" s="2">
        <f t="shared" si="73"/>
        <v>-7.9</v>
      </c>
      <c r="L554" s="8">
        <f t="shared" si="77"/>
        <v>1.2589254117941656E-10</v>
      </c>
      <c r="M554" s="26">
        <f>SUM(L554:L559)</f>
        <v>2.3190737855814152E-8</v>
      </c>
      <c r="N554" s="17">
        <f>10*LOG10(M554/E554)</f>
        <v>-84.128366836511901</v>
      </c>
      <c r="O554" s="9">
        <f t="shared" si="75"/>
        <v>-13.2</v>
      </c>
      <c r="P554" s="8">
        <f>D554/B554*10^(O554/10)</f>
        <v>1.8666573600582896</v>
      </c>
      <c r="Q554" s="26">
        <f>SUM(P554:P559)</f>
        <v>2284.8538225703819</v>
      </c>
      <c r="R554" s="17">
        <f>10*LOG10(Q554)</f>
        <v>33.588584205626439</v>
      </c>
      <c r="S554" s="18">
        <f>F554+N554-Kzt-H</f>
        <v>-8.1283668365119013</v>
      </c>
      <c r="T554" s="17">
        <v>0.8</v>
      </c>
      <c r="U554" s="21">
        <f>T554*10^((S554-R554)/10)</f>
        <v>5.3875942753250407E-5</v>
      </c>
    </row>
    <row r="555" spans="1:21" x14ac:dyDescent="0.25">
      <c r="A555" s="24"/>
      <c r="B555" s="24"/>
      <c r="C555" s="17"/>
      <c r="D555" s="24"/>
      <c r="E555" s="24"/>
      <c r="F555" s="25"/>
      <c r="G555" s="1">
        <v>975</v>
      </c>
      <c r="H555" s="2">
        <v>96.5</v>
      </c>
      <c r="I555" s="2">
        <v>-4.4000000000000004</v>
      </c>
      <c r="J555" s="2">
        <v>-7.3</v>
      </c>
      <c r="K555" s="2">
        <f t="shared" si="73"/>
        <v>-4.4000000000000004</v>
      </c>
      <c r="L555" s="8">
        <f t="shared" si="77"/>
        <v>8.1283051616409667E-11</v>
      </c>
      <c r="M555" s="26"/>
      <c r="N555" s="17"/>
      <c r="O555" s="9">
        <f t="shared" si="75"/>
        <v>-7.3</v>
      </c>
      <c r="P555" s="8">
        <f>D554/B554*10^(O555/10)</f>
        <v>7.2621398329851816</v>
      </c>
      <c r="Q555" s="26"/>
      <c r="R555" s="17"/>
      <c r="S555" s="19"/>
      <c r="T555" s="17"/>
      <c r="U555" s="22"/>
    </row>
    <row r="556" spans="1:21" x14ac:dyDescent="0.25">
      <c r="A556" s="24"/>
      <c r="B556" s="24"/>
      <c r="C556" s="17"/>
      <c r="D556" s="24"/>
      <c r="E556" s="24"/>
      <c r="F556" s="25"/>
      <c r="G556" s="1">
        <v>1075</v>
      </c>
      <c r="H556" s="2">
        <v>94.6</v>
      </c>
      <c r="I556" s="2">
        <v>18.099999999999998</v>
      </c>
      <c r="J556" s="2">
        <v>17.2</v>
      </c>
      <c r="K556" s="2">
        <f t="shared" si="73"/>
        <v>18.099999999999998</v>
      </c>
      <c r="L556" s="8">
        <f t="shared" si="77"/>
        <v>2.2387211385683365E-8</v>
      </c>
      <c r="M556" s="26"/>
      <c r="N556" s="17"/>
      <c r="O556" s="9">
        <f t="shared" si="75"/>
        <v>17.2</v>
      </c>
      <c r="P556" s="8">
        <f>D554/B554*10^(O556/10)</f>
        <v>2046.7490949741141</v>
      </c>
      <c r="Q556" s="26"/>
      <c r="R556" s="17"/>
      <c r="S556" s="19"/>
      <c r="T556" s="17"/>
      <c r="U556" s="22"/>
    </row>
    <row r="557" spans="1:21" x14ac:dyDescent="0.25">
      <c r="A557" s="24"/>
      <c r="B557" s="24"/>
      <c r="C557" s="17"/>
      <c r="D557" s="24"/>
      <c r="E557" s="24"/>
      <c r="F557" s="25"/>
      <c r="G557" s="1">
        <v>1175</v>
      </c>
      <c r="H557" s="2">
        <v>97.8</v>
      </c>
      <c r="I557" s="2">
        <v>-10.6</v>
      </c>
      <c r="J557" s="2">
        <v>-17.2</v>
      </c>
      <c r="K557" s="2">
        <f t="shared" si="73"/>
        <v>-10.6</v>
      </c>
      <c r="L557" s="8">
        <f t="shared" si="77"/>
        <v>1.4454397707459232E-11</v>
      </c>
      <c r="M557" s="26"/>
      <c r="N557" s="17"/>
      <c r="O557" s="9">
        <f t="shared" si="75"/>
        <v>-17.2</v>
      </c>
      <c r="P557" s="8">
        <f>D554/B554*10^(O557/10)</f>
        <v>0.74312968000566604</v>
      </c>
      <c r="Q557" s="26"/>
      <c r="R557" s="17"/>
      <c r="S557" s="19"/>
      <c r="T557" s="17"/>
      <c r="U557" s="22"/>
    </row>
    <row r="558" spans="1:21" x14ac:dyDescent="0.25">
      <c r="A558" s="24"/>
      <c r="B558" s="24"/>
      <c r="C558" s="17"/>
      <c r="D558" s="24"/>
      <c r="E558" s="24"/>
      <c r="F558" s="25"/>
      <c r="G558" s="1">
        <v>1275</v>
      </c>
      <c r="H558" s="2">
        <v>100.1</v>
      </c>
      <c r="I558" s="2">
        <v>7.7</v>
      </c>
      <c r="J558" s="2">
        <v>7.6</v>
      </c>
      <c r="K558" s="2">
        <f t="shared" si="73"/>
        <v>7.7</v>
      </c>
      <c r="L558" s="8">
        <f t="shared" si="77"/>
        <v>5.7543993733715865E-10</v>
      </c>
      <c r="M558" s="26"/>
      <c r="N558" s="17"/>
      <c r="O558" s="9">
        <f t="shared" si="75"/>
        <v>7.6</v>
      </c>
      <c r="P558" s="8">
        <f>D554/B554*10^(O558/10)</f>
        <v>224.42157556149127</v>
      </c>
      <c r="Q558" s="26"/>
      <c r="R558" s="17"/>
      <c r="S558" s="19"/>
      <c r="T558" s="17"/>
      <c r="U558" s="22"/>
    </row>
    <row r="559" spans="1:21" x14ac:dyDescent="0.25">
      <c r="A559" s="24"/>
      <c r="B559" s="24"/>
      <c r="C559" s="17"/>
      <c r="D559" s="24"/>
      <c r="E559" s="24"/>
      <c r="F559" s="25"/>
      <c r="G559" s="1">
        <v>1375</v>
      </c>
      <c r="H559" s="2">
        <v>103</v>
      </c>
      <c r="I559" s="2">
        <v>-8.9</v>
      </c>
      <c r="J559" s="2">
        <v>-10.1</v>
      </c>
      <c r="K559" s="2">
        <f t="shared" si="73"/>
        <v>-8.9</v>
      </c>
      <c r="L559" s="8">
        <f t="shared" si="77"/>
        <v>6.4565422903465118E-12</v>
      </c>
      <c r="M559" s="26"/>
      <c r="N559" s="17"/>
      <c r="O559" s="9">
        <f t="shared" si="75"/>
        <v>-10.1</v>
      </c>
      <c r="P559" s="8">
        <f>D554/B554*10^(O559/10)</f>
        <v>3.8112251617276613</v>
      </c>
      <c r="Q559" s="26"/>
      <c r="R559" s="17"/>
      <c r="S559" s="20"/>
      <c r="T559" s="17"/>
      <c r="U559" s="23"/>
    </row>
    <row r="560" spans="1:21" x14ac:dyDescent="0.25">
      <c r="A560" s="24">
        <v>2000</v>
      </c>
      <c r="B560" s="24">
        <v>3</v>
      </c>
      <c r="C560" s="17">
        <v>0.5</v>
      </c>
      <c r="D560" s="24">
        <v>234</v>
      </c>
      <c r="E560" s="24">
        <v>6</v>
      </c>
      <c r="F560" s="25">
        <v>68</v>
      </c>
      <c r="G560" s="1">
        <v>1425</v>
      </c>
      <c r="H560" s="2">
        <v>102.8</v>
      </c>
      <c r="I560" s="2">
        <v>-12.4</v>
      </c>
      <c r="J560" s="2">
        <v>-13.8</v>
      </c>
      <c r="K560" s="2">
        <f t="shared" si="73"/>
        <v>-12.4</v>
      </c>
      <c r="L560" s="8">
        <f t="shared" si="77"/>
        <v>3.0199517204020161E-12</v>
      </c>
      <c r="M560" s="26">
        <f>SUM(L560:L565)</f>
        <v>2.4220637374602699E-10</v>
      </c>
      <c r="N560" s="17">
        <f>10*LOG10(M560/E560)</f>
        <v>-103.9396568281399</v>
      </c>
      <c r="O560" s="9">
        <f t="shared" si="75"/>
        <v>-13.8</v>
      </c>
      <c r="P560" s="8">
        <f>D560/B560*10^(O560/10)</f>
        <v>3.2515811910686145</v>
      </c>
      <c r="Q560" s="26">
        <f>SUM(P560:P565)</f>
        <v>60.188119125567098</v>
      </c>
      <c r="R560" s="17">
        <f>10*LOG10(Q560)</f>
        <v>17.795107718652364</v>
      </c>
      <c r="S560" s="18">
        <f>F560+N560-Kzt-H</f>
        <v>-35.939656828139903</v>
      </c>
      <c r="T560" s="17">
        <v>1</v>
      </c>
      <c r="U560" s="21">
        <f>T560*10^((S560-R560)/10)</f>
        <v>4.2317845175874465E-6</v>
      </c>
    </row>
    <row r="561" spans="1:21" x14ac:dyDescent="0.25">
      <c r="A561" s="24"/>
      <c r="B561" s="24"/>
      <c r="C561" s="17"/>
      <c r="D561" s="24"/>
      <c r="E561" s="24"/>
      <c r="F561" s="25"/>
      <c r="G561" s="1">
        <v>1625</v>
      </c>
      <c r="H561" s="2">
        <v>104.1</v>
      </c>
      <c r="I561" s="2">
        <v>-7.8</v>
      </c>
      <c r="J561" s="2">
        <v>-11.4</v>
      </c>
      <c r="K561" s="2">
        <f t="shared" si="73"/>
        <v>-7.8</v>
      </c>
      <c r="L561" s="8">
        <f t="shared" si="77"/>
        <v>6.4565422903465579E-12</v>
      </c>
      <c r="M561" s="26"/>
      <c r="N561" s="17"/>
      <c r="O561" s="9">
        <f t="shared" si="75"/>
        <v>-11.4</v>
      </c>
      <c r="P561" s="8">
        <f>D560/B560*10^(O561/10)</f>
        <v>5.650600488584919</v>
      </c>
      <c r="Q561" s="26"/>
      <c r="R561" s="17"/>
      <c r="S561" s="19"/>
      <c r="T561" s="17"/>
      <c r="U561" s="22"/>
    </row>
    <row r="562" spans="1:21" x14ac:dyDescent="0.25">
      <c r="A562" s="24"/>
      <c r="B562" s="24"/>
      <c r="C562" s="17"/>
      <c r="D562" s="24"/>
      <c r="E562" s="24"/>
      <c r="F562" s="25"/>
      <c r="G562" s="1">
        <v>1825</v>
      </c>
      <c r="H562" s="2">
        <v>107.6</v>
      </c>
      <c r="I562" s="2">
        <v>-10.7</v>
      </c>
      <c r="J562" s="2">
        <v>-14.2</v>
      </c>
      <c r="K562" s="2">
        <f t="shared" si="73"/>
        <v>-10.7</v>
      </c>
      <c r="L562" s="8">
        <f t="shared" si="77"/>
        <v>1.4791083881682012E-12</v>
      </c>
      <c r="M562" s="26"/>
      <c r="N562" s="17"/>
      <c r="O562" s="9">
        <f t="shared" si="75"/>
        <v>-14.2</v>
      </c>
      <c r="P562" s="8">
        <f>D560/B560*10^(O562/10)</f>
        <v>2.9654772913003766</v>
      </c>
      <c r="Q562" s="26"/>
      <c r="R562" s="17"/>
      <c r="S562" s="19"/>
      <c r="T562" s="17"/>
      <c r="U562" s="22"/>
    </row>
    <row r="563" spans="1:21" x14ac:dyDescent="0.25">
      <c r="A563" s="24"/>
      <c r="B563" s="24"/>
      <c r="C563" s="17"/>
      <c r="D563" s="24"/>
      <c r="E563" s="24"/>
      <c r="F563" s="25"/>
      <c r="G563" s="1">
        <v>2125</v>
      </c>
      <c r="H563" s="2">
        <v>104.2</v>
      </c>
      <c r="I563" s="2">
        <v>-3.8</v>
      </c>
      <c r="J563" s="2">
        <v>-7</v>
      </c>
      <c r="K563" s="2">
        <f t="shared" si="73"/>
        <v>-3.8</v>
      </c>
      <c r="L563" s="8">
        <f t="shared" si="77"/>
        <v>1.5848931924611082E-11</v>
      </c>
      <c r="M563" s="26"/>
      <c r="N563" s="17"/>
      <c r="O563" s="9">
        <f t="shared" si="75"/>
        <v>-7</v>
      </c>
      <c r="P563" s="8">
        <f>D560/B560*10^(O563/10)</f>
        <v>15.56304605675726</v>
      </c>
      <c r="Q563" s="26"/>
      <c r="R563" s="17"/>
      <c r="S563" s="19"/>
      <c r="T563" s="17"/>
      <c r="U563" s="22"/>
    </row>
    <row r="564" spans="1:21" x14ac:dyDescent="0.25">
      <c r="A564" s="24"/>
      <c r="B564" s="24"/>
      <c r="C564" s="17"/>
      <c r="D564" s="24"/>
      <c r="E564" s="24"/>
      <c r="F564" s="25"/>
      <c r="G564" s="1">
        <v>2425</v>
      </c>
      <c r="H564" s="2">
        <v>93.7</v>
      </c>
      <c r="I564" s="2">
        <v>-3.4</v>
      </c>
      <c r="J564" s="2">
        <v>-5.6</v>
      </c>
      <c r="K564" s="2">
        <f t="shared" si="73"/>
        <v>-3.4</v>
      </c>
      <c r="L564" s="8">
        <f t="shared" si="77"/>
        <v>1.949844599758039E-10</v>
      </c>
      <c r="M564" s="26"/>
      <c r="N564" s="17"/>
      <c r="O564" s="9">
        <f t="shared" si="75"/>
        <v>-5.6</v>
      </c>
      <c r="P564" s="8">
        <f>D560/B560*10^(O564/10)</f>
        <v>21.482983886037697</v>
      </c>
      <c r="Q564" s="26"/>
      <c r="R564" s="17"/>
      <c r="S564" s="19"/>
      <c r="T564" s="17"/>
      <c r="U564" s="22"/>
    </row>
    <row r="565" spans="1:21" x14ac:dyDescent="0.25">
      <c r="A565" s="24"/>
      <c r="B565" s="24"/>
      <c r="C565" s="17"/>
      <c r="D565" s="24"/>
      <c r="E565" s="24"/>
      <c r="F565" s="25"/>
      <c r="G565" s="1">
        <v>2775</v>
      </c>
      <c r="H565" s="2">
        <v>100.2</v>
      </c>
      <c r="I565" s="2">
        <v>-6.7</v>
      </c>
      <c r="J565" s="2">
        <v>-8.4</v>
      </c>
      <c r="K565" s="2">
        <f t="shared" si="73"/>
        <v>-6.7</v>
      </c>
      <c r="L565" s="8">
        <f t="shared" si="77"/>
        <v>2.04173794466952E-11</v>
      </c>
      <c r="M565" s="26"/>
      <c r="N565" s="17"/>
      <c r="O565" s="9">
        <f t="shared" si="75"/>
        <v>-8.4</v>
      </c>
      <c r="P565" s="8">
        <f>D560/B560*10^(O565/10)</f>
        <v>11.274430211818229</v>
      </c>
      <c r="Q565" s="26"/>
      <c r="R565" s="17"/>
      <c r="S565" s="20"/>
      <c r="T565" s="17"/>
      <c r="U565" s="23"/>
    </row>
    <row r="566" spans="1:21" x14ac:dyDescent="0.25">
      <c r="A566" s="24">
        <v>4000</v>
      </c>
      <c r="B566" s="24">
        <v>3</v>
      </c>
      <c r="C566" s="17">
        <v>0.5</v>
      </c>
      <c r="D566" s="24">
        <v>470</v>
      </c>
      <c r="E566" s="24">
        <v>6</v>
      </c>
      <c r="F566" s="25">
        <v>62</v>
      </c>
      <c r="G566" s="1">
        <v>2825</v>
      </c>
      <c r="H566" s="2">
        <v>99.4</v>
      </c>
      <c r="I566" s="2">
        <v>-2.1</v>
      </c>
      <c r="J566" s="2">
        <v>-8.4</v>
      </c>
      <c r="K566" s="2">
        <f t="shared" si="73"/>
        <v>-2.1</v>
      </c>
      <c r="L566" s="8">
        <f t="shared" si="77"/>
        <v>7.079457843841361E-11</v>
      </c>
      <c r="M566" s="26">
        <f>SUM(L566:L571)</f>
        <v>2.8301732190542075E-10</v>
      </c>
      <c r="N566" s="17">
        <f>10*LOG10(M566/E566)</f>
        <v>-103.26338233312637</v>
      </c>
      <c r="O566" s="9">
        <f t="shared" si="75"/>
        <v>-8.4</v>
      </c>
      <c r="P566" s="8">
        <f>D566/B566*10^(O566/10)</f>
        <v>22.645223075019519</v>
      </c>
      <c r="Q566" s="26">
        <f>SUM(P566:P571)</f>
        <v>338.82179635611976</v>
      </c>
      <c r="R566" s="17">
        <f>10*LOG10(Q566)</f>
        <v>25.299713406572156</v>
      </c>
      <c r="S566" s="18">
        <f>F566+N566-Kzt-H</f>
        <v>-41.263382333126373</v>
      </c>
      <c r="T566" s="17">
        <v>0.9</v>
      </c>
      <c r="U566" s="21">
        <f>T566*10^((S566-R566)/10)</f>
        <v>1.9857882447076531E-7</v>
      </c>
    </row>
    <row r="567" spans="1:21" x14ac:dyDescent="0.25">
      <c r="A567" s="24"/>
      <c r="B567" s="24"/>
      <c r="C567" s="17"/>
      <c r="D567" s="24"/>
      <c r="E567" s="24"/>
      <c r="F567" s="25"/>
      <c r="G567" s="1">
        <v>3425</v>
      </c>
      <c r="H567" s="2">
        <v>103.5</v>
      </c>
      <c r="I567" s="2">
        <v>-0.5</v>
      </c>
      <c r="J567" s="2">
        <v>-12.8</v>
      </c>
      <c r="K567" s="2">
        <f t="shared" si="73"/>
        <v>-0.5</v>
      </c>
      <c r="L567" s="8">
        <f t="shared" si="77"/>
        <v>3.9810717055349579E-11</v>
      </c>
      <c r="M567" s="26"/>
      <c r="N567" s="17"/>
      <c r="O567" s="9">
        <f t="shared" si="75"/>
        <v>-12.8</v>
      </c>
      <c r="P567" s="8">
        <f>D566/B566*10^(O567/10)</f>
        <v>8.221983543913101</v>
      </c>
      <c r="Q567" s="26"/>
      <c r="R567" s="17"/>
      <c r="S567" s="19"/>
      <c r="T567" s="17"/>
      <c r="U567" s="22"/>
    </row>
    <row r="568" spans="1:21" x14ac:dyDescent="0.25">
      <c r="A568" s="24"/>
      <c r="B568" s="24"/>
      <c r="C568" s="17"/>
      <c r="D568" s="24"/>
      <c r="E568" s="24"/>
      <c r="F568" s="25"/>
      <c r="G568" s="1">
        <v>4025</v>
      </c>
      <c r="H568" s="2">
        <v>103.6</v>
      </c>
      <c r="I568" s="2">
        <v>-1.1000000000000001</v>
      </c>
      <c r="J568" s="2">
        <v>-5.6</v>
      </c>
      <c r="K568" s="2">
        <f t="shared" si="73"/>
        <v>-1.1000000000000001</v>
      </c>
      <c r="L568" s="8">
        <f t="shared" si="77"/>
        <v>3.3884415613920273E-11</v>
      </c>
      <c r="M568" s="26"/>
      <c r="N568" s="17"/>
      <c r="O568" s="9">
        <f t="shared" si="75"/>
        <v>-5.6</v>
      </c>
      <c r="P568" s="8">
        <f>D566/B566*10^(O568/10)</f>
        <v>43.149583018964606</v>
      </c>
      <c r="Q568" s="26"/>
      <c r="R568" s="17"/>
      <c r="S568" s="19"/>
      <c r="T568" s="17"/>
      <c r="U568" s="22"/>
    </row>
    <row r="569" spans="1:21" x14ac:dyDescent="0.25">
      <c r="A569" s="24"/>
      <c r="B569" s="24"/>
      <c r="C569" s="17"/>
      <c r="D569" s="24"/>
      <c r="E569" s="24"/>
      <c r="F569" s="25"/>
      <c r="G569" s="1">
        <v>4625</v>
      </c>
      <c r="H569" s="2">
        <v>105.6</v>
      </c>
      <c r="I569" s="2">
        <v>-3.5</v>
      </c>
      <c r="J569" s="2">
        <v>-10</v>
      </c>
      <c r="K569" s="2">
        <f t="shared" si="73"/>
        <v>-3.5</v>
      </c>
      <c r="L569" s="8">
        <f t="shared" si="77"/>
        <v>1.2302687708123787E-11</v>
      </c>
      <c r="M569" s="26"/>
      <c r="N569" s="17"/>
      <c r="O569" s="9">
        <f t="shared" si="75"/>
        <v>-10</v>
      </c>
      <c r="P569" s="8">
        <f>D566/B566*10^(O569/10)</f>
        <v>15.666666666666666</v>
      </c>
      <c r="Q569" s="26"/>
      <c r="R569" s="17"/>
      <c r="S569" s="19"/>
      <c r="T569" s="17"/>
      <c r="U569" s="22"/>
    </row>
    <row r="570" spans="1:21" x14ac:dyDescent="0.25">
      <c r="A570" s="24"/>
      <c r="B570" s="24"/>
      <c r="C570" s="17"/>
      <c r="D570" s="24"/>
      <c r="E570" s="24"/>
      <c r="F570" s="25"/>
      <c r="G570" s="1">
        <v>5225</v>
      </c>
      <c r="H570" s="2">
        <v>103.5</v>
      </c>
      <c r="I570" s="2">
        <v>1.4</v>
      </c>
      <c r="J570" s="2">
        <v>1.1000000000000001</v>
      </c>
      <c r="K570" s="2">
        <f t="shared" si="73"/>
        <v>1.4</v>
      </c>
      <c r="L570" s="8">
        <f t="shared" si="77"/>
        <v>6.1659500186148317E-11</v>
      </c>
      <c r="M570" s="26"/>
      <c r="N570" s="17"/>
      <c r="O570" s="9">
        <f t="shared" si="75"/>
        <v>1.1000000000000001</v>
      </c>
      <c r="P570" s="8">
        <f>D566/B566*10^(O570/10)</f>
        <v>201.82576309859098</v>
      </c>
      <c r="Q570" s="26"/>
      <c r="R570" s="17"/>
      <c r="S570" s="19"/>
      <c r="T570" s="17"/>
      <c r="U570" s="22"/>
    </row>
    <row r="571" spans="1:21" x14ac:dyDescent="0.25">
      <c r="A571" s="24"/>
      <c r="B571" s="24"/>
      <c r="C571" s="17"/>
      <c r="D571" s="24"/>
      <c r="E571" s="24"/>
      <c r="F571" s="25"/>
      <c r="G571" s="1">
        <v>5625</v>
      </c>
      <c r="H571" s="2">
        <v>99.5</v>
      </c>
      <c r="I571" s="2">
        <v>-2.4</v>
      </c>
      <c r="J571" s="2">
        <v>-5.2</v>
      </c>
      <c r="K571" s="2">
        <f t="shared" si="73"/>
        <v>-2.4</v>
      </c>
      <c r="L571" s="8">
        <f t="shared" si="77"/>
        <v>6.4565422903465183E-11</v>
      </c>
      <c r="M571" s="26"/>
      <c r="N571" s="17"/>
      <c r="O571" s="9">
        <f t="shared" si="75"/>
        <v>-5.2</v>
      </c>
      <c r="P571" s="8">
        <f>D566/B566*10^(O571/10)</f>
        <v>47.312576952964903</v>
      </c>
      <c r="Q571" s="26"/>
      <c r="R571" s="17"/>
      <c r="S571" s="20"/>
      <c r="T571" s="17"/>
      <c r="U571" s="23"/>
    </row>
    <row r="572" spans="1:21" x14ac:dyDescent="0.25">
      <c r="A572" s="24">
        <v>8000</v>
      </c>
      <c r="B572" s="24">
        <v>3</v>
      </c>
      <c r="C572" s="17">
        <v>0.5</v>
      </c>
      <c r="D572" s="24">
        <v>943</v>
      </c>
      <c r="E572" s="24">
        <v>6</v>
      </c>
      <c r="F572" s="25">
        <v>54</v>
      </c>
      <c r="G572" s="1">
        <v>6025</v>
      </c>
      <c r="H572" s="2">
        <v>95</v>
      </c>
      <c r="I572" s="2">
        <v>-2.6999999999999997</v>
      </c>
      <c r="J572" s="2">
        <v>-3.3</v>
      </c>
      <c r="K572" s="2">
        <f t="shared" si="73"/>
        <v>-2.6999999999999997</v>
      </c>
      <c r="L572" s="8">
        <f t="shared" si="77"/>
        <v>1.6982436524617399E-10</v>
      </c>
      <c r="M572" s="26">
        <f>SUM(L572:L577)</f>
        <v>3.33122471625384E-8</v>
      </c>
      <c r="N572" s="17">
        <f>10*LOG10(M572/E572)</f>
        <v>-82.55547320263085</v>
      </c>
      <c r="O572" s="9">
        <f t="shared" si="75"/>
        <v>-3.3</v>
      </c>
      <c r="P572" s="8">
        <f>D572/B572*10^(O572/10)</f>
        <v>147.02474607794261</v>
      </c>
      <c r="Q572" s="26">
        <f>SUM(P572:P577)</f>
        <v>20290.579397127021</v>
      </c>
      <c r="R572" s="17">
        <f>10*LOG10(Q572)</f>
        <v>43.072944484814698</v>
      </c>
      <c r="S572" s="18">
        <f>F572+N572-Kzt-H</f>
        <v>-28.55547320263085</v>
      </c>
      <c r="T572" s="17">
        <v>0.7</v>
      </c>
      <c r="U572" s="21">
        <f>T572*10^((S572-R572)/10)</f>
        <v>4.811231689434911E-8</v>
      </c>
    </row>
    <row r="573" spans="1:21" x14ac:dyDescent="0.25">
      <c r="A573" s="24"/>
      <c r="B573" s="24"/>
      <c r="C573" s="17"/>
      <c r="D573" s="24"/>
      <c r="E573" s="24"/>
      <c r="F573" s="25"/>
      <c r="G573" s="1">
        <v>7025</v>
      </c>
      <c r="H573" s="2">
        <v>94.8</v>
      </c>
      <c r="I573" s="2">
        <v>7.6999999999999993</v>
      </c>
      <c r="J573" s="2">
        <v>5.8</v>
      </c>
      <c r="K573" s="2">
        <f t="shared" si="73"/>
        <v>7.6999999999999993</v>
      </c>
      <c r="L573" s="8">
        <f t="shared" si="77"/>
        <v>1.9498445997580482E-9</v>
      </c>
      <c r="M573" s="26"/>
      <c r="N573" s="17"/>
      <c r="O573" s="9">
        <f t="shared" si="75"/>
        <v>5.8</v>
      </c>
      <c r="P573" s="8">
        <f>D572/B572*10^(O573/10)</f>
        <v>1195.0620024342973</v>
      </c>
      <c r="Q573" s="26"/>
      <c r="R573" s="17"/>
      <c r="S573" s="19"/>
      <c r="T573" s="17"/>
      <c r="U573" s="22"/>
    </row>
    <row r="574" spans="1:21" x14ac:dyDescent="0.25">
      <c r="A574" s="24"/>
      <c r="B574" s="24"/>
      <c r="C574" s="17"/>
      <c r="D574" s="24"/>
      <c r="E574" s="24"/>
      <c r="F574" s="25"/>
      <c r="G574" s="1">
        <v>8025</v>
      </c>
      <c r="H574" s="2">
        <v>101.9</v>
      </c>
      <c r="I574" s="2">
        <v>-7.3</v>
      </c>
      <c r="J574" s="2">
        <v>-9.8000000000000007</v>
      </c>
      <c r="K574" s="2">
        <f t="shared" si="73"/>
        <v>-7.3</v>
      </c>
      <c r="L574" s="8">
        <f t="shared" si="77"/>
        <v>1.2022644346174101E-11</v>
      </c>
      <c r="M574" s="26"/>
      <c r="N574" s="17"/>
      <c r="O574" s="9">
        <f t="shared" si="75"/>
        <v>-9.8000000000000007</v>
      </c>
      <c r="P574" s="8">
        <f>D572/B572*10^(O574/10)</f>
        <v>32.914740693733258</v>
      </c>
      <c r="Q574" s="26"/>
      <c r="R574" s="17"/>
      <c r="S574" s="19"/>
      <c r="T574" s="17"/>
      <c r="U574" s="22"/>
    </row>
    <row r="575" spans="1:21" x14ac:dyDescent="0.25">
      <c r="A575" s="24"/>
      <c r="B575" s="24"/>
      <c r="C575" s="17"/>
      <c r="D575" s="24"/>
      <c r="E575" s="24"/>
      <c r="F575" s="25"/>
      <c r="G575" s="1">
        <v>9025</v>
      </c>
      <c r="H575" s="2">
        <v>93.2</v>
      </c>
      <c r="I575" s="2">
        <v>17.7</v>
      </c>
      <c r="J575" s="2">
        <v>17.7</v>
      </c>
      <c r="K575" s="2">
        <f t="shared" si="73"/>
        <v>17.7</v>
      </c>
      <c r="L575" s="8">
        <f t="shared" si="77"/>
        <v>2.8183829312644468E-8</v>
      </c>
      <c r="M575" s="26"/>
      <c r="N575" s="17"/>
      <c r="O575" s="9">
        <f t="shared" si="75"/>
        <v>17.7</v>
      </c>
      <c r="P575" s="8">
        <f>D572/B572*10^(O575/10)</f>
        <v>18509.318900010694</v>
      </c>
      <c r="Q575" s="26"/>
      <c r="R575" s="17"/>
      <c r="S575" s="19"/>
      <c r="T575" s="17"/>
      <c r="U575" s="22"/>
    </row>
    <row r="576" spans="1:21" x14ac:dyDescent="0.25">
      <c r="A576" s="24"/>
      <c r="B576" s="24"/>
      <c r="C576" s="17"/>
      <c r="D576" s="24"/>
      <c r="E576" s="24"/>
      <c r="F576" s="25"/>
      <c r="G576" s="1">
        <v>10025</v>
      </c>
      <c r="H576" s="2">
        <v>88.3</v>
      </c>
      <c r="I576" s="2">
        <v>0.7</v>
      </c>
      <c r="J576" s="2">
        <v>0.1</v>
      </c>
      <c r="K576" s="2">
        <f t="shared" si="73"/>
        <v>0.7</v>
      </c>
      <c r="L576" s="8">
        <f t="shared" si="77"/>
        <v>1.7378008287493727E-9</v>
      </c>
      <c r="M576" s="26"/>
      <c r="N576" s="17"/>
      <c r="O576" s="9">
        <f t="shared" si="75"/>
        <v>0.1</v>
      </c>
      <c r="P576" s="8">
        <f>D572/B572*10^(O576/10)</f>
        <v>321.65509724025037</v>
      </c>
      <c r="Q576" s="26"/>
      <c r="R576" s="17"/>
      <c r="S576" s="19"/>
      <c r="T576" s="17"/>
      <c r="U576" s="22"/>
    </row>
    <row r="577" spans="1:21" x14ac:dyDescent="0.25">
      <c r="A577" s="24"/>
      <c r="B577" s="24"/>
      <c r="C577" s="17"/>
      <c r="D577" s="24"/>
      <c r="E577" s="24"/>
      <c r="F577" s="25"/>
      <c r="G577" s="1">
        <v>11025</v>
      </c>
      <c r="H577" s="2">
        <v>86</v>
      </c>
      <c r="I577" s="2">
        <v>-3</v>
      </c>
      <c r="J577" s="2">
        <v>-5.7</v>
      </c>
      <c r="K577" s="2">
        <f t="shared" si="73"/>
        <v>-3</v>
      </c>
      <c r="L577" s="8">
        <f t="shared" si="77"/>
        <v>1.2589254117941623E-9</v>
      </c>
      <c r="M577" s="26"/>
      <c r="N577" s="17"/>
      <c r="O577" s="9">
        <f t="shared" si="75"/>
        <v>-5.7</v>
      </c>
      <c r="P577" s="8">
        <f>D572/B572*10^(O577/10)</f>
        <v>84.603910670102692</v>
      </c>
      <c r="Q577" s="26"/>
      <c r="R577" s="17"/>
      <c r="S577" s="20"/>
      <c r="T577" s="17"/>
      <c r="U577" s="23"/>
    </row>
    <row r="578" spans="1:21" x14ac:dyDescent="0.25">
      <c r="A578" s="24" t="s">
        <v>20</v>
      </c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12">
        <f>U578</f>
        <v>2.8829601878224712E-2</v>
      </c>
      <c r="T578" s="2"/>
      <c r="U578" s="8">
        <f>0.8*SQRT(SUM(U544:U577))</f>
        <v>2.8829601878224712E-2</v>
      </c>
    </row>
    <row r="579" spans="1:21" x14ac:dyDescent="0.25">
      <c r="A579" s="27" t="s">
        <v>88</v>
      </c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9"/>
    </row>
    <row r="580" spans="1:21" x14ac:dyDescent="0.25">
      <c r="A580" s="24">
        <v>250</v>
      </c>
      <c r="B580" s="24">
        <v>3</v>
      </c>
      <c r="C580" s="17">
        <v>0.5</v>
      </c>
      <c r="D580" s="24">
        <v>38</v>
      </c>
      <c r="E580" s="24">
        <v>4</v>
      </c>
      <c r="F580" s="25">
        <v>84</v>
      </c>
      <c r="G580" s="1">
        <v>175</v>
      </c>
      <c r="H580" s="2">
        <v>84.8</v>
      </c>
      <c r="I580" s="2">
        <v>-8.9</v>
      </c>
      <c r="J580" s="2">
        <v>-11.4</v>
      </c>
      <c r="K580" s="2">
        <f>I580</f>
        <v>-8.9</v>
      </c>
      <c r="L580" s="8">
        <f>10^((K580-H580)/10)</f>
        <v>4.2657951880159145E-10</v>
      </c>
      <c r="M580" s="26">
        <f>SUM(L580:L583)</f>
        <v>7.3942645201626696E-9</v>
      </c>
      <c r="N580" s="17">
        <f>10*LOG10(M580/E580)</f>
        <v>-87.331650084946958</v>
      </c>
      <c r="O580" s="9">
        <f>J580</f>
        <v>-11.4</v>
      </c>
      <c r="P580" s="8">
        <f>D580/B580*10^(O580/10)</f>
        <v>0.91761888276165349</v>
      </c>
      <c r="Q580" s="26">
        <f>SUM(P580:P583)</f>
        <v>169.15591727229022</v>
      </c>
      <c r="R580" s="17">
        <f>10*LOG10(Q580)</f>
        <v>22.282871945198316</v>
      </c>
      <c r="S580" s="18">
        <f>F580+N580-Kzt-H</f>
        <v>-3.3316500849469577</v>
      </c>
      <c r="T580" s="17">
        <v>0.2</v>
      </c>
      <c r="U580" s="21">
        <f>T580*10^((S580-R580)/10)</f>
        <v>5.4900688721670559E-4</v>
      </c>
    </row>
    <row r="581" spans="1:21" x14ac:dyDescent="0.25">
      <c r="A581" s="24"/>
      <c r="B581" s="24"/>
      <c r="C581" s="17"/>
      <c r="D581" s="24"/>
      <c r="E581" s="24"/>
      <c r="F581" s="25"/>
      <c r="G581" s="1">
        <v>225</v>
      </c>
      <c r="H581" s="2">
        <v>90</v>
      </c>
      <c r="I581" s="2">
        <v>-5.8</v>
      </c>
      <c r="J581" s="2">
        <v>-14.4</v>
      </c>
      <c r="K581" s="2">
        <f t="shared" ref="K581:K613" si="78">I581</f>
        <v>-5.8</v>
      </c>
      <c r="L581" s="8">
        <f t="shared" ref="L581:L582" si="79">10^((K581-H581)/10)</f>
        <v>2.6302679918953798E-10</v>
      </c>
      <c r="M581" s="26"/>
      <c r="N581" s="17"/>
      <c r="O581" s="9">
        <f t="shared" ref="O581:O613" si="80">J581</f>
        <v>-14.4</v>
      </c>
      <c r="P581" s="8">
        <f>D580/B580*10^(O581/10)</f>
        <v>0.45989886937546165</v>
      </c>
      <c r="Q581" s="26"/>
      <c r="R581" s="17"/>
      <c r="S581" s="19"/>
      <c r="T581" s="17"/>
      <c r="U581" s="22"/>
    </row>
    <row r="582" spans="1:21" x14ac:dyDescent="0.25">
      <c r="A582" s="24"/>
      <c r="B582" s="24"/>
      <c r="C582" s="17"/>
      <c r="D582" s="24"/>
      <c r="E582" s="24"/>
      <c r="F582" s="25"/>
      <c r="G582" s="1">
        <v>275</v>
      </c>
      <c r="H582" s="2">
        <v>92.2</v>
      </c>
      <c r="I582" s="2">
        <v>-7.9</v>
      </c>
      <c r="J582" s="2">
        <v>-12</v>
      </c>
      <c r="K582" s="2">
        <f t="shared" si="78"/>
        <v>-7.9</v>
      </c>
      <c r="L582" s="8">
        <f t="shared" si="79"/>
        <v>9.7723722095580348E-11</v>
      </c>
      <c r="M582" s="26"/>
      <c r="N582" s="17"/>
      <c r="O582" s="9">
        <f t="shared" si="80"/>
        <v>-12</v>
      </c>
      <c r="P582" s="8">
        <f>D580/B580*10^(O582/10)</f>
        <v>0.79921263634157802</v>
      </c>
      <c r="Q582" s="26"/>
      <c r="R582" s="17"/>
      <c r="S582" s="19"/>
      <c r="T582" s="17"/>
      <c r="U582" s="22"/>
    </row>
    <row r="583" spans="1:21" x14ac:dyDescent="0.25">
      <c r="A583" s="24"/>
      <c r="B583" s="24"/>
      <c r="C583" s="17"/>
      <c r="D583" s="24"/>
      <c r="E583" s="24"/>
      <c r="F583" s="25"/>
      <c r="G583" s="1">
        <v>325</v>
      </c>
      <c r="H583" s="2">
        <v>93.3</v>
      </c>
      <c r="I583" s="2">
        <v>11.5</v>
      </c>
      <c r="J583" s="2">
        <v>11.2</v>
      </c>
      <c r="K583" s="2">
        <f t="shared" si="78"/>
        <v>11.5</v>
      </c>
      <c r="L583" s="8">
        <f>10^((K583-H583)/10)</f>
        <v>6.6069344800759602E-9</v>
      </c>
      <c r="M583" s="26"/>
      <c r="N583" s="17"/>
      <c r="O583" s="9">
        <f t="shared" si="80"/>
        <v>11.2</v>
      </c>
      <c r="P583" s="8">
        <f>D580/B580*10^(O583/10)</f>
        <v>166.97918688381154</v>
      </c>
      <c r="Q583" s="26"/>
      <c r="R583" s="17"/>
      <c r="S583" s="20"/>
      <c r="T583" s="17"/>
      <c r="U583" s="23"/>
    </row>
    <row r="584" spans="1:21" x14ac:dyDescent="0.25">
      <c r="A584" s="24">
        <v>500</v>
      </c>
      <c r="B584" s="24">
        <v>3</v>
      </c>
      <c r="C584" s="17">
        <v>0.5</v>
      </c>
      <c r="D584" s="24">
        <v>59</v>
      </c>
      <c r="E584" s="24">
        <v>6</v>
      </c>
      <c r="F584" s="25">
        <v>84</v>
      </c>
      <c r="G584" s="1">
        <v>375</v>
      </c>
      <c r="H584" s="2">
        <v>91.9</v>
      </c>
      <c r="I584" s="2">
        <v>9.1999999999999993</v>
      </c>
      <c r="J584" s="2">
        <v>8.3000000000000007</v>
      </c>
      <c r="K584" s="2">
        <f t="shared" si="78"/>
        <v>9.1999999999999993</v>
      </c>
      <c r="L584" s="8">
        <f t="shared" ref="L584:L585" si="81">10^((K584-H584)/10)</f>
        <v>5.3703179637025321E-9</v>
      </c>
      <c r="M584" s="26">
        <f>SUM(L584:L589)</f>
        <v>6.3219574317274967E-9</v>
      </c>
      <c r="N584" s="17">
        <f>10*LOG10(M584/E584)</f>
        <v>-89.772996831489991</v>
      </c>
      <c r="O584" s="9">
        <f t="shared" si="80"/>
        <v>8.3000000000000007</v>
      </c>
      <c r="P584" s="8">
        <f>D584/B584*10^(O584/10)</f>
        <v>132.96298516042313</v>
      </c>
      <c r="Q584" s="26">
        <f>SUM(P584:P589)</f>
        <v>173.18124145892219</v>
      </c>
      <c r="R584" s="17">
        <f>10*LOG10(Q584)</f>
        <v>22.385008485815643</v>
      </c>
      <c r="S584" s="18">
        <f>F584+N584-Kzt-H</f>
        <v>-5.7729968314899907</v>
      </c>
      <c r="T584" s="17">
        <v>0.5</v>
      </c>
      <c r="U584" s="21">
        <f>T584*10^((S584-R584)/10)</f>
        <v>7.6413390963324661E-4</v>
      </c>
    </row>
    <row r="585" spans="1:21" x14ac:dyDescent="0.25">
      <c r="A585" s="24"/>
      <c r="B585" s="24"/>
      <c r="C585" s="17"/>
      <c r="D585" s="24"/>
      <c r="E585" s="24"/>
      <c r="F585" s="25"/>
      <c r="G585" s="1">
        <v>425</v>
      </c>
      <c r="H585" s="2">
        <v>88.1</v>
      </c>
      <c r="I585" s="2">
        <v>-11</v>
      </c>
      <c r="J585" s="2">
        <v>-14.5</v>
      </c>
      <c r="K585" s="2">
        <f t="shared" si="78"/>
        <v>-11</v>
      </c>
      <c r="L585" s="8">
        <f t="shared" si="81"/>
        <v>1.2302687708123799E-10</v>
      </c>
      <c r="M585" s="26"/>
      <c r="N585" s="17"/>
      <c r="O585" s="9">
        <f t="shared" si="80"/>
        <v>-14.5</v>
      </c>
      <c r="P585" s="8">
        <f>D584/B584*10^(O585/10)</f>
        <v>0.69779966549269812</v>
      </c>
      <c r="Q585" s="26"/>
      <c r="R585" s="17"/>
      <c r="S585" s="19"/>
      <c r="T585" s="17"/>
      <c r="U585" s="22"/>
    </row>
    <row r="586" spans="1:21" x14ac:dyDescent="0.25">
      <c r="A586" s="24"/>
      <c r="B586" s="24"/>
      <c r="C586" s="17"/>
      <c r="D586" s="24"/>
      <c r="E586" s="24"/>
      <c r="F586" s="25"/>
      <c r="G586" s="1">
        <v>475</v>
      </c>
      <c r="H586" s="2">
        <v>90</v>
      </c>
      <c r="I586" s="2">
        <v>-11.7</v>
      </c>
      <c r="J586" s="2">
        <v>-18</v>
      </c>
      <c r="K586" s="2">
        <f t="shared" si="78"/>
        <v>-11.7</v>
      </c>
      <c r="L586" s="8">
        <f>10^((K586-H586)/10)</f>
        <v>6.7608297539198024E-11</v>
      </c>
      <c r="M586" s="26"/>
      <c r="N586" s="17"/>
      <c r="O586" s="9">
        <f t="shared" si="80"/>
        <v>-18</v>
      </c>
      <c r="P586" s="8">
        <f>D584/B584*10^(O586/10)</f>
        <v>0.31169566118401881</v>
      </c>
      <c r="Q586" s="26"/>
      <c r="R586" s="17"/>
      <c r="S586" s="19"/>
      <c r="T586" s="17"/>
      <c r="U586" s="22"/>
    </row>
    <row r="587" spans="1:21" x14ac:dyDescent="0.25">
      <c r="A587" s="24"/>
      <c r="B587" s="24"/>
      <c r="C587" s="17"/>
      <c r="D587" s="24"/>
      <c r="E587" s="24"/>
      <c r="F587" s="25"/>
      <c r="G587" s="1">
        <v>575</v>
      </c>
      <c r="H587" s="2">
        <v>97</v>
      </c>
      <c r="I587" s="2">
        <v>3.3</v>
      </c>
      <c r="J587" s="2">
        <v>2.1</v>
      </c>
      <c r="K587" s="2">
        <f t="shared" si="78"/>
        <v>3.3</v>
      </c>
      <c r="L587" s="8">
        <f t="shared" ref="L587:L613" si="82">10^((K587-H587)/10)</f>
        <v>4.2657951880159145E-10</v>
      </c>
      <c r="M587" s="26"/>
      <c r="N587" s="17"/>
      <c r="O587" s="9">
        <f t="shared" si="80"/>
        <v>2.1</v>
      </c>
      <c r="P587" s="8">
        <f>D584/B584*10^(O587/10)</f>
        <v>31.895598581392296</v>
      </c>
      <c r="Q587" s="26"/>
      <c r="R587" s="17"/>
      <c r="S587" s="19"/>
      <c r="T587" s="17"/>
      <c r="U587" s="22"/>
    </row>
    <row r="588" spans="1:21" x14ac:dyDescent="0.25">
      <c r="A588" s="24"/>
      <c r="B588" s="24"/>
      <c r="C588" s="17"/>
      <c r="D588" s="24"/>
      <c r="E588" s="24"/>
      <c r="F588" s="25"/>
      <c r="G588" s="1">
        <v>625</v>
      </c>
      <c r="H588" s="2">
        <v>92</v>
      </c>
      <c r="I588" s="2">
        <v>-2.9999999999999996</v>
      </c>
      <c r="J588" s="2">
        <v>-4.5999999999999996</v>
      </c>
      <c r="K588" s="2">
        <f t="shared" si="78"/>
        <v>-2.9999999999999996</v>
      </c>
      <c r="L588" s="8">
        <f t="shared" si="82"/>
        <v>3.1622776601683744E-10</v>
      </c>
      <c r="M588" s="26"/>
      <c r="N588" s="17"/>
      <c r="O588" s="9">
        <f t="shared" si="80"/>
        <v>-4.5999999999999996</v>
      </c>
      <c r="P588" s="8">
        <f>D584/B584*10^(O588/10)</f>
        <v>6.8191580588997898</v>
      </c>
      <c r="Q588" s="26"/>
      <c r="R588" s="17"/>
      <c r="S588" s="19"/>
      <c r="T588" s="17"/>
      <c r="U588" s="22"/>
    </row>
    <row r="589" spans="1:21" x14ac:dyDescent="0.25">
      <c r="A589" s="24"/>
      <c r="B589" s="24"/>
      <c r="C589" s="17"/>
      <c r="D589" s="24"/>
      <c r="E589" s="24"/>
      <c r="F589" s="25"/>
      <c r="G589" s="1">
        <v>675</v>
      </c>
      <c r="H589" s="2">
        <v>94.5</v>
      </c>
      <c r="I589" s="2">
        <v>-12.9</v>
      </c>
      <c r="J589" s="2">
        <v>-16</v>
      </c>
      <c r="K589" s="2">
        <f t="shared" si="78"/>
        <v>-12.9</v>
      </c>
      <c r="L589" s="8">
        <f t="shared" si="82"/>
        <v>1.8197008586099764E-11</v>
      </c>
      <c r="M589" s="26"/>
      <c r="N589" s="17"/>
      <c r="O589" s="9">
        <f t="shared" si="80"/>
        <v>-16</v>
      </c>
      <c r="P589" s="8">
        <f>D584/B584*10^(O589/10)</f>
        <v>0.49400433153021706</v>
      </c>
      <c r="Q589" s="26"/>
      <c r="R589" s="17"/>
      <c r="S589" s="20"/>
      <c r="T589" s="17"/>
      <c r="U589" s="23"/>
    </row>
    <row r="590" spans="1:21" x14ac:dyDescent="0.25">
      <c r="A590" s="24">
        <v>1000</v>
      </c>
      <c r="B590" s="24">
        <v>3</v>
      </c>
      <c r="C590" s="17">
        <v>0.5</v>
      </c>
      <c r="D590" s="24">
        <v>117</v>
      </c>
      <c r="E590" s="24">
        <v>6</v>
      </c>
      <c r="F590" s="25">
        <v>76</v>
      </c>
      <c r="G590" s="1">
        <v>875</v>
      </c>
      <c r="H590" s="2">
        <v>91.1</v>
      </c>
      <c r="I590" s="2">
        <v>-2.7</v>
      </c>
      <c r="J590" s="2">
        <v>-5.3</v>
      </c>
      <c r="K590" s="2">
        <f t="shared" si="78"/>
        <v>-2.7</v>
      </c>
      <c r="L590" s="8">
        <f t="shared" si="82"/>
        <v>4.1686938347033571E-10</v>
      </c>
      <c r="M590" s="26">
        <f>SUM(L590:L595)</f>
        <v>2.7810550766234602E-8</v>
      </c>
      <c r="N590" s="17">
        <f>10*LOG10(M590/E590)</f>
        <v>-83.339416605713382</v>
      </c>
      <c r="O590" s="9">
        <f t="shared" si="80"/>
        <v>-5.3</v>
      </c>
      <c r="P590" s="8">
        <f>D590/B590*10^(O590/10)</f>
        <v>11.5097159839989</v>
      </c>
      <c r="Q590" s="26">
        <f>SUM(P590:P595)</f>
        <v>3228.2822089039319</v>
      </c>
      <c r="R590" s="17">
        <f>10*LOG10(Q590)</f>
        <v>35.089714927205826</v>
      </c>
      <c r="S590" s="18">
        <f>F590+N590-Kzt-H</f>
        <v>-7.3394166057133816</v>
      </c>
      <c r="T590" s="17">
        <v>0.8</v>
      </c>
      <c r="U590" s="21">
        <f>T590*10^((S590-R590)/10)</f>
        <v>4.5727434223040612E-5</v>
      </c>
    </row>
    <row r="591" spans="1:21" x14ac:dyDescent="0.25">
      <c r="A591" s="24"/>
      <c r="B591" s="24"/>
      <c r="C591" s="17"/>
      <c r="D591" s="24"/>
      <c r="E591" s="24"/>
      <c r="F591" s="25"/>
      <c r="G591" s="1">
        <v>975</v>
      </c>
      <c r="H591" s="2">
        <v>96.5</v>
      </c>
      <c r="I591" s="2">
        <v>-2</v>
      </c>
      <c r="J591" s="2">
        <v>-6.1</v>
      </c>
      <c r="K591" s="2">
        <f t="shared" si="78"/>
        <v>-2</v>
      </c>
      <c r="L591" s="8">
        <f t="shared" si="82"/>
        <v>1.4125375446227517E-10</v>
      </c>
      <c r="M591" s="26"/>
      <c r="N591" s="17"/>
      <c r="O591" s="9">
        <f t="shared" si="80"/>
        <v>-6.1</v>
      </c>
      <c r="P591" s="8">
        <f>D590/B590*10^(O591/10)</f>
        <v>9.573364771171617</v>
      </c>
      <c r="Q591" s="26"/>
      <c r="R591" s="17"/>
      <c r="S591" s="19"/>
      <c r="T591" s="17"/>
      <c r="U591" s="22"/>
    </row>
    <row r="592" spans="1:21" x14ac:dyDescent="0.25">
      <c r="A592" s="24"/>
      <c r="B592" s="24"/>
      <c r="C592" s="17"/>
      <c r="D592" s="24"/>
      <c r="E592" s="24"/>
      <c r="F592" s="25"/>
      <c r="G592" s="1">
        <v>1075</v>
      </c>
      <c r="H592" s="2">
        <v>94.6</v>
      </c>
      <c r="I592" s="2">
        <v>18.8</v>
      </c>
      <c r="J592" s="2">
        <v>18.7</v>
      </c>
      <c r="K592" s="2">
        <f t="shared" si="78"/>
        <v>18.8</v>
      </c>
      <c r="L592" s="8">
        <f t="shared" si="82"/>
        <v>2.6302679918953758E-8</v>
      </c>
      <c r="M592" s="26"/>
      <c r="N592" s="17"/>
      <c r="O592" s="9">
        <f t="shared" si="80"/>
        <v>18.7</v>
      </c>
      <c r="P592" s="8">
        <f>D590/B590*10^(O592/10)</f>
        <v>2891.1099410735783</v>
      </c>
      <c r="Q592" s="26"/>
      <c r="R592" s="17"/>
      <c r="S592" s="19"/>
      <c r="T592" s="17"/>
      <c r="U592" s="22"/>
    </row>
    <row r="593" spans="1:21" x14ac:dyDescent="0.25">
      <c r="A593" s="24"/>
      <c r="B593" s="24"/>
      <c r="C593" s="17"/>
      <c r="D593" s="24"/>
      <c r="E593" s="24"/>
      <c r="F593" s="25"/>
      <c r="G593" s="1">
        <v>1175</v>
      </c>
      <c r="H593" s="2">
        <v>97.8</v>
      </c>
      <c r="I593" s="2">
        <v>-11.6</v>
      </c>
      <c r="J593" s="2">
        <v>-11.8</v>
      </c>
      <c r="K593" s="2">
        <f t="shared" si="78"/>
        <v>-11.6</v>
      </c>
      <c r="L593" s="8">
        <f t="shared" si="82"/>
        <v>1.1481536214968803E-11</v>
      </c>
      <c r="M593" s="26"/>
      <c r="N593" s="17"/>
      <c r="O593" s="9">
        <f t="shared" si="80"/>
        <v>-11.8</v>
      </c>
      <c r="P593" s="8">
        <f>D590/B590*10^(O593/10)</f>
        <v>2.5767044472296226</v>
      </c>
      <c r="Q593" s="26"/>
      <c r="R593" s="17"/>
      <c r="S593" s="19"/>
      <c r="T593" s="17"/>
      <c r="U593" s="22"/>
    </row>
    <row r="594" spans="1:21" x14ac:dyDescent="0.25">
      <c r="A594" s="24"/>
      <c r="B594" s="24"/>
      <c r="C594" s="17"/>
      <c r="D594" s="24"/>
      <c r="E594" s="24"/>
      <c r="F594" s="25"/>
      <c r="G594" s="1">
        <v>1275</v>
      </c>
      <c r="H594" s="2">
        <v>100.1</v>
      </c>
      <c r="I594" s="2">
        <v>9.8000000000000007</v>
      </c>
      <c r="J594" s="2">
        <v>9</v>
      </c>
      <c r="K594" s="2">
        <f t="shared" si="78"/>
        <v>9.8000000000000007</v>
      </c>
      <c r="L594" s="8">
        <f t="shared" si="82"/>
        <v>9.3325430079699202E-10</v>
      </c>
      <c r="M594" s="26"/>
      <c r="N594" s="17"/>
      <c r="O594" s="9">
        <f t="shared" si="80"/>
        <v>9</v>
      </c>
      <c r="P594" s="8">
        <f>D590/B590*10^(O594/10)</f>
        <v>309.78801154246986</v>
      </c>
      <c r="Q594" s="26"/>
      <c r="R594" s="17"/>
      <c r="S594" s="19"/>
      <c r="T594" s="17"/>
      <c r="U594" s="22"/>
    </row>
    <row r="595" spans="1:21" x14ac:dyDescent="0.25">
      <c r="A595" s="24"/>
      <c r="B595" s="24"/>
      <c r="C595" s="17"/>
      <c r="D595" s="24"/>
      <c r="E595" s="24"/>
      <c r="F595" s="25"/>
      <c r="G595" s="1">
        <v>1375</v>
      </c>
      <c r="H595" s="2">
        <v>103</v>
      </c>
      <c r="I595" s="2">
        <v>-10</v>
      </c>
      <c r="J595" s="2">
        <v>-10.199999999999999</v>
      </c>
      <c r="K595" s="2">
        <f t="shared" si="78"/>
        <v>-10</v>
      </c>
      <c r="L595" s="8">
        <f t="shared" si="82"/>
        <v>5.0118723362726945E-12</v>
      </c>
      <c r="M595" s="26"/>
      <c r="N595" s="17"/>
      <c r="O595" s="9">
        <f t="shared" si="80"/>
        <v>-10.199999999999999</v>
      </c>
      <c r="P595" s="8">
        <f>D590/B590*10^(O595/10)</f>
        <v>3.7244710854835987</v>
      </c>
      <c r="Q595" s="26"/>
      <c r="R595" s="17"/>
      <c r="S595" s="20"/>
      <c r="T595" s="17"/>
      <c r="U595" s="23"/>
    </row>
    <row r="596" spans="1:21" x14ac:dyDescent="0.25">
      <c r="A596" s="24">
        <v>2000</v>
      </c>
      <c r="B596" s="24">
        <v>3</v>
      </c>
      <c r="C596" s="17">
        <v>0.5</v>
      </c>
      <c r="D596" s="24">
        <v>234</v>
      </c>
      <c r="E596" s="24">
        <v>6</v>
      </c>
      <c r="F596" s="25">
        <v>68</v>
      </c>
      <c r="G596" s="1">
        <v>1425</v>
      </c>
      <c r="H596" s="2">
        <v>102.8</v>
      </c>
      <c r="I596" s="2">
        <v>-10</v>
      </c>
      <c r="J596" s="2">
        <v>-14</v>
      </c>
      <c r="K596" s="2">
        <f t="shared" si="78"/>
        <v>-10</v>
      </c>
      <c r="L596" s="8">
        <f t="shared" si="82"/>
        <v>5.2480746024977136E-12</v>
      </c>
      <c r="M596" s="26">
        <f>SUM(L596:L601)</f>
        <v>6.7537815064076743E-10</v>
      </c>
      <c r="N596" s="17">
        <f>10*LOG10(M596/E596)</f>
        <v>-99.486042438468175</v>
      </c>
      <c r="O596" s="9">
        <f t="shared" si="80"/>
        <v>-14</v>
      </c>
      <c r="P596" s="8">
        <f>D596/B596*10^(O596/10)</f>
        <v>3.1052359303172787</v>
      </c>
      <c r="Q596" s="26">
        <f>SUM(P596:P601)</f>
        <v>86.519220364206433</v>
      </c>
      <c r="R596" s="17">
        <f>10*LOG10(Q596)</f>
        <v>19.371125973013974</v>
      </c>
      <c r="S596" s="18">
        <f>F596+N596-Kzt-H</f>
        <v>-31.486042438468175</v>
      </c>
      <c r="T596" s="17">
        <v>1</v>
      </c>
      <c r="U596" s="21">
        <f>T596*10^((S596-R596)/10)</f>
        <v>8.2088658576751263E-6</v>
      </c>
    </row>
    <row r="597" spans="1:21" x14ac:dyDescent="0.25">
      <c r="A597" s="24"/>
      <c r="B597" s="24"/>
      <c r="C597" s="17"/>
      <c r="D597" s="24"/>
      <c r="E597" s="24"/>
      <c r="F597" s="25"/>
      <c r="G597" s="1">
        <v>1625</v>
      </c>
      <c r="H597" s="2">
        <v>104.1</v>
      </c>
      <c r="I597" s="2">
        <v>-2.2000000000000002</v>
      </c>
      <c r="J597" s="2">
        <v>-9.6</v>
      </c>
      <c r="K597" s="2">
        <f t="shared" si="78"/>
        <v>-2.2000000000000002</v>
      </c>
      <c r="L597" s="8">
        <f t="shared" si="82"/>
        <v>2.3442288153199185E-11</v>
      </c>
      <c r="M597" s="26"/>
      <c r="N597" s="17"/>
      <c r="O597" s="9">
        <f t="shared" si="80"/>
        <v>-9.6</v>
      </c>
      <c r="P597" s="8">
        <f>D596/B596*10^(O597/10)</f>
        <v>8.552529929916842</v>
      </c>
      <c r="Q597" s="26"/>
      <c r="R597" s="17"/>
      <c r="S597" s="19"/>
      <c r="T597" s="17"/>
      <c r="U597" s="22"/>
    </row>
    <row r="598" spans="1:21" x14ac:dyDescent="0.25">
      <c r="A598" s="24"/>
      <c r="B598" s="24"/>
      <c r="C598" s="17"/>
      <c r="D598" s="24"/>
      <c r="E598" s="24"/>
      <c r="F598" s="25"/>
      <c r="G598" s="1">
        <v>1825</v>
      </c>
      <c r="H598" s="2">
        <v>107.6</v>
      </c>
      <c r="I598" s="2">
        <v>-7.3</v>
      </c>
      <c r="J598" s="2">
        <v>-11.8</v>
      </c>
      <c r="K598" s="2">
        <f t="shared" si="78"/>
        <v>-7.3</v>
      </c>
      <c r="L598" s="8">
        <f t="shared" si="82"/>
        <v>3.2359365692962812E-12</v>
      </c>
      <c r="M598" s="26"/>
      <c r="N598" s="17"/>
      <c r="O598" s="9">
        <f t="shared" si="80"/>
        <v>-11.8</v>
      </c>
      <c r="P598" s="8">
        <f>D596/B596*10^(O598/10)</f>
        <v>5.1534088944592451</v>
      </c>
      <c r="Q598" s="26"/>
      <c r="R598" s="17"/>
      <c r="S598" s="19"/>
      <c r="T598" s="17"/>
      <c r="U598" s="22"/>
    </row>
    <row r="599" spans="1:21" x14ac:dyDescent="0.25">
      <c r="A599" s="24"/>
      <c r="B599" s="24"/>
      <c r="C599" s="17"/>
      <c r="D599" s="24"/>
      <c r="E599" s="24"/>
      <c r="F599" s="25"/>
      <c r="G599" s="1">
        <v>2125</v>
      </c>
      <c r="H599" s="2">
        <v>104.2</v>
      </c>
      <c r="I599" s="2">
        <v>-1.6</v>
      </c>
      <c r="J599" s="2">
        <v>-7.1</v>
      </c>
      <c r="K599" s="2">
        <f t="shared" si="78"/>
        <v>-1.6</v>
      </c>
      <c r="L599" s="8">
        <f t="shared" si="82"/>
        <v>2.6302679918953769E-11</v>
      </c>
      <c r="M599" s="26"/>
      <c r="N599" s="17"/>
      <c r="O599" s="9">
        <f t="shared" si="80"/>
        <v>-7.1</v>
      </c>
      <c r="P599" s="8">
        <f>D596/B596*10^(O599/10)</f>
        <v>15.20878787811275</v>
      </c>
      <c r="Q599" s="26"/>
      <c r="R599" s="17"/>
      <c r="S599" s="19"/>
      <c r="T599" s="17"/>
      <c r="U599" s="22"/>
    </row>
    <row r="600" spans="1:21" x14ac:dyDescent="0.25">
      <c r="A600" s="24"/>
      <c r="B600" s="24"/>
      <c r="C600" s="17"/>
      <c r="D600" s="24"/>
      <c r="E600" s="24"/>
      <c r="F600" s="25"/>
      <c r="G600" s="1">
        <v>2425</v>
      </c>
      <c r="H600" s="2">
        <v>93.7</v>
      </c>
      <c r="I600" s="2">
        <v>1.1000000000000001</v>
      </c>
      <c r="J600" s="2">
        <v>-3.1</v>
      </c>
      <c r="K600" s="2">
        <f t="shared" si="78"/>
        <v>1.1000000000000001</v>
      </c>
      <c r="L600" s="8">
        <f t="shared" si="82"/>
        <v>5.4954087385762244E-10</v>
      </c>
      <c r="M600" s="26"/>
      <c r="N600" s="17"/>
      <c r="O600" s="9">
        <f t="shared" si="80"/>
        <v>-3.1</v>
      </c>
      <c r="P600" s="8">
        <f>D596/B596*10^(O600/10)</f>
        <v>38.2027479107388</v>
      </c>
      <c r="Q600" s="26"/>
      <c r="R600" s="17"/>
      <c r="S600" s="19"/>
      <c r="T600" s="17"/>
      <c r="U600" s="22"/>
    </row>
    <row r="601" spans="1:21" x14ac:dyDescent="0.25">
      <c r="A601" s="24"/>
      <c r="B601" s="24"/>
      <c r="C601" s="17"/>
      <c r="D601" s="24"/>
      <c r="E601" s="24"/>
      <c r="F601" s="25"/>
      <c r="G601" s="1">
        <v>2775</v>
      </c>
      <c r="H601" s="2">
        <v>100.2</v>
      </c>
      <c r="I601" s="2">
        <v>-1.5</v>
      </c>
      <c r="J601" s="2">
        <v>-6.8</v>
      </c>
      <c r="K601" s="2">
        <f t="shared" si="78"/>
        <v>-1.5</v>
      </c>
      <c r="L601" s="8">
        <f t="shared" si="82"/>
        <v>6.7608297539198024E-11</v>
      </c>
      <c r="M601" s="26"/>
      <c r="N601" s="17"/>
      <c r="O601" s="9">
        <f t="shared" si="80"/>
        <v>-6.8</v>
      </c>
      <c r="P601" s="8">
        <f>D596/B596*10^(O601/10)</f>
        <v>16.296509820661509</v>
      </c>
      <c r="Q601" s="26"/>
      <c r="R601" s="17"/>
      <c r="S601" s="20"/>
      <c r="T601" s="17"/>
      <c r="U601" s="23"/>
    </row>
    <row r="602" spans="1:21" x14ac:dyDescent="0.25">
      <c r="A602" s="24">
        <v>4000</v>
      </c>
      <c r="B602" s="24">
        <v>3</v>
      </c>
      <c r="C602" s="17">
        <v>0.5</v>
      </c>
      <c r="D602" s="24">
        <v>470</v>
      </c>
      <c r="E602" s="24">
        <v>6</v>
      </c>
      <c r="F602" s="25">
        <v>62</v>
      </c>
      <c r="G602" s="1">
        <v>2825</v>
      </c>
      <c r="H602" s="2">
        <v>99.4</v>
      </c>
      <c r="I602" s="2">
        <v>-3.9</v>
      </c>
      <c r="J602" s="2">
        <v>-9.6999999999999993</v>
      </c>
      <c r="K602" s="2">
        <f t="shared" si="78"/>
        <v>-3.9</v>
      </c>
      <c r="L602" s="8">
        <f t="shared" si="82"/>
        <v>4.6773514128719446E-11</v>
      </c>
      <c r="M602" s="26">
        <f>SUM(L602:L607)</f>
        <v>3.6285451842347499E-10</v>
      </c>
      <c r="N602" s="17">
        <f>10*LOG10(M602/E602)</f>
        <v>-102.18418714907203</v>
      </c>
      <c r="O602" s="9">
        <f t="shared" si="80"/>
        <v>-9.6999999999999993</v>
      </c>
      <c r="P602" s="8">
        <f>D602/B602*10^(O602/10)</f>
        <v>16.787135782055831</v>
      </c>
      <c r="Q602" s="26">
        <f>SUM(P602:P607)</f>
        <v>628.81661694598529</v>
      </c>
      <c r="R602" s="17">
        <f>10*LOG10(Q602)</f>
        <v>27.985240097371307</v>
      </c>
      <c r="S602" s="18">
        <f>F602+N602-Kzt-H</f>
        <v>-40.184187149072031</v>
      </c>
      <c r="T602" s="17">
        <v>0.9</v>
      </c>
      <c r="U602" s="21">
        <f>T602*10^((S602-R602)/10)</f>
        <v>1.3718283851089506E-7</v>
      </c>
    </row>
    <row r="603" spans="1:21" x14ac:dyDescent="0.25">
      <c r="A603" s="24"/>
      <c r="B603" s="24"/>
      <c r="C603" s="17"/>
      <c r="D603" s="24"/>
      <c r="E603" s="24"/>
      <c r="F603" s="25"/>
      <c r="G603" s="1">
        <v>3425</v>
      </c>
      <c r="H603" s="2">
        <v>103.5</v>
      </c>
      <c r="I603" s="2">
        <v>-6.5</v>
      </c>
      <c r="J603" s="2">
        <v>-12.3</v>
      </c>
      <c r="K603" s="2">
        <f t="shared" si="78"/>
        <v>-6.5</v>
      </c>
      <c r="L603" s="8">
        <f t="shared" si="82"/>
        <v>9.9999999999999994E-12</v>
      </c>
      <c r="M603" s="26"/>
      <c r="N603" s="17"/>
      <c r="O603" s="9">
        <f t="shared" si="80"/>
        <v>-12.3</v>
      </c>
      <c r="P603" s="8">
        <f>D602/B602*10^(O603/10)</f>
        <v>9.2252172672375572</v>
      </c>
      <c r="Q603" s="26"/>
      <c r="R603" s="17"/>
      <c r="S603" s="19"/>
      <c r="T603" s="17"/>
      <c r="U603" s="22"/>
    </row>
    <row r="604" spans="1:21" x14ac:dyDescent="0.25">
      <c r="A604" s="24"/>
      <c r="B604" s="24"/>
      <c r="C604" s="17"/>
      <c r="D604" s="24"/>
      <c r="E604" s="24"/>
      <c r="F604" s="25"/>
      <c r="G604" s="1">
        <v>4025</v>
      </c>
      <c r="H604" s="2">
        <v>103.6</v>
      </c>
      <c r="I604" s="2">
        <v>-0.39999999999999991</v>
      </c>
      <c r="J604" s="2">
        <v>-2.2999999999999998</v>
      </c>
      <c r="K604" s="2">
        <f t="shared" si="78"/>
        <v>-0.39999999999999991</v>
      </c>
      <c r="L604" s="8">
        <f t="shared" si="82"/>
        <v>3.9810717055349579E-11</v>
      </c>
      <c r="M604" s="26"/>
      <c r="N604" s="17"/>
      <c r="O604" s="9">
        <f t="shared" si="80"/>
        <v>-2.2999999999999998</v>
      </c>
      <c r="P604" s="8">
        <f>D602/B602*10^(O604/10)</f>
        <v>92.252172672375593</v>
      </c>
      <c r="Q604" s="26"/>
      <c r="R604" s="17"/>
      <c r="S604" s="19"/>
      <c r="T604" s="17"/>
      <c r="U604" s="22"/>
    </row>
    <row r="605" spans="1:21" x14ac:dyDescent="0.25">
      <c r="A605" s="24"/>
      <c r="B605" s="24"/>
      <c r="C605" s="17"/>
      <c r="D605" s="24"/>
      <c r="E605" s="24"/>
      <c r="F605" s="25"/>
      <c r="G605" s="1">
        <v>4625</v>
      </c>
      <c r="H605" s="2">
        <v>105.6</v>
      </c>
      <c r="I605" s="2">
        <v>1.1000000000000001</v>
      </c>
      <c r="J605" s="2">
        <v>-4.5999999999999996</v>
      </c>
      <c r="K605" s="2">
        <f t="shared" si="78"/>
        <v>1.1000000000000001</v>
      </c>
      <c r="L605" s="8">
        <f t="shared" si="82"/>
        <v>3.5481338923357562E-11</v>
      </c>
      <c r="M605" s="26"/>
      <c r="N605" s="17"/>
      <c r="O605" s="9">
        <f t="shared" si="80"/>
        <v>-4.5999999999999996</v>
      </c>
      <c r="P605" s="8">
        <f>D602/B602*10^(O605/10)</f>
        <v>54.322106570896622</v>
      </c>
      <c r="Q605" s="26"/>
      <c r="R605" s="17"/>
      <c r="S605" s="19"/>
      <c r="T605" s="17"/>
      <c r="U605" s="22"/>
    </row>
    <row r="606" spans="1:21" x14ac:dyDescent="0.25">
      <c r="A606" s="24"/>
      <c r="B606" s="24"/>
      <c r="C606" s="17"/>
      <c r="D606" s="24"/>
      <c r="E606" s="24"/>
      <c r="F606" s="25"/>
      <c r="G606" s="1">
        <v>5225</v>
      </c>
      <c r="H606" s="2">
        <v>103.5</v>
      </c>
      <c r="I606" s="2">
        <v>5.3000000000000007</v>
      </c>
      <c r="J606" s="2">
        <v>4.2</v>
      </c>
      <c r="K606" s="2">
        <f t="shared" si="78"/>
        <v>5.3000000000000007</v>
      </c>
      <c r="L606" s="8">
        <f t="shared" si="82"/>
        <v>1.5135612484362048E-10</v>
      </c>
      <c r="M606" s="26"/>
      <c r="N606" s="17"/>
      <c r="O606" s="9">
        <f t="shared" si="80"/>
        <v>4.2</v>
      </c>
      <c r="P606" s="8">
        <f>D602/B602*10^(O606/10)</f>
        <v>412.07531873027659</v>
      </c>
      <c r="Q606" s="26"/>
      <c r="R606" s="17"/>
      <c r="S606" s="19"/>
      <c r="T606" s="17"/>
      <c r="U606" s="22"/>
    </row>
    <row r="607" spans="1:21" x14ac:dyDescent="0.25">
      <c r="A607" s="24"/>
      <c r="B607" s="24"/>
      <c r="C607" s="17"/>
      <c r="D607" s="24"/>
      <c r="E607" s="24"/>
      <c r="F607" s="25"/>
      <c r="G607" s="1">
        <v>5625</v>
      </c>
      <c r="H607" s="2">
        <v>99.5</v>
      </c>
      <c r="I607" s="2">
        <v>-1.5</v>
      </c>
      <c r="J607" s="2">
        <v>-5.5</v>
      </c>
      <c r="K607" s="2">
        <f t="shared" si="78"/>
        <v>-1.5</v>
      </c>
      <c r="L607" s="8">
        <f t="shared" si="82"/>
        <v>7.943282347242792E-11</v>
      </c>
      <c r="M607" s="26"/>
      <c r="N607" s="17"/>
      <c r="O607" s="9">
        <f t="shared" si="80"/>
        <v>-5.5</v>
      </c>
      <c r="P607" s="8">
        <f>D602/B602*10^(O607/10)</f>
        <v>44.154665923143099</v>
      </c>
      <c r="Q607" s="26"/>
      <c r="R607" s="17"/>
      <c r="S607" s="20"/>
      <c r="T607" s="17"/>
      <c r="U607" s="23"/>
    </row>
    <row r="608" spans="1:21" x14ac:dyDescent="0.25">
      <c r="A608" s="24">
        <v>8000</v>
      </c>
      <c r="B608" s="24">
        <v>3</v>
      </c>
      <c r="C608" s="17">
        <v>0.5</v>
      </c>
      <c r="D608" s="24">
        <v>943</v>
      </c>
      <c r="E608" s="24">
        <v>6</v>
      </c>
      <c r="F608" s="25">
        <v>54</v>
      </c>
      <c r="G608" s="1">
        <v>6025</v>
      </c>
      <c r="H608" s="2">
        <v>95</v>
      </c>
      <c r="I608" s="2">
        <v>0.2</v>
      </c>
      <c r="J608" s="2">
        <v>-2.7</v>
      </c>
      <c r="K608" s="2">
        <f t="shared" si="78"/>
        <v>0.2</v>
      </c>
      <c r="L608" s="8">
        <f t="shared" si="82"/>
        <v>3.3113112148259045E-10</v>
      </c>
      <c r="M608" s="26">
        <f>SUM(L608:L613)</f>
        <v>5.9297929381477983E-8</v>
      </c>
      <c r="N608" s="17">
        <f>10*LOG10(M608/E608)</f>
        <v>-80.051117218406063</v>
      </c>
      <c r="O608" s="9">
        <f t="shared" si="80"/>
        <v>-2.7</v>
      </c>
      <c r="P608" s="8">
        <f>D608/B608*10^(O608/10)</f>
        <v>168.80699465904942</v>
      </c>
      <c r="Q608" s="26">
        <f>SUM(P608:P613)</f>
        <v>27238.723736099044</v>
      </c>
      <c r="R608" s="17">
        <f>10*LOG10(Q608)</f>
        <v>44.351867549531327</v>
      </c>
      <c r="S608" s="18">
        <f>F608+N608-Kzt-H</f>
        <v>-26.051117218406063</v>
      </c>
      <c r="T608" s="17">
        <v>0.7</v>
      </c>
      <c r="U608" s="21">
        <f>T608*10^((S608-R608)/10)</f>
        <v>6.3796898104286352E-8</v>
      </c>
    </row>
    <row r="609" spans="1:21" x14ac:dyDescent="0.25">
      <c r="A609" s="24"/>
      <c r="B609" s="24"/>
      <c r="C609" s="17"/>
      <c r="D609" s="24"/>
      <c r="E609" s="24"/>
      <c r="F609" s="25"/>
      <c r="G609" s="1">
        <v>7025</v>
      </c>
      <c r="H609" s="2">
        <v>94.8</v>
      </c>
      <c r="I609" s="2">
        <v>7</v>
      </c>
      <c r="J609" s="2">
        <v>5.8</v>
      </c>
      <c r="K609" s="2">
        <f t="shared" si="78"/>
        <v>7</v>
      </c>
      <c r="L609" s="8">
        <f t="shared" si="82"/>
        <v>1.6595869074375584E-9</v>
      </c>
      <c r="M609" s="26"/>
      <c r="N609" s="17"/>
      <c r="O609" s="9">
        <f t="shared" si="80"/>
        <v>5.8</v>
      </c>
      <c r="P609" s="8">
        <f>D608/B608*10^(O609/10)</f>
        <v>1195.0620024342973</v>
      </c>
      <c r="Q609" s="26"/>
      <c r="R609" s="17"/>
      <c r="S609" s="19"/>
      <c r="T609" s="17"/>
      <c r="U609" s="22"/>
    </row>
    <row r="610" spans="1:21" x14ac:dyDescent="0.25">
      <c r="A610" s="24"/>
      <c r="B610" s="24"/>
      <c r="C610" s="17"/>
      <c r="D610" s="24"/>
      <c r="E610" s="24"/>
      <c r="F610" s="25"/>
      <c r="G610" s="1">
        <v>8025</v>
      </c>
      <c r="H610" s="2">
        <v>101.9</v>
      </c>
      <c r="I610" s="2">
        <v>0.7</v>
      </c>
      <c r="J610" s="2">
        <v>-1.2</v>
      </c>
      <c r="K610" s="2">
        <f t="shared" si="78"/>
        <v>0.7</v>
      </c>
      <c r="L610" s="8">
        <f t="shared" si="82"/>
        <v>7.5857757502918162E-11</v>
      </c>
      <c r="M610" s="26"/>
      <c r="N610" s="17"/>
      <c r="O610" s="9">
        <f t="shared" si="80"/>
        <v>-1.2</v>
      </c>
      <c r="P610" s="8">
        <f>D608/B608*10^(O610/10)</f>
        <v>238.44621775084005</v>
      </c>
      <c r="Q610" s="26"/>
      <c r="R610" s="17"/>
      <c r="S610" s="19"/>
      <c r="T610" s="17"/>
      <c r="U610" s="22"/>
    </row>
    <row r="611" spans="1:21" x14ac:dyDescent="0.25">
      <c r="A611" s="24"/>
      <c r="B611" s="24"/>
      <c r="C611" s="17"/>
      <c r="D611" s="24"/>
      <c r="E611" s="24"/>
      <c r="F611" s="25"/>
      <c r="G611" s="1">
        <v>9025</v>
      </c>
      <c r="H611" s="2">
        <v>93.2</v>
      </c>
      <c r="I611" s="2">
        <v>20.399999999999999</v>
      </c>
      <c r="J611" s="2">
        <v>19</v>
      </c>
      <c r="K611" s="2">
        <f t="shared" si="78"/>
        <v>20.399999999999999</v>
      </c>
      <c r="L611" s="8">
        <f t="shared" si="82"/>
        <v>5.2480746024977E-8</v>
      </c>
      <c r="M611" s="26"/>
      <c r="N611" s="17"/>
      <c r="O611" s="9">
        <f t="shared" si="80"/>
        <v>19</v>
      </c>
      <c r="P611" s="8">
        <f>D608/B608*10^(O611/10)</f>
        <v>24968.384178166594</v>
      </c>
      <c r="Q611" s="26"/>
      <c r="R611" s="17"/>
      <c r="S611" s="19"/>
      <c r="T611" s="17"/>
      <c r="U611" s="22"/>
    </row>
    <row r="612" spans="1:21" x14ac:dyDescent="0.25">
      <c r="A612" s="24"/>
      <c r="B612" s="24"/>
      <c r="C612" s="17"/>
      <c r="D612" s="24"/>
      <c r="E612" s="24"/>
      <c r="F612" s="25"/>
      <c r="G612" s="1">
        <v>10025</v>
      </c>
      <c r="H612" s="2">
        <v>88.3</v>
      </c>
      <c r="I612" s="2">
        <v>1.8</v>
      </c>
      <c r="J612" s="2">
        <v>1.3</v>
      </c>
      <c r="K612" s="2">
        <f t="shared" si="78"/>
        <v>1.8</v>
      </c>
      <c r="L612" s="8">
        <f t="shared" si="82"/>
        <v>2.2387211385683336E-9</v>
      </c>
      <c r="M612" s="26"/>
      <c r="N612" s="17"/>
      <c r="O612" s="9">
        <f t="shared" si="80"/>
        <v>1.3</v>
      </c>
      <c r="P612" s="8">
        <f>D608/B608*10^(O612/10)</f>
        <v>424.02399942797649</v>
      </c>
      <c r="Q612" s="26"/>
      <c r="R612" s="17"/>
      <c r="S612" s="19"/>
      <c r="T612" s="17"/>
      <c r="U612" s="22"/>
    </row>
    <row r="613" spans="1:21" x14ac:dyDescent="0.25">
      <c r="A613" s="24"/>
      <c r="B613" s="24"/>
      <c r="C613" s="17"/>
      <c r="D613" s="24"/>
      <c r="E613" s="24"/>
      <c r="F613" s="25"/>
      <c r="G613" s="1">
        <v>11025</v>
      </c>
      <c r="H613" s="2">
        <v>86</v>
      </c>
      <c r="I613" s="2">
        <v>0</v>
      </c>
      <c r="J613" s="2">
        <v>-1.1000000000000001</v>
      </c>
      <c r="K613" s="2">
        <f t="shared" si="78"/>
        <v>0</v>
      </c>
      <c r="L613" s="8">
        <f t="shared" si="82"/>
        <v>2.5118864315095812E-9</v>
      </c>
      <c r="M613" s="26"/>
      <c r="N613" s="17"/>
      <c r="O613" s="9">
        <f t="shared" si="80"/>
        <v>-1.1000000000000001</v>
      </c>
      <c r="P613" s="8">
        <f>D608/B608*10^(O613/10)</f>
        <v>244.00034366028541</v>
      </c>
      <c r="Q613" s="26"/>
      <c r="R613" s="17"/>
      <c r="S613" s="20"/>
      <c r="T613" s="17"/>
      <c r="U613" s="23"/>
    </row>
    <row r="614" spans="1:21" x14ac:dyDescent="0.25">
      <c r="A614" s="24" t="s">
        <v>20</v>
      </c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12">
        <f>U614</f>
        <v>2.9581378755343054E-2</v>
      </c>
      <c r="T614" s="2"/>
      <c r="U614" s="8">
        <f>0.8*SQRT(SUM(U580:U613))</f>
        <v>2.9581378755343054E-2</v>
      </c>
    </row>
    <row r="615" spans="1:21" x14ac:dyDescent="0.25">
      <c r="A615" s="27" t="s">
        <v>89</v>
      </c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9"/>
    </row>
    <row r="616" spans="1:21" x14ac:dyDescent="0.25">
      <c r="A616" s="24">
        <v>250</v>
      </c>
      <c r="B616" s="24">
        <v>3</v>
      </c>
      <c r="C616" s="17">
        <v>0.5</v>
      </c>
      <c r="D616" s="24">
        <v>38</v>
      </c>
      <c r="E616" s="24">
        <v>4</v>
      </c>
      <c r="F616" s="25">
        <v>84</v>
      </c>
      <c r="G616" s="1">
        <v>175</v>
      </c>
      <c r="H616" s="2">
        <v>84.8</v>
      </c>
      <c r="I616" s="2">
        <v>-5.2</v>
      </c>
      <c r="J616" s="2">
        <v>-5.9</v>
      </c>
      <c r="K616" s="2">
        <f>I616</f>
        <v>-5.2</v>
      </c>
      <c r="L616" s="8">
        <f>10^((K616-H616)/10)</f>
        <v>1.0000000000000001E-9</v>
      </c>
      <c r="M616" s="26">
        <f>SUM(L616:L619)</f>
        <v>1.0123479446608502E-8</v>
      </c>
      <c r="N616" s="17">
        <f>10*LOG10(M616/E616)</f>
        <v>-85.967301858648355</v>
      </c>
      <c r="O616" s="9">
        <f>J616</f>
        <v>-5.9</v>
      </c>
      <c r="P616" s="8">
        <f>D616/B616*10^(O616/10)</f>
        <v>3.2558346581738928</v>
      </c>
      <c r="Q616" s="26">
        <f>SUM(P616:P619)</f>
        <v>161.36269472505967</v>
      </c>
      <c r="R616" s="17">
        <f>10*LOG10(Q616)</f>
        <v>22.078031378971463</v>
      </c>
      <c r="S616" s="18">
        <f>F616+N616-Kzt-H</f>
        <v>-1.9673018586483551</v>
      </c>
      <c r="T616" s="17">
        <v>0.2</v>
      </c>
      <c r="U616" s="21">
        <f>T616*10^((S616-R616)/10)</f>
        <v>7.8794639321466567E-4</v>
      </c>
    </row>
    <row r="617" spans="1:21" x14ac:dyDescent="0.25">
      <c r="A617" s="24"/>
      <c r="B617" s="24"/>
      <c r="C617" s="17"/>
      <c r="D617" s="24"/>
      <c r="E617" s="24"/>
      <c r="F617" s="25"/>
      <c r="G617" s="1">
        <v>225</v>
      </c>
      <c r="H617" s="2">
        <v>90</v>
      </c>
      <c r="I617" s="2">
        <v>-8</v>
      </c>
      <c r="J617" s="2">
        <v>-10</v>
      </c>
      <c r="K617" s="2">
        <f t="shared" ref="K617:K649" si="83">I617</f>
        <v>-8</v>
      </c>
      <c r="L617" s="8">
        <f t="shared" ref="L617:L618" si="84">10^((K617-H617)/10)</f>
        <v>1.5848931924611098E-10</v>
      </c>
      <c r="M617" s="26"/>
      <c r="N617" s="17"/>
      <c r="O617" s="9">
        <f t="shared" ref="O617:O649" si="85">J617</f>
        <v>-10</v>
      </c>
      <c r="P617" s="8">
        <f>D616/B616*10^(O617/10)</f>
        <v>1.2666666666666666</v>
      </c>
      <c r="Q617" s="26"/>
      <c r="R617" s="17"/>
      <c r="S617" s="19"/>
      <c r="T617" s="17"/>
      <c r="U617" s="22"/>
    </row>
    <row r="618" spans="1:21" x14ac:dyDescent="0.25">
      <c r="A618" s="24"/>
      <c r="B618" s="24"/>
      <c r="C618" s="17"/>
      <c r="D618" s="24"/>
      <c r="E618" s="24"/>
      <c r="F618" s="25"/>
      <c r="G618" s="1">
        <v>275</v>
      </c>
      <c r="H618" s="2">
        <v>92.2</v>
      </c>
      <c r="I618" s="2">
        <v>-10.6</v>
      </c>
      <c r="J618" s="2">
        <v>-11</v>
      </c>
      <c r="K618" s="2">
        <f t="shared" si="83"/>
        <v>-10.6</v>
      </c>
      <c r="L618" s="8">
        <f t="shared" si="84"/>
        <v>5.2480746024977191E-11</v>
      </c>
      <c r="M618" s="26"/>
      <c r="N618" s="17"/>
      <c r="O618" s="9">
        <f t="shared" si="85"/>
        <v>-11</v>
      </c>
      <c r="P618" s="8">
        <f>D616/B616*10^(O618/10)</f>
        <v>1.0061490973174225</v>
      </c>
      <c r="Q618" s="26"/>
      <c r="R618" s="17"/>
      <c r="S618" s="19"/>
      <c r="T618" s="17"/>
      <c r="U618" s="22"/>
    </row>
    <row r="619" spans="1:21" x14ac:dyDescent="0.25">
      <c r="A619" s="24"/>
      <c r="B619" s="24"/>
      <c r="C619" s="17"/>
      <c r="D619" s="24"/>
      <c r="E619" s="24"/>
      <c r="F619" s="25"/>
      <c r="G619" s="1">
        <v>325</v>
      </c>
      <c r="H619" s="2">
        <v>93.3</v>
      </c>
      <c r="I619" s="2">
        <v>12.8</v>
      </c>
      <c r="J619" s="2">
        <v>10.9</v>
      </c>
      <c r="K619" s="2">
        <f t="shared" si="83"/>
        <v>12.8</v>
      </c>
      <c r="L619" s="8">
        <f>10^((K619-H619)/10)</f>
        <v>8.9125093813374133E-9</v>
      </c>
      <c r="M619" s="26"/>
      <c r="N619" s="17"/>
      <c r="O619" s="9">
        <f t="shared" si="85"/>
        <v>10.9</v>
      </c>
      <c r="P619" s="8">
        <f>D616/B616*10^(O619/10)</f>
        <v>155.83404430290167</v>
      </c>
      <c r="Q619" s="26"/>
      <c r="R619" s="17"/>
      <c r="S619" s="20"/>
      <c r="T619" s="17"/>
      <c r="U619" s="23"/>
    </row>
    <row r="620" spans="1:21" x14ac:dyDescent="0.25">
      <c r="A620" s="24">
        <v>500</v>
      </c>
      <c r="B620" s="24">
        <v>3</v>
      </c>
      <c r="C620" s="17">
        <v>0.5</v>
      </c>
      <c r="D620" s="24">
        <v>59</v>
      </c>
      <c r="E620" s="24">
        <v>6</v>
      </c>
      <c r="F620" s="25">
        <v>84</v>
      </c>
      <c r="G620" s="1">
        <v>375</v>
      </c>
      <c r="H620" s="2">
        <v>91.9</v>
      </c>
      <c r="I620" s="2">
        <v>8.1</v>
      </c>
      <c r="J620" s="2">
        <v>7.9</v>
      </c>
      <c r="K620" s="2">
        <f t="shared" si="83"/>
        <v>8.1</v>
      </c>
      <c r="L620" s="8">
        <f t="shared" ref="L620:L621" si="86">10^((K620-H620)/10)</f>
        <v>4.1686938347033319E-9</v>
      </c>
      <c r="M620" s="26">
        <f>SUM(L620:L625)</f>
        <v>4.9442831277101266E-9</v>
      </c>
      <c r="N620" s="17">
        <f>10*LOG10(M620/E620)</f>
        <v>-90.840479183025764</v>
      </c>
      <c r="O620" s="9">
        <f t="shared" si="85"/>
        <v>7.9</v>
      </c>
      <c r="P620" s="8">
        <f>D620/B620*10^(O620/10)</f>
        <v>121.26368369942486</v>
      </c>
      <c r="Q620" s="26">
        <f>SUM(P620:P625)</f>
        <v>150.21768696240247</v>
      </c>
      <c r="R620" s="17">
        <f>10*LOG10(Q620)</f>
        <v>21.767210704707175</v>
      </c>
      <c r="S620" s="18">
        <f>F620+N620-Kzt-H</f>
        <v>-6.8404791830257636</v>
      </c>
      <c r="T620" s="17">
        <v>0.5</v>
      </c>
      <c r="U620" s="21">
        <f>T620*10^((S620-R620)/10)</f>
        <v>6.8897111658280973E-4</v>
      </c>
    </row>
    <row r="621" spans="1:21" x14ac:dyDescent="0.25">
      <c r="A621" s="24"/>
      <c r="B621" s="24"/>
      <c r="C621" s="17"/>
      <c r="D621" s="24"/>
      <c r="E621" s="24"/>
      <c r="F621" s="25"/>
      <c r="G621" s="1">
        <v>425</v>
      </c>
      <c r="H621" s="2">
        <v>88.1</v>
      </c>
      <c r="I621" s="2">
        <v>-11.5</v>
      </c>
      <c r="J621" s="2">
        <v>-13.2</v>
      </c>
      <c r="K621" s="2">
        <f t="shared" si="83"/>
        <v>-11.5</v>
      </c>
      <c r="L621" s="8">
        <f t="shared" si="86"/>
        <v>1.096478196143184E-10</v>
      </c>
      <c r="M621" s="26"/>
      <c r="N621" s="17"/>
      <c r="O621" s="9">
        <f t="shared" si="85"/>
        <v>-13.2</v>
      </c>
      <c r="P621" s="8">
        <f>D620/B620*10^(O621/10)</f>
        <v>0.94130584823452224</v>
      </c>
      <c r="Q621" s="26"/>
      <c r="R621" s="17"/>
      <c r="S621" s="19"/>
      <c r="T621" s="17"/>
      <c r="U621" s="22"/>
    </row>
    <row r="622" spans="1:21" x14ac:dyDescent="0.25">
      <c r="A622" s="24"/>
      <c r="B622" s="24"/>
      <c r="C622" s="17"/>
      <c r="D622" s="24"/>
      <c r="E622" s="24"/>
      <c r="F622" s="25"/>
      <c r="G622" s="1">
        <v>475</v>
      </c>
      <c r="H622" s="2">
        <v>90</v>
      </c>
      <c r="I622" s="2">
        <v>-11.4</v>
      </c>
      <c r="J622" s="2">
        <v>-11.4</v>
      </c>
      <c r="K622" s="2">
        <f t="shared" si="83"/>
        <v>-11.4</v>
      </c>
      <c r="L622" s="8">
        <f>10^((K622-H622)/10)</f>
        <v>7.2443596007498811E-11</v>
      </c>
      <c r="M622" s="26"/>
      <c r="N622" s="17"/>
      <c r="O622" s="9">
        <f t="shared" si="85"/>
        <v>-11.4</v>
      </c>
      <c r="P622" s="8">
        <f>D620/B620*10^(O622/10)</f>
        <v>1.4247240548141462</v>
      </c>
      <c r="Q622" s="26"/>
      <c r="R622" s="17"/>
      <c r="S622" s="19"/>
      <c r="T622" s="17"/>
      <c r="U622" s="22"/>
    </row>
    <row r="623" spans="1:21" x14ac:dyDescent="0.25">
      <c r="A623" s="24"/>
      <c r="B623" s="24"/>
      <c r="C623" s="17"/>
      <c r="D623" s="24"/>
      <c r="E623" s="24"/>
      <c r="F623" s="25"/>
      <c r="G623" s="1">
        <v>575</v>
      </c>
      <c r="H623" s="2">
        <v>97</v>
      </c>
      <c r="I623" s="2">
        <v>2.1</v>
      </c>
      <c r="J623" s="2">
        <v>0.4</v>
      </c>
      <c r="K623" s="2">
        <f t="shared" si="83"/>
        <v>2.1</v>
      </c>
      <c r="L623" s="8">
        <f t="shared" ref="L623:L649" si="87">10^((K623-H623)/10)</f>
        <v>3.2359365692962771E-10</v>
      </c>
      <c r="M623" s="26"/>
      <c r="N623" s="17"/>
      <c r="O623" s="9">
        <f t="shared" si="85"/>
        <v>0.4</v>
      </c>
      <c r="P623" s="8">
        <f>D620/B620*10^(O623/10)</f>
        <v>21.564071190815973</v>
      </c>
      <c r="Q623" s="26"/>
      <c r="R623" s="17"/>
      <c r="S623" s="19"/>
      <c r="T623" s="17"/>
      <c r="U623" s="22"/>
    </row>
    <row r="624" spans="1:21" x14ac:dyDescent="0.25">
      <c r="A624" s="24"/>
      <c r="B624" s="24"/>
      <c r="C624" s="17"/>
      <c r="D624" s="24"/>
      <c r="E624" s="24"/>
      <c r="F624" s="25"/>
      <c r="G624" s="1">
        <v>625</v>
      </c>
      <c r="H624" s="2">
        <v>92</v>
      </c>
      <c r="I624" s="2">
        <v>-4.3</v>
      </c>
      <c r="J624" s="2">
        <v>-7.5</v>
      </c>
      <c r="K624" s="2">
        <f t="shared" si="83"/>
        <v>-4.3</v>
      </c>
      <c r="L624" s="8">
        <f t="shared" si="87"/>
        <v>2.3442288153199212E-10</v>
      </c>
      <c r="M624" s="26"/>
      <c r="N624" s="17"/>
      <c r="O624" s="9">
        <f t="shared" si="85"/>
        <v>-7.5</v>
      </c>
      <c r="P624" s="8">
        <f>D620/B620*10^(O624/10)</f>
        <v>3.4972828397432143</v>
      </c>
      <c r="Q624" s="26"/>
      <c r="R624" s="17"/>
      <c r="S624" s="19"/>
      <c r="T624" s="17"/>
      <c r="U624" s="22"/>
    </row>
    <row r="625" spans="1:21" x14ac:dyDescent="0.25">
      <c r="A625" s="24"/>
      <c r="B625" s="24"/>
      <c r="C625" s="17"/>
      <c r="D625" s="24"/>
      <c r="E625" s="24"/>
      <c r="F625" s="25"/>
      <c r="G625" s="1">
        <v>675</v>
      </c>
      <c r="H625" s="2">
        <v>94.5</v>
      </c>
      <c r="I625" s="2">
        <v>-10</v>
      </c>
      <c r="J625" s="2">
        <v>-11.1</v>
      </c>
      <c r="K625" s="2">
        <f t="shared" si="83"/>
        <v>-10</v>
      </c>
      <c r="L625" s="8">
        <f t="shared" si="87"/>
        <v>3.5481338923357562E-11</v>
      </c>
      <c r="M625" s="26"/>
      <c r="N625" s="17"/>
      <c r="O625" s="9">
        <f t="shared" si="85"/>
        <v>-11.1</v>
      </c>
      <c r="P625" s="8">
        <f>D620/B620*10^(O625/10)</f>
        <v>1.5266193293697603</v>
      </c>
      <c r="Q625" s="26"/>
      <c r="R625" s="17"/>
      <c r="S625" s="20"/>
      <c r="T625" s="17"/>
      <c r="U625" s="23"/>
    </row>
    <row r="626" spans="1:21" x14ac:dyDescent="0.25">
      <c r="A626" s="24">
        <v>1000</v>
      </c>
      <c r="B626" s="24">
        <v>3</v>
      </c>
      <c r="C626" s="17">
        <v>0.5</v>
      </c>
      <c r="D626" s="24">
        <v>117</v>
      </c>
      <c r="E626" s="24">
        <v>6</v>
      </c>
      <c r="F626" s="25">
        <v>76</v>
      </c>
      <c r="G626" s="1">
        <v>875</v>
      </c>
      <c r="H626" s="2">
        <v>91.1</v>
      </c>
      <c r="I626" s="2">
        <v>-6</v>
      </c>
      <c r="J626" s="2">
        <v>-7</v>
      </c>
      <c r="K626" s="2">
        <f t="shared" si="83"/>
        <v>-6</v>
      </c>
      <c r="L626" s="8">
        <f t="shared" si="87"/>
        <v>1.949844599758046E-10</v>
      </c>
      <c r="M626" s="26">
        <f>SUM(L626:L631)</f>
        <v>2.3976805024682984E-8</v>
      </c>
      <c r="N626" s="17">
        <f>10*LOG10(M626/E626)</f>
        <v>-83.983599387014635</v>
      </c>
      <c r="O626" s="9">
        <f t="shared" si="85"/>
        <v>-7</v>
      </c>
      <c r="P626" s="8">
        <f>D626/B626*10^(O626/10)</f>
        <v>7.7815230283786301</v>
      </c>
      <c r="Q626" s="26">
        <f>SUM(P626:P631)</f>
        <v>2850.994859557783</v>
      </c>
      <c r="R626" s="17">
        <f>10*LOG10(Q626)</f>
        <v>34.549964342622125</v>
      </c>
      <c r="S626" s="18">
        <f>F626+N626-Kzt-H</f>
        <v>-7.9835993870146353</v>
      </c>
      <c r="T626" s="17">
        <v>0.8</v>
      </c>
      <c r="U626" s="21">
        <f>T626*10^((S626-R626)/10)</f>
        <v>4.4640969100262311E-5</v>
      </c>
    </row>
    <row r="627" spans="1:21" x14ac:dyDescent="0.25">
      <c r="A627" s="24"/>
      <c r="B627" s="24"/>
      <c r="C627" s="17"/>
      <c r="D627" s="24"/>
      <c r="E627" s="24"/>
      <c r="F627" s="25"/>
      <c r="G627" s="1">
        <v>975</v>
      </c>
      <c r="H627" s="2">
        <v>96.5</v>
      </c>
      <c r="I627" s="2">
        <v>-4</v>
      </c>
      <c r="J627" s="2">
        <v>-5.2</v>
      </c>
      <c r="K627" s="2">
        <f t="shared" si="83"/>
        <v>-4</v>
      </c>
      <c r="L627" s="8">
        <f t="shared" si="87"/>
        <v>8.9125093813374255E-11</v>
      </c>
      <c r="M627" s="26"/>
      <c r="N627" s="17"/>
      <c r="O627" s="9">
        <f t="shared" si="85"/>
        <v>-5.2</v>
      </c>
      <c r="P627" s="8">
        <f>D626/B626*10^(O627/10)</f>
        <v>11.77781170956786</v>
      </c>
      <c r="Q627" s="26"/>
      <c r="R627" s="17"/>
      <c r="S627" s="19"/>
      <c r="T627" s="17"/>
      <c r="U627" s="22"/>
    </row>
    <row r="628" spans="1:21" x14ac:dyDescent="0.25">
      <c r="A628" s="24"/>
      <c r="B628" s="24"/>
      <c r="C628" s="17"/>
      <c r="D628" s="24"/>
      <c r="E628" s="24"/>
      <c r="F628" s="25"/>
      <c r="G628" s="1">
        <v>1075</v>
      </c>
      <c r="H628" s="2">
        <v>94.6</v>
      </c>
      <c r="I628" s="2">
        <v>18.2</v>
      </c>
      <c r="J628" s="2">
        <v>18.2</v>
      </c>
      <c r="K628" s="2">
        <f t="shared" si="83"/>
        <v>18.2</v>
      </c>
      <c r="L628" s="8">
        <f t="shared" si="87"/>
        <v>2.2908676527677776E-8</v>
      </c>
      <c r="M628" s="26"/>
      <c r="N628" s="17"/>
      <c r="O628" s="9">
        <f t="shared" si="85"/>
        <v>18.2</v>
      </c>
      <c r="P628" s="8">
        <f>D626/B626*10^(O628/10)</f>
        <v>2576.7044472296252</v>
      </c>
      <c r="Q628" s="26"/>
      <c r="R628" s="17"/>
      <c r="S628" s="19"/>
      <c r="T628" s="17"/>
      <c r="U628" s="22"/>
    </row>
    <row r="629" spans="1:21" x14ac:dyDescent="0.25">
      <c r="A629" s="24"/>
      <c r="B629" s="24"/>
      <c r="C629" s="17"/>
      <c r="D629" s="24"/>
      <c r="E629" s="24"/>
      <c r="F629" s="25"/>
      <c r="G629" s="1">
        <v>1175</v>
      </c>
      <c r="H629" s="2">
        <v>97.8</v>
      </c>
      <c r="I629" s="2">
        <v>-9.6</v>
      </c>
      <c r="J629" s="2">
        <v>-10.6</v>
      </c>
      <c r="K629" s="2">
        <f t="shared" si="83"/>
        <v>-9.6</v>
      </c>
      <c r="L629" s="8">
        <f t="shared" si="87"/>
        <v>1.8197008586099825E-11</v>
      </c>
      <c r="M629" s="26"/>
      <c r="N629" s="17"/>
      <c r="O629" s="9">
        <f t="shared" si="85"/>
        <v>-10.6</v>
      </c>
      <c r="P629" s="8">
        <f>D626/B626*10^(O629/10)</f>
        <v>3.3967580008287124</v>
      </c>
      <c r="Q629" s="26"/>
      <c r="R629" s="17"/>
      <c r="S629" s="19"/>
      <c r="T629" s="17"/>
      <c r="U629" s="22"/>
    </row>
    <row r="630" spans="1:21" x14ac:dyDescent="0.25">
      <c r="A630" s="24"/>
      <c r="B630" s="24"/>
      <c r="C630" s="17"/>
      <c r="D630" s="24"/>
      <c r="E630" s="24"/>
      <c r="F630" s="25"/>
      <c r="G630" s="1">
        <v>1275</v>
      </c>
      <c r="H630" s="2">
        <v>100.1</v>
      </c>
      <c r="I630" s="2">
        <v>8.9</v>
      </c>
      <c r="J630" s="2">
        <v>8</v>
      </c>
      <c r="K630" s="2">
        <f t="shared" si="83"/>
        <v>8.9</v>
      </c>
      <c r="L630" s="8">
        <f t="shared" si="87"/>
        <v>7.5857757502918245E-10</v>
      </c>
      <c r="M630" s="26"/>
      <c r="N630" s="17"/>
      <c r="O630" s="9">
        <f t="shared" si="85"/>
        <v>8</v>
      </c>
      <c r="P630" s="8">
        <f>D626/B626*10^(O630/10)</f>
        <v>246.07336434727543</v>
      </c>
      <c r="Q630" s="26"/>
      <c r="R630" s="17"/>
      <c r="S630" s="19"/>
      <c r="T630" s="17"/>
      <c r="U630" s="22"/>
    </row>
    <row r="631" spans="1:21" x14ac:dyDescent="0.25">
      <c r="A631" s="24"/>
      <c r="B631" s="24"/>
      <c r="C631" s="17"/>
      <c r="D631" s="24"/>
      <c r="E631" s="24"/>
      <c r="F631" s="25"/>
      <c r="G631" s="1">
        <v>1375</v>
      </c>
      <c r="H631" s="2">
        <v>103</v>
      </c>
      <c r="I631" s="2">
        <v>-8.3999999999999986</v>
      </c>
      <c r="J631" s="2">
        <v>-8.6999999999999993</v>
      </c>
      <c r="K631" s="2">
        <f t="shared" si="83"/>
        <v>-8.3999999999999986</v>
      </c>
      <c r="L631" s="8">
        <f t="shared" si="87"/>
        <v>7.2443596007498734E-12</v>
      </c>
      <c r="M631" s="26"/>
      <c r="N631" s="17"/>
      <c r="O631" s="9">
        <f t="shared" si="85"/>
        <v>-8.6999999999999993</v>
      </c>
      <c r="P631" s="8">
        <f>D626/B626*10^(O631/10)</f>
        <v>5.2609552421074479</v>
      </c>
      <c r="Q631" s="26"/>
      <c r="R631" s="17"/>
      <c r="S631" s="20"/>
      <c r="T631" s="17"/>
      <c r="U631" s="23"/>
    </row>
    <row r="632" spans="1:21" x14ac:dyDescent="0.25">
      <c r="A632" s="24">
        <v>2000</v>
      </c>
      <c r="B632" s="24">
        <v>3</v>
      </c>
      <c r="C632" s="17">
        <v>0.5</v>
      </c>
      <c r="D632" s="24">
        <v>234</v>
      </c>
      <c r="E632" s="24">
        <v>6</v>
      </c>
      <c r="F632" s="25">
        <v>68</v>
      </c>
      <c r="G632" s="1">
        <v>1425</v>
      </c>
      <c r="H632" s="2">
        <v>102.8</v>
      </c>
      <c r="I632" s="2">
        <v>-5.0999999999999996</v>
      </c>
      <c r="J632" s="2">
        <v>-6.8</v>
      </c>
      <c r="K632" s="2">
        <f t="shared" si="83"/>
        <v>-5.0999999999999996</v>
      </c>
      <c r="L632" s="8">
        <f t="shared" si="87"/>
        <v>1.6218100973589298E-11</v>
      </c>
      <c r="M632" s="26">
        <f>SUM(L632:L637)</f>
        <v>4.3467984306452928E-10</v>
      </c>
      <c r="N632" s="17">
        <f>10*LOG10(M632/E632)</f>
        <v>-101.39981748791415</v>
      </c>
      <c r="O632" s="9">
        <f t="shared" si="85"/>
        <v>-6.8</v>
      </c>
      <c r="P632" s="8">
        <f>D632/B632*10^(O632/10)</f>
        <v>16.296509820661509</v>
      </c>
      <c r="Q632" s="26">
        <f>SUM(P632:P637)</f>
        <v>116.95356649213805</v>
      </c>
      <c r="R632" s="17">
        <f>10*LOG10(Q632)</f>
        <v>20.68013470131817</v>
      </c>
      <c r="S632" s="18">
        <f>F632+N632-Kzt-H</f>
        <v>-33.399817487914149</v>
      </c>
      <c r="T632" s="17">
        <v>1</v>
      </c>
      <c r="U632" s="21">
        <f>T632*10^((S632-R632)/10)</f>
        <v>3.90845198519447E-6</v>
      </c>
    </row>
    <row r="633" spans="1:21" x14ac:dyDescent="0.25">
      <c r="A633" s="24"/>
      <c r="B633" s="24"/>
      <c r="C633" s="17"/>
      <c r="D633" s="24"/>
      <c r="E633" s="24"/>
      <c r="F633" s="25"/>
      <c r="G633" s="1">
        <v>1625</v>
      </c>
      <c r="H633" s="2">
        <v>104.1</v>
      </c>
      <c r="I633" s="2">
        <v>-5.4</v>
      </c>
      <c r="J633" s="2">
        <v>-6.6</v>
      </c>
      <c r="K633" s="2">
        <f t="shared" si="83"/>
        <v>-5.4</v>
      </c>
      <c r="L633" s="8">
        <f t="shared" si="87"/>
        <v>1.1220184543019613E-11</v>
      </c>
      <c r="M633" s="26"/>
      <c r="N633" s="17"/>
      <c r="O633" s="9">
        <f t="shared" si="85"/>
        <v>-6.6</v>
      </c>
      <c r="P633" s="8">
        <f>D632/B632*10^(O633/10)</f>
        <v>17.064540666806511</v>
      </c>
      <c r="Q633" s="26"/>
      <c r="R633" s="17"/>
      <c r="S633" s="19"/>
      <c r="T633" s="17"/>
      <c r="U633" s="22"/>
    </row>
    <row r="634" spans="1:21" x14ac:dyDescent="0.25">
      <c r="A634" s="24"/>
      <c r="B634" s="24"/>
      <c r="C634" s="17"/>
      <c r="D634" s="24"/>
      <c r="E634" s="24"/>
      <c r="F634" s="25"/>
      <c r="G634" s="1">
        <v>1825</v>
      </c>
      <c r="H634" s="2">
        <v>107.6</v>
      </c>
      <c r="I634" s="2">
        <v>-9.5</v>
      </c>
      <c r="J634" s="2">
        <v>-10.6</v>
      </c>
      <c r="K634" s="2">
        <f t="shared" si="83"/>
        <v>-9.5</v>
      </c>
      <c r="L634" s="8">
        <f t="shared" si="87"/>
        <v>1.9498445997580419E-12</v>
      </c>
      <c r="M634" s="26"/>
      <c r="N634" s="17"/>
      <c r="O634" s="9">
        <f t="shared" si="85"/>
        <v>-10.6</v>
      </c>
      <c r="P634" s="8">
        <f>D632/B632*10^(O634/10)</f>
        <v>6.7935160016574248</v>
      </c>
      <c r="Q634" s="26"/>
      <c r="R634" s="17"/>
      <c r="S634" s="19"/>
      <c r="T634" s="17"/>
      <c r="U634" s="22"/>
    </row>
    <row r="635" spans="1:21" x14ac:dyDescent="0.25">
      <c r="A635" s="24"/>
      <c r="B635" s="24"/>
      <c r="C635" s="17"/>
      <c r="D635" s="24"/>
      <c r="E635" s="24"/>
      <c r="F635" s="25"/>
      <c r="G635" s="1">
        <v>2125</v>
      </c>
      <c r="H635" s="2">
        <v>104.2</v>
      </c>
      <c r="I635" s="2">
        <v>-3.1</v>
      </c>
      <c r="J635" s="2">
        <v>-6.4</v>
      </c>
      <c r="K635" s="2">
        <f t="shared" si="83"/>
        <v>-3.1</v>
      </c>
      <c r="L635" s="8">
        <f t="shared" si="87"/>
        <v>1.8620871366628599E-11</v>
      </c>
      <c r="M635" s="26"/>
      <c r="N635" s="17"/>
      <c r="O635" s="9">
        <f t="shared" si="85"/>
        <v>-6.4</v>
      </c>
      <c r="P635" s="8">
        <f>D632/B632*10^(O635/10)</f>
        <v>17.86876769158863</v>
      </c>
      <c r="Q635" s="26"/>
      <c r="R635" s="17"/>
      <c r="S635" s="19"/>
      <c r="T635" s="17"/>
      <c r="U635" s="22"/>
    </row>
    <row r="636" spans="1:21" x14ac:dyDescent="0.25">
      <c r="A636" s="24"/>
      <c r="B636" s="24"/>
      <c r="C636" s="17"/>
      <c r="D636" s="24"/>
      <c r="E636" s="24"/>
      <c r="F636" s="25"/>
      <c r="G636" s="1">
        <v>2425</v>
      </c>
      <c r="H636" s="2">
        <v>93.7</v>
      </c>
      <c r="I636" s="2">
        <v>-0.59999999999999987</v>
      </c>
      <c r="J636" s="2">
        <v>-1.7</v>
      </c>
      <c r="K636" s="2">
        <f t="shared" si="83"/>
        <v>-0.59999999999999987</v>
      </c>
      <c r="L636" s="8">
        <f t="shared" si="87"/>
        <v>3.7153522909717169E-10</v>
      </c>
      <c r="M636" s="26"/>
      <c r="N636" s="17"/>
      <c r="O636" s="9">
        <f t="shared" si="85"/>
        <v>-1.7</v>
      </c>
      <c r="P636" s="8">
        <f>D632/B632*10^(O636/10)</f>
        <v>52.734472080574584</v>
      </c>
      <c r="Q636" s="26"/>
      <c r="R636" s="17"/>
      <c r="S636" s="19"/>
      <c r="T636" s="17"/>
      <c r="U636" s="22"/>
    </row>
    <row r="637" spans="1:21" x14ac:dyDescent="0.25">
      <c r="A637" s="24"/>
      <c r="B637" s="24"/>
      <c r="C637" s="17"/>
      <c r="D637" s="24"/>
      <c r="E637" s="24"/>
      <c r="F637" s="25"/>
      <c r="G637" s="1">
        <v>2775</v>
      </c>
      <c r="H637" s="2">
        <v>100.2</v>
      </c>
      <c r="I637" s="2">
        <v>-8</v>
      </c>
      <c r="J637" s="2">
        <v>-11</v>
      </c>
      <c r="K637" s="2">
        <f t="shared" si="83"/>
        <v>-8</v>
      </c>
      <c r="L637" s="8">
        <f t="shared" si="87"/>
        <v>1.5135612484362034E-11</v>
      </c>
      <c r="M637" s="26"/>
      <c r="N637" s="17"/>
      <c r="O637" s="9">
        <f t="shared" si="85"/>
        <v>-11</v>
      </c>
      <c r="P637" s="8">
        <f>D632/B632*10^(O637/10)</f>
        <v>6.1957602308493911</v>
      </c>
      <c r="Q637" s="26"/>
      <c r="R637" s="17"/>
      <c r="S637" s="20"/>
      <c r="T637" s="17"/>
      <c r="U637" s="23"/>
    </row>
    <row r="638" spans="1:21" x14ac:dyDescent="0.25">
      <c r="A638" s="24">
        <v>4000</v>
      </c>
      <c r="B638" s="24">
        <v>3</v>
      </c>
      <c r="C638" s="17">
        <v>0.5</v>
      </c>
      <c r="D638" s="24">
        <v>470</v>
      </c>
      <c r="E638" s="24">
        <v>6</v>
      </c>
      <c r="F638" s="25">
        <v>62</v>
      </c>
      <c r="G638" s="1">
        <v>2825</v>
      </c>
      <c r="H638" s="2">
        <v>99.4</v>
      </c>
      <c r="I638" s="2">
        <v>-5</v>
      </c>
      <c r="J638" s="2">
        <v>-5.9</v>
      </c>
      <c r="K638" s="2">
        <f t="shared" si="83"/>
        <v>-5</v>
      </c>
      <c r="L638" s="8">
        <f t="shared" si="87"/>
        <v>3.6307805477009883E-11</v>
      </c>
      <c r="M638" s="26">
        <f>SUM(L638:L643)</f>
        <v>2.7591399710025665E-10</v>
      </c>
      <c r="N638" s="17">
        <f>10*LOG10(M638/E638)</f>
        <v>-103.37377517613007</v>
      </c>
      <c r="O638" s="9">
        <f t="shared" si="85"/>
        <v>-5.9</v>
      </c>
      <c r="P638" s="8">
        <f>D638/B638*10^(O638/10)</f>
        <v>40.269533930045512</v>
      </c>
      <c r="Q638" s="26">
        <f>SUM(P638:P643)</f>
        <v>611.15239321859656</v>
      </c>
      <c r="R638" s="17">
        <f>10*LOG10(Q638)</f>
        <v>27.861495167591986</v>
      </c>
      <c r="S638" s="18">
        <f>F638+N638-Kzt-H</f>
        <v>-41.373775176130067</v>
      </c>
      <c r="T638" s="17">
        <v>0.9</v>
      </c>
      <c r="U638" s="21">
        <f>T638*10^((S638-R638)/10)</f>
        <v>1.0732860262706723E-7</v>
      </c>
    </row>
    <row r="639" spans="1:21" x14ac:dyDescent="0.25">
      <c r="A639" s="24"/>
      <c r="B639" s="24"/>
      <c r="C639" s="17"/>
      <c r="D639" s="24"/>
      <c r="E639" s="24"/>
      <c r="F639" s="25"/>
      <c r="G639" s="1">
        <v>3425</v>
      </c>
      <c r="H639" s="2">
        <v>103.5</v>
      </c>
      <c r="I639" s="2">
        <v>-1.7</v>
      </c>
      <c r="J639" s="2">
        <v>-8.4</v>
      </c>
      <c r="K639" s="2">
        <f t="shared" si="83"/>
        <v>-1.7</v>
      </c>
      <c r="L639" s="8">
        <f t="shared" si="87"/>
        <v>3.0199517204020087E-11</v>
      </c>
      <c r="M639" s="26"/>
      <c r="N639" s="17"/>
      <c r="O639" s="9">
        <f t="shared" si="85"/>
        <v>-8.4</v>
      </c>
      <c r="P639" s="8">
        <f>D638/B638*10^(O639/10)</f>
        <v>22.645223075019519</v>
      </c>
      <c r="Q639" s="26"/>
      <c r="R639" s="17"/>
      <c r="S639" s="19"/>
      <c r="T639" s="17"/>
      <c r="U639" s="22"/>
    </row>
    <row r="640" spans="1:21" x14ac:dyDescent="0.25">
      <c r="A640" s="24"/>
      <c r="B640" s="24"/>
      <c r="C640" s="17"/>
      <c r="D640" s="24"/>
      <c r="E640" s="24"/>
      <c r="F640" s="25"/>
      <c r="G640" s="1">
        <v>4025</v>
      </c>
      <c r="H640" s="2">
        <v>103.6</v>
      </c>
      <c r="I640" s="2">
        <v>-2.4</v>
      </c>
      <c r="J640" s="2">
        <v>-3.3</v>
      </c>
      <c r="K640" s="2">
        <f t="shared" si="83"/>
        <v>-2.4</v>
      </c>
      <c r="L640" s="8">
        <f t="shared" si="87"/>
        <v>2.5118864315095759E-11</v>
      </c>
      <c r="M640" s="26"/>
      <c r="N640" s="17"/>
      <c r="O640" s="9">
        <f t="shared" si="85"/>
        <v>-3.3</v>
      </c>
      <c r="P640" s="8">
        <f>D638/B638*10^(O640/10)</f>
        <v>73.278505468327708</v>
      </c>
      <c r="Q640" s="26"/>
      <c r="R640" s="17"/>
      <c r="S640" s="19"/>
      <c r="T640" s="17"/>
      <c r="U640" s="22"/>
    </row>
    <row r="641" spans="1:21" x14ac:dyDescent="0.25">
      <c r="A641" s="24"/>
      <c r="B641" s="24"/>
      <c r="C641" s="17"/>
      <c r="D641" s="24"/>
      <c r="E641" s="24"/>
      <c r="F641" s="25"/>
      <c r="G641" s="1">
        <v>4625</v>
      </c>
      <c r="H641" s="2">
        <v>105.6</v>
      </c>
      <c r="I641" s="2">
        <v>1.2</v>
      </c>
      <c r="J641" s="2">
        <v>-0.8</v>
      </c>
      <c r="K641" s="2">
        <f t="shared" si="83"/>
        <v>1.2</v>
      </c>
      <c r="L641" s="8">
        <f t="shared" si="87"/>
        <v>3.6307805477010142E-11</v>
      </c>
      <c r="M641" s="26"/>
      <c r="N641" s="17"/>
      <c r="O641" s="9">
        <f t="shared" si="85"/>
        <v>-0.8</v>
      </c>
      <c r="P641" s="8">
        <f>D638/B638*10^(O641/10)</f>
        <v>130.30965747275178</v>
      </c>
      <c r="Q641" s="26"/>
      <c r="R641" s="17"/>
      <c r="S641" s="19"/>
      <c r="T641" s="17"/>
      <c r="U641" s="22"/>
    </row>
    <row r="642" spans="1:21" x14ac:dyDescent="0.25">
      <c r="A642" s="24"/>
      <c r="B642" s="24"/>
      <c r="C642" s="17"/>
      <c r="D642" s="24"/>
      <c r="E642" s="24"/>
      <c r="F642" s="25"/>
      <c r="G642" s="1">
        <v>5225</v>
      </c>
      <c r="H642" s="2">
        <v>103.5</v>
      </c>
      <c r="I642" s="2">
        <v>3.3</v>
      </c>
      <c r="J642" s="2">
        <v>2.6</v>
      </c>
      <c r="K642" s="2">
        <f t="shared" si="83"/>
        <v>3.3</v>
      </c>
      <c r="L642" s="8">
        <f t="shared" si="87"/>
        <v>9.5499258602143585E-11</v>
      </c>
      <c r="M642" s="26"/>
      <c r="N642" s="17"/>
      <c r="O642" s="9">
        <f t="shared" si="85"/>
        <v>2.6</v>
      </c>
      <c r="P642" s="8">
        <f>D638/B638*10^(O642/10)</f>
        <v>285.08646784889743</v>
      </c>
      <c r="Q642" s="26"/>
      <c r="R642" s="17"/>
      <c r="S642" s="19"/>
      <c r="T642" s="17"/>
      <c r="U642" s="22"/>
    </row>
    <row r="643" spans="1:21" x14ac:dyDescent="0.25">
      <c r="A643" s="24"/>
      <c r="B643" s="24"/>
      <c r="C643" s="17"/>
      <c r="D643" s="24"/>
      <c r="E643" s="24"/>
      <c r="F643" s="25"/>
      <c r="G643" s="1">
        <v>5625</v>
      </c>
      <c r="H643" s="2">
        <v>99.5</v>
      </c>
      <c r="I643" s="2">
        <v>-3.3</v>
      </c>
      <c r="J643" s="2">
        <v>-4.2</v>
      </c>
      <c r="K643" s="2">
        <f t="shared" si="83"/>
        <v>-3.3</v>
      </c>
      <c r="L643" s="8">
        <f t="shared" si="87"/>
        <v>5.2480746024977191E-11</v>
      </c>
      <c r="M643" s="26"/>
      <c r="N643" s="17"/>
      <c r="O643" s="9">
        <f t="shared" si="85"/>
        <v>-4.2</v>
      </c>
      <c r="P643" s="8">
        <f>D638/B638*10^(O643/10)</f>
        <v>59.563005423554564</v>
      </c>
      <c r="Q643" s="26"/>
      <c r="R643" s="17"/>
      <c r="S643" s="20"/>
      <c r="T643" s="17"/>
      <c r="U643" s="23"/>
    </row>
    <row r="644" spans="1:21" x14ac:dyDescent="0.25">
      <c r="A644" s="24">
        <v>8000</v>
      </c>
      <c r="B644" s="24">
        <v>3</v>
      </c>
      <c r="C644" s="17">
        <v>0.5</v>
      </c>
      <c r="D644" s="24">
        <v>943</v>
      </c>
      <c r="E644" s="24">
        <v>6</v>
      </c>
      <c r="F644" s="25">
        <v>54</v>
      </c>
      <c r="G644" s="1">
        <v>6025</v>
      </c>
      <c r="H644" s="2">
        <v>95</v>
      </c>
      <c r="I644" s="2">
        <v>-1.6</v>
      </c>
      <c r="J644" s="2">
        <v>-3.2</v>
      </c>
      <c r="K644" s="2">
        <f t="shared" si="83"/>
        <v>-1.6</v>
      </c>
      <c r="L644" s="8">
        <f t="shared" si="87"/>
        <v>2.1877616239495448E-10</v>
      </c>
      <c r="M644" s="26">
        <f>SUM(L644:L649)</f>
        <v>5.5371429751641686E-8</v>
      </c>
      <c r="N644" s="17">
        <f>10*LOG10(M644/E644)</f>
        <v>-80.348655127624113</v>
      </c>
      <c r="O644" s="9">
        <f t="shared" si="85"/>
        <v>-3.2</v>
      </c>
      <c r="P644" s="8">
        <f>D644/B644*10^(O644/10)</f>
        <v>150.44939235341596</v>
      </c>
      <c r="Q644" s="26">
        <f>SUM(P644:P649)</f>
        <v>21798.042249870869</v>
      </c>
      <c r="R644" s="17">
        <f>10*LOG10(Q644)</f>
        <v>43.384174900147769</v>
      </c>
      <c r="S644" s="18">
        <f>F644+N644-Kzt-H</f>
        <v>-26.348655127624113</v>
      </c>
      <c r="T644" s="17">
        <v>0.7</v>
      </c>
      <c r="U644" s="21">
        <f>T644*10^((S644-R644)/10)</f>
        <v>7.4441486567508118E-8</v>
      </c>
    </row>
    <row r="645" spans="1:21" x14ac:dyDescent="0.25">
      <c r="A645" s="24"/>
      <c r="B645" s="24"/>
      <c r="C645" s="17"/>
      <c r="D645" s="24"/>
      <c r="E645" s="24"/>
      <c r="F645" s="25"/>
      <c r="G645" s="1">
        <v>7025</v>
      </c>
      <c r="H645" s="2">
        <v>94.8</v>
      </c>
      <c r="I645" s="2">
        <v>7.5</v>
      </c>
      <c r="J645" s="2">
        <v>5.7</v>
      </c>
      <c r="K645" s="2">
        <f t="shared" si="83"/>
        <v>7.5</v>
      </c>
      <c r="L645" s="8">
        <f t="shared" si="87"/>
        <v>1.8620871366628641E-9</v>
      </c>
      <c r="M645" s="26"/>
      <c r="N645" s="17"/>
      <c r="O645" s="9">
        <f t="shared" si="85"/>
        <v>5.7</v>
      </c>
      <c r="P645" s="8">
        <f>D644/B644*10^(O645/10)</f>
        <v>1167.8590701287792</v>
      </c>
      <c r="Q645" s="26"/>
      <c r="R645" s="17"/>
      <c r="S645" s="19"/>
      <c r="T645" s="17"/>
      <c r="U645" s="22"/>
    </row>
    <row r="646" spans="1:21" x14ac:dyDescent="0.25">
      <c r="A646" s="24"/>
      <c r="B646" s="24"/>
      <c r="C646" s="17"/>
      <c r="D646" s="24"/>
      <c r="E646" s="24"/>
      <c r="F646" s="25"/>
      <c r="G646" s="1">
        <v>8025</v>
      </c>
      <c r="H646" s="2">
        <v>101.9</v>
      </c>
      <c r="I646" s="2">
        <v>-0.7</v>
      </c>
      <c r="J646" s="2">
        <v>-3.4</v>
      </c>
      <c r="K646" s="2">
        <f t="shared" si="83"/>
        <v>-0.7</v>
      </c>
      <c r="L646" s="8">
        <f t="shared" si="87"/>
        <v>5.4954087385762175E-11</v>
      </c>
      <c r="M646" s="26"/>
      <c r="N646" s="17"/>
      <c r="O646" s="9">
        <f t="shared" si="85"/>
        <v>-3.4</v>
      </c>
      <c r="P646" s="8">
        <f>D644/B644*10^(O646/10)</f>
        <v>143.67805426894236</v>
      </c>
      <c r="Q646" s="26"/>
      <c r="R646" s="17"/>
      <c r="S646" s="19"/>
      <c r="T646" s="17"/>
      <c r="U646" s="22"/>
    </row>
    <row r="647" spans="1:21" x14ac:dyDescent="0.25">
      <c r="A647" s="24"/>
      <c r="B647" s="24"/>
      <c r="C647" s="17"/>
      <c r="D647" s="24"/>
      <c r="E647" s="24"/>
      <c r="F647" s="25"/>
      <c r="G647" s="1">
        <v>9025</v>
      </c>
      <c r="H647" s="2">
        <v>93.2</v>
      </c>
      <c r="I647" s="2">
        <v>19.899999999999999</v>
      </c>
      <c r="J647" s="2">
        <v>18</v>
      </c>
      <c r="K647" s="2">
        <f t="shared" si="83"/>
        <v>19.899999999999999</v>
      </c>
      <c r="L647" s="8">
        <f t="shared" si="87"/>
        <v>4.6773514128719603E-8</v>
      </c>
      <c r="M647" s="26"/>
      <c r="N647" s="17"/>
      <c r="O647" s="9">
        <f t="shared" si="85"/>
        <v>18</v>
      </c>
      <c r="P647" s="8">
        <f>D644/B644*10^(O647/10)</f>
        <v>19833.092528160752</v>
      </c>
      <c r="Q647" s="26"/>
      <c r="R647" s="17"/>
      <c r="S647" s="19"/>
      <c r="T647" s="17"/>
      <c r="U647" s="22"/>
    </row>
    <row r="648" spans="1:21" x14ac:dyDescent="0.25">
      <c r="A648" s="24"/>
      <c r="B648" s="24"/>
      <c r="C648" s="17"/>
      <c r="D648" s="24"/>
      <c r="E648" s="24"/>
      <c r="F648" s="25"/>
      <c r="G648" s="1">
        <v>10025</v>
      </c>
      <c r="H648" s="2">
        <v>88.3</v>
      </c>
      <c r="I648" s="2">
        <v>1.3</v>
      </c>
      <c r="J648" s="2">
        <v>1.2</v>
      </c>
      <c r="K648" s="2">
        <f t="shared" si="83"/>
        <v>1.3</v>
      </c>
      <c r="L648" s="8">
        <f t="shared" si="87"/>
        <v>1.9952623149688824E-9</v>
      </c>
      <c r="M648" s="26"/>
      <c r="N648" s="17"/>
      <c r="O648" s="9">
        <f t="shared" si="85"/>
        <v>1.2</v>
      </c>
      <c r="P648" s="8">
        <f>D644/B644*10^(O648/10)</f>
        <v>414.37203481956396</v>
      </c>
      <c r="Q648" s="26"/>
      <c r="R648" s="17"/>
      <c r="S648" s="19"/>
      <c r="T648" s="17"/>
      <c r="U648" s="22"/>
    </row>
    <row r="649" spans="1:21" x14ac:dyDescent="0.25">
      <c r="A649" s="24"/>
      <c r="B649" s="24"/>
      <c r="C649" s="17"/>
      <c r="D649" s="24"/>
      <c r="E649" s="24"/>
      <c r="F649" s="25"/>
      <c r="G649" s="1">
        <v>11025</v>
      </c>
      <c r="H649" s="2">
        <v>86</v>
      </c>
      <c r="I649" s="2">
        <v>2.5</v>
      </c>
      <c r="J649" s="2">
        <v>-5.5</v>
      </c>
      <c r="K649" s="2">
        <f t="shared" si="83"/>
        <v>2.5</v>
      </c>
      <c r="L649" s="8">
        <f t="shared" si="87"/>
        <v>4.4668359215096219E-9</v>
      </c>
      <c r="M649" s="26"/>
      <c r="N649" s="17"/>
      <c r="O649" s="9">
        <f t="shared" si="85"/>
        <v>-5.5</v>
      </c>
      <c r="P649" s="8">
        <f>D644/B644*10^(O649/10)</f>
        <v>88.59117013941264</v>
      </c>
      <c r="Q649" s="26"/>
      <c r="R649" s="17"/>
      <c r="S649" s="20"/>
      <c r="T649" s="17"/>
      <c r="U649" s="23"/>
    </row>
    <row r="650" spans="1:21" x14ac:dyDescent="0.25">
      <c r="A650" s="24" t="s">
        <v>20</v>
      </c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12">
        <f>U650</f>
        <v>3.1247642609037909E-2</v>
      </c>
      <c r="T650" s="2"/>
      <c r="U650" s="8">
        <f>0.8*SQRT(SUM(U616:U649))</f>
        <v>3.1247642609037909E-2</v>
      </c>
    </row>
    <row r="651" spans="1:21" x14ac:dyDescent="0.25">
      <c r="A651" s="27" t="s">
        <v>90</v>
      </c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9"/>
    </row>
    <row r="652" spans="1:21" x14ac:dyDescent="0.25">
      <c r="A652" s="24">
        <v>250</v>
      </c>
      <c r="B652" s="24">
        <v>3</v>
      </c>
      <c r="C652" s="17">
        <v>0.5</v>
      </c>
      <c r="D652" s="24">
        <v>38</v>
      </c>
      <c r="E652" s="24">
        <v>4</v>
      </c>
      <c r="F652" s="25">
        <v>84</v>
      </c>
      <c r="G652" s="1">
        <v>175</v>
      </c>
      <c r="H652" s="2">
        <v>84.8</v>
      </c>
      <c r="I652" s="2">
        <v>-10.200000000000001</v>
      </c>
      <c r="J652" s="2">
        <v>-10.9</v>
      </c>
      <c r="K652" s="2">
        <f>I652</f>
        <v>-10.200000000000001</v>
      </c>
      <c r="L652" s="8">
        <f>10^((K652-H652)/10)</f>
        <v>3.1622776601683744E-10</v>
      </c>
      <c r="M652" s="26">
        <f>SUM(L652:L655)</f>
        <v>7.0424921130598518E-9</v>
      </c>
      <c r="N652" s="17">
        <f>10*LOG10(M652/E652)</f>
        <v>-87.543336220395517</v>
      </c>
      <c r="O652" s="9">
        <f>J652</f>
        <v>-10.9</v>
      </c>
      <c r="P652" s="8">
        <f>D652/B652*10^(O652/10)</f>
        <v>1.0295853204745253</v>
      </c>
      <c r="Q652" s="26">
        <f>SUM(P652:P655)</f>
        <v>147.21021525172671</v>
      </c>
      <c r="R652" s="17">
        <f>10*LOG10(Q652)</f>
        <v>21.679379477292361</v>
      </c>
      <c r="S652" s="18">
        <f>F652+N652-Kzt-H</f>
        <v>-3.543336220395517</v>
      </c>
      <c r="T652" s="17">
        <v>0.2</v>
      </c>
      <c r="U652" s="21">
        <f>T652*10^((S652-R652)/10)</f>
        <v>6.008394306250696E-4</v>
      </c>
    </row>
    <row r="653" spans="1:21" x14ac:dyDescent="0.25">
      <c r="A653" s="24"/>
      <c r="B653" s="24"/>
      <c r="C653" s="17"/>
      <c r="D653" s="24"/>
      <c r="E653" s="24"/>
      <c r="F653" s="25"/>
      <c r="G653" s="1">
        <v>225</v>
      </c>
      <c r="H653" s="2">
        <v>90</v>
      </c>
      <c r="I653" s="2">
        <v>-12.5</v>
      </c>
      <c r="J653" s="2">
        <v>-15.2</v>
      </c>
      <c r="K653" s="2">
        <f t="shared" ref="K653:K685" si="88">I653</f>
        <v>-12.5</v>
      </c>
      <c r="L653" s="8">
        <f t="shared" ref="L653:L654" si="89">10^((K653-H653)/10)</f>
        <v>5.6234132519034822E-11</v>
      </c>
      <c r="M653" s="26"/>
      <c r="N653" s="17"/>
      <c r="O653" s="9">
        <f t="shared" ref="O653:O685" si="90">J653</f>
        <v>-15.2</v>
      </c>
      <c r="P653" s="8">
        <f>D652/B652*10^(O653/10)</f>
        <v>0.38252721791758848</v>
      </c>
      <c r="Q653" s="26"/>
      <c r="R653" s="17"/>
      <c r="S653" s="19"/>
      <c r="T653" s="17"/>
      <c r="U653" s="22"/>
    </row>
    <row r="654" spans="1:21" x14ac:dyDescent="0.25">
      <c r="A654" s="24"/>
      <c r="B654" s="24"/>
      <c r="C654" s="17"/>
      <c r="D654" s="24"/>
      <c r="E654" s="24"/>
      <c r="F654" s="25"/>
      <c r="G654" s="1">
        <v>275</v>
      </c>
      <c r="H654" s="2">
        <v>92.2</v>
      </c>
      <c r="I654" s="2">
        <v>-9.8000000000000007</v>
      </c>
      <c r="J654" s="2">
        <v>-15.4</v>
      </c>
      <c r="K654" s="2">
        <f t="shared" si="88"/>
        <v>-9.8000000000000007</v>
      </c>
      <c r="L654" s="8">
        <f t="shared" si="89"/>
        <v>6.3095734448019192E-11</v>
      </c>
      <c r="M654" s="26"/>
      <c r="N654" s="17"/>
      <c r="O654" s="9">
        <f t="shared" si="90"/>
        <v>-15.4</v>
      </c>
      <c r="P654" s="8">
        <f>D652/B652*10^(O654/10)</f>
        <v>0.36531065706270327</v>
      </c>
      <c r="Q654" s="26"/>
      <c r="R654" s="17"/>
      <c r="S654" s="19"/>
      <c r="T654" s="17"/>
      <c r="U654" s="22"/>
    </row>
    <row r="655" spans="1:21" x14ac:dyDescent="0.25">
      <c r="A655" s="24"/>
      <c r="B655" s="24"/>
      <c r="C655" s="17"/>
      <c r="D655" s="24"/>
      <c r="E655" s="24"/>
      <c r="F655" s="25"/>
      <c r="G655" s="1">
        <v>325</v>
      </c>
      <c r="H655" s="2">
        <v>93.3</v>
      </c>
      <c r="I655" s="2">
        <v>11.5</v>
      </c>
      <c r="J655" s="2">
        <v>10.6</v>
      </c>
      <c r="K655" s="2">
        <f t="shared" si="88"/>
        <v>11.5</v>
      </c>
      <c r="L655" s="8">
        <f>10^((K655-H655)/10)</f>
        <v>6.6069344800759602E-9</v>
      </c>
      <c r="M655" s="26"/>
      <c r="N655" s="17"/>
      <c r="O655" s="9">
        <f t="shared" si="90"/>
        <v>10.6</v>
      </c>
      <c r="P655" s="8">
        <f>D652/B652*10^(O655/10)</f>
        <v>145.43279205627189</v>
      </c>
      <c r="Q655" s="26"/>
      <c r="R655" s="17"/>
      <c r="S655" s="20"/>
      <c r="T655" s="17"/>
      <c r="U655" s="23"/>
    </row>
    <row r="656" spans="1:21" x14ac:dyDescent="0.25">
      <c r="A656" s="24">
        <v>500</v>
      </c>
      <c r="B656" s="24">
        <v>3</v>
      </c>
      <c r="C656" s="17">
        <v>0.5</v>
      </c>
      <c r="D656" s="24">
        <v>59</v>
      </c>
      <c r="E656" s="24">
        <v>6</v>
      </c>
      <c r="F656" s="25">
        <v>84</v>
      </c>
      <c r="G656" s="1">
        <v>375</v>
      </c>
      <c r="H656" s="2">
        <v>91.9</v>
      </c>
      <c r="I656" s="2">
        <v>7.9</v>
      </c>
      <c r="J656" s="2">
        <v>7.8</v>
      </c>
      <c r="K656" s="2">
        <f t="shared" si="88"/>
        <v>7.9</v>
      </c>
      <c r="L656" s="8">
        <f t="shared" ref="L656:L657" si="91">10^((K656-H656)/10)</f>
        <v>3.9810717055349665E-9</v>
      </c>
      <c r="M656" s="26">
        <f>SUM(L656:L661)</f>
        <v>4.6379033695168142E-9</v>
      </c>
      <c r="N656" s="17">
        <f>10*LOG10(M656/E656)</f>
        <v>-91.118295544910779</v>
      </c>
      <c r="O656" s="9">
        <f t="shared" si="90"/>
        <v>7.8</v>
      </c>
      <c r="P656" s="8">
        <f>D656/B656*10^(O656/10)</f>
        <v>118.5033852612904</v>
      </c>
      <c r="Q656" s="26">
        <f>SUM(P656:P661)</f>
        <v>155.09420200014119</v>
      </c>
      <c r="R656" s="17">
        <f>10*LOG10(Q656)</f>
        <v>21.905955625691753</v>
      </c>
      <c r="S656" s="18">
        <f>F656+N656-Kzt-H</f>
        <v>-7.1182955449107794</v>
      </c>
      <c r="T656" s="17">
        <v>0.5</v>
      </c>
      <c r="U656" s="21">
        <f>T656*10^((S656-R656)/10)</f>
        <v>6.2595755753070412E-4</v>
      </c>
    </row>
    <row r="657" spans="1:21" x14ac:dyDescent="0.25">
      <c r="A657" s="24"/>
      <c r="B657" s="24"/>
      <c r="C657" s="17"/>
      <c r="D657" s="24"/>
      <c r="E657" s="24"/>
      <c r="F657" s="25"/>
      <c r="G657" s="1">
        <v>425</v>
      </c>
      <c r="H657" s="2">
        <v>88.1</v>
      </c>
      <c r="I657" s="2">
        <v>-17.2</v>
      </c>
      <c r="J657" s="2">
        <v>-20.6</v>
      </c>
      <c r="K657" s="2">
        <f t="shared" si="88"/>
        <v>-17.2</v>
      </c>
      <c r="L657" s="8">
        <f t="shared" si="91"/>
        <v>2.9512092266663787E-11</v>
      </c>
      <c r="M657" s="26"/>
      <c r="N657" s="17"/>
      <c r="O657" s="9">
        <f t="shared" si="90"/>
        <v>-20.6</v>
      </c>
      <c r="P657" s="8">
        <f>D656/B656*10^(O657/10)</f>
        <v>0.17128950602469575</v>
      </c>
      <c r="Q657" s="26"/>
      <c r="R657" s="17"/>
      <c r="S657" s="19"/>
      <c r="T657" s="17"/>
      <c r="U657" s="22"/>
    </row>
    <row r="658" spans="1:21" x14ac:dyDescent="0.25">
      <c r="A658" s="24"/>
      <c r="B658" s="24"/>
      <c r="C658" s="17"/>
      <c r="D658" s="24"/>
      <c r="E658" s="24"/>
      <c r="F658" s="25"/>
      <c r="G658" s="1">
        <v>475</v>
      </c>
      <c r="H658" s="2">
        <v>90</v>
      </c>
      <c r="I658" s="2">
        <v>-14.7</v>
      </c>
      <c r="J658" s="2">
        <v>-22</v>
      </c>
      <c r="K658" s="2">
        <f t="shared" si="88"/>
        <v>-14.7</v>
      </c>
      <c r="L658" s="8">
        <f>10^((K658-H658)/10)</f>
        <v>3.3884415613920157E-11</v>
      </c>
      <c r="M658" s="26"/>
      <c r="N658" s="17"/>
      <c r="O658" s="9">
        <f t="shared" si="90"/>
        <v>-22</v>
      </c>
      <c r="P658" s="8">
        <f>D656/B656*10^(O658/10)</f>
        <v>0.1240882777477712</v>
      </c>
      <c r="Q658" s="26"/>
      <c r="R658" s="17"/>
      <c r="S658" s="19"/>
      <c r="T658" s="17"/>
      <c r="U658" s="22"/>
    </row>
    <row r="659" spans="1:21" x14ac:dyDescent="0.25">
      <c r="A659" s="24"/>
      <c r="B659" s="24"/>
      <c r="C659" s="17"/>
      <c r="D659" s="24"/>
      <c r="E659" s="24"/>
      <c r="F659" s="25"/>
      <c r="G659" s="1">
        <v>575</v>
      </c>
      <c r="H659" s="2">
        <v>97</v>
      </c>
      <c r="I659" s="2">
        <v>2.2999999999999998</v>
      </c>
      <c r="J659" s="2">
        <v>2.1</v>
      </c>
      <c r="K659" s="2">
        <f t="shared" si="88"/>
        <v>2.2999999999999998</v>
      </c>
      <c r="L659" s="8">
        <f t="shared" ref="L659:L685" si="92">10^((K659-H659)/10)</f>
        <v>3.3884415613920192E-10</v>
      </c>
      <c r="M659" s="26"/>
      <c r="N659" s="17"/>
      <c r="O659" s="9">
        <f t="shared" si="90"/>
        <v>2.1</v>
      </c>
      <c r="P659" s="8">
        <f>D656/B656*10^(O659/10)</f>
        <v>31.895598581392296</v>
      </c>
      <c r="Q659" s="26"/>
      <c r="R659" s="17"/>
      <c r="S659" s="19"/>
      <c r="T659" s="17"/>
      <c r="U659" s="22"/>
    </row>
    <row r="660" spans="1:21" x14ac:dyDescent="0.25">
      <c r="A660" s="24"/>
      <c r="B660" s="24"/>
      <c r="C660" s="17"/>
      <c r="D660" s="24"/>
      <c r="E660" s="24"/>
      <c r="F660" s="25"/>
      <c r="G660" s="1">
        <v>625</v>
      </c>
      <c r="H660" s="2">
        <v>92</v>
      </c>
      <c r="I660" s="2">
        <v>-4.0999999999999996</v>
      </c>
      <c r="J660" s="2">
        <v>-6.8</v>
      </c>
      <c r="K660" s="2">
        <f t="shared" si="88"/>
        <v>-4.0999999999999996</v>
      </c>
      <c r="L660" s="8">
        <f t="shared" si="92"/>
        <v>2.4547089156850289E-10</v>
      </c>
      <c r="M660" s="26"/>
      <c r="N660" s="17"/>
      <c r="O660" s="9">
        <f t="shared" si="90"/>
        <v>-6.8</v>
      </c>
      <c r="P660" s="8">
        <f>D656/B656*10^(O660/10)</f>
        <v>4.1089490573462788</v>
      </c>
      <c r="Q660" s="26"/>
      <c r="R660" s="17"/>
      <c r="S660" s="19"/>
      <c r="T660" s="17"/>
      <c r="U660" s="22"/>
    </row>
    <row r="661" spans="1:21" x14ac:dyDescent="0.25">
      <c r="A661" s="24"/>
      <c r="B661" s="24"/>
      <c r="C661" s="17"/>
      <c r="D661" s="24"/>
      <c r="E661" s="24"/>
      <c r="F661" s="25"/>
      <c r="G661" s="1">
        <v>675</v>
      </c>
      <c r="H661" s="2">
        <v>94.5</v>
      </c>
      <c r="I661" s="2">
        <v>-15.9</v>
      </c>
      <c r="J661" s="2">
        <v>-18.3</v>
      </c>
      <c r="K661" s="2">
        <f t="shared" si="88"/>
        <v>-15.9</v>
      </c>
      <c r="L661" s="8">
        <f t="shared" si="92"/>
        <v>9.1201083935590542E-12</v>
      </c>
      <c r="M661" s="26"/>
      <c r="N661" s="17"/>
      <c r="O661" s="9">
        <f t="shared" si="90"/>
        <v>-18.3</v>
      </c>
      <c r="P661" s="8">
        <f>D656/B656*10^(O661/10)</f>
        <v>0.29089131633974741</v>
      </c>
      <c r="Q661" s="26"/>
      <c r="R661" s="17"/>
      <c r="S661" s="20"/>
      <c r="T661" s="17"/>
      <c r="U661" s="23"/>
    </row>
    <row r="662" spans="1:21" x14ac:dyDescent="0.25">
      <c r="A662" s="24">
        <v>1000</v>
      </c>
      <c r="B662" s="24">
        <v>3</v>
      </c>
      <c r="C662" s="17">
        <v>0.5</v>
      </c>
      <c r="D662" s="24">
        <v>117</v>
      </c>
      <c r="E662" s="24">
        <v>6</v>
      </c>
      <c r="F662" s="25">
        <v>76</v>
      </c>
      <c r="G662" s="1">
        <v>875</v>
      </c>
      <c r="H662" s="2">
        <v>91.1</v>
      </c>
      <c r="I662" s="2">
        <v>-8.1999999999999993</v>
      </c>
      <c r="J662" s="2">
        <v>-12</v>
      </c>
      <c r="K662" s="2">
        <f t="shared" si="88"/>
        <v>-8.1999999999999993</v>
      </c>
      <c r="L662" s="8">
        <f t="shared" si="92"/>
        <v>1.1748975549395284E-10</v>
      </c>
      <c r="M662" s="26">
        <f>SUM(L662:L667)</f>
        <v>2.7244787116968565E-8</v>
      </c>
      <c r="N662" s="17">
        <f>10*LOG10(M662/E662)</f>
        <v>-83.428678315840386</v>
      </c>
      <c r="O662" s="9">
        <f t="shared" si="90"/>
        <v>-12</v>
      </c>
      <c r="P662" s="8">
        <f>D662/B662*10^(O662/10)</f>
        <v>2.4607336434727531</v>
      </c>
      <c r="Q662" s="26">
        <f>SUM(P662:P667)</f>
        <v>2937.6283795496611</v>
      </c>
      <c r="R662" s="17">
        <f>10*LOG10(Q662)</f>
        <v>34.679968551305855</v>
      </c>
      <c r="S662" s="18">
        <f>F662+N662-Kzt-H</f>
        <v>-7.4286783158403864</v>
      </c>
      <c r="T662" s="17">
        <v>0.8</v>
      </c>
      <c r="U662" s="21">
        <f>T662*10^((S662-R662)/10)</f>
        <v>4.9229485875866016E-5</v>
      </c>
    </row>
    <row r="663" spans="1:21" x14ac:dyDescent="0.25">
      <c r="A663" s="24"/>
      <c r="B663" s="24"/>
      <c r="C663" s="17"/>
      <c r="D663" s="24"/>
      <c r="E663" s="24"/>
      <c r="F663" s="25"/>
      <c r="G663" s="1">
        <v>975</v>
      </c>
      <c r="H663" s="2">
        <v>96.5</v>
      </c>
      <c r="I663" s="2">
        <v>-6</v>
      </c>
      <c r="J663" s="2">
        <v>-8.4</v>
      </c>
      <c r="K663" s="2">
        <f t="shared" si="88"/>
        <v>-6</v>
      </c>
      <c r="L663" s="8">
        <f t="shared" si="92"/>
        <v>5.6234132519034822E-11</v>
      </c>
      <c r="M663" s="26"/>
      <c r="N663" s="17"/>
      <c r="O663" s="9">
        <f t="shared" si="90"/>
        <v>-8.4</v>
      </c>
      <c r="P663" s="8">
        <f>D662/B662*10^(O663/10)</f>
        <v>5.6372151059091147</v>
      </c>
      <c r="Q663" s="26"/>
      <c r="R663" s="17"/>
      <c r="S663" s="19"/>
      <c r="T663" s="17"/>
      <c r="U663" s="22"/>
    </row>
    <row r="664" spans="1:21" x14ac:dyDescent="0.25">
      <c r="A664" s="24"/>
      <c r="B664" s="24"/>
      <c r="C664" s="17"/>
      <c r="D664" s="24"/>
      <c r="E664" s="24"/>
      <c r="F664" s="25"/>
      <c r="G664" s="1">
        <v>1075</v>
      </c>
      <c r="H664" s="2">
        <v>94.6</v>
      </c>
      <c r="I664" s="2">
        <v>18.8</v>
      </c>
      <c r="J664" s="2">
        <v>18.3</v>
      </c>
      <c r="K664" s="2">
        <f t="shared" si="88"/>
        <v>18.8</v>
      </c>
      <c r="L664" s="8">
        <f t="shared" si="92"/>
        <v>2.6302679918953758E-8</v>
      </c>
      <c r="M664" s="26"/>
      <c r="N664" s="17"/>
      <c r="O664" s="9">
        <f t="shared" si="90"/>
        <v>18.3</v>
      </c>
      <c r="P664" s="8">
        <f>D662/B662*10^(O664/10)</f>
        <v>2636.7236040287294</v>
      </c>
      <c r="Q664" s="26"/>
      <c r="R664" s="17"/>
      <c r="S664" s="19"/>
      <c r="T664" s="17"/>
      <c r="U664" s="22"/>
    </row>
    <row r="665" spans="1:21" x14ac:dyDescent="0.25">
      <c r="A665" s="24"/>
      <c r="B665" s="24"/>
      <c r="C665" s="17"/>
      <c r="D665" s="24"/>
      <c r="E665" s="24"/>
      <c r="F665" s="25"/>
      <c r="G665" s="1">
        <v>1175</v>
      </c>
      <c r="H665" s="2">
        <v>97.8</v>
      </c>
      <c r="I665" s="2">
        <v>-8.5</v>
      </c>
      <c r="J665" s="2">
        <v>-15.2</v>
      </c>
      <c r="K665" s="2">
        <f t="shared" si="88"/>
        <v>-8.5</v>
      </c>
      <c r="L665" s="8">
        <f t="shared" si="92"/>
        <v>2.3442288153199185E-11</v>
      </c>
      <c r="M665" s="26"/>
      <c r="N665" s="17"/>
      <c r="O665" s="9">
        <f t="shared" si="90"/>
        <v>-15.2</v>
      </c>
      <c r="P665" s="8">
        <f>D662/B662*10^(O665/10)</f>
        <v>1.1777811709567858</v>
      </c>
      <c r="Q665" s="26"/>
      <c r="R665" s="17"/>
      <c r="S665" s="19"/>
      <c r="T665" s="17"/>
      <c r="U665" s="22"/>
    </row>
    <row r="666" spans="1:21" x14ac:dyDescent="0.25">
      <c r="A666" s="24"/>
      <c r="B666" s="24"/>
      <c r="C666" s="17"/>
      <c r="D666" s="24"/>
      <c r="E666" s="24"/>
      <c r="F666" s="25"/>
      <c r="G666" s="1">
        <v>1275</v>
      </c>
      <c r="H666" s="2">
        <v>100.1</v>
      </c>
      <c r="I666" s="2">
        <v>8.8000000000000007</v>
      </c>
      <c r="J666" s="2">
        <v>8.6999999999999993</v>
      </c>
      <c r="K666" s="2">
        <f t="shared" si="88"/>
        <v>8.8000000000000007</v>
      </c>
      <c r="L666" s="8">
        <f t="shared" si="92"/>
        <v>7.4131024130091898E-10</v>
      </c>
      <c r="M666" s="26"/>
      <c r="N666" s="17"/>
      <c r="O666" s="9">
        <f t="shared" si="90"/>
        <v>8.6999999999999993</v>
      </c>
      <c r="P666" s="8">
        <f>D662/B662*10^(O666/10)</f>
        <v>289.1109941073579</v>
      </c>
      <c r="Q666" s="26"/>
      <c r="R666" s="17"/>
      <c r="S666" s="19"/>
      <c r="T666" s="17"/>
      <c r="U666" s="22"/>
    </row>
    <row r="667" spans="1:21" x14ac:dyDescent="0.25">
      <c r="A667" s="24"/>
      <c r="B667" s="24"/>
      <c r="C667" s="17"/>
      <c r="D667" s="24"/>
      <c r="E667" s="24"/>
      <c r="F667" s="25"/>
      <c r="G667" s="1">
        <v>1375</v>
      </c>
      <c r="H667" s="2">
        <v>103</v>
      </c>
      <c r="I667" s="2">
        <v>-11.4</v>
      </c>
      <c r="J667" s="2">
        <v>-11.9</v>
      </c>
      <c r="K667" s="2">
        <f t="shared" si="88"/>
        <v>-11.4</v>
      </c>
      <c r="L667" s="8">
        <f t="shared" si="92"/>
        <v>3.6307805477009972E-12</v>
      </c>
      <c r="M667" s="26"/>
      <c r="N667" s="17"/>
      <c r="O667" s="9">
        <f t="shared" si="90"/>
        <v>-11.9</v>
      </c>
      <c r="P667" s="8">
        <f>D662/B662*10^(O667/10)</f>
        <v>2.5180514932351561</v>
      </c>
      <c r="Q667" s="26"/>
      <c r="R667" s="17"/>
      <c r="S667" s="20"/>
      <c r="T667" s="17"/>
      <c r="U667" s="23"/>
    </row>
    <row r="668" spans="1:21" x14ac:dyDescent="0.25">
      <c r="A668" s="24">
        <v>2000</v>
      </c>
      <c r="B668" s="24">
        <v>3</v>
      </c>
      <c r="C668" s="17">
        <v>0.5</v>
      </c>
      <c r="D668" s="24">
        <v>234</v>
      </c>
      <c r="E668" s="24">
        <v>6</v>
      </c>
      <c r="F668" s="25">
        <v>68</v>
      </c>
      <c r="G668" s="1">
        <v>1425</v>
      </c>
      <c r="H668" s="2">
        <v>102.8</v>
      </c>
      <c r="I668" s="2">
        <v>-6.9</v>
      </c>
      <c r="J668" s="2">
        <v>-12.1</v>
      </c>
      <c r="K668" s="2">
        <f t="shared" si="88"/>
        <v>-6.9</v>
      </c>
      <c r="L668" s="8">
        <f t="shared" si="92"/>
        <v>1.0715193052376007E-11</v>
      </c>
      <c r="M668" s="26">
        <f>SUM(L668:L673)</f>
        <v>3.3331732565029064E-10</v>
      </c>
      <c r="N668" s="17">
        <f>10*LOG10(M668/E668)</f>
        <v>-102.55293361749351</v>
      </c>
      <c r="O668" s="9">
        <f t="shared" si="90"/>
        <v>-12.1</v>
      </c>
      <c r="P668" s="8">
        <f>D668/B668*10^(O668/10)</f>
        <v>4.8094410145195612</v>
      </c>
      <c r="Q668" s="26">
        <f>SUM(P668:P673)</f>
        <v>84.605522403952335</v>
      </c>
      <c r="R668" s="17">
        <f>10*LOG10(Q668)</f>
        <v>19.273987113994092</v>
      </c>
      <c r="S668" s="18">
        <f>F668+N668-Kzt-H</f>
        <v>-34.552933617493508</v>
      </c>
      <c r="T668" s="17">
        <v>1</v>
      </c>
      <c r="U668" s="21">
        <f>T668*10^((S668-R668)/10)</f>
        <v>4.1429331617664836E-6</v>
      </c>
    </row>
    <row r="669" spans="1:21" x14ac:dyDescent="0.25">
      <c r="A669" s="24"/>
      <c r="B669" s="24"/>
      <c r="C669" s="17"/>
      <c r="D669" s="24"/>
      <c r="E669" s="24"/>
      <c r="F669" s="25"/>
      <c r="G669" s="1">
        <v>1625</v>
      </c>
      <c r="H669" s="2">
        <v>104.1</v>
      </c>
      <c r="I669" s="2">
        <v>1.1000000000000001</v>
      </c>
      <c r="J669" s="2">
        <v>-10.1</v>
      </c>
      <c r="K669" s="2">
        <f t="shared" si="88"/>
        <v>1.1000000000000001</v>
      </c>
      <c r="L669" s="8">
        <f t="shared" si="92"/>
        <v>5.0118723362726993E-11</v>
      </c>
      <c r="M669" s="26"/>
      <c r="N669" s="17"/>
      <c r="O669" s="9">
        <f t="shared" si="90"/>
        <v>-10.1</v>
      </c>
      <c r="P669" s="8">
        <f>D668/B668*10^(O669/10)</f>
        <v>7.6224503234553227</v>
      </c>
      <c r="Q669" s="26"/>
      <c r="R669" s="17"/>
      <c r="S669" s="19"/>
      <c r="T669" s="17"/>
      <c r="U669" s="22"/>
    </row>
    <row r="670" spans="1:21" x14ac:dyDescent="0.25">
      <c r="A670" s="24"/>
      <c r="B670" s="24"/>
      <c r="C670" s="17"/>
      <c r="D670" s="24"/>
      <c r="E670" s="24"/>
      <c r="F670" s="25"/>
      <c r="G670" s="1">
        <v>1825</v>
      </c>
      <c r="H670" s="2">
        <v>107.6</v>
      </c>
      <c r="I670" s="2">
        <v>-7.5000000000000009</v>
      </c>
      <c r="J670" s="2">
        <v>-9.3000000000000007</v>
      </c>
      <c r="K670" s="2">
        <f t="shared" si="88"/>
        <v>-7.5000000000000009</v>
      </c>
      <c r="L670" s="8">
        <f t="shared" si="92"/>
        <v>3.0902954325135792E-12</v>
      </c>
      <c r="M670" s="26"/>
      <c r="N670" s="17"/>
      <c r="O670" s="9">
        <f t="shared" si="90"/>
        <v>-9.3000000000000007</v>
      </c>
      <c r="P670" s="8">
        <f>D668/B668*10^(O670/10)</f>
        <v>9.1642009285283272</v>
      </c>
      <c r="Q670" s="26"/>
      <c r="R670" s="17"/>
      <c r="S670" s="19"/>
      <c r="T670" s="17"/>
      <c r="U670" s="22"/>
    </row>
    <row r="671" spans="1:21" x14ac:dyDescent="0.25">
      <c r="A671" s="24"/>
      <c r="B671" s="24"/>
      <c r="C671" s="17"/>
      <c r="D671" s="24"/>
      <c r="E671" s="24"/>
      <c r="F671" s="25"/>
      <c r="G671" s="1">
        <v>2125</v>
      </c>
      <c r="H671" s="2">
        <v>104.2</v>
      </c>
      <c r="I671" s="2">
        <v>-4</v>
      </c>
      <c r="J671" s="2">
        <v>-7.3</v>
      </c>
      <c r="K671" s="2">
        <f t="shared" si="88"/>
        <v>-4</v>
      </c>
      <c r="L671" s="8">
        <f t="shared" si="92"/>
        <v>1.5135612484362034E-11</v>
      </c>
      <c r="M671" s="26"/>
      <c r="N671" s="17"/>
      <c r="O671" s="9">
        <f t="shared" si="90"/>
        <v>-7.3</v>
      </c>
      <c r="P671" s="8">
        <f>D668/B668*10^(O671/10)</f>
        <v>14.524279665970363</v>
      </c>
      <c r="Q671" s="26"/>
      <c r="R671" s="17"/>
      <c r="S671" s="19"/>
      <c r="T671" s="17"/>
      <c r="U671" s="22"/>
    </row>
    <row r="672" spans="1:21" x14ac:dyDescent="0.25">
      <c r="A672" s="24"/>
      <c r="B672" s="24"/>
      <c r="C672" s="17"/>
      <c r="D672" s="24"/>
      <c r="E672" s="24"/>
      <c r="F672" s="25"/>
      <c r="G672" s="1">
        <v>2425</v>
      </c>
      <c r="H672" s="2">
        <v>93.7</v>
      </c>
      <c r="I672" s="2">
        <v>-2.9</v>
      </c>
      <c r="J672" s="2">
        <v>-3.1</v>
      </c>
      <c r="K672" s="2">
        <f t="shared" si="88"/>
        <v>-2.9</v>
      </c>
      <c r="L672" s="8">
        <f t="shared" si="92"/>
        <v>2.1877616239495448E-10</v>
      </c>
      <c r="M672" s="26"/>
      <c r="N672" s="17"/>
      <c r="O672" s="9">
        <f t="shared" si="90"/>
        <v>-3.1</v>
      </c>
      <c r="P672" s="8">
        <f>D668/B668*10^(O672/10)</f>
        <v>38.2027479107388</v>
      </c>
      <c r="Q672" s="26"/>
      <c r="R672" s="17"/>
      <c r="S672" s="19"/>
      <c r="T672" s="17"/>
      <c r="U672" s="22"/>
    </row>
    <row r="673" spans="1:21" x14ac:dyDescent="0.25">
      <c r="A673" s="24"/>
      <c r="B673" s="24"/>
      <c r="C673" s="17"/>
      <c r="D673" s="24"/>
      <c r="E673" s="24"/>
      <c r="F673" s="25"/>
      <c r="G673" s="1">
        <v>2775</v>
      </c>
      <c r="H673" s="2">
        <v>100.2</v>
      </c>
      <c r="I673" s="2">
        <v>-4.3</v>
      </c>
      <c r="J673" s="2">
        <v>-8.8000000000000007</v>
      </c>
      <c r="K673" s="2">
        <f t="shared" si="88"/>
        <v>-4.3</v>
      </c>
      <c r="L673" s="8">
        <f t="shared" si="92"/>
        <v>3.5481338923357562E-11</v>
      </c>
      <c r="M673" s="26"/>
      <c r="N673" s="17"/>
      <c r="O673" s="9">
        <f t="shared" si="90"/>
        <v>-8.8000000000000007</v>
      </c>
      <c r="P673" s="8">
        <f>D668/B668*10^(O673/10)</f>
        <v>10.282402560739971</v>
      </c>
      <c r="Q673" s="26"/>
      <c r="R673" s="17"/>
      <c r="S673" s="20"/>
      <c r="T673" s="17"/>
      <c r="U673" s="23"/>
    </row>
    <row r="674" spans="1:21" x14ac:dyDescent="0.25">
      <c r="A674" s="24">
        <v>4000</v>
      </c>
      <c r="B674" s="24">
        <v>3</v>
      </c>
      <c r="C674" s="17">
        <v>0.5</v>
      </c>
      <c r="D674" s="24">
        <v>470</v>
      </c>
      <c r="E674" s="24">
        <v>6</v>
      </c>
      <c r="F674" s="25">
        <v>62</v>
      </c>
      <c r="G674" s="1">
        <v>2825</v>
      </c>
      <c r="H674" s="2">
        <v>99.4</v>
      </c>
      <c r="I674" s="2">
        <v>-4.2</v>
      </c>
      <c r="J674" s="2">
        <v>-4.9000000000000004</v>
      </c>
      <c r="K674" s="2">
        <f t="shared" si="88"/>
        <v>-4.2</v>
      </c>
      <c r="L674" s="8">
        <f t="shared" si="92"/>
        <v>4.3651583224016422E-11</v>
      </c>
      <c r="M674" s="26">
        <f>SUM(L674:L679)</f>
        <v>2.5714516153307022E-10</v>
      </c>
      <c r="N674" s="17">
        <f>10*LOG10(M674/E674)</f>
        <v>-103.67972893374436</v>
      </c>
      <c r="O674" s="9">
        <f t="shared" si="90"/>
        <v>-4.9000000000000004</v>
      </c>
      <c r="P674" s="8">
        <f>D674/B674*10^(O674/10)</f>
        <v>50.696339585641752</v>
      </c>
      <c r="Q674" s="26">
        <f>SUM(P674:P679)</f>
        <v>585.58578479431787</v>
      </c>
      <c r="R674" s="17">
        <f>10*LOG10(Q674)</f>
        <v>27.675905255976051</v>
      </c>
      <c r="S674" s="18">
        <f>F674+N674-Kzt-H</f>
        <v>-41.679728933744357</v>
      </c>
      <c r="T674" s="17">
        <v>0.9</v>
      </c>
      <c r="U674" s="21">
        <f>T674*10^((S674-R674)/10)</f>
        <v>1.0439485381238129E-7</v>
      </c>
    </row>
    <row r="675" spans="1:21" x14ac:dyDescent="0.25">
      <c r="A675" s="24"/>
      <c r="B675" s="24"/>
      <c r="C675" s="17"/>
      <c r="D675" s="24"/>
      <c r="E675" s="24"/>
      <c r="F675" s="25"/>
      <c r="G675" s="1">
        <v>3425</v>
      </c>
      <c r="H675" s="2">
        <v>103.5</v>
      </c>
      <c r="I675" s="2">
        <v>-5.1000000000000005</v>
      </c>
      <c r="J675" s="2">
        <v>-6.9</v>
      </c>
      <c r="K675" s="2">
        <f t="shared" si="88"/>
        <v>-5.1000000000000005</v>
      </c>
      <c r="L675" s="8">
        <f t="shared" si="92"/>
        <v>1.380384264602886E-11</v>
      </c>
      <c r="M675" s="26"/>
      <c r="N675" s="17"/>
      <c r="O675" s="9">
        <f t="shared" si="90"/>
        <v>-6.9</v>
      </c>
      <c r="P675" s="8">
        <f>D674/B674*10^(O675/10)</f>
        <v>31.987227799822616</v>
      </c>
      <c r="Q675" s="26"/>
      <c r="R675" s="17"/>
      <c r="S675" s="19"/>
      <c r="T675" s="17"/>
      <c r="U675" s="22"/>
    </row>
    <row r="676" spans="1:21" x14ac:dyDescent="0.25">
      <c r="A676" s="24"/>
      <c r="B676" s="24"/>
      <c r="C676" s="17"/>
      <c r="D676" s="24"/>
      <c r="E676" s="24"/>
      <c r="F676" s="25"/>
      <c r="G676" s="1">
        <v>4025</v>
      </c>
      <c r="H676" s="2">
        <v>103.6</v>
      </c>
      <c r="I676" s="2">
        <v>-0.5</v>
      </c>
      <c r="J676" s="2">
        <v>-2.2999999999999998</v>
      </c>
      <c r="K676" s="2">
        <f t="shared" si="88"/>
        <v>-0.5</v>
      </c>
      <c r="L676" s="8">
        <f t="shared" si="92"/>
        <v>3.8904514499427922E-11</v>
      </c>
      <c r="M676" s="26"/>
      <c r="N676" s="17"/>
      <c r="O676" s="9">
        <f t="shared" si="90"/>
        <v>-2.2999999999999998</v>
      </c>
      <c r="P676" s="8">
        <f>D674/B674*10^(O676/10)</f>
        <v>92.252172672375593</v>
      </c>
      <c r="Q676" s="26"/>
      <c r="R676" s="17"/>
      <c r="S676" s="19"/>
      <c r="T676" s="17"/>
      <c r="U676" s="22"/>
    </row>
    <row r="677" spans="1:21" x14ac:dyDescent="0.25">
      <c r="A677" s="24"/>
      <c r="B677" s="24"/>
      <c r="C677" s="17"/>
      <c r="D677" s="24"/>
      <c r="E677" s="24"/>
      <c r="F677" s="25"/>
      <c r="G677" s="1">
        <v>4625</v>
      </c>
      <c r="H677" s="2">
        <v>105.6</v>
      </c>
      <c r="I677" s="2">
        <v>-0.1</v>
      </c>
      <c r="J677" s="2">
        <v>-3.4</v>
      </c>
      <c r="K677" s="2">
        <f t="shared" si="88"/>
        <v>-0.1</v>
      </c>
      <c r="L677" s="8">
        <f t="shared" si="92"/>
        <v>2.6915348039269196E-11</v>
      </c>
      <c r="M677" s="26"/>
      <c r="N677" s="17"/>
      <c r="O677" s="9">
        <f t="shared" si="90"/>
        <v>-3.4</v>
      </c>
      <c r="P677" s="8">
        <f>D674/B674*10^(O677/10)</f>
        <v>71.610483039663748</v>
      </c>
      <c r="Q677" s="26"/>
      <c r="R677" s="17"/>
      <c r="S677" s="19"/>
      <c r="T677" s="17"/>
      <c r="U677" s="22"/>
    </row>
    <row r="678" spans="1:21" x14ac:dyDescent="0.25">
      <c r="A678" s="24"/>
      <c r="B678" s="24"/>
      <c r="C678" s="17"/>
      <c r="D678" s="24"/>
      <c r="E678" s="24"/>
      <c r="F678" s="25"/>
      <c r="G678" s="1">
        <v>5225</v>
      </c>
      <c r="H678" s="2">
        <v>103.5</v>
      </c>
      <c r="I678" s="2">
        <v>2.9000000000000004</v>
      </c>
      <c r="J678" s="2">
        <v>2.7</v>
      </c>
      <c r="K678" s="2">
        <f t="shared" si="88"/>
        <v>2.9000000000000004</v>
      </c>
      <c r="L678" s="8">
        <f t="shared" si="92"/>
        <v>8.7096358995608072E-11</v>
      </c>
      <c r="M678" s="26"/>
      <c r="N678" s="17"/>
      <c r="O678" s="9">
        <f t="shared" si="90"/>
        <v>2.7</v>
      </c>
      <c r="P678" s="8">
        <f>D674/B674*10^(O678/10)</f>
        <v>291.72698474384924</v>
      </c>
      <c r="Q678" s="26"/>
      <c r="R678" s="17"/>
      <c r="S678" s="19"/>
      <c r="T678" s="17"/>
      <c r="U678" s="22"/>
    </row>
    <row r="679" spans="1:21" x14ac:dyDescent="0.25">
      <c r="A679" s="24"/>
      <c r="B679" s="24"/>
      <c r="C679" s="17"/>
      <c r="D679" s="24"/>
      <c r="E679" s="24"/>
      <c r="F679" s="25"/>
      <c r="G679" s="1">
        <v>5625</v>
      </c>
      <c r="H679" s="2">
        <v>99.5</v>
      </c>
      <c r="I679" s="2">
        <v>-3.8000000000000003</v>
      </c>
      <c r="J679" s="2">
        <v>-5.2</v>
      </c>
      <c r="K679" s="2">
        <f t="shared" si="88"/>
        <v>-3.8000000000000003</v>
      </c>
      <c r="L679" s="8">
        <f t="shared" si="92"/>
        <v>4.6773514128719782E-11</v>
      </c>
      <c r="M679" s="26"/>
      <c r="N679" s="17"/>
      <c r="O679" s="9">
        <f t="shared" si="90"/>
        <v>-5.2</v>
      </c>
      <c r="P679" s="8">
        <f>D674/B674*10^(O679/10)</f>
        <v>47.312576952964903</v>
      </c>
      <c r="Q679" s="26"/>
      <c r="R679" s="17"/>
      <c r="S679" s="20"/>
      <c r="T679" s="17"/>
      <c r="U679" s="23"/>
    </row>
    <row r="680" spans="1:21" x14ac:dyDescent="0.25">
      <c r="A680" s="24">
        <v>8000</v>
      </c>
      <c r="B680" s="24">
        <v>3</v>
      </c>
      <c r="C680" s="17">
        <v>0.5</v>
      </c>
      <c r="D680" s="24">
        <v>943</v>
      </c>
      <c r="E680" s="24">
        <v>6</v>
      </c>
      <c r="F680" s="25">
        <v>54</v>
      </c>
      <c r="G680" s="1">
        <v>6025</v>
      </c>
      <c r="H680" s="2">
        <v>95</v>
      </c>
      <c r="I680" s="2">
        <v>1.2</v>
      </c>
      <c r="J680" s="2">
        <v>-3.6</v>
      </c>
      <c r="K680" s="2">
        <f t="shared" si="88"/>
        <v>1.2</v>
      </c>
      <c r="L680" s="8">
        <f t="shared" si="92"/>
        <v>4.1686938347033571E-10</v>
      </c>
      <c r="M680" s="26">
        <f>SUM(L680:L685)</f>
        <v>4.2223270349025445E-8</v>
      </c>
      <c r="N680" s="17">
        <f>10*LOG10(M680/E680)</f>
        <v>-81.525993823894893</v>
      </c>
      <c r="O680" s="9">
        <f t="shared" si="90"/>
        <v>-3.6</v>
      </c>
      <c r="P680" s="8">
        <f>D680/B680*10^(O680/10)</f>
        <v>137.21147660082548</v>
      </c>
      <c r="Q680" s="26">
        <f>SUM(P680:P685)</f>
        <v>23234.362269241072</v>
      </c>
      <c r="R680" s="17">
        <f>10*LOG10(Q680)</f>
        <v>43.661307565760012</v>
      </c>
      <c r="S680" s="18">
        <f>F680+N680-Kzt-H</f>
        <v>-27.525993823894893</v>
      </c>
      <c r="T680" s="17">
        <v>0.7</v>
      </c>
      <c r="U680" s="21">
        <f>T680*10^((S680-R680)/10)</f>
        <v>5.325592116413131E-8</v>
      </c>
    </row>
    <row r="681" spans="1:21" x14ac:dyDescent="0.25">
      <c r="A681" s="24"/>
      <c r="B681" s="24"/>
      <c r="C681" s="17"/>
      <c r="D681" s="24"/>
      <c r="E681" s="24"/>
      <c r="F681" s="25"/>
      <c r="G681" s="1">
        <v>7025</v>
      </c>
      <c r="H681" s="2">
        <v>94.8</v>
      </c>
      <c r="I681" s="2">
        <v>7.9</v>
      </c>
      <c r="J681" s="2">
        <v>4.5</v>
      </c>
      <c r="K681" s="2">
        <f t="shared" si="88"/>
        <v>7.9</v>
      </c>
      <c r="L681" s="8">
        <f t="shared" si="92"/>
        <v>2.0417379446695247E-9</v>
      </c>
      <c r="M681" s="26"/>
      <c r="N681" s="17"/>
      <c r="O681" s="9">
        <f t="shared" si="90"/>
        <v>4.5</v>
      </c>
      <c r="P681" s="8">
        <f>D680/B680*10^(O681/10)</f>
        <v>885.91170139412668</v>
      </c>
      <c r="Q681" s="26"/>
      <c r="R681" s="17"/>
      <c r="S681" s="19"/>
      <c r="T681" s="17"/>
      <c r="U681" s="22"/>
    </row>
    <row r="682" spans="1:21" x14ac:dyDescent="0.25">
      <c r="A682" s="24"/>
      <c r="B682" s="24"/>
      <c r="C682" s="17"/>
      <c r="D682" s="24"/>
      <c r="E682" s="24"/>
      <c r="F682" s="25"/>
      <c r="G682" s="1">
        <v>8025</v>
      </c>
      <c r="H682" s="2">
        <v>101.9</v>
      </c>
      <c r="I682" s="2">
        <v>6.8</v>
      </c>
      <c r="J682" s="2">
        <v>-6.7</v>
      </c>
      <c r="K682" s="2">
        <f t="shared" si="88"/>
        <v>6.8</v>
      </c>
      <c r="L682" s="8">
        <f t="shared" si="92"/>
        <v>3.0902954325135751E-10</v>
      </c>
      <c r="M682" s="26"/>
      <c r="N682" s="17"/>
      <c r="O682" s="9">
        <f t="shared" si="90"/>
        <v>-6.7</v>
      </c>
      <c r="P682" s="8">
        <f>D680/B680*10^(O682/10)</f>
        <v>67.203275013353462</v>
      </c>
      <c r="Q682" s="26"/>
      <c r="R682" s="17"/>
      <c r="S682" s="19"/>
      <c r="T682" s="17"/>
      <c r="U682" s="22"/>
    </row>
    <row r="683" spans="1:21" x14ac:dyDescent="0.25">
      <c r="A683" s="24"/>
      <c r="B683" s="24"/>
      <c r="C683" s="17"/>
      <c r="D683" s="24"/>
      <c r="E683" s="24"/>
      <c r="F683" s="25"/>
      <c r="G683" s="1">
        <v>9025</v>
      </c>
      <c r="H683" s="2">
        <v>93.2</v>
      </c>
      <c r="I683" s="2">
        <v>18.3</v>
      </c>
      <c r="J683" s="2">
        <v>18.3</v>
      </c>
      <c r="K683" s="2">
        <f t="shared" si="88"/>
        <v>18.3</v>
      </c>
      <c r="L683" s="8">
        <f t="shared" si="92"/>
        <v>3.2359365692962729E-8</v>
      </c>
      <c r="M683" s="26"/>
      <c r="N683" s="17"/>
      <c r="O683" s="9">
        <f t="shared" si="90"/>
        <v>18.3</v>
      </c>
      <c r="P683" s="8">
        <f>D680/B680*10^(O683/10)</f>
        <v>21251.541526487963</v>
      </c>
      <c r="Q683" s="26"/>
      <c r="R683" s="17"/>
      <c r="S683" s="19"/>
      <c r="T683" s="17"/>
      <c r="U683" s="22"/>
    </row>
    <row r="684" spans="1:21" x14ac:dyDescent="0.25">
      <c r="A684" s="24"/>
      <c r="B684" s="24"/>
      <c r="C684" s="17"/>
      <c r="D684" s="24"/>
      <c r="E684" s="24"/>
      <c r="F684" s="25"/>
      <c r="G684" s="1">
        <v>10025</v>
      </c>
      <c r="H684" s="2">
        <v>88.3</v>
      </c>
      <c r="I684" s="2">
        <v>3.8000000000000003</v>
      </c>
      <c r="J684" s="2">
        <v>2.7</v>
      </c>
      <c r="K684" s="2">
        <f t="shared" si="88"/>
        <v>3.8000000000000003</v>
      </c>
      <c r="L684" s="8">
        <f t="shared" si="92"/>
        <v>3.5481338923357512E-9</v>
      </c>
      <c r="M684" s="26"/>
      <c r="N684" s="17"/>
      <c r="O684" s="9">
        <f t="shared" si="90"/>
        <v>2.7</v>
      </c>
      <c r="P684" s="8">
        <f>D680/B680*10^(O684/10)</f>
        <v>585.31605662436129</v>
      </c>
      <c r="Q684" s="26"/>
      <c r="R684" s="17"/>
      <c r="S684" s="19"/>
      <c r="T684" s="17"/>
      <c r="U684" s="22"/>
    </row>
    <row r="685" spans="1:21" x14ac:dyDescent="0.25">
      <c r="A685" s="24"/>
      <c r="B685" s="24"/>
      <c r="C685" s="17"/>
      <c r="D685" s="24"/>
      <c r="E685" s="24"/>
      <c r="F685" s="25"/>
      <c r="G685" s="1">
        <v>11025</v>
      </c>
      <c r="H685" s="2">
        <v>86</v>
      </c>
      <c r="I685" s="2">
        <v>1.5</v>
      </c>
      <c r="J685" s="2">
        <v>-0.1</v>
      </c>
      <c r="K685" s="2">
        <f t="shared" si="88"/>
        <v>1.5</v>
      </c>
      <c r="L685" s="8">
        <f t="shared" si="92"/>
        <v>3.5481338923357512E-9</v>
      </c>
      <c r="M685" s="26"/>
      <c r="N685" s="17"/>
      <c r="O685" s="9">
        <f t="shared" si="90"/>
        <v>-0.1</v>
      </c>
      <c r="P685" s="8">
        <f>D680/B680*10^(O685/10)</f>
        <v>307.17823312044311</v>
      </c>
      <c r="Q685" s="26"/>
      <c r="R685" s="17"/>
      <c r="S685" s="20"/>
      <c r="T685" s="17"/>
      <c r="U685" s="23"/>
    </row>
    <row r="686" spans="1:21" x14ac:dyDescent="0.25">
      <c r="A686" s="24" t="s">
        <v>20</v>
      </c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12">
        <f>U686</f>
        <v>2.8625326497697192E-2</v>
      </c>
      <c r="T686" s="2"/>
      <c r="U686" s="8">
        <f>0.8*SQRT(SUM(U652:U685))</f>
        <v>2.8625326497697192E-2</v>
      </c>
    </row>
    <row r="687" spans="1:21" x14ac:dyDescent="0.25">
      <c r="A687" s="27" t="s">
        <v>91</v>
      </c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9"/>
    </row>
    <row r="688" spans="1:21" x14ac:dyDescent="0.25">
      <c r="A688" s="24">
        <v>250</v>
      </c>
      <c r="B688" s="24">
        <v>3</v>
      </c>
      <c r="C688" s="17">
        <v>0.5</v>
      </c>
      <c r="D688" s="24">
        <v>38</v>
      </c>
      <c r="E688" s="24">
        <v>4</v>
      </c>
      <c r="F688" s="25">
        <v>84</v>
      </c>
      <c r="G688" s="1">
        <v>175</v>
      </c>
      <c r="H688" s="2">
        <v>84.8</v>
      </c>
      <c r="I688" s="2">
        <v>-8.1</v>
      </c>
      <c r="J688" s="2">
        <v>-8.5</v>
      </c>
      <c r="K688" s="2">
        <f>I688</f>
        <v>-8.1</v>
      </c>
      <c r="L688" s="8">
        <f>10^((K688-H688)/10)</f>
        <v>5.128613839913648E-10</v>
      </c>
      <c r="M688" s="26">
        <f>SUM(L688:L691)</f>
        <v>7.8200589597190443E-9</v>
      </c>
      <c r="N688" s="17">
        <f>10*LOG10(M688/E688)</f>
        <v>-87.08849963871171</v>
      </c>
      <c r="O688" s="9">
        <f>J688</f>
        <v>-8.5</v>
      </c>
      <c r="P688" s="8">
        <f>D688/B688*10^(O688/10)</f>
        <v>1.789214223188822</v>
      </c>
      <c r="Q688" s="26">
        <f>SUM(P688:P691)</f>
        <v>149.21773334394538</v>
      </c>
      <c r="R688" s="17">
        <f>10*LOG10(Q688)</f>
        <v>21.738204386579124</v>
      </c>
      <c r="S688" s="18">
        <f>F688+N688-Kzt-H</f>
        <v>-3.0884996387117098</v>
      </c>
      <c r="T688" s="17">
        <v>0.2</v>
      </c>
      <c r="U688" s="21">
        <f>T688*10^((S688-R688)/10)</f>
        <v>6.5820259946068106E-4</v>
      </c>
    </row>
    <row r="689" spans="1:21" x14ac:dyDescent="0.25">
      <c r="A689" s="24"/>
      <c r="B689" s="24"/>
      <c r="C689" s="17"/>
      <c r="D689" s="24"/>
      <c r="E689" s="24"/>
      <c r="F689" s="25"/>
      <c r="G689" s="1">
        <v>225</v>
      </c>
      <c r="H689" s="2">
        <v>90</v>
      </c>
      <c r="I689" s="2">
        <v>-9.1</v>
      </c>
      <c r="J689" s="2">
        <v>-10.7</v>
      </c>
      <c r="K689" s="2">
        <f t="shared" ref="K689:K721" si="93">I689</f>
        <v>-9.1</v>
      </c>
      <c r="L689" s="8">
        <f t="shared" ref="L689:L690" si="94">10^((K689-H689)/10)</f>
        <v>1.2302687708123799E-10</v>
      </c>
      <c r="M689" s="26"/>
      <c r="N689" s="17"/>
      <c r="O689" s="9">
        <f t="shared" ref="O689:O721" si="95">J689</f>
        <v>-10.7</v>
      </c>
      <c r="P689" s="8">
        <f>D688/B688*10^(O689/10)</f>
        <v>1.07810818172301</v>
      </c>
      <c r="Q689" s="26"/>
      <c r="R689" s="17"/>
      <c r="S689" s="19"/>
      <c r="T689" s="17"/>
      <c r="U689" s="22"/>
    </row>
    <row r="690" spans="1:21" x14ac:dyDescent="0.25">
      <c r="A690" s="24"/>
      <c r="B690" s="24"/>
      <c r="C690" s="17"/>
      <c r="D690" s="24"/>
      <c r="E690" s="24"/>
      <c r="F690" s="25"/>
      <c r="G690" s="1">
        <v>275</v>
      </c>
      <c r="H690" s="2">
        <v>92.2</v>
      </c>
      <c r="I690" s="2">
        <v>-7.6</v>
      </c>
      <c r="J690" s="2">
        <v>-11.4</v>
      </c>
      <c r="K690" s="2">
        <f t="shared" si="93"/>
        <v>-7.6</v>
      </c>
      <c r="L690" s="8">
        <f t="shared" si="94"/>
        <v>1.0471285480508951E-10</v>
      </c>
      <c r="M690" s="26"/>
      <c r="N690" s="17"/>
      <c r="O690" s="9">
        <f t="shared" si="95"/>
        <v>-11.4</v>
      </c>
      <c r="P690" s="8">
        <f>D688/B688*10^(O690/10)</f>
        <v>0.91761888276165349</v>
      </c>
      <c r="Q690" s="26"/>
      <c r="R690" s="17"/>
      <c r="S690" s="19"/>
      <c r="T690" s="17"/>
      <c r="U690" s="22"/>
    </row>
    <row r="691" spans="1:21" x14ac:dyDescent="0.25">
      <c r="A691" s="24"/>
      <c r="B691" s="24"/>
      <c r="C691" s="17"/>
      <c r="D691" s="24"/>
      <c r="E691" s="24"/>
      <c r="F691" s="25"/>
      <c r="G691" s="1">
        <v>325</v>
      </c>
      <c r="H691" s="2">
        <v>93.3</v>
      </c>
      <c r="I691" s="2">
        <v>11.799999999999999</v>
      </c>
      <c r="J691" s="2">
        <v>10.6</v>
      </c>
      <c r="K691" s="2">
        <f t="shared" si="93"/>
        <v>11.799999999999999</v>
      </c>
      <c r="L691" s="8">
        <f>10^((K691-H691)/10)</f>
        <v>7.0794578438413513E-9</v>
      </c>
      <c r="M691" s="26"/>
      <c r="N691" s="17"/>
      <c r="O691" s="9">
        <f t="shared" si="95"/>
        <v>10.6</v>
      </c>
      <c r="P691" s="8">
        <f>D688/B688*10^(O691/10)</f>
        <v>145.43279205627189</v>
      </c>
      <c r="Q691" s="26"/>
      <c r="R691" s="17"/>
      <c r="S691" s="20"/>
      <c r="T691" s="17"/>
      <c r="U691" s="23"/>
    </row>
    <row r="692" spans="1:21" x14ac:dyDescent="0.25">
      <c r="A692" s="24">
        <v>500</v>
      </c>
      <c r="B692" s="24">
        <v>3</v>
      </c>
      <c r="C692" s="17">
        <v>0.5</v>
      </c>
      <c r="D692" s="24">
        <v>59</v>
      </c>
      <c r="E692" s="24">
        <v>6</v>
      </c>
      <c r="F692" s="25">
        <v>84</v>
      </c>
      <c r="G692" s="1">
        <v>375</v>
      </c>
      <c r="H692" s="2">
        <v>91.9</v>
      </c>
      <c r="I692" s="2">
        <v>9.4</v>
      </c>
      <c r="J692" s="2">
        <v>8</v>
      </c>
      <c r="K692" s="2">
        <f t="shared" si="93"/>
        <v>9.4</v>
      </c>
      <c r="L692" s="8">
        <f t="shared" ref="L692:L693" si="96">10^((K692-H692)/10)</f>
        <v>5.6234132519034744E-9</v>
      </c>
      <c r="M692" s="26">
        <f>SUM(L692:L697)</f>
        <v>6.4783404862384811E-9</v>
      </c>
      <c r="N692" s="17">
        <f>10*LOG10(M692/E692)</f>
        <v>-89.666874806198607</v>
      </c>
      <c r="O692" s="9">
        <f t="shared" si="95"/>
        <v>8</v>
      </c>
      <c r="P692" s="8">
        <f>D692/B692*10^(O692/10)</f>
        <v>124.08827774777139</v>
      </c>
      <c r="Q692" s="26">
        <f>SUM(P692:P697)</f>
        <v>157.20471536792337</v>
      </c>
      <c r="R692" s="17">
        <f>10*LOG10(Q692)</f>
        <v>21.964655685962398</v>
      </c>
      <c r="S692" s="18">
        <f>F692+N692-Kzt-H</f>
        <v>-5.6668748061986065</v>
      </c>
      <c r="T692" s="17">
        <v>0.5</v>
      </c>
      <c r="U692" s="21">
        <f>T692*10^((S692-R692)/10)</f>
        <v>8.6261489930483778E-4</v>
      </c>
    </row>
    <row r="693" spans="1:21" x14ac:dyDescent="0.25">
      <c r="A693" s="24"/>
      <c r="B693" s="24"/>
      <c r="C693" s="17"/>
      <c r="D693" s="24"/>
      <c r="E693" s="24"/>
      <c r="F693" s="25"/>
      <c r="G693" s="1">
        <v>425</v>
      </c>
      <c r="H693" s="2">
        <v>88.1</v>
      </c>
      <c r="I693" s="2">
        <v>-9.4</v>
      </c>
      <c r="J693" s="2">
        <v>-17</v>
      </c>
      <c r="K693" s="2">
        <f t="shared" si="93"/>
        <v>-9.4</v>
      </c>
      <c r="L693" s="8">
        <f t="shared" si="96"/>
        <v>1.778279410038918E-10</v>
      </c>
      <c r="M693" s="26"/>
      <c r="N693" s="17"/>
      <c r="O693" s="9">
        <f t="shared" si="95"/>
        <v>-17</v>
      </c>
      <c r="P693" s="8">
        <f>D692/B692*10^(O693/10)</f>
        <v>0.39240158861054625</v>
      </c>
      <c r="Q693" s="26"/>
      <c r="R693" s="17"/>
      <c r="S693" s="19"/>
      <c r="T693" s="17"/>
      <c r="U693" s="22"/>
    </row>
    <row r="694" spans="1:21" x14ac:dyDescent="0.25">
      <c r="A694" s="24"/>
      <c r="B694" s="24"/>
      <c r="C694" s="17"/>
      <c r="D694" s="24"/>
      <c r="E694" s="24"/>
      <c r="F694" s="25"/>
      <c r="G694" s="1">
        <v>475</v>
      </c>
      <c r="H694" s="2">
        <v>90</v>
      </c>
      <c r="I694" s="2">
        <v>-14</v>
      </c>
      <c r="J694" s="2">
        <v>-14.9</v>
      </c>
      <c r="K694" s="2">
        <f t="shared" si="93"/>
        <v>-14</v>
      </c>
      <c r="L694" s="8">
        <f>10^((K694-H694)/10)</f>
        <v>3.9810717055349579E-11</v>
      </c>
      <c r="M694" s="26"/>
      <c r="N694" s="17"/>
      <c r="O694" s="9">
        <f t="shared" si="95"/>
        <v>-14.9</v>
      </c>
      <c r="P694" s="8">
        <f>D692/B692*10^(O694/10)</f>
        <v>0.63640085862826867</v>
      </c>
      <c r="Q694" s="26"/>
      <c r="R694" s="17"/>
      <c r="S694" s="19"/>
      <c r="T694" s="17"/>
      <c r="U694" s="22"/>
    </row>
    <row r="695" spans="1:21" x14ac:dyDescent="0.25">
      <c r="A695" s="24"/>
      <c r="B695" s="24"/>
      <c r="C695" s="17"/>
      <c r="D695" s="24"/>
      <c r="E695" s="24"/>
      <c r="F695" s="25"/>
      <c r="G695" s="1">
        <v>575</v>
      </c>
      <c r="H695" s="2">
        <v>97</v>
      </c>
      <c r="I695" s="2">
        <v>3.2</v>
      </c>
      <c r="J695" s="2">
        <v>1.2</v>
      </c>
      <c r="K695" s="2">
        <f t="shared" si="93"/>
        <v>3.2</v>
      </c>
      <c r="L695" s="8">
        <f t="shared" ref="L695:L721" si="97">10^((K695-H695)/10)</f>
        <v>4.1686938347033571E-10</v>
      </c>
      <c r="M695" s="26"/>
      <c r="N695" s="17"/>
      <c r="O695" s="9">
        <f t="shared" si="95"/>
        <v>1.2</v>
      </c>
      <c r="P695" s="8">
        <f>D692/B692*10^(O695/10)</f>
        <v>25.925715858276011</v>
      </c>
      <c r="Q695" s="26"/>
      <c r="R695" s="17"/>
      <c r="S695" s="19"/>
      <c r="T695" s="17"/>
      <c r="U695" s="22"/>
    </row>
    <row r="696" spans="1:21" x14ac:dyDescent="0.25">
      <c r="A696" s="24"/>
      <c r="B696" s="24"/>
      <c r="C696" s="17"/>
      <c r="D696" s="24"/>
      <c r="E696" s="24"/>
      <c r="F696" s="25"/>
      <c r="G696" s="1">
        <v>625</v>
      </c>
      <c r="H696" s="2">
        <v>92</v>
      </c>
      <c r="I696" s="2">
        <v>-5</v>
      </c>
      <c r="J696" s="2">
        <v>-5.3</v>
      </c>
      <c r="K696" s="2">
        <f t="shared" si="93"/>
        <v>-5</v>
      </c>
      <c r="L696" s="8">
        <f t="shared" si="97"/>
        <v>1.9952623149688802E-10</v>
      </c>
      <c r="M696" s="26"/>
      <c r="N696" s="17"/>
      <c r="O696" s="9">
        <f t="shared" si="95"/>
        <v>-5.3</v>
      </c>
      <c r="P696" s="8">
        <f>D692/B692*10^(O696/10)</f>
        <v>5.8040448124438901</v>
      </c>
      <c r="Q696" s="26"/>
      <c r="R696" s="17"/>
      <c r="S696" s="19"/>
      <c r="T696" s="17"/>
      <c r="U696" s="22"/>
    </row>
    <row r="697" spans="1:21" x14ac:dyDescent="0.25">
      <c r="A697" s="24"/>
      <c r="B697" s="24"/>
      <c r="C697" s="17"/>
      <c r="D697" s="24"/>
      <c r="E697" s="24"/>
      <c r="F697" s="25"/>
      <c r="G697" s="1">
        <v>675</v>
      </c>
      <c r="H697" s="2">
        <v>94.5</v>
      </c>
      <c r="I697" s="2">
        <v>-12.3</v>
      </c>
      <c r="J697" s="2">
        <v>-17.399999999999999</v>
      </c>
      <c r="K697" s="2">
        <f t="shared" si="93"/>
        <v>-12.3</v>
      </c>
      <c r="L697" s="8">
        <f t="shared" si="97"/>
        <v>2.0892961308540373E-11</v>
      </c>
      <c r="M697" s="26"/>
      <c r="N697" s="17"/>
      <c r="O697" s="9">
        <f t="shared" si="95"/>
        <v>-17.399999999999999</v>
      </c>
      <c r="P697" s="8">
        <f>D692/B692*10^(O697/10)</f>
        <v>0.35787450219329664</v>
      </c>
      <c r="Q697" s="26"/>
      <c r="R697" s="17"/>
      <c r="S697" s="20"/>
      <c r="T697" s="17"/>
      <c r="U697" s="23"/>
    </row>
    <row r="698" spans="1:21" x14ac:dyDescent="0.25">
      <c r="A698" s="24">
        <v>1000</v>
      </c>
      <c r="B698" s="24">
        <v>3</v>
      </c>
      <c r="C698" s="17">
        <v>0.5</v>
      </c>
      <c r="D698" s="24">
        <v>117</v>
      </c>
      <c r="E698" s="24">
        <v>6</v>
      </c>
      <c r="F698" s="25">
        <v>76</v>
      </c>
      <c r="G698" s="1">
        <v>875</v>
      </c>
      <c r="H698" s="2">
        <v>91.1</v>
      </c>
      <c r="I698" s="2">
        <v>-5.2</v>
      </c>
      <c r="J698" s="2">
        <v>-12.6</v>
      </c>
      <c r="K698" s="2">
        <f t="shared" si="93"/>
        <v>-5.2</v>
      </c>
      <c r="L698" s="8">
        <f t="shared" si="97"/>
        <v>2.3442288153199212E-10</v>
      </c>
      <c r="M698" s="26">
        <f>SUM(L698:L703)</f>
        <v>3.744872603024108E-8</v>
      </c>
      <c r="N698" s="17">
        <f>10*LOG10(M698/E698)</f>
        <v>-82.047142023787941</v>
      </c>
      <c r="O698" s="9">
        <f t="shared" si="95"/>
        <v>-12.6</v>
      </c>
      <c r="P698" s="8">
        <f>D698/B698*10^(O698/10)</f>
        <v>2.143209408044735</v>
      </c>
      <c r="Q698" s="26">
        <f>SUM(P698:P703)</f>
        <v>2976.7601912750724</v>
      </c>
      <c r="R698" s="17">
        <f>10*LOG10(Q698)</f>
        <v>34.737438491576697</v>
      </c>
      <c r="S698" s="18">
        <f>F698+N698-Kzt-H</f>
        <v>-6.0471420237879414</v>
      </c>
      <c r="T698" s="17">
        <v>0.8</v>
      </c>
      <c r="U698" s="21">
        <f>T698*10^((S698-R698)/10)</f>
        <v>6.6777773609620701E-5</v>
      </c>
    </row>
    <row r="699" spans="1:21" x14ac:dyDescent="0.25">
      <c r="A699" s="24"/>
      <c r="B699" s="24"/>
      <c r="C699" s="17"/>
      <c r="D699" s="24"/>
      <c r="E699" s="24"/>
      <c r="F699" s="25"/>
      <c r="G699" s="1">
        <v>975</v>
      </c>
      <c r="H699" s="2">
        <v>96.5</v>
      </c>
      <c r="I699" s="2">
        <v>-5.7</v>
      </c>
      <c r="J699" s="2">
        <v>-5.9</v>
      </c>
      <c r="K699" s="2">
        <f t="shared" si="93"/>
        <v>-5.7</v>
      </c>
      <c r="L699" s="8">
        <f t="shared" si="97"/>
        <v>6.0255958607435443E-11</v>
      </c>
      <c r="M699" s="26"/>
      <c r="N699" s="17"/>
      <c r="O699" s="9">
        <f t="shared" si="95"/>
        <v>-5.9</v>
      </c>
      <c r="P699" s="8">
        <f>D698/B698*10^(O699/10)</f>
        <v>10.024543552798566</v>
      </c>
      <c r="Q699" s="26"/>
      <c r="R699" s="17"/>
      <c r="S699" s="19"/>
      <c r="T699" s="17"/>
      <c r="U699" s="22"/>
    </row>
    <row r="700" spans="1:21" x14ac:dyDescent="0.25">
      <c r="A700" s="24"/>
      <c r="B700" s="24"/>
      <c r="C700" s="17"/>
      <c r="D700" s="24"/>
      <c r="E700" s="24"/>
      <c r="F700" s="25"/>
      <c r="G700" s="1">
        <v>1075</v>
      </c>
      <c r="H700" s="2">
        <v>94.6</v>
      </c>
      <c r="I700" s="2">
        <v>20.2</v>
      </c>
      <c r="J700" s="2">
        <v>18.399999999999999</v>
      </c>
      <c r="K700" s="2">
        <f t="shared" si="93"/>
        <v>20.2</v>
      </c>
      <c r="L700" s="8">
        <f t="shared" si="97"/>
        <v>3.6307805477010135E-8</v>
      </c>
      <c r="M700" s="26"/>
      <c r="N700" s="17"/>
      <c r="O700" s="9">
        <f t="shared" si="95"/>
        <v>18.399999999999999</v>
      </c>
      <c r="P700" s="8">
        <f>D698/B698*10^(O700/10)</f>
        <v>2698.1407865838528</v>
      </c>
      <c r="Q700" s="26"/>
      <c r="R700" s="17"/>
      <c r="S700" s="19"/>
      <c r="T700" s="17"/>
      <c r="U700" s="22"/>
    </row>
    <row r="701" spans="1:21" x14ac:dyDescent="0.25">
      <c r="A701" s="24"/>
      <c r="B701" s="24"/>
      <c r="C701" s="17"/>
      <c r="D701" s="24"/>
      <c r="E701" s="24"/>
      <c r="F701" s="25"/>
      <c r="G701" s="1">
        <v>1175</v>
      </c>
      <c r="H701" s="2">
        <v>97.8</v>
      </c>
      <c r="I701" s="2">
        <v>-7.6</v>
      </c>
      <c r="J701" s="2">
        <v>-14.9</v>
      </c>
      <c r="K701" s="2">
        <f t="shared" si="93"/>
        <v>-7.6</v>
      </c>
      <c r="L701" s="8">
        <f t="shared" si="97"/>
        <v>2.8840315031266094E-11</v>
      </c>
      <c r="M701" s="26"/>
      <c r="N701" s="17"/>
      <c r="O701" s="9">
        <f t="shared" si="95"/>
        <v>-14.9</v>
      </c>
      <c r="P701" s="8">
        <f>D698/B698*10^(O701/10)</f>
        <v>1.2620152620255498</v>
      </c>
      <c r="Q701" s="26"/>
      <c r="R701" s="17"/>
      <c r="S701" s="19"/>
      <c r="T701" s="17"/>
      <c r="U701" s="22"/>
    </row>
    <row r="702" spans="1:21" x14ac:dyDescent="0.25">
      <c r="A702" s="24"/>
      <c r="B702" s="24"/>
      <c r="C702" s="17"/>
      <c r="D702" s="24"/>
      <c r="E702" s="24"/>
      <c r="F702" s="25"/>
      <c r="G702" s="1">
        <v>1275</v>
      </c>
      <c r="H702" s="2">
        <v>100.1</v>
      </c>
      <c r="I702" s="2">
        <v>9.2000000000000011</v>
      </c>
      <c r="J702" s="2">
        <v>8.3000000000000007</v>
      </c>
      <c r="K702" s="2">
        <f t="shared" si="93"/>
        <v>9.2000000000000011</v>
      </c>
      <c r="L702" s="8">
        <f t="shared" si="97"/>
        <v>8.1283051616409768E-10</v>
      </c>
      <c r="M702" s="26"/>
      <c r="N702" s="17"/>
      <c r="O702" s="9">
        <f t="shared" si="95"/>
        <v>8.3000000000000007</v>
      </c>
      <c r="P702" s="8">
        <f>D698/B698*10^(O702/10)</f>
        <v>263.67236040287293</v>
      </c>
      <c r="Q702" s="26"/>
      <c r="R702" s="17"/>
      <c r="S702" s="19"/>
      <c r="T702" s="17"/>
      <c r="U702" s="22"/>
    </row>
    <row r="703" spans="1:21" x14ac:dyDescent="0.25">
      <c r="A703" s="24"/>
      <c r="B703" s="24"/>
      <c r="C703" s="17"/>
      <c r="D703" s="24"/>
      <c r="E703" s="24"/>
      <c r="F703" s="25"/>
      <c r="G703" s="1">
        <v>1375</v>
      </c>
      <c r="H703" s="2">
        <v>103</v>
      </c>
      <c r="I703" s="2">
        <v>-10.4</v>
      </c>
      <c r="J703" s="2">
        <v>-14.1</v>
      </c>
      <c r="K703" s="2">
        <f t="shared" si="93"/>
        <v>-10.4</v>
      </c>
      <c r="L703" s="8">
        <f t="shared" si="97"/>
        <v>4.5708818961487419E-12</v>
      </c>
      <c r="M703" s="26"/>
      <c r="N703" s="17"/>
      <c r="O703" s="9">
        <f t="shared" si="95"/>
        <v>-14.1</v>
      </c>
      <c r="P703" s="8">
        <f>D698/B698*10^(O703/10)</f>
        <v>1.517276065477694</v>
      </c>
      <c r="Q703" s="26"/>
      <c r="R703" s="17"/>
      <c r="S703" s="20"/>
      <c r="T703" s="17"/>
      <c r="U703" s="23"/>
    </row>
    <row r="704" spans="1:21" x14ac:dyDescent="0.25">
      <c r="A704" s="24">
        <v>2000</v>
      </c>
      <c r="B704" s="24">
        <v>3</v>
      </c>
      <c r="C704" s="17">
        <v>0.5</v>
      </c>
      <c r="D704" s="24">
        <v>234</v>
      </c>
      <c r="E704" s="24">
        <v>6</v>
      </c>
      <c r="F704" s="25">
        <v>68</v>
      </c>
      <c r="G704" s="1">
        <v>1425</v>
      </c>
      <c r="H704" s="2">
        <v>102.8</v>
      </c>
      <c r="I704" s="2">
        <v>1.1000000000000001</v>
      </c>
      <c r="J704" s="2">
        <v>-10.9</v>
      </c>
      <c r="K704" s="2">
        <f t="shared" si="93"/>
        <v>1.1000000000000001</v>
      </c>
      <c r="L704" s="8">
        <f t="shared" si="97"/>
        <v>6.7608297539198024E-11</v>
      </c>
      <c r="M704" s="26">
        <f>SUM(L704:L709)</f>
        <v>3.3025969014293166E-10</v>
      </c>
      <c r="N704" s="17">
        <f>10*LOG10(M704/E704)</f>
        <v>-102.59295681284469</v>
      </c>
      <c r="O704" s="9">
        <f t="shared" si="95"/>
        <v>-10.9</v>
      </c>
      <c r="P704" s="8">
        <f>D704/B704*10^(O704/10)</f>
        <v>6.340078026079973</v>
      </c>
      <c r="Q704" s="26">
        <f>SUM(P704:P709)</f>
        <v>75.013323886676972</v>
      </c>
      <c r="R704" s="17">
        <f>10*LOG10(Q704)</f>
        <v>18.751384097454586</v>
      </c>
      <c r="S704" s="18">
        <f>F704+N704-Kzt-H</f>
        <v>-34.59295681284469</v>
      </c>
      <c r="T704" s="17">
        <v>1</v>
      </c>
      <c r="U704" s="21">
        <f>T704*10^((S704-R704)/10)</f>
        <v>4.6298392135472578E-6</v>
      </c>
    </row>
    <row r="705" spans="1:21" x14ac:dyDescent="0.25">
      <c r="A705" s="24"/>
      <c r="B705" s="24"/>
      <c r="C705" s="17"/>
      <c r="D705" s="24"/>
      <c r="E705" s="24"/>
      <c r="F705" s="25"/>
      <c r="G705" s="1">
        <v>1625</v>
      </c>
      <c r="H705" s="2">
        <v>104.1</v>
      </c>
      <c r="I705" s="2">
        <v>-4.9000000000000004</v>
      </c>
      <c r="J705" s="2">
        <v>-5.3</v>
      </c>
      <c r="K705" s="2">
        <f t="shared" si="93"/>
        <v>-4.9000000000000004</v>
      </c>
      <c r="L705" s="8">
        <f t="shared" si="97"/>
        <v>1.2589254117941641E-11</v>
      </c>
      <c r="M705" s="26"/>
      <c r="N705" s="17"/>
      <c r="O705" s="9">
        <f t="shared" si="95"/>
        <v>-5.3</v>
      </c>
      <c r="P705" s="8">
        <f>D704/B704*10^(O705/10)</f>
        <v>23.0194319679978</v>
      </c>
      <c r="Q705" s="26"/>
      <c r="R705" s="17"/>
      <c r="S705" s="19"/>
      <c r="T705" s="17"/>
      <c r="U705" s="22"/>
    </row>
    <row r="706" spans="1:21" x14ac:dyDescent="0.25">
      <c r="A706" s="24"/>
      <c r="B706" s="24"/>
      <c r="C706" s="17"/>
      <c r="D706" s="24"/>
      <c r="E706" s="24"/>
      <c r="F706" s="25"/>
      <c r="G706" s="1">
        <v>1825</v>
      </c>
      <c r="H706" s="2">
        <v>107.6</v>
      </c>
      <c r="I706" s="2">
        <v>-6.6</v>
      </c>
      <c r="J706" s="2">
        <v>-17</v>
      </c>
      <c r="K706" s="2">
        <f t="shared" si="93"/>
        <v>-6.6</v>
      </c>
      <c r="L706" s="8">
        <f t="shared" si="97"/>
        <v>3.8018939632056213E-12</v>
      </c>
      <c r="M706" s="26"/>
      <c r="N706" s="17"/>
      <c r="O706" s="9">
        <f t="shared" si="95"/>
        <v>-17</v>
      </c>
      <c r="P706" s="8">
        <f>D704/B704*10^(O706/10)</f>
        <v>1.5563046056757257</v>
      </c>
      <c r="Q706" s="26"/>
      <c r="R706" s="17"/>
      <c r="S706" s="19"/>
      <c r="T706" s="17"/>
      <c r="U706" s="22"/>
    </row>
    <row r="707" spans="1:21" x14ac:dyDescent="0.25">
      <c r="A707" s="24"/>
      <c r="B707" s="24"/>
      <c r="C707" s="17"/>
      <c r="D707" s="24"/>
      <c r="E707" s="24"/>
      <c r="F707" s="25"/>
      <c r="G707" s="1">
        <v>2125</v>
      </c>
      <c r="H707" s="2">
        <v>104.2</v>
      </c>
      <c r="I707" s="2">
        <v>-2.8</v>
      </c>
      <c r="J707" s="2">
        <v>-6.6</v>
      </c>
      <c r="K707" s="2">
        <f t="shared" si="93"/>
        <v>-2.8</v>
      </c>
      <c r="L707" s="8">
        <f t="shared" si="97"/>
        <v>1.995262314968878E-11</v>
      </c>
      <c r="M707" s="26"/>
      <c r="N707" s="17"/>
      <c r="O707" s="9">
        <f t="shared" si="95"/>
        <v>-6.6</v>
      </c>
      <c r="P707" s="8">
        <f>D704/B704*10^(O707/10)</f>
        <v>17.064540666806511</v>
      </c>
      <c r="Q707" s="26"/>
      <c r="R707" s="17"/>
      <c r="S707" s="19"/>
      <c r="T707" s="17"/>
      <c r="U707" s="22"/>
    </row>
    <row r="708" spans="1:21" x14ac:dyDescent="0.25">
      <c r="A708" s="24"/>
      <c r="B708" s="24"/>
      <c r="C708" s="17"/>
      <c r="D708" s="24"/>
      <c r="E708" s="24"/>
      <c r="F708" s="25"/>
      <c r="G708" s="1">
        <v>2425</v>
      </c>
      <c r="H708" s="2">
        <v>93.7</v>
      </c>
      <c r="I708" s="2">
        <v>-3.1</v>
      </c>
      <c r="J708" s="2">
        <v>-6.4</v>
      </c>
      <c r="K708" s="2">
        <f t="shared" si="93"/>
        <v>-3.1</v>
      </c>
      <c r="L708" s="8">
        <f t="shared" si="97"/>
        <v>2.0892961308540397E-10</v>
      </c>
      <c r="M708" s="26"/>
      <c r="N708" s="17"/>
      <c r="O708" s="9">
        <f t="shared" si="95"/>
        <v>-6.4</v>
      </c>
      <c r="P708" s="8">
        <f>D704/B704*10^(O708/10)</f>
        <v>17.86876769158863</v>
      </c>
      <c r="Q708" s="26"/>
      <c r="R708" s="17"/>
      <c r="S708" s="19"/>
      <c r="T708" s="17"/>
      <c r="U708" s="22"/>
    </row>
    <row r="709" spans="1:21" x14ac:dyDescent="0.25">
      <c r="A709" s="24"/>
      <c r="B709" s="24"/>
      <c r="C709" s="17"/>
      <c r="D709" s="24"/>
      <c r="E709" s="24"/>
      <c r="F709" s="25"/>
      <c r="G709" s="1">
        <v>2775</v>
      </c>
      <c r="H709" s="2">
        <v>100.2</v>
      </c>
      <c r="I709" s="2">
        <v>-7.4</v>
      </c>
      <c r="J709" s="2">
        <v>-9.3000000000000007</v>
      </c>
      <c r="K709" s="2">
        <f t="shared" si="93"/>
        <v>-7.4</v>
      </c>
      <c r="L709" s="8">
        <f t="shared" si="97"/>
        <v>1.7378008287493627E-11</v>
      </c>
      <c r="M709" s="26"/>
      <c r="N709" s="17"/>
      <c r="O709" s="9">
        <f t="shared" si="95"/>
        <v>-9.3000000000000007</v>
      </c>
      <c r="P709" s="8">
        <f>D704/B704*10^(O709/10)</f>
        <v>9.1642009285283272</v>
      </c>
      <c r="Q709" s="26"/>
      <c r="R709" s="17"/>
      <c r="S709" s="20"/>
      <c r="T709" s="17"/>
      <c r="U709" s="23"/>
    </row>
    <row r="710" spans="1:21" x14ac:dyDescent="0.25">
      <c r="A710" s="24">
        <v>4000</v>
      </c>
      <c r="B710" s="24">
        <v>3</v>
      </c>
      <c r="C710" s="17">
        <v>0.5</v>
      </c>
      <c r="D710" s="24">
        <v>470</v>
      </c>
      <c r="E710" s="24">
        <v>6</v>
      </c>
      <c r="F710" s="25">
        <v>62</v>
      </c>
      <c r="G710" s="1">
        <v>2825</v>
      </c>
      <c r="H710" s="2">
        <v>99.4</v>
      </c>
      <c r="I710" s="2">
        <v>-3.1</v>
      </c>
      <c r="J710" s="2">
        <v>-6</v>
      </c>
      <c r="K710" s="2">
        <f t="shared" si="93"/>
        <v>-3.1</v>
      </c>
      <c r="L710" s="8">
        <f t="shared" si="97"/>
        <v>5.6234132519034822E-11</v>
      </c>
      <c r="M710" s="26">
        <f>SUM(L710:L715)</f>
        <v>2.2207509570600653E-10</v>
      </c>
      <c r="N710" s="17">
        <f>10*LOG10(M710/E710)</f>
        <v>-104.3165139243803</v>
      </c>
      <c r="O710" s="9">
        <f t="shared" si="95"/>
        <v>-6</v>
      </c>
      <c r="P710" s="8">
        <f>D710/B710*10^(O710/10)</f>
        <v>39.352887426983422</v>
      </c>
      <c r="Q710" s="26">
        <f>SUM(P710:P715)</f>
        <v>441.05290334871484</v>
      </c>
      <c r="R710" s="17">
        <f>10*LOG10(Q710)</f>
        <v>26.444906852828659</v>
      </c>
      <c r="S710" s="18">
        <f>F710+N710-Kzt-H</f>
        <v>-42.316513924380303</v>
      </c>
      <c r="T710" s="17">
        <v>0.9</v>
      </c>
      <c r="U710" s="21">
        <f>T710*10^((S710-R710)/10)</f>
        <v>1.1970173126419283E-7</v>
      </c>
    </row>
    <row r="711" spans="1:21" x14ac:dyDescent="0.25">
      <c r="A711" s="24"/>
      <c r="B711" s="24"/>
      <c r="C711" s="17"/>
      <c r="D711" s="24"/>
      <c r="E711" s="24"/>
      <c r="F711" s="25"/>
      <c r="G711" s="1">
        <v>3425</v>
      </c>
      <c r="H711" s="2">
        <v>103.5</v>
      </c>
      <c r="I711" s="2">
        <v>-6.4</v>
      </c>
      <c r="J711" s="2">
        <v>-13.2</v>
      </c>
      <c r="K711" s="2">
        <f t="shared" si="93"/>
        <v>-6.4</v>
      </c>
      <c r="L711" s="8">
        <f t="shared" si="97"/>
        <v>1.0232929922807526E-11</v>
      </c>
      <c r="M711" s="26"/>
      <c r="N711" s="17"/>
      <c r="O711" s="9">
        <f t="shared" si="95"/>
        <v>-13.2</v>
      </c>
      <c r="P711" s="8">
        <f>D710/B710*10^(O711/10)</f>
        <v>7.4985381130546678</v>
      </c>
      <c r="Q711" s="26"/>
      <c r="R711" s="17"/>
      <c r="S711" s="19"/>
      <c r="T711" s="17"/>
      <c r="U711" s="22"/>
    </row>
    <row r="712" spans="1:21" x14ac:dyDescent="0.25">
      <c r="A712" s="24"/>
      <c r="B712" s="24"/>
      <c r="C712" s="17"/>
      <c r="D712" s="24"/>
      <c r="E712" s="24"/>
      <c r="F712" s="25"/>
      <c r="G712" s="1">
        <v>4025</v>
      </c>
      <c r="H712" s="2">
        <v>103.6</v>
      </c>
      <c r="I712" s="2">
        <v>-2.7</v>
      </c>
      <c r="J712" s="2">
        <v>-5.9</v>
      </c>
      <c r="K712" s="2">
        <f t="shared" si="93"/>
        <v>-2.7</v>
      </c>
      <c r="L712" s="8">
        <f t="shared" si="97"/>
        <v>2.3442288153199185E-11</v>
      </c>
      <c r="M712" s="26"/>
      <c r="N712" s="17"/>
      <c r="O712" s="9">
        <f t="shared" si="95"/>
        <v>-5.9</v>
      </c>
      <c r="P712" s="8">
        <f>D710/B710*10^(O712/10)</f>
        <v>40.269533930045512</v>
      </c>
      <c r="Q712" s="26"/>
      <c r="R712" s="17"/>
      <c r="S712" s="19"/>
      <c r="T712" s="17"/>
      <c r="U712" s="22"/>
    </row>
    <row r="713" spans="1:21" x14ac:dyDescent="0.25">
      <c r="A713" s="24"/>
      <c r="B713" s="24"/>
      <c r="C713" s="17"/>
      <c r="D713" s="24"/>
      <c r="E713" s="24"/>
      <c r="F713" s="25"/>
      <c r="G713" s="1">
        <v>4625</v>
      </c>
      <c r="H713" s="2">
        <v>105.6</v>
      </c>
      <c r="I713" s="2">
        <v>-4.4000000000000004</v>
      </c>
      <c r="J713" s="2">
        <v>-10.199999999999999</v>
      </c>
      <c r="K713" s="2">
        <f t="shared" si="93"/>
        <v>-4.4000000000000004</v>
      </c>
      <c r="L713" s="8">
        <f t="shared" si="97"/>
        <v>9.9999999999999994E-12</v>
      </c>
      <c r="M713" s="26"/>
      <c r="N713" s="17"/>
      <c r="O713" s="9">
        <f t="shared" si="95"/>
        <v>-10.199999999999999</v>
      </c>
      <c r="P713" s="8">
        <f>D710/B710*10^(O713/10)</f>
        <v>14.961550514335825</v>
      </c>
      <c r="Q713" s="26"/>
      <c r="R713" s="17"/>
      <c r="S713" s="19"/>
      <c r="T713" s="17"/>
      <c r="U713" s="22"/>
    </row>
    <row r="714" spans="1:21" x14ac:dyDescent="0.25">
      <c r="A714" s="24"/>
      <c r="B714" s="24"/>
      <c r="C714" s="17"/>
      <c r="D714" s="24"/>
      <c r="E714" s="24"/>
      <c r="F714" s="25"/>
      <c r="G714" s="1">
        <v>5225</v>
      </c>
      <c r="H714" s="2">
        <v>103.5</v>
      </c>
      <c r="I714" s="2">
        <v>3.1999999999999997</v>
      </c>
      <c r="J714" s="2">
        <v>2.9</v>
      </c>
      <c r="K714" s="2">
        <f t="shared" si="93"/>
        <v>3.1999999999999997</v>
      </c>
      <c r="L714" s="8">
        <f t="shared" si="97"/>
        <v>9.3325430079699086E-11</v>
      </c>
      <c r="M714" s="26"/>
      <c r="N714" s="17"/>
      <c r="O714" s="9">
        <f t="shared" si="95"/>
        <v>2.9</v>
      </c>
      <c r="P714" s="8">
        <f>D710/B710*10^(O714/10)</f>
        <v>305.47565396209376</v>
      </c>
      <c r="Q714" s="26"/>
      <c r="R714" s="17"/>
      <c r="S714" s="19"/>
      <c r="T714" s="17"/>
      <c r="U714" s="22"/>
    </row>
    <row r="715" spans="1:21" x14ac:dyDescent="0.25">
      <c r="A715" s="24"/>
      <c r="B715" s="24"/>
      <c r="C715" s="17"/>
      <c r="D715" s="24"/>
      <c r="E715" s="24"/>
      <c r="F715" s="25"/>
      <c r="G715" s="1">
        <v>5625</v>
      </c>
      <c r="H715" s="2">
        <v>99.5</v>
      </c>
      <c r="I715" s="2">
        <v>-5.9</v>
      </c>
      <c r="J715" s="2">
        <v>-6.7</v>
      </c>
      <c r="K715" s="2">
        <f t="shared" si="93"/>
        <v>-5.9</v>
      </c>
      <c r="L715" s="8">
        <f t="shared" si="97"/>
        <v>2.8840315031265894E-11</v>
      </c>
      <c r="M715" s="26"/>
      <c r="N715" s="17"/>
      <c r="O715" s="9">
        <f t="shared" si="95"/>
        <v>-6.7</v>
      </c>
      <c r="P715" s="8">
        <f>D710/B710*10^(O715/10)</f>
        <v>33.494739402201624</v>
      </c>
      <c r="Q715" s="26"/>
      <c r="R715" s="17"/>
      <c r="S715" s="20"/>
      <c r="T715" s="17"/>
      <c r="U715" s="23"/>
    </row>
    <row r="716" spans="1:21" x14ac:dyDescent="0.25">
      <c r="A716" s="24">
        <v>8000</v>
      </c>
      <c r="B716" s="24">
        <v>3</v>
      </c>
      <c r="C716" s="17">
        <v>0.5</v>
      </c>
      <c r="D716" s="24">
        <v>943</v>
      </c>
      <c r="E716" s="24">
        <v>6</v>
      </c>
      <c r="F716" s="25">
        <v>54</v>
      </c>
      <c r="G716" s="1">
        <v>6025</v>
      </c>
      <c r="H716" s="2">
        <v>95</v>
      </c>
      <c r="I716" s="2">
        <v>-2.2999999999999998</v>
      </c>
      <c r="J716" s="2">
        <v>-2.7</v>
      </c>
      <c r="K716" s="2">
        <f t="shared" si="93"/>
        <v>-2.2999999999999998</v>
      </c>
      <c r="L716" s="8">
        <f t="shared" si="97"/>
        <v>1.862087136662862E-10</v>
      </c>
      <c r="M716" s="26">
        <f>SUM(L716:L721)</f>
        <v>4.5580107871551189E-8</v>
      </c>
      <c r="N716" s="17">
        <f>10*LOG10(M716/E716)</f>
        <v>-81.193759017208578</v>
      </c>
      <c r="O716" s="9">
        <f t="shared" si="95"/>
        <v>-2.7</v>
      </c>
      <c r="P716" s="8">
        <f>D716/B716*10^(O716/10)</f>
        <v>168.80699465904942</v>
      </c>
      <c r="Q716" s="26">
        <f>SUM(P716:P721)</f>
        <v>24099.375307365779</v>
      </c>
      <c r="R716" s="17">
        <f>10*LOG10(Q716)</f>
        <v>43.820057851441561</v>
      </c>
      <c r="S716" s="18">
        <f>F716+N716-Kzt-H</f>
        <v>-27.193759017208578</v>
      </c>
      <c r="T716" s="17">
        <v>0.7</v>
      </c>
      <c r="U716" s="21">
        <f>T716*10^((S716-R716)/10)</f>
        <v>5.5426359351874309E-8</v>
      </c>
    </row>
    <row r="717" spans="1:21" x14ac:dyDescent="0.25">
      <c r="A717" s="24"/>
      <c r="B717" s="24"/>
      <c r="C717" s="17"/>
      <c r="D717" s="24"/>
      <c r="E717" s="24"/>
      <c r="F717" s="25"/>
      <c r="G717" s="1">
        <v>7025</v>
      </c>
      <c r="H717" s="2">
        <v>94.8</v>
      </c>
      <c r="I717" s="2">
        <v>8.3000000000000007</v>
      </c>
      <c r="J717" s="2">
        <v>6.1</v>
      </c>
      <c r="K717" s="2">
        <f t="shared" si="93"/>
        <v>8.3000000000000007</v>
      </c>
      <c r="L717" s="8">
        <f t="shared" si="97"/>
        <v>2.2387211385683336E-9</v>
      </c>
      <c r="M717" s="26"/>
      <c r="N717" s="17"/>
      <c r="O717" s="9">
        <f t="shared" si="95"/>
        <v>6.1</v>
      </c>
      <c r="P717" s="8">
        <f>D716/B716*10^(O717/10)</f>
        <v>1280.5320065642611</v>
      </c>
      <c r="Q717" s="26"/>
      <c r="R717" s="17"/>
      <c r="S717" s="19"/>
      <c r="T717" s="17"/>
      <c r="U717" s="22"/>
    </row>
    <row r="718" spans="1:21" x14ac:dyDescent="0.25">
      <c r="A718" s="24"/>
      <c r="B718" s="24"/>
      <c r="C718" s="17"/>
      <c r="D718" s="24"/>
      <c r="E718" s="24"/>
      <c r="F718" s="25"/>
      <c r="G718" s="1">
        <v>8025</v>
      </c>
      <c r="H718" s="2">
        <v>101.9</v>
      </c>
      <c r="I718" s="2">
        <v>-2.5</v>
      </c>
      <c r="J718" s="2">
        <v>-10.7</v>
      </c>
      <c r="K718" s="2">
        <f t="shared" si="93"/>
        <v>-2.5</v>
      </c>
      <c r="L718" s="8">
        <f t="shared" si="97"/>
        <v>3.6307805477009883E-11</v>
      </c>
      <c r="M718" s="26"/>
      <c r="N718" s="17"/>
      <c r="O718" s="9">
        <f t="shared" si="95"/>
        <v>-10.7</v>
      </c>
      <c r="P718" s="8">
        <f>D716/B716*10^(O718/10)</f>
        <v>26.754105667494699</v>
      </c>
      <c r="Q718" s="26"/>
      <c r="R718" s="17"/>
      <c r="S718" s="19"/>
      <c r="T718" s="17"/>
      <c r="U718" s="22"/>
    </row>
    <row r="719" spans="1:21" x14ac:dyDescent="0.25">
      <c r="A719" s="24"/>
      <c r="B719" s="24"/>
      <c r="C719" s="17"/>
      <c r="D719" s="24"/>
      <c r="E719" s="24"/>
      <c r="F719" s="25"/>
      <c r="G719" s="1">
        <v>9025</v>
      </c>
      <c r="H719" s="2">
        <v>93.2</v>
      </c>
      <c r="I719" s="2">
        <v>18.8</v>
      </c>
      <c r="J719" s="2">
        <v>18.5</v>
      </c>
      <c r="K719" s="2">
        <f t="shared" si="93"/>
        <v>18.8</v>
      </c>
      <c r="L719" s="8">
        <f t="shared" si="97"/>
        <v>3.630780547701001E-8</v>
      </c>
      <c r="M719" s="26"/>
      <c r="N719" s="17"/>
      <c r="O719" s="9">
        <f t="shared" si="95"/>
        <v>18.5</v>
      </c>
      <c r="P719" s="8">
        <f>D716/B716*10^(O719/10)</f>
        <v>22253.095822474756</v>
      </c>
      <c r="Q719" s="26"/>
      <c r="R719" s="17"/>
      <c r="S719" s="19"/>
      <c r="T719" s="17"/>
      <c r="U719" s="22"/>
    </row>
    <row r="720" spans="1:21" x14ac:dyDescent="0.25">
      <c r="A720" s="24"/>
      <c r="B720" s="24"/>
      <c r="C720" s="17"/>
      <c r="D720" s="24"/>
      <c r="E720" s="24"/>
      <c r="F720" s="25"/>
      <c r="G720" s="1">
        <v>10025</v>
      </c>
      <c r="H720" s="2">
        <v>88.3</v>
      </c>
      <c r="I720" s="2">
        <v>4.8</v>
      </c>
      <c r="J720" s="2">
        <v>-2.2999999999999998</v>
      </c>
      <c r="K720" s="2">
        <f t="shared" si="93"/>
        <v>4.8</v>
      </c>
      <c r="L720" s="8">
        <f t="shared" si="97"/>
        <v>4.4668359215096219E-9</v>
      </c>
      <c r="M720" s="26"/>
      <c r="N720" s="17"/>
      <c r="O720" s="9">
        <f t="shared" si="95"/>
        <v>-2.2999999999999998</v>
      </c>
      <c r="P720" s="8">
        <f>D716/B716*10^(O720/10)</f>
        <v>185.09318900010678</v>
      </c>
      <c r="Q720" s="26"/>
      <c r="R720" s="17"/>
      <c r="S720" s="19"/>
      <c r="T720" s="17"/>
      <c r="U720" s="22"/>
    </row>
    <row r="721" spans="1:21" x14ac:dyDescent="0.25">
      <c r="A721" s="24"/>
      <c r="B721" s="24"/>
      <c r="C721" s="17"/>
      <c r="D721" s="24"/>
      <c r="E721" s="24"/>
      <c r="F721" s="25"/>
      <c r="G721" s="1">
        <v>11025</v>
      </c>
      <c r="H721" s="2">
        <v>86</v>
      </c>
      <c r="I721" s="2">
        <v>-0.29999999999999982</v>
      </c>
      <c r="J721" s="2">
        <v>-2.2999999999999998</v>
      </c>
      <c r="K721" s="2">
        <f t="shared" si="93"/>
        <v>-0.29999999999999982</v>
      </c>
      <c r="L721" s="8">
        <f t="shared" si="97"/>
        <v>2.3442288153199238E-9</v>
      </c>
      <c r="M721" s="26"/>
      <c r="N721" s="17"/>
      <c r="O721" s="9">
        <f t="shared" si="95"/>
        <v>-2.2999999999999998</v>
      </c>
      <c r="P721" s="8">
        <f>D716/B716*10^(O721/10)</f>
        <v>185.09318900010678</v>
      </c>
      <c r="Q721" s="26"/>
      <c r="R721" s="17"/>
      <c r="S721" s="20"/>
      <c r="T721" s="17"/>
      <c r="U721" s="23"/>
    </row>
    <row r="722" spans="1:21" x14ac:dyDescent="0.25">
      <c r="A722" s="24" t="s">
        <v>20</v>
      </c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12">
        <f>U722</f>
        <v>3.1923911937523475E-2</v>
      </c>
      <c r="T722" s="2"/>
      <c r="U722" s="8">
        <f>0.8*SQRT(SUM(U688:U721))</f>
        <v>3.1923911937523475E-2</v>
      </c>
    </row>
  </sheetData>
  <mergeCells count="1600">
    <mergeCell ref="R4:R7"/>
    <mergeCell ref="S4:S7"/>
    <mergeCell ref="T4:T7"/>
    <mergeCell ref="U4:U7"/>
    <mergeCell ref="A8:A13"/>
    <mergeCell ref="B8:B13"/>
    <mergeCell ref="C8:C13"/>
    <mergeCell ref="D8:D13"/>
    <mergeCell ref="E8:E13"/>
    <mergeCell ref="F8:F13"/>
    <mergeCell ref="A3:U3"/>
    <mergeCell ref="A4:A7"/>
    <mergeCell ref="B4:B7"/>
    <mergeCell ref="C4:C7"/>
    <mergeCell ref="D4:D7"/>
    <mergeCell ref="E4:E7"/>
    <mergeCell ref="F4:F7"/>
    <mergeCell ref="M4:M7"/>
    <mergeCell ref="N4:N7"/>
    <mergeCell ref="Q4:Q7"/>
    <mergeCell ref="R14:R19"/>
    <mergeCell ref="S14:S19"/>
    <mergeCell ref="T14:T19"/>
    <mergeCell ref="U14:U19"/>
    <mergeCell ref="A20:A25"/>
    <mergeCell ref="B20:B25"/>
    <mergeCell ref="C20:C25"/>
    <mergeCell ref="D20:D25"/>
    <mergeCell ref="E20:E25"/>
    <mergeCell ref="F20:F25"/>
    <mergeCell ref="U8:U13"/>
    <mergeCell ref="A14:A19"/>
    <mergeCell ref="B14:B19"/>
    <mergeCell ref="C14:C19"/>
    <mergeCell ref="D14:D19"/>
    <mergeCell ref="E14:E19"/>
    <mergeCell ref="F14:F19"/>
    <mergeCell ref="M14:M19"/>
    <mergeCell ref="N14:N19"/>
    <mergeCell ref="Q14:Q19"/>
    <mergeCell ref="M8:M13"/>
    <mergeCell ref="N8:N13"/>
    <mergeCell ref="Q8:Q13"/>
    <mergeCell ref="R8:R13"/>
    <mergeCell ref="S8:S13"/>
    <mergeCell ref="T8:T13"/>
    <mergeCell ref="R26:R31"/>
    <mergeCell ref="S26:S31"/>
    <mergeCell ref="T26:T31"/>
    <mergeCell ref="U26:U31"/>
    <mergeCell ref="A32:A37"/>
    <mergeCell ref="B32:B37"/>
    <mergeCell ref="C32:C37"/>
    <mergeCell ref="D32:D37"/>
    <mergeCell ref="E32:E37"/>
    <mergeCell ref="F32:F37"/>
    <mergeCell ref="U20:U25"/>
    <mergeCell ref="A26:A31"/>
    <mergeCell ref="B26:B31"/>
    <mergeCell ref="C26:C31"/>
    <mergeCell ref="D26:D31"/>
    <mergeCell ref="E26:E31"/>
    <mergeCell ref="F26:F31"/>
    <mergeCell ref="M26:M31"/>
    <mergeCell ref="N26:N31"/>
    <mergeCell ref="Q26:Q31"/>
    <mergeCell ref="M20:M25"/>
    <mergeCell ref="N20:N25"/>
    <mergeCell ref="Q20:Q25"/>
    <mergeCell ref="R20:R25"/>
    <mergeCell ref="S20:S25"/>
    <mergeCell ref="T20:T25"/>
    <mergeCell ref="N40:N43"/>
    <mergeCell ref="Q40:Q43"/>
    <mergeCell ref="R40:R43"/>
    <mergeCell ref="S40:S43"/>
    <mergeCell ref="T40:T43"/>
    <mergeCell ref="U40:U43"/>
    <mergeCell ref="U32:U37"/>
    <mergeCell ref="A38:R38"/>
    <mergeCell ref="A39:U39"/>
    <mergeCell ref="A40:A43"/>
    <mergeCell ref="B40:B43"/>
    <mergeCell ref="C40:C43"/>
    <mergeCell ref="D40:D43"/>
    <mergeCell ref="E40:E43"/>
    <mergeCell ref="F40:F43"/>
    <mergeCell ref="M40:M43"/>
    <mergeCell ref="M32:M37"/>
    <mergeCell ref="N32:N37"/>
    <mergeCell ref="Q32:Q37"/>
    <mergeCell ref="R32:R37"/>
    <mergeCell ref="S32:S37"/>
    <mergeCell ref="T32:T37"/>
    <mergeCell ref="R50:R55"/>
    <mergeCell ref="S50:S55"/>
    <mergeCell ref="T50:T55"/>
    <mergeCell ref="U50:U55"/>
    <mergeCell ref="A56:A61"/>
    <mergeCell ref="B56:B61"/>
    <mergeCell ref="C56:C61"/>
    <mergeCell ref="D56:D61"/>
    <mergeCell ref="E56:E61"/>
    <mergeCell ref="F56:F61"/>
    <mergeCell ref="U44:U49"/>
    <mergeCell ref="A50:A55"/>
    <mergeCell ref="B50:B55"/>
    <mergeCell ref="C50:C55"/>
    <mergeCell ref="D50:D55"/>
    <mergeCell ref="E50:E55"/>
    <mergeCell ref="F50:F55"/>
    <mergeCell ref="M50:M55"/>
    <mergeCell ref="N50:N55"/>
    <mergeCell ref="Q50:Q55"/>
    <mergeCell ref="M44:M49"/>
    <mergeCell ref="N44:N49"/>
    <mergeCell ref="Q44:Q49"/>
    <mergeCell ref="R44:R49"/>
    <mergeCell ref="S44:S49"/>
    <mergeCell ref="T44:T49"/>
    <mergeCell ref="A44:A49"/>
    <mergeCell ref="B44:B49"/>
    <mergeCell ref="C44:C49"/>
    <mergeCell ref="D44:D49"/>
    <mergeCell ref="E44:E49"/>
    <mergeCell ref="F44:F49"/>
    <mergeCell ref="R62:R67"/>
    <mergeCell ref="S62:S67"/>
    <mergeCell ref="T62:T67"/>
    <mergeCell ref="U62:U67"/>
    <mergeCell ref="A68:A73"/>
    <mergeCell ref="B68:B73"/>
    <mergeCell ref="C68:C73"/>
    <mergeCell ref="D68:D73"/>
    <mergeCell ref="E68:E73"/>
    <mergeCell ref="F68:F73"/>
    <mergeCell ref="U56:U61"/>
    <mergeCell ref="A62:A67"/>
    <mergeCell ref="B62:B67"/>
    <mergeCell ref="C62:C67"/>
    <mergeCell ref="D62:D67"/>
    <mergeCell ref="E62:E67"/>
    <mergeCell ref="F62:F67"/>
    <mergeCell ref="M62:M67"/>
    <mergeCell ref="N62:N67"/>
    <mergeCell ref="Q62:Q67"/>
    <mergeCell ref="M56:M61"/>
    <mergeCell ref="N56:N61"/>
    <mergeCell ref="Q56:Q61"/>
    <mergeCell ref="R56:R61"/>
    <mergeCell ref="S56:S61"/>
    <mergeCell ref="T56:T61"/>
    <mergeCell ref="N76:N79"/>
    <mergeCell ref="Q76:Q79"/>
    <mergeCell ref="R76:R79"/>
    <mergeCell ref="S76:S79"/>
    <mergeCell ref="T76:T79"/>
    <mergeCell ref="U76:U79"/>
    <mergeCell ref="U68:U73"/>
    <mergeCell ref="A74:R74"/>
    <mergeCell ref="A75:U75"/>
    <mergeCell ref="A76:A79"/>
    <mergeCell ref="B76:B79"/>
    <mergeCell ref="C76:C79"/>
    <mergeCell ref="D76:D79"/>
    <mergeCell ref="E76:E79"/>
    <mergeCell ref="F76:F79"/>
    <mergeCell ref="M76:M79"/>
    <mergeCell ref="M68:M73"/>
    <mergeCell ref="N68:N73"/>
    <mergeCell ref="Q68:Q73"/>
    <mergeCell ref="R68:R73"/>
    <mergeCell ref="S68:S73"/>
    <mergeCell ref="T68:T73"/>
    <mergeCell ref="R86:R91"/>
    <mergeCell ref="S86:S91"/>
    <mergeCell ref="T86:T91"/>
    <mergeCell ref="U86:U91"/>
    <mergeCell ref="A92:A97"/>
    <mergeCell ref="B92:B97"/>
    <mergeCell ref="C92:C97"/>
    <mergeCell ref="D92:D97"/>
    <mergeCell ref="E92:E97"/>
    <mergeCell ref="F92:F97"/>
    <mergeCell ref="U80:U85"/>
    <mergeCell ref="A86:A91"/>
    <mergeCell ref="B86:B91"/>
    <mergeCell ref="C86:C91"/>
    <mergeCell ref="D86:D91"/>
    <mergeCell ref="E86:E91"/>
    <mergeCell ref="F86:F91"/>
    <mergeCell ref="M86:M91"/>
    <mergeCell ref="N86:N91"/>
    <mergeCell ref="Q86:Q91"/>
    <mergeCell ref="M80:M85"/>
    <mergeCell ref="N80:N85"/>
    <mergeCell ref="Q80:Q85"/>
    <mergeCell ref="R80:R85"/>
    <mergeCell ref="S80:S85"/>
    <mergeCell ref="T80:T85"/>
    <mergeCell ref="A80:A85"/>
    <mergeCell ref="B80:B85"/>
    <mergeCell ref="C80:C85"/>
    <mergeCell ref="D80:D85"/>
    <mergeCell ref="E80:E85"/>
    <mergeCell ref="F80:F85"/>
    <mergeCell ref="R98:R103"/>
    <mergeCell ref="S98:S103"/>
    <mergeCell ref="T98:T103"/>
    <mergeCell ref="U98:U103"/>
    <mergeCell ref="A104:A109"/>
    <mergeCell ref="B104:B109"/>
    <mergeCell ref="C104:C109"/>
    <mergeCell ref="D104:D109"/>
    <mergeCell ref="E104:E109"/>
    <mergeCell ref="F104:F109"/>
    <mergeCell ref="U92:U97"/>
    <mergeCell ref="A98:A103"/>
    <mergeCell ref="B98:B103"/>
    <mergeCell ref="C98:C103"/>
    <mergeCell ref="D98:D103"/>
    <mergeCell ref="E98:E103"/>
    <mergeCell ref="F98:F103"/>
    <mergeCell ref="M98:M103"/>
    <mergeCell ref="N98:N103"/>
    <mergeCell ref="Q98:Q103"/>
    <mergeCell ref="M92:M97"/>
    <mergeCell ref="N92:N97"/>
    <mergeCell ref="Q92:Q97"/>
    <mergeCell ref="R92:R97"/>
    <mergeCell ref="S92:S97"/>
    <mergeCell ref="T92:T97"/>
    <mergeCell ref="N112:N115"/>
    <mergeCell ref="Q112:Q115"/>
    <mergeCell ref="R112:R115"/>
    <mergeCell ref="S112:S115"/>
    <mergeCell ref="T112:T115"/>
    <mergeCell ref="U112:U115"/>
    <mergeCell ref="U104:U109"/>
    <mergeCell ref="A110:R110"/>
    <mergeCell ref="A111:U111"/>
    <mergeCell ref="A112:A115"/>
    <mergeCell ref="B112:B115"/>
    <mergeCell ref="C112:C115"/>
    <mergeCell ref="D112:D115"/>
    <mergeCell ref="E112:E115"/>
    <mergeCell ref="F112:F115"/>
    <mergeCell ref="M112:M115"/>
    <mergeCell ref="M104:M109"/>
    <mergeCell ref="N104:N109"/>
    <mergeCell ref="Q104:Q109"/>
    <mergeCell ref="R104:R109"/>
    <mergeCell ref="S104:S109"/>
    <mergeCell ref="T104:T109"/>
    <mergeCell ref="R122:R127"/>
    <mergeCell ref="S122:S127"/>
    <mergeCell ref="T122:T127"/>
    <mergeCell ref="U122:U127"/>
    <mergeCell ref="A128:A133"/>
    <mergeCell ref="B128:B133"/>
    <mergeCell ref="C128:C133"/>
    <mergeCell ref="D128:D133"/>
    <mergeCell ref="E128:E133"/>
    <mergeCell ref="F128:F133"/>
    <mergeCell ref="U116:U121"/>
    <mergeCell ref="A122:A127"/>
    <mergeCell ref="B122:B127"/>
    <mergeCell ref="C122:C127"/>
    <mergeCell ref="D122:D127"/>
    <mergeCell ref="E122:E127"/>
    <mergeCell ref="F122:F127"/>
    <mergeCell ref="M122:M127"/>
    <mergeCell ref="N122:N127"/>
    <mergeCell ref="Q122:Q127"/>
    <mergeCell ref="M116:M121"/>
    <mergeCell ref="N116:N121"/>
    <mergeCell ref="Q116:Q121"/>
    <mergeCell ref="R116:R121"/>
    <mergeCell ref="S116:S121"/>
    <mergeCell ref="T116:T121"/>
    <mergeCell ref="A116:A121"/>
    <mergeCell ref="B116:B121"/>
    <mergeCell ref="C116:C121"/>
    <mergeCell ref="D116:D121"/>
    <mergeCell ref="E116:E121"/>
    <mergeCell ref="F116:F121"/>
    <mergeCell ref="R134:R139"/>
    <mergeCell ref="S134:S139"/>
    <mergeCell ref="T134:T139"/>
    <mergeCell ref="U134:U139"/>
    <mergeCell ref="A140:A145"/>
    <mergeCell ref="B140:B145"/>
    <mergeCell ref="C140:C145"/>
    <mergeCell ref="D140:D145"/>
    <mergeCell ref="E140:E145"/>
    <mergeCell ref="F140:F145"/>
    <mergeCell ref="U128:U133"/>
    <mergeCell ref="A134:A139"/>
    <mergeCell ref="B134:B139"/>
    <mergeCell ref="C134:C139"/>
    <mergeCell ref="D134:D139"/>
    <mergeCell ref="E134:E139"/>
    <mergeCell ref="F134:F139"/>
    <mergeCell ref="M134:M139"/>
    <mergeCell ref="N134:N139"/>
    <mergeCell ref="Q134:Q139"/>
    <mergeCell ref="M128:M133"/>
    <mergeCell ref="N128:N133"/>
    <mergeCell ref="Q128:Q133"/>
    <mergeCell ref="R128:R133"/>
    <mergeCell ref="S128:S133"/>
    <mergeCell ref="T128:T133"/>
    <mergeCell ref="N148:N151"/>
    <mergeCell ref="Q148:Q151"/>
    <mergeCell ref="R148:R151"/>
    <mergeCell ref="S148:S151"/>
    <mergeCell ref="T148:T151"/>
    <mergeCell ref="U148:U151"/>
    <mergeCell ref="U140:U145"/>
    <mergeCell ref="A146:R146"/>
    <mergeCell ref="A147:U147"/>
    <mergeCell ref="A148:A151"/>
    <mergeCell ref="B148:B151"/>
    <mergeCell ref="C148:C151"/>
    <mergeCell ref="D148:D151"/>
    <mergeCell ref="E148:E151"/>
    <mergeCell ref="F148:F151"/>
    <mergeCell ref="M148:M151"/>
    <mergeCell ref="M140:M145"/>
    <mergeCell ref="N140:N145"/>
    <mergeCell ref="Q140:Q145"/>
    <mergeCell ref="R140:R145"/>
    <mergeCell ref="S140:S145"/>
    <mergeCell ref="T140:T145"/>
    <mergeCell ref="R158:R163"/>
    <mergeCell ref="S158:S163"/>
    <mergeCell ref="T158:T163"/>
    <mergeCell ref="U158:U163"/>
    <mergeCell ref="A164:A169"/>
    <mergeCell ref="B164:B169"/>
    <mergeCell ref="C164:C169"/>
    <mergeCell ref="D164:D169"/>
    <mergeCell ref="E164:E169"/>
    <mergeCell ref="F164:F169"/>
    <mergeCell ref="U152:U157"/>
    <mergeCell ref="A158:A163"/>
    <mergeCell ref="B158:B163"/>
    <mergeCell ref="C158:C163"/>
    <mergeCell ref="D158:D163"/>
    <mergeCell ref="E158:E163"/>
    <mergeCell ref="F158:F163"/>
    <mergeCell ref="M158:M163"/>
    <mergeCell ref="N158:N163"/>
    <mergeCell ref="Q158:Q163"/>
    <mergeCell ref="M152:M157"/>
    <mergeCell ref="N152:N157"/>
    <mergeCell ref="Q152:Q157"/>
    <mergeCell ref="R152:R157"/>
    <mergeCell ref="S152:S157"/>
    <mergeCell ref="T152:T157"/>
    <mergeCell ref="A152:A157"/>
    <mergeCell ref="B152:B157"/>
    <mergeCell ref="C152:C157"/>
    <mergeCell ref="D152:D157"/>
    <mergeCell ref="E152:E157"/>
    <mergeCell ref="F152:F157"/>
    <mergeCell ref="R170:R175"/>
    <mergeCell ref="S170:S175"/>
    <mergeCell ref="T170:T175"/>
    <mergeCell ref="U170:U175"/>
    <mergeCell ref="A176:A181"/>
    <mergeCell ref="B176:B181"/>
    <mergeCell ref="C176:C181"/>
    <mergeCell ref="D176:D181"/>
    <mergeCell ref="E176:E181"/>
    <mergeCell ref="F176:F181"/>
    <mergeCell ref="U164:U169"/>
    <mergeCell ref="A170:A175"/>
    <mergeCell ref="B170:B175"/>
    <mergeCell ref="C170:C175"/>
    <mergeCell ref="D170:D175"/>
    <mergeCell ref="E170:E175"/>
    <mergeCell ref="F170:F175"/>
    <mergeCell ref="M170:M175"/>
    <mergeCell ref="N170:N175"/>
    <mergeCell ref="Q170:Q175"/>
    <mergeCell ref="M164:M169"/>
    <mergeCell ref="N164:N169"/>
    <mergeCell ref="Q164:Q169"/>
    <mergeCell ref="R164:R169"/>
    <mergeCell ref="S164:S169"/>
    <mergeCell ref="T164:T169"/>
    <mergeCell ref="N184:N187"/>
    <mergeCell ref="Q184:Q187"/>
    <mergeCell ref="R184:R187"/>
    <mergeCell ref="S184:S187"/>
    <mergeCell ref="T184:T187"/>
    <mergeCell ref="U184:U187"/>
    <mergeCell ref="U176:U181"/>
    <mergeCell ref="A182:R182"/>
    <mergeCell ref="A183:U183"/>
    <mergeCell ref="A184:A187"/>
    <mergeCell ref="B184:B187"/>
    <mergeCell ref="C184:C187"/>
    <mergeCell ref="D184:D187"/>
    <mergeCell ref="E184:E187"/>
    <mergeCell ref="F184:F187"/>
    <mergeCell ref="M184:M187"/>
    <mergeCell ref="M176:M181"/>
    <mergeCell ref="N176:N181"/>
    <mergeCell ref="Q176:Q181"/>
    <mergeCell ref="R176:R181"/>
    <mergeCell ref="S176:S181"/>
    <mergeCell ref="T176:T181"/>
    <mergeCell ref="R194:R199"/>
    <mergeCell ref="S194:S199"/>
    <mergeCell ref="T194:T199"/>
    <mergeCell ref="U194:U199"/>
    <mergeCell ref="A200:A205"/>
    <mergeCell ref="B200:B205"/>
    <mergeCell ref="C200:C205"/>
    <mergeCell ref="D200:D205"/>
    <mergeCell ref="E200:E205"/>
    <mergeCell ref="F200:F205"/>
    <mergeCell ref="U188:U193"/>
    <mergeCell ref="A194:A199"/>
    <mergeCell ref="B194:B199"/>
    <mergeCell ref="C194:C199"/>
    <mergeCell ref="D194:D199"/>
    <mergeCell ref="E194:E199"/>
    <mergeCell ref="F194:F199"/>
    <mergeCell ref="M194:M199"/>
    <mergeCell ref="N194:N199"/>
    <mergeCell ref="Q194:Q199"/>
    <mergeCell ref="M188:M193"/>
    <mergeCell ref="N188:N193"/>
    <mergeCell ref="Q188:Q193"/>
    <mergeCell ref="R188:R193"/>
    <mergeCell ref="S188:S193"/>
    <mergeCell ref="T188:T193"/>
    <mergeCell ref="A188:A193"/>
    <mergeCell ref="B188:B193"/>
    <mergeCell ref="C188:C193"/>
    <mergeCell ref="D188:D193"/>
    <mergeCell ref="E188:E193"/>
    <mergeCell ref="F188:F193"/>
    <mergeCell ref="R206:R211"/>
    <mergeCell ref="S206:S211"/>
    <mergeCell ref="T206:T211"/>
    <mergeCell ref="U206:U211"/>
    <mergeCell ref="A212:A217"/>
    <mergeCell ref="B212:B217"/>
    <mergeCell ref="C212:C217"/>
    <mergeCell ref="D212:D217"/>
    <mergeCell ref="E212:E217"/>
    <mergeCell ref="F212:F217"/>
    <mergeCell ref="U200:U205"/>
    <mergeCell ref="A206:A211"/>
    <mergeCell ref="B206:B211"/>
    <mergeCell ref="C206:C211"/>
    <mergeCell ref="D206:D211"/>
    <mergeCell ref="E206:E211"/>
    <mergeCell ref="F206:F211"/>
    <mergeCell ref="M206:M211"/>
    <mergeCell ref="N206:N211"/>
    <mergeCell ref="Q206:Q211"/>
    <mergeCell ref="M200:M205"/>
    <mergeCell ref="N200:N205"/>
    <mergeCell ref="Q200:Q205"/>
    <mergeCell ref="R200:R205"/>
    <mergeCell ref="S200:S205"/>
    <mergeCell ref="T200:T205"/>
    <mergeCell ref="N220:N223"/>
    <mergeCell ref="Q220:Q223"/>
    <mergeCell ref="R220:R223"/>
    <mergeCell ref="S220:S223"/>
    <mergeCell ref="T220:T223"/>
    <mergeCell ref="U220:U223"/>
    <mergeCell ref="U212:U217"/>
    <mergeCell ref="A218:R218"/>
    <mergeCell ref="A219:U219"/>
    <mergeCell ref="A220:A223"/>
    <mergeCell ref="B220:B223"/>
    <mergeCell ref="C220:C223"/>
    <mergeCell ref="D220:D223"/>
    <mergeCell ref="E220:E223"/>
    <mergeCell ref="F220:F223"/>
    <mergeCell ref="M220:M223"/>
    <mergeCell ref="M212:M217"/>
    <mergeCell ref="N212:N217"/>
    <mergeCell ref="Q212:Q217"/>
    <mergeCell ref="R212:R217"/>
    <mergeCell ref="S212:S217"/>
    <mergeCell ref="T212:T217"/>
    <mergeCell ref="R230:R235"/>
    <mergeCell ref="S230:S235"/>
    <mergeCell ref="T230:T235"/>
    <mergeCell ref="U230:U235"/>
    <mergeCell ref="A236:A241"/>
    <mergeCell ref="B236:B241"/>
    <mergeCell ref="C236:C241"/>
    <mergeCell ref="D236:D241"/>
    <mergeCell ref="E236:E241"/>
    <mergeCell ref="F236:F241"/>
    <mergeCell ref="U224:U229"/>
    <mergeCell ref="A230:A235"/>
    <mergeCell ref="B230:B235"/>
    <mergeCell ref="C230:C235"/>
    <mergeCell ref="D230:D235"/>
    <mergeCell ref="E230:E235"/>
    <mergeCell ref="F230:F235"/>
    <mergeCell ref="M230:M235"/>
    <mergeCell ref="N230:N235"/>
    <mergeCell ref="Q230:Q235"/>
    <mergeCell ref="M224:M229"/>
    <mergeCell ref="N224:N229"/>
    <mergeCell ref="Q224:Q229"/>
    <mergeCell ref="R224:R229"/>
    <mergeCell ref="S224:S229"/>
    <mergeCell ref="T224:T229"/>
    <mergeCell ref="A224:A229"/>
    <mergeCell ref="B224:B229"/>
    <mergeCell ref="C224:C229"/>
    <mergeCell ref="D224:D229"/>
    <mergeCell ref="E224:E229"/>
    <mergeCell ref="F224:F229"/>
    <mergeCell ref="R242:R247"/>
    <mergeCell ref="S242:S247"/>
    <mergeCell ref="T242:T247"/>
    <mergeCell ref="U242:U247"/>
    <mergeCell ref="A248:A253"/>
    <mergeCell ref="B248:B253"/>
    <mergeCell ref="C248:C253"/>
    <mergeCell ref="D248:D253"/>
    <mergeCell ref="E248:E253"/>
    <mergeCell ref="F248:F253"/>
    <mergeCell ref="U236:U241"/>
    <mergeCell ref="A242:A247"/>
    <mergeCell ref="B242:B247"/>
    <mergeCell ref="C242:C247"/>
    <mergeCell ref="D242:D247"/>
    <mergeCell ref="E242:E247"/>
    <mergeCell ref="F242:F247"/>
    <mergeCell ref="M242:M247"/>
    <mergeCell ref="N242:N247"/>
    <mergeCell ref="Q242:Q247"/>
    <mergeCell ref="M236:M241"/>
    <mergeCell ref="N236:N241"/>
    <mergeCell ref="Q236:Q241"/>
    <mergeCell ref="R236:R241"/>
    <mergeCell ref="S236:S241"/>
    <mergeCell ref="T236:T241"/>
    <mergeCell ref="N256:N259"/>
    <mergeCell ref="Q256:Q259"/>
    <mergeCell ref="R256:R259"/>
    <mergeCell ref="S256:S259"/>
    <mergeCell ref="T256:T259"/>
    <mergeCell ref="U256:U259"/>
    <mergeCell ref="U248:U253"/>
    <mergeCell ref="A254:R254"/>
    <mergeCell ref="A255:U255"/>
    <mergeCell ref="A256:A259"/>
    <mergeCell ref="B256:B259"/>
    <mergeCell ref="C256:C259"/>
    <mergeCell ref="D256:D259"/>
    <mergeCell ref="E256:E259"/>
    <mergeCell ref="F256:F259"/>
    <mergeCell ref="M256:M259"/>
    <mergeCell ref="M248:M253"/>
    <mergeCell ref="N248:N253"/>
    <mergeCell ref="Q248:Q253"/>
    <mergeCell ref="R248:R253"/>
    <mergeCell ref="S248:S253"/>
    <mergeCell ref="T248:T253"/>
    <mergeCell ref="R266:R271"/>
    <mergeCell ref="S266:S271"/>
    <mergeCell ref="T266:T271"/>
    <mergeCell ref="U266:U271"/>
    <mergeCell ref="A272:A277"/>
    <mergeCell ref="B272:B277"/>
    <mergeCell ref="C272:C277"/>
    <mergeCell ref="D272:D277"/>
    <mergeCell ref="E272:E277"/>
    <mergeCell ref="F272:F277"/>
    <mergeCell ref="U260:U265"/>
    <mergeCell ref="A266:A271"/>
    <mergeCell ref="B266:B271"/>
    <mergeCell ref="C266:C271"/>
    <mergeCell ref="D266:D271"/>
    <mergeCell ref="E266:E271"/>
    <mergeCell ref="F266:F271"/>
    <mergeCell ref="M266:M271"/>
    <mergeCell ref="N266:N271"/>
    <mergeCell ref="Q266:Q271"/>
    <mergeCell ref="M260:M265"/>
    <mergeCell ref="N260:N265"/>
    <mergeCell ref="Q260:Q265"/>
    <mergeCell ref="R260:R265"/>
    <mergeCell ref="S260:S265"/>
    <mergeCell ref="T260:T265"/>
    <mergeCell ref="A260:A265"/>
    <mergeCell ref="B260:B265"/>
    <mergeCell ref="C260:C265"/>
    <mergeCell ref="D260:D265"/>
    <mergeCell ref="E260:E265"/>
    <mergeCell ref="F260:F265"/>
    <mergeCell ref="R278:R283"/>
    <mergeCell ref="S278:S283"/>
    <mergeCell ref="T278:T283"/>
    <mergeCell ref="U278:U283"/>
    <mergeCell ref="A284:A289"/>
    <mergeCell ref="B284:B289"/>
    <mergeCell ref="C284:C289"/>
    <mergeCell ref="D284:D289"/>
    <mergeCell ref="E284:E289"/>
    <mergeCell ref="F284:F289"/>
    <mergeCell ref="U272:U277"/>
    <mergeCell ref="A278:A283"/>
    <mergeCell ref="B278:B283"/>
    <mergeCell ref="C278:C283"/>
    <mergeCell ref="D278:D283"/>
    <mergeCell ref="E278:E283"/>
    <mergeCell ref="F278:F283"/>
    <mergeCell ref="M278:M283"/>
    <mergeCell ref="N278:N283"/>
    <mergeCell ref="Q278:Q283"/>
    <mergeCell ref="M272:M277"/>
    <mergeCell ref="N272:N277"/>
    <mergeCell ref="Q272:Q277"/>
    <mergeCell ref="R272:R277"/>
    <mergeCell ref="S272:S277"/>
    <mergeCell ref="T272:T277"/>
    <mergeCell ref="N292:N295"/>
    <mergeCell ref="Q292:Q295"/>
    <mergeCell ref="R292:R295"/>
    <mergeCell ref="S292:S295"/>
    <mergeCell ref="T292:T295"/>
    <mergeCell ref="U292:U295"/>
    <mergeCell ref="U284:U289"/>
    <mergeCell ref="A290:R290"/>
    <mergeCell ref="A291:U291"/>
    <mergeCell ref="A292:A295"/>
    <mergeCell ref="B292:B295"/>
    <mergeCell ref="C292:C295"/>
    <mergeCell ref="D292:D295"/>
    <mergeCell ref="E292:E295"/>
    <mergeCell ref="F292:F295"/>
    <mergeCell ref="M292:M295"/>
    <mergeCell ref="M284:M289"/>
    <mergeCell ref="N284:N289"/>
    <mergeCell ref="Q284:Q289"/>
    <mergeCell ref="R284:R289"/>
    <mergeCell ref="S284:S289"/>
    <mergeCell ref="T284:T289"/>
    <mergeCell ref="R302:R307"/>
    <mergeCell ref="S302:S307"/>
    <mergeCell ref="T302:T307"/>
    <mergeCell ref="U302:U307"/>
    <mergeCell ref="A308:A313"/>
    <mergeCell ref="B308:B313"/>
    <mergeCell ref="C308:C313"/>
    <mergeCell ref="D308:D313"/>
    <mergeCell ref="E308:E313"/>
    <mergeCell ref="F308:F313"/>
    <mergeCell ref="U296:U301"/>
    <mergeCell ref="A302:A307"/>
    <mergeCell ref="B302:B307"/>
    <mergeCell ref="C302:C307"/>
    <mergeCell ref="D302:D307"/>
    <mergeCell ref="E302:E307"/>
    <mergeCell ref="F302:F307"/>
    <mergeCell ref="M302:M307"/>
    <mergeCell ref="N302:N307"/>
    <mergeCell ref="Q302:Q307"/>
    <mergeCell ref="M296:M301"/>
    <mergeCell ref="N296:N301"/>
    <mergeCell ref="Q296:Q301"/>
    <mergeCell ref="R296:R301"/>
    <mergeCell ref="S296:S301"/>
    <mergeCell ref="T296:T301"/>
    <mergeCell ref="A296:A301"/>
    <mergeCell ref="B296:B301"/>
    <mergeCell ref="C296:C301"/>
    <mergeCell ref="D296:D301"/>
    <mergeCell ref="E296:E301"/>
    <mergeCell ref="F296:F301"/>
    <mergeCell ref="R314:R319"/>
    <mergeCell ref="S314:S319"/>
    <mergeCell ref="T314:T319"/>
    <mergeCell ref="U314:U319"/>
    <mergeCell ref="A320:A325"/>
    <mergeCell ref="B320:B325"/>
    <mergeCell ref="C320:C325"/>
    <mergeCell ref="D320:D325"/>
    <mergeCell ref="E320:E325"/>
    <mergeCell ref="F320:F325"/>
    <mergeCell ref="U308:U313"/>
    <mergeCell ref="A314:A319"/>
    <mergeCell ref="B314:B319"/>
    <mergeCell ref="C314:C319"/>
    <mergeCell ref="D314:D319"/>
    <mergeCell ref="E314:E319"/>
    <mergeCell ref="F314:F319"/>
    <mergeCell ref="M314:M319"/>
    <mergeCell ref="N314:N319"/>
    <mergeCell ref="Q314:Q319"/>
    <mergeCell ref="M308:M313"/>
    <mergeCell ref="N308:N313"/>
    <mergeCell ref="Q308:Q313"/>
    <mergeCell ref="R308:R313"/>
    <mergeCell ref="S308:S313"/>
    <mergeCell ref="T308:T313"/>
    <mergeCell ref="N328:N331"/>
    <mergeCell ref="Q328:Q331"/>
    <mergeCell ref="R328:R331"/>
    <mergeCell ref="S328:S331"/>
    <mergeCell ref="T328:T331"/>
    <mergeCell ref="U328:U331"/>
    <mergeCell ref="U320:U325"/>
    <mergeCell ref="A326:R326"/>
    <mergeCell ref="A327:U327"/>
    <mergeCell ref="A328:A331"/>
    <mergeCell ref="B328:B331"/>
    <mergeCell ref="C328:C331"/>
    <mergeCell ref="D328:D331"/>
    <mergeCell ref="E328:E331"/>
    <mergeCell ref="F328:F331"/>
    <mergeCell ref="M328:M331"/>
    <mergeCell ref="M320:M325"/>
    <mergeCell ref="N320:N325"/>
    <mergeCell ref="Q320:Q325"/>
    <mergeCell ref="R320:R325"/>
    <mergeCell ref="S320:S325"/>
    <mergeCell ref="T320:T325"/>
    <mergeCell ref="R338:R343"/>
    <mergeCell ref="S338:S343"/>
    <mergeCell ref="T338:T343"/>
    <mergeCell ref="U338:U343"/>
    <mergeCell ref="A344:A349"/>
    <mergeCell ref="B344:B349"/>
    <mergeCell ref="C344:C349"/>
    <mergeCell ref="D344:D349"/>
    <mergeCell ref="E344:E349"/>
    <mergeCell ref="F344:F349"/>
    <mergeCell ref="U332:U337"/>
    <mergeCell ref="A338:A343"/>
    <mergeCell ref="B338:B343"/>
    <mergeCell ref="C338:C343"/>
    <mergeCell ref="D338:D343"/>
    <mergeCell ref="E338:E343"/>
    <mergeCell ref="F338:F343"/>
    <mergeCell ref="M338:M343"/>
    <mergeCell ref="N338:N343"/>
    <mergeCell ref="Q338:Q343"/>
    <mergeCell ref="M332:M337"/>
    <mergeCell ref="N332:N337"/>
    <mergeCell ref="Q332:Q337"/>
    <mergeCell ref="R332:R337"/>
    <mergeCell ref="S332:S337"/>
    <mergeCell ref="T332:T337"/>
    <mergeCell ref="A332:A337"/>
    <mergeCell ref="B332:B337"/>
    <mergeCell ref="C332:C337"/>
    <mergeCell ref="D332:D337"/>
    <mergeCell ref="E332:E337"/>
    <mergeCell ref="F332:F337"/>
    <mergeCell ref="R350:R355"/>
    <mergeCell ref="S350:S355"/>
    <mergeCell ref="T350:T355"/>
    <mergeCell ref="U350:U355"/>
    <mergeCell ref="A356:A361"/>
    <mergeCell ref="B356:B361"/>
    <mergeCell ref="C356:C361"/>
    <mergeCell ref="D356:D361"/>
    <mergeCell ref="E356:E361"/>
    <mergeCell ref="F356:F361"/>
    <mergeCell ref="U344:U349"/>
    <mergeCell ref="A350:A355"/>
    <mergeCell ref="B350:B355"/>
    <mergeCell ref="C350:C355"/>
    <mergeCell ref="D350:D355"/>
    <mergeCell ref="E350:E355"/>
    <mergeCell ref="F350:F355"/>
    <mergeCell ref="M350:M355"/>
    <mergeCell ref="N350:N355"/>
    <mergeCell ref="Q350:Q355"/>
    <mergeCell ref="M344:M349"/>
    <mergeCell ref="N344:N349"/>
    <mergeCell ref="Q344:Q349"/>
    <mergeCell ref="R344:R349"/>
    <mergeCell ref="S344:S349"/>
    <mergeCell ref="T344:T349"/>
    <mergeCell ref="N364:N367"/>
    <mergeCell ref="Q364:Q367"/>
    <mergeCell ref="R364:R367"/>
    <mergeCell ref="S364:S367"/>
    <mergeCell ref="T364:T367"/>
    <mergeCell ref="U364:U367"/>
    <mergeCell ref="U356:U361"/>
    <mergeCell ref="A362:R362"/>
    <mergeCell ref="A363:U363"/>
    <mergeCell ref="A364:A367"/>
    <mergeCell ref="B364:B367"/>
    <mergeCell ref="C364:C367"/>
    <mergeCell ref="D364:D367"/>
    <mergeCell ref="E364:E367"/>
    <mergeCell ref="F364:F367"/>
    <mergeCell ref="M364:M367"/>
    <mergeCell ref="M356:M361"/>
    <mergeCell ref="N356:N361"/>
    <mergeCell ref="Q356:Q361"/>
    <mergeCell ref="R356:R361"/>
    <mergeCell ref="S356:S361"/>
    <mergeCell ref="T356:T361"/>
    <mergeCell ref="R374:R379"/>
    <mergeCell ref="S374:S379"/>
    <mergeCell ref="T374:T379"/>
    <mergeCell ref="U374:U379"/>
    <mergeCell ref="A380:A385"/>
    <mergeCell ref="B380:B385"/>
    <mergeCell ref="C380:C385"/>
    <mergeCell ref="D380:D385"/>
    <mergeCell ref="E380:E385"/>
    <mergeCell ref="F380:F385"/>
    <mergeCell ref="U368:U373"/>
    <mergeCell ref="A374:A379"/>
    <mergeCell ref="B374:B379"/>
    <mergeCell ref="C374:C379"/>
    <mergeCell ref="D374:D379"/>
    <mergeCell ref="E374:E379"/>
    <mergeCell ref="F374:F379"/>
    <mergeCell ref="M374:M379"/>
    <mergeCell ref="N374:N379"/>
    <mergeCell ref="Q374:Q379"/>
    <mergeCell ref="M368:M373"/>
    <mergeCell ref="N368:N373"/>
    <mergeCell ref="Q368:Q373"/>
    <mergeCell ref="R368:R373"/>
    <mergeCell ref="S368:S373"/>
    <mergeCell ref="T368:T373"/>
    <mergeCell ref="A368:A373"/>
    <mergeCell ref="B368:B373"/>
    <mergeCell ref="C368:C373"/>
    <mergeCell ref="D368:D373"/>
    <mergeCell ref="E368:E373"/>
    <mergeCell ref="F368:F373"/>
    <mergeCell ref="R386:R391"/>
    <mergeCell ref="S386:S391"/>
    <mergeCell ref="T386:T391"/>
    <mergeCell ref="U386:U391"/>
    <mergeCell ref="A392:A397"/>
    <mergeCell ref="B392:B397"/>
    <mergeCell ref="C392:C397"/>
    <mergeCell ref="D392:D397"/>
    <mergeCell ref="E392:E397"/>
    <mergeCell ref="F392:F397"/>
    <mergeCell ref="U380:U385"/>
    <mergeCell ref="A386:A391"/>
    <mergeCell ref="B386:B391"/>
    <mergeCell ref="C386:C391"/>
    <mergeCell ref="D386:D391"/>
    <mergeCell ref="E386:E391"/>
    <mergeCell ref="F386:F391"/>
    <mergeCell ref="M386:M391"/>
    <mergeCell ref="N386:N391"/>
    <mergeCell ref="Q386:Q391"/>
    <mergeCell ref="M380:M385"/>
    <mergeCell ref="N380:N385"/>
    <mergeCell ref="Q380:Q385"/>
    <mergeCell ref="R380:R385"/>
    <mergeCell ref="S380:S385"/>
    <mergeCell ref="T380:T385"/>
    <mergeCell ref="N400:N403"/>
    <mergeCell ref="Q400:Q403"/>
    <mergeCell ref="R400:R403"/>
    <mergeCell ref="S400:S403"/>
    <mergeCell ref="T400:T403"/>
    <mergeCell ref="U400:U403"/>
    <mergeCell ref="U392:U397"/>
    <mergeCell ref="A398:R398"/>
    <mergeCell ref="A399:U399"/>
    <mergeCell ref="A400:A403"/>
    <mergeCell ref="B400:B403"/>
    <mergeCell ref="C400:C403"/>
    <mergeCell ref="D400:D403"/>
    <mergeCell ref="E400:E403"/>
    <mergeCell ref="F400:F403"/>
    <mergeCell ref="M400:M403"/>
    <mergeCell ref="M392:M397"/>
    <mergeCell ref="N392:N397"/>
    <mergeCell ref="Q392:Q397"/>
    <mergeCell ref="R392:R397"/>
    <mergeCell ref="S392:S397"/>
    <mergeCell ref="T392:T397"/>
    <mergeCell ref="R410:R415"/>
    <mergeCell ref="S410:S415"/>
    <mergeCell ref="T410:T415"/>
    <mergeCell ref="U410:U415"/>
    <mergeCell ref="A416:A421"/>
    <mergeCell ref="B416:B421"/>
    <mergeCell ref="C416:C421"/>
    <mergeCell ref="D416:D421"/>
    <mergeCell ref="E416:E421"/>
    <mergeCell ref="F416:F421"/>
    <mergeCell ref="U404:U409"/>
    <mergeCell ref="A410:A415"/>
    <mergeCell ref="B410:B415"/>
    <mergeCell ref="C410:C415"/>
    <mergeCell ref="D410:D415"/>
    <mergeCell ref="E410:E415"/>
    <mergeCell ref="F410:F415"/>
    <mergeCell ref="M410:M415"/>
    <mergeCell ref="N410:N415"/>
    <mergeCell ref="Q410:Q415"/>
    <mergeCell ref="M404:M409"/>
    <mergeCell ref="N404:N409"/>
    <mergeCell ref="Q404:Q409"/>
    <mergeCell ref="R404:R409"/>
    <mergeCell ref="S404:S409"/>
    <mergeCell ref="T404:T409"/>
    <mergeCell ref="A404:A409"/>
    <mergeCell ref="B404:B409"/>
    <mergeCell ref="C404:C409"/>
    <mergeCell ref="D404:D409"/>
    <mergeCell ref="E404:E409"/>
    <mergeCell ref="F404:F409"/>
    <mergeCell ref="R422:R427"/>
    <mergeCell ref="S422:S427"/>
    <mergeCell ref="T422:T427"/>
    <mergeCell ref="U422:U427"/>
    <mergeCell ref="A428:A433"/>
    <mergeCell ref="B428:B433"/>
    <mergeCell ref="C428:C433"/>
    <mergeCell ref="D428:D433"/>
    <mergeCell ref="E428:E433"/>
    <mergeCell ref="F428:F433"/>
    <mergeCell ref="U416:U421"/>
    <mergeCell ref="A422:A427"/>
    <mergeCell ref="B422:B427"/>
    <mergeCell ref="C422:C427"/>
    <mergeCell ref="D422:D427"/>
    <mergeCell ref="E422:E427"/>
    <mergeCell ref="F422:F427"/>
    <mergeCell ref="M422:M427"/>
    <mergeCell ref="N422:N427"/>
    <mergeCell ref="Q422:Q427"/>
    <mergeCell ref="M416:M421"/>
    <mergeCell ref="N416:N421"/>
    <mergeCell ref="Q416:Q421"/>
    <mergeCell ref="R416:R421"/>
    <mergeCell ref="S416:S421"/>
    <mergeCell ref="T416:T421"/>
    <mergeCell ref="N436:N439"/>
    <mergeCell ref="Q436:Q439"/>
    <mergeCell ref="R436:R439"/>
    <mergeCell ref="S436:S439"/>
    <mergeCell ref="T436:T439"/>
    <mergeCell ref="U436:U439"/>
    <mergeCell ref="U428:U433"/>
    <mergeCell ref="A434:R434"/>
    <mergeCell ref="A435:U435"/>
    <mergeCell ref="A436:A439"/>
    <mergeCell ref="B436:B439"/>
    <mergeCell ref="C436:C439"/>
    <mergeCell ref="D436:D439"/>
    <mergeCell ref="E436:E439"/>
    <mergeCell ref="F436:F439"/>
    <mergeCell ref="M436:M439"/>
    <mergeCell ref="M428:M433"/>
    <mergeCell ref="N428:N433"/>
    <mergeCell ref="Q428:Q433"/>
    <mergeCell ref="R428:R433"/>
    <mergeCell ref="S428:S433"/>
    <mergeCell ref="T428:T433"/>
    <mergeCell ref="R446:R451"/>
    <mergeCell ref="S446:S451"/>
    <mergeCell ref="T446:T451"/>
    <mergeCell ref="U446:U451"/>
    <mergeCell ref="A452:A457"/>
    <mergeCell ref="B452:B457"/>
    <mergeCell ref="C452:C457"/>
    <mergeCell ref="D452:D457"/>
    <mergeCell ref="E452:E457"/>
    <mergeCell ref="F452:F457"/>
    <mergeCell ref="U440:U445"/>
    <mergeCell ref="A446:A451"/>
    <mergeCell ref="B446:B451"/>
    <mergeCell ref="C446:C451"/>
    <mergeCell ref="D446:D451"/>
    <mergeCell ref="E446:E451"/>
    <mergeCell ref="F446:F451"/>
    <mergeCell ref="M446:M451"/>
    <mergeCell ref="N446:N451"/>
    <mergeCell ref="Q446:Q451"/>
    <mergeCell ref="M440:M445"/>
    <mergeCell ref="N440:N445"/>
    <mergeCell ref="Q440:Q445"/>
    <mergeCell ref="R440:R445"/>
    <mergeCell ref="S440:S445"/>
    <mergeCell ref="T440:T445"/>
    <mergeCell ref="A440:A445"/>
    <mergeCell ref="B440:B445"/>
    <mergeCell ref="C440:C445"/>
    <mergeCell ref="D440:D445"/>
    <mergeCell ref="E440:E445"/>
    <mergeCell ref="F440:F445"/>
    <mergeCell ref="R458:R463"/>
    <mergeCell ref="S458:S463"/>
    <mergeCell ref="T458:T463"/>
    <mergeCell ref="U458:U463"/>
    <mergeCell ref="A464:A469"/>
    <mergeCell ref="B464:B469"/>
    <mergeCell ref="C464:C469"/>
    <mergeCell ref="D464:D469"/>
    <mergeCell ref="E464:E469"/>
    <mergeCell ref="F464:F469"/>
    <mergeCell ref="U452:U457"/>
    <mergeCell ref="A458:A463"/>
    <mergeCell ref="B458:B463"/>
    <mergeCell ref="C458:C463"/>
    <mergeCell ref="D458:D463"/>
    <mergeCell ref="E458:E463"/>
    <mergeCell ref="F458:F463"/>
    <mergeCell ref="M458:M463"/>
    <mergeCell ref="N458:N463"/>
    <mergeCell ref="Q458:Q463"/>
    <mergeCell ref="M452:M457"/>
    <mergeCell ref="N452:N457"/>
    <mergeCell ref="Q452:Q457"/>
    <mergeCell ref="R452:R457"/>
    <mergeCell ref="S452:S457"/>
    <mergeCell ref="T452:T457"/>
    <mergeCell ref="N472:N475"/>
    <mergeCell ref="Q472:Q475"/>
    <mergeCell ref="R472:R475"/>
    <mergeCell ref="S472:S475"/>
    <mergeCell ref="T472:T475"/>
    <mergeCell ref="U472:U475"/>
    <mergeCell ref="U464:U469"/>
    <mergeCell ref="A470:R470"/>
    <mergeCell ref="A471:U471"/>
    <mergeCell ref="A472:A475"/>
    <mergeCell ref="B472:B475"/>
    <mergeCell ref="C472:C475"/>
    <mergeCell ref="D472:D475"/>
    <mergeCell ref="E472:E475"/>
    <mergeCell ref="F472:F475"/>
    <mergeCell ref="M472:M475"/>
    <mergeCell ref="M464:M469"/>
    <mergeCell ref="N464:N469"/>
    <mergeCell ref="Q464:Q469"/>
    <mergeCell ref="R464:R469"/>
    <mergeCell ref="S464:S469"/>
    <mergeCell ref="T464:T469"/>
    <mergeCell ref="R482:R487"/>
    <mergeCell ref="S482:S487"/>
    <mergeCell ref="T482:T487"/>
    <mergeCell ref="U482:U487"/>
    <mergeCell ref="A488:A493"/>
    <mergeCell ref="B488:B493"/>
    <mergeCell ref="C488:C493"/>
    <mergeCell ref="D488:D493"/>
    <mergeCell ref="E488:E493"/>
    <mergeCell ref="F488:F493"/>
    <mergeCell ref="U476:U481"/>
    <mergeCell ref="A482:A487"/>
    <mergeCell ref="B482:B487"/>
    <mergeCell ref="C482:C487"/>
    <mergeCell ref="D482:D487"/>
    <mergeCell ref="E482:E487"/>
    <mergeCell ref="F482:F487"/>
    <mergeCell ref="M482:M487"/>
    <mergeCell ref="N482:N487"/>
    <mergeCell ref="Q482:Q487"/>
    <mergeCell ref="M476:M481"/>
    <mergeCell ref="N476:N481"/>
    <mergeCell ref="Q476:Q481"/>
    <mergeCell ref="R476:R481"/>
    <mergeCell ref="S476:S481"/>
    <mergeCell ref="T476:T481"/>
    <mergeCell ref="A476:A481"/>
    <mergeCell ref="B476:B481"/>
    <mergeCell ref="C476:C481"/>
    <mergeCell ref="D476:D481"/>
    <mergeCell ref="E476:E481"/>
    <mergeCell ref="F476:F481"/>
    <mergeCell ref="R494:R499"/>
    <mergeCell ref="S494:S499"/>
    <mergeCell ref="T494:T499"/>
    <mergeCell ref="U494:U499"/>
    <mergeCell ref="A500:A505"/>
    <mergeCell ref="B500:B505"/>
    <mergeCell ref="C500:C505"/>
    <mergeCell ref="D500:D505"/>
    <mergeCell ref="E500:E505"/>
    <mergeCell ref="F500:F505"/>
    <mergeCell ref="U488:U493"/>
    <mergeCell ref="A494:A499"/>
    <mergeCell ref="B494:B499"/>
    <mergeCell ref="C494:C499"/>
    <mergeCell ref="D494:D499"/>
    <mergeCell ref="E494:E499"/>
    <mergeCell ref="F494:F499"/>
    <mergeCell ref="M494:M499"/>
    <mergeCell ref="N494:N499"/>
    <mergeCell ref="Q494:Q499"/>
    <mergeCell ref="M488:M493"/>
    <mergeCell ref="N488:N493"/>
    <mergeCell ref="Q488:Q493"/>
    <mergeCell ref="R488:R493"/>
    <mergeCell ref="S488:S493"/>
    <mergeCell ref="T488:T493"/>
    <mergeCell ref="N508:N511"/>
    <mergeCell ref="Q508:Q511"/>
    <mergeCell ref="R508:R511"/>
    <mergeCell ref="S508:S511"/>
    <mergeCell ref="T508:T511"/>
    <mergeCell ref="U508:U511"/>
    <mergeCell ref="U500:U505"/>
    <mergeCell ref="A506:R506"/>
    <mergeCell ref="A507:U507"/>
    <mergeCell ref="A508:A511"/>
    <mergeCell ref="B508:B511"/>
    <mergeCell ref="C508:C511"/>
    <mergeCell ref="D508:D511"/>
    <mergeCell ref="E508:E511"/>
    <mergeCell ref="F508:F511"/>
    <mergeCell ref="M508:M511"/>
    <mergeCell ref="M500:M505"/>
    <mergeCell ref="N500:N505"/>
    <mergeCell ref="Q500:Q505"/>
    <mergeCell ref="R500:R505"/>
    <mergeCell ref="S500:S505"/>
    <mergeCell ref="T500:T505"/>
    <mergeCell ref="R518:R523"/>
    <mergeCell ref="S518:S523"/>
    <mergeCell ref="T518:T523"/>
    <mergeCell ref="U518:U523"/>
    <mergeCell ref="A524:A529"/>
    <mergeCell ref="B524:B529"/>
    <mergeCell ref="C524:C529"/>
    <mergeCell ref="D524:D529"/>
    <mergeCell ref="E524:E529"/>
    <mergeCell ref="F524:F529"/>
    <mergeCell ref="U512:U517"/>
    <mergeCell ref="A518:A523"/>
    <mergeCell ref="B518:B523"/>
    <mergeCell ref="C518:C523"/>
    <mergeCell ref="D518:D523"/>
    <mergeCell ref="E518:E523"/>
    <mergeCell ref="F518:F523"/>
    <mergeCell ref="M518:M523"/>
    <mergeCell ref="N518:N523"/>
    <mergeCell ref="Q518:Q523"/>
    <mergeCell ref="M512:M517"/>
    <mergeCell ref="N512:N517"/>
    <mergeCell ref="Q512:Q517"/>
    <mergeCell ref="R512:R517"/>
    <mergeCell ref="S512:S517"/>
    <mergeCell ref="T512:T517"/>
    <mergeCell ref="A512:A517"/>
    <mergeCell ref="B512:B517"/>
    <mergeCell ref="C512:C517"/>
    <mergeCell ref="D512:D517"/>
    <mergeCell ref="E512:E517"/>
    <mergeCell ref="F512:F517"/>
    <mergeCell ref="R530:R535"/>
    <mergeCell ref="S530:S535"/>
    <mergeCell ref="T530:T535"/>
    <mergeCell ref="U530:U535"/>
    <mergeCell ref="A536:A541"/>
    <mergeCell ref="B536:B541"/>
    <mergeCell ref="C536:C541"/>
    <mergeCell ref="D536:D541"/>
    <mergeCell ref="E536:E541"/>
    <mergeCell ref="F536:F541"/>
    <mergeCell ref="U524:U529"/>
    <mergeCell ref="A530:A535"/>
    <mergeCell ref="B530:B535"/>
    <mergeCell ref="C530:C535"/>
    <mergeCell ref="D530:D535"/>
    <mergeCell ref="E530:E535"/>
    <mergeCell ref="F530:F535"/>
    <mergeCell ref="M530:M535"/>
    <mergeCell ref="N530:N535"/>
    <mergeCell ref="Q530:Q535"/>
    <mergeCell ref="M524:M529"/>
    <mergeCell ref="N524:N529"/>
    <mergeCell ref="Q524:Q529"/>
    <mergeCell ref="R524:R529"/>
    <mergeCell ref="S524:S529"/>
    <mergeCell ref="T524:T529"/>
    <mergeCell ref="N544:N547"/>
    <mergeCell ref="Q544:Q547"/>
    <mergeCell ref="R544:R547"/>
    <mergeCell ref="S544:S547"/>
    <mergeCell ref="T544:T547"/>
    <mergeCell ref="U544:U547"/>
    <mergeCell ref="U536:U541"/>
    <mergeCell ref="A542:R542"/>
    <mergeCell ref="A543:U543"/>
    <mergeCell ref="A544:A547"/>
    <mergeCell ref="B544:B547"/>
    <mergeCell ref="C544:C547"/>
    <mergeCell ref="D544:D547"/>
    <mergeCell ref="E544:E547"/>
    <mergeCell ref="F544:F547"/>
    <mergeCell ref="M544:M547"/>
    <mergeCell ref="M536:M541"/>
    <mergeCell ref="N536:N541"/>
    <mergeCell ref="Q536:Q541"/>
    <mergeCell ref="R536:R541"/>
    <mergeCell ref="S536:S541"/>
    <mergeCell ref="T536:T541"/>
    <mergeCell ref="R554:R559"/>
    <mergeCell ref="S554:S559"/>
    <mergeCell ref="T554:T559"/>
    <mergeCell ref="U554:U559"/>
    <mergeCell ref="A560:A565"/>
    <mergeCell ref="B560:B565"/>
    <mergeCell ref="C560:C565"/>
    <mergeCell ref="D560:D565"/>
    <mergeCell ref="E560:E565"/>
    <mergeCell ref="F560:F565"/>
    <mergeCell ref="U548:U553"/>
    <mergeCell ref="A554:A559"/>
    <mergeCell ref="B554:B559"/>
    <mergeCell ref="C554:C559"/>
    <mergeCell ref="D554:D559"/>
    <mergeCell ref="E554:E559"/>
    <mergeCell ref="F554:F559"/>
    <mergeCell ref="M554:M559"/>
    <mergeCell ref="N554:N559"/>
    <mergeCell ref="Q554:Q559"/>
    <mergeCell ref="M548:M553"/>
    <mergeCell ref="N548:N553"/>
    <mergeCell ref="Q548:Q553"/>
    <mergeCell ref="R548:R553"/>
    <mergeCell ref="S548:S553"/>
    <mergeCell ref="T548:T553"/>
    <mergeCell ref="A548:A553"/>
    <mergeCell ref="B548:B553"/>
    <mergeCell ref="C548:C553"/>
    <mergeCell ref="D548:D553"/>
    <mergeCell ref="E548:E553"/>
    <mergeCell ref="F548:F553"/>
    <mergeCell ref="R566:R571"/>
    <mergeCell ref="S566:S571"/>
    <mergeCell ref="T566:T571"/>
    <mergeCell ref="U566:U571"/>
    <mergeCell ref="A572:A577"/>
    <mergeCell ref="B572:B577"/>
    <mergeCell ref="C572:C577"/>
    <mergeCell ref="D572:D577"/>
    <mergeCell ref="E572:E577"/>
    <mergeCell ref="F572:F577"/>
    <mergeCell ref="U560:U565"/>
    <mergeCell ref="A566:A571"/>
    <mergeCell ref="B566:B571"/>
    <mergeCell ref="C566:C571"/>
    <mergeCell ref="D566:D571"/>
    <mergeCell ref="E566:E571"/>
    <mergeCell ref="F566:F571"/>
    <mergeCell ref="M566:M571"/>
    <mergeCell ref="N566:N571"/>
    <mergeCell ref="Q566:Q571"/>
    <mergeCell ref="M560:M565"/>
    <mergeCell ref="N560:N565"/>
    <mergeCell ref="Q560:Q565"/>
    <mergeCell ref="R560:R565"/>
    <mergeCell ref="S560:S565"/>
    <mergeCell ref="T560:T565"/>
    <mergeCell ref="N580:N583"/>
    <mergeCell ref="Q580:Q583"/>
    <mergeCell ref="R580:R583"/>
    <mergeCell ref="S580:S583"/>
    <mergeCell ref="T580:T583"/>
    <mergeCell ref="U580:U583"/>
    <mergeCell ref="U572:U577"/>
    <mergeCell ref="A578:R578"/>
    <mergeCell ref="A579:U579"/>
    <mergeCell ref="A580:A583"/>
    <mergeCell ref="B580:B583"/>
    <mergeCell ref="C580:C583"/>
    <mergeCell ref="D580:D583"/>
    <mergeCell ref="E580:E583"/>
    <mergeCell ref="F580:F583"/>
    <mergeCell ref="M580:M583"/>
    <mergeCell ref="M572:M577"/>
    <mergeCell ref="N572:N577"/>
    <mergeCell ref="Q572:Q577"/>
    <mergeCell ref="R572:R577"/>
    <mergeCell ref="S572:S577"/>
    <mergeCell ref="T572:T577"/>
    <mergeCell ref="R590:R595"/>
    <mergeCell ref="S590:S595"/>
    <mergeCell ref="T590:T595"/>
    <mergeCell ref="U590:U595"/>
    <mergeCell ref="A596:A601"/>
    <mergeCell ref="B596:B601"/>
    <mergeCell ref="C596:C601"/>
    <mergeCell ref="D596:D601"/>
    <mergeCell ref="E596:E601"/>
    <mergeCell ref="F596:F601"/>
    <mergeCell ref="U584:U589"/>
    <mergeCell ref="A590:A595"/>
    <mergeCell ref="B590:B595"/>
    <mergeCell ref="C590:C595"/>
    <mergeCell ref="D590:D595"/>
    <mergeCell ref="E590:E595"/>
    <mergeCell ref="F590:F595"/>
    <mergeCell ref="M590:M595"/>
    <mergeCell ref="N590:N595"/>
    <mergeCell ref="Q590:Q595"/>
    <mergeCell ref="M584:M589"/>
    <mergeCell ref="N584:N589"/>
    <mergeCell ref="Q584:Q589"/>
    <mergeCell ref="R584:R589"/>
    <mergeCell ref="S584:S589"/>
    <mergeCell ref="T584:T589"/>
    <mergeCell ref="A584:A589"/>
    <mergeCell ref="B584:B589"/>
    <mergeCell ref="C584:C589"/>
    <mergeCell ref="D584:D589"/>
    <mergeCell ref="E584:E589"/>
    <mergeCell ref="F584:F589"/>
    <mergeCell ref="R602:R607"/>
    <mergeCell ref="S602:S607"/>
    <mergeCell ref="T602:T607"/>
    <mergeCell ref="U602:U607"/>
    <mergeCell ref="A608:A613"/>
    <mergeCell ref="B608:B613"/>
    <mergeCell ref="C608:C613"/>
    <mergeCell ref="D608:D613"/>
    <mergeCell ref="E608:E613"/>
    <mergeCell ref="F608:F613"/>
    <mergeCell ref="U596:U601"/>
    <mergeCell ref="A602:A607"/>
    <mergeCell ref="B602:B607"/>
    <mergeCell ref="C602:C607"/>
    <mergeCell ref="D602:D607"/>
    <mergeCell ref="E602:E607"/>
    <mergeCell ref="F602:F607"/>
    <mergeCell ref="M602:M607"/>
    <mergeCell ref="N602:N607"/>
    <mergeCell ref="Q602:Q607"/>
    <mergeCell ref="M596:M601"/>
    <mergeCell ref="N596:N601"/>
    <mergeCell ref="Q596:Q601"/>
    <mergeCell ref="R596:R601"/>
    <mergeCell ref="S596:S601"/>
    <mergeCell ref="T596:T601"/>
    <mergeCell ref="N616:N619"/>
    <mergeCell ref="Q616:Q619"/>
    <mergeCell ref="R616:R619"/>
    <mergeCell ref="S616:S619"/>
    <mergeCell ref="T616:T619"/>
    <mergeCell ref="U616:U619"/>
    <mergeCell ref="U608:U613"/>
    <mergeCell ref="A614:R614"/>
    <mergeCell ref="A615:U615"/>
    <mergeCell ref="A616:A619"/>
    <mergeCell ref="B616:B619"/>
    <mergeCell ref="C616:C619"/>
    <mergeCell ref="D616:D619"/>
    <mergeCell ref="E616:E619"/>
    <mergeCell ref="F616:F619"/>
    <mergeCell ref="M616:M619"/>
    <mergeCell ref="M608:M613"/>
    <mergeCell ref="N608:N613"/>
    <mergeCell ref="Q608:Q613"/>
    <mergeCell ref="R608:R613"/>
    <mergeCell ref="S608:S613"/>
    <mergeCell ref="T608:T613"/>
    <mergeCell ref="R626:R631"/>
    <mergeCell ref="S626:S631"/>
    <mergeCell ref="T626:T631"/>
    <mergeCell ref="U626:U631"/>
    <mergeCell ref="A632:A637"/>
    <mergeCell ref="B632:B637"/>
    <mergeCell ref="C632:C637"/>
    <mergeCell ref="D632:D637"/>
    <mergeCell ref="E632:E637"/>
    <mergeCell ref="F632:F637"/>
    <mergeCell ref="U620:U625"/>
    <mergeCell ref="A626:A631"/>
    <mergeCell ref="B626:B631"/>
    <mergeCell ref="C626:C631"/>
    <mergeCell ref="D626:D631"/>
    <mergeCell ref="E626:E631"/>
    <mergeCell ref="F626:F631"/>
    <mergeCell ref="M626:M631"/>
    <mergeCell ref="N626:N631"/>
    <mergeCell ref="Q626:Q631"/>
    <mergeCell ref="M620:M625"/>
    <mergeCell ref="N620:N625"/>
    <mergeCell ref="Q620:Q625"/>
    <mergeCell ref="R620:R625"/>
    <mergeCell ref="S620:S625"/>
    <mergeCell ref="T620:T625"/>
    <mergeCell ref="A620:A625"/>
    <mergeCell ref="B620:B625"/>
    <mergeCell ref="C620:C625"/>
    <mergeCell ref="D620:D625"/>
    <mergeCell ref="E620:E625"/>
    <mergeCell ref="F620:F625"/>
    <mergeCell ref="R638:R643"/>
    <mergeCell ref="S638:S643"/>
    <mergeCell ref="T638:T643"/>
    <mergeCell ref="U638:U643"/>
    <mergeCell ref="A644:A649"/>
    <mergeCell ref="B644:B649"/>
    <mergeCell ref="C644:C649"/>
    <mergeCell ref="D644:D649"/>
    <mergeCell ref="E644:E649"/>
    <mergeCell ref="F644:F649"/>
    <mergeCell ref="U632:U637"/>
    <mergeCell ref="A638:A643"/>
    <mergeCell ref="B638:B643"/>
    <mergeCell ref="C638:C643"/>
    <mergeCell ref="D638:D643"/>
    <mergeCell ref="E638:E643"/>
    <mergeCell ref="F638:F643"/>
    <mergeCell ref="M638:M643"/>
    <mergeCell ref="N638:N643"/>
    <mergeCell ref="Q638:Q643"/>
    <mergeCell ref="M632:M637"/>
    <mergeCell ref="N632:N637"/>
    <mergeCell ref="Q632:Q637"/>
    <mergeCell ref="R632:R637"/>
    <mergeCell ref="S632:S637"/>
    <mergeCell ref="T632:T637"/>
    <mergeCell ref="N652:N655"/>
    <mergeCell ref="Q652:Q655"/>
    <mergeCell ref="R652:R655"/>
    <mergeCell ref="S652:S655"/>
    <mergeCell ref="T652:T655"/>
    <mergeCell ref="U652:U655"/>
    <mergeCell ref="U644:U649"/>
    <mergeCell ref="A650:R650"/>
    <mergeCell ref="A651:U651"/>
    <mergeCell ref="A652:A655"/>
    <mergeCell ref="B652:B655"/>
    <mergeCell ref="C652:C655"/>
    <mergeCell ref="D652:D655"/>
    <mergeCell ref="E652:E655"/>
    <mergeCell ref="F652:F655"/>
    <mergeCell ref="M652:M655"/>
    <mergeCell ref="M644:M649"/>
    <mergeCell ref="N644:N649"/>
    <mergeCell ref="Q644:Q649"/>
    <mergeCell ref="R644:R649"/>
    <mergeCell ref="S644:S649"/>
    <mergeCell ref="T644:T649"/>
    <mergeCell ref="R662:R667"/>
    <mergeCell ref="S662:S667"/>
    <mergeCell ref="T662:T667"/>
    <mergeCell ref="U662:U667"/>
    <mergeCell ref="A668:A673"/>
    <mergeCell ref="B668:B673"/>
    <mergeCell ref="C668:C673"/>
    <mergeCell ref="D668:D673"/>
    <mergeCell ref="E668:E673"/>
    <mergeCell ref="F668:F673"/>
    <mergeCell ref="U656:U661"/>
    <mergeCell ref="A662:A667"/>
    <mergeCell ref="B662:B667"/>
    <mergeCell ref="C662:C667"/>
    <mergeCell ref="D662:D667"/>
    <mergeCell ref="E662:E667"/>
    <mergeCell ref="F662:F667"/>
    <mergeCell ref="M662:M667"/>
    <mergeCell ref="N662:N667"/>
    <mergeCell ref="Q662:Q667"/>
    <mergeCell ref="M656:M661"/>
    <mergeCell ref="N656:N661"/>
    <mergeCell ref="Q656:Q661"/>
    <mergeCell ref="R656:R661"/>
    <mergeCell ref="S656:S661"/>
    <mergeCell ref="T656:T661"/>
    <mergeCell ref="A656:A661"/>
    <mergeCell ref="B656:B661"/>
    <mergeCell ref="C656:C661"/>
    <mergeCell ref="D656:D661"/>
    <mergeCell ref="E656:E661"/>
    <mergeCell ref="F656:F661"/>
    <mergeCell ref="R674:R679"/>
    <mergeCell ref="S674:S679"/>
    <mergeCell ref="T674:T679"/>
    <mergeCell ref="U674:U679"/>
    <mergeCell ref="A680:A685"/>
    <mergeCell ref="B680:B685"/>
    <mergeCell ref="C680:C685"/>
    <mergeCell ref="D680:D685"/>
    <mergeCell ref="E680:E685"/>
    <mergeCell ref="F680:F685"/>
    <mergeCell ref="U668:U673"/>
    <mergeCell ref="A674:A679"/>
    <mergeCell ref="B674:B679"/>
    <mergeCell ref="C674:C679"/>
    <mergeCell ref="D674:D679"/>
    <mergeCell ref="E674:E679"/>
    <mergeCell ref="F674:F679"/>
    <mergeCell ref="M674:M679"/>
    <mergeCell ref="N674:N679"/>
    <mergeCell ref="Q674:Q679"/>
    <mergeCell ref="M668:M673"/>
    <mergeCell ref="N668:N673"/>
    <mergeCell ref="Q668:Q673"/>
    <mergeCell ref="R668:R673"/>
    <mergeCell ref="S668:S673"/>
    <mergeCell ref="T668:T673"/>
    <mergeCell ref="N688:N691"/>
    <mergeCell ref="Q688:Q691"/>
    <mergeCell ref="R688:R691"/>
    <mergeCell ref="S688:S691"/>
    <mergeCell ref="T688:T691"/>
    <mergeCell ref="U688:U691"/>
    <mergeCell ref="U680:U685"/>
    <mergeCell ref="A686:R686"/>
    <mergeCell ref="A687:U687"/>
    <mergeCell ref="A688:A691"/>
    <mergeCell ref="B688:B691"/>
    <mergeCell ref="C688:C691"/>
    <mergeCell ref="D688:D691"/>
    <mergeCell ref="E688:E691"/>
    <mergeCell ref="F688:F691"/>
    <mergeCell ref="M688:M691"/>
    <mergeCell ref="M680:M685"/>
    <mergeCell ref="N680:N685"/>
    <mergeCell ref="Q680:Q685"/>
    <mergeCell ref="R680:R685"/>
    <mergeCell ref="S680:S685"/>
    <mergeCell ref="T680:T685"/>
    <mergeCell ref="U692:U697"/>
    <mergeCell ref="A698:A703"/>
    <mergeCell ref="B698:B703"/>
    <mergeCell ref="C698:C703"/>
    <mergeCell ref="D698:D703"/>
    <mergeCell ref="E698:E703"/>
    <mergeCell ref="F698:F703"/>
    <mergeCell ref="M698:M703"/>
    <mergeCell ref="N698:N703"/>
    <mergeCell ref="Q698:Q703"/>
    <mergeCell ref="M692:M697"/>
    <mergeCell ref="N692:N697"/>
    <mergeCell ref="Q692:Q697"/>
    <mergeCell ref="R692:R697"/>
    <mergeCell ref="S692:S697"/>
    <mergeCell ref="T692:T697"/>
    <mergeCell ref="A692:A697"/>
    <mergeCell ref="B692:B697"/>
    <mergeCell ref="C692:C697"/>
    <mergeCell ref="D692:D697"/>
    <mergeCell ref="E692:E697"/>
    <mergeCell ref="F692:F697"/>
    <mergeCell ref="U704:U709"/>
    <mergeCell ref="A710:A715"/>
    <mergeCell ref="B710:B715"/>
    <mergeCell ref="C710:C715"/>
    <mergeCell ref="D710:D715"/>
    <mergeCell ref="E710:E715"/>
    <mergeCell ref="F710:F715"/>
    <mergeCell ref="M710:M715"/>
    <mergeCell ref="N710:N715"/>
    <mergeCell ref="Q710:Q715"/>
    <mergeCell ref="M704:M709"/>
    <mergeCell ref="N704:N709"/>
    <mergeCell ref="Q704:Q709"/>
    <mergeCell ref="R704:R709"/>
    <mergeCell ref="S704:S709"/>
    <mergeCell ref="T704:T709"/>
    <mergeCell ref="R698:R703"/>
    <mergeCell ref="S698:S703"/>
    <mergeCell ref="T698:T703"/>
    <mergeCell ref="U698:U703"/>
    <mergeCell ref="A704:A709"/>
    <mergeCell ref="B704:B709"/>
    <mergeCell ref="C704:C709"/>
    <mergeCell ref="D704:D709"/>
    <mergeCell ref="E704:E709"/>
    <mergeCell ref="F704:F709"/>
    <mergeCell ref="U716:U721"/>
    <mergeCell ref="A722:R722"/>
    <mergeCell ref="M716:M721"/>
    <mergeCell ref="N716:N721"/>
    <mergeCell ref="Q716:Q721"/>
    <mergeCell ref="R716:R721"/>
    <mergeCell ref="S716:S721"/>
    <mergeCell ref="T716:T721"/>
    <mergeCell ref="R710:R715"/>
    <mergeCell ref="S710:S715"/>
    <mergeCell ref="T710:T715"/>
    <mergeCell ref="U710:U715"/>
    <mergeCell ref="A716:A721"/>
    <mergeCell ref="B716:B721"/>
    <mergeCell ref="C716:C721"/>
    <mergeCell ref="D716:D721"/>
    <mergeCell ref="E716:E721"/>
    <mergeCell ref="F716:F7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U722"/>
  <sheetViews>
    <sheetView topLeftCell="A648" workbookViewId="0">
      <selection activeCell="K12" sqref="K12"/>
    </sheetView>
  </sheetViews>
  <sheetFormatPr defaultRowHeight="15" x14ac:dyDescent="0.25"/>
  <cols>
    <col min="1" max="1" width="9.140625" style="16"/>
    <col min="2" max="5" width="0" style="16" hidden="1" customWidth="1"/>
    <col min="6" max="8" width="9.140625" style="16"/>
    <col min="9" max="10" width="0" style="16" hidden="1" customWidth="1"/>
    <col min="11" max="11" width="9.140625" style="16"/>
    <col min="12" max="13" width="0" style="16" hidden="1" customWidth="1"/>
    <col min="14" max="15" width="9.140625" style="16"/>
    <col min="16" max="17" width="0" style="16" hidden="1" customWidth="1"/>
    <col min="18" max="19" width="9.140625" style="16"/>
    <col min="20" max="21" width="0" style="16" hidden="1" customWidth="1"/>
  </cols>
  <sheetData>
    <row r="1" spans="1:21" ht="45" x14ac:dyDescent="0.25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3" t="s">
        <v>5</v>
      </c>
      <c r="G1" s="13" t="s">
        <v>6</v>
      </c>
      <c r="H1" s="13" t="s">
        <v>7</v>
      </c>
      <c r="I1" s="15" t="s">
        <v>8</v>
      </c>
      <c r="J1" s="15" t="s">
        <v>9</v>
      </c>
      <c r="K1" s="13" t="s">
        <v>31</v>
      </c>
      <c r="L1" s="14" t="s">
        <v>10</v>
      </c>
      <c r="M1" s="14" t="s">
        <v>11</v>
      </c>
      <c r="N1" s="13" t="s">
        <v>12</v>
      </c>
      <c r="O1" s="13" t="s">
        <v>13</v>
      </c>
      <c r="P1" s="14" t="s">
        <v>14</v>
      </c>
      <c r="Q1" s="14" t="s">
        <v>15</v>
      </c>
      <c r="R1" s="13" t="s">
        <v>16</v>
      </c>
      <c r="S1" s="13" t="s">
        <v>17</v>
      </c>
      <c r="T1" s="14" t="s">
        <v>18</v>
      </c>
      <c r="U1" s="14" t="s">
        <v>19</v>
      </c>
    </row>
    <row r="2" spans="1:21" x14ac:dyDescent="0.25">
      <c r="A2" s="3">
        <v>1</v>
      </c>
      <c r="B2" s="4"/>
      <c r="C2" s="4"/>
      <c r="D2" s="4"/>
      <c r="E2" s="4"/>
      <c r="F2" s="3">
        <v>2</v>
      </c>
      <c r="G2" s="3">
        <v>3</v>
      </c>
      <c r="H2" s="3">
        <v>4</v>
      </c>
      <c r="I2" s="5"/>
      <c r="J2" s="6"/>
      <c r="K2" s="3">
        <v>5</v>
      </c>
      <c r="L2" s="4"/>
      <c r="M2" s="5"/>
      <c r="N2" s="3">
        <v>6</v>
      </c>
      <c r="O2" s="3">
        <v>7</v>
      </c>
      <c r="P2" s="4"/>
      <c r="Q2" s="5"/>
      <c r="R2" s="7">
        <v>8</v>
      </c>
      <c r="S2" s="7">
        <v>9</v>
      </c>
      <c r="T2" s="4"/>
      <c r="U2" s="4"/>
    </row>
    <row r="3" spans="1:21" x14ac:dyDescent="0.25">
      <c r="A3" s="27" t="s">
        <v>92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9"/>
    </row>
    <row r="4" spans="1:21" x14ac:dyDescent="0.25">
      <c r="A4" s="24">
        <v>250</v>
      </c>
      <c r="B4" s="24">
        <v>3</v>
      </c>
      <c r="C4" s="17">
        <v>0.5</v>
      </c>
      <c r="D4" s="24">
        <v>38</v>
      </c>
      <c r="E4" s="24">
        <v>4</v>
      </c>
      <c r="F4" s="25">
        <v>84</v>
      </c>
      <c r="G4" s="1">
        <v>175</v>
      </c>
      <c r="H4" s="2">
        <v>84.8</v>
      </c>
      <c r="I4" s="2">
        <v>-14.200000000000001</v>
      </c>
      <c r="J4" s="2">
        <v>-16.100000000000001</v>
      </c>
      <c r="K4" s="2">
        <f>I4</f>
        <v>-14.200000000000001</v>
      </c>
      <c r="L4" s="8">
        <f>10^((K4-H4)/10)</f>
        <v>1.2589254117941656E-10</v>
      </c>
      <c r="M4" s="26">
        <f>SUM(L4:L7)</f>
        <v>1.6896253176632925E-10</v>
      </c>
      <c r="N4" s="17">
        <f>10*LOG10(M4/E4)</f>
        <v>-103.74269582875355</v>
      </c>
      <c r="O4" s="9">
        <f>J4</f>
        <v>-16.100000000000001</v>
      </c>
      <c r="P4" s="8">
        <f>D4/B4*10^(O4/10)</f>
        <v>0.31092979598677029</v>
      </c>
      <c r="Q4" s="26">
        <f>SUM(P4:P7)</f>
        <v>0.66172543785281646</v>
      </c>
      <c r="R4" s="17">
        <f>10*LOG10(Q4)</f>
        <v>-1.7932217001597195</v>
      </c>
      <c r="S4" s="18">
        <f>F4+N4-Kzt-H</f>
        <v>-19.742695828753554</v>
      </c>
      <c r="T4" s="17">
        <v>0.2</v>
      </c>
      <c r="U4" s="21">
        <f>T4*10^((S4-R4)/10)</f>
        <v>3.206879067204212E-3</v>
      </c>
    </row>
    <row r="5" spans="1:21" x14ac:dyDescent="0.25">
      <c r="A5" s="24"/>
      <c r="B5" s="24"/>
      <c r="C5" s="17"/>
      <c r="D5" s="24"/>
      <c r="E5" s="24"/>
      <c r="F5" s="25"/>
      <c r="G5" s="1">
        <v>225</v>
      </c>
      <c r="H5" s="2">
        <v>90</v>
      </c>
      <c r="I5" s="2">
        <v>-16.3</v>
      </c>
      <c r="J5" s="2">
        <v>-22.8</v>
      </c>
      <c r="K5" s="2">
        <f t="shared" ref="K5:K37" si="0">I5</f>
        <v>-16.3</v>
      </c>
      <c r="L5" s="8">
        <f t="shared" ref="L5:L37" si="1">10^((K5-H5)/10)</f>
        <v>2.3442288153199185E-11</v>
      </c>
      <c r="M5" s="26"/>
      <c r="N5" s="17"/>
      <c r="O5" s="9">
        <f t="shared" ref="O5:O37" si="2">J5</f>
        <v>-22.8</v>
      </c>
      <c r="P5" s="8">
        <f>D4/B4*10^(O5/10)</f>
        <v>6.647561163163776E-2</v>
      </c>
      <c r="Q5" s="26"/>
      <c r="R5" s="17"/>
      <c r="S5" s="19"/>
      <c r="T5" s="17"/>
      <c r="U5" s="22"/>
    </row>
    <row r="6" spans="1:21" x14ac:dyDescent="0.25">
      <c r="A6" s="24"/>
      <c r="B6" s="24"/>
      <c r="C6" s="17"/>
      <c r="D6" s="24"/>
      <c r="E6" s="24"/>
      <c r="F6" s="25"/>
      <c r="G6" s="1">
        <v>275</v>
      </c>
      <c r="H6" s="2">
        <v>92.2</v>
      </c>
      <c r="I6" s="2">
        <v>-18.3</v>
      </c>
      <c r="J6" s="2">
        <v>-19.600000000000001</v>
      </c>
      <c r="K6" s="2">
        <f t="shared" si="0"/>
        <v>-18.3</v>
      </c>
      <c r="L6" s="8">
        <f t="shared" si="1"/>
        <v>8.9125093813374152E-12</v>
      </c>
      <c r="M6" s="26"/>
      <c r="N6" s="17"/>
      <c r="O6" s="9">
        <f t="shared" si="2"/>
        <v>-19.600000000000001</v>
      </c>
      <c r="P6" s="8">
        <f>D4/B4*10^(O6/10)</f>
        <v>0.13888723817813667</v>
      </c>
      <c r="Q6" s="26"/>
      <c r="R6" s="17"/>
      <c r="S6" s="19"/>
      <c r="T6" s="17"/>
      <c r="U6" s="22"/>
    </row>
    <row r="7" spans="1:21" x14ac:dyDescent="0.25">
      <c r="A7" s="24"/>
      <c r="B7" s="24"/>
      <c r="C7" s="17"/>
      <c r="D7" s="24"/>
      <c r="E7" s="24"/>
      <c r="F7" s="25"/>
      <c r="G7" s="1">
        <v>325</v>
      </c>
      <c r="H7" s="2">
        <v>93.3</v>
      </c>
      <c r="I7" s="2">
        <v>-16.399999999999999</v>
      </c>
      <c r="J7" s="2">
        <v>-19.399999999999999</v>
      </c>
      <c r="K7" s="2">
        <f t="shared" si="0"/>
        <v>-16.399999999999999</v>
      </c>
      <c r="L7" s="8">
        <f>10^((K7-H7)/10)</f>
        <v>1.0715193052376083E-11</v>
      </c>
      <c r="M7" s="26"/>
      <c r="N7" s="17"/>
      <c r="O7" s="9">
        <f t="shared" si="2"/>
        <v>-19.399999999999999</v>
      </c>
      <c r="P7" s="8">
        <f>D4/B4*10^(O7/10)</f>
        <v>0.1454327920562718</v>
      </c>
      <c r="Q7" s="26"/>
      <c r="R7" s="17"/>
      <c r="S7" s="20"/>
      <c r="T7" s="17"/>
      <c r="U7" s="23"/>
    </row>
    <row r="8" spans="1:21" x14ac:dyDescent="0.25">
      <c r="A8" s="24">
        <v>500</v>
      </c>
      <c r="B8" s="24">
        <v>3</v>
      </c>
      <c r="C8" s="17">
        <v>0.5</v>
      </c>
      <c r="D8" s="24">
        <v>59</v>
      </c>
      <c r="E8" s="24">
        <v>6</v>
      </c>
      <c r="F8" s="25">
        <v>84</v>
      </c>
      <c r="G8" s="1">
        <v>375</v>
      </c>
      <c r="H8" s="2">
        <v>91.9</v>
      </c>
      <c r="I8" s="2">
        <v>-22.200000000000003</v>
      </c>
      <c r="J8" s="2">
        <v>-22.6</v>
      </c>
      <c r="K8" s="2">
        <f t="shared" si="0"/>
        <v>-22.200000000000003</v>
      </c>
      <c r="L8" s="8">
        <f t="shared" si="1"/>
        <v>3.890451449942802E-12</v>
      </c>
      <c r="M8" s="26">
        <f>SUM(L8:L13)</f>
        <v>3.7028257840258896E-11</v>
      </c>
      <c r="N8" s="17">
        <f>10*LOG10(M8/E8)</f>
        <v>-112.09617971176786</v>
      </c>
      <c r="O8" s="9">
        <f t="shared" si="2"/>
        <v>-22.6</v>
      </c>
      <c r="P8" s="8">
        <f>D8/B8*10^(O8/10)</f>
        <v>0.1080763718586661</v>
      </c>
      <c r="Q8" s="26">
        <f>SUM(P8:P13)</f>
        <v>0.55914644221128218</v>
      </c>
      <c r="R8" s="17">
        <f>10*LOG10(Q8)</f>
        <v>-2.5247443412582076</v>
      </c>
      <c r="S8" s="18">
        <f>F8+N8-Kzt-H</f>
        <v>-28.09617971176786</v>
      </c>
      <c r="T8" s="17">
        <v>0.5</v>
      </c>
      <c r="U8" s="21">
        <f>T8*10^((S8-R8)/10)</f>
        <v>1.3862018282060793E-3</v>
      </c>
    </row>
    <row r="9" spans="1:21" x14ac:dyDescent="0.25">
      <c r="A9" s="24"/>
      <c r="B9" s="24"/>
      <c r="C9" s="17"/>
      <c r="D9" s="24"/>
      <c r="E9" s="24"/>
      <c r="F9" s="25"/>
      <c r="G9" s="1">
        <v>425</v>
      </c>
      <c r="H9" s="2">
        <v>88.1</v>
      </c>
      <c r="I9" s="2">
        <v>-20.5</v>
      </c>
      <c r="J9" s="2">
        <v>-23.7</v>
      </c>
      <c r="K9" s="2">
        <f t="shared" si="0"/>
        <v>-20.5</v>
      </c>
      <c r="L9" s="8">
        <f t="shared" si="1"/>
        <v>1.380384264602886E-11</v>
      </c>
      <c r="M9" s="26"/>
      <c r="N9" s="17"/>
      <c r="O9" s="9">
        <f t="shared" si="2"/>
        <v>-23.7</v>
      </c>
      <c r="P9" s="8">
        <f>D8/B8*10^(O9/10)</f>
        <v>8.3893972030979869E-2</v>
      </c>
      <c r="Q9" s="26"/>
      <c r="R9" s="17"/>
      <c r="S9" s="19"/>
      <c r="T9" s="17"/>
      <c r="U9" s="22"/>
    </row>
    <row r="10" spans="1:21" x14ac:dyDescent="0.25">
      <c r="A10" s="24"/>
      <c r="B10" s="24"/>
      <c r="C10" s="17"/>
      <c r="D10" s="24"/>
      <c r="E10" s="24"/>
      <c r="F10" s="25"/>
      <c r="G10" s="1">
        <v>475</v>
      </c>
      <c r="H10" s="2">
        <v>90</v>
      </c>
      <c r="I10" s="2">
        <v>-19.399999999999999</v>
      </c>
      <c r="J10" s="2">
        <v>-24</v>
      </c>
      <c r="K10" s="2">
        <f t="shared" si="0"/>
        <v>-19.399999999999999</v>
      </c>
      <c r="L10" s="8">
        <f>10^((K10-H10)/10)</f>
        <v>1.1481536214968764E-11</v>
      </c>
      <c r="M10" s="26"/>
      <c r="N10" s="17"/>
      <c r="O10" s="9">
        <f t="shared" si="2"/>
        <v>-24</v>
      </c>
      <c r="P10" s="8">
        <f>D8/B8*10^(O10/10)</f>
        <v>7.8294410208854442E-2</v>
      </c>
      <c r="Q10" s="26"/>
      <c r="R10" s="17"/>
      <c r="S10" s="19"/>
      <c r="T10" s="17"/>
      <c r="U10" s="22"/>
    </row>
    <row r="11" spans="1:21" x14ac:dyDescent="0.25">
      <c r="A11" s="24"/>
      <c r="B11" s="24"/>
      <c r="C11" s="17"/>
      <c r="D11" s="24"/>
      <c r="E11" s="24"/>
      <c r="F11" s="25"/>
      <c r="G11" s="1">
        <v>575</v>
      </c>
      <c r="H11" s="2">
        <v>97</v>
      </c>
      <c r="I11" s="2">
        <v>-20.200000000000003</v>
      </c>
      <c r="J11" s="2">
        <v>-20.6</v>
      </c>
      <c r="K11" s="2">
        <f t="shared" si="0"/>
        <v>-20.200000000000003</v>
      </c>
      <c r="L11" s="8">
        <f t="shared" si="1"/>
        <v>1.905460717963237E-12</v>
      </c>
      <c r="M11" s="26"/>
      <c r="N11" s="17"/>
      <c r="O11" s="9">
        <f t="shared" si="2"/>
        <v>-20.6</v>
      </c>
      <c r="P11" s="8">
        <f>D8/B8*10^(O11/10)</f>
        <v>0.17128950602469575</v>
      </c>
      <c r="Q11" s="26"/>
      <c r="R11" s="17"/>
      <c r="S11" s="19"/>
      <c r="T11" s="17"/>
      <c r="U11" s="22"/>
    </row>
    <row r="12" spans="1:21" x14ac:dyDescent="0.25">
      <c r="A12" s="24"/>
      <c r="B12" s="24"/>
      <c r="C12" s="17"/>
      <c r="D12" s="24"/>
      <c r="E12" s="24"/>
      <c r="F12" s="25"/>
      <c r="G12" s="1">
        <v>625</v>
      </c>
      <c r="H12" s="2">
        <v>92</v>
      </c>
      <c r="I12" s="2">
        <v>-22.5</v>
      </c>
      <c r="J12" s="2">
        <v>-27.2</v>
      </c>
      <c r="K12" s="2">
        <f t="shared" si="0"/>
        <v>-22.5</v>
      </c>
      <c r="L12" s="8">
        <f t="shared" si="1"/>
        <v>3.5481338923357515E-12</v>
      </c>
      <c r="M12" s="26"/>
      <c r="N12" s="17"/>
      <c r="O12" s="9">
        <f t="shared" si="2"/>
        <v>-27.2</v>
      </c>
      <c r="P12" s="8">
        <f>D8/B8*10^(O12/10)</f>
        <v>3.7474060786610537E-2</v>
      </c>
      <c r="Q12" s="26"/>
      <c r="R12" s="17"/>
      <c r="S12" s="19"/>
      <c r="T12" s="17"/>
      <c r="U12" s="22"/>
    </row>
    <row r="13" spans="1:21" x14ac:dyDescent="0.25">
      <c r="A13" s="24"/>
      <c r="B13" s="24"/>
      <c r="C13" s="17"/>
      <c r="D13" s="24"/>
      <c r="E13" s="24"/>
      <c r="F13" s="25"/>
      <c r="G13" s="1">
        <v>675</v>
      </c>
      <c r="H13" s="2">
        <v>94.5</v>
      </c>
      <c r="I13" s="2">
        <v>-21.7</v>
      </c>
      <c r="J13" s="2">
        <v>-23.9</v>
      </c>
      <c r="K13" s="2">
        <f t="shared" si="0"/>
        <v>-21.7</v>
      </c>
      <c r="L13" s="8">
        <f t="shared" si="1"/>
        <v>2.3988329190194755E-12</v>
      </c>
      <c r="M13" s="26"/>
      <c r="N13" s="17"/>
      <c r="O13" s="9">
        <f t="shared" si="2"/>
        <v>-23.9</v>
      </c>
      <c r="P13" s="8">
        <f>D8/B8*10^(O13/10)</f>
        <v>8.0118121301475567E-2</v>
      </c>
      <c r="Q13" s="26"/>
      <c r="R13" s="17"/>
      <c r="S13" s="20"/>
      <c r="T13" s="17"/>
      <c r="U13" s="23"/>
    </row>
    <row r="14" spans="1:21" x14ac:dyDescent="0.25">
      <c r="A14" s="24">
        <v>1000</v>
      </c>
      <c r="B14" s="24">
        <v>3</v>
      </c>
      <c r="C14" s="17">
        <v>0.5</v>
      </c>
      <c r="D14" s="24">
        <v>117</v>
      </c>
      <c r="E14" s="24">
        <v>6</v>
      </c>
      <c r="F14" s="25">
        <v>76</v>
      </c>
      <c r="G14" s="1">
        <v>875</v>
      </c>
      <c r="H14" s="2">
        <v>91.1</v>
      </c>
      <c r="I14" s="2">
        <v>-24.8</v>
      </c>
      <c r="J14" s="2">
        <v>-30.5</v>
      </c>
      <c r="K14" s="2">
        <f t="shared" si="0"/>
        <v>-24.8</v>
      </c>
      <c r="L14" s="8">
        <f t="shared" si="1"/>
        <v>2.5703957827688561E-12</v>
      </c>
      <c r="M14" s="26">
        <f>SUM(L14:L19)</f>
        <v>9.9960323908584796E-12</v>
      </c>
      <c r="N14" s="17">
        <f>10*LOG10(M14/E14)</f>
        <v>-117.78323595651489</v>
      </c>
      <c r="O14" s="9">
        <f t="shared" si="2"/>
        <v>-30.5</v>
      </c>
      <c r="P14" s="8">
        <f>D14/B14*10^(O14/10)</f>
        <v>3.4758786587216067E-2</v>
      </c>
      <c r="Q14" s="26">
        <f>SUM(P14:P19)</f>
        <v>0.8983561841396609</v>
      </c>
      <c r="R14" s="17">
        <f>10*LOG10(Q14)</f>
        <v>-0.46551438236370984</v>
      </c>
      <c r="S14" s="18">
        <f>F14+N14-Kzt-H</f>
        <v>-41.783235956514886</v>
      </c>
      <c r="T14" s="17">
        <v>0.8</v>
      </c>
      <c r="U14" s="21">
        <f>T14*10^((S14-R14)/10)</f>
        <v>5.9063316490616849E-5</v>
      </c>
    </row>
    <row r="15" spans="1:21" x14ac:dyDescent="0.25">
      <c r="A15" s="24"/>
      <c r="B15" s="24"/>
      <c r="C15" s="17"/>
      <c r="D15" s="24"/>
      <c r="E15" s="24"/>
      <c r="F15" s="25"/>
      <c r="G15" s="1">
        <v>975</v>
      </c>
      <c r="H15" s="2">
        <v>96.5</v>
      </c>
      <c r="I15" s="2">
        <v>-22.8</v>
      </c>
      <c r="J15" s="2">
        <v>-22.8</v>
      </c>
      <c r="K15" s="2">
        <f t="shared" si="0"/>
        <v>-22.8</v>
      </c>
      <c r="L15" s="8">
        <f t="shared" si="1"/>
        <v>1.1748975549395258E-12</v>
      </c>
      <c r="M15" s="26"/>
      <c r="N15" s="17"/>
      <c r="O15" s="9">
        <f t="shared" si="2"/>
        <v>-22.8</v>
      </c>
      <c r="P15" s="8">
        <f>D14/B14*10^(O15/10)</f>
        <v>0.20467490949741102</v>
      </c>
      <c r="Q15" s="26"/>
      <c r="R15" s="17"/>
      <c r="S15" s="19"/>
      <c r="T15" s="17"/>
      <c r="U15" s="22"/>
    </row>
    <row r="16" spans="1:21" x14ac:dyDescent="0.25">
      <c r="A16" s="24"/>
      <c r="B16" s="24"/>
      <c r="C16" s="17"/>
      <c r="D16" s="24"/>
      <c r="E16" s="24"/>
      <c r="F16" s="25"/>
      <c r="G16" s="1">
        <v>1075</v>
      </c>
      <c r="H16" s="2">
        <v>94.6</v>
      </c>
      <c r="I16" s="2">
        <v>-20.7</v>
      </c>
      <c r="J16" s="2">
        <v>-27.6</v>
      </c>
      <c r="K16" s="2">
        <f t="shared" si="0"/>
        <v>-20.7</v>
      </c>
      <c r="L16" s="8">
        <f t="shared" si="1"/>
        <v>2.9512092266663859E-12</v>
      </c>
      <c r="M16" s="26"/>
      <c r="N16" s="17"/>
      <c r="O16" s="9">
        <f t="shared" si="2"/>
        <v>-27.6</v>
      </c>
      <c r="P16" s="8">
        <f>D14/B14*10^(O16/10)</f>
        <v>6.7774232321225564E-2</v>
      </c>
      <c r="Q16" s="26"/>
      <c r="R16" s="17"/>
      <c r="S16" s="19"/>
      <c r="T16" s="17"/>
      <c r="U16" s="22"/>
    </row>
    <row r="17" spans="1:21" x14ac:dyDescent="0.25">
      <c r="A17" s="24"/>
      <c r="B17" s="24"/>
      <c r="C17" s="17"/>
      <c r="D17" s="24"/>
      <c r="E17" s="24"/>
      <c r="F17" s="25"/>
      <c r="G17" s="1">
        <v>1175</v>
      </c>
      <c r="H17" s="2">
        <v>97.8</v>
      </c>
      <c r="I17" s="2">
        <v>-21.6</v>
      </c>
      <c r="J17" s="2">
        <v>-24.9</v>
      </c>
      <c r="K17" s="2">
        <f t="shared" si="0"/>
        <v>-21.6</v>
      </c>
      <c r="L17" s="8">
        <f t="shared" si="1"/>
        <v>1.1481536214968749E-12</v>
      </c>
      <c r="M17" s="26"/>
      <c r="N17" s="17"/>
      <c r="O17" s="9">
        <f t="shared" si="2"/>
        <v>-24.9</v>
      </c>
      <c r="P17" s="8">
        <f>D14/B14*10^(O17/10)</f>
        <v>0.12620152620255501</v>
      </c>
      <c r="Q17" s="26"/>
      <c r="R17" s="17"/>
      <c r="S17" s="19"/>
      <c r="T17" s="17"/>
      <c r="U17" s="22"/>
    </row>
    <row r="18" spans="1:21" x14ac:dyDescent="0.25">
      <c r="A18" s="24"/>
      <c r="B18" s="24"/>
      <c r="C18" s="17"/>
      <c r="D18" s="24"/>
      <c r="E18" s="24"/>
      <c r="F18" s="25"/>
      <c r="G18" s="1">
        <v>1275</v>
      </c>
      <c r="H18" s="2">
        <v>100.1</v>
      </c>
      <c r="I18" s="2">
        <v>-18</v>
      </c>
      <c r="J18" s="2">
        <v>-23.3</v>
      </c>
      <c r="K18" s="2">
        <f t="shared" si="0"/>
        <v>-18</v>
      </c>
      <c r="L18" s="8">
        <f t="shared" si="1"/>
        <v>1.5488166189124799E-12</v>
      </c>
      <c r="M18" s="26"/>
      <c r="N18" s="17"/>
      <c r="O18" s="9">
        <f t="shared" si="2"/>
        <v>-23.3</v>
      </c>
      <c r="P18" s="8">
        <f>D14/B14*10^(O18/10)</f>
        <v>0.18241670510200714</v>
      </c>
      <c r="Q18" s="26"/>
      <c r="R18" s="17"/>
      <c r="S18" s="19"/>
      <c r="T18" s="17"/>
      <c r="U18" s="22"/>
    </row>
    <row r="19" spans="1:21" x14ac:dyDescent="0.25">
      <c r="A19" s="24"/>
      <c r="B19" s="24"/>
      <c r="C19" s="17"/>
      <c r="D19" s="24"/>
      <c r="E19" s="24"/>
      <c r="F19" s="25"/>
      <c r="G19" s="1">
        <v>1375</v>
      </c>
      <c r="H19" s="2">
        <v>103</v>
      </c>
      <c r="I19" s="2">
        <v>-19.2</v>
      </c>
      <c r="J19" s="2">
        <v>-21.4</v>
      </c>
      <c r="K19" s="2">
        <f t="shared" si="0"/>
        <v>-19.2</v>
      </c>
      <c r="L19" s="8">
        <f t="shared" si="1"/>
        <v>6.025595860743553E-13</v>
      </c>
      <c r="M19" s="26"/>
      <c r="N19" s="17"/>
      <c r="O19" s="9">
        <f t="shared" si="2"/>
        <v>-21.4</v>
      </c>
      <c r="P19" s="8">
        <f>D14/B14*10^(O19/10)</f>
        <v>0.28253002442924613</v>
      </c>
      <c r="Q19" s="26"/>
      <c r="R19" s="17"/>
      <c r="S19" s="20"/>
      <c r="T19" s="17"/>
      <c r="U19" s="23"/>
    </row>
    <row r="20" spans="1:21" x14ac:dyDescent="0.25">
      <c r="A20" s="24">
        <v>2000</v>
      </c>
      <c r="B20" s="24">
        <v>3</v>
      </c>
      <c r="C20" s="17">
        <v>0.5</v>
      </c>
      <c r="D20" s="24">
        <v>234</v>
      </c>
      <c r="E20" s="24">
        <v>6</v>
      </c>
      <c r="F20" s="25">
        <v>68</v>
      </c>
      <c r="G20" s="1">
        <v>1425</v>
      </c>
      <c r="H20" s="2">
        <v>102.8</v>
      </c>
      <c r="I20" s="2">
        <v>-23.8</v>
      </c>
      <c r="J20" s="2">
        <v>-28.5</v>
      </c>
      <c r="K20" s="2">
        <f t="shared" si="0"/>
        <v>-23.8</v>
      </c>
      <c r="L20" s="8">
        <f t="shared" si="1"/>
        <v>2.1877616239495453E-13</v>
      </c>
      <c r="M20" s="26">
        <f>SUM(L20:L25)</f>
        <v>8.4236801717579197E-12</v>
      </c>
      <c r="N20" s="17">
        <f>10*LOG10(M20/E20)</f>
        <v>-118.52649381080562</v>
      </c>
      <c r="O20" s="9">
        <f t="shared" si="2"/>
        <v>-28.5</v>
      </c>
      <c r="P20" s="8">
        <f>D20/B20*10^(O20/10)</f>
        <v>0.11017792848057471</v>
      </c>
      <c r="Q20" s="26">
        <f>SUM(P20:P25)</f>
        <v>2.5250968921728063</v>
      </c>
      <c r="R20" s="17">
        <f>10*LOG10(Q20)</f>
        <v>4.0227804737691555</v>
      </c>
      <c r="S20" s="18">
        <f>F20+N20-Kzt-H</f>
        <v>-50.526493810805619</v>
      </c>
      <c r="T20" s="17">
        <v>1</v>
      </c>
      <c r="U20" s="21">
        <f>T20*10^((S20-R20)/10)</f>
        <v>3.5081049024283709E-6</v>
      </c>
    </row>
    <row r="21" spans="1:21" x14ac:dyDescent="0.25">
      <c r="A21" s="24"/>
      <c r="B21" s="24"/>
      <c r="C21" s="17"/>
      <c r="D21" s="24"/>
      <c r="E21" s="24"/>
      <c r="F21" s="25"/>
      <c r="G21" s="1">
        <v>1625</v>
      </c>
      <c r="H21" s="2">
        <v>104.1</v>
      </c>
      <c r="I21" s="2">
        <v>-21.1</v>
      </c>
      <c r="J21" s="2">
        <v>-23.6</v>
      </c>
      <c r="K21" s="2">
        <f t="shared" si="0"/>
        <v>-21.1</v>
      </c>
      <c r="L21" s="8">
        <f t="shared" si="1"/>
        <v>3.0199517204020122E-13</v>
      </c>
      <c r="M21" s="26"/>
      <c r="N21" s="17"/>
      <c r="O21" s="9">
        <f t="shared" si="2"/>
        <v>-23.6</v>
      </c>
      <c r="P21" s="8">
        <f>D20/B20*10^(O21/10)</f>
        <v>0.34048234914732894</v>
      </c>
      <c r="Q21" s="26"/>
      <c r="R21" s="17"/>
      <c r="S21" s="19"/>
      <c r="T21" s="17"/>
      <c r="U21" s="22"/>
    </row>
    <row r="22" spans="1:21" x14ac:dyDescent="0.25">
      <c r="A22" s="24"/>
      <c r="B22" s="24"/>
      <c r="C22" s="17"/>
      <c r="D22" s="24"/>
      <c r="E22" s="24"/>
      <c r="F22" s="25"/>
      <c r="G22" s="1">
        <v>1825</v>
      </c>
      <c r="H22" s="2">
        <v>107.6</v>
      </c>
      <c r="I22" s="2">
        <v>-16.100000000000001</v>
      </c>
      <c r="J22" s="2">
        <v>-18</v>
      </c>
      <c r="K22" s="2">
        <f t="shared" si="0"/>
        <v>-16.100000000000001</v>
      </c>
      <c r="L22" s="8">
        <f t="shared" si="1"/>
        <v>4.2657951880159156E-13</v>
      </c>
      <c r="M22" s="26"/>
      <c r="N22" s="17"/>
      <c r="O22" s="9">
        <f t="shared" si="2"/>
        <v>-18</v>
      </c>
      <c r="P22" s="8">
        <f>D20/B20*10^(O22/10)</f>
        <v>1.2362166901196676</v>
      </c>
      <c r="Q22" s="26"/>
      <c r="R22" s="17"/>
      <c r="S22" s="19"/>
      <c r="T22" s="17"/>
      <c r="U22" s="22"/>
    </row>
    <row r="23" spans="1:21" x14ac:dyDescent="0.25">
      <c r="A23" s="24"/>
      <c r="B23" s="24"/>
      <c r="C23" s="17"/>
      <c r="D23" s="24"/>
      <c r="E23" s="24"/>
      <c r="F23" s="25"/>
      <c r="G23" s="1">
        <v>2125</v>
      </c>
      <c r="H23" s="2">
        <v>104.2</v>
      </c>
      <c r="I23" s="2">
        <v>-23.6</v>
      </c>
      <c r="J23" s="2">
        <v>-25.7</v>
      </c>
      <c r="K23" s="2">
        <f t="shared" si="0"/>
        <v>-23.6</v>
      </c>
      <c r="L23" s="8">
        <f t="shared" si="1"/>
        <v>1.659586907437551E-13</v>
      </c>
      <c r="M23" s="26"/>
      <c r="N23" s="17"/>
      <c r="O23" s="9">
        <f t="shared" si="2"/>
        <v>-25.7</v>
      </c>
      <c r="P23" s="8">
        <f>D20/B20*10^(O23/10)</f>
        <v>0.20993971470629935</v>
      </c>
      <c r="Q23" s="26"/>
      <c r="R23" s="17"/>
      <c r="S23" s="19"/>
      <c r="T23" s="17"/>
      <c r="U23" s="22"/>
    </row>
    <row r="24" spans="1:21" x14ac:dyDescent="0.25">
      <c r="A24" s="24"/>
      <c r="B24" s="24"/>
      <c r="C24" s="17"/>
      <c r="D24" s="24"/>
      <c r="E24" s="24"/>
      <c r="F24" s="25"/>
      <c r="G24" s="1">
        <v>2425</v>
      </c>
      <c r="H24" s="2">
        <v>93.7</v>
      </c>
      <c r="I24" s="2">
        <v>-18</v>
      </c>
      <c r="J24" s="2">
        <v>-24</v>
      </c>
      <c r="K24" s="2">
        <f t="shared" si="0"/>
        <v>-18</v>
      </c>
      <c r="L24" s="8">
        <f t="shared" si="1"/>
        <v>6.7608297539197943E-12</v>
      </c>
      <c r="M24" s="26"/>
      <c r="N24" s="17"/>
      <c r="O24" s="9">
        <f t="shared" si="2"/>
        <v>-24</v>
      </c>
      <c r="P24" s="8">
        <f>D20/B20*10^(O24/10)</f>
        <v>0.31052359303172777</v>
      </c>
      <c r="Q24" s="26"/>
      <c r="R24" s="17"/>
      <c r="S24" s="19"/>
      <c r="T24" s="17"/>
      <c r="U24" s="22"/>
    </row>
    <row r="25" spans="1:21" x14ac:dyDescent="0.25">
      <c r="A25" s="24"/>
      <c r="B25" s="24"/>
      <c r="C25" s="17"/>
      <c r="D25" s="24"/>
      <c r="E25" s="24"/>
      <c r="F25" s="25"/>
      <c r="G25" s="1">
        <v>2775</v>
      </c>
      <c r="H25" s="2">
        <v>100.2</v>
      </c>
      <c r="I25" s="2">
        <v>-22.4</v>
      </c>
      <c r="J25" s="2">
        <v>-23.9</v>
      </c>
      <c r="K25" s="2">
        <f t="shared" si="0"/>
        <v>-22.4</v>
      </c>
      <c r="L25" s="8">
        <f t="shared" si="1"/>
        <v>5.4954087385762248E-13</v>
      </c>
      <c r="M25" s="26"/>
      <c r="N25" s="17"/>
      <c r="O25" s="9">
        <f t="shared" si="2"/>
        <v>-23.9</v>
      </c>
      <c r="P25" s="8">
        <f>D20/B20*10^(O25/10)</f>
        <v>0.31775661668720817</v>
      </c>
      <c r="Q25" s="26"/>
      <c r="R25" s="17"/>
      <c r="S25" s="20"/>
      <c r="T25" s="17"/>
      <c r="U25" s="23"/>
    </row>
    <row r="26" spans="1:21" x14ac:dyDescent="0.25">
      <c r="A26" s="24">
        <v>4000</v>
      </c>
      <c r="B26" s="24">
        <v>3</v>
      </c>
      <c r="C26" s="17">
        <v>0.5</v>
      </c>
      <c r="D26" s="24">
        <v>470</v>
      </c>
      <c r="E26" s="24">
        <v>6</v>
      </c>
      <c r="F26" s="25">
        <v>62</v>
      </c>
      <c r="G26" s="1">
        <v>2825</v>
      </c>
      <c r="H26" s="2">
        <v>99.4</v>
      </c>
      <c r="I26" s="2">
        <v>-18.100000000000001</v>
      </c>
      <c r="J26" s="2">
        <v>-26.3</v>
      </c>
      <c r="K26" s="2">
        <f t="shared" si="0"/>
        <v>-18.100000000000001</v>
      </c>
      <c r="L26" s="8">
        <f t="shared" si="1"/>
        <v>1.7782794100389204E-12</v>
      </c>
      <c r="M26" s="26">
        <f>SUM(L26:L31)</f>
        <v>3.2725350680529843E-12</v>
      </c>
      <c r="N26" s="17">
        <f>10*LOG10(M26/E26)</f>
        <v>-122.63266941293685</v>
      </c>
      <c r="O26" s="9">
        <f t="shared" si="2"/>
        <v>-26.3</v>
      </c>
      <c r="P26" s="8">
        <f>D26/B26*10^(O26/10)</f>
        <v>0.36726251440012081</v>
      </c>
      <c r="Q26" s="26">
        <f>SUM(P26:P31)</f>
        <v>2.2612032151124284</v>
      </c>
      <c r="R26" s="17">
        <f>10*LOG10(Q26)</f>
        <v>3.5433959429409279</v>
      </c>
      <c r="S26" s="18">
        <f>F26+N26-Kzt-H</f>
        <v>-60.632669412936849</v>
      </c>
      <c r="T26" s="17">
        <v>0.9</v>
      </c>
      <c r="U26" s="21">
        <f>T26*10^((S26-R26)/10)</f>
        <v>3.4406141717715147E-7</v>
      </c>
    </row>
    <row r="27" spans="1:21" x14ac:dyDescent="0.25">
      <c r="A27" s="24"/>
      <c r="B27" s="24"/>
      <c r="C27" s="17"/>
      <c r="D27" s="24"/>
      <c r="E27" s="24"/>
      <c r="F27" s="25"/>
      <c r="G27" s="1">
        <v>3425</v>
      </c>
      <c r="H27" s="2">
        <v>103.5</v>
      </c>
      <c r="I27" s="2">
        <v>-19.5</v>
      </c>
      <c r="J27" s="2">
        <v>-24.9</v>
      </c>
      <c r="K27" s="2">
        <f t="shared" si="0"/>
        <v>-19.5</v>
      </c>
      <c r="L27" s="8">
        <f t="shared" si="1"/>
        <v>5.0118723362727066E-13</v>
      </c>
      <c r="M27" s="26"/>
      <c r="N27" s="17"/>
      <c r="O27" s="9">
        <f t="shared" si="2"/>
        <v>-24.9</v>
      </c>
      <c r="P27" s="8">
        <f>D26/B26*10^(O27/10)</f>
        <v>0.50696339585641759</v>
      </c>
      <c r="Q27" s="26"/>
      <c r="R27" s="17"/>
      <c r="S27" s="19"/>
      <c r="T27" s="17"/>
      <c r="U27" s="22"/>
    </row>
    <row r="28" spans="1:21" x14ac:dyDescent="0.25">
      <c r="A28" s="24"/>
      <c r="B28" s="24"/>
      <c r="C28" s="17"/>
      <c r="D28" s="24"/>
      <c r="E28" s="24"/>
      <c r="F28" s="25"/>
      <c r="G28" s="1">
        <v>4025</v>
      </c>
      <c r="H28" s="2">
        <v>103.6</v>
      </c>
      <c r="I28" s="2">
        <v>-24.5</v>
      </c>
      <c r="J28" s="2">
        <v>-30.3</v>
      </c>
      <c r="K28" s="2">
        <f t="shared" si="0"/>
        <v>-24.5</v>
      </c>
      <c r="L28" s="8">
        <f t="shared" si="1"/>
        <v>1.5488166189124838E-13</v>
      </c>
      <c r="M28" s="26"/>
      <c r="N28" s="17"/>
      <c r="O28" s="9">
        <f t="shared" si="2"/>
        <v>-30.3</v>
      </c>
      <c r="P28" s="8">
        <f>D26/B26*10^(O28/10)</f>
        <v>0.14620984045819507</v>
      </c>
      <c r="Q28" s="26"/>
      <c r="R28" s="17"/>
      <c r="S28" s="19"/>
      <c r="T28" s="17"/>
      <c r="U28" s="22"/>
    </row>
    <row r="29" spans="1:21" x14ac:dyDescent="0.25">
      <c r="A29" s="24"/>
      <c r="B29" s="24"/>
      <c r="C29" s="17"/>
      <c r="D29" s="24"/>
      <c r="E29" s="24"/>
      <c r="F29" s="25"/>
      <c r="G29" s="1">
        <v>4625</v>
      </c>
      <c r="H29" s="2">
        <v>105.6</v>
      </c>
      <c r="I29" s="2">
        <v>-24.5</v>
      </c>
      <c r="J29" s="2">
        <v>-25.7</v>
      </c>
      <c r="K29" s="2">
        <f t="shared" si="0"/>
        <v>-24.5</v>
      </c>
      <c r="L29" s="8">
        <f t="shared" si="1"/>
        <v>9.772372209558072E-14</v>
      </c>
      <c r="M29" s="26"/>
      <c r="N29" s="17"/>
      <c r="O29" s="9">
        <f t="shared" si="2"/>
        <v>-25.7</v>
      </c>
      <c r="P29" s="8">
        <f>D26/B26*10^(O29/10)</f>
        <v>0.42167378594854998</v>
      </c>
      <c r="Q29" s="26"/>
      <c r="R29" s="17"/>
      <c r="S29" s="19"/>
      <c r="T29" s="17"/>
      <c r="U29" s="22"/>
    </row>
    <row r="30" spans="1:21" x14ac:dyDescent="0.25">
      <c r="A30" s="24"/>
      <c r="B30" s="24"/>
      <c r="C30" s="17"/>
      <c r="D30" s="24"/>
      <c r="E30" s="24"/>
      <c r="F30" s="25"/>
      <c r="G30" s="1">
        <v>5225</v>
      </c>
      <c r="H30" s="2">
        <v>103.5</v>
      </c>
      <c r="I30" s="2">
        <v>-21.4</v>
      </c>
      <c r="J30" s="2">
        <v>-26.7</v>
      </c>
      <c r="K30" s="2">
        <f t="shared" si="0"/>
        <v>-21.4</v>
      </c>
      <c r="L30" s="8">
        <f t="shared" si="1"/>
        <v>3.2359365692962775E-13</v>
      </c>
      <c r="M30" s="26"/>
      <c r="N30" s="17"/>
      <c r="O30" s="9">
        <f t="shared" si="2"/>
        <v>-26.7</v>
      </c>
      <c r="P30" s="8">
        <f>D26/B26*10^(O30/10)</f>
        <v>0.33494739402201629</v>
      </c>
      <c r="Q30" s="26"/>
      <c r="R30" s="17"/>
      <c r="S30" s="19"/>
      <c r="T30" s="17"/>
      <c r="U30" s="22"/>
    </row>
    <row r="31" spans="1:21" x14ac:dyDescent="0.25">
      <c r="A31" s="24"/>
      <c r="B31" s="24"/>
      <c r="C31" s="17"/>
      <c r="D31" s="24"/>
      <c r="E31" s="24"/>
      <c r="F31" s="25"/>
      <c r="G31" s="1">
        <v>5625</v>
      </c>
      <c r="H31" s="2">
        <v>99.5</v>
      </c>
      <c r="I31" s="2">
        <v>-24.3</v>
      </c>
      <c r="J31" s="2">
        <v>-25.1</v>
      </c>
      <c r="K31" s="2">
        <f t="shared" si="0"/>
        <v>-24.3</v>
      </c>
      <c r="L31" s="8">
        <f t="shared" si="1"/>
        <v>4.1686938347033585E-13</v>
      </c>
      <c r="M31" s="26"/>
      <c r="N31" s="17"/>
      <c r="O31" s="9">
        <f t="shared" si="2"/>
        <v>-25.1</v>
      </c>
      <c r="P31" s="8">
        <f>D26/B26*10^(O31/10)</f>
        <v>0.4841462844271287</v>
      </c>
      <c r="Q31" s="26"/>
      <c r="R31" s="17"/>
      <c r="S31" s="20"/>
      <c r="T31" s="17"/>
      <c r="U31" s="23"/>
    </row>
    <row r="32" spans="1:21" x14ac:dyDescent="0.25">
      <c r="A32" s="24">
        <v>8000</v>
      </c>
      <c r="B32" s="24">
        <v>3</v>
      </c>
      <c r="C32" s="17">
        <v>0.5</v>
      </c>
      <c r="D32" s="24">
        <v>943</v>
      </c>
      <c r="E32" s="24">
        <v>6</v>
      </c>
      <c r="F32" s="25">
        <v>54</v>
      </c>
      <c r="G32" s="1">
        <v>6025</v>
      </c>
      <c r="H32" s="2">
        <v>95</v>
      </c>
      <c r="I32" s="2">
        <v>-20.2</v>
      </c>
      <c r="J32" s="2">
        <v>-22</v>
      </c>
      <c r="K32" s="2">
        <f t="shared" si="0"/>
        <v>-20.2</v>
      </c>
      <c r="L32" s="8">
        <f t="shared" si="1"/>
        <v>3.0199517204020161E-12</v>
      </c>
      <c r="M32" s="26">
        <f>SUM(L32:L37)</f>
        <v>3.7186844842490359E-11</v>
      </c>
      <c r="N32" s="17">
        <f>10*LOG10(M32/E32)</f>
        <v>-112.07761918640031</v>
      </c>
      <c r="O32" s="9">
        <f t="shared" si="2"/>
        <v>-22</v>
      </c>
      <c r="P32" s="8">
        <f>D32/B32*10^(O32/10)</f>
        <v>1.9833092528160716</v>
      </c>
      <c r="Q32" s="26">
        <f>SUM(P32:P37)</f>
        <v>5.3673786924241798</v>
      </c>
      <c r="R32" s="17">
        <f>10*LOG10(Q32)</f>
        <v>7.2976223777412121</v>
      </c>
      <c r="S32" s="18">
        <f>F32+N32-Kzt-H</f>
        <v>-58.077619186400312</v>
      </c>
      <c r="T32" s="17">
        <v>0.7</v>
      </c>
      <c r="U32" s="21">
        <f>T32*10^((S32-R32)/10)</f>
        <v>2.030363902639053E-7</v>
      </c>
    </row>
    <row r="33" spans="1:21" x14ac:dyDescent="0.25">
      <c r="A33" s="24"/>
      <c r="B33" s="24"/>
      <c r="C33" s="17"/>
      <c r="D33" s="24"/>
      <c r="E33" s="24"/>
      <c r="F33" s="25"/>
      <c r="G33" s="1">
        <v>7025</v>
      </c>
      <c r="H33" s="2">
        <v>94.8</v>
      </c>
      <c r="I33" s="2">
        <v>-21.5</v>
      </c>
      <c r="J33" s="2">
        <v>-24.9</v>
      </c>
      <c r="K33" s="2">
        <f t="shared" si="0"/>
        <v>-21.5</v>
      </c>
      <c r="L33" s="8">
        <f t="shared" si="1"/>
        <v>2.3442288153199247E-12</v>
      </c>
      <c r="M33" s="26"/>
      <c r="N33" s="17"/>
      <c r="O33" s="9">
        <f t="shared" si="2"/>
        <v>-24.9</v>
      </c>
      <c r="P33" s="8">
        <f>D32/B32*10^(O33/10)</f>
        <v>1.0171627282821314</v>
      </c>
      <c r="Q33" s="26"/>
      <c r="R33" s="17"/>
      <c r="S33" s="19"/>
      <c r="T33" s="17"/>
      <c r="U33" s="22"/>
    </row>
    <row r="34" spans="1:21" x14ac:dyDescent="0.25">
      <c r="A34" s="24"/>
      <c r="B34" s="24"/>
      <c r="C34" s="17"/>
      <c r="D34" s="24"/>
      <c r="E34" s="24"/>
      <c r="F34" s="25"/>
      <c r="G34" s="1">
        <v>8025</v>
      </c>
      <c r="H34" s="2">
        <v>101.9</v>
      </c>
      <c r="I34" s="2">
        <v>-22.6</v>
      </c>
      <c r="J34" s="2">
        <v>-24.9</v>
      </c>
      <c r="K34" s="2">
        <f t="shared" si="0"/>
        <v>-22.6</v>
      </c>
      <c r="L34" s="8">
        <f t="shared" si="1"/>
        <v>3.5481338923357479E-13</v>
      </c>
      <c r="M34" s="26"/>
      <c r="N34" s="17"/>
      <c r="O34" s="9">
        <f t="shared" si="2"/>
        <v>-24.9</v>
      </c>
      <c r="P34" s="8">
        <f>D32/B32*10^(O34/10)</f>
        <v>1.0171627282821314</v>
      </c>
      <c r="Q34" s="26"/>
      <c r="R34" s="17"/>
      <c r="S34" s="19"/>
      <c r="T34" s="17"/>
      <c r="U34" s="22"/>
    </row>
    <row r="35" spans="1:21" x14ac:dyDescent="0.25">
      <c r="A35" s="24"/>
      <c r="B35" s="24"/>
      <c r="C35" s="17"/>
      <c r="D35" s="24"/>
      <c r="E35" s="24"/>
      <c r="F35" s="25"/>
      <c r="G35" s="1">
        <v>9025</v>
      </c>
      <c r="H35" s="2">
        <v>93.2</v>
      </c>
      <c r="I35" s="2">
        <v>-23.5</v>
      </c>
      <c r="J35" s="2">
        <v>-32.4</v>
      </c>
      <c r="K35" s="2">
        <f t="shared" si="0"/>
        <v>-23.5</v>
      </c>
      <c r="L35" s="8">
        <f t="shared" si="1"/>
        <v>2.1379620895022273E-12</v>
      </c>
      <c r="M35" s="26"/>
      <c r="N35" s="17"/>
      <c r="O35" s="9">
        <f t="shared" si="2"/>
        <v>-32.4</v>
      </c>
      <c r="P35" s="8">
        <f>D32/B32*10^(O35/10)</f>
        <v>0.18087995363631296</v>
      </c>
      <c r="Q35" s="26"/>
      <c r="R35" s="17"/>
      <c r="S35" s="19"/>
      <c r="T35" s="17"/>
      <c r="U35" s="22"/>
    </row>
    <row r="36" spans="1:21" x14ac:dyDescent="0.25">
      <c r="A36" s="24"/>
      <c r="B36" s="24"/>
      <c r="C36" s="17"/>
      <c r="D36" s="24"/>
      <c r="E36" s="24"/>
      <c r="F36" s="25"/>
      <c r="G36" s="1">
        <v>10025</v>
      </c>
      <c r="H36" s="2">
        <v>88.3</v>
      </c>
      <c r="I36" s="2">
        <v>-22.2</v>
      </c>
      <c r="J36" s="2">
        <v>-29.4</v>
      </c>
      <c r="K36" s="2">
        <f t="shared" si="0"/>
        <v>-22.2</v>
      </c>
      <c r="L36" s="8">
        <f t="shared" si="1"/>
        <v>8.9125093813374152E-12</v>
      </c>
      <c r="M36" s="26"/>
      <c r="N36" s="17"/>
      <c r="O36" s="9">
        <f t="shared" si="2"/>
        <v>-29.4</v>
      </c>
      <c r="P36" s="8">
        <f>D32/B32*10^(O36/10)</f>
        <v>0.36090295502385339</v>
      </c>
      <c r="Q36" s="26"/>
      <c r="R36" s="17"/>
      <c r="S36" s="19"/>
      <c r="T36" s="17"/>
      <c r="U36" s="22"/>
    </row>
    <row r="37" spans="1:21" x14ac:dyDescent="0.25">
      <c r="A37" s="24"/>
      <c r="B37" s="24"/>
      <c r="C37" s="17"/>
      <c r="D37" s="24"/>
      <c r="E37" s="24"/>
      <c r="F37" s="25"/>
      <c r="G37" s="1">
        <v>11025</v>
      </c>
      <c r="H37" s="2">
        <v>86</v>
      </c>
      <c r="I37" s="2">
        <v>-20.9</v>
      </c>
      <c r="J37" s="2">
        <v>-25.9</v>
      </c>
      <c r="K37" s="2">
        <f t="shared" si="0"/>
        <v>-20.9</v>
      </c>
      <c r="L37" s="8">
        <f t="shared" si="1"/>
        <v>2.04173794466952E-11</v>
      </c>
      <c r="M37" s="26"/>
      <c r="N37" s="17"/>
      <c r="O37" s="9">
        <f t="shared" si="2"/>
        <v>-25.9</v>
      </c>
      <c r="P37" s="8">
        <f>D32/B32*10^(O37/10)</f>
        <v>0.80796107438367948</v>
      </c>
      <c r="Q37" s="26"/>
      <c r="R37" s="17"/>
      <c r="S37" s="20"/>
      <c r="T37" s="17"/>
      <c r="U37" s="23"/>
    </row>
    <row r="38" spans="1:21" x14ac:dyDescent="0.25">
      <c r="A38" s="24" t="s">
        <v>20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12">
        <f>U38</f>
        <v>5.4589079726176895E-2</v>
      </c>
      <c r="T38" s="2"/>
      <c r="U38" s="8">
        <f>0.8*SQRT(SUM(U4:U37))</f>
        <v>5.4589079726176895E-2</v>
      </c>
    </row>
    <row r="39" spans="1:21" x14ac:dyDescent="0.25">
      <c r="A39" s="27" t="s">
        <v>93</v>
      </c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9"/>
    </row>
    <row r="40" spans="1:21" x14ac:dyDescent="0.25">
      <c r="A40" s="24">
        <v>250</v>
      </c>
      <c r="B40" s="24">
        <v>3</v>
      </c>
      <c r="C40" s="17">
        <v>0.5</v>
      </c>
      <c r="D40" s="24">
        <v>38</v>
      </c>
      <c r="E40" s="24">
        <v>4</v>
      </c>
      <c r="F40" s="25">
        <v>84</v>
      </c>
      <c r="G40" s="1">
        <v>175</v>
      </c>
      <c r="H40" s="2">
        <v>84.8</v>
      </c>
      <c r="I40" s="2">
        <v>-17.600000000000001</v>
      </c>
      <c r="J40" s="2">
        <v>-22.2</v>
      </c>
      <c r="K40" s="2">
        <f>I40</f>
        <v>-17.600000000000001</v>
      </c>
      <c r="L40" s="8">
        <f>10^((K40-H40)/10)</f>
        <v>5.7543993733715601E-11</v>
      </c>
      <c r="M40" s="26">
        <f>SUM(L40:L43)</f>
        <v>8.7322536363824877E-11</v>
      </c>
      <c r="N40" s="17">
        <f>10*LOG10(M40/E40)</f>
        <v>-106.60933649622793</v>
      </c>
      <c r="O40" s="9">
        <f>J40</f>
        <v>-22.2</v>
      </c>
      <c r="P40" s="8">
        <f>D40/B40*10^(O40/10)</f>
        <v>7.6324214236085305E-2</v>
      </c>
      <c r="Q40" s="26">
        <f>SUM(P40:P43)</f>
        <v>0.17277273037238833</v>
      </c>
      <c r="R40" s="17">
        <f>10*LOG10(Q40)</f>
        <v>-7.6252480342756215</v>
      </c>
      <c r="S40" s="18">
        <f>F40+N40-Kzt-H</f>
        <v>-22.609336496227925</v>
      </c>
      <c r="T40" s="17">
        <v>0.2</v>
      </c>
      <c r="U40" s="21">
        <f>T40*10^((S40-R40)/10)</f>
        <v>6.3477695173459123E-3</v>
      </c>
    </row>
    <row r="41" spans="1:21" x14ac:dyDescent="0.25">
      <c r="A41" s="24"/>
      <c r="B41" s="24"/>
      <c r="C41" s="17"/>
      <c r="D41" s="24"/>
      <c r="E41" s="24"/>
      <c r="F41" s="25"/>
      <c r="G41" s="1">
        <v>225</v>
      </c>
      <c r="H41" s="2">
        <v>90</v>
      </c>
      <c r="I41" s="2">
        <v>-16.899999999999999</v>
      </c>
      <c r="J41" s="2">
        <v>-28.1</v>
      </c>
      <c r="K41" s="2">
        <f t="shared" ref="K41:K73" si="3">I41</f>
        <v>-16.899999999999999</v>
      </c>
      <c r="L41" s="8">
        <f t="shared" ref="L41:L42" si="4">10^((K41-H41)/10)</f>
        <v>2.04173794466952E-11</v>
      </c>
      <c r="M41" s="26"/>
      <c r="N41" s="17"/>
      <c r="O41" s="9">
        <f t="shared" ref="O41:O73" si="5">J41</f>
        <v>-28.1</v>
      </c>
      <c r="P41" s="8">
        <f>D40/B40*10^(O41/10)</f>
        <v>1.9618343839558083E-2</v>
      </c>
      <c r="Q41" s="26"/>
      <c r="R41" s="17"/>
      <c r="S41" s="19"/>
      <c r="T41" s="17"/>
      <c r="U41" s="22"/>
    </row>
    <row r="42" spans="1:21" x14ac:dyDescent="0.25">
      <c r="A42" s="24"/>
      <c r="B42" s="24"/>
      <c r="C42" s="17"/>
      <c r="D42" s="24"/>
      <c r="E42" s="24"/>
      <c r="F42" s="25"/>
      <c r="G42" s="1">
        <v>275</v>
      </c>
      <c r="H42" s="2">
        <v>92.2</v>
      </c>
      <c r="I42" s="2">
        <v>-19.600000000000001</v>
      </c>
      <c r="J42" s="2">
        <v>-24.8</v>
      </c>
      <c r="K42" s="2">
        <f t="shared" si="3"/>
        <v>-19.600000000000001</v>
      </c>
      <c r="L42" s="8">
        <f t="shared" si="4"/>
        <v>6.6069344800759144E-12</v>
      </c>
      <c r="M42" s="26"/>
      <c r="N42" s="17"/>
      <c r="O42" s="9">
        <f t="shared" si="5"/>
        <v>-24.8</v>
      </c>
      <c r="P42" s="8">
        <f>D40/B40*10^(O42/10)</f>
        <v>4.1943275387794861E-2</v>
      </c>
      <c r="Q42" s="26"/>
      <c r="R42" s="17"/>
      <c r="S42" s="19"/>
      <c r="T42" s="17"/>
      <c r="U42" s="22"/>
    </row>
    <row r="43" spans="1:21" x14ac:dyDescent="0.25">
      <c r="A43" s="24"/>
      <c r="B43" s="24"/>
      <c r="C43" s="17"/>
      <c r="D43" s="24"/>
      <c r="E43" s="24"/>
      <c r="F43" s="25"/>
      <c r="G43" s="1">
        <v>325</v>
      </c>
      <c r="H43" s="2">
        <v>93.3</v>
      </c>
      <c r="I43" s="2">
        <v>-22.3</v>
      </c>
      <c r="J43" s="2">
        <v>-25.6</v>
      </c>
      <c r="K43" s="2">
        <f t="shared" si="3"/>
        <v>-22.3</v>
      </c>
      <c r="L43" s="8">
        <f>10^((K43-H43)/10)</f>
        <v>2.7542287033381671E-12</v>
      </c>
      <c r="M43" s="26"/>
      <c r="N43" s="17"/>
      <c r="O43" s="9">
        <f t="shared" si="5"/>
        <v>-25.6</v>
      </c>
      <c r="P43" s="8">
        <f>D40/B40*10^(O43/10)</f>
        <v>3.4886896908950089E-2</v>
      </c>
      <c r="Q43" s="26"/>
      <c r="R43" s="17"/>
      <c r="S43" s="20"/>
      <c r="T43" s="17"/>
      <c r="U43" s="23"/>
    </row>
    <row r="44" spans="1:21" x14ac:dyDescent="0.25">
      <c r="A44" s="24">
        <v>500</v>
      </c>
      <c r="B44" s="24">
        <v>3</v>
      </c>
      <c r="C44" s="17">
        <v>0.5</v>
      </c>
      <c r="D44" s="24">
        <v>59</v>
      </c>
      <c r="E44" s="24">
        <v>6</v>
      </c>
      <c r="F44" s="25">
        <v>84</v>
      </c>
      <c r="G44" s="1">
        <v>375</v>
      </c>
      <c r="H44" s="2">
        <v>91.9</v>
      </c>
      <c r="I44" s="2">
        <v>-19.3</v>
      </c>
      <c r="J44" s="2">
        <v>-28</v>
      </c>
      <c r="K44" s="2">
        <f t="shared" si="3"/>
        <v>-19.3</v>
      </c>
      <c r="L44" s="8">
        <f t="shared" ref="L44:L45" si="6">10^((K44-H44)/10)</f>
        <v>7.5857757502918081E-12</v>
      </c>
      <c r="M44" s="26">
        <f>SUM(L44:L49)</f>
        <v>3.2090265065097635E-11</v>
      </c>
      <c r="N44" s="17">
        <f>10*LOG10(M44/E44)</f>
        <v>-112.71777946007559</v>
      </c>
      <c r="O44" s="9">
        <f t="shared" si="5"/>
        <v>-28</v>
      </c>
      <c r="P44" s="8">
        <f>D44/B44*10^(O44/10)</f>
        <v>3.1169566118401899E-2</v>
      </c>
      <c r="Q44" s="26">
        <f>SUM(P44:P49)</f>
        <v>0.31079937164329152</v>
      </c>
      <c r="R44" s="17">
        <f>10*LOG10(Q44)</f>
        <v>-5.0751986790242007</v>
      </c>
      <c r="S44" s="18">
        <f>F44+N44-Kzt-H</f>
        <v>-28.71777946007559</v>
      </c>
      <c r="T44" s="17">
        <v>0.5</v>
      </c>
      <c r="U44" s="21">
        <f>T44*10^((S44-R44)/10)</f>
        <v>2.1612844371373262E-3</v>
      </c>
    </row>
    <row r="45" spans="1:21" x14ac:dyDescent="0.25">
      <c r="A45" s="24"/>
      <c r="B45" s="24"/>
      <c r="C45" s="17"/>
      <c r="D45" s="24"/>
      <c r="E45" s="24"/>
      <c r="F45" s="25"/>
      <c r="G45" s="1">
        <v>425</v>
      </c>
      <c r="H45" s="2">
        <v>88.1</v>
      </c>
      <c r="I45" s="2">
        <v>-21.4</v>
      </c>
      <c r="J45" s="2">
        <v>-29.7</v>
      </c>
      <c r="K45" s="2">
        <f t="shared" si="3"/>
        <v>-21.4</v>
      </c>
      <c r="L45" s="8">
        <f t="shared" si="6"/>
        <v>1.1220184543019613E-11</v>
      </c>
      <c r="M45" s="26"/>
      <c r="N45" s="17"/>
      <c r="O45" s="9">
        <f t="shared" si="5"/>
        <v>-29.7</v>
      </c>
      <c r="P45" s="8">
        <f>D44/B44*10^(O45/10)</f>
        <v>2.1073213003006259E-2</v>
      </c>
      <c r="Q45" s="26"/>
      <c r="R45" s="17"/>
      <c r="S45" s="19"/>
      <c r="T45" s="17"/>
      <c r="U45" s="22"/>
    </row>
    <row r="46" spans="1:21" x14ac:dyDescent="0.25">
      <c r="A46" s="24"/>
      <c r="B46" s="24"/>
      <c r="C46" s="17"/>
      <c r="D46" s="24"/>
      <c r="E46" s="24"/>
      <c r="F46" s="25"/>
      <c r="G46" s="1">
        <v>475</v>
      </c>
      <c r="H46" s="2">
        <v>90</v>
      </c>
      <c r="I46" s="2">
        <v>-21.6</v>
      </c>
      <c r="J46" s="2">
        <v>-24</v>
      </c>
      <c r="K46" s="2">
        <f t="shared" si="3"/>
        <v>-21.6</v>
      </c>
      <c r="L46" s="8">
        <f>10^((K46-H46)/10)</f>
        <v>6.9183097091893405E-12</v>
      </c>
      <c r="M46" s="26"/>
      <c r="N46" s="17"/>
      <c r="O46" s="9">
        <f t="shared" si="5"/>
        <v>-24</v>
      </c>
      <c r="P46" s="8">
        <f>D44/B44*10^(O46/10)</f>
        <v>7.8294410208854442E-2</v>
      </c>
      <c r="Q46" s="26"/>
      <c r="R46" s="17"/>
      <c r="S46" s="19"/>
      <c r="T46" s="17"/>
      <c r="U46" s="22"/>
    </row>
    <row r="47" spans="1:21" x14ac:dyDescent="0.25">
      <c r="A47" s="24"/>
      <c r="B47" s="24"/>
      <c r="C47" s="17"/>
      <c r="D47" s="24"/>
      <c r="E47" s="24"/>
      <c r="F47" s="25"/>
      <c r="G47" s="1">
        <v>575</v>
      </c>
      <c r="H47" s="2">
        <v>97</v>
      </c>
      <c r="I47" s="2">
        <v>-24.6</v>
      </c>
      <c r="J47" s="2">
        <v>-25</v>
      </c>
      <c r="K47" s="2">
        <f t="shared" si="3"/>
        <v>-24.6</v>
      </c>
      <c r="L47" s="8">
        <f t="shared" ref="L47:L73" si="7">10^((K47-H47)/10)</f>
        <v>6.9183097091893335E-13</v>
      </c>
      <c r="M47" s="26"/>
      <c r="N47" s="17"/>
      <c r="O47" s="9">
        <f t="shared" si="5"/>
        <v>-25</v>
      </c>
      <c r="P47" s="8">
        <f>D44/B44*10^(O47/10)</f>
        <v>6.2191460649978075E-2</v>
      </c>
      <c r="Q47" s="26"/>
      <c r="R47" s="17"/>
      <c r="S47" s="19"/>
      <c r="T47" s="17"/>
      <c r="U47" s="22"/>
    </row>
    <row r="48" spans="1:21" x14ac:dyDescent="0.25">
      <c r="A48" s="24"/>
      <c r="B48" s="24"/>
      <c r="C48" s="17"/>
      <c r="D48" s="24"/>
      <c r="E48" s="24"/>
      <c r="F48" s="25"/>
      <c r="G48" s="1">
        <v>625</v>
      </c>
      <c r="H48" s="2">
        <v>92</v>
      </c>
      <c r="I48" s="2">
        <v>-23</v>
      </c>
      <c r="J48" s="2">
        <v>-27.6</v>
      </c>
      <c r="K48" s="2">
        <f t="shared" si="3"/>
        <v>-23</v>
      </c>
      <c r="L48" s="8">
        <f t="shared" si="7"/>
        <v>3.1622776601683669E-12</v>
      </c>
      <c r="M48" s="26"/>
      <c r="N48" s="17"/>
      <c r="O48" s="9">
        <f t="shared" si="5"/>
        <v>-27.6</v>
      </c>
      <c r="P48" s="8">
        <f>D44/B44*10^(O48/10)</f>
        <v>3.4176749632071013E-2</v>
      </c>
      <c r="Q48" s="26"/>
      <c r="R48" s="17"/>
      <c r="S48" s="19"/>
      <c r="T48" s="17"/>
      <c r="U48" s="22"/>
    </row>
    <row r="49" spans="1:21" x14ac:dyDescent="0.25">
      <c r="A49" s="24"/>
      <c r="B49" s="24"/>
      <c r="C49" s="17"/>
      <c r="D49" s="24"/>
      <c r="E49" s="24"/>
      <c r="F49" s="25"/>
      <c r="G49" s="1">
        <v>675</v>
      </c>
      <c r="H49" s="2">
        <v>94.5</v>
      </c>
      <c r="I49" s="2">
        <v>-21.5</v>
      </c>
      <c r="J49" s="2">
        <v>-23.7</v>
      </c>
      <c r="K49" s="2">
        <f t="shared" si="3"/>
        <v>-21.5</v>
      </c>
      <c r="L49" s="8">
        <f t="shared" si="7"/>
        <v>2.5118864315095726E-12</v>
      </c>
      <c r="M49" s="26"/>
      <c r="N49" s="17"/>
      <c r="O49" s="9">
        <f t="shared" si="5"/>
        <v>-23.7</v>
      </c>
      <c r="P49" s="8">
        <f>D44/B44*10^(O49/10)</f>
        <v>8.3893972030979869E-2</v>
      </c>
      <c r="Q49" s="26"/>
      <c r="R49" s="17"/>
      <c r="S49" s="20"/>
      <c r="T49" s="17"/>
      <c r="U49" s="23"/>
    </row>
    <row r="50" spans="1:21" x14ac:dyDescent="0.25">
      <c r="A50" s="24">
        <v>1000</v>
      </c>
      <c r="B50" s="24">
        <v>3</v>
      </c>
      <c r="C50" s="17">
        <v>0.5</v>
      </c>
      <c r="D50" s="24">
        <v>117</v>
      </c>
      <c r="E50" s="24">
        <v>6</v>
      </c>
      <c r="F50" s="25">
        <v>76</v>
      </c>
      <c r="G50" s="1">
        <v>875</v>
      </c>
      <c r="H50" s="2">
        <v>91.1</v>
      </c>
      <c r="I50" s="2">
        <v>-21.3</v>
      </c>
      <c r="J50" s="2">
        <v>-27</v>
      </c>
      <c r="K50" s="2">
        <f t="shared" si="3"/>
        <v>-21.3</v>
      </c>
      <c r="L50" s="8">
        <f t="shared" si="7"/>
        <v>5.754399373371574E-12</v>
      </c>
      <c r="M50" s="26">
        <f>SUM(L50:L55)</f>
        <v>1.1658243809946062E-11</v>
      </c>
      <c r="N50" s="17">
        <f>10*LOG10(M50/E50)</f>
        <v>-117.11518116864019</v>
      </c>
      <c r="O50" s="9">
        <f t="shared" si="5"/>
        <v>-27</v>
      </c>
      <c r="P50" s="8">
        <f>D50/B50*10^(O50/10)</f>
        <v>7.7815230283786244E-2</v>
      </c>
      <c r="Q50" s="26">
        <f>SUM(P50:P55)</f>
        <v>0.5271796487231819</v>
      </c>
      <c r="R50" s="17">
        <f>10*LOG10(Q50)</f>
        <v>-2.7804136362235381</v>
      </c>
      <c r="S50" s="18">
        <f>F50+N50-Kzt-H</f>
        <v>-41.115181168640191</v>
      </c>
      <c r="T50" s="17">
        <v>0.8</v>
      </c>
      <c r="U50" s="21">
        <f>T50*10^((S50-R50)/10)</f>
        <v>1.1738517013549111E-4</v>
      </c>
    </row>
    <row r="51" spans="1:21" x14ac:dyDescent="0.25">
      <c r="A51" s="24"/>
      <c r="B51" s="24"/>
      <c r="C51" s="17"/>
      <c r="D51" s="24"/>
      <c r="E51" s="24"/>
      <c r="F51" s="25"/>
      <c r="G51" s="1">
        <v>975</v>
      </c>
      <c r="H51" s="2">
        <v>96.5</v>
      </c>
      <c r="I51" s="2">
        <v>-21.8</v>
      </c>
      <c r="J51" s="2">
        <v>-29.6</v>
      </c>
      <c r="K51" s="2">
        <f t="shared" si="3"/>
        <v>-21.8</v>
      </c>
      <c r="L51" s="8">
        <f t="shared" si="7"/>
        <v>1.4791083881682012E-12</v>
      </c>
      <c r="M51" s="26"/>
      <c r="N51" s="17"/>
      <c r="O51" s="9">
        <f t="shared" si="5"/>
        <v>-29.6</v>
      </c>
      <c r="P51" s="8">
        <f>D50/B50*10^(O51/10)</f>
        <v>4.2762649649584213E-2</v>
      </c>
      <c r="Q51" s="26"/>
      <c r="R51" s="17"/>
      <c r="S51" s="19"/>
      <c r="T51" s="17"/>
      <c r="U51" s="22"/>
    </row>
    <row r="52" spans="1:21" x14ac:dyDescent="0.25">
      <c r="A52" s="24"/>
      <c r="B52" s="24"/>
      <c r="C52" s="17"/>
      <c r="D52" s="24"/>
      <c r="E52" s="24"/>
      <c r="F52" s="25"/>
      <c r="G52" s="1">
        <v>1075</v>
      </c>
      <c r="H52" s="2">
        <v>94.6</v>
      </c>
      <c r="I52" s="2">
        <v>-20.5</v>
      </c>
      <c r="J52" s="2">
        <v>-27.9</v>
      </c>
      <c r="K52" s="2">
        <f t="shared" si="3"/>
        <v>-20.5</v>
      </c>
      <c r="L52" s="8">
        <f t="shared" si="7"/>
        <v>3.0902954325135792E-12</v>
      </c>
      <c r="M52" s="26"/>
      <c r="N52" s="17"/>
      <c r="O52" s="9">
        <f t="shared" si="5"/>
        <v>-27.9</v>
      </c>
      <c r="P52" s="8">
        <f>D50/B50*10^(O52/10)</f>
        <v>6.3250593796998211E-2</v>
      </c>
      <c r="Q52" s="26"/>
      <c r="R52" s="17"/>
      <c r="S52" s="19"/>
      <c r="T52" s="17"/>
      <c r="U52" s="22"/>
    </row>
    <row r="53" spans="1:21" x14ac:dyDescent="0.25">
      <c r="A53" s="24"/>
      <c r="B53" s="24"/>
      <c r="C53" s="17"/>
      <c r="D53" s="24"/>
      <c r="E53" s="24"/>
      <c r="F53" s="25"/>
      <c r="G53" s="1">
        <v>1175</v>
      </c>
      <c r="H53" s="2">
        <v>97.8</v>
      </c>
      <c r="I53" s="2">
        <v>-27.5</v>
      </c>
      <c r="J53" s="2">
        <v>-28.7</v>
      </c>
      <c r="K53" s="2">
        <f t="shared" si="3"/>
        <v>-27.5</v>
      </c>
      <c r="L53" s="8">
        <f t="shared" si="7"/>
        <v>2.9512092266663824E-13</v>
      </c>
      <c r="M53" s="26"/>
      <c r="N53" s="17"/>
      <c r="O53" s="9">
        <f t="shared" si="5"/>
        <v>-28.7</v>
      </c>
      <c r="P53" s="8">
        <f>D50/B50*10^(O53/10)</f>
        <v>5.2609552421074443E-2</v>
      </c>
      <c r="Q53" s="26"/>
      <c r="R53" s="17"/>
      <c r="S53" s="19"/>
      <c r="T53" s="17"/>
      <c r="U53" s="22"/>
    </row>
    <row r="54" spans="1:21" x14ac:dyDescent="0.25">
      <c r="A54" s="24"/>
      <c r="B54" s="24"/>
      <c r="C54" s="17"/>
      <c r="D54" s="24"/>
      <c r="E54" s="24"/>
      <c r="F54" s="25"/>
      <c r="G54" s="1">
        <v>1275</v>
      </c>
      <c r="H54" s="2">
        <v>100.1</v>
      </c>
      <c r="I54" s="2">
        <v>-22.5</v>
      </c>
      <c r="J54" s="2">
        <v>-25.4</v>
      </c>
      <c r="K54" s="2">
        <f t="shared" si="3"/>
        <v>-22.5</v>
      </c>
      <c r="L54" s="8">
        <f t="shared" si="7"/>
        <v>5.4954087385762248E-13</v>
      </c>
      <c r="M54" s="26"/>
      <c r="N54" s="17"/>
      <c r="O54" s="9">
        <f t="shared" si="5"/>
        <v>-25.4</v>
      </c>
      <c r="P54" s="8">
        <f>D50/B50*10^(O54/10)</f>
        <v>0.11247722862193757</v>
      </c>
      <c r="Q54" s="26"/>
      <c r="R54" s="17"/>
      <c r="S54" s="19"/>
      <c r="T54" s="17"/>
      <c r="U54" s="22"/>
    </row>
    <row r="55" spans="1:21" x14ac:dyDescent="0.25">
      <c r="A55" s="24"/>
      <c r="B55" s="24"/>
      <c r="C55" s="17"/>
      <c r="D55" s="24"/>
      <c r="E55" s="24"/>
      <c r="F55" s="25"/>
      <c r="G55" s="1">
        <v>1375</v>
      </c>
      <c r="H55" s="2">
        <v>103</v>
      </c>
      <c r="I55" s="2">
        <v>-20.100000000000001</v>
      </c>
      <c r="J55" s="2">
        <v>-23.4</v>
      </c>
      <c r="K55" s="2">
        <f t="shared" si="3"/>
        <v>-20.100000000000001</v>
      </c>
      <c r="L55" s="8">
        <f t="shared" si="7"/>
        <v>4.8977881936844633E-13</v>
      </c>
      <c r="M55" s="26"/>
      <c r="N55" s="17"/>
      <c r="O55" s="9">
        <f t="shared" si="5"/>
        <v>-23.4</v>
      </c>
      <c r="P55" s="8">
        <f>D50/B50*10^(O55/10)</f>
        <v>0.17826439394980126</v>
      </c>
      <c r="Q55" s="26"/>
      <c r="R55" s="17"/>
      <c r="S55" s="20"/>
      <c r="T55" s="17"/>
      <c r="U55" s="23"/>
    </row>
    <row r="56" spans="1:21" x14ac:dyDescent="0.25">
      <c r="A56" s="24">
        <v>2000</v>
      </c>
      <c r="B56" s="24">
        <v>3</v>
      </c>
      <c r="C56" s="17">
        <v>0.5</v>
      </c>
      <c r="D56" s="24">
        <v>234</v>
      </c>
      <c r="E56" s="24">
        <v>6</v>
      </c>
      <c r="F56" s="25">
        <v>68</v>
      </c>
      <c r="G56" s="1">
        <v>1425</v>
      </c>
      <c r="H56" s="2">
        <v>102.8</v>
      </c>
      <c r="I56" s="2">
        <v>-23.9</v>
      </c>
      <c r="J56" s="2">
        <v>-33.5</v>
      </c>
      <c r="K56" s="2">
        <f t="shared" si="3"/>
        <v>-23.9</v>
      </c>
      <c r="L56" s="8">
        <f t="shared" si="7"/>
        <v>2.1379620895022328E-13</v>
      </c>
      <c r="M56" s="26">
        <f>SUM(L56:L61)</f>
        <v>3.8693325481185723E-12</v>
      </c>
      <c r="N56" s="17">
        <f>10*LOG10(M56/E56)</f>
        <v>-121.90515193806243</v>
      </c>
      <c r="O56" s="9">
        <f t="shared" si="5"/>
        <v>-33.5</v>
      </c>
      <c r="P56" s="8">
        <f>D56/B56*10^(O56/10)</f>
        <v>3.4841320187775089E-2</v>
      </c>
      <c r="Q56" s="26">
        <f>SUM(P56:P61)</f>
        <v>0.80630026895333795</v>
      </c>
      <c r="R56" s="17">
        <f>10*LOG10(Q56)</f>
        <v>-0.93503195335297784</v>
      </c>
      <c r="S56" s="18">
        <f>F56+N56-Kzt-H</f>
        <v>-53.905151938062431</v>
      </c>
      <c r="T56" s="17">
        <v>1</v>
      </c>
      <c r="U56" s="21">
        <f>T56*10^((S56-R56)/10)</f>
        <v>5.0464735522595543E-6</v>
      </c>
    </row>
    <row r="57" spans="1:21" x14ac:dyDescent="0.25">
      <c r="A57" s="24"/>
      <c r="B57" s="24"/>
      <c r="C57" s="17"/>
      <c r="D57" s="24"/>
      <c r="E57" s="24"/>
      <c r="F57" s="25"/>
      <c r="G57" s="1">
        <v>1625</v>
      </c>
      <c r="H57" s="2">
        <v>104.1</v>
      </c>
      <c r="I57" s="2">
        <v>-22.7</v>
      </c>
      <c r="J57" s="2">
        <v>-25.6</v>
      </c>
      <c r="K57" s="2">
        <f t="shared" si="3"/>
        <v>-22.7</v>
      </c>
      <c r="L57" s="8">
        <f t="shared" si="7"/>
        <v>2.0892961308540331E-13</v>
      </c>
      <c r="M57" s="26"/>
      <c r="N57" s="17"/>
      <c r="O57" s="9">
        <f t="shared" si="5"/>
        <v>-25.6</v>
      </c>
      <c r="P57" s="8">
        <f>D56/B56*10^(O57/10)</f>
        <v>0.21482983886037688</v>
      </c>
      <c r="Q57" s="26"/>
      <c r="R57" s="17"/>
      <c r="S57" s="19"/>
      <c r="T57" s="17"/>
      <c r="U57" s="22"/>
    </row>
    <row r="58" spans="1:21" x14ac:dyDescent="0.25">
      <c r="A58" s="24"/>
      <c r="B58" s="24"/>
      <c r="C58" s="17"/>
      <c r="D58" s="24"/>
      <c r="E58" s="24"/>
      <c r="F58" s="25"/>
      <c r="G58" s="1">
        <v>1825</v>
      </c>
      <c r="H58" s="2">
        <v>107.6</v>
      </c>
      <c r="I58" s="2">
        <v>-22.4</v>
      </c>
      <c r="J58" s="2">
        <v>-29.2</v>
      </c>
      <c r="K58" s="2">
        <f t="shared" si="3"/>
        <v>-22.4</v>
      </c>
      <c r="L58" s="8">
        <f t="shared" si="7"/>
        <v>1E-13</v>
      </c>
      <c r="M58" s="26"/>
      <c r="N58" s="17"/>
      <c r="O58" s="9">
        <f t="shared" si="5"/>
        <v>-29.2</v>
      </c>
      <c r="P58" s="8">
        <f>D56/B56*10^(O58/10)</f>
        <v>9.3776625900158159E-2</v>
      </c>
      <c r="Q58" s="26"/>
      <c r="R58" s="17"/>
      <c r="S58" s="19"/>
      <c r="T58" s="17"/>
      <c r="U58" s="22"/>
    </row>
    <row r="59" spans="1:21" x14ac:dyDescent="0.25">
      <c r="A59" s="24"/>
      <c r="B59" s="24"/>
      <c r="C59" s="17"/>
      <c r="D59" s="24"/>
      <c r="E59" s="24"/>
      <c r="F59" s="25"/>
      <c r="G59" s="1">
        <v>2125</v>
      </c>
      <c r="H59" s="2">
        <v>104.2</v>
      </c>
      <c r="I59" s="2">
        <v>-20.8</v>
      </c>
      <c r="J59" s="2">
        <v>-28.6</v>
      </c>
      <c r="K59" s="2">
        <f t="shared" si="3"/>
        <v>-20.8</v>
      </c>
      <c r="L59" s="8">
        <f t="shared" si="7"/>
        <v>3.1622776601683746E-13</v>
      </c>
      <c r="M59" s="26"/>
      <c r="N59" s="17"/>
      <c r="O59" s="9">
        <f t="shared" si="5"/>
        <v>-28.6</v>
      </c>
      <c r="P59" s="8">
        <f>D56/B56*10^(O59/10)</f>
        <v>0.10766997263902491</v>
      </c>
      <c r="Q59" s="26"/>
      <c r="R59" s="17"/>
      <c r="S59" s="19"/>
      <c r="T59" s="17"/>
      <c r="U59" s="22"/>
    </row>
    <row r="60" spans="1:21" x14ac:dyDescent="0.25">
      <c r="A60" s="24"/>
      <c r="B60" s="24"/>
      <c r="C60" s="17"/>
      <c r="D60" s="24"/>
      <c r="E60" s="24"/>
      <c r="F60" s="25"/>
      <c r="G60" s="1">
        <v>2425</v>
      </c>
      <c r="H60" s="2">
        <v>93.7</v>
      </c>
      <c r="I60" s="2">
        <v>-22</v>
      </c>
      <c r="J60" s="2">
        <v>-27.3</v>
      </c>
      <c r="K60" s="2">
        <f t="shared" si="3"/>
        <v>-22</v>
      </c>
      <c r="L60" s="8">
        <f t="shared" si="7"/>
        <v>2.6915348039269074E-12</v>
      </c>
      <c r="M60" s="26"/>
      <c r="N60" s="17"/>
      <c r="O60" s="9">
        <f t="shared" si="5"/>
        <v>-27.3</v>
      </c>
      <c r="P60" s="8">
        <f>D56/B56*10^(O60/10)</f>
        <v>0.14524279665970358</v>
      </c>
      <c r="Q60" s="26"/>
      <c r="R60" s="17"/>
      <c r="S60" s="19"/>
      <c r="T60" s="17"/>
      <c r="U60" s="22"/>
    </row>
    <row r="61" spans="1:21" x14ac:dyDescent="0.25">
      <c r="A61" s="24"/>
      <c r="B61" s="24"/>
      <c r="C61" s="17"/>
      <c r="D61" s="24"/>
      <c r="E61" s="24"/>
      <c r="F61" s="25"/>
      <c r="G61" s="1">
        <v>2775</v>
      </c>
      <c r="H61" s="2">
        <v>100.2</v>
      </c>
      <c r="I61" s="2">
        <v>-24.5</v>
      </c>
      <c r="J61" s="2">
        <v>-25.7</v>
      </c>
      <c r="K61" s="2">
        <f t="shared" si="3"/>
        <v>-24.5</v>
      </c>
      <c r="L61" s="8">
        <f t="shared" si="7"/>
        <v>3.3884415613920079E-13</v>
      </c>
      <c r="M61" s="26"/>
      <c r="N61" s="17"/>
      <c r="O61" s="9">
        <f t="shared" si="5"/>
        <v>-25.7</v>
      </c>
      <c r="P61" s="8">
        <f>D56/B56*10^(O61/10)</f>
        <v>0.20993971470629935</v>
      </c>
      <c r="Q61" s="26"/>
      <c r="R61" s="17"/>
      <c r="S61" s="20"/>
      <c r="T61" s="17"/>
      <c r="U61" s="23"/>
    </row>
    <row r="62" spans="1:21" x14ac:dyDescent="0.25">
      <c r="A62" s="24">
        <v>4000</v>
      </c>
      <c r="B62" s="24">
        <v>3</v>
      </c>
      <c r="C62" s="17">
        <v>0.5</v>
      </c>
      <c r="D62" s="24">
        <v>470</v>
      </c>
      <c r="E62" s="24">
        <v>6</v>
      </c>
      <c r="F62" s="25">
        <v>62</v>
      </c>
      <c r="G62" s="1">
        <v>2825</v>
      </c>
      <c r="H62" s="2">
        <v>99.4</v>
      </c>
      <c r="I62" s="2">
        <v>-23.6</v>
      </c>
      <c r="J62" s="2">
        <v>-27.9</v>
      </c>
      <c r="K62" s="2">
        <f t="shared" si="3"/>
        <v>-23.6</v>
      </c>
      <c r="L62" s="8">
        <f t="shared" si="7"/>
        <v>5.0118723362727066E-13</v>
      </c>
      <c r="M62" s="26">
        <f>SUM(L62:L67)</f>
        <v>1.4928538999949623E-12</v>
      </c>
      <c r="N62" s="17">
        <f>10*LOG10(M62/E62)</f>
        <v>-126.04133943348987</v>
      </c>
      <c r="O62" s="9">
        <f t="shared" si="5"/>
        <v>-27.9</v>
      </c>
      <c r="P62" s="8">
        <f>D62/B62*10^(O62/10)</f>
        <v>0.25408358191956543</v>
      </c>
      <c r="Q62" s="26">
        <f>SUM(P62:P67)</f>
        <v>1.7915035248844269</v>
      </c>
      <c r="R62" s="17">
        <f>10*LOG10(Q62)</f>
        <v>2.5321766700190604</v>
      </c>
      <c r="S62" s="18">
        <f>F62+N62-Kzt-H</f>
        <v>-64.041339433489867</v>
      </c>
      <c r="T62" s="17">
        <v>0.9</v>
      </c>
      <c r="U62" s="21">
        <f>T62*10^((S62-R62)/10)</f>
        <v>1.981029300732477E-7</v>
      </c>
    </row>
    <row r="63" spans="1:21" x14ac:dyDescent="0.25">
      <c r="A63" s="24"/>
      <c r="B63" s="24"/>
      <c r="C63" s="17"/>
      <c r="D63" s="24"/>
      <c r="E63" s="24"/>
      <c r="F63" s="25"/>
      <c r="G63" s="1">
        <v>3425</v>
      </c>
      <c r="H63" s="2">
        <v>103.5</v>
      </c>
      <c r="I63" s="2">
        <v>-22.6</v>
      </c>
      <c r="J63" s="2">
        <v>-24.4</v>
      </c>
      <c r="K63" s="2">
        <f t="shared" si="3"/>
        <v>-22.6</v>
      </c>
      <c r="L63" s="8">
        <f t="shared" si="7"/>
        <v>2.4547089156850296E-13</v>
      </c>
      <c r="M63" s="26"/>
      <c r="N63" s="17"/>
      <c r="O63" s="9">
        <f t="shared" si="5"/>
        <v>-24.4</v>
      </c>
      <c r="P63" s="8">
        <f>D62/B62*10^(O63/10)</f>
        <v>0.56882228580649163</v>
      </c>
      <c r="Q63" s="26"/>
      <c r="R63" s="17"/>
      <c r="S63" s="19"/>
      <c r="T63" s="17"/>
      <c r="U63" s="22"/>
    </row>
    <row r="64" spans="1:21" x14ac:dyDescent="0.25">
      <c r="A64" s="24"/>
      <c r="B64" s="24"/>
      <c r="C64" s="17"/>
      <c r="D64" s="24"/>
      <c r="E64" s="24"/>
      <c r="F64" s="25"/>
      <c r="G64" s="1">
        <v>4025</v>
      </c>
      <c r="H64" s="2">
        <v>103.6</v>
      </c>
      <c r="I64" s="2">
        <v>-20.3</v>
      </c>
      <c r="J64" s="2">
        <v>-27.3</v>
      </c>
      <c r="K64" s="2">
        <f t="shared" si="3"/>
        <v>-20.3</v>
      </c>
      <c r="L64" s="8">
        <f t="shared" si="7"/>
        <v>4.0738027780411313E-13</v>
      </c>
      <c r="M64" s="26"/>
      <c r="N64" s="17"/>
      <c r="O64" s="9">
        <f t="shared" si="5"/>
        <v>-27.3</v>
      </c>
      <c r="P64" s="8">
        <f>D62/B62*10^(O64/10)</f>
        <v>0.29172698474384906</v>
      </c>
      <c r="Q64" s="26"/>
      <c r="R64" s="17"/>
      <c r="S64" s="19"/>
      <c r="T64" s="17"/>
      <c r="U64" s="22"/>
    </row>
    <row r="65" spans="1:21" x14ac:dyDescent="0.25">
      <c r="A65" s="24"/>
      <c r="B65" s="24"/>
      <c r="C65" s="17"/>
      <c r="D65" s="24"/>
      <c r="E65" s="24"/>
      <c r="F65" s="25"/>
      <c r="G65" s="1">
        <v>4625</v>
      </c>
      <c r="H65" s="2">
        <v>105.6</v>
      </c>
      <c r="I65" s="2">
        <v>-24.9</v>
      </c>
      <c r="J65" s="2">
        <v>-28.8</v>
      </c>
      <c r="K65" s="2">
        <f t="shared" si="3"/>
        <v>-24.9</v>
      </c>
      <c r="L65" s="8">
        <f t="shared" si="7"/>
        <v>8.9125093813374273E-14</v>
      </c>
      <c r="M65" s="26"/>
      <c r="N65" s="17"/>
      <c r="O65" s="9">
        <f t="shared" si="5"/>
        <v>-28.8</v>
      </c>
      <c r="P65" s="8">
        <f>D62/B62*10^(O65/10)</f>
        <v>0.20652688904050376</v>
      </c>
      <c r="Q65" s="26"/>
      <c r="R65" s="17"/>
      <c r="S65" s="19"/>
      <c r="T65" s="17"/>
      <c r="U65" s="22"/>
    </row>
    <row r="66" spans="1:21" x14ac:dyDescent="0.25">
      <c r="A66" s="24"/>
      <c r="B66" s="24"/>
      <c r="C66" s="17"/>
      <c r="D66" s="24"/>
      <c r="E66" s="24"/>
      <c r="F66" s="25"/>
      <c r="G66" s="1">
        <v>5225</v>
      </c>
      <c r="H66" s="2">
        <v>103.5</v>
      </c>
      <c r="I66" s="2">
        <v>-26.9</v>
      </c>
      <c r="J66" s="2">
        <v>-27.9</v>
      </c>
      <c r="K66" s="2">
        <f t="shared" si="3"/>
        <v>-26.9</v>
      </c>
      <c r="L66" s="8">
        <f t="shared" si="7"/>
        <v>9.1201083935590668E-14</v>
      </c>
      <c r="M66" s="26"/>
      <c r="N66" s="17"/>
      <c r="O66" s="9">
        <f t="shared" si="5"/>
        <v>-27.9</v>
      </c>
      <c r="P66" s="8">
        <f>D62/B62*10^(O66/10)</f>
        <v>0.25408358191956543</v>
      </c>
      <c r="Q66" s="26"/>
      <c r="R66" s="17"/>
      <c r="S66" s="19"/>
      <c r="T66" s="17"/>
      <c r="U66" s="22"/>
    </row>
    <row r="67" spans="1:21" x14ac:dyDescent="0.25">
      <c r="A67" s="24"/>
      <c r="B67" s="24"/>
      <c r="C67" s="17"/>
      <c r="D67" s="24"/>
      <c r="E67" s="24"/>
      <c r="F67" s="25"/>
      <c r="G67" s="1">
        <v>5625</v>
      </c>
      <c r="H67" s="2">
        <v>99.5</v>
      </c>
      <c r="I67" s="2">
        <v>-28.5</v>
      </c>
      <c r="J67" s="2">
        <v>-28.6</v>
      </c>
      <c r="K67" s="2">
        <f t="shared" si="3"/>
        <v>-28.5</v>
      </c>
      <c r="L67" s="8">
        <f t="shared" si="7"/>
        <v>1.5848931924611046E-13</v>
      </c>
      <c r="M67" s="26"/>
      <c r="N67" s="17"/>
      <c r="O67" s="9">
        <f t="shared" si="5"/>
        <v>-28.6</v>
      </c>
      <c r="P67" s="8">
        <f>D62/B62*10^(O67/10)</f>
        <v>0.21626020145445171</v>
      </c>
      <c r="Q67" s="26"/>
      <c r="R67" s="17"/>
      <c r="S67" s="20"/>
      <c r="T67" s="17"/>
      <c r="U67" s="23"/>
    </row>
    <row r="68" spans="1:21" x14ac:dyDescent="0.25">
      <c r="A68" s="24">
        <v>8000</v>
      </c>
      <c r="B68" s="24">
        <v>3</v>
      </c>
      <c r="C68" s="17">
        <v>0.5</v>
      </c>
      <c r="D68" s="24">
        <v>943</v>
      </c>
      <c r="E68" s="24">
        <v>6</v>
      </c>
      <c r="F68" s="25">
        <v>54</v>
      </c>
      <c r="G68" s="1">
        <v>6025</v>
      </c>
      <c r="H68" s="2">
        <v>95</v>
      </c>
      <c r="I68" s="2">
        <v>-24.1</v>
      </c>
      <c r="J68" s="2">
        <v>-29.5</v>
      </c>
      <c r="K68" s="2">
        <f t="shared" si="3"/>
        <v>-24.1</v>
      </c>
      <c r="L68" s="8">
        <f t="shared" si="7"/>
        <v>1.2302687708123772E-12</v>
      </c>
      <c r="M68" s="26">
        <f>SUM(L68:L73)</f>
        <v>4.4521410509898543E-11</v>
      </c>
      <c r="N68" s="17">
        <f>10*LOG10(M68/E68)</f>
        <v>-111.29582335355254</v>
      </c>
      <c r="O68" s="9">
        <f t="shared" si="5"/>
        <v>-29.5</v>
      </c>
      <c r="P68" s="8">
        <f>D68/B68*10^(O68/10)</f>
        <v>0.3526878008022501</v>
      </c>
      <c r="Q68" s="26">
        <f>SUM(P68:P73)</f>
        <v>3.1260494528584299</v>
      </c>
      <c r="R68" s="17">
        <f>10*LOG10(Q68)</f>
        <v>4.9499584410340161</v>
      </c>
      <c r="S68" s="18">
        <f>F68+N68-Kzt-H</f>
        <v>-57.295823353552535</v>
      </c>
      <c r="T68" s="17">
        <v>0.7</v>
      </c>
      <c r="U68" s="21">
        <f>T68*10^((S68-R68)/10)</f>
        <v>4.1736868455731091E-7</v>
      </c>
    </row>
    <row r="69" spans="1:21" x14ac:dyDescent="0.25">
      <c r="A69" s="24"/>
      <c r="B69" s="24"/>
      <c r="C69" s="17"/>
      <c r="D69" s="24"/>
      <c r="E69" s="24"/>
      <c r="F69" s="25"/>
      <c r="G69" s="1">
        <v>7025</v>
      </c>
      <c r="H69" s="2">
        <v>94.8</v>
      </c>
      <c r="I69" s="2">
        <v>-25.9</v>
      </c>
      <c r="J69" s="2">
        <v>-28.6</v>
      </c>
      <c r="K69" s="2">
        <f t="shared" si="3"/>
        <v>-25.9</v>
      </c>
      <c r="L69" s="8">
        <f t="shared" si="7"/>
        <v>8.5113803820237784E-13</v>
      </c>
      <c r="M69" s="26"/>
      <c r="N69" s="17"/>
      <c r="O69" s="9">
        <f t="shared" si="5"/>
        <v>-28.6</v>
      </c>
      <c r="P69" s="8">
        <f>D68/B68*10^(O69/10)</f>
        <v>0.43390078717350633</v>
      </c>
      <c r="Q69" s="26"/>
      <c r="R69" s="17"/>
      <c r="S69" s="19"/>
      <c r="T69" s="17"/>
      <c r="U69" s="22"/>
    </row>
    <row r="70" spans="1:21" x14ac:dyDescent="0.25">
      <c r="A70" s="24"/>
      <c r="B70" s="24"/>
      <c r="C70" s="17"/>
      <c r="D70" s="24"/>
      <c r="E70" s="24"/>
      <c r="F70" s="25"/>
      <c r="G70" s="1">
        <v>8025</v>
      </c>
      <c r="H70" s="2">
        <v>101.9</v>
      </c>
      <c r="I70" s="2">
        <v>-23.3</v>
      </c>
      <c r="J70" s="2">
        <v>-31.3</v>
      </c>
      <c r="K70" s="2">
        <f t="shared" si="3"/>
        <v>-23.3</v>
      </c>
      <c r="L70" s="8">
        <f t="shared" si="7"/>
        <v>3.0199517204020122E-13</v>
      </c>
      <c r="M70" s="26"/>
      <c r="N70" s="17"/>
      <c r="O70" s="9">
        <f t="shared" si="5"/>
        <v>-31.3</v>
      </c>
      <c r="P70" s="8">
        <f>D68/B68*10^(O70/10)</f>
        <v>0.233018519182255</v>
      </c>
      <c r="Q70" s="26"/>
      <c r="R70" s="17"/>
      <c r="S70" s="19"/>
      <c r="T70" s="17"/>
      <c r="U70" s="22"/>
    </row>
    <row r="71" spans="1:21" x14ac:dyDescent="0.25">
      <c r="A71" s="24"/>
      <c r="B71" s="24"/>
      <c r="C71" s="17"/>
      <c r="D71" s="24"/>
      <c r="E71" s="24"/>
      <c r="F71" s="25"/>
      <c r="G71" s="1">
        <v>9025</v>
      </c>
      <c r="H71" s="2">
        <v>93.2</v>
      </c>
      <c r="I71" s="2">
        <v>-22.3</v>
      </c>
      <c r="J71" s="2">
        <v>-29.3</v>
      </c>
      <c r="K71" s="2">
        <f t="shared" si="3"/>
        <v>-22.3</v>
      </c>
      <c r="L71" s="8">
        <f t="shared" si="7"/>
        <v>2.8183829312644444E-12</v>
      </c>
      <c r="M71" s="26"/>
      <c r="N71" s="17"/>
      <c r="O71" s="9">
        <f t="shared" si="5"/>
        <v>-29.3</v>
      </c>
      <c r="P71" s="8">
        <f>D68/B68*10^(O71/10)</f>
        <v>0.36930946476932491</v>
      </c>
      <c r="Q71" s="26"/>
      <c r="R71" s="17"/>
      <c r="S71" s="19"/>
      <c r="T71" s="17"/>
      <c r="U71" s="22"/>
    </row>
    <row r="72" spans="1:21" x14ac:dyDescent="0.25">
      <c r="A72" s="24"/>
      <c r="B72" s="24"/>
      <c r="C72" s="17"/>
      <c r="D72" s="24"/>
      <c r="E72" s="24"/>
      <c r="F72" s="25"/>
      <c r="G72" s="1">
        <v>10025</v>
      </c>
      <c r="H72" s="2">
        <v>88.3</v>
      </c>
      <c r="I72" s="2">
        <v>-22.1</v>
      </c>
      <c r="J72" s="2">
        <v>-24.7</v>
      </c>
      <c r="K72" s="2">
        <f t="shared" si="3"/>
        <v>-22.1</v>
      </c>
      <c r="L72" s="8">
        <f t="shared" si="7"/>
        <v>9.1201083935590542E-12</v>
      </c>
      <c r="M72" s="26"/>
      <c r="N72" s="17"/>
      <c r="O72" s="9">
        <f t="shared" si="5"/>
        <v>-24.7</v>
      </c>
      <c r="P72" s="8">
        <f>D68/B68*10^(O72/10)</f>
        <v>1.0651001307975594</v>
      </c>
      <c r="Q72" s="26"/>
      <c r="R72" s="17"/>
      <c r="S72" s="19"/>
      <c r="T72" s="17"/>
      <c r="U72" s="22"/>
    </row>
    <row r="73" spans="1:21" x14ac:dyDescent="0.25">
      <c r="A73" s="24"/>
      <c r="B73" s="24"/>
      <c r="C73" s="17"/>
      <c r="D73" s="24"/>
      <c r="E73" s="24"/>
      <c r="F73" s="25"/>
      <c r="G73" s="1">
        <v>11025</v>
      </c>
      <c r="H73" s="2">
        <v>86</v>
      </c>
      <c r="I73" s="2">
        <v>-19.2</v>
      </c>
      <c r="J73" s="2">
        <v>-26.7</v>
      </c>
      <c r="K73" s="2">
        <f t="shared" si="3"/>
        <v>-19.2</v>
      </c>
      <c r="L73" s="8">
        <f t="shared" si="7"/>
        <v>3.0199517204020087E-11</v>
      </c>
      <c r="M73" s="26"/>
      <c r="N73" s="17"/>
      <c r="O73" s="9">
        <f t="shared" si="5"/>
        <v>-26.7</v>
      </c>
      <c r="P73" s="8">
        <f>D68/B68*10^(O73/10)</f>
        <v>0.67203275013353481</v>
      </c>
      <c r="Q73" s="26"/>
      <c r="R73" s="17"/>
      <c r="S73" s="20"/>
      <c r="T73" s="17"/>
      <c r="U73" s="23"/>
    </row>
    <row r="74" spans="1:21" x14ac:dyDescent="0.25">
      <c r="A74" s="24" t="s">
        <v>20</v>
      </c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12">
        <f>U74</f>
        <v>7.4327280891088685E-2</v>
      </c>
      <c r="T74" s="2"/>
      <c r="U74" s="8">
        <f>0.8*SQRT(SUM(U40:U73))</f>
        <v>7.4327280891088685E-2</v>
      </c>
    </row>
    <row r="75" spans="1:21" x14ac:dyDescent="0.25">
      <c r="A75" s="27" t="s">
        <v>94</v>
      </c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9"/>
    </row>
    <row r="76" spans="1:21" x14ac:dyDescent="0.25">
      <c r="A76" s="24">
        <v>250</v>
      </c>
      <c r="B76" s="24">
        <v>3</v>
      </c>
      <c r="C76" s="17">
        <v>0.5</v>
      </c>
      <c r="D76" s="24">
        <v>38</v>
      </c>
      <c r="E76" s="24">
        <v>4</v>
      </c>
      <c r="F76" s="25">
        <v>84</v>
      </c>
      <c r="G76" s="1">
        <v>175</v>
      </c>
      <c r="H76" s="2">
        <v>84.8</v>
      </c>
      <c r="I76" s="2">
        <v>-20.7</v>
      </c>
      <c r="J76" s="2">
        <v>-23.5</v>
      </c>
      <c r="K76" s="2">
        <f>I76</f>
        <v>-20.7</v>
      </c>
      <c r="L76" s="8">
        <f>10^((K76-H76)/10)</f>
        <v>2.8183829312644474E-11</v>
      </c>
      <c r="M76" s="26">
        <f>SUM(L76:L79)</f>
        <v>5.1261648208262016E-11</v>
      </c>
      <c r="N76" s="17">
        <f>10*LOG10(M76/E76)</f>
        <v>-108.92267425448416</v>
      </c>
      <c r="O76" s="9">
        <f>J76</f>
        <v>-23.5</v>
      </c>
      <c r="P76" s="8">
        <f>D76/B76*10^(O76/10)</f>
        <v>5.6579921672455284E-2</v>
      </c>
      <c r="Q76" s="26">
        <f>SUM(P76:P79)</f>
        <v>0.14259420246579368</v>
      </c>
      <c r="R76" s="17">
        <f>10*LOG10(Q76)</f>
        <v>-8.4589813148484279</v>
      </c>
      <c r="S76" s="18">
        <f>F76+N76-Kzt-H</f>
        <v>-24.922674254484164</v>
      </c>
      <c r="T76" s="17">
        <v>0.2</v>
      </c>
      <c r="U76" s="21">
        <f>T76*10^((S76-R76)/10)</f>
        <v>4.5150306381509268E-3</v>
      </c>
    </row>
    <row r="77" spans="1:21" x14ac:dyDescent="0.25">
      <c r="A77" s="24"/>
      <c r="B77" s="24"/>
      <c r="C77" s="17"/>
      <c r="D77" s="24"/>
      <c r="E77" s="24"/>
      <c r="F77" s="25"/>
      <c r="G77" s="1">
        <v>225</v>
      </c>
      <c r="H77" s="2">
        <v>90</v>
      </c>
      <c r="I77" s="2">
        <v>-20.6</v>
      </c>
      <c r="J77" s="2">
        <v>-24.7</v>
      </c>
      <c r="K77" s="2">
        <f t="shared" ref="K77:K109" si="8">I77</f>
        <v>-20.6</v>
      </c>
      <c r="L77" s="8">
        <f t="shared" ref="L77:L78" si="9">10^((K77-H77)/10)</f>
        <v>8.7096358995607975E-12</v>
      </c>
      <c r="M77" s="26"/>
      <c r="N77" s="17"/>
      <c r="O77" s="9">
        <f t="shared" ref="O77:O109" si="10">J77</f>
        <v>-24.7</v>
      </c>
      <c r="P77" s="8">
        <f>D76/B76*10^(O77/10)</f>
        <v>4.2920259777632301E-2</v>
      </c>
      <c r="Q77" s="26"/>
      <c r="R77" s="17"/>
      <c r="S77" s="19"/>
      <c r="T77" s="17"/>
      <c r="U77" s="22"/>
    </row>
    <row r="78" spans="1:21" x14ac:dyDescent="0.25">
      <c r="A78" s="24"/>
      <c r="B78" s="24"/>
      <c r="C78" s="17"/>
      <c r="D78" s="24"/>
      <c r="E78" s="24"/>
      <c r="F78" s="25"/>
      <c r="G78" s="1">
        <v>275</v>
      </c>
      <c r="H78" s="2">
        <v>92.2</v>
      </c>
      <c r="I78" s="2">
        <v>-20.6</v>
      </c>
      <c r="J78" s="2">
        <v>-30.8</v>
      </c>
      <c r="K78" s="2">
        <f t="shared" si="8"/>
        <v>-20.6</v>
      </c>
      <c r="L78" s="8">
        <f t="shared" si="9"/>
        <v>5.248074602497695E-12</v>
      </c>
      <c r="M78" s="26"/>
      <c r="N78" s="17"/>
      <c r="O78" s="9">
        <f t="shared" si="10"/>
        <v>-30.8</v>
      </c>
      <c r="P78" s="8">
        <f>D76/B76*10^(O78/10)</f>
        <v>1.0535674433967157E-2</v>
      </c>
      <c r="Q78" s="26"/>
      <c r="R78" s="17"/>
      <c r="S78" s="19"/>
      <c r="T78" s="17"/>
      <c r="U78" s="22"/>
    </row>
    <row r="79" spans="1:21" x14ac:dyDescent="0.25">
      <c r="A79" s="24"/>
      <c r="B79" s="24"/>
      <c r="C79" s="17"/>
      <c r="D79" s="24"/>
      <c r="E79" s="24"/>
      <c r="F79" s="25"/>
      <c r="G79" s="1">
        <v>325</v>
      </c>
      <c r="H79" s="2">
        <v>93.3</v>
      </c>
      <c r="I79" s="2">
        <v>-17.100000000000001</v>
      </c>
      <c r="J79" s="2">
        <v>-25.9</v>
      </c>
      <c r="K79" s="2">
        <f t="shared" si="8"/>
        <v>-17.100000000000001</v>
      </c>
      <c r="L79" s="8">
        <f>10^((K79-H79)/10)</f>
        <v>9.1201083935590542E-12</v>
      </c>
      <c r="M79" s="26"/>
      <c r="N79" s="17"/>
      <c r="O79" s="9">
        <f t="shared" si="10"/>
        <v>-25.9</v>
      </c>
      <c r="P79" s="8">
        <f>D76/B76*10^(O79/10)</f>
        <v>3.2558346581738937E-2</v>
      </c>
      <c r="Q79" s="26"/>
      <c r="R79" s="17"/>
      <c r="S79" s="20"/>
      <c r="T79" s="17"/>
      <c r="U79" s="23"/>
    </row>
    <row r="80" spans="1:21" x14ac:dyDescent="0.25">
      <c r="A80" s="24">
        <v>500</v>
      </c>
      <c r="B80" s="24">
        <v>3</v>
      </c>
      <c r="C80" s="17">
        <v>0.5</v>
      </c>
      <c r="D80" s="24">
        <v>59</v>
      </c>
      <c r="E80" s="24">
        <v>6</v>
      </c>
      <c r="F80" s="25">
        <v>84</v>
      </c>
      <c r="G80" s="1">
        <v>375</v>
      </c>
      <c r="H80" s="2">
        <v>91.9</v>
      </c>
      <c r="I80" s="2">
        <v>-20.6</v>
      </c>
      <c r="J80" s="2">
        <v>-24.3</v>
      </c>
      <c r="K80" s="2">
        <f t="shared" si="8"/>
        <v>-20.6</v>
      </c>
      <c r="L80" s="8">
        <f t="shared" ref="L80:L81" si="11">10^((K80-H80)/10)</f>
        <v>5.6234132519034759E-12</v>
      </c>
      <c r="M80" s="26">
        <f>SUM(L80:L85)</f>
        <v>3.2420800836468118E-11</v>
      </c>
      <c r="N80" s="17">
        <f>10*LOG10(M80/E80)</f>
        <v>-112.67327512093127</v>
      </c>
      <c r="O80" s="9">
        <f t="shared" si="10"/>
        <v>-24.3</v>
      </c>
      <c r="P80" s="8">
        <f>D80/B80*10^(O80/10)</f>
        <v>7.3068595055777216E-2</v>
      </c>
      <c r="Q80" s="26">
        <f>SUM(P80:P85)</f>
        <v>0.24003336694254107</v>
      </c>
      <c r="R80" s="17">
        <f>10*LOG10(Q80)</f>
        <v>-6.1972838298932178</v>
      </c>
      <c r="S80" s="18">
        <f>F80+N80-Kzt-H</f>
        <v>-28.673275120931265</v>
      </c>
      <c r="T80" s="17">
        <v>0.5</v>
      </c>
      <c r="U80" s="21">
        <f>T80*10^((S80-R80)/10)</f>
        <v>2.8272933730394325E-3</v>
      </c>
    </row>
    <row r="81" spans="1:21" x14ac:dyDescent="0.25">
      <c r="A81" s="24"/>
      <c r="B81" s="24"/>
      <c r="C81" s="17"/>
      <c r="D81" s="24"/>
      <c r="E81" s="24"/>
      <c r="F81" s="25"/>
      <c r="G81" s="1">
        <v>425</v>
      </c>
      <c r="H81" s="2">
        <v>88.1</v>
      </c>
      <c r="I81" s="2">
        <v>-21.8</v>
      </c>
      <c r="J81" s="2">
        <v>-29.6</v>
      </c>
      <c r="K81" s="2">
        <f t="shared" si="8"/>
        <v>-21.8</v>
      </c>
      <c r="L81" s="8">
        <f t="shared" si="11"/>
        <v>1.0232929922807561E-11</v>
      </c>
      <c r="M81" s="26"/>
      <c r="N81" s="17"/>
      <c r="O81" s="9">
        <f t="shared" si="10"/>
        <v>-29.6</v>
      </c>
      <c r="P81" s="8">
        <f>D80/B80*10^(O81/10)</f>
        <v>2.1564071190815971E-2</v>
      </c>
      <c r="Q81" s="26"/>
      <c r="R81" s="17"/>
      <c r="S81" s="19"/>
      <c r="T81" s="17"/>
      <c r="U81" s="22"/>
    </row>
    <row r="82" spans="1:21" x14ac:dyDescent="0.25">
      <c r="A82" s="24"/>
      <c r="B82" s="24"/>
      <c r="C82" s="17"/>
      <c r="D82" s="24"/>
      <c r="E82" s="24"/>
      <c r="F82" s="25"/>
      <c r="G82" s="1">
        <v>475</v>
      </c>
      <c r="H82" s="2">
        <v>90</v>
      </c>
      <c r="I82" s="2">
        <v>-20.100000000000001</v>
      </c>
      <c r="J82" s="2">
        <v>-26.9</v>
      </c>
      <c r="K82" s="2">
        <f t="shared" si="8"/>
        <v>-20.100000000000001</v>
      </c>
      <c r="L82" s="8">
        <f>10^((K82-H82)/10)</f>
        <v>9.7723722095580929E-12</v>
      </c>
      <c r="M82" s="26"/>
      <c r="N82" s="17"/>
      <c r="O82" s="9">
        <f t="shared" si="10"/>
        <v>-26.9</v>
      </c>
      <c r="P82" s="8">
        <f>D80/B80*10^(O82/10)</f>
        <v>4.0154179578500745E-2</v>
      </c>
      <c r="Q82" s="26"/>
      <c r="R82" s="17"/>
      <c r="S82" s="19"/>
      <c r="T82" s="17"/>
      <c r="U82" s="22"/>
    </row>
    <row r="83" spans="1:21" x14ac:dyDescent="0.25">
      <c r="A83" s="24"/>
      <c r="B83" s="24"/>
      <c r="C83" s="17"/>
      <c r="D83" s="24"/>
      <c r="E83" s="24"/>
      <c r="F83" s="25"/>
      <c r="G83" s="1">
        <v>575</v>
      </c>
      <c r="H83" s="2">
        <v>97</v>
      </c>
      <c r="I83" s="2">
        <v>-23.9</v>
      </c>
      <c r="J83" s="2">
        <v>-26.6</v>
      </c>
      <c r="K83" s="2">
        <f t="shared" si="8"/>
        <v>-23.9</v>
      </c>
      <c r="L83" s="8">
        <f t="shared" ref="L83:L109" si="12">10^((K83-H83)/10)</f>
        <v>8.1283051616409777E-13</v>
      </c>
      <c r="M83" s="26"/>
      <c r="N83" s="17"/>
      <c r="O83" s="9">
        <f t="shared" si="10"/>
        <v>-26.6</v>
      </c>
      <c r="P83" s="8">
        <f>D80/B80*10^(O83/10)</f>
        <v>4.3025978604341153E-2</v>
      </c>
      <c r="Q83" s="26"/>
      <c r="R83" s="17"/>
      <c r="S83" s="19"/>
      <c r="T83" s="17"/>
      <c r="U83" s="22"/>
    </row>
    <row r="84" spans="1:21" x14ac:dyDescent="0.25">
      <c r="A84" s="24"/>
      <c r="B84" s="24"/>
      <c r="C84" s="17"/>
      <c r="D84" s="24"/>
      <c r="E84" s="24"/>
      <c r="F84" s="25"/>
      <c r="G84" s="1">
        <v>625</v>
      </c>
      <c r="H84" s="2">
        <v>92</v>
      </c>
      <c r="I84" s="2">
        <v>-22.6</v>
      </c>
      <c r="J84" s="2">
        <v>-29.5</v>
      </c>
      <c r="K84" s="2">
        <f t="shared" si="8"/>
        <v>-22.6</v>
      </c>
      <c r="L84" s="8">
        <f t="shared" si="12"/>
        <v>3.4673685045253144E-12</v>
      </c>
      <c r="M84" s="26"/>
      <c r="N84" s="17"/>
      <c r="O84" s="9">
        <f t="shared" si="10"/>
        <v>-29.5</v>
      </c>
      <c r="P84" s="8">
        <f>D80/B80*10^(O84/10)</f>
        <v>2.2066362934605257E-2</v>
      </c>
      <c r="Q84" s="26"/>
      <c r="R84" s="17"/>
      <c r="S84" s="19"/>
      <c r="T84" s="17"/>
      <c r="U84" s="22"/>
    </row>
    <row r="85" spans="1:21" x14ac:dyDescent="0.25">
      <c r="A85" s="24"/>
      <c r="B85" s="24"/>
      <c r="C85" s="17"/>
      <c r="D85" s="24"/>
      <c r="E85" s="24"/>
      <c r="F85" s="25"/>
      <c r="G85" s="1">
        <v>675</v>
      </c>
      <c r="H85" s="2">
        <v>94.5</v>
      </c>
      <c r="I85" s="2">
        <v>-21.5</v>
      </c>
      <c r="J85" s="2">
        <v>-26.9</v>
      </c>
      <c r="K85" s="2">
        <f t="shared" si="8"/>
        <v>-21.5</v>
      </c>
      <c r="L85" s="8">
        <f t="shared" si="12"/>
        <v>2.5118864315095726E-12</v>
      </c>
      <c r="M85" s="26"/>
      <c r="N85" s="17"/>
      <c r="O85" s="9">
        <f t="shared" si="10"/>
        <v>-26.9</v>
      </c>
      <c r="P85" s="8">
        <f>D80/B80*10^(O85/10)</f>
        <v>4.0154179578500745E-2</v>
      </c>
      <c r="Q85" s="26"/>
      <c r="R85" s="17"/>
      <c r="S85" s="20"/>
      <c r="T85" s="17"/>
      <c r="U85" s="23"/>
    </row>
    <row r="86" spans="1:21" x14ac:dyDescent="0.25">
      <c r="A86" s="24">
        <v>1000</v>
      </c>
      <c r="B86" s="24">
        <v>3</v>
      </c>
      <c r="C86" s="17">
        <v>0.5</v>
      </c>
      <c r="D86" s="24">
        <v>117</v>
      </c>
      <c r="E86" s="24">
        <v>6</v>
      </c>
      <c r="F86" s="25">
        <v>76</v>
      </c>
      <c r="G86" s="1">
        <v>875</v>
      </c>
      <c r="H86" s="2">
        <v>91.1</v>
      </c>
      <c r="I86" s="2">
        <v>-22.400000000000002</v>
      </c>
      <c r="J86" s="2">
        <v>-23.8</v>
      </c>
      <c r="K86" s="2">
        <f t="shared" si="8"/>
        <v>-22.400000000000002</v>
      </c>
      <c r="L86" s="8">
        <f t="shared" si="12"/>
        <v>4.4668359215096234E-12</v>
      </c>
      <c r="M86" s="26">
        <f>SUM(L86:L91)</f>
        <v>1.2168246841482018E-11</v>
      </c>
      <c r="N86" s="17">
        <f>10*LOG10(M86/E86)</f>
        <v>-116.9292323927902</v>
      </c>
      <c r="O86" s="9">
        <f t="shared" si="10"/>
        <v>-23.8</v>
      </c>
      <c r="P86" s="8">
        <f>D86/B86*10^(O86/10)</f>
        <v>0.16257905955343074</v>
      </c>
      <c r="Q86" s="26">
        <f>SUM(P86:P91)</f>
        <v>0.52494502521803554</v>
      </c>
      <c r="R86" s="17">
        <f>10*LOG10(Q86)</f>
        <v>-2.7988617563132485</v>
      </c>
      <c r="S86" s="18">
        <f>F86+N86-Kzt-H</f>
        <v>-40.929232392790198</v>
      </c>
      <c r="T86" s="17">
        <v>0.8</v>
      </c>
      <c r="U86" s="21">
        <f>T86*10^((S86-R86)/10)</f>
        <v>1.2304187011193853E-4</v>
      </c>
    </row>
    <row r="87" spans="1:21" x14ac:dyDescent="0.25">
      <c r="A87" s="24"/>
      <c r="B87" s="24"/>
      <c r="C87" s="17"/>
      <c r="D87" s="24"/>
      <c r="E87" s="24"/>
      <c r="F87" s="25"/>
      <c r="G87" s="1">
        <v>975</v>
      </c>
      <c r="H87" s="2">
        <v>96.5</v>
      </c>
      <c r="I87" s="2">
        <v>-21.1</v>
      </c>
      <c r="J87" s="2">
        <v>-27.8</v>
      </c>
      <c r="K87" s="2">
        <f t="shared" si="8"/>
        <v>-21.1</v>
      </c>
      <c r="L87" s="8">
        <f t="shared" si="12"/>
        <v>1.737800828749373E-12</v>
      </c>
      <c r="M87" s="26"/>
      <c r="N87" s="17"/>
      <c r="O87" s="9">
        <f t="shared" si="10"/>
        <v>-27.8</v>
      </c>
      <c r="P87" s="8">
        <f>D86/B86*10^(O87/10)</f>
        <v>6.4723889390064807E-2</v>
      </c>
      <c r="Q87" s="26"/>
      <c r="R87" s="17"/>
      <c r="S87" s="19"/>
      <c r="T87" s="17"/>
      <c r="U87" s="22"/>
    </row>
    <row r="88" spans="1:21" x14ac:dyDescent="0.25">
      <c r="A88" s="24"/>
      <c r="B88" s="24"/>
      <c r="C88" s="17"/>
      <c r="D88" s="24"/>
      <c r="E88" s="24"/>
      <c r="F88" s="25"/>
      <c r="G88" s="1">
        <v>1075</v>
      </c>
      <c r="H88" s="2">
        <v>94.6</v>
      </c>
      <c r="I88" s="2">
        <v>-22.7</v>
      </c>
      <c r="J88" s="2">
        <v>-27.1</v>
      </c>
      <c r="K88" s="2">
        <f t="shared" si="8"/>
        <v>-22.7</v>
      </c>
      <c r="L88" s="8">
        <f t="shared" si="12"/>
        <v>1.8620871366628578E-12</v>
      </c>
      <c r="M88" s="26"/>
      <c r="N88" s="17"/>
      <c r="O88" s="9">
        <f t="shared" si="10"/>
        <v>-27.1</v>
      </c>
      <c r="P88" s="8">
        <f>D86/B86*10^(O88/10)</f>
        <v>7.6043939390563725E-2</v>
      </c>
      <c r="Q88" s="26"/>
      <c r="R88" s="17"/>
      <c r="S88" s="19"/>
      <c r="T88" s="17"/>
      <c r="U88" s="22"/>
    </row>
    <row r="89" spans="1:21" x14ac:dyDescent="0.25">
      <c r="A89" s="24"/>
      <c r="B89" s="24"/>
      <c r="C89" s="17"/>
      <c r="D89" s="24"/>
      <c r="E89" s="24"/>
      <c r="F89" s="25"/>
      <c r="G89" s="1">
        <v>1175</v>
      </c>
      <c r="H89" s="2">
        <v>97.8</v>
      </c>
      <c r="I89" s="2">
        <v>-17.100000000000001</v>
      </c>
      <c r="J89" s="2">
        <v>-28.5</v>
      </c>
      <c r="K89" s="2">
        <f t="shared" si="8"/>
        <v>-17.100000000000001</v>
      </c>
      <c r="L89" s="8">
        <f t="shared" si="12"/>
        <v>3.2359365692962695E-12</v>
      </c>
      <c r="M89" s="26"/>
      <c r="N89" s="17"/>
      <c r="O89" s="9">
        <f t="shared" si="10"/>
        <v>-28.5</v>
      </c>
      <c r="P89" s="8">
        <f>D86/B86*10^(O89/10)</f>
        <v>5.5088964240287357E-2</v>
      </c>
      <c r="Q89" s="26"/>
      <c r="R89" s="17"/>
      <c r="S89" s="19"/>
      <c r="T89" s="17"/>
      <c r="U89" s="22"/>
    </row>
    <row r="90" spans="1:21" x14ac:dyDescent="0.25">
      <c r="A90" s="24"/>
      <c r="B90" s="24"/>
      <c r="C90" s="17"/>
      <c r="D90" s="24"/>
      <c r="E90" s="24"/>
      <c r="F90" s="25"/>
      <c r="G90" s="1">
        <v>1275</v>
      </c>
      <c r="H90" s="2">
        <v>100.1</v>
      </c>
      <c r="I90" s="2">
        <v>-22.1</v>
      </c>
      <c r="J90" s="2">
        <v>-28.8</v>
      </c>
      <c r="K90" s="2">
        <f t="shared" si="8"/>
        <v>-22.1</v>
      </c>
      <c r="L90" s="8">
        <f t="shared" si="12"/>
        <v>6.0255958607435742E-13</v>
      </c>
      <c r="M90" s="26"/>
      <c r="N90" s="17"/>
      <c r="O90" s="9">
        <f t="shared" si="10"/>
        <v>-28.8</v>
      </c>
      <c r="P90" s="8">
        <f>D86/B86*10^(O90/10)</f>
        <v>5.1412012803699877E-2</v>
      </c>
      <c r="Q90" s="26"/>
      <c r="R90" s="17"/>
      <c r="S90" s="19"/>
      <c r="T90" s="17"/>
      <c r="U90" s="22"/>
    </row>
    <row r="91" spans="1:21" x14ac:dyDescent="0.25">
      <c r="A91" s="24"/>
      <c r="B91" s="24"/>
      <c r="C91" s="17"/>
      <c r="D91" s="24"/>
      <c r="E91" s="24"/>
      <c r="F91" s="25"/>
      <c r="G91" s="1">
        <v>1375</v>
      </c>
      <c r="H91" s="2">
        <v>103</v>
      </c>
      <c r="I91" s="2">
        <v>-22.8</v>
      </c>
      <c r="J91" s="2">
        <v>-25.3</v>
      </c>
      <c r="K91" s="2">
        <f t="shared" si="8"/>
        <v>-22.8</v>
      </c>
      <c r="L91" s="8">
        <f t="shared" si="12"/>
        <v>2.6302679918953709E-13</v>
      </c>
      <c r="M91" s="26"/>
      <c r="N91" s="17"/>
      <c r="O91" s="9">
        <f t="shared" si="10"/>
        <v>-25.3</v>
      </c>
      <c r="P91" s="8">
        <f>D86/B86*10^(O91/10)</f>
        <v>0.11509715983998897</v>
      </c>
      <c r="Q91" s="26"/>
      <c r="R91" s="17"/>
      <c r="S91" s="20"/>
      <c r="T91" s="17"/>
      <c r="U91" s="23"/>
    </row>
    <row r="92" spans="1:21" x14ac:dyDescent="0.25">
      <c r="A92" s="24">
        <v>2000</v>
      </c>
      <c r="B92" s="24">
        <v>3</v>
      </c>
      <c r="C92" s="17">
        <v>0.5</v>
      </c>
      <c r="D92" s="24">
        <v>234</v>
      </c>
      <c r="E92" s="24">
        <v>6</v>
      </c>
      <c r="F92" s="25">
        <v>68</v>
      </c>
      <c r="G92" s="1">
        <v>1425</v>
      </c>
      <c r="H92" s="2">
        <v>102.8</v>
      </c>
      <c r="I92" s="2">
        <v>-23.4</v>
      </c>
      <c r="J92" s="2">
        <v>-32</v>
      </c>
      <c r="K92" s="2">
        <f t="shared" si="8"/>
        <v>-23.4</v>
      </c>
      <c r="L92" s="8">
        <f t="shared" si="12"/>
        <v>2.3988329190194898E-13</v>
      </c>
      <c r="M92" s="26">
        <f>SUM(L92:L97)</f>
        <v>5.1663012086376839E-12</v>
      </c>
      <c r="N92" s="17">
        <f>10*LOG10(M92/E92)</f>
        <v>-120.64971527323775</v>
      </c>
      <c r="O92" s="9">
        <f t="shared" si="10"/>
        <v>-32</v>
      </c>
      <c r="P92" s="8">
        <f>D92/B92*10^(O92/10)</f>
        <v>4.9214672869455009E-2</v>
      </c>
      <c r="Q92" s="26">
        <f>SUM(P92:P97)</f>
        <v>0.77477128747172264</v>
      </c>
      <c r="R92" s="17">
        <f>10*LOG10(Q92)</f>
        <v>-1.1082648233037764</v>
      </c>
      <c r="S92" s="18">
        <f>F92+N92-Kzt-H</f>
        <v>-52.649715273237746</v>
      </c>
      <c r="T92" s="17">
        <v>1</v>
      </c>
      <c r="U92" s="21">
        <f>T92*10^((S92-R92)/10)</f>
        <v>7.0122106659031561E-6</v>
      </c>
    </row>
    <row r="93" spans="1:21" x14ac:dyDescent="0.25">
      <c r="A93" s="24"/>
      <c r="B93" s="24"/>
      <c r="C93" s="17"/>
      <c r="D93" s="24"/>
      <c r="E93" s="24"/>
      <c r="F93" s="25"/>
      <c r="G93" s="1">
        <v>1625</v>
      </c>
      <c r="H93" s="2">
        <v>104.1</v>
      </c>
      <c r="I93" s="2">
        <v>-24</v>
      </c>
      <c r="J93" s="2">
        <v>-27.1</v>
      </c>
      <c r="K93" s="2">
        <f t="shared" si="8"/>
        <v>-24</v>
      </c>
      <c r="L93" s="8">
        <f t="shared" si="12"/>
        <v>1.5488166189124838E-13</v>
      </c>
      <c r="M93" s="26"/>
      <c r="N93" s="17"/>
      <c r="O93" s="9">
        <f t="shared" si="10"/>
        <v>-27.1</v>
      </c>
      <c r="P93" s="8">
        <f>D92/B92*10^(O93/10)</f>
        <v>0.15208787878112745</v>
      </c>
      <c r="Q93" s="26"/>
      <c r="R93" s="17"/>
      <c r="S93" s="19"/>
      <c r="T93" s="17"/>
      <c r="U93" s="22"/>
    </row>
    <row r="94" spans="1:21" x14ac:dyDescent="0.25">
      <c r="A94" s="24"/>
      <c r="B94" s="24"/>
      <c r="C94" s="17"/>
      <c r="D94" s="24"/>
      <c r="E94" s="24"/>
      <c r="F94" s="25"/>
      <c r="G94" s="1">
        <v>1825</v>
      </c>
      <c r="H94" s="2">
        <v>107.6</v>
      </c>
      <c r="I94" s="2">
        <v>-24.4</v>
      </c>
      <c r="J94" s="2">
        <v>-26.2</v>
      </c>
      <c r="K94" s="2">
        <f t="shared" si="8"/>
        <v>-24.4</v>
      </c>
      <c r="L94" s="8">
        <f t="shared" si="12"/>
        <v>6.3095734448019215E-14</v>
      </c>
      <c r="M94" s="26"/>
      <c r="N94" s="17"/>
      <c r="O94" s="9">
        <f t="shared" si="10"/>
        <v>-26.2</v>
      </c>
      <c r="P94" s="8">
        <f>D92/B92*10^(O94/10)</f>
        <v>0.18710896768352012</v>
      </c>
      <c r="Q94" s="26"/>
      <c r="R94" s="17"/>
      <c r="S94" s="19"/>
      <c r="T94" s="17"/>
      <c r="U94" s="22"/>
    </row>
    <row r="95" spans="1:21" x14ac:dyDescent="0.25">
      <c r="A95" s="24"/>
      <c r="B95" s="24"/>
      <c r="C95" s="17"/>
      <c r="D95" s="24"/>
      <c r="E95" s="24"/>
      <c r="F95" s="25"/>
      <c r="G95" s="1">
        <v>2125</v>
      </c>
      <c r="H95" s="2">
        <v>104.2</v>
      </c>
      <c r="I95" s="2">
        <v>-23.3</v>
      </c>
      <c r="J95" s="2">
        <v>-30.2</v>
      </c>
      <c r="K95" s="2">
        <f t="shared" si="8"/>
        <v>-23.3</v>
      </c>
      <c r="L95" s="8">
        <f t="shared" si="12"/>
        <v>1.7782794100389184E-13</v>
      </c>
      <c r="M95" s="26"/>
      <c r="N95" s="17"/>
      <c r="O95" s="9">
        <f t="shared" si="10"/>
        <v>-30.2</v>
      </c>
      <c r="P95" s="8">
        <f>D92/B92*10^(O95/10)</f>
        <v>7.448942170967196E-2</v>
      </c>
      <c r="Q95" s="26"/>
      <c r="R95" s="17"/>
      <c r="S95" s="19"/>
      <c r="T95" s="17"/>
      <c r="U95" s="22"/>
    </row>
    <row r="96" spans="1:21" x14ac:dyDescent="0.25">
      <c r="A96" s="24"/>
      <c r="B96" s="24"/>
      <c r="C96" s="17"/>
      <c r="D96" s="24"/>
      <c r="E96" s="24"/>
      <c r="F96" s="25"/>
      <c r="G96" s="1">
        <v>2425</v>
      </c>
      <c r="H96" s="2">
        <v>93.7</v>
      </c>
      <c r="I96" s="2">
        <v>-20.3</v>
      </c>
      <c r="J96" s="2">
        <v>-29.8</v>
      </c>
      <c r="K96" s="2">
        <f t="shared" si="8"/>
        <v>-20.3</v>
      </c>
      <c r="L96" s="8">
        <f t="shared" si="12"/>
        <v>3.9810717055349533E-12</v>
      </c>
      <c r="M96" s="26"/>
      <c r="N96" s="17"/>
      <c r="O96" s="9">
        <f t="shared" si="10"/>
        <v>-29.8</v>
      </c>
      <c r="P96" s="8">
        <f>D92/B92*10^(O96/10)</f>
        <v>8.1676026747970101E-2</v>
      </c>
      <c r="Q96" s="26"/>
      <c r="R96" s="17"/>
      <c r="S96" s="19"/>
      <c r="T96" s="17"/>
      <c r="U96" s="22"/>
    </row>
    <row r="97" spans="1:21" x14ac:dyDescent="0.25">
      <c r="A97" s="24"/>
      <c r="B97" s="24"/>
      <c r="C97" s="17"/>
      <c r="D97" s="24"/>
      <c r="E97" s="24"/>
      <c r="F97" s="25"/>
      <c r="G97" s="1">
        <v>2775</v>
      </c>
      <c r="H97" s="2">
        <v>100.2</v>
      </c>
      <c r="I97" s="2">
        <v>-22.4</v>
      </c>
      <c r="J97" s="2">
        <v>-25.3</v>
      </c>
      <c r="K97" s="2">
        <f t="shared" si="8"/>
        <v>-22.4</v>
      </c>
      <c r="L97" s="8">
        <f t="shared" si="12"/>
        <v>5.4954087385762248E-13</v>
      </c>
      <c r="M97" s="26"/>
      <c r="N97" s="17"/>
      <c r="O97" s="9">
        <f t="shared" si="10"/>
        <v>-25.3</v>
      </c>
      <c r="P97" s="8">
        <f>D92/B92*10^(O97/10)</f>
        <v>0.23019431967997794</v>
      </c>
      <c r="Q97" s="26"/>
      <c r="R97" s="17"/>
      <c r="S97" s="20"/>
      <c r="T97" s="17"/>
      <c r="U97" s="23"/>
    </row>
    <row r="98" spans="1:21" x14ac:dyDescent="0.25">
      <c r="A98" s="24">
        <v>4000</v>
      </c>
      <c r="B98" s="24">
        <v>3</v>
      </c>
      <c r="C98" s="17">
        <v>0.5</v>
      </c>
      <c r="D98" s="24">
        <v>470</v>
      </c>
      <c r="E98" s="24">
        <v>6</v>
      </c>
      <c r="F98" s="25">
        <v>62</v>
      </c>
      <c r="G98" s="1">
        <v>2825</v>
      </c>
      <c r="H98" s="2">
        <v>99.4</v>
      </c>
      <c r="I98" s="2">
        <v>-23.7</v>
      </c>
      <c r="J98" s="2">
        <v>-27.3</v>
      </c>
      <c r="K98" s="2">
        <f t="shared" si="8"/>
        <v>-23.7</v>
      </c>
      <c r="L98" s="8">
        <f t="shared" si="12"/>
        <v>4.8977881936844462E-13</v>
      </c>
      <c r="M98" s="26">
        <f>SUM(L98:L103)</f>
        <v>2.7460282053826968E-12</v>
      </c>
      <c r="N98" s="17">
        <f>10*LOG10(M98/E98)</f>
        <v>-123.39446256674765</v>
      </c>
      <c r="O98" s="9">
        <f t="shared" si="10"/>
        <v>-27.3</v>
      </c>
      <c r="P98" s="8">
        <f>D98/B98*10^(O98/10)</f>
        <v>0.29172698474384906</v>
      </c>
      <c r="Q98" s="26">
        <f>SUM(P98:P103)</f>
        <v>1.9028786225213079</v>
      </c>
      <c r="R98" s="17">
        <f>10*LOG10(Q98)</f>
        <v>2.7941108715702159</v>
      </c>
      <c r="S98" s="18">
        <f>F98+N98-Kzt-H</f>
        <v>-61.394462566747649</v>
      </c>
      <c r="T98" s="17">
        <v>0.9</v>
      </c>
      <c r="U98" s="21">
        <f>T98*10^((S98-R98)/10)</f>
        <v>3.4307191411273444E-7</v>
      </c>
    </row>
    <row r="99" spans="1:21" x14ac:dyDescent="0.25">
      <c r="A99" s="24"/>
      <c r="B99" s="24"/>
      <c r="C99" s="17"/>
      <c r="D99" s="24"/>
      <c r="E99" s="24"/>
      <c r="F99" s="25"/>
      <c r="G99" s="1">
        <v>3425</v>
      </c>
      <c r="H99" s="2">
        <v>103.5</v>
      </c>
      <c r="I99" s="2">
        <v>-22.2</v>
      </c>
      <c r="J99" s="2">
        <v>-26.5</v>
      </c>
      <c r="K99" s="2">
        <f t="shared" si="8"/>
        <v>-22.2</v>
      </c>
      <c r="L99" s="8">
        <f t="shared" si="12"/>
        <v>2.6915348039269041E-13</v>
      </c>
      <c r="M99" s="26"/>
      <c r="N99" s="17"/>
      <c r="O99" s="9">
        <f t="shared" si="10"/>
        <v>-26.5</v>
      </c>
      <c r="P99" s="8">
        <f>D98/B98*10^(O99/10)</f>
        <v>0.35073297837570638</v>
      </c>
      <c r="Q99" s="26"/>
      <c r="R99" s="17"/>
      <c r="S99" s="19"/>
      <c r="T99" s="17"/>
      <c r="U99" s="22"/>
    </row>
    <row r="100" spans="1:21" x14ac:dyDescent="0.25">
      <c r="A100" s="24"/>
      <c r="B100" s="24"/>
      <c r="C100" s="17"/>
      <c r="D100" s="24"/>
      <c r="E100" s="24"/>
      <c r="F100" s="25"/>
      <c r="G100" s="1">
        <v>4025</v>
      </c>
      <c r="H100" s="2">
        <v>103.6</v>
      </c>
      <c r="I100" s="2">
        <v>-23.4</v>
      </c>
      <c r="J100" s="2">
        <v>-27.3</v>
      </c>
      <c r="K100" s="2">
        <f t="shared" si="8"/>
        <v>-23.4</v>
      </c>
      <c r="L100" s="8">
        <f t="shared" si="12"/>
        <v>1.9952623149688807E-13</v>
      </c>
      <c r="M100" s="26"/>
      <c r="N100" s="17"/>
      <c r="O100" s="9">
        <f t="shared" si="10"/>
        <v>-27.3</v>
      </c>
      <c r="P100" s="8">
        <f>D98/B98*10^(O100/10)</f>
        <v>0.29172698474384906</v>
      </c>
      <c r="Q100" s="26"/>
      <c r="R100" s="17"/>
      <c r="S100" s="19"/>
      <c r="T100" s="17"/>
      <c r="U100" s="22"/>
    </row>
    <row r="101" spans="1:21" x14ac:dyDescent="0.25">
      <c r="A101" s="24"/>
      <c r="B101" s="24"/>
      <c r="C101" s="17"/>
      <c r="D101" s="24"/>
      <c r="E101" s="24"/>
      <c r="F101" s="25"/>
      <c r="G101" s="1">
        <v>4625</v>
      </c>
      <c r="H101" s="2">
        <v>105.6</v>
      </c>
      <c r="I101" s="2">
        <v>-18.600000000000001</v>
      </c>
      <c r="J101" s="2">
        <v>-26</v>
      </c>
      <c r="K101" s="2">
        <f t="shared" si="8"/>
        <v>-18.600000000000001</v>
      </c>
      <c r="L101" s="8">
        <f t="shared" si="12"/>
        <v>3.8018939632056172E-13</v>
      </c>
      <c r="M101" s="26"/>
      <c r="N101" s="17"/>
      <c r="O101" s="9">
        <f t="shared" si="10"/>
        <v>-26</v>
      </c>
      <c r="P101" s="8">
        <f>D98/B98*10^(O101/10)</f>
        <v>0.39352887426983379</v>
      </c>
      <c r="Q101" s="26"/>
      <c r="R101" s="17"/>
      <c r="S101" s="19"/>
      <c r="T101" s="17"/>
      <c r="U101" s="22"/>
    </row>
    <row r="102" spans="1:21" x14ac:dyDescent="0.25">
      <c r="A102" s="24"/>
      <c r="B102" s="24"/>
      <c r="C102" s="17"/>
      <c r="D102" s="24"/>
      <c r="E102" s="24"/>
      <c r="F102" s="25"/>
      <c r="G102" s="1">
        <v>5225</v>
      </c>
      <c r="H102" s="2">
        <v>103.5</v>
      </c>
      <c r="I102" s="2">
        <v>-20.399999999999999</v>
      </c>
      <c r="J102" s="2">
        <v>-28.6</v>
      </c>
      <c r="K102" s="2">
        <f t="shared" si="8"/>
        <v>-20.399999999999999</v>
      </c>
      <c r="L102" s="8">
        <f t="shared" si="12"/>
        <v>4.0738027780411177E-13</v>
      </c>
      <c r="M102" s="26"/>
      <c r="N102" s="17"/>
      <c r="O102" s="9">
        <f t="shared" si="10"/>
        <v>-28.6</v>
      </c>
      <c r="P102" s="8">
        <f>D98/B98*10^(O102/10)</f>
        <v>0.21626020145445171</v>
      </c>
      <c r="Q102" s="26"/>
      <c r="R102" s="17"/>
      <c r="S102" s="19"/>
      <c r="T102" s="17"/>
      <c r="U102" s="22"/>
    </row>
    <row r="103" spans="1:21" x14ac:dyDescent="0.25">
      <c r="A103" s="24"/>
      <c r="B103" s="24"/>
      <c r="C103" s="17"/>
      <c r="D103" s="24"/>
      <c r="E103" s="24"/>
      <c r="F103" s="25"/>
      <c r="G103" s="1">
        <v>5625</v>
      </c>
      <c r="H103" s="2">
        <v>99.5</v>
      </c>
      <c r="I103" s="2">
        <v>-20.5</v>
      </c>
      <c r="J103" s="2">
        <v>-26.4</v>
      </c>
      <c r="K103" s="2">
        <f t="shared" si="8"/>
        <v>-20.5</v>
      </c>
      <c r="L103" s="8">
        <f t="shared" si="12"/>
        <v>9.9999999999999998E-13</v>
      </c>
      <c r="M103" s="26"/>
      <c r="N103" s="17"/>
      <c r="O103" s="9">
        <f t="shared" si="10"/>
        <v>-26.4</v>
      </c>
      <c r="P103" s="8">
        <f>D98/B98*10^(O103/10)</f>
        <v>0.35890259893361787</v>
      </c>
      <c r="Q103" s="26"/>
      <c r="R103" s="17"/>
      <c r="S103" s="20"/>
      <c r="T103" s="17"/>
      <c r="U103" s="23"/>
    </row>
    <row r="104" spans="1:21" x14ac:dyDescent="0.25">
      <c r="A104" s="24">
        <v>8000</v>
      </c>
      <c r="B104" s="24">
        <v>3</v>
      </c>
      <c r="C104" s="17">
        <v>0.5</v>
      </c>
      <c r="D104" s="24">
        <v>943</v>
      </c>
      <c r="E104" s="24">
        <v>6</v>
      </c>
      <c r="F104" s="25">
        <v>54</v>
      </c>
      <c r="G104" s="1">
        <v>6025</v>
      </c>
      <c r="H104" s="2">
        <v>95</v>
      </c>
      <c r="I104" s="2">
        <v>-20.7</v>
      </c>
      <c r="J104" s="2">
        <v>-27.8</v>
      </c>
      <c r="K104" s="2">
        <f t="shared" si="8"/>
        <v>-20.7</v>
      </c>
      <c r="L104" s="8">
        <f t="shared" si="12"/>
        <v>2.6915348039269074E-12</v>
      </c>
      <c r="M104" s="26">
        <f>SUM(L104:L109)</f>
        <v>2.9995259007365975E-11</v>
      </c>
      <c r="N104" s="17">
        <f>10*LOG10(M104/E104)</f>
        <v>-113.01098633985677</v>
      </c>
      <c r="O104" s="9">
        <f t="shared" si="10"/>
        <v>-27.8</v>
      </c>
      <c r="P104" s="8">
        <f>D104/B104*10^(O104/10)</f>
        <v>0.52166348457120604</v>
      </c>
      <c r="Q104" s="26">
        <f>SUM(P104:P109)</f>
        <v>3.59793494282252</v>
      </c>
      <c r="R104" s="17">
        <f>10*LOG10(Q104)</f>
        <v>5.5605330625004736</v>
      </c>
      <c r="S104" s="18">
        <f>F104+N104-Kzt-H</f>
        <v>-59.010986339856771</v>
      </c>
      <c r="T104" s="17">
        <v>0.7</v>
      </c>
      <c r="U104" s="21">
        <f>T104*10^((S104-R104)/10)</f>
        <v>2.4431273177208536E-7</v>
      </c>
    </row>
    <row r="105" spans="1:21" x14ac:dyDescent="0.25">
      <c r="A105" s="24"/>
      <c r="B105" s="24"/>
      <c r="C105" s="17"/>
      <c r="D105" s="24"/>
      <c r="E105" s="24"/>
      <c r="F105" s="25"/>
      <c r="G105" s="1">
        <v>7025</v>
      </c>
      <c r="H105" s="2">
        <v>94.8</v>
      </c>
      <c r="I105" s="2">
        <v>-23.7</v>
      </c>
      <c r="J105" s="2">
        <v>-28</v>
      </c>
      <c r="K105" s="2">
        <f t="shared" si="8"/>
        <v>-23.7</v>
      </c>
      <c r="L105" s="8">
        <f t="shared" si="12"/>
        <v>1.4125375446227535E-12</v>
      </c>
      <c r="M105" s="26"/>
      <c r="N105" s="17"/>
      <c r="O105" s="9">
        <f t="shared" si="10"/>
        <v>-28</v>
      </c>
      <c r="P105" s="8">
        <f>D104/B104*10^(O105/10)</f>
        <v>0.49818476016360996</v>
      </c>
      <c r="Q105" s="26"/>
      <c r="R105" s="17"/>
      <c r="S105" s="19"/>
      <c r="T105" s="17"/>
      <c r="U105" s="22"/>
    </row>
    <row r="106" spans="1:21" x14ac:dyDescent="0.25">
      <c r="A106" s="24"/>
      <c r="B106" s="24"/>
      <c r="C106" s="17"/>
      <c r="D106" s="24"/>
      <c r="E106" s="24"/>
      <c r="F106" s="25"/>
      <c r="G106" s="1">
        <v>8025</v>
      </c>
      <c r="H106" s="2">
        <v>101.9</v>
      </c>
      <c r="I106" s="2">
        <v>-24.8</v>
      </c>
      <c r="J106" s="2">
        <v>-26.8</v>
      </c>
      <c r="K106" s="2">
        <f t="shared" si="8"/>
        <v>-24.8</v>
      </c>
      <c r="L106" s="8">
        <f t="shared" si="12"/>
        <v>2.1379620895022253E-13</v>
      </c>
      <c r="M106" s="26"/>
      <c r="N106" s="17"/>
      <c r="O106" s="9">
        <f t="shared" si="10"/>
        <v>-26.8</v>
      </c>
      <c r="P106" s="8">
        <f>D104/B104*10^(O106/10)</f>
        <v>0.65673541713178563</v>
      </c>
      <c r="Q106" s="26"/>
      <c r="R106" s="17"/>
      <c r="S106" s="19"/>
      <c r="T106" s="17"/>
      <c r="U106" s="22"/>
    </row>
    <row r="107" spans="1:21" x14ac:dyDescent="0.25">
      <c r="A107" s="24"/>
      <c r="B107" s="24"/>
      <c r="C107" s="17"/>
      <c r="D107" s="24"/>
      <c r="E107" s="24"/>
      <c r="F107" s="25"/>
      <c r="G107" s="1">
        <v>9025</v>
      </c>
      <c r="H107" s="2">
        <v>93.2</v>
      </c>
      <c r="I107" s="2">
        <v>-23.4</v>
      </c>
      <c r="J107" s="2">
        <v>-26.7</v>
      </c>
      <c r="K107" s="2">
        <f t="shared" si="8"/>
        <v>-23.4</v>
      </c>
      <c r="L107" s="8">
        <f t="shared" si="12"/>
        <v>2.1877616239495474E-12</v>
      </c>
      <c r="M107" s="26"/>
      <c r="N107" s="17"/>
      <c r="O107" s="9">
        <f t="shared" si="10"/>
        <v>-26.7</v>
      </c>
      <c r="P107" s="8">
        <f>D104/B104*10^(O107/10)</f>
        <v>0.67203275013353481</v>
      </c>
      <c r="Q107" s="26"/>
      <c r="R107" s="17"/>
      <c r="S107" s="19"/>
      <c r="T107" s="17"/>
      <c r="U107" s="22"/>
    </row>
    <row r="108" spans="1:21" x14ac:dyDescent="0.25">
      <c r="A108" s="24"/>
      <c r="B108" s="24"/>
      <c r="C108" s="17"/>
      <c r="D108" s="24"/>
      <c r="E108" s="24"/>
      <c r="F108" s="25"/>
      <c r="G108" s="1">
        <v>10025</v>
      </c>
      <c r="H108" s="2">
        <v>88.3</v>
      </c>
      <c r="I108" s="2">
        <v>-20.399999999999999</v>
      </c>
      <c r="J108" s="2">
        <v>-25.3</v>
      </c>
      <c r="K108" s="2">
        <f t="shared" si="8"/>
        <v>-20.399999999999999</v>
      </c>
      <c r="L108" s="8">
        <f t="shared" si="12"/>
        <v>1.3489628825916547E-11</v>
      </c>
      <c r="M108" s="26"/>
      <c r="N108" s="17"/>
      <c r="O108" s="9">
        <f t="shared" si="10"/>
        <v>-25.3</v>
      </c>
      <c r="P108" s="8">
        <f>D104/B104*10^(O108/10)</f>
        <v>0.92766343358213321</v>
      </c>
      <c r="Q108" s="26"/>
      <c r="R108" s="17"/>
      <c r="S108" s="19"/>
      <c r="T108" s="17"/>
      <c r="U108" s="22"/>
    </row>
    <row r="109" spans="1:21" x14ac:dyDescent="0.25">
      <c r="A109" s="24"/>
      <c r="B109" s="24"/>
      <c r="C109" s="17"/>
      <c r="D109" s="24"/>
      <c r="E109" s="24"/>
      <c r="F109" s="25"/>
      <c r="G109" s="1">
        <v>11025</v>
      </c>
      <c r="H109" s="2">
        <v>86</v>
      </c>
      <c r="I109" s="2">
        <v>-24</v>
      </c>
      <c r="J109" s="2">
        <v>-29.9</v>
      </c>
      <c r="K109" s="2">
        <f t="shared" si="8"/>
        <v>-24</v>
      </c>
      <c r="L109" s="8">
        <f t="shared" si="12"/>
        <v>9.9999999999999994E-12</v>
      </c>
      <c r="M109" s="26"/>
      <c r="N109" s="17"/>
      <c r="O109" s="9">
        <f t="shared" si="10"/>
        <v>-29.9</v>
      </c>
      <c r="P109" s="8">
        <f>D104/B104*10^(O109/10)</f>
        <v>0.32165509724025038</v>
      </c>
      <c r="Q109" s="26"/>
      <c r="R109" s="17"/>
      <c r="S109" s="20"/>
      <c r="T109" s="17"/>
      <c r="U109" s="23"/>
    </row>
    <row r="110" spans="1:21" x14ac:dyDescent="0.25">
      <c r="A110" s="24" t="s">
        <v>20</v>
      </c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12">
        <f>U110</f>
        <v>6.9157052460562654E-2</v>
      </c>
      <c r="T110" s="2"/>
      <c r="U110" s="8">
        <f>0.8*SQRT(SUM(U76:U109))</f>
        <v>6.9157052460562654E-2</v>
      </c>
    </row>
    <row r="111" spans="1:21" x14ac:dyDescent="0.25">
      <c r="A111" s="27" t="s">
        <v>95</v>
      </c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9"/>
    </row>
    <row r="112" spans="1:21" x14ac:dyDescent="0.25">
      <c r="A112" s="24">
        <v>250</v>
      </c>
      <c r="B112" s="24">
        <v>3</v>
      </c>
      <c r="C112" s="17">
        <v>0.5</v>
      </c>
      <c r="D112" s="24">
        <v>38</v>
      </c>
      <c r="E112" s="24">
        <v>4</v>
      </c>
      <c r="F112" s="25">
        <v>84</v>
      </c>
      <c r="G112" s="1">
        <v>175</v>
      </c>
      <c r="H112" s="2">
        <v>84.8</v>
      </c>
      <c r="I112" s="2">
        <v>-18.5</v>
      </c>
      <c r="J112" s="2">
        <v>-21.1</v>
      </c>
      <c r="K112" s="2">
        <f>I112</f>
        <v>-18.5</v>
      </c>
      <c r="L112" s="8">
        <f>10^((K112-H112)/10)</f>
        <v>4.6773514128719782E-11</v>
      </c>
      <c r="M112" s="26">
        <f>SUM(L112:L115)</f>
        <v>6.9503853460505186E-11</v>
      </c>
      <c r="N112" s="17">
        <f>10*LOG10(M112/E112)</f>
        <v>-107.60051107741586</v>
      </c>
      <c r="O112" s="9">
        <f>J112</f>
        <v>-21.1</v>
      </c>
      <c r="P112" s="8">
        <f>D112/B112*10^(O112/10)</f>
        <v>9.8324634772967504E-2</v>
      </c>
      <c r="Q112" s="26">
        <f>SUM(P112:P115)</f>
        <v>0.30622136472254752</v>
      </c>
      <c r="R112" s="17">
        <f>10*LOG10(Q112)</f>
        <v>-5.1396451233983438</v>
      </c>
      <c r="S112" s="18">
        <f>F112+N112-Kzt-H</f>
        <v>-23.60051107741586</v>
      </c>
      <c r="T112" s="17">
        <v>0.2</v>
      </c>
      <c r="U112" s="21">
        <f>T112*10^((S112-R112)/10)</f>
        <v>2.8506467307278923E-3</v>
      </c>
    </row>
    <row r="113" spans="1:21" x14ac:dyDescent="0.25">
      <c r="A113" s="24"/>
      <c r="B113" s="24"/>
      <c r="C113" s="17"/>
      <c r="D113" s="24"/>
      <c r="E113" s="24"/>
      <c r="F113" s="25"/>
      <c r="G113" s="1">
        <v>225</v>
      </c>
      <c r="H113" s="2">
        <v>90</v>
      </c>
      <c r="I113" s="2">
        <v>-21.4</v>
      </c>
      <c r="J113" s="2">
        <v>-23.3</v>
      </c>
      <c r="K113" s="2">
        <f t="shared" ref="K113:K145" si="13">I113</f>
        <v>-21.4</v>
      </c>
      <c r="L113" s="8">
        <f t="shared" ref="L113:L114" si="14">10^((K113-H113)/10)</f>
        <v>7.2443596007498734E-12</v>
      </c>
      <c r="M113" s="26"/>
      <c r="N113" s="17"/>
      <c r="O113" s="9">
        <f t="shared" ref="O113:O145" si="15">J113</f>
        <v>-23.3</v>
      </c>
      <c r="P113" s="8">
        <f>D112/B112*10^(O113/10)</f>
        <v>5.9246451229711714E-2</v>
      </c>
      <c r="Q113" s="26"/>
      <c r="R113" s="17"/>
      <c r="S113" s="19"/>
      <c r="T113" s="17"/>
      <c r="U113" s="22"/>
    </row>
    <row r="114" spans="1:21" x14ac:dyDescent="0.25">
      <c r="A114" s="24"/>
      <c r="B114" s="24"/>
      <c r="C114" s="17"/>
      <c r="D114" s="24"/>
      <c r="E114" s="24"/>
      <c r="F114" s="25"/>
      <c r="G114" s="1">
        <v>275</v>
      </c>
      <c r="H114" s="2">
        <v>92.2</v>
      </c>
      <c r="I114" s="2">
        <v>-17.3</v>
      </c>
      <c r="J114" s="2">
        <v>-22.9</v>
      </c>
      <c r="K114" s="2">
        <f t="shared" si="13"/>
        <v>-17.3</v>
      </c>
      <c r="L114" s="8">
        <f t="shared" si="14"/>
        <v>1.1220184543019613E-11</v>
      </c>
      <c r="M114" s="26"/>
      <c r="N114" s="17"/>
      <c r="O114" s="9">
        <f t="shared" si="15"/>
        <v>-22.9</v>
      </c>
      <c r="P114" s="8">
        <f>D112/B112*10^(O114/10)</f>
        <v>6.4962441972239521E-2</v>
      </c>
      <c r="Q114" s="26"/>
      <c r="R114" s="17"/>
      <c r="S114" s="19"/>
      <c r="T114" s="17"/>
      <c r="U114" s="22"/>
    </row>
    <row r="115" spans="1:21" x14ac:dyDescent="0.25">
      <c r="A115" s="24"/>
      <c r="B115" s="24"/>
      <c r="C115" s="17"/>
      <c r="D115" s="24"/>
      <c r="E115" s="24"/>
      <c r="F115" s="25"/>
      <c r="G115" s="1">
        <v>325</v>
      </c>
      <c r="H115" s="2">
        <v>93.3</v>
      </c>
      <c r="I115" s="2">
        <v>-20.399999999999999</v>
      </c>
      <c r="J115" s="2">
        <v>-21.8</v>
      </c>
      <c r="K115" s="2">
        <f t="shared" si="13"/>
        <v>-20.399999999999999</v>
      </c>
      <c r="L115" s="8">
        <f>10^((K115-H115)/10)</f>
        <v>4.2657951880159207E-12</v>
      </c>
      <c r="M115" s="26"/>
      <c r="N115" s="17"/>
      <c r="O115" s="9">
        <f t="shared" si="15"/>
        <v>-21.8</v>
      </c>
      <c r="P115" s="8">
        <f>D112/B112*10^(O115/10)</f>
        <v>8.368783674762878E-2</v>
      </c>
      <c r="Q115" s="26"/>
      <c r="R115" s="17"/>
      <c r="S115" s="20"/>
      <c r="T115" s="17"/>
      <c r="U115" s="23"/>
    </row>
    <row r="116" spans="1:21" x14ac:dyDescent="0.25">
      <c r="A116" s="24">
        <v>500</v>
      </c>
      <c r="B116" s="24">
        <v>3</v>
      </c>
      <c r="C116" s="17">
        <v>0.5</v>
      </c>
      <c r="D116" s="24">
        <v>59</v>
      </c>
      <c r="E116" s="24">
        <v>6</v>
      </c>
      <c r="F116" s="25">
        <v>84</v>
      </c>
      <c r="G116" s="1">
        <v>375</v>
      </c>
      <c r="H116" s="2">
        <v>91.9</v>
      </c>
      <c r="I116" s="2">
        <v>-22.1</v>
      </c>
      <c r="J116" s="2">
        <v>-24.1</v>
      </c>
      <c r="K116" s="2">
        <f t="shared" si="13"/>
        <v>-22.1</v>
      </c>
      <c r="L116" s="8">
        <f t="shared" ref="L116:L117" si="16">10^((K116-H116)/10)</f>
        <v>3.9810717055349533E-12</v>
      </c>
      <c r="M116" s="26">
        <f>SUM(L116:L121)</f>
        <v>2.6189524695775038E-11</v>
      </c>
      <c r="N116" s="17">
        <f>10*LOG10(M116/E116)</f>
        <v>-113.6002363374059</v>
      </c>
      <c r="O116" s="9">
        <f t="shared" si="15"/>
        <v>-24.1</v>
      </c>
      <c r="P116" s="8">
        <f>D116/B116*10^(O116/10)</f>
        <v>7.651221184887512E-2</v>
      </c>
      <c r="Q116" s="26">
        <f>SUM(P116:P121)</f>
        <v>0.29745523760102527</v>
      </c>
      <c r="R116" s="17">
        <f>10*LOG10(Q116)</f>
        <v>-5.2657837960101839</v>
      </c>
      <c r="S116" s="18">
        <f>F116+N116-Kzt-H</f>
        <v>-29.600236337405903</v>
      </c>
      <c r="T116" s="17">
        <v>0.5</v>
      </c>
      <c r="U116" s="21">
        <f>T116*10^((S116-R116)/10)</f>
        <v>1.8429975173620185E-3</v>
      </c>
    </row>
    <row r="117" spans="1:21" x14ac:dyDescent="0.25">
      <c r="A117" s="24"/>
      <c r="B117" s="24"/>
      <c r="C117" s="17"/>
      <c r="D117" s="24"/>
      <c r="E117" s="24"/>
      <c r="F117" s="25"/>
      <c r="G117" s="1">
        <v>425</v>
      </c>
      <c r="H117" s="2">
        <v>88.1</v>
      </c>
      <c r="I117" s="2">
        <v>-21.8</v>
      </c>
      <c r="J117" s="2">
        <v>-28.3</v>
      </c>
      <c r="K117" s="2">
        <f t="shared" si="13"/>
        <v>-21.8</v>
      </c>
      <c r="L117" s="8">
        <f t="shared" si="16"/>
        <v>1.0232929922807561E-11</v>
      </c>
      <c r="M117" s="26"/>
      <c r="N117" s="17"/>
      <c r="O117" s="9">
        <f t="shared" si="15"/>
        <v>-28.3</v>
      </c>
      <c r="P117" s="8">
        <f>D116/B116*10^(O117/10)</f>
        <v>2.9089131633974731E-2</v>
      </c>
      <c r="Q117" s="26"/>
      <c r="R117" s="17"/>
      <c r="S117" s="19"/>
      <c r="T117" s="17"/>
      <c r="U117" s="22"/>
    </row>
    <row r="118" spans="1:21" x14ac:dyDescent="0.25">
      <c r="A118" s="24"/>
      <c r="B118" s="24"/>
      <c r="C118" s="17"/>
      <c r="D118" s="24"/>
      <c r="E118" s="24"/>
      <c r="F118" s="25"/>
      <c r="G118" s="1">
        <v>475</v>
      </c>
      <c r="H118" s="2">
        <v>90</v>
      </c>
      <c r="I118" s="2">
        <v>-21.7</v>
      </c>
      <c r="J118" s="2">
        <v>-26.3</v>
      </c>
      <c r="K118" s="2">
        <f t="shared" si="13"/>
        <v>-21.7</v>
      </c>
      <c r="L118" s="8">
        <f>10^((K118-H118)/10)</f>
        <v>6.7608297539197943E-12</v>
      </c>
      <c r="M118" s="26"/>
      <c r="N118" s="17"/>
      <c r="O118" s="9">
        <f t="shared" si="15"/>
        <v>-26.3</v>
      </c>
      <c r="P118" s="8">
        <f>D116/B116*10^(O118/10)</f>
        <v>4.6103166701291769E-2</v>
      </c>
      <c r="Q118" s="26"/>
      <c r="R118" s="17"/>
      <c r="S118" s="19"/>
      <c r="T118" s="17"/>
      <c r="U118" s="22"/>
    </row>
    <row r="119" spans="1:21" x14ac:dyDescent="0.25">
      <c r="A119" s="24"/>
      <c r="B119" s="24"/>
      <c r="C119" s="17"/>
      <c r="D119" s="24"/>
      <c r="E119" s="24"/>
      <c r="F119" s="25"/>
      <c r="G119" s="1">
        <v>575</v>
      </c>
      <c r="H119" s="2">
        <v>97</v>
      </c>
      <c r="I119" s="2">
        <v>-25.2</v>
      </c>
      <c r="J119" s="2">
        <v>-26.7</v>
      </c>
      <c r="K119" s="2">
        <f t="shared" si="13"/>
        <v>-25.2</v>
      </c>
      <c r="L119" s="8">
        <f t="shared" ref="L119:L145" si="17">10^((K119-H119)/10)</f>
        <v>6.025595860743553E-13</v>
      </c>
      <c r="M119" s="26"/>
      <c r="N119" s="17"/>
      <c r="O119" s="9">
        <f t="shared" si="15"/>
        <v>-26.7</v>
      </c>
      <c r="P119" s="8">
        <f>D116/B116*10^(O119/10)</f>
        <v>4.2046587760210558E-2</v>
      </c>
      <c r="Q119" s="26"/>
      <c r="R119" s="17"/>
      <c r="S119" s="19"/>
      <c r="T119" s="17"/>
      <c r="U119" s="22"/>
    </row>
    <row r="120" spans="1:21" x14ac:dyDescent="0.25">
      <c r="A120" s="24"/>
      <c r="B120" s="24"/>
      <c r="C120" s="17"/>
      <c r="D120" s="24"/>
      <c r="E120" s="24"/>
      <c r="F120" s="25"/>
      <c r="G120" s="1">
        <v>625</v>
      </c>
      <c r="H120" s="2">
        <v>92</v>
      </c>
      <c r="I120" s="2">
        <v>-23.9</v>
      </c>
      <c r="J120" s="2">
        <v>-25.5</v>
      </c>
      <c r="K120" s="2">
        <f t="shared" si="13"/>
        <v>-23.9</v>
      </c>
      <c r="L120" s="8">
        <f t="shared" si="17"/>
        <v>2.5703957827688561E-12</v>
      </c>
      <c r="M120" s="26"/>
      <c r="N120" s="17"/>
      <c r="O120" s="9">
        <f t="shared" si="15"/>
        <v>-25.5</v>
      </c>
      <c r="P120" s="8">
        <f>D116/B116*10^(O120/10)</f>
        <v>5.5428197648200894E-2</v>
      </c>
      <c r="Q120" s="26"/>
      <c r="R120" s="17"/>
      <c r="S120" s="19"/>
      <c r="T120" s="17"/>
      <c r="U120" s="22"/>
    </row>
    <row r="121" spans="1:21" x14ac:dyDescent="0.25">
      <c r="A121" s="24"/>
      <c r="B121" s="24"/>
      <c r="C121" s="17"/>
      <c r="D121" s="24"/>
      <c r="E121" s="24"/>
      <c r="F121" s="25"/>
      <c r="G121" s="1">
        <v>675</v>
      </c>
      <c r="H121" s="2">
        <v>94.5</v>
      </c>
      <c r="I121" s="2">
        <v>-22.4</v>
      </c>
      <c r="J121" s="2">
        <v>-26.1</v>
      </c>
      <c r="K121" s="2">
        <f t="shared" si="13"/>
        <v>-22.4</v>
      </c>
      <c r="L121" s="8">
        <f t="shared" si="17"/>
        <v>2.0417379446695178E-12</v>
      </c>
      <c r="M121" s="26"/>
      <c r="N121" s="17"/>
      <c r="O121" s="9">
        <f t="shared" si="15"/>
        <v>-26.1</v>
      </c>
      <c r="P121" s="8">
        <f>D116/B116*10^(O121/10)</f>
        <v>4.827594200847219E-2</v>
      </c>
      <c r="Q121" s="26"/>
      <c r="R121" s="17"/>
      <c r="S121" s="20"/>
      <c r="T121" s="17"/>
      <c r="U121" s="23"/>
    </row>
    <row r="122" spans="1:21" x14ac:dyDescent="0.25">
      <c r="A122" s="24">
        <v>1000</v>
      </c>
      <c r="B122" s="24">
        <v>3</v>
      </c>
      <c r="C122" s="17">
        <v>0.5</v>
      </c>
      <c r="D122" s="24">
        <v>117</v>
      </c>
      <c r="E122" s="24">
        <v>6</v>
      </c>
      <c r="F122" s="25">
        <v>76</v>
      </c>
      <c r="G122" s="1">
        <v>875</v>
      </c>
      <c r="H122" s="2">
        <v>91.1</v>
      </c>
      <c r="I122" s="2">
        <v>-24.5</v>
      </c>
      <c r="J122" s="2">
        <v>-26.4</v>
      </c>
      <c r="K122" s="2">
        <f t="shared" si="13"/>
        <v>-24.5</v>
      </c>
      <c r="L122" s="8">
        <f t="shared" si="17"/>
        <v>2.7542287033381671E-12</v>
      </c>
      <c r="M122" s="26">
        <f>SUM(L122:L127)</f>
        <v>9.6531794669234598E-12</v>
      </c>
      <c r="N122" s="17">
        <f>10*LOG10(M122/E122)</f>
        <v>-117.93480869939935</v>
      </c>
      <c r="O122" s="9">
        <f t="shared" si="15"/>
        <v>-26.4</v>
      </c>
      <c r="P122" s="8">
        <f>D122/B122*10^(O122/10)</f>
        <v>8.9343838457943178E-2</v>
      </c>
      <c r="Q122" s="26">
        <f>SUM(P122:P127)</f>
        <v>0.72699658056448291</v>
      </c>
      <c r="R122" s="17">
        <f>10*LOG10(Q122)</f>
        <v>-1.3846763184449551</v>
      </c>
      <c r="S122" s="18">
        <f>F122+N122-Kzt-H</f>
        <v>-41.934808699399355</v>
      </c>
      <c r="T122" s="17">
        <v>0.8</v>
      </c>
      <c r="U122" s="21">
        <f>T122*10^((S122-R122)/10)</f>
        <v>7.0481761394037247E-5</v>
      </c>
    </row>
    <row r="123" spans="1:21" x14ac:dyDescent="0.25">
      <c r="A123" s="24"/>
      <c r="B123" s="24"/>
      <c r="C123" s="17"/>
      <c r="D123" s="24"/>
      <c r="E123" s="24"/>
      <c r="F123" s="25"/>
      <c r="G123" s="1">
        <v>975</v>
      </c>
      <c r="H123" s="2">
        <v>96.5</v>
      </c>
      <c r="I123" s="2">
        <v>-23</v>
      </c>
      <c r="J123" s="2">
        <v>-24.9</v>
      </c>
      <c r="K123" s="2">
        <f t="shared" si="13"/>
        <v>-23</v>
      </c>
      <c r="L123" s="8">
        <f t="shared" si="17"/>
        <v>1.122018454301964E-12</v>
      </c>
      <c r="M123" s="26"/>
      <c r="N123" s="17"/>
      <c r="O123" s="9">
        <f t="shared" si="15"/>
        <v>-24.9</v>
      </c>
      <c r="P123" s="8">
        <f>D122/B122*10^(O123/10)</f>
        <v>0.12620152620255501</v>
      </c>
      <c r="Q123" s="26"/>
      <c r="R123" s="17"/>
      <c r="S123" s="19"/>
      <c r="T123" s="17"/>
      <c r="U123" s="22"/>
    </row>
    <row r="124" spans="1:21" x14ac:dyDescent="0.25">
      <c r="A124" s="24"/>
      <c r="B124" s="24"/>
      <c r="C124" s="17"/>
      <c r="D124" s="24"/>
      <c r="E124" s="24"/>
      <c r="F124" s="25"/>
      <c r="G124" s="1">
        <v>1075</v>
      </c>
      <c r="H124" s="2">
        <v>94.6</v>
      </c>
      <c r="I124" s="2">
        <v>-20.3</v>
      </c>
      <c r="J124" s="2">
        <v>-24.7</v>
      </c>
      <c r="K124" s="2">
        <f t="shared" si="13"/>
        <v>-20.3</v>
      </c>
      <c r="L124" s="8">
        <f t="shared" si="17"/>
        <v>3.2359365692962812E-12</v>
      </c>
      <c r="M124" s="26"/>
      <c r="N124" s="17"/>
      <c r="O124" s="9">
        <f t="shared" si="15"/>
        <v>-24.7</v>
      </c>
      <c r="P124" s="8">
        <f>D122/B122*10^(O124/10)</f>
        <v>0.13214922089428893</v>
      </c>
      <c r="Q124" s="26"/>
      <c r="R124" s="17"/>
      <c r="S124" s="19"/>
      <c r="T124" s="17"/>
      <c r="U124" s="22"/>
    </row>
    <row r="125" spans="1:21" x14ac:dyDescent="0.25">
      <c r="A125" s="24"/>
      <c r="B125" s="24"/>
      <c r="C125" s="17"/>
      <c r="D125" s="24"/>
      <c r="E125" s="24"/>
      <c r="F125" s="25"/>
      <c r="G125" s="1">
        <v>1175</v>
      </c>
      <c r="H125" s="2">
        <v>97.8</v>
      </c>
      <c r="I125" s="2">
        <v>-21.6</v>
      </c>
      <c r="J125" s="2">
        <v>-24.1</v>
      </c>
      <c r="K125" s="2">
        <f t="shared" si="13"/>
        <v>-21.6</v>
      </c>
      <c r="L125" s="8">
        <f t="shared" si="17"/>
        <v>1.1481536214968749E-12</v>
      </c>
      <c r="M125" s="26"/>
      <c r="N125" s="17"/>
      <c r="O125" s="9">
        <f t="shared" si="15"/>
        <v>-24.1</v>
      </c>
      <c r="P125" s="8">
        <f>D122/B122*10^(O125/10)</f>
        <v>0.15172760654776929</v>
      </c>
      <c r="Q125" s="26"/>
      <c r="R125" s="17"/>
      <c r="S125" s="19"/>
      <c r="T125" s="17"/>
      <c r="U125" s="22"/>
    </row>
    <row r="126" spans="1:21" x14ac:dyDescent="0.25">
      <c r="A126" s="24"/>
      <c r="B126" s="24"/>
      <c r="C126" s="17"/>
      <c r="D126" s="24"/>
      <c r="E126" s="24"/>
      <c r="F126" s="25"/>
      <c r="G126" s="1">
        <v>1275</v>
      </c>
      <c r="H126" s="2">
        <v>100.1</v>
      </c>
      <c r="I126" s="2">
        <v>-22</v>
      </c>
      <c r="J126" s="2">
        <v>-25.4</v>
      </c>
      <c r="K126" s="2">
        <f t="shared" si="13"/>
        <v>-22</v>
      </c>
      <c r="L126" s="8">
        <f t="shared" si="17"/>
        <v>6.1659500186148178E-13</v>
      </c>
      <c r="M126" s="26"/>
      <c r="N126" s="17"/>
      <c r="O126" s="9">
        <f t="shared" si="15"/>
        <v>-25.4</v>
      </c>
      <c r="P126" s="8">
        <f>D122/B122*10^(O126/10)</f>
        <v>0.11247722862193757</v>
      </c>
      <c r="Q126" s="26"/>
      <c r="R126" s="17"/>
      <c r="S126" s="19"/>
      <c r="T126" s="17"/>
      <c r="U126" s="22"/>
    </row>
    <row r="127" spans="1:21" x14ac:dyDescent="0.25">
      <c r="A127" s="24"/>
      <c r="B127" s="24"/>
      <c r="C127" s="17"/>
      <c r="D127" s="24"/>
      <c r="E127" s="24"/>
      <c r="F127" s="25"/>
      <c r="G127" s="1">
        <v>1375</v>
      </c>
      <c r="H127" s="2">
        <v>103</v>
      </c>
      <c r="I127" s="2">
        <v>-18.100000000000001</v>
      </c>
      <c r="J127" s="2">
        <v>-25.3</v>
      </c>
      <c r="K127" s="2">
        <f t="shared" si="13"/>
        <v>-18.100000000000001</v>
      </c>
      <c r="L127" s="8">
        <f t="shared" si="17"/>
        <v>7.7624711662869047E-13</v>
      </c>
      <c r="M127" s="26"/>
      <c r="N127" s="17"/>
      <c r="O127" s="9">
        <f t="shared" si="15"/>
        <v>-25.3</v>
      </c>
      <c r="P127" s="8">
        <f>D122/B122*10^(O127/10)</f>
        <v>0.11509715983998897</v>
      </c>
      <c r="Q127" s="26"/>
      <c r="R127" s="17"/>
      <c r="S127" s="20"/>
      <c r="T127" s="17"/>
      <c r="U127" s="23"/>
    </row>
    <row r="128" spans="1:21" x14ac:dyDescent="0.25">
      <c r="A128" s="24">
        <v>2000</v>
      </c>
      <c r="B128" s="24">
        <v>3</v>
      </c>
      <c r="C128" s="17">
        <v>0.5</v>
      </c>
      <c r="D128" s="24">
        <v>234</v>
      </c>
      <c r="E128" s="24">
        <v>6</v>
      </c>
      <c r="F128" s="25">
        <v>68</v>
      </c>
      <c r="G128" s="1">
        <v>1425</v>
      </c>
      <c r="H128" s="2">
        <v>102.8</v>
      </c>
      <c r="I128" s="2">
        <v>-19.899999999999999</v>
      </c>
      <c r="J128" s="2">
        <v>-28.8</v>
      </c>
      <c r="K128" s="2">
        <f t="shared" si="13"/>
        <v>-19.899999999999999</v>
      </c>
      <c r="L128" s="8">
        <f t="shared" si="17"/>
        <v>5.3703179637025273E-13</v>
      </c>
      <c r="M128" s="26">
        <f>SUM(L128:L133)</f>
        <v>4.7779026138456532E-12</v>
      </c>
      <c r="N128" s="17">
        <f>10*LOG10(M128/E128)</f>
        <v>-120.98913956937236</v>
      </c>
      <c r="O128" s="9">
        <f t="shared" si="15"/>
        <v>-28.8</v>
      </c>
      <c r="P128" s="8">
        <f>D128/B128*10^(O128/10)</f>
        <v>0.10282402560739975</v>
      </c>
      <c r="Q128" s="26">
        <f>SUM(P128:P133)</f>
        <v>1.3054026576891651</v>
      </c>
      <c r="R128" s="17">
        <f>10*LOG10(Q128)</f>
        <v>1.1574449254761228</v>
      </c>
      <c r="S128" s="18">
        <f>F128+N128-Kzt-H</f>
        <v>-52.989139569372355</v>
      </c>
      <c r="T128" s="17">
        <v>1</v>
      </c>
      <c r="U128" s="21">
        <f>T128*10^((S128-R128)/10)</f>
        <v>3.8489436288232889E-6</v>
      </c>
    </row>
    <row r="129" spans="1:21" x14ac:dyDescent="0.25">
      <c r="A129" s="24"/>
      <c r="B129" s="24"/>
      <c r="C129" s="17"/>
      <c r="D129" s="24"/>
      <c r="E129" s="24"/>
      <c r="F129" s="25"/>
      <c r="G129" s="1">
        <v>1625</v>
      </c>
      <c r="H129" s="2">
        <v>104.1</v>
      </c>
      <c r="I129" s="2">
        <v>-21.7</v>
      </c>
      <c r="J129" s="2">
        <v>-22.4</v>
      </c>
      <c r="K129" s="2">
        <f t="shared" si="13"/>
        <v>-21.7</v>
      </c>
      <c r="L129" s="8">
        <f t="shared" si="17"/>
        <v>2.6302679918953709E-13</v>
      </c>
      <c r="M129" s="26"/>
      <c r="N129" s="17"/>
      <c r="O129" s="9">
        <f t="shared" si="15"/>
        <v>-22.4</v>
      </c>
      <c r="P129" s="8">
        <f>D128/B128*10^(O129/10)</f>
        <v>0.44884315112298245</v>
      </c>
      <c r="Q129" s="26"/>
      <c r="R129" s="17"/>
      <c r="S129" s="19"/>
      <c r="T129" s="17"/>
      <c r="U129" s="22"/>
    </row>
    <row r="130" spans="1:21" x14ac:dyDescent="0.25">
      <c r="A130" s="24"/>
      <c r="B130" s="24"/>
      <c r="C130" s="17"/>
      <c r="D130" s="24"/>
      <c r="E130" s="24"/>
      <c r="F130" s="25"/>
      <c r="G130" s="1">
        <v>1825</v>
      </c>
      <c r="H130" s="2">
        <v>107.6</v>
      </c>
      <c r="I130" s="2">
        <v>-22.5</v>
      </c>
      <c r="J130" s="2">
        <v>-27.7</v>
      </c>
      <c r="K130" s="2">
        <f t="shared" si="13"/>
        <v>-22.5</v>
      </c>
      <c r="L130" s="8">
        <f t="shared" si="17"/>
        <v>9.772372209558072E-14</v>
      </c>
      <c r="M130" s="26"/>
      <c r="N130" s="17"/>
      <c r="O130" s="9">
        <f t="shared" si="15"/>
        <v>-27.7</v>
      </c>
      <c r="P130" s="8">
        <f>D128/B128*10^(O130/10)</f>
        <v>0.13246300489201593</v>
      </c>
      <c r="Q130" s="26"/>
      <c r="R130" s="17"/>
      <c r="S130" s="19"/>
      <c r="T130" s="17"/>
      <c r="U130" s="22"/>
    </row>
    <row r="131" spans="1:21" x14ac:dyDescent="0.25">
      <c r="A131" s="24"/>
      <c r="B131" s="24"/>
      <c r="C131" s="17"/>
      <c r="D131" s="24"/>
      <c r="E131" s="24"/>
      <c r="F131" s="25"/>
      <c r="G131" s="1">
        <v>2125</v>
      </c>
      <c r="H131" s="2">
        <v>104.2</v>
      </c>
      <c r="I131" s="2">
        <v>-25.5</v>
      </c>
      <c r="J131" s="2">
        <v>-26.4</v>
      </c>
      <c r="K131" s="2">
        <f t="shared" si="13"/>
        <v>-25.5</v>
      </c>
      <c r="L131" s="8">
        <f t="shared" si="17"/>
        <v>1.071519305237606E-13</v>
      </c>
      <c r="M131" s="26"/>
      <c r="N131" s="17"/>
      <c r="O131" s="9">
        <f t="shared" si="15"/>
        <v>-26.4</v>
      </c>
      <c r="P131" s="8">
        <f>D128/B128*10^(O131/10)</f>
        <v>0.17868767691588636</v>
      </c>
      <c r="Q131" s="26"/>
      <c r="R131" s="17"/>
      <c r="S131" s="19"/>
      <c r="T131" s="17"/>
      <c r="U131" s="22"/>
    </row>
    <row r="132" spans="1:21" x14ac:dyDescent="0.25">
      <c r="A132" s="24"/>
      <c r="B132" s="24"/>
      <c r="C132" s="17"/>
      <c r="D132" s="24"/>
      <c r="E132" s="24"/>
      <c r="F132" s="25"/>
      <c r="G132" s="1">
        <v>2425</v>
      </c>
      <c r="H132" s="2">
        <v>93.7</v>
      </c>
      <c r="I132" s="2">
        <v>-21.2</v>
      </c>
      <c r="J132" s="2">
        <v>-26</v>
      </c>
      <c r="K132" s="2">
        <f t="shared" si="13"/>
        <v>-21.2</v>
      </c>
      <c r="L132" s="8">
        <f t="shared" si="17"/>
        <v>3.2359365692962695E-12</v>
      </c>
      <c r="M132" s="26"/>
      <c r="N132" s="17"/>
      <c r="O132" s="9">
        <f t="shared" si="15"/>
        <v>-26</v>
      </c>
      <c r="P132" s="8">
        <f>D128/B128*10^(O132/10)</f>
        <v>0.19592714165774705</v>
      </c>
      <c r="Q132" s="26"/>
      <c r="R132" s="17"/>
      <c r="S132" s="19"/>
      <c r="T132" s="17"/>
      <c r="U132" s="22"/>
    </row>
    <row r="133" spans="1:21" x14ac:dyDescent="0.25">
      <c r="A133" s="24"/>
      <c r="B133" s="24"/>
      <c r="C133" s="17"/>
      <c r="D133" s="24"/>
      <c r="E133" s="24"/>
      <c r="F133" s="25"/>
      <c r="G133" s="1">
        <v>2775</v>
      </c>
      <c r="H133" s="2">
        <v>100.2</v>
      </c>
      <c r="I133" s="2">
        <v>-22.5</v>
      </c>
      <c r="J133" s="2">
        <v>-25</v>
      </c>
      <c r="K133" s="2">
        <f t="shared" si="13"/>
        <v>-22.5</v>
      </c>
      <c r="L133" s="8">
        <f t="shared" si="17"/>
        <v>5.3703179637025273E-13</v>
      </c>
      <c r="M133" s="26"/>
      <c r="N133" s="17"/>
      <c r="O133" s="9">
        <f t="shared" si="15"/>
        <v>-25</v>
      </c>
      <c r="P133" s="8">
        <f>D128/B128*10^(O133/10)</f>
        <v>0.24665765749313334</v>
      </c>
      <c r="Q133" s="26"/>
      <c r="R133" s="17"/>
      <c r="S133" s="20"/>
      <c r="T133" s="17"/>
      <c r="U133" s="23"/>
    </row>
    <row r="134" spans="1:21" x14ac:dyDescent="0.25">
      <c r="A134" s="24">
        <v>4000</v>
      </c>
      <c r="B134" s="24">
        <v>3</v>
      </c>
      <c r="C134" s="17">
        <v>0.5</v>
      </c>
      <c r="D134" s="24">
        <v>470</v>
      </c>
      <c r="E134" s="24">
        <v>6</v>
      </c>
      <c r="F134" s="25">
        <v>62</v>
      </c>
      <c r="G134" s="1">
        <v>2825</v>
      </c>
      <c r="H134" s="2">
        <v>99.4</v>
      </c>
      <c r="I134" s="2">
        <v>-25.8</v>
      </c>
      <c r="J134" s="2">
        <v>-27.1</v>
      </c>
      <c r="K134" s="2">
        <f t="shared" si="13"/>
        <v>-25.8</v>
      </c>
      <c r="L134" s="8">
        <f t="shared" si="17"/>
        <v>3.0199517204020122E-13</v>
      </c>
      <c r="M134" s="26">
        <f>SUM(L134:L139)</f>
        <v>2.2509917849812872E-12</v>
      </c>
      <c r="N134" s="17">
        <f>10*LOG10(M134/E134)</f>
        <v>-124.25777340342611</v>
      </c>
      <c r="O134" s="9">
        <f t="shared" si="15"/>
        <v>-27.1</v>
      </c>
      <c r="P134" s="8">
        <f>D134/B134*10^(O134/10)</f>
        <v>0.30547565396209353</v>
      </c>
      <c r="Q134" s="26">
        <f>SUM(P134:P139)</f>
        <v>1.8741855832308616</v>
      </c>
      <c r="R134" s="17">
        <f>10*LOG10(Q134)</f>
        <v>2.7281259283913402</v>
      </c>
      <c r="S134" s="18">
        <f>F134+N134-Kzt-H</f>
        <v>-62.257773403426114</v>
      </c>
      <c r="T134" s="17">
        <v>0.9</v>
      </c>
      <c r="U134" s="21">
        <f>T134*10^((S134-R134)/10)</f>
        <v>2.855305462988884E-7</v>
      </c>
    </row>
    <row r="135" spans="1:21" x14ac:dyDescent="0.25">
      <c r="A135" s="24"/>
      <c r="B135" s="24"/>
      <c r="C135" s="17"/>
      <c r="D135" s="24"/>
      <c r="E135" s="24"/>
      <c r="F135" s="25"/>
      <c r="G135" s="1">
        <v>3425</v>
      </c>
      <c r="H135" s="2">
        <v>103.5</v>
      </c>
      <c r="I135" s="2">
        <v>-25.4</v>
      </c>
      <c r="J135" s="2">
        <v>-27.7</v>
      </c>
      <c r="K135" s="2">
        <f t="shared" si="13"/>
        <v>-25.4</v>
      </c>
      <c r="L135" s="8">
        <f t="shared" si="17"/>
        <v>1.288249551693128E-13</v>
      </c>
      <c r="M135" s="26"/>
      <c r="N135" s="17"/>
      <c r="O135" s="9">
        <f t="shared" si="15"/>
        <v>-27.7</v>
      </c>
      <c r="P135" s="8">
        <f>D134/B134*10^(O135/10)</f>
        <v>0.26605817221900629</v>
      </c>
      <c r="Q135" s="26"/>
      <c r="R135" s="17"/>
      <c r="S135" s="19"/>
      <c r="T135" s="17"/>
      <c r="U135" s="22"/>
    </row>
    <row r="136" spans="1:21" x14ac:dyDescent="0.25">
      <c r="A136" s="24"/>
      <c r="B136" s="24"/>
      <c r="C136" s="17"/>
      <c r="D136" s="24"/>
      <c r="E136" s="24"/>
      <c r="F136" s="25"/>
      <c r="G136" s="1">
        <v>4025</v>
      </c>
      <c r="H136" s="2">
        <v>103.6</v>
      </c>
      <c r="I136" s="2">
        <v>-23.3</v>
      </c>
      <c r="J136" s="2">
        <v>-27</v>
      </c>
      <c r="K136" s="2">
        <f t="shared" si="13"/>
        <v>-23.3</v>
      </c>
      <c r="L136" s="8">
        <f t="shared" si="17"/>
        <v>2.0417379446695228E-13</v>
      </c>
      <c r="M136" s="26"/>
      <c r="N136" s="17"/>
      <c r="O136" s="9">
        <f t="shared" si="15"/>
        <v>-27</v>
      </c>
      <c r="P136" s="8">
        <f>D134/B134*10^(O136/10)</f>
        <v>0.31259109601179086</v>
      </c>
      <c r="Q136" s="26"/>
      <c r="R136" s="17"/>
      <c r="S136" s="19"/>
      <c r="T136" s="17"/>
      <c r="U136" s="22"/>
    </row>
    <row r="137" spans="1:21" x14ac:dyDescent="0.25">
      <c r="A137" s="24"/>
      <c r="B137" s="24"/>
      <c r="C137" s="17"/>
      <c r="D137" s="24"/>
      <c r="E137" s="24"/>
      <c r="F137" s="25"/>
      <c r="G137" s="1">
        <v>4625</v>
      </c>
      <c r="H137" s="2">
        <v>105.6</v>
      </c>
      <c r="I137" s="2">
        <v>-24.7</v>
      </c>
      <c r="J137" s="2">
        <v>-26.4</v>
      </c>
      <c r="K137" s="2">
        <f t="shared" si="13"/>
        <v>-24.7</v>
      </c>
      <c r="L137" s="8">
        <f t="shared" si="17"/>
        <v>9.3325430079699445E-14</v>
      </c>
      <c r="M137" s="26"/>
      <c r="N137" s="17"/>
      <c r="O137" s="9">
        <f t="shared" si="15"/>
        <v>-26.4</v>
      </c>
      <c r="P137" s="8">
        <f>D134/B134*10^(O137/10)</f>
        <v>0.35890259893361787</v>
      </c>
      <c r="Q137" s="26"/>
      <c r="R137" s="17"/>
      <c r="S137" s="19"/>
      <c r="T137" s="17"/>
      <c r="U137" s="22"/>
    </row>
    <row r="138" spans="1:21" x14ac:dyDescent="0.25">
      <c r="A138" s="24"/>
      <c r="B138" s="24"/>
      <c r="C138" s="17"/>
      <c r="D138" s="24"/>
      <c r="E138" s="24"/>
      <c r="F138" s="25"/>
      <c r="G138" s="1">
        <v>5225</v>
      </c>
      <c r="H138" s="2">
        <v>103.5</v>
      </c>
      <c r="I138" s="2">
        <v>-22.8</v>
      </c>
      <c r="J138" s="2">
        <v>-26.4</v>
      </c>
      <c r="K138" s="2">
        <f t="shared" si="13"/>
        <v>-22.8</v>
      </c>
      <c r="L138" s="8">
        <f t="shared" si="17"/>
        <v>2.3442288153199217E-13</v>
      </c>
      <c r="M138" s="26"/>
      <c r="N138" s="17"/>
      <c r="O138" s="9">
        <f t="shared" si="15"/>
        <v>-26.4</v>
      </c>
      <c r="P138" s="8">
        <f>D134/B134*10^(O138/10)</f>
        <v>0.35890259893361787</v>
      </c>
      <c r="Q138" s="26"/>
      <c r="R138" s="17"/>
      <c r="S138" s="19"/>
      <c r="T138" s="17"/>
      <c r="U138" s="22"/>
    </row>
    <row r="139" spans="1:21" x14ac:dyDescent="0.25">
      <c r="A139" s="24"/>
      <c r="B139" s="24"/>
      <c r="C139" s="17"/>
      <c r="D139" s="24"/>
      <c r="E139" s="24"/>
      <c r="F139" s="25"/>
      <c r="G139" s="1">
        <v>5625</v>
      </c>
      <c r="H139" s="2">
        <v>99.5</v>
      </c>
      <c r="I139" s="2">
        <v>-19.399999999999999</v>
      </c>
      <c r="J139" s="2">
        <v>-27.6</v>
      </c>
      <c r="K139" s="2">
        <f t="shared" si="13"/>
        <v>-19.399999999999999</v>
      </c>
      <c r="L139" s="8">
        <f t="shared" si="17"/>
        <v>1.2882495516931293E-12</v>
      </c>
      <c r="M139" s="26"/>
      <c r="N139" s="17"/>
      <c r="O139" s="9">
        <f t="shared" si="15"/>
        <v>-27.6</v>
      </c>
      <c r="P139" s="8">
        <f>D134/B134*10^(O139/10)</f>
        <v>0.27225546317073518</v>
      </c>
      <c r="Q139" s="26"/>
      <c r="R139" s="17"/>
      <c r="S139" s="20"/>
      <c r="T139" s="17"/>
      <c r="U139" s="23"/>
    </row>
    <row r="140" spans="1:21" x14ac:dyDescent="0.25">
      <c r="A140" s="24">
        <v>8000</v>
      </c>
      <c r="B140" s="24">
        <v>3</v>
      </c>
      <c r="C140" s="17">
        <v>0.5</v>
      </c>
      <c r="D140" s="24">
        <v>943</v>
      </c>
      <c r="E140" s="24">
        <v>6</v>
      </c>
      <c r="F140" s="25">
        <v>54</v>
      </c>
      <c r="G140" s="1">
        <v>6025</v>
      </c>
      <c r="H140" s="2">
        <v>95</v>
      </c>
      <c r="I140" s="2">
        <v>-23.6</v>
      </c>
      <c r="J140" s="2">
        <v>-29.2</v>
      </c>
      <c r="K140" s="2">
        <f t="shared" si="13"/>
        <v>-23.6</v>
      </c>
      <c r="L140" s="8">
        <f t="shared" si="17"/>
        <v>1.3803842646028842E-12</v>
      </c>
      <c r="M140" s="26">
        <f>SUM(L140:L145)</f>
        <v>4.8505302236045841E-11</v>
      </c>
      <c r="N140" s="17">
        <f>10*LOG10(M140/E140)</f>
        <v>-110.92362035369149</v>
      </c>
      <c r="O140" s="9">
        <f t="shared" si="15"/>
        <v>-29.2</v>
      </c>
      <c r="P140" s="8">
        <f>D140/B140*10^(O140/10)</f>
        <v>0.37791178728140662</v>
      </c>
      <c r="Q140" s="26">
        <f>SUM(P140:P145)</f>
        <v>3.3347629770679661</v>
      </c>
      <c r="R140" s="17">
        <f>10*LOG10(Q140)</f>
        <v>5.2306497126318172</v>
      </c>
      <c r="S140" s="18">
        <f>F140+N140-Kzt-H</f>
        <v>-56.92362035369149</v>
      </c>
      <c r="T140" s="17">
        <v>0.7</v>
      </c>
      <c r="U140" s="21">
        <f>T140*10^((S140-R140)/10)</f>
        <v>4.2625651841221391E-7</v>
      </c>
    </row>
    <row r="141" spans="1:21" x14ac:dyDescent="0.25">
      <c r="A141" s="24"/>
      <c r="B141" s="24"/>
      <c r="C141" s="17"/>
      <c r="D141" s="24"/>
      <c r="E141" s="24"/>
      <c r="F141" s="25"/>
      <c r="G141" s="1">
        <v>7025</v>
      </c>
      <c r="H141" s="2">
        <v>94.8</v>
      </c>
      <c r="I141" s="2">
        <v>-22.8</v>
      </c>
      <c r="J141" s="2">
        <v>-27.2</v>
      </c>
      <c r="K141" s="2">
        <f t="shared" si="13"/>
        <v>-22.8</v>
      </c>
      <c r="L141" s="8">
        <f t="shared" si="17"/>
        <v>1.737800828749373E-12</v>
      </c>
      <c r="M141" s="26"/>
      <c r="N141" s="17"/>
      <c r="O141" s="9">
        <f t="shared" si="15"/>
        <v>-27.2</v>
      </c>
      <c r="P141" s="8">
        <f>D140/B140*10^(O141/10)</f>
        <v>0.59894981901311406</v>
      </c>
      <c r="Q141" s="26"/>
      <c r="R141" s="17"/>
      <c r="S141" s="19"/>
      <c r="T141" s="17"/>
      <c r="U141" s="22"/>
    </row>
    <row r="142" spans="1:21" x14ac:dyDescent="0.25">
      <c r="A142" s="24"/>
      <c r="B142" s="24"/>
      <c r="C142" s="17"/>
      <c r="D142" s="24"/>
      <c r="E142" s="24"/>
      <c r="F142" s="25"/>
      <c r="G142" s="1">
        <v>8025</v>
      </c>
      <c r="H142" s="2">
        <v>101.9</v>
      </c>
      <c r="I142" s="2">
        <v>-22.2</v>
      </c>
      <c r="J142" s="2">
        <v>-26.7</v>
      </c>
      <c r="K142" s="2">
        <f t="shared" si="13"/>
        <v>-22.2</v>
      </c>
      <c r="L142" s="8">
        <f t="shared" si="17"/>
        <v>3.8904514499427974E-13</v>
      </c>
      <c r="M142" s="26"/>
      <c r="N142" s="17"/>
      <c r="O142" s="9">
        <f t="shared" si="15"/>
        <v>-26.7</v>
      </c>
      <c r="P142" s="8">
        <f>D140/B140*10^(O142/10)</f>
        <v>0.67203275013353481</v>
      </c>
      <c r="Q142" s="26"/>
      <c r="R142" s="17"/>
      <c r="S142" s="19"/>
      <c r="T142" s="17"/>
      <c r="U142" s="22"/>
    </row>
    <row r="143" spans="1:21" x14ac:dyDescent="0.25">
      <c r="A143" s="24"/>
      <c r="B143" s="24"/>
      <c r="C143" s="17"/>
      <c r="D143" s="24"/>
      <c r="E143" s="24"/>
      <c r="F143" s="25"/>
      <c r="G143" s="1">
        <v>9025</v>
      </c>
      <c r="H143" s="2">
        <v>93.2</v>
      </c>
      <c r="I143" s="2">
        <v>-20.5</v>
      </c>
      <c r="J143" s="2">
        <v>-25.8</v>
      </c>
      <c r="K143" s="2">
        <f t="shared" si="13"/>
        <v>-20.5</v>
      </c>
      <c r="L143" s="8">
        <f t="shared" si="17"/>
        <v>4.2657951880159045E-12</v>
      </c>
      <c r="M143" s="26"/>
      <c r="N143" s="17"/>
      <c r="O143" s="9">
        <f t="shared" si="15"/>
        <v>-25.8</v>
      </c>
      <c r="P143" s="8">
        <f>D140/B140*10^(O143/10)</f>
        <v>0.82678090545244742</v>
      </c>
      <c r="Q143" s="26"/>
      <c r="R143" s="17"/>
      <c r="S143" s="19"/>
      <c r="T143" s="17"/>
      <c r="U143" s="22"/>
    </row>
    <row r="144" spans="1:21" x14ac:dyDescent="0.25">
      <c r="A144" s="24"/>
      <c r="B144" s="24"/>
      <c r="C144" s="17"/>
      <c r="D144" s="24"/>
      <c r="E144" s="24"/>
      <c r="F144" s="25"/>
      <c r="G144" s="1">
        <v>10025</v>
      </c>
      <c r="H144" s="2">
        <v>88.3</v>
      </c>
      <c r="I144" s="2">
        <v>-21.2</v>
      </c>
      <c r="J144" s="2">
        <v>-29.4</v>
      </c>
      <c r="K144" s="2">
        <f t="shared" si="13"/>
        <v>-21.2</v>
      </c>
      <c r="L144" s="8">
        <f t="shared" si="17"/>
        <v>1.1220184543019613E-11</v>
      </c>
      <c r="M144" s="26"/>
      <c r="N144" s="17"/>
      <c r="O144" s="9">
        <f t="shared" si="15"/>
        <v>-29.4</v>
      </c>
      <c r="P144" s="8">
        <f>D140/B140*10^(O144/10)</f>
        <v>0.36090295502385339</v>
      </c>
      <c r="Q144" s="26"/>
      <c r="R144" s="17"/>
      <c r="S144" s="19"/>
      <c r="T144" s="17"/>
      <c r="U144" s="22"/>
    </row>
    <row r="145" spans="1:21" x14ac:dyDescent="0.25">
      <c r="A145" s="24"/>
      <c r="B145" s="24"/>
      <c r="C145" s="17"/>
      <c r="D145" s="24"/>
      <c r="E145" s="24"/>
      <c r="F145" s="25"/>
      <c r="G145" s="1">
        <v>11025</v>
      </c>
      <c r="H145" s="2">
        <v>86</v>
      </c>
      <c r="I145" s="2">
        <v>-19.3</v>
      </c>
      <c r="J145" s="2">
        <v>-28</v>
      </c>
      <c r="K145" s="2">
        <f t="shared" si="13"/>
        <v>-19.3</v>
      </c>
      <c r="L145" s="8">
        <f t="shared" si="17"/>
        <v>2.9512092266663787E-11</v>
      </c>
      <c r="M145" s="26"/>
      <c r="N145" s="17"/>
      <c r="O145" s="9">
        <f t="shared" si="15"/>
        <v>-28</v>
      </c>
      <c r="P145" s="8">
        <f>D140/B140*10^(O145/10)</f>
        <v>0.49818476016360996</v>
      </c>
      <c r="Q145" s="26"/>
      <c r="R145" s="17"/>
      <c r="S145" s="20"/>
      <c r="T145" s="17"/>
      <c r="U145" s="23"/>
    </row>
    <row r="146" spans="1:21" x14ac:dyDescent="0.25">
      <c r="A146" s="24" t="s">
        <v>20</v>
      </c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12">
        <f>U146</f>
        <v>5.5244542841022662E-2</v>
      </c>
      <c r="T146" s="2"/>
      <c r="U146" s="8">
        <f>0.8*SQRT(SUM(U112:U145))</f>
        <v>5.5244542841022662E-2</v>
      </c>
    </row>
    <row r="147" spans="1:21" x14ac:dyDescent="0.25">
      <c r="A147" s="27" t="s">
        <v>96</v>
      </c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9"/>
    </row>
    <row r="148" spans="1:21" x14ac:dyDescent="0.25">
      <c r="A148" s="24">
        <v>250</v>
      </c>
      <c r="B148" s="24">
        <v>3</v>
      </c>
      <c r="C148" s="17">
        <v>0.5</v>
      </c>
      <c r="D148" s="24">
        <v>38</v>
      </c>
      <c r="E148" s="24">
        <v>4</v>
      </c>
      <c r="F148" s="25">
        <v>84</v>
      </c>
      <c r="G148" s="1">
        <v>175</v>
      </c>
      <c r="H148" s="2">
        <v>84.8</v>
      </c>
      <c r="I148" s="2">
        <v>-20.100000000000001</v>
      </c>
      <c r="J148" s="2">
        <v>-21.1</v>
      </c>
      <c r="K148" s="2">
        <f>I148</f>
        <v>-20.100000000000001</v>
      </c>
      <c r="L148" s="8">
        <f>10^((K148-H148)/10)</f>
        <v>3.2359365692962733E-11</v>
      </c>
      <c r="M148" s="26">
        <f>SUM(L148:L151)</f>
        <v>5.2805579703119622E-11</v>
      </c>
      <c r="N148" s="17">
        <f>10*LOG10(M148/E148)</f>
        <v>-108.79380176630411</v>
      </c>
      <c r="O148" s="9">
        <f>J148</f>
        <v>-21.1</v>
      </c>
      <c r="P148" s="8">
        <f>D148/B148*10^(O148/10)</f>
        <v>9.8324634772967504E-2</v>
      </c>
      <c r="Q148" s="26">
        <f>SUM(P148:P151)</f>
        <v>0.2627535887203411</v>
      </c>
      <c r="R148" s="17">
        <f>10*LOG10(Q148)</f>
        <v>-5.8045134361257391</v>
      </c>
      <c r="S148" s="18">
        <f>F148+N148-Kzt-H</f>
        <v>-24.793801766304114</v>
      </c>
      <c r="T148" s="17">
        <v>0.2</v>
      </c>
      <c r="U148" s="21">
        <f>T148*10^((S148-R148)/10)</f>
        <v>2.52406864945695E-3</v>
      </c>
    </row>
    <row r="149" spans="1:21" x14ac:dyDescent="0.25">
      <c r="A149" s="24"/>
      <c r="B149" s="24"/>
      <c r="C149" s="17"/>
      <c r="D149" s="24"/>
      <c r="E149" s="24"/>
      <c r="F149" s="25"/>
      <c r="G149" s="1">
        <v>225</v>
      </c>
      <c r="H149" s="2">
        <v>90</v>
      </c>
      <c r="I149" s="2">
        <v>-18.3</v>
      </c>
      <c r="J149" s="2">
        <v>-22.5</v>
      </c>
      <c r="K149" s="2">
        <f t="shared" ref="K149:K181" si="18">I149</f>
        <v>-18.3</v>
      </c>
      <c r="L149" s="8">
        <f t="shared" ref="L149:L150" si="19">10^((K149-H149)/10)</f>
        <v>1.4791083881682027E-11</v>
      </c>
      <c r="M149" s="26"/>
      <c r="N149" s="17"/>
      <c r="O149" s="9">
        <f t="shared" ref="O149:O181" si="20">J149</f>
        <v>-22.5</v>
      </c>
      <c r="P149" s="8">
        <f>D148/B148*10^(O149/10)</f>
        <v>7.1229901190777489E-2</v>
      </c>
      <c r="Q149" s="26"/>
      <c r="R149" s="17"/>
      <c r="S149" s="19"/>
      <c r="T149" s="17"/>
      <c r="U149" s="22"/>
    </row>
    <row r="150" spans="1:21" x14ac:dyDescent="0.25">
      <c r="A150" s="24"/>
      <c r="B150" s="24"/>
      <c r="C150" s="17"/>
      <c r="D150" s="24"/>
      <c r="E150" s="24"/>
      <c r="F150" s="25"/>
      <c r="G150" s="1">
        <v>275</v>
      </c>
      <c r="H150" s="2">
        <v>92.2</v>
      </c>
      <c r="I150" s="2">
        <v>-22.4</v>
      </c>
      <c r="J150" s="2">
        <v>-24.1</v>
      </c>
      <c r="K150" s="2">
        <f t="shared" si="18"/>
        <v>-22.4</v>
      </c>
      <c r="L150" s="8">
        <f t="shared" si="19"/>
        <v>3.4673685045253144E-12</v>
      </c>
      <c r="M150" s="26"/>
      <c r="N150" s="17"/>
      <c r="O150" s="9">
        <f t="shared" si="20"/>
        <v>-24.1</v>
      </c>
      <c r="P150" s="8">
        <f>D148/B148*10^(O150/10)</f>
        <v>4.9279051699275496E-2</v>
      </c>
      <c r="Q150" s="26"/>
      <c r="R150" s="17"/>
      <c r="S150" s="19"/>
      <c r="T150" s="17"/>
      <c r="U150" s="22"/>
    </row>
    <row r="151" spans="1:21" x14ac:dyDescent="0.25">
      <c r="A151" s="24"/>
      <c r="B151" s="24"/>
      <c r="C151" s="17"/>
      <c r="D151" s="24"/>
      <c r="E151" s="24"/>
      <c r="F151" s="25"/>
      <c r="G151" s="1">
        <v>325</v>
      </c>
      <c r="H151" s="2">
        <v>93.3</v>
      </c>
      <c r="I151" s="2">
        <v>-23.3</v>
      </c>
      <c r="J151" s="2">
        <v>-24.6</v>
      </c>
      <c r="K151" s="2">
        <f t="shared" si="18"/>
        <v>-23.3</v>
      </c>
      <c r="L151" s="8">
        <f>10^((K151-H151)/10)</f>
        <v>2.1877616239495474E-12</v>
      </c>
      <c r="M151" s="26"/>
      <c r="N151" s="17"/>
      <c r="O151" s="9">
        <f t="shared" si="20"/>
        <v>-24.6</v>
      </c>
      <c r="P151" s="8">
        <f>D148/B148*10^(O151/10)</f>
        <v>4.3920001057320655E-2</v>
      </c>
      <c r="Q151" s="26"/>
      <c r="R151" s="17"/>
      <c r="S151" s="20"/>
      <c r="T151" s="17"/>
      <c r="U151" s="23"/>
    </row>
    <row r="152" spans="1:21" x14ac:dyDescent="0.25">
      <c r="A152" s="24">
        <v>500</v>
      </c>
      <c r="B152" s="24">
        <v>3</v>
      </c>
      <c r="C152" s="17">
        <v>0.5</v>
      </c>
      <c r="D152" s="24">
        <v>59</v>
      </c>
      <c r="E152" s="24">
        <v>6</v>
      </c>
      <c r="F152" s="25">
        <v>84</v>
      </c>
      <c r="G152" s="1">
        <v>375</v>
      </c>
      <c r="H152" s="2">
        <v>91.9</v>
      </c>
      <c r="I152" s="2">
        <v>-21.2</v>
      </c>
      <c r="J152" s="2">
        <v>-30</v>
      </c>
      <c r="K152" s="2">
        <f t="shared" si="18"/>
        <v>-21.2</v>
      </c>
      <c r="L152" s="8">
        <f t="shared" ref="L152:L153" si="21">10^((K152-H152)/10)</f>
        <v>4.8977881936844518E-12</v>
      </c>
      <c r="M152" s="26">
        <f>SUM(L152:L157)</f>
        <v>1.9373218415366576E-11</v>
      </c>
      <c r="N152" s="17">
        <f>10*LOG10(M152/E152)</f>
        <v>-114.90949475615666</v>
      </c>
      <c r="O152" s="9">
        <f t="shared" si="20"/>
        <v>-30</v>
      </c>
      <c r="P152" s="8">
        <f>D152/B152*10^(O152/10)</f>
        <v>1.9666666666666669E-2</v>
      </c>
      <c r="Q152" s="26">
        <f>SUM(P152:P157)</f>
        <v>0.22403467082155709</v>
      </c>
      <c r="R152" s="17">
        <f>10*LOG10(Q152)</f>
        <v>-6.4968476657068503</v>
      </c>
      <c r="S152" s="18">
        <f>F152+N152-Kzt-H</f>
        <v>-30.909494756156661</v>
      </c>
      <c r="T152" s="17">
        <v>0.5</v>
      </c>
      <c r="U152" s="21">
        <f>T152*10^((S152-R152)/10)</f>
        <v>1.8101113655674245E-3</v>
      </c>
    </row>
    <row r="153" spans="1:21" x14ac:dyDescent="0.25">
      <c r="A153" s="24"/>
      <c r="B153" s="24"/>
      <c r="C153" s="17"/>
      <c r="D153" s="24"/>
      <c r="E153" s="24"/>
      <c r="F153" s="25"/>
      <c r="G153" s="1">
        <v>425</v>
      </c>
      <c r="H153" s="2">
        <v>88.1</v>
      </c>
      <c r="I153" s="2">
        <v>-23.2</v>
      </c>
      <c r="J153" s="2">
        <v>-27.5</v>
      </c>
      <c r="K153" s="2">
        <f t="shared" si="18"/>
        <v>-23.2</v>
      </c>
      <c r="L153" s="8">
        <f t="shared" si="21"/>
        <v>7.4131024130091739E-12</v>
      </c>
      <c r="M153" s="26"/>
      <c r="N153" s="17"/>
      <c r="O153" s="9">
        <f t="shared" si="20"/>
        <v>-27.5</v>
      </c>
      <c r="P153" s="8">
        <f>D152/B152*10^(O153/10)</f>
        <v>3.497282839743214E-2</v>
      </c>
      <c r="Q153" s="26"/>
      <c r="R153" s="17"/>
      <c r="S153" s="19"/>
      <c r="T153" s="17"/>
      <c r="U153" s="22"/>
    </row>
    <row r="154" spans="1:21" x14ac:dyDescent="0.25">
      <c r="A154" s="24"/>
      <c r="B154" s="24"/>
      <c r="C154" s="17"/>
      <c r="D154" s="24"/>
      <c r="E154" s="24"/>
      <c r="F154" s="25"/>
      <c r="G154" s="1">
        <v>475</v>
      </c>
      <c r="H154" s="2">
        <v>90</v>
      </c>
      <c r="I154" s="2">
        <v>-25.3</v>
      </c>
      <c r="J154" s="2">
        <v>-26.1</v>
      </c>
      <c r="K154" s="2">
        <f t="shared" si="18"/>
        <v>-25.3</v>
      </c>
      <c r="L154" s="8">
        <f>10^((K154-H154)/10)</f>
        <v>2.9512092266663859E-12</v>
      </c>
      <c r="M154" s="26"/>
      <c r="N154" s="17"/>
      <c r="O154" s="9">
        <f t="shared" si="20"/>
        <v>-26.1</v>
      </c>
      <c r="P154" s="8">
        <f>D152/B152*10^(O154/10)</f>
        <v>4.827594200847219E-2</v>
      </c>
      <c r="Q154" s="26"/>
      <c r="R154" s="17"/>
      <c r="S154" s="19"/>
      <c r="T154" s="17"/>
      <c r="U154" s="22"/>
    </row>
    <row r="155" spans="1:21" x14ac:dyDescent="0.25">
      <c r="A155" s="24"/>
      <c r="B155" s="24"/>
      <c r="C155" s="17"/>
      <c r="D155" s="24"/>
      <c r="E155" s="24"/>
      <c r="F155" s="25"/>
      <c r="G155" s="1">
        <v>575</v>
      </c>
      <c r="H155" s="2">
        <v>97</v>
      </c>
      <c r="I155" s="2">
        <v>-23.7</v>
      </c>
      <c r="J155" s="2">
        <v>-26.2</v>
      </c>
      <c r="K155" s="2">
        <f t="shared" si="18"/>
        <v>-23.7</v>
      </c>
      <c r="L155" s="8">
        <f t="shared" ref="L155:L181" si="22">10^((K155-H155)/10)</f>
        <v>8.5113803820237492E-13</v>
      </c>
      <c r="M155" s="26"/>
      <c r="N155" s="17"/>
      <c r="O155" s="9">
        <f t="shared" si="20"/>
        <v>-26.2</v>
      </c>
      <c r="P155" s="8">
        <f>D152/B152*10^(O155/10)</f>
        <v>4.717704740738328E-2</v>
      </c>
      <c r="Q155" s="26"/>
      <c r="R155" s="17"/>
      <c r="S155" s="19"/>
      <c r="T155" s="17"/>
      <c r="U155" s="22"/>
    </row>
    <row r="156" spans="1:21" x14ac:dyDescent="0.25">
      <c r="A156" s="24"/>
      <c r="B156" s="24"/>
      <c r="C156" s="17"/>
      <c r="D156" s="24"/>
      <c r="E156" s="24"/>
      <c r="F156" s="25"/>
      <c r="G156" s="1">
        <v>625</v>
      </c>
      <c r="H156" s="2">
        <v>92</v>
      </c>
      <c r="I156" s="2">
        <v>-24.7</v>
      </c>
      <c r="J156" s="2">
        <v>-27.9</v>
      </c>
      <c r="K156" s="2">
        <f t="shared" si="18"/>
        <v>-24.7</v>
      </c>
      <c r="L156" s="8">
        <f t="shared" si="22"/>
        <v>2.1379620895022273E-12</v>
      </c>
      <c r="M156" s="26"/>
      <c r="N156" s="17"/>
      <c r="O156" s="9">
        <f t="shared" si="20"/>
        <v>-27.9</v>
      </c>
      <c r="P156" s="8">
        <f>D152/B152*10^(O156/10)</f>
        <v>3.1895598581392258E-2</v>
      </c>
      <c r="Q156" s="26"/>
      <c r="R156" s="17"/>
      <c r="S156" s="19"/>
      <c r="T156" s="17"/>
      <c r="U156" s="22"/>
    </row>
    <row r="157" spans="1:21" x14ac:dyDescent="0.25">
      <c r="A157" s="24"/>
      <c r="B157" s="24"/>
      <c r="C157" s="17"/>
      <c r="D157" s="24"/>
      <c r="E157" s="24"/>
      <c r="F157" s="25"/>
      <c r="G157" s="1">
        <v>675</v>
      </c>
      <c r="H157" s="2">
        <v>94.5</v>
      </c>
      <c r="I157" s="2">
        <v>-25</v>
      </c>
      <c r="J157" s="2">
        <v>-26.7</v>
      </c>
      <c r="K157" s="2">
        <f t="shared" si="18"/>
        <v>-25</v>
      </c>
      <c r="L157" s="8">
        <f t="shared" si="22"/>
        <v>1.122018454301964E-12</v>
      </c>
      <c r="M157" s="26"/>
      <c r="N157" s="17"/>
      <c r="O157" s="9">
        <f t="shared" si="20"/>
        <v>-26.7</v>
      </c>
      <c r="P157" s="8">
        <f>D152/B152*10^(O157/10)</f>
        <v>4.2046587760210558E-2</v>
      </c>
      <c r="Q157" s="26"/>
      <c r="R157" s="17"/>
      <c r="S157" s="20"/>
      <c r="T157" s="17"/>
      <c r="U157" s="23"/>
    </row>
    <row r="158" spans="1:21" x14ac:dyDescent="0.25">
      <c r="A158" s="24">
        <v>1000</v>
      </c>
      <c r="B158" s="24">
        <v>3</v>
      </c>
      <c r="C158" s="17">
        <v>0.5</v>
      </c>
      <c r="D158" s="24">
        <v>117</v>
      </c>
      <c r="E158" s="24">
        <v>6</v>
      </c>
      <c r="F158" s="25">
        <v>76</v>
      </c>
      <c r="G158" s="1">
        <v>875</v>
      </c>
      <c r="H158" s="2">
        <v>91.1</v>
      </c>
      <c r="I158" s="2">
        <v>-23.6</v>
      </c>
      <c r="J158" s="2">
        <v>-26.1</v>
      </c>
      <c r="K158" s="2">
        <f t="shared" si="18"/>
        <v>-23.6</v>
      </c>
      <c r="L158" s="8">
        <f t="shared" si="22"/>
        <v>3.3884415613920236E-12</v>
      </c>
      <c r="M158" s="26">
        <f>SUM(L158:L163)</f>
        <v>8.3491506697462227E-12</v>
      </c>
      <c r="N158" s="17">
        <f>10*LOG10(M158/E158)</f>
        <v>-118.56508951930377</v>
      </c>
      <c r="O158" s="9">
        <f t="shared" si="20"/>
        <v>-26.1</v>
      </c>
      <c r="P158" s="8">
        <f>D158/B158*10^(O158/10)</f>
        <v>9.5733647711716024E-2</v>
      </c>
      <c r="Q158" s="26">
        <f>SUM(P158:P163)</f>
        <v>0.38469524878223399</v>
      </c>
      <c r="R158" s="17">
        <f>10*LOG10(Q158)</f>
        <v>-4.1488317745819705</v>
      </c>
      <c r="S158" s="18">
        <f>F158+N158-Kzt-H</f>
        <v>-42.565089519303768</v>
      </c>
      <c r="T158" s="17">
        <v>0.8</v>
      </c>
      <c r="U158" s="21">
        <f>T158*10^((S158-R158)/10)</f>
        <v>1.152031124265863E-4</v>
      </c>
    </row>
    <row r="159" spans="1:21" x14ac:dyDescent="0.25">
      <c r="A159" s="24"/>
      <c r="B159" s="24"/>
      <c r="C159" s="17"/>
      <c r="D159" s="24"/>
      <c r="E159" s="24"/>
      <c r="F159" s="25"/>
      <c r="G159" s="1">
        <v>975</v>
      </c>
      <c r="H159" s="2">
        <v>96.5</v>
      </c>
      <c r="I159" s="2">
        <v>-21</v>
      </c>
      <c r="J159" s="2">
        <v>-29.8</v>
      </c>
      <c r="K159" s="2">
        <f t="shared" si="18"/>
        <v>-21</v>
      </c>
      <c r="L159" s="8">
        <f t="shared" si="22"/>
        <v>1.7782794100389204E-12</v>
      </c>
      <c r="M159" s="26"/>
      <c r="N159" s="17"/>
      <c r="O159" s="9">
        <f t="shared" si="20"/>
        <v>-29.8</v>
      </c>
      <c r="P159" s="8">
        <f>D158/B158*10^(O159/10)</f>
        <v>4.0838013373985051E-2</v>
      </c>
      <c r="Q159" s="26"/>
      <c r="R159" s="17"/>
      <c r="S159" s="19"/>
      <c r="T159" s="17"/>
      <c r="U159" s="22"/>
    </row>
    <row r="160" spans="1:21" x14ac:dyDescent="0.25">
      <c r="A160" s="24"/>
      <c r="B160" s="24"/>
      <c r="C160" s="17"/>
      <c r="D160" s="24"/>
      <c r="E160" s="24"/>
      <c r="F160" s="25"/>
      <c r="G160" s="1">
        <v>1075</v>
      </c>
      <c r="H160" s="2">
        <v>94.6</v>
      </c>
      <c r="I160" s="2">
        <v>-23.9</v>
      </c>
      <c r="J160" s="2">
        <v>-27.6</v>
      </c>
      <c r="K160" s="2">
        <f t="shared" si="18"/>
        <v>-23.9</v>
      </c>
      <c r="L160" s="8">
        <f t="shared" si="22"/>
        <v>1.4125375446227535E-12</v>
      </c>
      <c r="M160" s="26"/>
      <c r="N160" s="17"/>
      <c r="O160" s="9">
        <f t="shared" si="20"/>
        <v>-27.6</v>
      </c>
      <c r="P160" s="8">
        <f>D158/B158*10^(O160/10)</f>
        <v>6.7774232321225564E-2</v>
      </c>
      <c r="Q160" s="26"/>
      <c r="R160" s="17"/>
      <c r="S160" s="19"/>
      <c r="T160" s="17"/>
      <c r="U160" s="22"/>
    </row>
    <row r="161" spans="1:21" x14ac:dyDescent="0.25">
      <c r="A161" s="24"/>
      <c r="B161" s="24"/>
      <c r="C161" s="17"/>
      <c r="D161" s="24"/>
      <c r="E161" s="24"/>
      <c r="F161" s="25"/>
      <c r="G161" s="1">
        <v>1175</v>
      </c>
      <c r="H161" s="2">
        <v>97.8</v>
      </c>
      <c r="I161" s="2">
        <v>-21.7</v>
      </c>
      <c r="J161" s="2">
        <v>-28.5</v>
      </c>
      <c r="K161" s="2">
        <f t="shared" si="18"/>
        <v>-21.7</v>
      </c>
      <c r="L161" s="8">
        <f t="shared" si="22"/>
        <v>1.122018454301964E-12</v>
      </c>
      <c r="M161" s="26"/>
      <c r="N161" s="17"/>
      <c r="O161" s="9">
        <f t="shared" si="20"/>
        <v>-28.5</v>
      </c>
      <c r="P161" s="8">
        <f>D158/B158*10^(O161/10)</f>
        <v>5.5088964240287357E-2</v>
      </c>
      <c r="Q161" s="26"/>
      <c r="R161" s="17"/>
      <c r="S161" s="19"/>
      <c r="T161" s="17"/>
      <c r="U161" s="22"/>
    </row>
    <row r="162" spans="1:21" x14ac:dyDescent="0.25">
      <c r="A162" s="24"/>
      <c r="B162" s="24"/>
      <c r="C162" s="17"/>
      <c r="D162" s="24"/>
      <c r="E162" s="24"/>
      <c r="F162" s="25"/>
      <c r="G162" s="1">
        <v>1275</v>
      </c>
      <c r="H162" s="2">
        <v>100.1</v>
      </c>
      <c r="I162" s="2">
        <v>-24.6</v>
      </c>
      <c r="J162" s="2">
        <v>-27.7</v>
      </c>
      <c r="K162" s="2">
        <f t="shared" si="18"/>
        <v>-24.6</v>
      </c>
      <c r="L162" s="8">
        <f t="shared" si="22"/>
        <v>3.38844156139202E-13</v>
      </c>
      <c r="M162" s="26"/>
      <c r="N162" s="17"/>
      <c r="O162" s="9">
        <f t="shared" si="20"/>
        <v>-27.7</v>
      </c>
      <c r="P162" s="8">
        <f>D158/B158*10^(O162/10)</f>
        <v>6.6231502446007964E-2</v>
      </c>
      <c r="Q162" s="26"/>
      <c r="R162" s="17"/>
      <c r="S162" s="19"/>
      <c r="T162" s="17"/>
      <c r="U162" s="22"/>
    </row>
    <row r="163" spans="1:21" x14ac:dyDescent="0.25">
      <c r="A163" s="24"/>
      <c r="B163" s="24"/>
      <c r="C163" s="17"/>
      <c r="D163" s="24"/>
      <c r="E163" s="24"/>
      <c r="F163" s="25"/>
      <c r="G163" s="1">
        <v>1375</v>
      </c>
      <c r="H163" s="2">
        <v>103</v>
      </c>
      <c r="I163" s="2">
        <v>-22.1</v>
      </c>
      <c r="J163" s="2">
        <v>-28.2</v>
      </c>
      <c r="K163" s="2">
        <f t="shared" si="18"/>
        <v>-22.1</v>
      </c>
      <c r="L163" s="8">
        <f t="shared" si="22"/>
        <v>3.0902954325135866E-13</v>
      </c>
      <c r="M163" s="26"/>
      <c r="N163" s="17"/>
      <c r="O163" s="9">
        <f t="shared" si="20"/>
        <v>-28.2</v>
      </c>
      <c r="P163" s="8">
        <f>D158/B158*10^(O163/10)</f>
        <v>5.9028888689012085E-2</v>
      </c>
      <c r="Q163" s="26"/>
      <c r="R163" s="17"/>
      <c r="S163" s="20"/>
      <c r="T163" s="17"/>
      <c r="U163" s="23"/>
    </row>
    <row r="164" spans="1:21" x14ac:dyDescent="0.25">
      <c r="A164" s="24">
        <v>2000</v>
      </c>
      <c r="B164" s="24">
        <v>3</v>
      </c>
      <c r="C164" s="17">
        <v>0.5</v>
      </c>
      <c r="D164" s="24">
        <v>234</v>
      </c>
      <c r="E164" s="24">
        <v>6</v>
      </c>
      <c r="F164" s="25">
        <v>68</v>
      </c>
      <c r="G164" s="1">
        <v>1425</v>
      </c>
      <c r="H164" s="2">
        <v>102.8</v>
      </c>
      <c r="I164" s="2">
        <v>-20.7</v>
      </c>
      <c r="J164" s="2">
        <v>-25.1</v>
      </c>
      <c r="K164" s="2">
        <f t="shared" si="18"/>
        <v>-20.7</v>
      </c>
      <c r="L164" s="8">
        <f t="shared" si="22"/>
        <v>4.4668359215096191E-13</v>
      </c>
      <c r="M164" s="26">
        <f>SUM(L164:L169)</f>
        <v>3.5495986469029964E-12</v>
      </c>
      <c r="N164" s="17">
        <f>10*LOG10(M164/E164)</f>
        <v>-122.27972000226947</v>
      </c>
      <c r="O164" s="9">
        <f t="shared" si="20"/>
        <v>-25.1</v>
      </c>
      <c r="P164" s="8">
        <f>D164/B164*10^(O164/10)</f>
        <v>0.24104304373605984</v>
      </c>
      <c r="Q164" s="26">
        <f>SUM(P164:P169)</f>
        <v>0.89249698837483427</v>
      </c>
      <c r="R164" s="17">
        <f>10*LOG10(Q164)</f>
        <v>-0.4939324068848378</v>
      </c>
      <c r="S164" s="18">
        <f>F164+N164-Kzt-H</f>
        <v>-54.279720002269471</v>
      </c>
      <c r="T164" s="17">
        <v>1</v>
      </c>
      <c r="U164" s="21">
        <f>T164*10^((S164-R164)/10)</f>
        <v>4.1823583447951112E-6</v>
      </c>
    </row>
    <row r="165" spans="1:21" x14ac:dyDescent="0.25">
      <c r="A165" s="24"/>
      <c r="B165" s="24"/>
      <c r="C165" s="17"/>
      <c r="D165" s="24"/>
      <c r="E165" s="24"/>
      <c r="F165" s="25"/>
      <c r="G165" s="1">
        <v>1625</v>
      </c>
      <c r="H165" s="2">
        <v>104.1</v>
      </c>
      <c r="I165" s="2">
        <v>-17.899999999999999</v>
      </c>
      <c r="J165" s="2">
        <v>-26.8</v>
      </c>
      <c r="K165" s="2">
        <f t="shared" si="18"/>
        <v>-17.899999999999999</v>
      </c>
      <c r="L165" s="8">
        <f t="shared" si="22"/>
        <v>6.3095734448019283E-13</v>
      </c>
      <c r="M165" s="26"/>
      <c r="N165" s="17"/>
      <c r="O165" s="9">
        <f t="shared" si="20"/>
        <v>-26.8</v>
      </c>
      <c r="P165" s="8">
        <f>D164/B164*10^(O165/10)</f>
        <v>0.16296509820661489</v>
      </c>
      <c r="Q165" s="26"/>
      <c r="R165" s="17"/>
      <c r="S165" s="19"/>
      <c r="T165" s="17"/>
      <c r="U165" s="22"/>
    </row>
    <row r="166" spans="1:21" x14ac:dyDescent="0.25">
      <c r="A166" s="24"/>
      <c r="B166" s="24"/>
      <c r="C166" s="17"/>
      <c r="D166" s="24"/>
      <c r="E166" s="24"/>
      <c r="F166" s="25"/>
      <c r="G166" s="1">
        <v>1825</v>
      </c>
      <c r="H166" s="2">
        <v>107.6</v>
      </c>
      <c r="I166" s="2">
        <v>-21.6</v>
      </c>
      <c r="J166" s="2">
        <v>-26.2</v>
      </c>
      <c r="K166" s="2">
        <f t="shared" si="18"/>
        <v>-21.6</v>
      </c>
      <c r="L166" s="8">
        <f t="shared" si="22"/>
        <v>1.2022644346174159E-13</v>
      </c>
      <c r="M166" s="26"/>
      <c r="N166" s="17"/>
      <c r="O166" s="9">
        <f t="shared" si="20"/>
        <v>-26.2</v>
      </c>
      <c r="P166" s="8">
        <f>D164/B164*10^(O166/10)</f>
        <v>0.18710896768352012</v>
      </c>
      <c r="Q166" s="26"/>
      <c r="R166" s="17"/>
      <c r="S166" s="19"/>
      <c r="T166" s="17"/>
      <c r="U166" s="22"/>
    </row>
    <row r="167" spans="1:21" x14ac:dyDescent="0.25">
      <c r="A167" s="24"/>
      <c r="B167" s="24"/>
      <c r="C167" s="17"/>
      <c r="D167" s="24"/>
      <c r="E167" s="24"/>
      <c r="F167" s="25"/>
      <c r="G167" s="1">
        <v>2125</v>
      </c>
      <c r="H167" s="2">
        <v>104.2</v>
      </c>
      <c r="I167" s="2">
        <v>-21.5</v>
      </c>
      <c r="J167" s="2">
        <v>-30</v>
      </c>
      <c r="K167" s="2">
        <f t="shared" si="18"/>
        <v>-21.5</v>
      </c>
      <c r="L167" s="8">
        <f t="shared" si="22"/>
        <v>2.6915348039269041E-13</v>
      </c>
      <c r="M167" s="26"/>
      <c r="N167" s="17"/>
      <c r="O167" s="9">
        <f t="shared" si="20"/>
        <v>-30</v>
      </c>
      <c r="P167" s="8">
        <f>D164/B164*10^(O167/10)</f>
        <v>7.8E-2</v>
      </c>
      <c r="Q167" s="26"/>
      <c r="R167" s="17"/>
      <c r="S167" s="19"/>
      <c r="T167" s="17"/>
      <c r="U167" s="22"/>
    </row>
    <row r="168" spans="1:21" x14ac:dyDescent="0.25">
      <c r="A168" s="24"/>
      <c r="B168" s="24"/>
      <c r="C168" s="17"/>
      <c r="D168" s="24"/>
      <c r="E168" s="24"/>
      <c r="F168" s="25"/>
      <c r="G168" s="1">
        <v>2425</v>
      </c>
      <c r="H168" s="2">
        <v>93.7</v>
      </c>
      <c r="I168" s="2">
        <v>-25.2</v>
      </c>
      <c r="J168" s="2">
        <v>-26.6</v>
      </c>
      <c r="K168" s="2">
        <f t="shared" si="18"/>
        <v>-25.2</v>
      </c>
      <c r="L168" s="8">
        <f t="shared" si="22"/>
        <v>1.2882495516931293E-12</v>
      </c>
      <c r="M168" s="26"/>
      <c r="N168" s="17"/>
      <c r="O168" s="9">
        <f t="shared" si="20"/>
        <v>-26.6</v>
      </c>
      <c r="P168" s="8">
        <f>D164/B164*10^(O168/10)</f>
        <v>0.17064540666806488</v>
      </c>
      <c r="Q168" s="26"/>
      <c r="R168" s="17"/>
      <c r="S168" s="19"/>
      <c r="T168" s="17"/>
      <c r="U168" s="22"/>
    </row>
    <row r="169" spans="1:21" x14ac:dyDescent="0.25">
      <c r="A169" s="24"/>
      <c r="B169" s="24"/>
      <c r="C169" s="17"/>
      <c r="D169" s="24"/>
      <c r="E169" s="24"/>
      <c r="F169" s="25"/>
      <c r="G169" s="1">
        <v>2775</v>
      </c>
      <c r="H169" s="2">
        <v>100.2</v>
      </c>
      <c r="I169" s="2">
        <v>-20.8</v>
      </c>
      <c r="J169" s="2">
        <v>-31.7</v>
      </c>
      <c r="K169" s="2">
        <f t="shared" si="18"/>
        <v>-20.8</v>
      </c>
      <c r="L169" s="8">
        <f t="shared" si="22"/>
        <v>7.9432823472428024E-13</v>
      </c>
      <c r="M169" s="26"/>
      <c r="N169" s="17"/>
      <c r="O169" s="9">
        <f t="shared" si="20"/>
        <v>-31.7</v>
      </c>
      <c r="P169" s="8">
        <f>D164/B164*10^(O169/10)</f>
        <v>5.2734472080574538E-2</v>
      </c>
      <c r="Q169" s="26"/>
      <c r="R169" s="17"/>
      <c r="S169" s="20"/>
      <c r="T169" s="17"/>
      <c r="U169" s="23"/>
    </row>
    <row r="170" spans="1:21" x14ac:dyDescent="0.25">
      <c r="A170" s="24">
        <v>4000</v>
      </c>
      <c r="B170" s="24">
        <v>3</v>
      </c>
      <c r="C170" s="17">
        <v>0.5</v>
      </c>
      <c r="D170" s="24">
        <v>470</v>
      </c>
      <c r="E170" s="24">
        <v>6</v>
      </c>
      <c r="F170" s="25">
        <v>62</v>
      </c>
      <c r="G170" s="1">
        <v>2825</v>
      </c>
      <c r="H170" s="2">
        <v>99.4</v>
      </c>
      <c r="I170" s="2">
        <v>-23.7</v>
      </c>
      <c r="J170" s="2">
        <v>-26.9</v>
      </c>
      <c r="K170" s="2">
        <f t="shared" si="18"/>
        <v>-23.7</v>
      </c>
      <c r="L170" s="8">
        <f t="shared" si="22"/>
        <v>4.8977881936844462E-13</v>
      </c>
      <c r="M170" s="26">
        <f>SUM(L170:L175)</f>
        <v>2.3444760980252524E-12</v>
      </c>
      <c r="N170" s="17">
        <f>10*LOG10(M170/E170)</f>
        <v>-124.0810544092603</v>
      </c>
      <c r="O170" s="9">
        <f t="shared" si="20"/>
        <v>-26.9</v>
      </c>
      <c r="P170" s="8">
        <f>D170/B170*10^(O170/10)</f>
        <v>0.31987227799822626</v>
      </c>
      <c r="Q170" s="26">
        <f>SUM(P170:P175)</f>
        <v>1.4490814515284076</v>
      </c>
      <c r="R170" s="17">
        <f>10*LOG10(Q170)</f>
        <v>1.6109279744849889</v>
      </c>
      <c r="S170" s="18">
        <f>F170+N170-Kzt-H</f>
        <v>-62.081054409260304</v>
      </c>
      <c r="T170" s="17">
        <v>0.9</v>
      </c>
      <c r="U170" s="21">
        <f>T170*10^((S170-R170)/10)</f>
        <v>3.8463098851988538E-7</v>
      </c>
    </row>
    <row r="171" spans="1:21" x14ac:dyDescent="0.25">
      <c r="A171" s="24"/>
      <c r="B171" s="24"/>
      <c r="C171" s="17"/>
      <c r="D171" s="24"/>
      <c r="E171" s="24"/>
      <c r="F171" s="25"/>
      <c r="G171" s="1">
        <v>3425</v>
      </c>
      <c r="H171" s="2">
        <v>103.5</v>
      </c>
      <c r="I171" s="2">
        <v>-19</v>
      </c>
      <c r="J171" s="2">
        <v>-27.7</v>
      </c>
      <c r="K171" s="2">
        <f t="shared" si="18"/>
        <v>-19</v>
      </c>
      <c r="L171" s="8">
        <f t="shared" si="22"/>
        <v>5.6234132519034702E-13</v>
      </c>
      <c r="M171" s="26"/>
      <c r="N171" s="17"/>
      <c r="O171" s="9">
        <f t="shared" si="20"/>
        <v>-27.7</v>
      </c>
      <c r="P171" s="8">
        <f>D170/B170*10^(O171/10)</f>
        <v>0.26605817221900629</v>
      </c>
      <c r="Q171" s="26"/>
      <c r="R171" s="17"/>
      <c r="S171" s="19"/>
      <c r="T171" s="17"/>
      <c r="U171" s="22"/>
    </row>
    <row r="172" spans="1:21" x14ac:dyDescent="0.25">
      <c r="A172" s="24"/>
      <c r="B172" s="24"/>
      <c r="C172" s="17"/>
      <c r="D172" s="24"/>
      <c r="E172" s="24"/>
      <c r="F172" s="25"/>
      <c r="G172" s="1">
        <v>4025</v>
      </c>
      <c r="H172" s="2">
        <v>103.6</v>
      </c>
      <c r="I172" s="2">
        <v>-24</v>
      </c>
      <c r="J172" s="2">
        <v>-26.9</v>
      </c>
      <c r="K172" s="2">
        <f t="shared" si="18"/>
        <v>-24</v>
      </c>
      <c r="L172" s="8">
        <f t="shared" si="22"/>
        <v>1.7378008287493713E-13</v>
      </c>
      <c r="M172" s="26"/>
      <c r="N172" s="17"/>
      <c r="O172" s="9">
        <f t="shared" si="20"/>
        <v>-26.9</v>
      </c>
      <c r="P172" s="8">
        <f>D170/B170*10^(O172/10)</f>
        <v>0.31987227799822626</v>
      </c>
      <c r="Q172" s="26"/>
      <c r="R172" s="17"/>
      <c r="S172" s="19"/>
      <c r="T172" s="17"/>
      <c r="U172" s="22"/>
    </row>
    <row r="173" spans="1:21" x14ac:dyDescent="0.25">
      <c r="A173" s="24"/>
      <c r="B173" s="24"/>
      <c r="C173" s="17"/>
      <c r="D173" s="24"/>
      <c r="E173" s="24"/>
      <c r="F173" s="25"/>
      <c r="G173" s="1">
        <v>4625</v>
      </c>
      <c r="H173" s="2">
        <v>105.6</v>
      </c>
      <c r="I173" s="2">
        <v>-24.6</v>
      </c>
      <c r="J173" s="2">
        <v>-28</v>
      </c>
      <c r="K173" s="2">
        <f t="shared" si="18"/>
        <v>-24.6</v>
      </c>
      <c r="L173" s="8">
        <f t="shared" si="22"/>
        <v>9.5499258602143264E-14</v>
      </c>
      <c r="M173" s="26"/>
      <c r="N173" s="17"/>
      <c r="O173" s="9">
        <f t="shared" si="20"/>
        <v>-28</v>
      </c>
      <c r="P173" s="8">
        <f>D170/B170*10^(O173/10)</f>
        <v>0.24829993348557441</v>
      </c>
      <c r="Q173" s="26"/>
      <c r="R173" s="17"/>
      <c r="S173" s="19"/>
      <c r="T173" s="17"/>
      <c r="U173" s="22"/>
    </row>
    <row r="174" spans="1:21" x14ac:dyDescent="0.25">
      <c r="A174" s="24"/>
      <c r="B174" s="24"/>
      <c r="C174" s="17"/>
      <c r="D174" s="24"/>
      <c r="E174" s="24"/>
      <c r="F174" s="25"/>
      <c r="G174" s="1">
        <v>5225</v>
      </c>
      <c r="H174" s="2">
        <v>103.5</v>
      </c>
      <c r="I174" s="2">
        <v>-25.3</v>
      </c>
      <c r="J174" s="2">
        <v>-31.5</v>
      </c>
      <c r="K174" s="2">
        <f t="shared" si="18"/>
        <v>-25.3</v>
      </c>
      <c r="L174" s="8">
        <f t="shared" si="22"/>
        <v>1.3182567385564006E-13</v>
      </c>
      <c r="M174" s="26"/>
      <c r="N174" s="17"/>
      <c r="O174" s="9">
        <f t="shared" si="20"/>
        <v>-31.5</v>
      </c>
      <c r="P174" s="8">
        <f>D170/B170*10^(O174/10)</f>
        <v>0.11091150622018159</v>
      </c>
      <c r="Q174" s="26"/>
      <c r="R174" s="17"/>
      <c r="S174" s="19"/>
      <c r="T174" s="17"/>
      <c r="U174" s="22"/>
    </row>
    <row r="175" spans="1:21" x14ac:dyDescent="0.25">
      <c r="A175" s="24"/>
      <c r="B175" s="24"/>
      <c r="C175" s="17"/>
      <c r="D175" s="24"/>
      <c r="E175" s="24"/>
      <c r="F175" s="25"/>
      <c r="G175" s="1">
        <v>5625</v>
      </c>
      <c r="H175" s="2">
        <v>99.5</v>
      </c>
      <c r="I175" s="2">
        <v>-21</v>
      </c>
      <c r="J175" s="2">
        <v>-29.3</v>
      </c>
      <c r="K175" s="2">
        <f t="shared" si="18"/>
        <v>-21</v>
      </c>
      <c r="L175" s="8">
        <f t="shared" si="22"/>
        <v>8.9125093813374051E-13</v>
      </c>
      <c r="M175" s="26"/>
      <c r="N175" s="17"/>
      <c r="O175" s="9">
        <f t="shared" si="20"/>
        <v>-29.3</v>
      </c>
      <c r="P175" s="8">
        <f>D170/B170*10^(O175/10)</f>
        <v>0.18406728360719271</v>
      </c>
      <c r="Q175" s="26"/>
      <c r="R175" s="17"/>
      <c r="S175" s="20"/>
      <c r="T175" s="17"/>
      <c r="U175" s="23"/>
    </row>
    <row r="176" spans="1:21" x14ac:dyDescent="0.25">
      <c r="A176" s="24">
        <v>8000</v>
      </c>
      <c r="B176" s="24">
        <v>3</v>
      </c>
      <c r="C176" s="17">
        <v>0.5</v>
      </c>
      <c r="D176" s="24">
        <v>943</v>
      </c>
      <c r="E176" s="24">
        <v>6</v>
      </c>
      <c r="F176" s="25">
        <v>54</v>
      </c>
      <c r="G176" s="1">
        <v>6025</v>
      </c>
      <c r="H176" s="2">
        <v>95</v>
      </c>
      <c r="I176" s="2">
        <v>-22.8</v>
      </c>
      <c r="J176" s="2">
        <v>-24.1</v>
      </c>
      <c r="K176" s="2">
        <f t="shared" si="18"/>
        <v>-22.8</v>
      </c>
      <c r="L176" s="8">
        <f t="shared" si="22"/>
        <v>1.6595869074375588E-12</v>
      </c>
      <c r="M176" s="26">
        <f>SUM(L176:L181)</f>
        <v>2.4716569461203995E-11</v>
      </c>
      <c r="N176" s="17">
        <f>10*LOG10(M176/E176)</f>
        <v>-113.85163057731316</v>
      </c>
      <c r="O176" s="9">
        <f t="shared" si="20"/>
        <v>-24.1</v>
      </c>
      <c r="P176" s="8">
        <f>D176/B176*10^(O176/10)</f>
        <v>1.2228985724320207</v>
      </c>
      <c r="Q176" s="26">
        <f>SUM(P176:P181)</f>
        <v>5.7835167798992648</v>
      </c>
      <c r="R176" s="17">
        <f>10*LOG10(Q176)</f>
        <v>7.6219199995209062</v>
      </c>
      <c r="S176" s="18">
        <f>F176+N176-Kzt-H</f>
        <v>-59.851630577313159</v>
      </c>
      <c r="T176" s="17">
        <v>0.7</v>
      </c>
      <c r="U176" s="21">
        <f>T176*10^((S176-R176)/10)</f>
        <v>1.2523997790637353E-7</v>
      </c>
    </row>
    <row r="177" spans="1:21" x14ac:dyDescent="0.25">
      <c r="A177" s="24"/>
      <c r="B177" s="24"/>
      <c r="C177" s="17"/>
      <c r="D177" s="24"/>
      <c r="E177" s="24"/>
      <c r="F177" s="25"/>
      <c r="G177" s="1">
        <v>7025</v>
      </c>
      <c r="H177" s="2">
        <v>94.8</v>
      </c>
      <c r="I177" s="2">
        <v>-20.6</v>
      </c>
      <c r="J177" s="2">
        <v>-27.2</v>
      </c>
      <c r="K177" s="2">
        <f t="shared" si="18"/>
        <v>-20.6</v>
      </c>
      <c r="L177" s="8">
        <f t="shared" si="22"/>
        <v>2.8840315031265959E-12</v>
      </c>
      <c r="M177" s="26"/>
      <c r="N177" s="17"/>
      <c r="O177" s="9">
        <f t="shared" si="20"/>
        <v>-27.2</v>
      </c>
      <c r="P177" s="8">
        <f>D176/B176*10^(O177/10)</f>
        <v>0.59894981901311406</v>
      </c>
      <c r="Q177" s="26"/>
      <c r="R177" s="17"/>
      <c r="S177" s="19"/>
      <c r="T177" s="17"/>
      <c r="U177" s="22"/>
    </row>
    <row r="178" spans="1:21" x14ac:dyDescent="0.25">
      <c r="A178" s="24"/>
      <c r="B178" s="24"/>
      <c r="C178" s="17"/>
      <c r="D178" s="24"/>
      <c r="E178" s="24"/>
      <c r="F178" s="25"/>
      <c r="G178" s="1">
        <v>8025</v>
      </c>
      <c r="H178" s="2">
        <v>101.9</v>
      </c>
      <c r="I178" s="2">
        <v>-26.200000000000003</v>
      </c>
      <c r="J178" s="2">
        <v>-27.6</v>
      </c>
      <c r="K178" s="2">
        <f t="shared" si="18"/>
        <v>-26.200000000000003</v>
      </c>
      <c r="L178" s="8">
        <f t="shared" si="22"/>
        <v>1.5488166189124671E-13</v>
      </c>
      <c r="M178" s="26"/>
      <c r="N178" s="17"/>
      <c r="O178" s="9">
        <f t="shared" si="20"/>
        <v>-27.6</v>
      </c>
      <c r="P178" s="8">
        <f>D176/B176*10^(O178/10)</f>
        <v>0.54624872717021966</v>
      </c>
      <c r="Q178" s="26"/>
      <c r="R178" s="17"/>
      <c r="S178" s="19"/>
      <c r="T178" s="17"/>
      <c r="U178" s="22"/>
    </row>
    <row r="179" spans="1:21" x14ac:dyDescent="0.25">
      <c r="A179" s="24"/>
      <c r="B179" s="24"/>
      <c r="C179" s="17"/>
      <c r="D179" s="24"/>
      <c r="E179" s="24"/>
      <c r="F179" s="25"/>
      <c r="G179" s="1">
        <v>9025</v>
      </c>
      <c r="H179" s="2">
        <v>93.2</v>
      </c>
      <c r="I179" s="2">
        <v>-21.8</v>
      </c>
      <c r="J179" s="2">
        <v>-22.1</v>
      </c>
      <c r="K179" s="2">
        <f t="shared" si="18"/>
        <v>-21.8</v>
      </c>
      <c r="L179" s="8">
        <f t="shared" si="22"/>
        <v>3.1622776601683669E-12</v>
      </c>
      <c r="M179" s="26"/>
      <c r="N179" s="17"/>
      <c r="O179" s="9">
        <f t="shared" si="20"/>
        <v>-22.1</v>
      </c>
      <c r="P179" s="8">
        <f>D176/B176*10^(O179/10)</f>
        <v>1.9381636225179248</v>
      </c>
      <c r="Q179" s="26"/>
      <c r="R179" s="17"/>
      <c r="S179" s="19"/>
      <c r="T179" s="17"/>
      <c r="U179" s="22"/>
    </row>
    <row r="180" spans="1:21" x14ac:dyDescent="0.25">
      <c r="A180" s="24"/>
      <c r="B180" s="24"/>
      <c r="C180" s="17"/>
      <c r="D180" s="24"/>
      <c r="E180" s="24"/>
      <c r="F180" s="25"/>
      <c r="G180" s="1">
        <v>10025</v>
      </c>
      <c r="H180" s="2">
        <v>88.3</v>
      </c>
      <c r="I180" s="2">
        <v>-22.2</v>
      </c>
      <c r="J180" s="2">
        <v>-26.6</v>
      </c>
      <c r="K180" s="2">
        <f t="shared" si="18"/>
        <v>-22.2</v>
      </c>
      <c r="L180" s="8">
        <f t="shared" si="22"/>
        <v>8.9125093813374152E-12</v>
      </c>
      <c r="M180" s="26"/>
      <c r="N180" s="17"/>
      <c r="O180" s="9">
        <f t="shared" si="20"/>
        <v>-26.6</v>
      </c>
      <c r="P180" s="8">
        <f>D176/B176*10^(O180/10)</f>
        <v>0.6876864037948085</v>
      </c>
      <c r="Q180" s="26"/>
      <c r="R180" s="17"/>
      <c r="S180" s="19"/>
      <c r="T180" s="17"/>
      <c r="U180" s="22"/>
    </row>
    <row r="181" spans="1:21" x14ac:dyDescent="0.25">
      <c r="A181" s="24"/>
      <c r="B181" s="24"/>
      <c r="C181" s="17"/>
      <c r="D181" s="24"/>
      <c r="E181" s="24"/>
      <c r="F181" s="25"/>
      <c r="G181" s="1">
        <v>11025</v>
      </c>
      <c r="H181" s="2">
        <v>86</v>
      </c>
      <c r="I181" s="2">
        <v>-25</v>
      </c>
      <c r="J181" s="2">
        <v>-26</v>
      </c>
      <c r="K181" s="2">
        <f t="shared" si="18"/>
        <v>-25</v>
      </c>
      <c r="L181" s="8">
        <f t="shared" si="22"/>
        <v>7.9432823472428101E-12</v>
      </c>
      <c r="M181" s="26"/>
      <c r="N181" s="17"/>
      <c r="O181" s="9">
        <f t="shared" si="20"/>
        <v>-26</v>
      </c>
      <c r="P181" s="8">
        <f>D176/B176*10^(O181/10)</f>
        <v>0.78956963497117716</v>
      </c>
      <c r="Q181" s="26"/>
      <c r="R181" s="17"/>
      <c r="S181" s="20"/>
      <c r="T181" s="17"/>
      <c r="U181" s="23"/>
    </row>
    <row r="182" spans="1:21" x14ac:dyDescent="0.25">
      <c r="A182" s="24" t="s">
        <v>20</v>
      </c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12">
        <f>U182</f>
        <v>5.339108753647745E-2</v>
      </c>
      <c r="T182" s="2"/>
      <c r="U182" s="8">
        <f>0.8*SQRT(SUM(U148:U181))</f>
        <v>5.339108753647745E-2</v>
      </c>
    </row>
    <row r="183" spans="1:21" x14ac:dyDescent="0.25">
      <c r="A183" s="27" t="s">
        <v>97</v>
      </c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9"/>
    </row>
    <row r="184" spans="1:21" x14ac:dyDescent="0.25">
      <c r="A184" s="24">
        <v>250</v>
      </c>
      <c r="B184" s="24">
        <v>3</v>
      </c>
      <c r="C184" s="17">
        <v>0.5</v>
      </c>
      <c r="D184" s="24">
        <v>38</v>
      </c>
      <c r="E184" s="24">
        <v>4</v>
      </c>
      <c r="F184" s="25">
        <v>84</v>
      </c>
      <c r="G184" s="1">
        <v>175</v>
      </c>
      <c r="H184" s="2">
        <v>84.8</v>
      </c>
      <c r="I184" s="2">
        <v>-11.1</v>
      </c>
      <c r="J184" s="2">
        <v>-16.5</v>
      </c>
      <c r="K184" s="2">
        <f>I184</f>
        <v>-11.1</v>
      </c>
      <c r="L184" s="8">
        <f>10^((K184-H184)/10)</f>
        <v>2.5703957827688617E-10</v>
      </c>
      <c r="M184" s="26">
        <f>SUM(L184:L187)</f>
        <v>3.0795415665995566E-10</v>
      </c>
      <c r="N184" s="17">
        <f>10*LOG10(M184/E184)</f>
        <v>-101.13573920903642</v>
      </c>
      <c r="O184" s="9">
        <f>J184</f>
        <v>-16.5</v>
      </c>
      <c r="P184" s="8">
        <f>D184/B184*10^(O184/10)</f>
        <v>0.28357134421865626</v>
      </c>
      <c r="Q184" s="26">
        <f>SUM(P184:P187)</f>
        <v>0.89353777097145037</v>
      </c>
      <c r="R184" s="17">
        <f>10*LOG10(Q184)</f>
        <v>-0.48887084593402375</v>
      </c>
      <c r="S184" s="18">
        <f>F184+N184-Kzt-H</f>
        <v>-17.135739209036416</v>
      </c>
      <c r="T184" s="17">
        <v>0.2</v>
      </c>
      <c r="U184" s="21">
        <f>T184*10^((S184-R184)/10)</f>
        <v>4.3285571845503657E-3</v>
      </c>
    </row>
    <row r="185" spans="1:21" x14ac:dyDescent="0.25">
      <c r="A185" s="24"/>
      <c r="B185" s="24"/>
      <c r="C185" s="17"/>
      <c r="D185" s="24"/>
      <c r="E185" s="24"/>
      <c r="F185" s="25"/>
      <c r="G185" s="1">
        <v>225</v>
      </c>
      <c r="H185" s="2">
        <v>90</v>
      </c>
      <c r="I185" s="2">
        <v>-15.8</v>
      </c>
      <c r="J185" s="2">
        <v>-17.7</v>
      </c>
      <c r="K185" s="2">
        <f t="shared" ref="K185:K217" si="23">I185</f>
        <v>-15.8</v>
      </c>
      <c r="L185" s="8">
        <f t="shared" ref="L185:L186" si="24">10^((K185-H185)/10)</f>
        <v>2.6302679918953769E-11</v>
      </c>
      <c r="M185" s="26"/>
      <c r="N185" s="17"/>
      <c r="O185" s="9">
        <f t="shared" ref="O185:O217" si="25">J185</f>
        <v>-17.7</v>
      </c>
      <c r="P185" s="8">
        <f>D184/B184*10^(O185/10)</f>
        <v>0.21511086264515408</v>
      </c>
      <c r="Q185" s="26"/>
      <c r="R185" s="17"/>
      <c r="S185" s="19"/>
      <c r="T185" s="17"/>
      <c r="U185" s="22"/>
    </row>
    <row r="186" spans="1:21" x14ac:dyDescent="0.25">
      <c r="A186" s="24"/>
      <c r="B186" s="24"/>
      <c r="C186" s="17"/>
      <c r="D186" s="24"/>
      <c r="E186" s="24"/>
      <c r="F186" s="25"/>
      <c r="G186" s="1">
        <v>275</v>
      </c>
      <c r="H186" s="2">
        <v>92.2</v>
      </c>
      <c r="I186" s="2">
        <v>-16.8</v>
      </c>
      <c r="J186" s="2">
        <v>-17</v>
      </c>
      <c r="K186" s="2">
        <f t="shared" si="23"/>
        <v>-16.8</v>
      </c>
      <c r="L186" s="8">
        <f t="shared" si="24"/>
        <v>1.2589254117941641E-11</v>
      </c>
      <c r="M186" s="26"/>
      <c r="N186" s="17"/>
      <c r="O186" s="9">
        <f t="shared" si="25"/>
        <v>-17</v>
      </c>
      <c r="P186" s="8">
        <f>D184/B184*10^(O186/10)</f>
        <v>0.25273322656272468</v>
      </c>
      <c r="Q186" s="26"/>
      <c r="R186" s="17"/>
      <c r="S186" s="19"/>
      <c r="T186" s="17"/>
      <c r="U186" s="22"/>
    </row>
    <row r="187" spans="1:21" x14ac:dyDescent="0.25">
      <c r="A187" s="24"/>
      <c r="B187" s="24"/>
      <c r="C187" s="17"/>
      <c r="D187" s="24"/>
      <c r="E187" s="24"/>
      <c r="F187" s="25"/>
      <c r="G187" s="1">
        <v>325</v>
      </c>
      <c r="H187" s="2">
        <v>93.3</v>
      </c>
      <c r="I187" s="2">
        <v>-15.9</v>
      </c>
      <c r="J187" s="2">
        <v>-19.5</v>
      </c>
      <c r="K187" s="2">
        <f t="shared" si="23"/>
        <v>-15.9</v>
      </c>
      <c r="L187" s="8">
        <f>10^((K187-H187)/10)</f>
        <v>1.2022644346174101E-11</v>
      </c>
      <c r="M187" s="26"/>
      <c r="N187" s="17"/>
      <c r="O187" s="9">
        <f t="shared" si="25"/>
        <v>-19.5</v>
      </c>
      <c r="P187" s="8">
        <f>D184/B184*10^(O187/10)</f>
        <v>0.14212233754491535</v>
      </c>
      <c r="Q187" s="26"/>
      <c r="R187" s="17"/>
      <c r="S187" s="20"/>
      <c r="T187" s="17"/>
      <c r="U187" s="23"/>
    </row>
    <row r="188" spans="1:21" x14ac:dyDescent="0.25">
      <c r="A188" s="24">
        <v>500</v>
      </c>
      <c r="B188" s="24">
        <v>3</v>
      </c>
      <c r="C188" s="17">
        <v>0.5</v>
      </c>
      <c r="D188" s="24">
        <v>59</v>
      </c>
      <c r="E188" s="24">
        <v>6</v>
      </c>
      <c r="F188" s="25">
        <v>84</v>
      </c>
      <c r="G188" s="1">
        <v>375</v>
      </c>
      <c r="H188" s="2">
        <v>91.9</v>
      </c>
      <c r="I188" s="2">
        <v>-12.1</v>
      </c>
      <c r="J188" s="2">
        <v>-22.4</v>
      </c>
      <c r="K188" s="2">
        <f t="shared" si="23"/>
        <v>-12.1</v>
      </c>
      <c r="L188" s="8">
        <f t="shared" ref="L188:L189" si="26">10^((K188-H188)/10)</f>
        <v>3.9810717055349579E-11</v>
      </c>
      <c r="M188" s="26">
        <f>SUM(L188:L193)</f>
        <v>1.346835264089118E-10</v>
      </c>
      <c r="N188" s="17">
        <f>10*LOG10(M188/E188)</f>
        <v>-106.48836771418101</v>
      </c>
      <c r="O188" s="9">
        <f t="shared" si="25"/>
        <v>-22.4</v>
      </c>
      <c r="P188" s="8">
        <f>D188/B188*10^(O188/10)</f>
        <v>0.11316985434297422</v>
      </c>
      <c r="Q188" s="26">
        <f>SUM(P188:P193)</f>
        <v>1.0978942038403399</v>
      </c>
      <c r="R188" s="17">
        <f>10*LOG10(Q188)</f>
        <v>0.40560492297996953</v>
      </c>
      <c r="S188" s="18">
        <f>F188+N188-Kzt-H</f>
        <v>-22.48836771418101</v>
      </c>
      <c r="T188" s="17">
        <v>0.5</v>
      </c>
      <c r="U188" s="21">
        <f>T188*10^((S188-R188)/10)</f>
        <v>2.5678682681129399E-3</v>
      </c>
    </row>
    <row r="189" spans="1:21" x14ac:dyDescent="0.25">
      <c r="A189" s="24"/>
      <c r="B189" s="24"/>
      <c r="C189" s="17"/>
      <c r="D189" s="24"/>
      <c r="E189" s="24"/>
      <c r="F189" s="25"/>
      <c r="G189" s="1">
        <v>425</v>
      </c>
      <c r="H189" s="2">
        <v>88.1</v>
      </c>
      <c r="I189" s="2">
        <v>-16.899999999999999</v>
      </c>
      <c r="J189" s="2">
        <v>-20.100000000000001</v>
      </c>
      <c r="K189" s="2">
        <f t="shared" si="23"/>
        <v>-16.899999999999999</v>
      </c>
      <c r="L189" s="8">
        <f t="shared" si="26"/>
        <v>3.162277660168371E-11</v>
      </c>
      <c r="M189" s="26"/>
      <c r="N189" s="17"/>
      <c r="O189" s="9">
        <f t="shared" si="25"/>
        <v>-20.100000000000001</v>
      </c>
      <c r="P189" s="8">
        <f>D188/B188*10^(O189/10)</f>
        <v>0.19218998678797586</v>
      </c>
      <c r="Q189" s="26"/>
      <c r="R189" s="17"/>
      <c r="S189" s="19"/>
      <c r="T189" s="17"/>
      <c r="U189" s="22"/>
    </row>
    <row r="190" spans="1:21" x14ac:dyDescent="0.25">
      <c r="A190" s="24"/>
      <c r="B190" s="24"/>
      <c r="C190" s="17"/>
      <c r="D190" s="24"/>
      <c r="E190" s="24"/>
      <c r="F190" s="25"/>
      <c r="G190" s="1">
        <v>475</v>
      </c>
      <c r="H190" s="2">
        <v>90</v>
      </c>
      <c r="I190" s="2">
        <v>-17.2</v>
      </c>
      <c r="J190" s="2">
        <v>-18.399999999999999</v>
      </c>
      <c r="K190" s="2">
        <f t="shared" si="23"/>
        <v>-17.2</v>
      </c>
      <c r="L190" s="8">
        <f>10^((K190-H190)/10)</f>
        <v>1.9054607179632392E-11</v>
      </c>
      <c r="M190" s="26"/>
      <c r="N190" s="17"/>
      <c r="O190" s="9">
        <f t="shared" si="25"/>
        <v>-18.399999999999999</v>
      </c>
      <c r="P190" s="8">
        <f>D188/B188*10^(O190/10)</f>
        <v>0.28426982158003239</v>
      </c>
      <c r="Q190" s="26"/>
      <c r="R190" s="17"/>
      <c r="S190" s="19"/>
      <c r="T190" s="17"/>
      <c r="U190" s="22"/>
    </row>
    <row r="191" spans="1:21" x14ac:dyDescent="0.25">
      <c r="A191" s="24"/>
      <c r="B191" s="24"/>
      <c r="C191" s="17"/>
      <c r="D191" s="24"/>
      <c r="E191" s="24"/>
      <c r="F191" s="25"/>
      <c r="G191" s="1">
        <v>575</v>
      </c>
      <c r="H191" s="2">
        <v>97</v>
      </c>
      <c r="I191" s="2">
        <v>-11.3</v>
      </c>
      <c r="J191" s="2">
        <v>-20.9</v>
      </c>
      <c r="K191" s="2">
        <f t="shared" si="23"/>
        <v>-11.3</v>
      </c>
      <c r="L191" s="8">
        <f t="shared" ref="L191:L217" si="27">10^((K191-H191)/10)</f>
        <v>1.4791083881682027E-11</v>
      </c>
      <c r="M191" s="26"/>
      <c r="N191" s="17"/>
      <c r="O191" s="9">
        <f t="shared" si="25"/>
        <v>-20.9</v>
      </c>
      <c r="P191" s="8">
        <f>D188/B188*10^(O191/10)</f>
        <v>0.15985666817893945</v>
      </c>
      <c r="Q191" s="26"/>
      <c r="R191" s="17"/>
      <c r="S191" s="19"/>
      <c r="T191" s="17"/>
      <c r="U191" s="22"/>
    </row>
    <row r="192" spans="1:21" x14ac:dyDescent="0.25">
      <c r="A192" s="24"/>
      <c r="B192" s="24"/>
      <c r="C192" s="17"/>
      <c r="D192" s="24"/>
      <c r="E192" s="24"/>
      <c r="F192" s="25"/>
      <c r="G192" s="1">
        <v>625</v>
      </c>
      <c r="H192" s="2">
        <v>92</v>
      </c>
      <c r="I192" s="2">
        <v>-18.7</v>
      </c>
      <c r="J192" s="2">
        <v>-21</v>
      </c>
      <c r="K192" s="2">
        <f t="shared" si="23"/>
        <v>-18.7</v>
      </c>
      <c r="L192" s="8">
        <f t="shared" si="27"/>
        <v>8.5113803820237273E-12</v>
      </c>
      <c r="M192" s="26"/>
      <c r="N192" s="17"/>
      <c r="O192" s="9">
        <f t="shared" si="25"/>
        <v>-21</v>
      </c>
      <c r="P192" s="8">
        <f>D188/B188*10^(O192/10)</f>
        <v>0.15621788616244198</v>
      </c>
      <c r="Q192" s="26"/>
      <c r="R192" s="17"/>
      <c r="S192" s="19"/>
      <c r="T192" s="17"/>
      <c r="U192" s="22"/>
    </row>
    <row r="193" spans="1:21" x14ac:dyDescent="0.25">
      <c r="A193" s="24"/>
      <c r="B193" s="24"/>
      <c r="C193" s="17"/>
      <c r="D193" s="24"/>
      <c r="E193" s="24"/>
      <c r="F193" s="25"/>
      <c r="G193" s="1">
        <v>675</v>
      </c>
      <c r="H193" s="2">
        <v>94.5</v>
      </c>
      <c r="I193" s="2">
        <v>-12.3</v>
      </c>
      <c r="J193" s="2">
        <v>-20.100000000000001</v>
      </c>
      <c r="K193" s="2">
        <f t="shared" si="23"/>
        <v>-12.3</v>
      </c>
      <c r="L193" s="8">
        <f t="shared" si="27"/>
        <v>2.0892961308540373E-11</v>
      </c>
      <c r="M193" s="26"/>
      <c r="N193" s="17"/>
      <c r="O193" s="9">
        <f t="shared" si="25"/>
        <v>-20.100000000000001</v>
      </c>
      <c r="P193" s="8">
        <f>D188/B188*10^(O193/10)</f>
        <v>0.19218998678797586</v>
      </c>
      <c r="Q193" s="26"/>
      <c r="R193" s="17"/>
      <c r="S193" s="20"/>
      <c r="T193" s="17"/>
      <c r="U193" s="23"/>
    </row>
    <row r="194" spans="1:21" x14ac:dyDescent="0.25">
      <c r="A194" s="24">
        <v>1000</v>
      </c>
      <c r="B194" s="24">
        <v>3</v>
      </c>
      <c r="C194" s="17">
        <v>0.5</v>
      </c>
      <c r="D194" s="24">
        <v>117</v>
      </c>
      <c r="E194" s="24">
        <v>6</v>
      </c>
      <c r="F194" s="25">
        <v>76</v>
      </c>
      <c r="G194" s="1">
        <v>875</v>
      </c>
      <c r="H194" s="2">
        <v>91.1</v>
      </c>
      <c r="I194" s="2">
        <v>-17.400000000000002</v>
      </c>
      <c r="J194" s="2">
        <v>-17.600000000000001</v>
      </c>
      <c r="K194" s="2">
        <f t="shared" si="23"/>
        <v>-17.400000000000002</v>
      </c>
      <c r="L194" s="8">
        <f t="shared" si="27"/>
        <v>1.4125375446227501E-11</v>
      </c>
      <c r="M194" s="26">
        <f>SUM(L194:L199)</f>
        <v>4.1247599244852424E-11</v>
      </c>
      <c r="N194" s="17">
        <f>10*LOG10(M194/E194)</f>
        <v>-111.62752574226303</v>
      </c>
      <c r="O194" s="9">
        <f t="shared" si="25"/>
        <v>-17.600000000000001</v>
      </c>
      <c r="P194" s="8">
        <f>D194/B194*10^(O194/10)</f>
        <v>0.6777423232122558</v>
      </c>
      <c r="Q194" s="26">
        <f>SUM(P194:P199)</f>
        <v>2.7772778776270366</v>
      </c>
      <c r="R194" s="17">
        <f>10*LOG10(Q194)</f>
        <v>4.4361933480339895</v>
      </c>
      <c r="S194" s="18">
        <f>F194+N194-Kzt-H</f>
        <v>-35.627525742263032</v>
      </c>
      <c r="T194" s="17">
        <v>0.8</v>
      </c>
      <c r="U194" s="21">
        <f>T194*10^((S194-R194)/10)</f>
        <v>7.8834819565711748E-5</v>
      </c>
    </row>
    <row r="195" spans="1:21" x14ac:dyDescent="0.25">
      <c r="A195" s="24"/>
      <c r="B195" s="24"/>
      <c r="C195" s="17"/>
      <c r="D195" s="24"/>
      <c r="E195" s="24"/>
      <c r="F195" s="25"/>
      <c r="G195" s="1">
        <v>975</v>
      </c>
      <c r="H195" s="2">
        <v>96.5</v>
      </c>
      <c r="I195" s="2">
        <v>-14.5</v>
      </c>
      <c r="J195" s="2">
        <v>-20.7</v>
      </c>
      <c r="K195" s="2">
        <f t="shared" si="23"/>
        <v>-14.5</v>
      </c>
      <c r="L195" s="8">
        <f t="shared" si="27"/>
        <v>7.9432823472428101E-12</v>
      </c>
      <c r="M195" s="26"/>
      <c r="N195" s="17"/>
      <c r="O195" s="9">
        <f t="shared" si="25"/>
        <v>-20.7</v>
      </c>
      <c r="P195" s="8">
        <f>D194/B194*10^(O195/10)</f>
        <v>0.33194383489892693</v>
      </c>
      <c r="Q195" s="26"/>
      <c r="R195" s="17"/>
      <c r="S195" s="19"/>
      <c r="T195" s="17"/>
      <c r="U195" s="22"/>
    </row>
    <row r="196" spans="1:21" x14ac:dyDescent="0.25">
      <c r="A196" s="24"/>
      <c r="B196" s="24"/>
      <c r="C196" s="17"/>
      <c r="D196" s="24"/>
      <c r="E196" s="24"/>
      <c r="F196" s="25"/>
      <c r="G196" s="1">
        <v>1075</v>
      </c>
      <c r="H196" s="2">
        <v>94.6</v>
      </c>
      <c r="I196" s="2">
        <v>-15.4</v>
      </c>
      <c r="J196" s="2">
        <v>-20</v>
      </c>
      <c r="K196" s="2">
        <f t="shared" si="23"/>
        <v>-15.4</v>
      </c>
      <c r="L196" s="8">
        <f t="shared" si="27"/>
        <v>9.9999999999999994E-12</v>
      </c>
      <c r="M196" s="26"/>
      <c r="N196" s="17"/>
      <c r="O196" s="9">
        <f t="shared" si="25"/>
        <v>-20</v>
      </c>
      <c r="P196" s="8">
        <f>D194/B194*10^(O196/10)</f>
        <v>0.39</v>
      </c>
      <c r="Q196" s="26"/>
      <c r="R196" s="17"/>
      <c r="S196" s="19"/>
      <c r="T196" s="17"/>
      <c r="U196" s="22"/>
    </row>
    <row r="197" spans="1:21" x14ac:dyDescent="0.25">
      <c r="A197" s="24"/>
      <c r="B197" s="24"/>
      <c r="C197" s="17"/>
      <c r="D197" s="24"/>
      <c r="E197" s="24"/>
      <c r="F197" s="25"/>
      <c r="G197" s="1">
        <v>1175</v>
      </c>
      <c r="H197" s="2">
        <v>97.8</v>
      </c>
      <c r="I197" s="2">
        <v>-15.7</v>
      </c>
      <c r="J197" s="2">
        <v>-19.5</v>
      </c>
      <c r="K197" s="2">
        <f t="shared" si="23"/>
        <v>-15.7</v>
      </c>
      <c r="L197" s="8">
        <f t="shared" si="27"/>
        <v>4.4668359215096234E-12</v>
      </c>
      <c r="M197" s="26"/>
      <c r="N197" s="17"/>
      <c r="O197" s="9">
        <f t="shared" si="25"/>
        <v>-19.5</v>
      </c>
      <c r="P197" s="8">
        <f>D194/B194*10^(O197/10)</f>
        <v>0.43758719717776573</v>
      </c>
      <c r="Q197" s="26"/>
      <c r="R197" s="17"/>
      <c r="S197" s="19"/>
      <c r="T197" s="17"/>
      <c r="U197" s="22"/>
    </row>
    <row r="198" spans="1:21" x14ac:dyDescent="0.25">
      <c r="A198" s="24"/>
      <c r="B198" s="24"/>
      <c r="C198" s="17"/>
      <c r="D198" s="24"/>
      <c r="E198" s="24"/>
      <c r="F198" s="25"/>
      <c r="G198" s="1">
        <v>1275</v>
      </c>
      <c r="H198" s="2">
        <v>100.1</v>
      </c>
      <c r="I198" s="2">
        <v>-15</v>
      </c>
      <c r="J198" s="2">
        <v>-19.5</v>
      </c>
      <c r="K198" s="2">
        <f t="shared" si="23"/>
        <v>-15</v>
      </c>
      <c r="L198" s="8">
        <f t="shared" si="27"/>
        <v>3.0902954325135792E-12</v>
      </c>
      <c r="M198" s="26"/>
      <c r="N198" s="17"/>
      <c r="O198" s="9">
        <f t="shared" si="25"/>
        <v>-19.5</v>
      </c>
      <c r="P198" s="8">
        <f>D194/B194*10^(O198/10)</f>
        <v>0.43758719717776573</v>
      </c>
      <c r="Q198" s="26"/>
      <c r="R198" s="17"/>
      <c r="S198" s="19"/>
      <c r="T198" s="17"/>
      <c r="U198" s="22"/>
    </row>
    <row r="199" spans="1:21" x14ac:dyDescent="0.25">
      <c r="A199" s="24"/>
      <c r="B199" s="24"/>
      <c r="C199" s="17"/>
      <c r="D199" s="24"/>
      <c r="E199" s="24"/>
      <c r="F199" s="25"/>
      <c r="G199" s="1">
        <v>1375</v>
      </c>
      <c r="H199" s="2">
        <v>103</v>
      </c>
      <c r="I199" s="2">
        <v>-14.9</v>
      </c>
      <c r="J199" s="2">
        <v>-18.899999999999999</v>
      </c>
      <c r="K199" s="2">
        <f t="shared" si="23"/>
        <v>-14.9</v>
      </c>
      <c r="L199" s="8">
        <f t="shared" si="27"/>
        <v>1.6218100973589226E-12</v>
      </c>
      <c r="M199" s="26"/>
      <c r="N199" s="17"/>
      <c r="O199" s="9">
        <f t="shared" si="25"/>
        <v>-18.899999999999999</v>
      </c>
      <c r="P199" s="8">
        <f>D194/B194*10^(O199/10)</f>
        <v>0.50241732516032189</v>
      </c>
      <c r="Q199" s="26"/>
      <c r="R199" s="17"/>
      <c r="S199" s="20"/>
      <c r="T199" s="17"/>
      <c r="U199" s="23"/>
    </row>
    <row r="200" spans="1:21" x14ac:dyDescent="0.25">
      <c r="A200" s="24">
        <v>2000</v>
      </c>
      <c r="B200" s="24">
        <v>3</v>
      </c>
      <c r="C200" s="17">
        <v>0.5</v>
      </c>
      <c r="D200" s="24">
        <v>234</v>
      </c>
      <c r="E200" s="24">
        <v>6</v>
      </c>
      <c r="F200" s="25">
        <v>68</v>
      </c>
      <c r="G200" s="1">
        <v>1425</v>
      </c>
      <c r="H200" s="2">
        <v>102.8</v>
      </c>
      <c r="I200" s="2">
        <v>-16</v>
      </c>
      <c r="J200" s="2">
        <v>-20.5</v>
      </c>
      <c r="K200" s="2">
        <f t="shared" si="23"/>
        <v>-16</v>
      </c>
      <c r="L200" s="8">
        <f t="shared" si="27"/>
        <v>1.3182567385564068E-12</v>
      </c>
      <c r="M200" s="26">
        <f>SUM(L200:L205)</f>
        <v>1.2423253107713803E-11</v>
      </c>
      <c r="N200" s="17">
        <f>10*LOG10(M200/E200)</f>
        <v>-116.83915916883116</v>
      </c>
      <c r="O200" s="9">
        <f t="shared" si="25"/>
        <v>-20.5</v>
      </c>
      <c r="P200" s="8">
        <f>D200/B200*10^(O200/10)</f>
        <v>0.69517573174432157</v>
      </c>
      <c r="Q200" s="26">
        <f>SUM(P200:P205)</f>
        <v>2.4109206341602509</v>
      </c>
      <c r="R200" s="17">
        <f>10*LOG10(Q200)</f>
        <v>3.8218291393880488</v>
      </c>
      <c r="S200" s="18">
        <f>F200+N200-Kzt-H</f>
        <v>-48.839159168831159</v>
      </c>
      <c r="T200" s="17">
        <v>1</v>
      </c>
      <c r="U200" s="21">
        <f>T200*10^((S200-R200)/10)</f>
        <v>5.4187756325559783E-6</v>
      </c>
    </row>
    <row r="201" spans="1:21" x14ac:dyDescent="0.25">
      <c r="A201" s="24"/>
      <c r="B201" s="24"/>
      <c r="C201" s="17"/>
      <c r="D201" s="24"/>
      <c r="E201" s="24"/>
      <c r="F201" s="25"/>
      <c r="G201" s="1">
        <v>1625</v>
      </c>
      <c r="H201" s="2">
        <v>104.1</v>
      </c>
      <c r="I201" s="2">
        <v>-17</v>
      </c>
      <c r="J201" s="2">
        <v>-26.9</v>
      </c>
      <c r="K201" s="2">
        <f t="shared" si="23"/>
        <v>-17</v>
      </c>
      <c r="L201" s="8">
        <f t="shared" si="27"/>
        <v>7.7624711662869047E-13</v>
      </c>
      <c r="M201" s="26"/>
      <c r="N201" s="17"/>
      <c r="O201" s="9">
        <f t="shared" si="25"/>
        <v>-26.9</v>
      </c>
      <c r="P201" s="8">
        <f>D200/B200*10^(O201/10)</f>
        <v>0.15925555968422328</v>
      </c>
      <c r="Q201" s="26"/>
      <c r="R201" s="17"/>
      <c r="S201" s="19"/>
      <c r="T201" s="17"/>
      <c r="U201" s="22"/>
    </row>
    <row r="202" spans="1:21" x14ac:dyDescent="0.25">
      <c r="A202" s="24"/>
      <c r="B202" s="24"/>
      <c r="C202" s="17"/>
      <c r="D202" s="24"/>
      <c r="E202" s="24"/>
      <c r="F202" s="25"/>
      <c r="G202" s="1">
        <v>1825</v>
      </c>
      <c r="H202" s="2">
        <v>107.6</v>
      </c>
      <c r="I202" s="2">
        <v>-17.100000000000001</v>
      </c>
      <c r="J202" s="2">
        <v>-24.8</v>
      </c>
      <c r="K202" s="2">
        <f t="shared" si="23"/>
        <v>-17.100000000000001</v>
      </c>
      <c r="L202" s="8">
        <f t="shared" si="27"/>
        <v>3.38844156139202E-13</v>
      </c>
      <c r="M202" s="26"/>
      <c r="N202" s="17"/>
      <c r="O202" s="9">
        <f t="shared" si="25"/>
        <v>-24.8</v>
      </c>
      <c r="P202" s="8">
        <f>D200/B200*10^(O202/10)</f>
        <v>0.25828227475642102</v>
      </c>
      <c r="Q202" s="26"/>
      <c r="R202" s="17"/>
      <c r="S202" s="19"/>
      <c r="T202" s="17"/>
      <c r="U202" s="22"/>
    </row>
    <row r="203" spans="1:21" x14ac:dyDescent="0.25">
      <c r="A203" s="24"/>
      <c r="B203" s="24"/>
      <c r="C203" s="17"/>
      <c r="D203" s="24"/>
      <c r="E203" s="24"/>
      <c r="F203" s="25"/>
      <c r="G203" s="1">
        <v>2125</v>
      </c>
      <c r="H203" s="2">
        <v>104.2</v>
      </c>
      <c r="I203" s="2">
        <v>-16</v>
      </c>
      <c r="J203" s="2">
        <v>-23.9</v>
      </c>
      <c r="K203" s="2">
        <f t="shared" si="23"/>
        <v>-16</v>
      </c>
      <c r="L203" s="8">
        <f t="shared" si="27"/>
        <v>9.5499258602143367E-13</v>
      </c>
      <c r="M203" s="26"/>
      <c r="N203" s="17"/>
      <c r="O203" s="9">
        <f t="shared" si="25"/>
        <v>-23.9</v>
      </c>
      <c r="P203" s="8">
        <f>D200/B200*10^(O203/10)</f>
        <v>0.31775661668720817</v>
      </c>
      <c r="Q203" s="26"/>
      <c r="R203" s="17"/>
      <c r="S203" s="19"/>
      <c r="T203" s="17"/>
      <c r="U203" s="22"/>
    </row>
    <row r="204" spans="1:21" x14ac:dyDescent="0.25">
      <c r="A204" s="24"/>
      <c r="B204" s="24"/>
      <c r="C204" s="17"/>
      <c r="D204" s="24"/>
      <c r="E204" s="24"/>
      <c r="F204" s="25"/>
      <c r="G204" s="1">
        <v>2425</v>
      </c>
      <c r="H204" s="2">
        <v>93.7</v>
      </c>
      <c r="I204" s="2">
        <v>-17.600000000000001</v>
      </c>
      <c r="J204" s="2">
        <v>-25.2</v>
      </c>
      <c r="K204" s="2">
        <f t="shared" si="23"/>
        <v>-17.600000000000001</v>
      </c>
      <c r="L204" s="8">
        <f t="shared" si="27"/>
        <v>7.4131024130091464E-12</v>
      </c>
      <c r="M204" s="26"/>
      <c r="N204" s="17"/>
      <c r="O204" s="9">
        <f t="shared" si="25"/>
        <v>-25.2</v>
      </c>
      <c r="P204" s="8">
        <f>D200/B200*10^(O204/10)</f>
        <v>0.23555623419135704</v>
      </c>
      <c r="Q204" s="26"/>
      <c r="R204" s="17"/>
      <c r="S204" s="19"/>
      <c r="T204" s="17"/>
      <c r="U204" s="22"/>
    </row>
    <row r="205" spans="1:21" x14ac:dyDescent="0.25">
      <c r="A205" s="24"/>
      <c r="B205" s="24"/>
      <c r="C205" s="17"/>
      <c r="D205" s="24"/>
      <c r="E205" s="24"/>
      <c r="F205" s="25"/>
      <c r="G205" s="1">
        <v>2775</v>
      </c>
      <c r="H205" s="2">
        <v>100.2</v>
      </c>
      <c r="I205" s="2">
        <v>-17.7</v>
      </c>
      <c r="J205" s="2">
        <v>-20.2</v>
      </c>
      <c r="K205" s="2">
        <f t="shared" si="23"/>
        <v>-17.7</v>
      </c>
      <c r="L205" s="8">
        <f t="shared" si="27"/>
        <v>1.6218100973589226E-12</v>
      </c>
      <c r="M205" s="26"/>
      <c r="N205" s="17"/>
      <c r="O205" s="9">
        <f t="shared" si="25"/>
        <v>-20.2</v>
      </c>
      <c r="P205" s="8">
        <f>D200/B200*10^(O205/10)</f>
        <v>0.74489421709671988</v>
      </c>
      <c r="Q205" s="26"/>
      <c r="R205" s="17"/>
      <c r="S205" s="20"/>
      <c r="T205" s="17"/>
      <c r="U205" s="23"/>
    </row>
    <row r="206" spans="1:21" x14ac:dyDescent="0.25">
      <c r="A206" s="24">
        <v>4000</v>
      </c>
      <c r="B206" s="24">
        <v>3</v>
      </c>
      <c r="C206" s="17">
        <v>0.5</v>
      </c>
      <c r="D206" s="24">
        <v>470</v>
      </c>
      <c r="E206" s="24">
        <v>6</v>
      </c>
      <c r="F206" s="25">
        <v>62</v>
      </c>
      <c r="G206" s="1">
        <v>2825</v>
      </c>
      <c r="H206" s="2">
        <v>99.4</v>
      </c>
      <c r="I206" s="2">
        <v>-18</v>
      </c>
      <c r="J206" s="2">
        <v>-19.3</v>
      </c>
      <c r="K206" s="2">
        <f t="shared" si="23"/>
        <v>-18</v>
      </c>
      <c r="L206" s="8">
        <f t="shared" si="27"/>
        <v>1.8197008586099809E-12</v>
      </c>
      <c r="M206" s="26">
        <f>SUM(L206:L211)</f>
        <v>1.0542409298403598E-11</v>
      </c>
      <c r="N206" s="17">
        <f>10*LOG10(M206/E206)</f>
        <v>-117.55211377132339</v>
      </c>
      <c r="O206" s="9">
        <f t="shared" si="25"/>
        <v>-19.3</v>
      </c>
      <c r="P206" s="8">
        <f>D206/B206*10^(O206/10)</f>
        <v>1.8406728360719276</v>
      </c>
      <c r="Q206" s="26">
        <f>SUM(P206:P211)</f>
        <v>8.8643543502735671</v>
      </c>
      <c r="R206" s="17">
        <f>10*LOG10(Q206)</f>
        <v>9.4764710854100223</v>
      </c>
      <c r="S206" s="18">
        <f>F206+N206-Kzt-H</f>
        <v>-55.552113771323391</v>
      </c>
      <c r="T206" s="17">
        <v>0.9</v>
      </c>
      <c r="U206" s="21">
        <f>T206*10^((S206-R206)/10)</f>
        <v>2.8273789723889309E-7</v>
      </c>
    </row>
    <row r="207" spans="1:21" x14ac:dyDescent="0.25">
      <c r="A207" s="24"/>
      <c r="B207" s="24"/>
      <c r="C207" s="17"/>
      <c r="D207" s="24"/>
      <c r="E207" s="24"/>
      <c r="F207" s="25"/>
      <c r="G207" s="1">
        <v>3425</v>
      </c>
      <c r="H207" s="2">
        <v>103.5</v>
      </c>
      <c r="I207" s="2">
        <v>-15</v>
      </c>
      <c r="J207" s="2">
        <v>-23.7</v>
      </c>
      <c r="K207" s="2">
        <f t="shared" si="23"/>
        <v>-15</v>
      </c>
      <c r="L207" s="8">
        <f t="shared" si="27"/>
        <v>1.4125375446227535E-12</v>
      </c>
      <c r="M207" s="26"/>
      <c r="N207" s="17"/>
      <c r="O207" s="9">
        <f t="shared" si="25"/>
        <v>-23.7</v>
      </c>
      <c r="P207" s="8">
        <f>D206/B206*10^(O207/10)</f>
        <v>0.66830791278916157</v>
      </c>
      <c r="Q207" s="26"/>
      <c r="R207" s="17"/>
      <c r="S207" s="19"/>
      <c r="T207" s="17"/>
      <c r="U207" s="22"/>
    </row>
    <row r="208" spans="1:21" x14ac:dyDescent="0.25">
      <c r="A208" s="24"/>
      <c r="B208" s="24"/>
      <c r="C208" s="17"/>
      <c r="D208" s="24"/>
      <c r="E208" s="24"/>
      <c r="F208" s="25"/>
      <c r="G208" s="1">
        <v>4025</v>
      </c>
      <c r="H208" s="2">
        <v>103.6</v>
      </c>
      <c r="I208" s="2">
        <v>-12.1</v>
      </c>
      <c r="J208" s="2">
        <v>-17.5</v>
      </c>
      <c r="K208" s="2">
        <f t="shared" si="23"/>
        <v>-12.1</v>
      </c>
      <c r="L208" s="8">
        <f t="shared" si="27"/>
        <v>2.6915348039269171E-12</v>
      </c>
      <c r="M208" s="26"/>
      <c r="N208" s="17"/>
      <c r="O208" s="9">
        <f t="shared" si="25"/>
        <v>-17.5</v>
      </c>
      <c r="P208" s="8">
        <f>D206/B206*10^(O208/10)</f>
        <v>2.785971075727645</v>
      </c>
      <c r="Q208" s="26"/>
      <c r="R208" s="17"/>
      <c r="S208" s="19"/>
      <c r="T208" s="17"/>
      <c r="U208" s="22"/>
    </row>
    <row r="209" spans="1:21" x14ac:dyDescent="0.25">
      <c r="A209" s="24"/>
      <c r="B209" s="24"/>
      <c r="C209" s="17"/>
      <c r="D209" s="24"/>
      <c r="E209" s="24"/>
      <c r="F209" s="25"/>
      <c r="G209" s="1">
        <v>4625</v>
      </c>
      <c r="H209" s="2">
        <v>105.6</v>
      </c>
      <c r="I209" s="2">
        <v>-18.899999999999999</v>
      </c>
      <c r="J209" s="2">
        <v>-20</v>
      </c>
      <c r="K209" s="2">
        <f t="shared" si="23"/>
        <v>-18.899999999999999</v>
      </c>
      <c r="L209" s="8">
        <f t="shared" si="27"/>
        <v>3.5481338923357479E-13</v>
      </c>
      <c r="M209" s="26"/>
      <c r="N209" s="17"/>
      <c r="O209" s="9">
        <f t="shared" si="25"/>
        <v>-20</v>
      </c>
      <c r="P209" s="8">
        <f>D206/B206*10^(O209/10)</f>
        <v>1.5666666666666667</v>
      </c>
      <c r="Q209" s="26"/>
      <c r="R209" s="17"/>
      <c r="S209" s="19"/>
      <c r="T209" s="17"/>
      <c r="U209" s="22"/>
    </row>
    <row r="210" spans="1:21" x14ac:dyDescent="0.25">
      <c r="A210" s="24"/>
      <c r="B210" s="24"/>
      <c r="C210" s="17"/>
      <c r="D210" s="24"/>
      <c r="E210" s="24"/>
      <c r="F210" s="25"/>
      <c r="G210" s="1">
        <v>5225</v>
      </c>
      <c r="H210" s="2">
        <v>103.5</v>
      </c>
      <c r="I210" s="2">
        <v>-14.9</v>
      </c>
      <c r="J210" s="2">
        <v>-22.7</v>
      </c>
      <c r="K210" s="2">
        <f t="shared" si="23"/>
        <v>-14.9</v>
      </c>
      <c r="L210" s="8">
        <f t="shared" si="27"/>
        <v>1.4454397707459267E-12</v>
      </c>
      <c r="M210" s="26"/>
      <c r="N210" s="17"/>
      <c r="O210" s="9">
        <f t="shared" si="25"/>
        <v>-22.7</v>
      </c>
      <c r="P210" s="8">
        <f>D206/B206*10^(O210/10)</f>
        <v>0.84134981431339539</v>
      </c>
      <c r="Q210" s="26"/>
      <c r="R210" s="17"/>
      <c r="S210" s="19"/>
      <c r="T210" s="17"/>
      <c r="U210" s="22"/>
    </row>
    <row r="211" spans="1:21" x14ac:dyDescent="0.25">
      <c r="A211" s="24"/>
      <c r="B211" s="24"/>
      <c r="C211" s="17"/>
      <c r="D211" s="24"/>
      <c r="E211" s="24"/>
      <c r="F211" s="25"/>
      <c r="G211" s="1">
        <v>5625</v>
      </c>
      <c r="H211" s="2">
        <v>99.5</v>
      </c>
      <c r="I211" s="2">
        <v>-16</v>
      </c>
      <c r="J211" s="2">
        <v>-21.3</v>
      </c>
      <c r="K211" s="2">
        <f t="shared" si="23"/>
        <v>-16</v>
      </c>
      <c r="L211" s="8">
        <f t="shared" si="27"/>
        <v>2.8183829312644444E-12</v>
      </c>
      <c r="M211" s="26"/>
      <c r="N211" s="17"/>
      <c r="O211" s="9">
        <f t="shared" si="25"/>
        <v>-21.3</v>
      </c>
      <c r="P211" s="8">
        <f>D206/B206*10^(O211/10)</f>
        <v>1.1613860447047706</v>
      </c>
      <c r="Q211" s="26"/>
      <c r="R211" s="17"/>
      <c r="S211" s="20"/>
      <c r="T211" s="17"/>
      <c r="U211" s="23"/>
    </row>
    <row r="212" spans="1:21" x14ac:dyDescent="0.25">
      <c r="A212" s="24">
        <v>8000</v>
      </c>
      <c r="B212" s="24">
        <v>3</v>
      </c>
      <c r="C212" s="17">
        <v>0.5</v>
      </c>
      <c r="D212" s="24">
        <v>943</v>
      </c>
      <c r="E212" s="24">
        <v>6</v>
      </c>
      <c r="F212" s="25">
        <v>54</v>
      </c>
      <c r="G212" s="1">
        <v>6025</v>
      </c>
      <c r="H212" s="2">
        <v>95</v>
      </c>
      <c r="I212" s="2">
        <v>-16.100000000000001</v>
      </c>
      <c r="J212" s="2">
        <v>-18.399999999999999</v>
      </c>
      <c r="K212" s="2">
        <f t="shared" si="23"/>
        <v>-16.100000000000001</v>
      </c>
      <c r="L212" s="8">
        <f t="shared" si="27"/>
        <v>7.762471166286914E-12</v>
      </c>
      <c r="M212" s="26">
        <f>SUM(L212:L217)</f>
        <v>9.5381688131452198E-11</v>
      </c>
      <c r="N212" s="17">
        <f>10*LOG10(M212/E212)</f>
        <v>-107.98686245771992</v>
      </c>
      <c r="O212" s="9">
        <f t="shared" si="25"/>
        <v>-18.399999999999999</v>
      </c>
      <c r="P212" s="8">
        <f>D212/B212*10^(O212/10)</f>
        <v>4.5434990127113641</v>
      </c>
      <c r="Q212" s="26">
        <f>SUM(P212:P217)</f>
        <v>14.016017124645479</v>
      </c>
      <c r="R212" s="17">
        <f>10*LOG10(Q212)</f>
        <v>11.466246194414779</v>
      </c>
      <c r="S212" s="18">
        <f>F212+N212-Kzt-H</f>
        <v>-53.986862457719923</v>
      </c>
      <c r="T212" s="17">
        <v>0.7</v>
      </c>
      <c r="U212" s="21">
        <f>T212*10^((S212-R212)/10)</f>
        <v>1.9942847799394969E-7</v>
      </c>
    </row>
    <row r="213" spans="1:21" x14ac:dyDescent="0.25">
      <c r="A213" s="24"/>
      <c r="B213" s="24"/>
      <c r="C213" s="17"/>
      <c r="D213" s="24"/>
      <c r="E213" s="24"/>
      <c r="F213" s="25"/>
      <c r="G213" s="1">
        <v>7025</v>
      </c>
      <c r="H213" s="2">
        <v>94.8</v>
      </c>
      <c r="I213" s="2">
        <v>-15.2</v>
      </c>
      <c r="J213" s="2">
        <v>-19.8</v>
      </c>
      <c r="K213" s="2">
        <f t="shared" si="23"/>
        <v>-15.2</v>
      </c>
      <c r="L213" s="8">
        <f t="shared" si="27"/>
        <v>9.9999999999999994E-12</v>
      </c>
      <c r="M213" s="26"/>
      <c r="N213" s="17"/>
      <c r="O213" s="9">
        <f t="shared" si="25"/>
        <v>-19.8</v>
      </c>
      <c r="P213" s="8">
        <f>D212/B212*10^(O213/10)</f>
        <v>3.2914740693733253</v>
      </c>
      <c r="Q213" s="26"/>
      <c r="R213" s="17"/>
      <c r="S213" s="19"/>
      <c r="T213" s="17"/>
      <c r="U213" s="22"/>
    </row>
    <row r="214" spans="1:21" x14ac:dyDescent="0.25">
      <c r="A214" s="24"/>
      <c r="B214" s="24"/>
      <c r="C214" s="17"/>
      <c r="D214" s="24"/>
      <c r="E214" s="24"/>
      <c r="F214" s="25"/>
      <c r="G214" s="1">
        <v>8025</v>
      </c>
      <c r="H214" s="2">
        <v>101.9</v>
      </c>
      <c r="I214" s="2">
        <v>-14.6</v>
      </c>
      <c r="J214" s="2">
        <v>-23.5</v>
      </c>
      <c r="K214" s="2">
        <f t="shared" si="23"/>
        <v>-14.6</v>
      </c>
      <c r="L214" s="8">
        <f t="shared" si="27"/>
        <v>2.2387211385683343E-12</v>
      </c>
      <c r="M214" s="26"/>
      <c r="N214" s="17"/>
      <c r="O214" s="9">
        <f t="shared" si="25"/>
        <v>-23.5</v>
      </c>
      <c r="P214" s="8">
        <f>D212/B212*10^(O214/10)</f>
        <v>1.4040754246611928</v>
      </c>
      <c r="Q214" s="26"/>
      <c r="R214" s="17"/>
      <c r="S214" s="19"/>
      <c r="T214" s="17"/>
      <c r="U214" s="22"/>
    </row>
    <row r="215" spans="1:21" x14ac:dyDescent="0.25">
      <c r="A215" s="24"/>
      <c r="B215" s="24"/>
      <c r="C215" s="17"/>
      <c r="D215" s="24"/>
      <c r="E215" s="24"/>
      <c r="F215" s="25"/>
      <c r="G215" s="1">
        <v>9025</v>
      </c>
      <c r="H215" s="2">
        <v>93.2</v>
      </c>
      <c r="I215" s="2">
        <v>-15.6</v>
      </c>
      <c r="J215" s="2">
        <v>-22.5</v>
      </c>
      <c r="K215" s="2">
        <f t="shared" si="23"/>
        <v>-15.6</v>
      </c>
      <c r="L215" s="8">
        <f t="shared" si="27"/>
        <v>1.3182567385564083E-11</v>
      </c>
      <c r="M215" s="26"/>
      <c r="N215" s="17"/>
      <c r="O215" s="9">
        <f t="shared" si="25"/>
        <v>-22.5</v>
      </c>
      <c r="P215" s="8">
        <f>D212/B212*10^(O215/10)</f>
        <v>1.7676262321816625</v>
      </c>
      <c r="Q215" s="26"/>
      <c r="R215" s="17"/>
      <c r="S215" s="19"/>
      <c r="T215" s="17"/>
      <c r="U215" s="22"/>
    </row>
    <row r="216" spans="1:21" x14ac:dyDescent="0.25">
      <c r="A216" s="24"/>
      <c r="B216" s="24"/>
      <c r="C216" s="17"/>
      <c r="D216" s="24"/>
      <c r="E216" s="24"/>
      <c r="F216" s="25"/>
      <c r="G216" s="1">
        <v>10025</v>
      </c>
      <c r="H216" s="2">
        <v>88.3</v>
      </c>
      <c r="I216" s="2">
        <v>-15.7</v>
      </c>
      <c r="J216" s="2">
        <v>-24.5</v>
      </c>
      <c r="K216" s="2">
        <f t="shared" si="23"/>
        <v>-15.7</v>
      </c>
      <c r="L216" s="8">
        <f t="shared" si="27"/>
        <v>3.9810717055349579E-11</v>
      </c>
      <c r="M216" s="26"/>
      <c r="N216" s="17"/>
      <c r="O216" s="9">
        <f t="shared" si="25"/>
        <v>-24.5</v>
      </c>
      <c r="P216" s="8">
        <f>D212/B212*10^(O216/10)</f>
        <v>1.1152967534908715</v>
      </c>
      <c r="Q216" s="26"/>
      <c r="R216" s="17"/>
      <c r="S216" s="19"/>
      <c r="T216" s="17"/>
      <c r="U216" s="22"/>
    </row>
    <row r="217" spans="1:21" x14ac:dyDescent="0.25">
      <c r="A217" s="24"/>
      <c r="B217" s="24"/>
      <c r="C217" s="17"/>
      <c r="D217" s="24"/>
      <c r="E217" s="24"/>
      <c r="F217" s="25"/>
      <c r="G217" s="1">
        <v>11025</v>
      </c>
      <c r="H217" s="2">
        <v>86</v>
      </c>
      <c r="I217" s="2">
        <v>-20.5</v>
      </c>
      <c r="J217" s="2">
        <v>-22.2</v>
      </c>
      <c r="K217" s="2">
        <f t="shared" si="23"/>
        <v>-20.5</v>
      </c>
      <c r="L217" s="8">
        <f t="shared" si="27"/>
        <v>2.238721138568329E-11</v>
      </c>
      <c r="M217" s="26"/>
      <c r="N217" s="17"/>
      <c r="O217" s="9">
        <f t="shared" si="25"/>
        <v>-22.2</v>
      </c>
      <c r="P217" s="8">
        <f>D212/B212*10^(O217/10)</f>
        <v>1.8940456322270642</v>
      </c>
      <c r="Q217" s="26"/>
      <c r="R217" s="17"/>
      <c r="S217" s="20"/>
      <c r="T217" s="17"/>
      <c r="U217" s="23"/>
    </row>
    <row r="218" spans="1:21" x14ac:dyDescent="0.25">
      <c r="A218" s="24" t="s">
        <v>20</v>
      </c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12">
        <f>U218</f>
        <v>6.6842674820144318E-2</v>
      </c>
      <c r="T218" s="2"/>
      <c r="U218" s="8">
        <f>0.8*SQRT(SUM(U184:U217))</f>
        <v>6.6842674820144318E-2</v>
      </c>
    </row>
    <row r="219" spans="1:21" x14ac:dyDescent="0.25">
      <c r="A219" s="27" t="s">
        <v>98</v>
      </c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9"/>
    </row>
    <row r="220" spans="1:21" x14ac:dyDescent="0.25">
      <c r="A220" s="24">
        <v>250</v>
      </c>
      <c r="B220" s="24">
        <v>3</v>
      </c>
      <c r="C220" s="17">
        <v>0.5</v>
      </c>
      <c r="D220" s="24">
        <v>38</v>
      </c>
      <c r="E220" s="24">
        <v>4</v>
      </c>
      <c r="F220" s="25">
        <v>84</v>
      </c>
      <c r="G220" s="1">
        <v>175</v>
      </c>
      <c r="H220" s="2">
        <v>84.8</v>
      </c>
      <c r="I220" s="2">
        <v>-19.600000000000001</v>
      </c>
      <c r="J220" s="2">
        <v>-24.8</v>
      </c>
      <c r="K220" s="2">
        <f>I220</f>
        <v>-19.600000000000001</v>
      </c>
      <c r="L220" s="8">
        <f>10^((K220-H220)/10)</f>
        <v>3.6307805477009883E-11</v>
      </c>
      <c r="M220" s="26">
        <f>SUM(L220:L223)</f>
        <v>6.0282205225650487E-11</v>
      </c>
      <c r="N220" s="17">
        <f>10*LOG10(M220/E220)</f>
        <v>-108.21870860163574</v>
      </c>
      <c r="O220" s="9">
        <f>J220</f>
        <v>-24.8</v>
      </c>
      <c r="P220" s="8">
        <f>D220/B220*10^(O220/10)</f>
        <v>4.1943275387794861E-2</v>
      </c>
      <c r="Q220" s="26">
        <f>SUM(P220:P223)</f>
        <v>0.23482116860925545</v>
      </c>
      <c r="R220" s="17">
        <f>10*LOG10(Q220)</f>
        <v>-6.2926275497214901</v>
      </c>
      <c r="S220" s="18">
        <f>F220+N220-Kzt-H</f>
        <v>-24.21870860163574</v>
      </c>
      <c r="T220" s="17">
        <v>0.2</v>
      </c>
      <c r="U220" s="21">
        <f>T220*10^((S220-R220)/10)</f>
        <v>3.2241993825470536E-3</v>
      </c>
    </row>
    <row r="221" spans="1:21" x14ac:dyDescent="0.25">
      <c r="A221" s="24"/>
      <c r="B221" s="24"/>
      <c r="C221" s="17"/>
      <c r="D221" s="24"/>
      <c r="E221" s="24"/>
      <c r="F221" s="25"/>
      <c r="G221" s="1">
        <v>225</v>
      </c>
      <c r="H221" s="2">
        <v>90</v>
      </c>
      <c r="I221" s="2">
        <v>-23.5</v>
      </c>
      <c r="J221" s="2">
        <v>-24.3</v>
      </c>
      <c r="K221" s="2">
        <f t="shared" ref="K221:K253" si="28">I221</f>
        <v>-23.5</v>
      </c>
      <c r="L221" s="8">
        <f t="shared" ref="L221:L222" si="29">10^((K221-H221)/10)</f>
        <v>4.4668359215096234E-12</v>
      </c>
      <c r="M221" s="26"/>
      <c r="N221" s="17"/>
      <c r="O221" s="9">
        <f t="shared" ref="O221:O253" si="30">J221</f>
        <v>-24.3</v>
      </c>
      <c r="P221" s="8">
        <f>D220/B220*10^(O221/10)</f>
        <v>4.7061129018975148E-2</v>
      </c>
      <c r="Q221" s="26"/>
      <c r="R221" s="17"/>
      <c r="S221" s="19"/>
      <c r="T221" s="17"/>
      <c r="U221" s="22"/>
    </row>
    <row r="222" spans="1:21" x14ac:dyDescent="0.25">
      <c r="A222" s="24"/>
      <c r="B222" s="24"/>
      <c r="C222" s="17"/>
      <c r="D222" s="24"/>
      <c r="E222" s="24"/>
      <c r="F222" s="25"/>
      <c r="G222" s="1">
        <v>275</v>
      </c>
      <c r="H222" s="2">
        <v>92.2</v>
      </c>
      <c r="I222" s="2">
        <v>-19.399999999999999</v>
      </c>
      <c r="J222" s="2">
        <v>-22.5</v>
      </c>
      <c r="K222" s="2">
        <f t="shared" si="28"/>
        <v>-19.399999999999999</v>
      </c>
      <c r="L222" s="8">
        <f t="shared" si="29"/>
        <v>6.9183097091893405E-12</v>
      </c>
      <c r="M222" s="26"/>
      <c r="N222" s="17"/>
      <c r="O222" s="9">
        <f t="shared" si="30"/>
        <v>-22.5</v>
      </c>
      <c r="P222" s="8">
        <f>D220/B220*10^(O222/10)</f>
        <v>7.1229901190777489E-2</v>
      </c>
      <c r="Q222" s="26"/>
      <c r="R222" s="17"/>
      <c r="S222" s="19"/>
      <c r="T222" s="17"/>
      <c r="U222" s="22"/>
    </row>
    <row r="223" spans="1:21" x14ac:dyDescent="0.25">
      <c r="A223" s="24"/>
      <c r="B223" s="24"/>
      <c r="C223" s="17"/>
      <c r="D223" s="24"/>
      <c r="E223" s="24"/>
      <c r="F223" s="25"/>
      <c r="G223" s="1">
        <v>325</v>
      </c>
      <c r="H223" s="2">
        <v>93.3</v>
      </c>
      <c r="I223" s="2">
        <v>-15.7</v>
      </c>
      <c r="J223" s="2">
        <v>-22.3</v>
      </c>
      <c r="K223" s="2">
        <f t="shared" si="28"/>
        <v>-15.7</v>
      </c>
      <c r="L223" s="8">
        <f>10^((K223-H223)/10)</f>
        <v>1.2589254117941641E-11</v>
      </c>
      <c r="M223" s="26"/>
      <c r="N223" s="17"/>
      <c r="O223" s="9">
        <f t="shared" si="30"/>
        <v>-22.3</v>
      </c>
      <c r="P223" s="8">
        <f>D220/B220*10^(O223/10)</f>
        <v>7.458686301170793E-2</v>
      </c>
      <c r="Q223" s="26"/>
      <c r="R223" s="17"/>
      <c r="S223" s="20"/>
      <c r="T223" s="17"/>
      <c r="U223" s="23"/>
    </row>
    <row r="224" spans="1:21" x14ac:dyDescent="0.25">
      <c r="A224" s="24">
        <v>500</v>
      </c>
      <c r="B224" s="24">
        <v>3</v>
      </c>
      <c r="C224" s="17">
        <v>0.5</v>
      </c>
      <c r="D224" s="24">
        <v>59</v>
      </c>
      <c r="E224" s="24">
        <v>6</v>
      </c>
      <c r="F224" s="25">
        <v>84</v>
      </c>
      <c r="G224" s="1">
        <v>375</v>
      </c>
      <c r="H224" s="2">
        <v>91.9</v>
      </c>
      <c r="I224" s="2">
        <v>-22.4</v>
      </c>
      <c r="J224" s="2">
        <v>-26</v>
      </c>
      <c r="K224" s="2">
        <f t="shared" si="28"/>
        <v>-22.4</v>
      </c>
      <c r="L224" s="8">
        <f t="shared" ref="L224:L225" si="31">10^((K224-H224)/10)</f>
        <v>3.715352290971709E-12</v>
      </c>
      <c r="M224" s="26">
        <f>SUM(L224:L229)</f>
        <v>2.8633077405281853E-11</v>
      </c>
      <c r="N224" s="17">
        <f>10*LOG10(M224/E224)</f>
        <v>-113.21283223063818</v>
      </c>
      <c r="O224" s="9">
        <f t="shared" si="30"/>
        <v>-26</v>
      </c>
      <c r="P224" s="8">
        <f>D224/B224*10^(O224/10)</f>
        <v>4.94004331530217E-2</v>
      </c>
      <c r="Q224" s="26">
        <f>SUM(P224:P229)</f>
        <v>0.33516872283490928</v>
      </c>
      <c r="R224" s="17">
        <f>10*LOG10(Q224)</f>
        <v>-4.7473651550112592</v>
      </c>
      <c r="S224" s="18">
        <f>F224+N224-Kzt-H</f>
        <v>-29.212832230638185</v>
      </c>
      <c r="T224" s="17">
        <v>0.5</v>
      </c>
      <c r="U224" s="21">
        <f>T224*10^((S224-R224)/10)</f>
        <v>1.7882296717693594E-3</v>
      </c>
    </row>
    <row r="225" spans="1:21" x14ac:dyDescent="0.25">
      <c r="A225" s="24"/>
      <c r="B225" s="24"/>
      <c r="C225" s="17"/>
      <c r="D225" s="24"/>
      <c r="E225" s="24"/>
      <c r="F225" s="25"/>
      <c r="G225" s="1">
        <v>425</v>
      </c>
      <c r="H225" s="2">
        <v>88.1</v>
      </c>
      <c r="I225" s="2">
        <v>-19.899999999999999</v>
      </c>
      <c r="J225" s="2">
        <v>-24.3</v>
      </c>
      <c r="K225" s="2">
        <f t="shared" si="28"/>
        <v>-19.899999999999999</v>
      </c>
      <c r="L225" s="8">
        <f t="shared" si="31"/>
        <v>1.5848931924611082E-11</v>
      </c>
      <c r="M225" s="26"/>
      <c r="N225" s="17"/>
      <c r="O225" s="9">
        <f t="shared" si="30"/>
        <v>-24.3</v>
      </c>
      <c r="P225" s="8">
        <f>D224/B224*10^(O225/10)</f>
        <v>7.3068595055777216E-2</v>
      </c>
      <c r="Q225" s="26"/>
      <c r="R225" s="17"/>
      <c r="S225" s="19"/>
      <c r="T225" s="17"/>
      <c r="U225" s="22"/>
    </row>
    <row r="226" spans="1:21" x14ac:dyDescent="0.25">
      <c r="A226" s="24"/>
      <c r="B226" s="24"/>
      <c r="C226" s="17"/>
      <c r="D226" s="24"/>
      <c r="E226" s="24"/>
      <c r="F226" s="25"/>
      <c r="G226" s="1">
        <v>475</v>
      </c>
      <c r="H226" s="2">
        <v>90</v>
      </c>
      <c r="I226" s="2">
        <v>-24.9</v>
      </c>
      <c r="J226" s="2">
        <v>-26.2</v>
      </c>
      <c r="K226" s="2">
        <f t="shared" si="28"/>
        <v>-24.9</v>
      </c>
      <c r="L226" s="8">
        <f>10^((K226-H226)/10)</f>
        <v>3.2359365692962695E-12</v>
      </c>
      <c r="M226" s="26"/>
      <c r="N226" s="17"/>
      <c r="O226" s="9">
        <f t="shared" si="30"/>
        <v>-26.2</v>
      </c>
      <c r="P226" s="8">
        <f>D224/B224*10^(O226/10)</f>
        <v>4.717704740738328E-2</v>
      </c>
      <c r="Q226" s="26"/>
      <c r="R226" s="17"/>
      <c r="S226" s="19"/>
      <c r="T226" s="17"/>
      <c r="U226" s="22"/>
    </row>
    <row r="227" spans="1:21" x14ac:dyDescent="0.25">
      <c r="A227" s="24"/>
      <c r="B227" s="24"/>
      <c r="C227" s="17"/>
      <c r="D227" s="24"/>
      <c r="E227" s="24"/>
      <c r="F227" s="25"/>
      <c r="G227" s="1">
        <v>575</v>
      </c>
      <c r="H227" s="2">
        <v>97</v>
      </c>
      <c r="I227" s="2">
        <v>-21.6</v>
      </c>
      <c r="J227" s="2">
        <v>-28.8</v>
      </c>
      <c r="K227" s="2">
        <f t="shared" si="28"/>
        <v>-21.6</v>
      </c>
      <c r="L227" s="8">
        <f t="shared" ref="L227:L253" si="32">10^((K227-H227)/10)</f>
        <v>1.3803842646028842E-12</v>
      </c>
      <c r="M227" s="26"/>
      <c r="N227" s="17"/>
      <c r="O227" s="9">
        <f t="shared" si="30"/>
        <v>-28.8</v>
      </c>
      <c r="P227" s="8">
        <f>D224/B224*10^(O227/10)</f>
        <v>2.5925715858276008E-2</v>
      </c>
      <c r="Q227" s="26"/>
      <c r="R227" s="17"/>
      <c r="S227" s="19"/>
      <c r="T227" s="17"/>
      <c r="U227" s="22"/>
    </row>
    <row r="228" spans="1:21" x14ac:dyDescent="0.25">
      <c r="A228" s="24"/>
      <c r="B228" s="24"/>
      <c r="C228" s="17"/>
      <c r="D228" s="24"/>
      <c r="E228" s="24"/>
      <c r="F228" s="25"/>
      <c r="G228" s="1">
        <v>625</v>
      </c>
      <c r="H228" s="2">
        <v>92</v>
      </c>
      <c r="I228" s="2">
        <v>-23.6</v>
      </c>
      <c r="J228" s="2">
        <v>-24.6</v>
      </c>
      <c r="K228" s="2">
        <f t="shared" si="28"/>
        <v>-23.6</v>
      </c>
      <c r="L228" s="8">
        <f t="shared" si="32"/>
        <v>2.7542287033381671E-12</v>
      </c>
      <c r="M228" s="26"/>
      <c r="N228" s="17"/>
      <c r="O228" s="9">
        <f t="shared" si="30"/>
        <v>-24.6</v>
      </c>
      <c r="P228" s="8">
        <f>D224/B224*10^(O228/10)</f>
        <v>6.8191580588997866E-2</v>
      </c>
      <c r="Q228" s="26"/>
      <c r="R228" s="17"/>
      <c r="S228" s="19"/>
      <c r="T228" s="17"/>
      <c r="U228" s="22"/>
    </row>
    <row r="229" spans="1:21" x14ac:dyDescent="0.25">
      <c r="A229" s="24"/>
      <c r="B229" s="24"/>
      <c r="C229" s="17"/>
      <c r="D229" s="24"/>
      <c r="E229" s="24"/>
      <c r="F229" s="25"/>
      <c r="G229" s="1">
        <v>675</v>
      </c>
      <c r="H229" s="2">
        <v>94.5</v>
      </c>
      <c r="I229" s="2">
        <v>-23.2</v>
      </c>
      <c r="J229" s="2">
        <v>-24.4</v>
      </c>
      <c r="K229" s="2">
        <f t="shared" si="28"/>
        <v>-23.2</v>
      </c>
      <c r="L229" s="8">
        <f t="shared" si="32"/>
        <v>1.6982436524617421E-12</v>
      </c>
      <c r="M229" s="26"/>
      <c r="N229" s="17"/>
      <c r="O229" s="9">
        <f t="shared" si="30"/>
        <v>-24.4</v>
      </c>
      <c r="P229" s="8">
        <f>D224/B224*10^(O229/10)</f>
        <v>7.1405350771453213E-2</v>
      </c>
      <c r="Q229" s="26"/>
      <c r="R229" s="17"/>
      <c r="S229" s="20"/>
      <c r="T229" s="17"/>
      <c r="U229" s="23"/>
    </row>
    <row r="230" spans="1:21" x14ac:dyDescent="0.25">
      <c r="A230" s="24">
        <v>1000</v>
      </c>
      <c r="B230" s="24">
        <v>3</v>
      </c>
      <c r="C230" s="17">
        <v>0.5</v>
      </c>
      <c r="D230" s="24">
        <v>117</v>
      </c>
      <c r="E230" s="24">
        <v>6</v>
      </c>
      <c r="F230" s="25">
        <v>76</v>
      </c>
      <c r="G230" s="1">
        <v>875</v>
      </c>
      <c r="H230" s="2">
        <v>91.1</v>
      </c>
      <c r="I230" s="2">
        <v>-23.1</v>
      </c>
      <c r="J230" s="2">
        <v>-26.1</v>
      </c>
      <c r="K230" s="2">
        <f t="shared" si="28"/>
        <v>-23.1</v>
      </c>
      <c r="L230" s="8">
        <f t="shared" si="32"/>
        <v>3.8018939632056213E-12</v>
      </c>
      <c r="M230" s="26">
        <f>SUM(L230:L235)</f>
        <v>8.9911221402225258E-12</v>
      </c>
      <c r="N230" s="17">
        <f>10*LOG10(M230/E230)</f>
        <v>-118.24337352989234</v>
      </c>
      <c r="O230" s="9">
        <f t="shared" si="30"/>
        <v>-26.1</v>
      </c>
      <c r="P230" s="8">
        <f>D230/B230*10^(O230/10)</f>
        <v>9.5733647711716024E-2</v>
      </c>
      <c r="Q230" s="26">
        <f>SUM(P230:P235)</f>
        <v>0.66481409577986417</v>
      </c>
      <c r="R230" s="17">
        <f>10*LOG10(Q230)</f>
        <v>-1.7729978095903187</v>
      </c>
      <c r="S230" s="18">
        <f>F230+N230-Kzt-H</f>
        <v>-42.243373529892338</v>
      </c>
      <c r="T230" s="17">
        <v>0.8</v>
      </c>
      <c r="U230" s="21">
        <f>T230*10^((S230-R230)/10)</f>
        <v>7.1788092702738089E-5</v>
      </c>
    </row>
    <row r="231" spans="1:21" x14ac:dyDescent="0.25">
      <c r="A231" s="24"/>
      <c r="B231" s="24"/>
      <c r="C231" s="17"/>
      <c r="D231" s="24"/>
      <c r="E231" s="24"/>
      <c r="F231" s="25"/>
      <c r="G231" s="1">
        <v>975</v>
      </c>
      <c r="H231" s="2">
        <v>96.5</v>
      </c>
      <c r="I231" s="2">
        <v>-22.4</v>
      </c>
      <c r="J231" s="2">
        <v>-24.3</v>
      </c>
      <c r="K231" s="2">
        <f t="shared" si="28"/>
        <v>-22.4</v>
      </c>
      <c r="L231" s="8">
        <f t="shared" si="32"/>
        <v>1.2882495516931293E-12</v>
      </c>
      <c r="M231" s="26"/>
      <c r="N231" s="17"/>
      <c r="O231" s="9">
        <f t="shared" si="30"/>
        <v>-24.3</v>
      </c>
      <c r="P231" s="8">
        <f>D230/B230*10^(O231/10)</f>
        <v>0.14489873934789718</v>
      </c>
      <c r="Q231" s="26"/>
      <c r="R231" s="17"/>
      <c r="S231" s="19"/>
      <c r="T231" s="17"/>
      <c r="U231" s="22"/>
    </row>
    <row r="232" spans="1:21" x14ac:dyDescent="0.25">
      <c r="A232" s="24"/>
      <c r="B232" s="24"/>
      <c r="C232" s="17"/>
      <c r="D232" s="24"/>
      <c r="E232" s="24"/>
      <c r="F232" s="25"/>
      <c r="G232" s="1">
        <v>1075</v>
      </c>
      <c r="H232" s="2">
        <v>94.6</v>
      </c>
      <c r="I232" s="2">
        <v>-21.9</v>
      </c>
      <c r="J232" s="2">
        <v>-25.9</v>
      </c>
      <c r="K232" s="2">
        <f t="shared" si="28"/>
        <v>-21.9</v>
      </c>
      <c r="L232" s="8">
        <f t="shared" si="32"/>
        <v>2.2387211385683343E-12</v>
      </c>
      <c r="M232" s="26"/>
      <c r="N232" s="17"/>
      <c r="O232" s="9">
        <f t="shared" si="30"/>
        <v>-25.9</v>
      </c>
      <c r="P232" s="8">
        <f>D230/B230*10^(O232/10)</f>
        <v>0.10024543552798568</v>
      </c>
      <c r="Q232" s="26"/>
      <c r="R232" s="17"/>
      <c r="S232" s="19"/>
      <c r="T232" s="17"/>
      <c r="U232" s="22"/>
    </row>
    <row r="233" spans="1:21" x14ac:dyDescent="0.25">
      <c r="A233" s="24"/>
      <c r="B233" s="24"/>
      <c r="C233" s="17"/>
      <c r="D233" s="24"/>
      <c r="E233" s="24"/>
      <c r="F233" s="25"/>
      <c r="G233" s="1">
        <v>1175</v>
      </c>
      <c r="H233" s="2">
        <v>97.8</v>
      </c>
      <c r="I233" s="2">
        <v>-23.3</v>
      </c>
      <c r="J233" s="2">
        <v>-24.3</v>
      </c>
      <c r="K233" s="2">
        <f t="shared" si="28"/>
        <v>-23.3</v>
      </c>
      <c r="L233" s="8">
        <f t="shared" si="32"/>
        <v>7.7624711662869047E-13</v>
      </c>
      <c r="M233" s="26"/>
      <c r="N233" s="17"/>
      <c r="O233" s="9">
        <f t="shared" si="30"/>
        <v>-24.3</v>
      </c>
      <c r="P233" s="8">
        <f>D230/B230*10^(O233/10)</f>
        <v>0.14489873934789718</v>
      </c>
      <c r="Q233" s="26"/>
      <c r="R233" s="17"/>
      <c r="S233" s="19"/>
      <c r="T233" s="17"/>
      <c r="U233" s="22"/>
    </row>
    <row r="234" spans="1:21" x14ac:dyDescent="0.25">
      <c r="A234" s="24"/>
      <c r="B234" s="24"/>
      <c r="C234" s="17"/>
      <c r="D234" s="24"/>
      <c r="E234" s="24"/>
      <c r="F234" s="25"/>
      <c r="G234" s="1">
        <v>1275</v>
      </c>
      <c r="H234" s="2">
        <v>100.1</v>
      </c>
      <c r="I234" s="2">
        <v>-23.099999999999998</v>
      </c>
      <c r="J234" s="2">
        <v>-24.7</v>
      </c>
      <c r="K234" s="2">
        <f t="shared" si="28"/>
        <v>-23.099999999999998</v>
      </c>
      <c r="L234" s="8">
        <f t="shared" si="32"/>
        <v>4.7863009232263857E-13</v>
      </c>
      <c r="M234" s="26"/>
      <c r="N234" s="17"/>
      <c r="O234" s="9">
        <f t="shared" si="30"/>
        <v>-24.7</v>
      </c>
      <c r="P234" s="8">
        <f>D230/B230*10^(O234/10)</f>
        <v>0.13214922089428893</v>
      </c>
      <c r="Q234" s="26"/>
      <c r="R234" s="17"/>
      <c r="S234" s="19"/>
      <c r="T234" s="17"/>
      <c r="U234" s="22"/>
    </row>
    <row r="235" spans="1:21" x14ac:dyDescent="0.25">
      <c r="A235" s="24"/>
      <c r="B235" s="24"/>
      <c r="C235" s="17"/>
      <c r="D235" s="24"/>
      <c r="E235" s="24"/>
      <c r="F235" s="25"/>
      <c r="G235" s="1">
        <v>1375</v>
      </c>
      <c r="H235" s="2">
        <v>103</v>
      </c>
      <c r="I235" s="2">
        <v>-20.9</v>
      </c>
      <c r="J235" s="2">
        <v>-29.2</v>
      </c>
      <c r="K235" s="2">
        <f t="shared" si="28"/>
        <v>-20.9</v>
      </c>
      <c r="L235" s="8">
        <f t="shared" si="32"/>
        <v>4.0738027780411177E-13</v>
      </c>
      <c r="M235" s="26"/>
      <c r="N235" s="17"/>
      <c r="O235" s="9">
        <f t="shared" si="30"/>
        <v>-29.2</v>
      </c>
      <c r="P235" s="8">
        <f>D230/B230*10^(O235/10)</f>
        <v>4.6888312950079079E-2</v>
      </c>
      <c r="Q235" s="26"/>
      <c r="R235" s="17"/>
      <c r="S235" s="20"/>
      <c r="T235" s="17"/>
      <c r="U235" s="23"/>
    </row>
    <row r="236" spans="1:21" x14ac:dyDescent="0.25">
      <c r="A236" s="24">
        <v>2000</v>
      </c>
      <c r="B236" s="24">
        <v>3</v>
      </c>
      <c r="C236" s="17">
        <v>0.5</v>
      </c>
      <c r="D236" s="24">
        <v>234</v>
      </c>
      <c r="E236" s="24">
        <v>6</v>
      </c>
      <c r="F236" s="25">
        <v>68</v>
      </c>
      <c r="G236" s="1">
        <v>1425</v>
      </c>
      <c r="H236" s="2">
        <v>102.8</v>
      </c>
      <c r="I236" s="2">
        <v>-23.5</v>
      </c>
      <c r="J236" s="2">
        <v>-28.9</v>
      </c>
      <c r="K236" s="2">
        <f t="shared" si="28"/>
        <v>-23.5</v>
      </c>
      <c r="L236" s="8">
        <f t="shared" si="32"/>
        <v>2.3442288153199217E-13</v>
      </c>
      <c r="M236" s="26">
        <f>SUM(L236:L241)</f>
        <v>3.3880127776037136E-12</v>
      </c>
      <c r="N236" s="17">
        <f>10*LOG10(M236/E236)</f>
        <v>-122.48206210816969</v>
      </c>
      <c r="O236" s="9">
        <f t="shared" si="30"/>
        <v>-28.9</v>
      </c>
      <c r="P236" s="8">
        <f>D236/B236*10^(O236/10)</f>
        <v>0.10048346503206446</v>
      </c>
      <c r="Q236" s="26">
        <f>SUM(P236:P241)</f>
        <v>0.99673223385312792</v>
      </c>
      <c r="R236" s="17">
        <f>10*LOG10(Q236)</f>
        <v>-1.4214966320239403E-2</v>
      </c>
      <c r="S236" s="18">
        <f>F236+N236-Kzt-H</f>
        <v>-54.482062108169686</v>
      </c>
      <c r="T236" s="17">
        <v>1</v>
      </c>
      <c r="U236" s="21">
        <f>T236*10^((S236-R236)/10)</f>
        <v>3.5744998717091062E-6</v>
      </c>
    </row>
    <row r="237" spans="1:21" x14ac:dyDescent="0.25">
      <c r="A237" s="24"/>
      <c r="B237" s="24"/>
      <c r="C237" s="17"/>
      <c r="D237" s="24"/>
      <c r="E237" s="24"/>
      <c r="F237" s="25"/>
      <c r="G237" s="1">
        <v>1625</v>
      </c>
      <c r="H237" s="2">
        <v>104.1</v>
      </c>
      <c r="I237" s="2">
        <v>-21.7</v>
      </c>
      <c r="J237" s="2">
        <v>-28.4</v>
      </c>
      <c r="K237" s="2">
        <f t="shared" si="28"/>
        <v>-21.7</v>
      </c>
      <c r="L237" s="8">
        <f t="shared" si="32"/>
        <v>2.6302679918953709E-13</v>
      </c>
      <c r="M237" s="26"/>
      <c r="N237" s="17"/>
      <c r="O237" s="9">
        <f t="shared" si="30"/>
        <v>-28.4</v>
      </c>
      <c r="P237" s="8">
        <f>D236/B236*10^(O237/10)</f>
        <v>0.11274430211818232</v>
      </c>
      <c r="Q237" s="26"/>
      <c r="R237" s="17"/>
      <c r="S237" s="19"/>
      <c r="T237" s="17"/>
      <c r="U237" s="22"/>
    </row>
    <row r="238" spans="1:21" x14ac:dyDescent="0.25">
      <c r="A238" s="24"/>
      <c r="B238" s="24"/>
      <c r="C238" s="17"/>
      <c r="D238" s="24"/>
      <c r="E238" s="24"/>
      <c r="F238" s="25"/>
      <c r="G238" s="1">
        <v>1825</v>
      </c>
      <c r="H238" s="2">
        <v>107.6</v>
      </c>
      <c r="I238" s="2">
        <v>-23.3</v>
      </c>
      <c r="J238" s="2">
        <v>-27</v>
      </c>
      <c r="K238" s="2">
        <f t="shared" si="28"/>
        <v>-23.3</v>
      </c>
      <c r="L238" s="8">
        <f t="shared" si="32"/>
        <v>8.1283051616409697E-14</v>
      </c>
      <c r="M238" s="26"/>
      <c r="N238" s="17"/>
      <c r="O238" s="9">
        <f t="shared" si="30"/>
        <v>-27</v>
      </c>
      <c r="P238" s="8">
        <f>D236/B236*10^(O238/10)</f>
        <v>0.15563046056757249</v>
      </c>
      <c r="Q238" s="26"/>
      <c r="R238" s="17"/>
      <c r="S238" s="19"/>
      <c r="T238" s="17"/>
      <c r="U238" s="22"/>
    </row>
    <row r="239" spans="1:21" x14ac:dyDescent="0.25">
      <c r="A239" s="24"/>
      <c r="B239" s="24"/>
      <c r="C239" s="17"/>
      <c r="D239" s="24"/>
      <c r="E239" s="24"/>
      <c r="F239" s="25"/>
      <c r="G239" s="1">
        <v>2125</v>
      </c>
      <c r="H239" s="2">
        <v>104.2</v>
      </c>
      <c r="I239" s="2">
        <v>-24.2</v>
      </c>
      <c r="J239" s="2">
        <v>-25.3</v>
      </c>
      <c r="K239" s="2">
        <f t="shared" si="28"/>
        <v>-24.2</v>
      </c>
      <c r="L239" s="8">
        <f t="shared" si="32"/>
        <v>1.4454397707459251E-13</v>
      </c>
      <c r="M239" s="26"/>
      <c r="N239" s="17"/>
      <c r="O239" s="9">
        <f t="shared" si="30"/>
        <v>-25.3</v>
      </c>
      <c r="P239" s="8">
        <f>D236/B236*10^(O239/10)</f>
        <v>0.23019431967997794</v>
      </c>
      <c r="Q239" s="26"/>
      <c r="R239" s="17"/>
      <c r="S239" s="19"/>
      <c r="T239" s="17"/>
      <c r="U239" s="22"/>
    </row>
    <row r="240" spans="1:21" x14ac:dyDescent="0.25">
      <c r="A240" s="24"/>
      <c r="B240" s="24"/>
      <c r="C240" s="17"/>
      <c r="D240" s="24"/>
      <c r="E240" s="24"/>
      <c r="F240" s="25"/>
      <c r="G240" s="1">
        <v>2425</v>
      </c>
      <c r="H240" s="2">
        <v>93.7</v>
      </c>
      <c r="I240" s="2">
        <v>-23.1</v>
      </c>
      <c r="J240" s="2">
        <v>-26.3</v>
      </c>
      <c r="K240" s="2">
        <f t="shared" si="28"/>
        <v>-23.1</v>
      </c>
      <c r="L240" s="8">
        <f t="shared" si="32"/>
        <v>2.0892961308540277E-12</v>
      </c>
      <c r="M240" s="26"/>
      <c r="N240" s="17"/>
      <c r="O240" s="9">
        <f t="shared" si="30"/>
        <v>-26.3</v>
      </c>
      <c r="P240" s="8">
        <f>D236/B236*10^(O240/10)</f>
        <v>0.18284984759495379</v>
      </c>
      <c r="Q240" s="26"/>
      <c r="R240" s="17"/>
      <c r="S240" s="19"/>
      <c r="T240" s="17"/>
      <c r="U240" s="22"/>
    </row>
    <row r="241" spans="1:21" x14ac:dyDescent="0.25">
      <c r="A241" s="24"/>
      <c r="B241" s="24"/>
      <c r="C241" s="17"/>
      <c r="D241" s="24"/>
      <c r="E241" s="24"/>
      <c r="F241" s="25"/>
      <c r="G241" s="1">
        <v>2775</v>
      </c>
      <c r="H241" s="2">
        <v>100.2</v>
      </c>
      <c r="I241" s="2">
        <v>-22.2</v>
      </c>
      <c r="J241" s="2">
        <v>-25.6</v>
      </c>
      <c r="K241" s="2">
        <f t="shared" si="28"/>
        <v>-22.2</v>
      </c>
      <c r="L241" s="8">
        <f t="shared" si="32"/>
        <v>5.7543993733715476E-13</v>
      </c>
      <c r="M241" s="26"/>
      <c r="N241" s="17"/>
      <c r="O241" s="9">
        <f t="shared" si="30"/>
        <v>-25.6</v>
      </c>
      <c r="P241" s="8">
        <f>D236/B236*10^(O241/10)</f>
        <v>0.21482983886037688</v>
      </c>
      <c r="Q241" s="26"/>
      <c r="R241" s="17"/>
      <c r="S241" s="20"/>
      <c r="T241" s="17"/>
      <c r="U241" s="23"/>
    </row>
    <row r="242" spans="1:21" x14ac:dyDescent="0.25">
      <c r="A242" s="24">
        <v>4000</v>
      </c>
      <c r="B242" s="24">
        <v>3</v>
      </c>
      <c r="C242" s="17">
        <v>0.5</v>
      </c>
      <c r="D242" s="24">
        <v>470</v>
      </c>
      <c r="E242" s="24">
        <v>6</v>
      </c>
      <c r="F242" s="25">
        <v>62</v>
      </c>
      <c r="G242" s="1">
        <v>2825</v>
      </c>
      <c r="H242" s="2">
        <v>99.4</v>
      </c>
      <c r="I242" s="2">
        <v>-20.8</v>
      </c>
      <c r="J242" s="2">
        <v>-27.7</v>
      </c>
      <c r="K242" s="2">
        <f t="shared" si="28"/>
        <v>-20.8</v>
      </c>
      <c r="L242" s="8">
        <f t="shared" si="32"/>
        <v>9.5499258602143367E-13</v>
      </c>
      <c r="M242" s="26">
        <f>SUM(L242:L247)</f>
        <v>2.3790009190044826E-12</v>
      </c>
      <c r="N242" s="17">
        <f>10*LOG10(M242/E242)</f>
        <v>-124.01756640579039</v>
      </c>
      <c r="O242" s="9">
        <f t="shared" si="30"/>
        <v>-27.7</v>
      </c>
      <c r="P242" s="8">
        <f>D242/B242*10^(O242/10)</f>
        <v>0.26605817221900629</v>
      </c>
      <c r="Q242" s="26">
        <f>SUM(P242:P247)</f>
        <v>1.5929477109743218</v>
      </c>
      <c r="R242" s="17">
        <f>10*LOG10(Q242)</f>
        <v>2.0220152017776396</v>
      </c>
      <c r="S242" s="18">
        <f>F242+N242-Kzt-H</f>
        <v>-62.01756640579039</v>
      </c>
      <c r="T242" s="17">
        <v>0.9</v>
      </c>
      <c r="U242" s="21">
        <f>T242*10^((S242-R242)/10)</f>
        <v>3.550457747683453E-7</v>
      </c>
    </row>
    <row r="243" spans="1:21" x14ac:dyDescent="0.25">
      <c r="A243" s="24"/>
      <c r="B243" s="24"/>
      <c r="C243" s="17"/>
      <c r="D243" s="24"/>
      <c r="E243" s="24"/>
      <c r="F243" s="25"/>
      <c r="G243" s="1">
        <v>3425</v>
      </c>
      <c r="H243" s="2">
        <v>103.5</v>
      </c>
      <c r="I243" s="2">
        <v>-22.5</v>
      </c>
      <c r="J243" s="2">
        <v>-29.6</v>
      </c>
      <c r="K243" s="2">
        <f t="shared" si="28"/>
        <v>-22.5</v>
      </c>
      <c r="L243" s="8">
        <f t="shared" si="32"/>
        <v>2.511886431509579E-13</v>
      </c>
      <c r="M243" s="26"/>
      <c r="N243" s="17"/>
      <c r="O243" s="9">
        <f t="shared" si="30"/>
        <v>-29.6</v>
      </c>
      <c r="P243" s="8">
        <f>D242/B242*10^(O243/10)</f>
        <v>0.1717815840624323</v>
      </c>
      <c r="Q243" s="26"/>
      <c r="R243" s="17"/>
      <c r="S243" s="19"/>
      <c r="T243" s="17"/>
      <c r="U243" s="22"/>
    </row>
    <row r="244" spans="1:21" x14ac:dyDescent="0.25">
      <c r="A244" s="24"/>
      <c r="B244" s="24"/>
      <c r="C244" s="17"/>
      <c r="D244" s="24"/>
      <c r="E244" s="24"/>
      <c r="F244" s="25"/>
      <c r="G244" s="1">
        <v>4025</v>
      </c>
      <c r="H244" s="2">
        <v>103.6</v>
      </c>
      <c r="I244" s="2">
        <v>-25.8</v>
      </c>
      <c r="J244" s="2">
        <v>-31.4</v>
      </c>
      <c r="K244" s="2">
        <f t="shared" si="28"/>
        <v>-25.8</v>
      </c>
      <c r="L244" s="8">
        <f t="shared" si="32"/>
        <v>1.1481536214968778E-13</v>
      </c>
      <c r="M244" s="26"/>
      <c r="N244" s="17"/>
      <c r="O244" s="9">
        <f t="shared" si="30"/>
        <v>-31.4</v>
      </c>
      <c r="P244" s="8">
        <f>D242/B242*10^(O244/10)</f>
        <v>0.11349496707841507</v>
      </c>
      <c r="Q244" s="26"/>
      <c r="R244" s="17"/>
      <c r="S244" s="19"/>
      <c r="T244" s="17"/>
      <c r="U244" s="22"/>
    </row>
    <row r="245" spans="1:21" x14ac:dyDescent="0.25">
      <c r="A245" s="24"/>
      <c r="B245" s="24"/>
      <c r="C245" s="17"/>
      <c r="D245" s="24"/>
      <c r="E245" s="24"/>
      <c r="F245" s="25"/>
      <c r="G245" s="1">
        <v>4625</v>
      </c>
      <c r="H245" s="2">
        <v>105.6</v>
      </c>
      <c r="I245" s="2">
        <v>-22.6</v>
      </c>
      <c r="J245" s="2">
        <v>-22.8</v>
      </c>
      <c r="K245" s="2">
        <f t="shared" si="28"/>
        <v>-22.6</v>
      </c>
      <c r="L245" s="8">
        <f t="shared" si="32"/>
        <v>1.5135612484362107E-13</v>
      </c>
      <c r="M245" s="26"/>
      <c r="N245" s="17"/>
      <c r="O245" s="9">
        <f t="shared" si="30"/>
        <v>-22.8</v>
      </c>
      <c r="P245" s="8">
        <f>D242/B242*10^(O245/10)</f>
        <v>0.82219835439130917</v>
      </c>
      <c r="Q245" s="26"/>
      <c r="R245" s="17"/>
      <c r="S245" s="19"/>
      <c r="T245" s="17"/>
      <c r="U245" s="22"/>
    </row>
    <row r="246" spans="1:21" x14ac:dyDescent="0.25">
      <c r="A246" s="24"/>
      <c r="B246" s="24"/>
      <c r="C246" s="17"/>
      <c r="D246" s="24"/>
      <c r="E246" s="24"/>
      <c r="F246" s="25"/>
      <c r="G246" s="1">
        <v>5225</v>
      </c>
      <c r="H246" s="2">
        <v>103.5</v>
      </c>
      <c r="I246" s="2">
        <v>-20.3</v>
      </c>
      <c r="J246" s="2">
        <v>-31.4</v>
      </c>
      <c r="K246" s="2">
        <f t="shared" si="28"/>
        <v>-20.3</v>
      </c>
      <c r="L246" s="8">
        <f t="shared" si="32"/>
        <v>4.1686938347033585E-13</v>
      </c>
      <c r="M246" s="26"/>
      <c r="N246" s="17"/>
      <c r="O246" s="9">
        <f t="shared" si="30"/>
        <v>-31.4</v>
      </c>
      <c r="P246" s="8">
        <f>D242/B242*10^(O246/10)</f>
        <v>0.11349496707841507</v>
      </c>
      <c r="Q246" s="26"/>
      <c r="R246" s="17"/>
      <c r="S246" s="19"/>
      <c r="T246" s="17"/>
      <c r="U246" s="22"/>
    </row>
    <row r="247" spans="1:21" x14ac:dyDescent="0.25">
      <c r="A247" s="24"/>
      <c r="B247" s="24"/>
      <c r="C247" s="17"/>
      <c r="D247" s="24"/>
      <c r="E247" s="24"/>
      <c r="F247" s="25"/>
      <c r="G247" s="1">
        <v>5625</v>
      </c>
      <c r="H247" s="2">
        <v>99.5</v>
      </c>
      <c r="I247" s="2">
        <v>-23.6</v>
      </c>
      <c r="J247" s="2">
        <v>-31.7</v>
      </c>
      <c r="K247" s="2">
        <f t="shared" si="28"/>
        <v>-23.6</v>
      </c>
      <c r="L247" s="8">
        <f t="shared" si="32"/>
        <v>4.8977881936844633E-13</v>
      </c>
      <c r="M247" s="26"/>
      <c r="N247" s="17"/>
      <c r="O247" s="9">
        <f t="shared" si="30"/>
        <v>-31.7</v>
      </c>
      <c r="P247" s="8">
        <f>D242/B242*10^(O247/10)</f>
        <v>0.10591966614474371</v>
      </c>
      <c r="Q247" s="26"/>
      <c r="R247" s="17"/>
      <c r="S247" s="20"/>
      <c r="T247" s="17"/>
      <c r="U247" s="23"/>
    </row>
    <row r="248" spans="1:21" x14ac:dyDescent="0.25">
      <c r="A248" s="24">
        <v>8000</v>
      </c>
      <c r="B248" s="24">
        <v>3</v>
      </c>
      <c r="C248" s="17">
        <v>0.5</v>
      </c>
      <c r="D248" s="24">
        <v>943</v>
      </c>
      <c r="E248" s="24">
        <v>6</v>
      </c>
      <c r="F248" s="25">
        <v>54</v>
      </c>
      <c r="G248" s="1">
        <v>6025</v>
      </c>
      <c r="H248" s="2">
        <v>95</v>
      </c>
      <c r="I248" s="2">
        <v>-22.4</v>
      </c>
      <c r="J248" s="2">
        <v>-27</v>
      </c>
      <c r="K248" s="2">
        <f t="shared" si="28"/>
        <v>-22.4</v>
      </c>
      <c r="L248" s="8">
        <f t="shared" si="32"/>
        <v>1.8197008586099809E-12</v>
      </c>
      <c r="M248" s="26">
        <f>SUM(L248:L253)</f>
        <v>2.088380148253138E-11</v>
      </c>
      <c r="N248" s="17">
        <f>10*LOG10(M248/E248)</f>
        <v>-114.58341694146583</v>
      </c>
      <c r="O248" s="9">
        <f t="shared" si="30"/>
        <v>-27</v>
      </c>
      <c r="P248" s="8">
        <f>D248/B248*10^(O248/10)</f>
        <v>0.62717745433855066</v>
      </c>
      <c r="Q248" s="26">
        <f>SUM(P248:P253)</f>
        <v>2.5100585924053975</v>
      </c>
      <c r="R248" s="17">
        <f>10*LOG10(Q248)</f>
        <v>3.9968385935408417</v>
      </c>
      <c r="S248" s="18">
        <f>F248+N248-Kzt-H</f>
        <v>-60.583416941465828</v>
      </c>
      <c r="T248" s="17">
        <v>0.7</v>
      </c>
      <c r="U248" s="21">
        <f>T248*10^((S248-R248)/10)</f>
        <v>2.438217738470385E-7</v>
      </c>
    </row>
    <row r="249" spans="1:21" x14ac:dyDescent="0.25">
      <c r="A249" s="24"/>
      <c r="B249" s="24"/>
      <c r="C249" s="17"/>
      <c r="D249" s="24"/>
      <c r="E249" s="24"/>
      <c r="F249" s="25"/>
      <c r="G249" s="1">
        <v>7025</v>
      </c>
      <c r="H249" s="2">
        <v>94.8</v>
      </c>
      <c r="I249" s="2">
        <v>-25.7</v>
      </c>
      <c r="J249" s="2">
        <v>-31.2</v>
      </c>
      <c r="K249" s="2">
        <f t="shared" si="28"/>
        <v>-25.7</v>
      </c>
      <c r="L249" s="8">
        <f t="shared" si="32"/>
        <v>8.9125093813374051E-13</v>
      </c>
      <c r="M249" s="26"/>
      <c r="N249" s="17"/>
      <c r="O249" s="9">
        <f t="shared" si="30"/>
        <v>-31.2</v>
      </c>
      <c r="P249" s="8">
        <f>D248/B248*10^(O249/10)</f>
        <v>0.23844621775083977</v>
      </c>
      <c r="Q249" s="26"/>
      <c r="R249" s="17"/>
      <c r="S249" s="19"/>
      <c r="T249" s="17"/>
      <c r="U249" s="22"/>
    </row>
    <row r="250" spans="1:21" x14ac:dyDescent="0.25">
      <c r="A250" s="24"/>
      <c r="B250" s="24"/>
      <c r="C250" s="17"/>
      <c r="D250" s="24"/>
      <c r="E250" s="24"/>
      <c r="F250" s="25"/>
      <c r="G250" s="1">
        <v>8025</v>
      </c>
      <c r="H250" s="2">
        <v>101.9</v>
      </c>
      <c r="I250" s="2">
        <v>-24.8</v>
      </c>
      <c r="J250" s="2">
        <v>-32.5</v>
      </c>
      <c r="K250" s="2">
        <f t="shared" si="28"/>
        <v>-24.8</v>
      </c>
      <c r="L250" s="8">
        <f t="shared" si="32"/>
        <v>2.1379620895022253E-13</v>
      </c>
      <c r="M250" s="26"/>
      <c r="N250" s="17"/>
      <c r="O250" s="9">
        <f t="shared" si="30"/>
        <v>-32.5</v>
      </c>
      <c r="P250" s="8">
        <f>D248/B248*10^(O250/10)</f>
        <v>0.17676262321816621</v>
      </c>
      <c r="Q250" s="26"/>
      <c r="R250" s="17"/>
      <c r="S250" s="19"/>
      <c r="T250" s="17"/>
      <c r="U250" s="22"/>
    </row>
    <row r="251" spans="1:21" x14ac:dyDescent="0.25">
      <c r="A251" s="24"/>
      <c r="B251" s="24"/>
      <c r="C251" s="17"/>
      <c r="D251" s="24"/>
      <c r="E251" s="24"/>
      <c r="F251" s="25"/>
      <c r="G251" s="1">
        <v>9025</v>
      </c>
      <c r="H251" s="2">
        <v>93.2</v>
      </c>
      <c r="I251" s="2">
        <v>-28</v>
      </c>
      <c r="J251" s="2">
        <v>-28.4</v>
      </c>
      <c r="K251" s="2">
        <f t="shared" si="28"/>
        <v>-28</v>
      </c>
      <c r="L251" s="8">
        <f t="shared" si="32"/>
        <v>7.5857757502917993E-13</v>
      </c>
      <c r="M251" s="26"/>
      <c r="N251" s="17"/>
      <c r="O251" s="9">
        <f t="shared" si="30"/>
        <v>-28.4</v>
      </c>
      <c r="P251" s="8">
        <f>D248/B248*10^(O251/10)</f>
        <v>0.45434990127113639</v>
      </c>
      <c r="Q251" s="26"/>
      <c r="R251" s="17"/>
      <c r="S251" s="19"/>
      <c r="T251" s="17"/>
      <c r="U251" s="22"/>
    </row>
    <row r="252" spans="1:21" x14ac:dyDescent="0.25">
      <c r="A252" s="24"/>
      <c r="B252" s="24"/>
      <c r="C252" s="17"/>
      <c r="D252" s="24"/>
      <c r="E252" s="24"/>
      <c r="F252" s="25"/>
      <c r="G252" s="1">
        <v>10025</v>
      </c>
      <c r="H252" s="2">
        <v>88.3</v>
      </c>
      <c r="I252" s="2">
        <v>-20.8</v>
      </c>
      <c r="J252" s="2">
        <v>-28.4</v>
      </c>
      <c r="K252" s="2">
        <f t="shared" si="28"/>
        <v>-20.8</v>
      </c>
      <c r="L252" s="8">
        <f t="shared" si="32"/>
        <v>1.2302687708123787E-11</v>
      </c>
      <c r="M252" s="26"/>
      <c r="N252" s="17"/>
      <c r="O252" s="9">
        <f t="shared" si="30"/>
        <v>-28.4</v>
      </c>
      <c r="P252" s="8">
        <f>D248/B248*10^(O252/10)</f>
        <v>0.45434990127113639</v>
      </c>
      <c r="Q252" s="26"/>
      <c r="R252" s="17"/>
      <c r="S252" s="19"/>
      <c r="T252" s="17"/>
      <c r="U252" s="22"/>
    </row>
    <row r="253" spans="1:21" x14ac:dyDescent="0.25">
      <c r="A253" s="24"/>
      <c r="B253" s="24"/>
      <c r="C253" s="17"/>
      <c r="D253" s="24"/>
      <c r="E253" s="24"/>
      <c r="F253" s="25"/>
      <c r="G253" s="1">
        <v>11025</v>
      </c>
      <c r="H253" s="2">
        <v>86</v>
      </c>
      <c r="I253" s="2">
        <v>-27.1</v>
      </c>
      <c r="J253" s="2">
        <v>-27.5</v>
      </c>
      <c r="K253" s="2">
        <f t="shared" si="28"/>
        <v>-27.1</v>
      </c>
      <c r="L253" s="8">
        <f t="shared" si="32"/>
        <v>4.8977881936844688E-12</v>
      </c>
      <c r="M253" s="26"/>
      <c r="N253" s="17"/>
      <c r="O253" s="9">
        <f t="shared" si="30"/>
        <v>-27.5</v>
      </c>
      <c r="P253" s="8">
        <f>D248/B248*10^(O253/10)</f>
        <v>0.55897249455556786</v>
      </c>
      <c r="Q253" s="26"/>
      <c r="R253" s="17"/>
      <c r="S253" s="20"/>
      <c r="T253" s="17"/>
      <c r="U253" s="23"/>
    </row>
    <row r="254" spans="1:21" x14ac:dyDescent="0.25">
      <c r="A254" s="24" t="s">
        <v>20</v>
      </c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12">
        <f>U254</f>
        <v>5.7066364254622574E-2</v>
      </c>
      <c r="T254" s="2"/>
      <c r="U254" s="8">
        <f>0.8*SQRT(SUM(U220:U253))</f>
        <v>5.7066364254622574E-2</v>
      </c>
    </row>
    <row r="255" spans="1:21" x14ac:dyDescent="0.25">
      <c r="A255" s="27" t="s">
        <v>99</v>
      </c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9"/>
    </row>
    <row r="256" spans="1:21" x14ac:dyDescent="0.25">
      <c r="A256" s="24">
        <v>250</v>
      </c>
      <c r="B256" s="24">
        <v>3</v>
      </c>
      <c r="C256" s="17">
        <v>0.5</v>
      </c>
      <c r="D256" s="24">
        <v>38</v>
      </c>
      <c r="E256" s="24">
        <v>4</v>
      </c>
      <c r="F256" s="25">
        <v>84</v>
      </c>
      <c r="G256" s="1">
        <v>175</v>
      </c>
      <c r="H256" s="2">
        <v>84.8</v>
      </c>
      <c r="I256" s="2">
        <v>-16.399999999999999</v>
      </c>
      <c r="J256" s="2">
        <v>-20.6</v>
      </c>
      <c r="K256" s="2">
        <f>I256</f>
        <v>-16.399999999999999</v>
      </c>
      <c r="L256" s="8">
        <f>10^((K256-H256)/10)</f>
        <v>7.5857757502918434E-11</v>
      </c>
      <c r="M256" s="26">
        <f>SUM(L256:L259)</f>
        <v>9.0998784049635843E-11</v>
      </c>
      <c r="N256" s="17">
        <f>10*LOG10(M256/E256)</f>
        <v>-106.43024402128425</v>
      </c>
      <c r="O256" s="9">
        <f>J256</f>
        <v>-20.6</v>
      </c>
      <c r="P256" s="8">
        <f>D256/B256*10^(O256/10)</f>
        <v>0.11032205472777014</v>
      </c>
      <c r="Q256" s="26">
        <f>SUM(P256:P259)</f>
        <v>0.21750214250093131</v>
      </c>
      <c r="R256" s="17">
        <f>10*LOG10(Q256)</f>
        <v>-6.6253646067831351</v>
      </c>
      <c r="S256" s="18">
        <f>F256+N256-Kzt-H</f>
        <v>-22.430244021284253</v>
      </c>
      <c r="T256" s="17">
        <v>0.2</v>
      </c>
      <c r="U256" s="21">
        <f>T256*10^((S256-R256)/10)</f>
        <v>5.2546289500842846E-3</v>
      </c>
    </row>
    <row r="257" spans="1:21" x14ac:dyDescent="0.25">
      <c r="A257" s="24"/>
      <c r="B257" s="24"/>
      <c r="C257" s="17"/>
      <c r="D257" s="24"/>
      <c r="E257" s="24"/>
      <c r="F257" s="25"/>
      <c r="G257" s="1">
        <v>225</v>
      </c>
      <c r="H257" s="2">
        <v>90</v>
      </c>
      <c r="I257" s="2">
        <v>-20.7</v>
      </c>
      <c r="J257" s="2">
        <v>-25.9</v>
      </c>
      <c r="K257" s="2">
        <f t="shared" ref="K257:K289" si="33">I257</f>
        <v>-20.7</v>
      </c>
      <c r="L257" s="8">
        <f t="shared" ref="L257:L258" si="34">10^((K257-H257)/10)</f>
        <v>8.5113803820237273E-12</v>
      </c>
      <c r="M257" s="26"/>
      <c r="N257" s="17"/>
      <c r="O257" s="9">
        <f t="shared" ref="O257:O289" si="35">J257</f>
        <v>-25.9</v>
      </c>
      <c r="P257" s="8">
        <f>D256/B256*10^(O257/10)</f>
        <v>3.2558346581738937E-2</v>
      </c>
      <c r="Q257" s="26"/>
      <c r="R257" s="17"/>
      <c r="S257" s="19"/>
      <c r="T257" s="17"/>
      <c r="U257" s="22"/>
    </row>
    <row r="258" spans="1:21" x14ac:dyDescent="0.25">
      <c r="A258" s="24"/>
      <c r="B258" s="24"/>
      <c r="C258" s="17"/>
      <c r="D258" s="24"/>
      <c r="E258" s="24"/>
      <c r="F258" s="25"/>
      <c r="G258" s="1">
        <v>275</v>
      </c>
      <c r="H258" s="2">
        <v>92.2</v>
      </c>
      <c r="I258" s="2">
        <v>-22.4</v>
      </c>
      <c r="J258" s="2">
        <v>-24.2</v>
      </c>
      <c r="K258" s="2">
        <f t="shared" si="33"/>
        <v>-22.4</v>
      </c>
      <c r="L258" s="8">
        <f t="shared" si="34"/>
        <v>3.4673685045253144E-12</v>
      </c>
      <c r="M258" s="26"/>
      <c r="N258" s="17"/>
      <c r="O258" s="9">
        <f t="shared" si="35"/>
        <v>-24.2</v>
      </c>
      <c r="P258" s="8">
        <f>D256/B256*10^(O258/10)</f>
        <v>4.815732353393775E-2</v>
      </c>
      <c r="Q258" s="26"/>
      <c r="R258" s="17"/>
      <c r="S258" s="19"/>
      <c r="T258" s="17"/>
      <c r="U258" s="22"/>
    </row>
    <row r="259" spans="1:21" x14ac:dyDescent="0.25">
      <c r="A259" s="24"/>
      <c r="B259" s="24"/>
      <c r="C259" s="17"/>
      <c r="D259" s="24"/>
      <c r="E259" s="24"/>
      <c r="F259" s="25"/>
      <c r="G259" s="1">
        <v>325</v>
      </c>
      <c r="H259" s="2">
        <v>93.3</v>
      </c>
      <c r="I259" s="2">
        <v>-21.7</v>
      </c>
      <c r="J259" s="2">
        <v>-26.8</v>
      </c>
      <c r="K259" s="2">
        <f t="shared" si="33"/>
        <v>-21.7</v>
      </c>
      <c r="L259" s="8">
        <f>10^((K259-H259)/10)</f>
        <v>3.1622776601683669E-12</v>
      </c>
      <c r="M259" s="26"/>
      <c r="N259" s="17"/>
      <c r="O259" s="9">
        <f t="shared" si="35"/>
        <v>-26.8</v>
      </c>
      <c r="P259" s="8">
        <f>D256/B256*10^(O259/10)</f>
        <v>2.646441765748447E-2</v>
      </c>
      <c r="Q259" s="26"/>
      <c r="R259" s="17"/>
      <c r="S259" s="20"/>
      <c r="T259" s="17"/>
      <c r="U259" s="23"/>
    </row>
    <row r="260" spans="1:21" x14ac:dyDescent="0.25">
      <c r="A260" s="24">
        <v>500</v>
      </c>
      <c r="B260" s="24">
        <v>3</v>
      </c>
      <c r="C260" s="17">
        <v>0.5</v>
      </c>
      <c r="D260" s="24">
        <v>59</v>
      </c>
      <c r="E260" s="24">
        <v>6</v>
      </c>
      <c r="F260" s="25">
        <v>84</v>
      </c>
      <c r="G260" s="1">
        <v>375</v>
      </c>
      <c r="H260" s="2">
        <v>91.9</v>
      </c>
      <c r="I260" s="2">
        <v>-20.7</v>
      </c>
      <c r="J260" s="2">
        <v>-27.1</v>
      </c>
      <c r="K260" s="2">
        <f t="shared" si="33"/>
        <v>-20.7</v>
      </c>
      <c r="L260" s="8">
        <f t="shared" ref="L260:L261" si="36">10^((K260-H260)/10)</f>
        <v>5.495408738576212E-12</v>
      </c>
      <c r="M260" s="26">
        <f>SUM(L260:L265)</f>
        <v>3.5057647990555813E-11</v>
      </c>
      <c r="N260" s="17">
        <f>10*LOG10(M260/E260)</f>
        <v>-112.33368474364234</v>
      </c>
      <c r="O260" s="9">
        <f t="shared" si="35"/>
        <v>-27.1</v>
      </c>
      <c r="P260" s="8">
        <f>D260/B260*10^(O260/10)</f>
        <v>3.8346943795241534E-2</v>
      </c>
      <c r="Q260" s="26">
        <f>SUM(P260:P265)</f>
        <v>0.24801957252611298</v>
      </c>
      <c r="R260" s="17">
        <f>10*LOG10(Q260)</f>
        <v>-6.0551404536459152</v>
      </c>
      <c r="S260" s="18">
        <f>F260+N260-Kzt-H</f>
        <v>-28.333684743642337</v>
      </c>
      <c r="T260" s="17">
        <v>0.5</v>
      </c>
      <c r="U260" s="21">
        <f>T260*10^((S260-R260)/10)</f>
        <v>2.9587997636370943E-3</v>
      </c>
    </row>
    <row r="261" spans="1:21" x14ac:dyDescent="0.25">
      <c r="A261" s="24"/>
      <c r="B261" s="24"/>
      <c r="C261" s="17"/>
      <c r="D261" s="24"/>
      <c r="E261" s="24"/>
      <c r="F261" s="25"/>
      <c r="G261" s="1">
        <v>425</v>
      </c>
      <c r="H261" s="2">
        <v>88.1</v>
      </c>
      <c r="I261" s="2">
        <v>-22.5</v>
      </c>
      <c r="J261" s="2">
        <v>-28.4</v>
      </c>
      <c r="K261" s="2">
        <f t="shared" si="33"/>
        <v>-22.5</v>
      </c>
      <c r="L261" s="8">
        <f t="shared" si="36"/>
        <v>8.7096358995607975E-12</v>
      </c>
      <c r="M261" s="26"/>
      <c r="N261" s="17"/>
      <c r="O261" s="9">
        <f t="shared" si="35"/>
        <v>-28.4</v>
      </c>
      <c r="P261" s="8">
        <f>D260/B260*10^(O261/10)</f>
        <v>2.8426982158003235E-2</v>
      </c>
      <c r="Q261" s="26"/>
      <c r="R261" s="17"/>
      <c r="S261" s="19"/>
      <c r="T261" s="17"/>
      <c r="U261" s="22"/>
    </row>
    <row r="262" spans="1:21" x14ac:dyDescent="0.25">
      <c r="A262" s="24"/>
      <c r="B262" s="24"/>
      <c r="C262" s="17"/>
      <c r="D262" s="24"/>
      <c r="E262" s="24"/>
      <c r="F262" s="25"/>
      <c r="G262" s="1">
        <v>475</v>
      </c>
      <c r="H262" s="2">
        <v>90</v>
      </c>
      <c r="I262" s="2">
        <v>-19.7</v>
      </c>
      <c r="J262" s="2">
        <v>-25.5</v>
      </c>
      <c r="K262" s="2">
        <f t="shared" si="33"/>
        <v>-19.7</v>
      </c>
      <c r="L262" s="8">
        <f>10^((K262-H262)/10)</f>
        <v>1.0715193052376007E-11</v>
      </c>
      <c r="M262" s="26"/>
      <c r="N262" s="17"/>
      <c r="O262" s="9">
        <f t="shared" si="35"/>
        <v>-25.5</v>
      </c>
      <c r="P262" s="8">
        <f>D260/B260*10^(O262/10)</f>
        <v>5.5428197648200894E-2</v>
      </c>
      <c r="Q262" s="26"/>
      <c r="R262" s="17"/>
      <c r="S262" s="19"/>
      <c r="T262" s="17"/>
      <c r="U262" s="22"/>
    </row>
    <row r="263" spans="1:21" x14ac:dyDescent="0.25">
      <c r="A263" s="24"/>
      <c r="B263" s="24"/>
      <c r="C263" s="17"/>
      <c r="D263" s="24"/>
      <c r="E263" s="24"/>
      <c r="F263" s="25"/>
      <c r="G263" s="1">
        <v>575</v>
      </c>
      <c r="H263" s="2">
        <v>97</v>
      </c>
      <c r="I263" s="2">
        <v>-24.1</v>
      </c>
      <c r="J263" s="2">
        <v>-28.9</v>
      </c>
      <c r="K263" s="2">
        <f t="shared" si="33"/>
        <v>-24.1</v>
      </c>
      <c r="L263" s="8">
        <f t="shared" ref="L263:L289" si="37">10^((K263-H263)/10)</f>
        <v>7.7624711662869047E-13</v>
      </c>
      <c r="M263" s="26"/>
      <c r="N263" s="17"/>
      <c r="O263" s="9">
        <f t="shared" si="35"/>
        <v>-28.9</v>
      </c>
      <c r="P263" s="8">
        <f>D260/B260*10^(O263/10)</f>
        <v>2.533557451663164E-2</v>
      </c>
      <c r="Q263" s="26"/>
      <c r="R263" s="17"/>
      <c r="S263" s="19"/>
      <c r="T263" s="17"/>
      <c r="U263" s="22"/>
    </row>
    <row r="264" spans="1:21" x14ac:dyDescent="0.25">
      <c r="A264" s="24"/>
      <c r="B264" s="24"/>
      <c r="C264" s="17"/>
      <c r="D264" s="24"/>
      <c r="E264" s="24"/>
      <c r="F264" s="25"/>
      <c r="G264" s="1">
        <v>625</v>
      </c>
      <c r="H264" s="2">
        <v>92</v>
      </c>
      <c r="I264" s="2">
        <v>-19.8</v>
      </c>
      <c r="J264" s="2">
        <v>-25.2</v>
      </c>
      <c r="K264" s="2">
        <f t="shared" si="33"/>
        <v>-19.8</v>
      </c>
      <c r="L264" s="8">
        <f t="shared" si="37"/>
        <v>6.6069344800759387E-12</v>
      </c>
      <c r="M264" s="26"/>
      <c r="N264" s="17"/>
      <c r="O264" s="9">
        <f t="shared" si="35"/>
        <v>-25.2</v>
      </c>
      <c r="P264" s="8">
        <f>D260/B260*10^(O264/10)</f>
        <v>5.9392383834572939E-2</v>
      </c>
      <c r="Q264" s="26"/>
      <c r="R264" s="17"/>
      <c r="S264" s="19"/>
      <c r="T264" s="17"/>
      <c r="U264" s="22"/>
    </row>
    <row r="265" spans="1:21" x14ac:dyDescent="0.25">
      <c r="A265" s="24"/>
      <c r="B265" s="24"/>
      <c r="C265" s="17"/>
      <c r="D265" s="24"/>
      <c r="E265" s="24"/>
      <c r="F265" s="25"/>
      <c r="G265" s="1">
        <v>675</v>
      </c>
      <c r="H265" s="2">
        <v>94.5</v>
      </c>
      <c r="I265" s="2">
        <v>-21.1</v>
      </c>
      <c r="J265" s="2">
        <v>-26.8</v>
      </c>
      <c r="K265" s="2">
        <f t="shared" si="33"/>
        <v>-21.1</v>
      </c>
      <c r="L265" s="8">
        <f t="shared" si="37"/>
        <v>2.7542287033381671E-12</v>
      </c>
      <c r="M265" s="26"/>
      <c r="N265" s="17"/>
      <c r="O265" s="9">
        <f t="shared" si="35"/>
        <v>-26.8</v>
      </c>
      <c r="P265" s="8">
        <f>D260/B260*10^(O265/10)</f>
        <v>4.1089490573462735E-2</v>
      </c>
      <c r="Q265" s="26"/>
      <c r="R265" s="17"/>
      <c r="S265" s="20"/>
      <c r="T265" s="17"/>
      <c r="U265" s="23"/>
    </row>
    <row r="266" spans="1:21" x14ac:dyDescent="0.25">
      <c r="A266" s="24">
        <v>1000</v>
      </c>
      <c r="B266" s="24">
        <v>3</v>
      </c>
      <c r="C266" s="17">
        <v>0.5</v>
      </c>
      <c r="D266" s="24">
        <v>117</v>
      </c>
      <c r="E266" s="24">
        <v>6</v>
      </c>
      <c r="F266" s="25">
        <v>76</v>
      </c>
      <c r="G266" s="1">
        <v>875</v>
      </c>
      <c r="H266" s="2">
        <v>91.1</v>
      </c>
      <c r="I266" s="2">
        <v>-24.4</v>
      </c>
      <c r="J266" s="2">
        <v>-32</v>
      </c>
      <c r="K266" s="2">
        <f t="shared" si="33"/>
        <v>-24.4</v>
      </c>
      <c r="L266" s="8">
        <f t="shared" si="37"/>
        <v>2.8183829312644444E-12</v>
      </c>
      <c r="M266" s="26">
        <f>SUM(L266:L271)</f>
        <v>1.0391000082345849E-11</v>
      </c>
      <c r="N266" s="17">
        <f>10*LOG10(M266/E266)</f>
        <v>-117.61493902119776</v>
      </c>
      <c r="O266" s="9">
        <f t="shared" si="35"/>
        <v>-32</v>
      </c>
      <c r="P266" s="8">
        <f>D266/B266*10^(O266/10)</f>
        <v>2.4607336434727504E-2</v>
      </c>
      <c r="Q266" s="26">
        <f>SUM(P266:P271)</f>
        <v>0.35160089925256788</v>
      </c>
      <c r="R266" s="17">
        <f>10*LOG10(Q266)</f>
        <v>-4.5395002284761539</v>
      </c>
      <c r="S266" s="18">
        <f>F266+N266-Kzt-H</f>
        <v>-41.614939021197756</v>
      </c>
      <c r="T266" s="17">
        <v>0.8</v>
      </c>
      <c r="U266" s="21">
        <f>T266*10^((S266-R266)/10)</f>
        <v>1.5687224353133395E-4</v>
      </c>
    </row>
    <row r="267" spans="1:21" x14ac:dyDescent="0.25">
      <c r="A267" s="24"/>
      <c r="B267" s="24"/>
      <c r="C267" s="17"/>
      <c r="D267" s="24"/>
      <c r="E267" s="24"/>
      <c r="F267" s="25"/>
      <c r="G267" s="1">
        <v>975</v>
      </c>
      <c r="H267" s="2">
        <v>96.5</v>
      </c>
      <c r="I267" s="2">
        <v>-24.9</v>
      </c>
      <c r="J267" s="2">
        <v>-28.1</v>
      </c>
      <c r="K267" s="2">
        <f t="shared" si="33"/>
        <v>-24.9</v>
      </c>
      <c r="L267" s="8">
        <f t="shared" si="37"/>
        <v>7.2443596007498653E-13</v>
      </c>
      <c r="M267" s="26"/>
      <c r="N267" s="17"/>
      <c r="O267" s="9">
        <f t="shared" si="35"/>
        <v>-28.1</v>
      </c>
      <c r="P267" s="8">
        <f>D266/B266*10^(O267/10)</f>
        <v>6.040384813758673E-2</v>
      </c>
      <c r="Q267" s="26"/>
      <c r="R267" s="17"/>
      <c r="S267" s="19"/>
      <c r="T267" s="17"/>
      <c r="U267" s="22"/>
    </row>
    <row r="268" spans="1:21" x14ac:dyDescent="0.25">
      <c r="A268" s="24"/>
      <c r="B268" s="24"/>
      <c r="C268" s="17"/>
      <c r="D268" s="24"/>
      <c r="E268" s="24"/>
      <c r="F268" s="25"/>
      <c r="G268" s="1">
        <v>1075</v>
      </c>
      <c r="H268" s="2">
        <v>94.6</v>
      </c>
      <c r="I268" s="2">
        <v>-19.399999999999999</v>
      </c>
      <c r="J268" s="2">
        <v>-26.3</v>
      </c>
      <c r="K268" s="2">
        <f t="shared" si="33"/>
        <v>-19.399999999999999</v>
      </c>
      <c r="L268" s="8">
        <f t="shared" si="37"/>
        <v>3.9810717055349533E-12</v>
      </c>
      <c r="M268" s="26"/>
      <c r="N268" s="17"/>
      <c r="O268" s="9">
        <f t="shared" si="35"/>
        <v>-26.3</v>
      </c>
      <c r="P268" s="8">
        <f>D266/B266*10^(O268/10)</f>
        <v>9.1424923797476895E-2</v>
      </c>
      <c r="Q268" s="26"/>
      <c r="R268" s="17"/>
      <c r="S268" s="19"/>
      <c r="T268" s="17"/>
      <c r="U268" s="22"/>
    </row>
    <row r="269" spans="1:21" x14ac:dyDescent="0.25">
      <c r="A269" s="24"/>
      <c r="B269" s="24"/>
      <c r="C269" s="17"/>
      <c r="D269" s="24"/>
      <c r="E269" s="24"/>
      <c r="F269" s="25"/>
      <c r="G269" s="1">
        <v>1175</v>
      </c>
      <c r="H269" s="2">
        <v>97.8</v>
      </c>
      <c r="I269" s="2">
        <v>-20.100000000000001</v>
      </c>
      <c r="J269" s="2">
        <v>-28.8</v>
      </c>
      <c r="K269" s="2">
        <f t="shared" si="33"/>
        <v>-20.100000000000001</v>
      </c>
      <c r="L269" s="8">
        <f t="shared" si="37"/>
        <v>1.6218100973589226E-12</v>
      </c>
      <c r="M269" s="26"/>
      <c r="N269" s="17"/>
      <c r="O269" s="9">
        <f t="shared" si="35"/>
        <v>-28.8</v>
      </c>
      <c r="P269" s="8">
        <f>D266/B266*10^(O269/10)</f>
        <v>5.1412012803699877E-2</v>
      </c>
      <c r="Q269" s="26"/>
      <c r="R269" s="17"/>
      <c r="S269" s="19"/>
      <c r="T269" s="17"/>
      <c r="U269" s="22"/>
    </row>
    <row r="270" spans="1:21" x14ac:dyDescent="0.25">
      <c r="A270" s="24"/>
      <c r="B270" s="24"/>
      <c r="C270" s="17"/>
      <c r="D270" s="24"/>
      <c r="E270" s="24"/>
      <c r="F270" s="25"/>
      <c r="G270" s="1">
        <v>1275</v>
      </c>
      <c r="H270" s="2">
        <v>100.1</v>
      </c>
      <c r="I270" s="2">
        <v>-19.600000000000001</v>
      </c>
      <c r="J270" s="2">
        <v>-27.8</v>
      </c>
      <c r="K270" s="2">
        <f t="shared" si="33"/>
        <v>-19.600000000000001</v>
      </c>
      <c r="L270" s="8">
        <f t="shared" si="37"/>
        <v>1.0715193052376071E-12</v>
      </c>
      <c r="M270" s="26"/>
      <c r="N270" s="17"/>
      <c r="O270" s="9">
        <f t="shared" si="35"/>
        <v>-27.8</v>
      </c>
      <c r="P270" s="8">
        <f>D266/B266*10^(O270/10)</f>
        <v>6.4723889390064807E-2</v>
      </c>
      <c r="Q270" s="26"/>
      <c r="R270" s="17"/>
      <c r="S270" s="19"/>
      <c r="T270" s="17"/>
      <c r="U270" s="22"/>
    </row>
    <row r="271" spans="1:21" x14ac:dyDescent="0.25">
      <c r="A271" s="24"/>
      <c r="B271" s="24"/>
      <c r="C271" s="17"/>
      <c r="D271" s="24"/>
      <c r="E271" s="24"/>
      <c r="F271" s="25"/>
      <c r="G271" s="1">
        <v>1375</v>
      </c>
      <c r="H271" s="2">
        <v>103</v>
      </c>
      <c r="I271" s="2">
        <v>-24.6</v>
      </c>
      <c r="J271" s="2">
        <v>-28.2</v>
      </c>
      <c r="K271" s="2">
        <f t="shared" si="33"/>
        <v>-24.6</v>
      </c>
      <c r="L271" s="8">
        <f t="shared" si="37"/>
        <v>1.7378008287493713E-13</v>
      </c>
      <c r="M271" s="26"/>
      <c r="N271" s="17"/>
      <c r="O271" s="9">
        <f t="shared" si="35"/>
        <v>-28.2</v>
      </c>
      <c r="P271" s="8">
        <f>D266/B266*10^(O271/10)</f>
        <v>5.9028888689012085E-2</v>
      </c>
      <c r="Q271" s="26"/>
      <c r="R271" s="17"/>
      <c r="S271" s="20"/>
      <c r="T271" s="17"/>
      <c r="U271" s="23"/>
    </row>
    <row r="272" spans="1:21" x14ac:dyDescent="0.25">
      <c r="A272" s="24">
        <v>2000</v>
      </c>
      <c r="B272" s="24">
        <v>3</v>
      </c>
      <c r="C272" s="17">
        <v>0.5</v>
      </c>
      <c r="D272" s="24">
        <v>234</v>
      </c>
      <c r="E272" s="24">
        <v>6</v>
      </c>
      <c r="F272" s="25">
        <v>68</v>
      </c>
      <c r="G272" s="1">
        <v>1425</v>
      </c>
      <c r="H272" s="2">
        <v>102.8</v>
      </c>
      <c r="I272" s="2">
        <v>-22.8</v>
      </c>
      <c r="J272" s="2">
        <v>-27.7</v>
      </c>
      <c r="K272" s="2">
        <f t="shared" si="33"/>
        <v>-22.8</v>
      </c>
      <c r="L272" s="8">
        <f t="shared" si="37"/>
        <v>2.754228703338164E-13</v>
      </c>
      <c r="M272" s="26">
        <f>SUM(L272:L277)</f>
        <v>3.2939592760374673E-12</v>
      </c>
      <c r="N272" s="17">
        <f>10*LOG10(M272/E272)</f>
        <v>-122.60433024797491</v>
      </c>
      <c r="O272" s="9">
        <f t="shared" si="35"/>
        <v>-27.7</v>
      </c>
      <c r="P272" s="8">
        <f>D272/B272*10^(O272/10)</f>
        <v>0.13246300489201593</v>
      </c>
      <c r="Q272" s="26">
        <f>SUM(P272:P277)</f>
        <v>0.86734336486748131</v>
      </c>
      <c r="R272" s="17">
        <f>10*LOG10(Q272)</f>
        <v>-0.61808939494789061</v>
      </c>
      <c r="S272" s="18">
        <f>F272+N272-Kzt-H</f>
        <v>-54.604330247974914</v>
      </c>
      <c r="T272" s="17">
        <v>1</v>
      </c>
      <c r="U272" s="21">
        <f>T272*10^((S272-R272)/10)</f>
        <v>3.9937043809480617E-6</v>
      </c>
    </row>
    <row r="273" spans="1:21" x14ac:dyDescent="0.25">
      <c r="A273" s="24"/>
      <c r="B273" s="24"/>
      <c r="C273" s="17"/>
      <c r="D273" s="24"/>
      <c r="E273" s="24"/>
      <c r="F273" s="25"/>
      <c r="G273" s="1">
        <v>1625</v>
      </c>
      <c r="H273" s="2">
        <v>104.1</v>
      </c>
      <c r="I273" s="2">
        <v>-23.6</v>
      </c>
      <c r="J273" s="2">
        <v>-25.4</v>
      </c>
      <c r="K273" s="2">
        <f t="shared" si="33"/>
        <v>-23.6</v>
      </c>
      <c r="L273" s="8">
        <f t="shared" si="37"/>
        <v>1.6982436524617405E-13</v>
      </c>
      <c r="M273" s="26"/>
      <c r="N273" s="17"/>
      <c r="O273" s="9">
        <f t="shared" si="35"/>
        <v>-25.4</v>
      </c>
      <c r="P273" s="8">
        <f>D272/B272*10^(O273/10)</f>
        <v>0.22495445724387514</v>
      </c>
      <c r="Q273" s="26"/>
      <c r="R273" s="17"/>
      <c r="S273" s="19"/>
      <c r="T273" s="17"/>
      <c r="U273" s="22"/>
    </row>
    <row r="274" spans="1:21" x14ac:dyDescent="0.25">
      <c r="A274" s="24"/>
      <c r="B274" s="24"/>
      <c r="C274" s="17"/>
      <c r="D274" s="24"/>
      <c r="E274" s="24"/>
      <c r="F274" s="25"/>
      <c r="G274" s="1">
        <v>1825</v>
      </c>
      <c r="H274" s="2">
        <v>107.6</v>
      </c>
      <c r="I274" s="2">
        <v>-23.5</v>
      </c>
      <c r="J274" s="2">
        <v>-29.4</v>
      </c>
      <c r="K274" s="2">
        <f t="shared" si="33"/>
        <v>-23.5</v>
      </c>
      <c r="L274" s="8">
        <f t="shared" si="37"/>
        <v>7.7624711662868969E-14</v>
      </c>
      <c r="M274" s="26"/>
      <c r="N274" s="17"/>
      <c r="O274" s="9">
        <f t="shared" si="35"/>
        <v>-29.4</v>
      </c>
      <c r="P274" s="8">
        <f>D272/B272*10^(O274/10)</f>
        <v>8.9555982476756835E-2</v>
      </c>
      <c r="Q274" s="26"/>
      <c r="R274" s="17"/>
      <c r="S274" s="19"/>
      <c r="T274" s="17"/>
      <c r="U274" s="22"/>
    </row>
    <row r="275" spans="1:21" x14ac:dyDescent="0.25">
      <c r="A275" s="24"/>
      <c r="B275" s="24"/>
      <c r="C275" s="17"/>
      <c r="D275" s="24"/>
      <c r="E275" s="24"/>
      <c r="F275" s="25"/>
      <c r="G275" s="1">
        <v>2125</v>
      </c>
      <c r="H275" s="2">
        <v>104.2</v>
      </c>
      <c r="I275" s="2">
        <v>-19.899999999999999</v>
      </c>
      <c r="J275" s="2">
        <v>-27.9</v>
      </c>
      <c r="K275" s="2">
        <f t="shared" si="33"/>
        <v>-19.899999999999999</v>
      </c>
      <c r="L275" s="8">
        <f t="shared" si="37"/>
        <v>3.8904514499427974E-13</v>
      </c>
      <c r="M275" s="26"/>
      <c r="N275" s="17"/>
      <c r="O275" s="9">
        <f t="shared" si="35"/>
        <v>-27.9</v>
      </c>
      <c r="P275" s="8">
        <f>D272/B272*10^(O275/10)</f>
        <v>0.12650118759399642</v>
      </c>
      <c r="Q275" s="26"/>
      <c r="R275" s="17"/>
      <c r="S275" s="19"/>
      <c r="T275" s="17"/>
      <c r="U275" s="22"/>
    </row>
    <row r="276" spans="1:21" x14ac:dyDescent="0.25">
      <c r="A276" s="24"/>
      <c r="B276" s="24"/>
      <c r="C276" s="17"/>
      <c r="D276" s="24"/>
      <c r="E276" s="24"/>
      <c r="F276" s="25"/>
      <c r="G276" s="1">
        <v>2425</v>
      </c>
      <c r="H276" s="2">
        <v>93.7</v>
      </c>
      <c r="I276" s="2">
        <v>-23.7</v>
      </c>
      <c r="J276" s="2">
        <v>-27.2</v>
      </c>
      <c r="K276" s="2">
        <f t="shared" si="33"/>
        <v>-23.7</v>
      </c>
      <c r="L276" s="8">
        <f t="shared" si="37"/>
        <v>1.8197008586099809E-12</v>
      </c>
      <c r="M276" s="26"/>
      <c r="N276" s="17"/>
      <c r="O276" s="9">
        <f t="shared" si="35"/>
        <v>-27.2</v>
      </c>
      <c r="P276" s="8">
        <f>D272/B272*10^(O276/10)</f>
        <v>0.1486259360011333</v>
      </c>
      <c r="Q276" s="26"/>
      <c r="R276" s="17"/>
      <c r="S276" s="19"/>
      <c r="T276" s="17"/>
      <c r="U276" s="22"/>
    </row>
    <row r="277" spans="1:21" x14ac:dyDescent="0.25">
      <c r="A277" s="24"/>
      <c r="B277" s="24"/>
      <c r="C277" s="17"/>
      <c r="D277" s="24"/>
      <c r="E277" s="24"/>
      <c r="F277" s="25"/>
      <c r="G277" s="1">
        <v>2775</v>
      </c>
      <c r="H277" s="2">
        <v>100.2</v>
      </c>
      <c r="I277" s="2">
        <v>-22.3</v>
      </c>
      <c r="J277" s="2">
        <v>-27.3</v>
      </c>
      <c r="K277" s="2">
        <f t="shared" si="33"/>
        <v>-22.3</v>
      </c>
      <c r="L277" s="8">
        <f t="shared" si="37"/>
        <v>5.6234132519034702E-13</v>
      </c>
      <c r="M277" s="26"/>
      <c r="N277" s="17"/>
      <c r="O277" s="9">
        <f t="shared" si="35"/>
        <v>-27.3</v>
      </c>
      <c r="P277" s="8">
        <f>D272/B272*10^(O277/10)</f>
        <v>0.14524279665970358</v>
      </c>
      <c r="Q277" s="26"/>
      <c r="R277" s="17"/>
      <c r="S277" s="20"/>
      <c r="T277" s="17"/>
      <c r="U277" s="23"/>
    </row>
    <row r="278" spans="1:21" x14ac:dyDescent="0.25">
      <c r="A278" s="24">
        <v>4000</v>
      </c>
      <c r="B278" s="24">
        <v>3</v>
      </c>
      <c r="C278" s="17">
        <v>0.5</v>
      </c>
      <c r="D278" s="24">
        <v>470</v>
      </c>
      <c r="E278" s="24">
        <v>6</v>
      </c>
      <c r="F278" s="25">
        <v>62</v>
      </c>
      <c r="G278" s="1">
        <v>2825</v>
      </c>
      <c r="H278" s="2">
        <v>99.4</v>
      </c>
      <c r="I278" s="2">
        <v>-20.2</v>
      </c>
      <c r="J278" s="2">
        <v>-28.1</v>
      </c>
      <c r="K278" s="2">
        <f t="shared" si="33"/>
        <v>-20.2</v>
      </c>
      <c r="L278" s="8">
        <f t="shared" si="37"/>
        <v>1.0964781961431817E-12</v>
      </c>
      <c r="M278" s="26">
        <f>SUM(L278:L283)</f>
        <v>2.5495992069895032E-12</v>
      </c>
      <c r="N278" s="17">
        <f>10*LOG10(M278/E278)</f>
        <v>-123.71679334998034</v>
      </c>
      <c r="O278" s="9">
        <f t="shared" si="35"/>
        <v>-28.1</v>
      </c>
      <c r="P278" s="8">
        <f>D278/B278*10^(O278/10)</f>
        <v>0.24264793696295522</v>
      </c>
      <c r="Q278" s="26">
        <f>SUM(P278:P283)</f>
        <v>2.2948339101936677</v>
      </c>
      <c r="R278" s="17">
        <f>10*LOG10(Q278)</f>
        <v>3.6075125872006915</v>
      </c>
      <c r="S278" s="18">
        <f>F278+N278-Kzt-H</f>
        <v>-61.716793349980335</v>
      </c>
      <c r="T278" s="17">
        <v>0.9</v>
      </c>
      <c r="U278" s="21">
        <f>T278*10^((S278-R278)/10)</f>
        <v>2.6412646305550507E-7</v>
      </c>
    </row>
    <row r="279" spans="1:21" x14ac:dyDescent="0.25">
      <c r="A279" s="24"/>
      <c r="B279" s="24"/>
      <c r="C279" s="17"/>
      <c r="D279" s="24"/>
      <c r="E279" s="24"/>
      <c r="F279" s="25"/>
      <c r="G279" s="1">
        <v>3425</v>
      </c>
      <c r="H279" s="2">
        <v>103.5</v>
      </c>
      <c r="I279" s="2">
        <v>-24</v>
      </c>
      <c r="J279" s="2">
        <v>-26.2</v>
      </c>
      <c r="K279" s="2">
        <f t="shared" si="33"/>
        <v>-24</v>
      </c>
      <c r="L279" s="8">
        <f t="shared" si="37"/>
        <v>1.7782794100389184E-13</v>
      </c>
      <c r="M279" s="26"/>
      <c r="N279" s="17"/>
      <c r="O279" s="9">
        <f t="shared" si="35"/>
        <v>-26.2</v>
      </c>
      <c r="P279" s="8">
        <f>D278/B278*10^(O279/10)</f>
        <v>0.37581715731305321</v>
      </c>
      <c r="Q279" s="26"/>
      <c r="R279" s="17"/>
      <c r="S279" s="19"/>
      <c r="T279" s="17"/>
      <c r="U279" s="22"/>
    </row>
    <row r="280" spans="1:21" x14ac:dyDescent="0.25">
      <c r="A280" s="24"/>
      <c r="B280" s="24"/>
      <c r="C280" s="17"/>
      <c r="D280" s="24"/>
      <c r="E280" s="24"/>
      <c r="F280" s="25"/>
      <c r="G280" s="1">
        <v>4025</v>
      </c>
      <c r="H280" s="2">
        <v>103.6</v>
      </c>
      <c r="I280" s="2">
        <v>-21.3</v>
      </c>
      <c r="J280" s="2">
        <v>-26.6</v>
      </c>
      <c r="K280" s="2">
        <f t="shared" si="33"/>
        <v>-21.3</v>
      </c>
      <c r="L280" s="8">
        <f t="shared" si="37"/>
        <v>3.2359365692962897E-13</v>
      </c>
      <c r="M280" s="26"/>
      <c r="N280" s="17"/>
      <c r="O280" s="9">
        <f t="shared" si="35"/>
        <v>-26.6</v>
      </c>
      <c r="P280" s="8">
        <f>D278/B278*10^(O280/10)</f>
        <v>0.34274932108542944</v>
      </c>
      <c r="Q280" s="26"/>
      <c r="R280" s="17"/>
      <c r="S280" s="19"/>
      <c r="T280" s="17"/>
      <c r="U280" s="22"/>
    </row>
    <row r="281" spans="1:21" x14ac:dyDescent="0.25">
      <c r="A281" s="24"/>
      <c r="B281" s="24"/>
      <c r="C281" s="17"/>
      <c r="D281" s="24"/>
      <c r="E281" s="24"/>
      <c r="F281" s="25"/>
      <c r="G281" s="1">
        <v>4625</v>
      </c>
      <c r="H281" s="2">
        <v>105.6</v>
      </c>
      <c r="I281" s="2">
        <v>-22.3</v>
      </c>
      <c r="J281" s="2">
        <v>-25.6</v>
      </c>
      <c r="K281" s="2">
        <f t="shared" si="33"/>
        <v>-22.3</v>
      </c>
      <c r="L281" s="8">
        <f t="shared" si="37"/>
        <v>1.6218100973589265E-13</v>
      </c>
      <c r="M281" s="26"/>
      <c r="N281" s="17"/>
      <c r="O281" s="9">
        <f t="shared" si="35"/>
        <v>-25.6</v>
      </c>
      <c r="P281" s="8">
        <f>D278/B278*10^(O281/10)</f>
        <v>0.43149583018964582</v>
      </c>
      <c r="Q281" s="26"/>
      <c r="R281" s="17"/>
      <c r="S281" s="19"/>
      <c r="T281" s="17"/>
      <c r="U281" s="22"/>
    </row>
    <row r="282" spans="1:21" x14ac:dyDescent="0.25">
      <c r="A282" s="24"/>
      <c r="B282" s="24"/>
      <c r="C282" s="17"/>
      <c r="D282" s="24"/>
      <c r="E282" s="24"/>
      <c r="F282" s="25"/>
      <c r="G282" s="1">
        <v>5225</v>
      </c>
      <c r="H282" s="2">
        <v>103.5</v>
      </c>
      <c r="I282" s="2">
        <v>-25.4</v>
      </c>
      <c r="J282" s="2">
        <v>-26.4</v>
      </c>
      <c r="K282" s="2">
        <f t="shared" si="33"/>
        <v>-25.4</v>
      </c>
      <c r="L282" s="8">
        <f t="shared" si="37"/>
        <v>1.288249551693128E-13</v>
      </c>
      <c r="M282" s="26"/>
      <c r="N282" s="17"/>
      <c r="O282" s="9">
        <f t="shared" si="35"/>
        <v>-26.4</v>
      </c>
      <c r="P282" s="8">
        <f>D278/B278*10^(O282/10)</f>
        <v>0.35890259893361787</v>
      </c>
      <c r="Q282" s="26"/>
      <c r="R282" s="17"/>
      <c r="S282" s="19"/>
      <c r="T282" s="17"/>
      <c r="U282" s="22"/>
    </row>
    <row r="283" spans="1:21" x14ac:dyDescent="0.25">
      <c r="A283" s="24"/>
      <c r="B283" s="24"/>
      <c r="C283" s="17"/>
      <c r="D283" s="24"/>
      <c r="E283" s="24"/>
      <c r="F283" s="25"/>
      <c r="G283" s="1">
        <v>5625</v>
      </c>
      <c r="H283" s="2">
        <v>99.5</v>
      </c>
      <c r="I283" s="2">
        <v>-22.3</v>
      </c>
      <c r="J283" s="2">
        <v>-24.6</v>
      </c>
      <c r="K283" s="2">
        <f t="shared" si="33"/>
        <v>-22.3</v>
      </c>
      <c r="L283" s="8">
        <f t="shared" si="37"/>
        <v>6.606934480075954E-13</v>
      </c>
      <c r="M283" s="26"/>
      <c r="N283" s="17"/>
      <c r="O283" s="9">
        <f t="shared" si="35"/>
        <v>-24.6</v>
      </c>
      <c r="P283" s="8">
        <f>D278/B278*10^(O283/10)</f>
        <v>0.543221065708966</v>
      </c>
      <c r="Q283" s="26"/>
      <c r="R283" s="17"/>
      <c r="S283" s="20"/>
      <c r="T283" s="17"/>
      <c r="U283" s="23"/>
    </row>
    <row r="284" spans="1:21" x14ac:dyDescent="0.25">
      <c r="A284" s="24">
        <v>8000</v>
      </c>
      <c r="B284" s="24">
        <v>3</v>
      </c>
      <c r="C284" s="17">
        <v>0.5</v>
      </c>
      <c r="D284" s="24">
        <v>943</v>
      </c>
      <c r="E284" s="24">
        <v>6</v>
      </c>
      <c r="F284" s="25">
        <v>54</v>
      </c>
      <c r="G284" s="1">
        <v>6025</v>
      </c>
      <c r="H284" s="2">
        <v>95</v>
      </c>
      <c r="I284" s="2">
        <v>-25.3</v>
      </c>
      <c r="J284" s="2">
        <v>-25.6</v>
      </c>
      <c r="K284" s="2">
        <f t="shared" si="33"/>
        <v>-25.3</v>
      </c>
      <c r="L284" s="8">
        <f t="shared" si="37"/>
        <v>9.3325430079698887E-13</v>
      </c>
      <c r="M284" s="26">
        <f>SUM(L284:L289)</f>
        <v>2.1353908989092283E-11</v>
      </c>
      <c r="N284" s="17">
        <f>10*LOG10(M284/E284)</f>
        <v>-114.48673862966429</v>
      </c>
      <c r="O284" s="9">
        <f t="shared" si="35"/>
        <v>-25.6</v>
      </c>
      <c r="P284" s="8">
        <f>D284/B284*10^(O284/10)</f>
        <v>0.86574588908262984</v>
      </c>
      <c r="Q284" s="26">
        <f>SUM(P284:P289)</f>
        <v>3.663216008000437</v>
      </c>
      <c r="R284" s="17">
        <f>10*LOG10(Q284)</f>
        <v>5.6386252836061761</v>
      </c>
      <c r="S284" s="18">
        <f>F284+N284-Kzt-H</f>
        <v>-60.486738629664288</v>
      </c>
      <c r="T284" s="17">
        <v>0.7</v>
      </c>
      <c r="U284" s="21">
        <f>T284*10^((S284-R284)/10)</f>
        <v>1.7082901969458667E-7</v>
      </c>
    </row>
    <row r="285" spans="1:21" x14ac:dyDescent="0.25">
      <c r="A285" s="24"/>
      <c r="B285" s="24"/>
      <c r="C285" s="17"/>
      <c r="D285" s="24"/>
      <c r="E285" s="24"/>
      <c r="F285" s="25"/>
      <c r="G285" s="1">
        <v>7025</v>
      </c>
      <c r="H285" s="2">
        <v>94.8</v>
      </c>
      <c r="I285" s="2">
        <v>-24.6</v>
      </c>
      <c r="J285" s="2">
        <v>-29.2</v>
      </c>
      <c r="K285" s="2">
        <f t="shared" si="33"/>
        <v>-24.6</v>
      </c>
      <c r="L285" s="8">
        <f t="shared" si="37"/>
        <v>1.1481536214968749E-12</v>
      </c>
      <c r="M285" s="26"/>
      <c r="N285" s="17"/>
      <c r="O285" s="9">
        <f t="shared" si="35"/>
        <v>-29.2</v>
      </c>
      <c r="P285" s="8">
        <f>D284/B284*10^(O285/10)</f>
        <v>0.37791178728140662</v>
      </c>
      <c r="Q285" s="26"/>
      <c r="R285" s="17"/>
      <c r="S285" s="19"/>
      <c r="T285" s="17"/>
      <c r="U285" s="22"/>
    </row>
    <row r="286" spans="1:21" x14ac:dyDescent="0.25">
      <c r="A286" s="24"/>
      <c r="B286" s="24"/>
      <c r="C286" s="17"/>
      <c r="D286" s="24"/>
      <c r="E286" s="24"/>
      <c r="F286" s="25"/>
      <c r="G286" s="1">
        <v>8025</v>
      </c>
      <c r="H286" s="2">
        <v>101.9</v>
      </c>
      <c r="I286" s="2">
        <v>-24.3</v>
      </c>
      <c r="J286" s="2">
        <v>-27.1</v>
      </c>
      <c r="K286" s="2">
        <f t="shared" si="33"/>
        <v>-24.3</v>
      </c>
      <c r="L286" s="8">
        <f t="shared" si="37"/>
        <v>2.3988329190194817E-13</v>
      </c>
      <c r="M286" s="26"/>
      <c r="N286" s="17"/>
      <c r="O286" s="9">
        <f t="shared" si="35"/>
        <v>-27.1</v>
      </c>
      <c r="P286" s="8">
        <f>D284/B284*10^(O286/10)</f>
        <v>0.61290115252394517</v>
      </c>
      <c r="Q286" s="26"/>
      <c r="R286" s="17"/>
      <c r="S286" s="19"/>
      <c r="T286" s="17"/>
      <c r="U286" s="22"/>
    </row>
    <row r="287" spans="1:21" x14ac:dyDescent="0.25">
      <c r="A287" s="24"/>
      <c r="B287" s="24"/>
      <c r="C287" s="17"/>
      <c r="D287" s="24"/>
      <c r="E287" s="24"/>
      <c r="F287" s="25"/>
      <c r="G287" s="1">
        <v>9025</v>
      </c>
      <c r="H287" s="2">
        <v>93.2</v>
      </c>
      <c r="I287" s="2">
        <v>-26.8</v>
      </c>
      <c r="J287" s="2">
        <v>-28.6</v>
      </c>
      <c r="K287" s="2">
        <f t="shared" si="33"/>
        <v>-26.8</v>
      </c>
      <c r="L287" s="8">
        <f t="shared" si="37"/>
        <v>9.9999999999999998E-13</v>
      </c>
      <c r="M287" s="26"/>
      <c r="N287" s="17"/>
      <c r="O287" s="9">
        <f t="shared" si="35"/>
        <v>-28.6</v>
      </c>
      <c r="P287" s="8">
        <f>D284/B284*10^(O287/10)</f>
        <v>0.43390078717350633</v>
      </c>
      <c r="Q287" s="26"/>
      <c r="R287" s="17"/>
      <c r="S287" s="19"/>
      <c r="T287" s="17"/>
      <c r="U287" s="22"/>
    </row>
    <row r="288" spans="1:21" x14ac:dyDescent="0.25">
      <c r="A288" s="24"/>
      <c r="B288" s="24"/>
      <c r="C288" s="17"/>
      <c r="D288" s="24"/>
      <c r="E288" s="24"/>
      <c r="F288" s="25"/>
      <c r="G288" s="1">
        <v>10025</v>
      </c>
      <c r="H288" s="2">
        <v>88.3</v>
      </c>
      <c r="I288" s="2">
        <v>-22.1</v>
      </c>
      <c r="J288" s="2">
        <v>-28.1</v>
      </c>
      <c r="K288" s="2">
        <f t="shared" si="33"/>
        <v>-22.1</v>
      </c>
      <c r="L288" s="8">
        <f t="shared" si="37"/>
        <v>9.1201083935590542E-12</v>
      </c>
      <c r="M288" s="26"/>
      <c r="N288" s="17"/>
      <c r="O288" s="9">
        <f t="shared" si="35"/>
        <v>-28.1</v>
      </c>
      <c r="P288" s="8">
        <f>D284/B284*10^(O288/10)</f>
        <v>0.48684469054482293</v>
      </c>
      <c r="Q288" s="26"/>
      <c r="R288" s="17"/>
      <c r="S288" s="19"/>
      <c r="T288" s="17"/>
      <c r="U288" s="22"/>
    </row>
    <row r="289" spans="1:21" x14ac:dyDescent="0.25">
      <c r="A289" s="24"/>
      <c r="B289" s="24"/>
      <c r="C289" s="17"/>
      <c r="D289" s="24"/>
      <c r="E289" s="24"/>
      <c r="F289" s="25"/>
      <c r="G289" s="1">
        <v>11025</v>
      </c>
      <c r="H289" s="2">
        <v>86</v>
      </c>
      <c r="I289" s="2">
        <v>-24.5</v>
      </c>
      <c r="J289" s="2">
        <v>-25.5</v>
      </c>
      <c r="K289" s="2">
        <f t="shared" si="33"/>
        <v>-24.5</v>
      </c>
      <c r="L289" s="8">
        <f t="shared" si="37"/>
        <v>8.9125093813374152E-12</v>
      </c>
      <c r="M289" s="26"/>
      <c r="N289" s="17"/>
      <c r="O289" s="9">
        <f t="shared" si="35"/>
        <v>-25.5</v>
      </c>
      <c r="P289" s="8">
        <f>D284/B284*10^(O289/10)</f>
        <v>0.88591170139412612</v>
      </c>
      <c r="Q289" s="26"/>
      <c r="R289" s="17"/>
      <c r="S289" s="20"/>
      <c r="T289" s="17"/>
      <c r="U289" s="23"/>
    </row>
    <row r="290" spans="1:21" x14ac:dyDescent="0.25">
      <c r="A290" s="24" t="s">
        <v>20</v>
      </c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12">
        <f>U290</f>
        <v>7.3210839053752849E-2</v>
      </c>
      <c r="T290" s="2"/>
      <c r="U290" s="8">
        <f>0.8*SQRT(SUM(U256:U289))</f>
        <v>7.3210839053752849E-2</v>
      </c>
    </row>
    <row r="291" spans="1:21" x14ac:dyDescent="0.25">
      <c r="A291" s="27" t="s">
        <v>100</v>
      </c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9"/>
    </row>
    <row r="292" spans="1:21" x14ac:dyDescent="0.25">
      <c r="A292" s="24">
        <v>250</v>
      </c>
      <c r="B292" s="24">
        <v>3</v>
      </c>
      <c r="C292" s="17">
        <v>0.5</v>
      </c>
      <c r="D292" s="24">
        <v>38</v>
      </c>
      <c r="E292" s="24">
        <v>4</v>
      </c>
      <c r="F292" s="25">
        <v>84</v>
      </c>
      <c r="G292" s="1">
        <v>175</v>
      </c>
      <c r="H292" s="2">
        <v>84.8</v>
      </c>
      <c r="I292" s="2">
        <v>-17.399999999999999</v>
      </c>
      <c r="J292" s="2">
        <v>-28.3</v>
      </c>
      <c r="K292" s="2">
        <f>I292</f>
        <v>-17.399999999999999</v>
      </c>
      <c r="L292" s="8">
        <f>10^((K292-H292)/10)</f>
        <v>6.0255958607435882E-11</v>
      </c>
      <c r="M292" s="26">
        <f>SUM(L292:L295)</f>
        <v>1.1472722551496931E-10</v>
      </c>
      <c r="N292" s="17">
        <f>10*LOG10(M292/E292)</f>
        <v>-105.42393500297975</v>
      </c>
      <c r="O292" s="9">
        <f>J292</f>
        <v>-28.3</v>
      </c>
      <c r="P292" s="8">
        <f>D292/B292*10^(O292/10)</f>
        <v>1.8735372916797284E-2</v>
      </c>
      <c r="Q292" s="26">
        <f>SUM(P292:P295)</f>
        <v>0.22300330396392609</v>
      </c>
      <c r="R292" s="17">
        <f>10*LOG10(Q292)</f>
        <v>-6.5168870250039568</v>
      </c>
      <c r="S292" s="18">
        <f>F292+N292-Kzt-H</f>
        <v>-21.423935002979746</v>
      </c>
      <c r="T292" s="17">
        <v>0.2</v>
      </c>
      <c r="U292" s="21">
        <f>T292*10^((S292-R292)/10)</f>
        <v>6.4613787323619387E-3</v>
      </c>
    </row>
    <row r="293" spans="1:21" x14ac:dyDescent="0.25">
      <c r="A293" s="24"/>
      <c r="B293" s="24"/>
      <c r="C293" s="17"/>
      <c r="D293" s="24"/>
      <c r="E293" s="24"/>
      <c r="F293" s="25"/>
      <c r="G293" s="1">
        <v>225</v>
      </c>
      <c r="H293" s="2">
        <v>90</v>
      </c>
      <c r="I293" s="2">
        <v>-16.8</v>
      </c>
      <c r="J293" s="2">
        <v>-26.6</v>
      </c>
      <c r="K293" s="2">
        <f t="shared" ref="K293:K325" si="38">I293</f>
        <v>-16.8</v>
      </c>
      <c r="L293" s="8">
        <f t="shared" ref="L293:L294" si="39">10^((K293-H293)/10)</f>
        <v>2.0892961308540373E-11</v>
      </c>
      <c r="M293" s="26"/>
      <c r="N293" s="17"/>
      <c r="O293" s="9">
        <f t="shared" ref="O293:O325" si="40">J293</f>
        <v>-26.6</v>
      </c>
      <c r="P293" s="8">
        <f>D292/B292*10^(O293/10)</f>
        <v>2.7711647236694299E-2</v>
      </c>
      <c r="Q293" s="26"/>
      <c r="R293" s="17"/>
      <c r="S293" s="19"/>
      <c r="T293" s="17"/>
      <c r="U293" s="22"/>
    </row>
    <row r="294" spans="1:21" x14ac:dyDescent="0.25">
      <c r="A294" s="24"/>
      <c r="B294" s="24"/>
      <c r="C294" s="17"/>
      <c r="D294" s="24"/>
      <c r="E294" s="24"/>
      <c r="F294" s="25"/>
      <c r="G294" s="1">
        <v>275</v>
      </c>
      <c r="H294" s="2">
        <v>92.2</v>
      </c>
      <c r="I294" s="2">
        <v>-15.5</v>
      </c>
      <c r="J294" s="2">
        <v>-24.6</v>
      </c>
      <c r="K294" s="2">
        <f t="shared" si="38"/>
        <v>-15.5</v>
      </c>
      <c r="L294" s="8">
        <f t="shared" si="39"/>
        <v>1.6982436524617441E-11</v>
      </c>
      <c r="M294" s="26"/>
      <c r="N294" s="17"/>
      <c r="O294" s="9">
        <f t="shared" si="40"/>
        <v>-24.6</v>
      </c>
      <c r="P294" s="8">
        <f>D292/B292*10^(O294/10)</f>
        <v>4.3920001057320655E-2</v>
      </c>
      <c r="Q294" s="26"/>
      <c r="R294" s="17"/>
      <c r="S294" s="19"/>
      <c r="T294" s="17"/>
      <c r="U294" s="22"/>
    </row>
    <row r="295" spans="1:21" x14ac:dyDescent="0.25">
      <c r="A295" s="24"/>
      <c r="B295" s="24"/>
      <c r="C295" s="17"/>
      <c r="D295" s="24"/>
      <c r="E295" s="24"/>
      <c r="F295" s="25"/>
      <c r="G295" s="1">
        <v>325</v>
      </c>
      <c r="H295" s="2">
        <v>93.3</v>
      </c>
      <c r="I295" s="2">
        <v>-14.5</v>
      </c>
      <c r="J295" s="2">
        <v>-19.8</v>
      </c>
      <c r="K295" s="2">
        <f t="shared" si="38"/>
        <v>-14.5</v>
      </c>
      <c r="L295" s="8">
        <f>10^((K295-H295)/10)</f>
        <v>1.6595869074375605E-11</v>
      </c>
      <c r="M295" s="26"/>
      <c r="N295" s="17"/>
      <c r="O295" s="9">
        <f t="shared" si="40"/>
        <v>-19.8</v>
      </c>
      <c r="P295" s="8">
        <f>D292/B292*10^(O295/10)</f>
        <v>0.13263628275311384</v>
      </c>
      <c r="Q295" s="26"/>
      <c r="R295" s="17"/>
      <c r="S295" s="20"/>
      <c r="T295" s="17"/>
      <c r="U295" s="23"/>
    </row>
    <row r="296" spans="1:21" x14ac:dyDescent="0.25">
      <c r="A296" s="24">
        <v>500</v>
      </c>
      <c r="B296" s="24">
        <v>3</v>
      </c>
      <c r="C296" s="17">
        <v>0.5</v>
      </c>
      <c r="D296" s="24">
        <v>59</v>
      </c>
      <c r="E296" s="24">
        <v>6</v>
      </c>
      <c r="F296" s="25">
        <v>84</v>
      </c>
      <c r="G296" s="1">
        <v>375</v>
      </c>
      <c r="H296" s="2">
        <v>91.9</v>
      </c>
      <c r="I296" s="2">
        <v>-16.5</v>
      </c>
      <c r="J296" s="2">
        <v>-25.2</v>
      </c>
      <c r="K296" s="2">
        <f t="shared" si="38"/>
        <v>-16.5</v>
      </c>
      <c r="L296" s="8">
        <f t="shared" ref="L296:L297" si="41">10^((K296-H296)/10)</f>
        <v>1.4454397707459232E-11</v>
      </c>
      <c r="M296" s="26">
        <f>SUM(L296:L301)</f>
        <v>7.2887109707801905E-11</v>
      </c>
      <c r="N296" s="17">
        <f>10*LOG10(M296/E296)</f>
        <v>-109.15500521486379</v>
      </c>
      <c r="O296" s="9">
        <f t="shared" si="40"/>
        <v>-25.2</v>
      </c>
      <c r="P296" s="8">
        <f>D296/B296*10^(O296/10)</f>
        <v>5.9392383834572939E-2</v>
      </c>
      <c r="Q296" s="26">
        <f>SUM(P296:P301)</f>
        <v>0.40187859278525323</v>
      </c>
      <c r="R296" s="17">
        <f>10*LOG10(Q296)</f>
        <v>-3.9590512713180104</v>
      </c>
      <c r="S296" s="18">
        <f>F296+N296-Kzt-H</f>
        <v>-25.155005214863792</v>
      </c>
      <c r="T296" s="17">
        <v>0.5</v>
      </c>
      <c r="U296" s="21">
        <f>T296*10^((S296-R296)/10)</f>
        <v>3.7964231236706342E-3</v>
      </c>
    </row>
    <row r="297" spans="1:21" x14ac:dyDescent="0.25">
      <c r="A297" s="24"/>
      <c r="B297" s="24"/>
      <c r="C297" s="17"/>
      <c r="D297" s="24"/>
      <c r="E297" s="24"/>
      <c r="F297" s="25"/>
      <c r="G297" s="1">
        <v>425</v>
      </c>
      <c r="H297" s="2">
        <v>88.1</v>
      </c>
      <c r="I297" s="2">
        <v>-22.2</v>
      </c>
      <c r="J297" s="2">
        <v>-28.6</v>
      </c>
      <c r="K297" s="2">
        <f t="shared" si="38"/>
        <v>-22.2</v>
      </c>
      <c r="L297" s="8">
        <f t="shared" si="41"/>
        <v>9.3325430079698992E-12</v>
      </c>
      <c r="M297" s="26"/>
      <c r="N297" s="17"/>
      <c r="O297" s="9">
        <f t="shared" si="40"/>
        <v>-28.6</v>
      </c>
      <c r="P297" s="8">
        <f>D296/B296*10^(O297/10)</f>
        <v>2.7147557203856709E-2</v>
      </c>
      <c r="Q297" s="26"/>
      <c r="R297" s="17"/>
      <c r="S297" s="19"/>
      <c r="T297" s="17"/>
      <c r="U297" s="22"/>
    </row>
    <row r="298" spans="1:21" x14ac:dyDescent="0.25">
      <c r="A298" s="24"/>
      <c r="B298" s="24"/>
      <c r="C298" s="17"/>
      <c r="D298" s="24"/>
      <c r="E298" s="24"/>
      <c r="F298" s="25"/>
      <c r="G298" s="1">
        <v>475</v>
      </c>
      <c r="H298" s="2">
        <v>90</v>
      </c>
      <c r="I298" s="2">
        <v>-15.2</v>
      </c>
      <c r="J298" s="2">
        <v>-23.7</v>
      </c>
      <c r="K298" s="2">
        <f t="shared" si="38"/>
        <v>-15.2</v>
      </c>
      <c r="L298" s="8">
        <f>10^((K298-H298)/10)</f>
        <v>3.0199517204020087E-11</v>
      </c>
      <c r="M298" s="26"/>
      <c r="N298" s="17"/>
      <c r="O298" s="9">
        <f t="shared" si="40"/>
        <v>-23.7</v>
      </c>
      <c r="P298" s="8">
        <f>D296/B296*10^(O298/10)</f>
        <v>8.3893972030979869E-2</v>
      </c>
      <c r="Q298" s="26"/>
      <c r="R298" s="17"/>
      <c r="S298" s="19"/>
      <c r="T298" s="17"/>
      <c r="U298" s="22"/>
    </row>
    <row r="299" spans="1:21" x14ac:dyDescent="0.25">
      <c r="A299" s="24"/>
      <c r="B299" s="24"/>
      <c r="C299" s="17"/>
      <c r="D299" s="24"/>
      <c r="E299" s="24"/>
      <c r="F299" s="25"/>
      <c r="G299" s="1">
        <v>575</v>
      </c>
      <c r="H299" s="2">
        <v>97</v>
      </c>
      <c r="I299" s="2">
        <v>-19.100000000000001</v>
      </c>
      <c r="J299" s="2">
        <v>-20.3</v>
      </c>
      <c r="K299" s="2">
        <f t="shared" si="38"/>
        <v>-19.100000000000001</v>
      </c>
      <c r="L299" s="8">
        <f t="shared" ref="L299:L325" si="42">10^((K299-H299)/10)</f>
        <v>2.4547089156850233E-12</v>
      </c>
      <c r="M299" s="26"/>
      <c r="N299" s="17"/>
      <c r="O299" s="9">
        <f t="shared" si="40"/>
        <v>-20.3</v>
      </c>
      <c r="P299" s="8">
        <f>D296/B296*10^(O299/10)</f>
        <v>0.18354001249007473</v>
      </c>
      <c r="Q299" s="26"/>
      <c r="R299" s="17"/>
      <c r="S299" s="19"/>
      <c r="T299" s="17"/>
      <c r="U299" s="22"/>
    </row>
    <row r="300" spans="1:21" x14ac:dyDescent="0.25">
      <c r="A300" s="24"/>
      <c r="B300" s="24"/>
      <c r="C300" s="17"/>
      <c r="D300" s="24"/>
      <c r="E300" s="24"/>
      <c r="F300" s="25"/>
      <c r="G300" s="1">
        <v>625</v>
      </c>
      <c r="H300" s="2">
        <v>92</v>
      </c>
      <c r="I300" s="2">
        <v>-18.899999999999999</v>
      </c>
      <c r="J300" s="2">
        <v>-28.5</v>
      </c>
      <c r="K300" s="2">
        <f t="shared" si="38"/>
        <v>-18.899999999999999</v>
      </c>
      <c r="L300" s="8">
        <f t="shared" si="42"/>
        <v>8.1283051616409864E-12</v>
      </c>
      <c r="M300" s="26"/>
      <c r="N300" s="17"/>
      <c r="O300" s="9">
        <f t="shared" si="40"/>
        <v>-28.5</v>
      </c>
      <c r="P300" s="8">
        <f>D296/B296*10^(O300/10)</f>
        <v>2.7779905044247471E-2</v>
      </c>
      <c r="Q300" s="26"/>
      <c r="R300" s="17"/>
      <c r="S300" s="19"/>
      <c r="T300" s="17"/>
      <c r="U300" s="22"/>
    </row>
    <row r="301" spans="1:21" x14ac:dyDescent="0.25">
      <c r="A301" s="24"/>
      <c r="B301" s="24"/>
      <c r="C301" s="17"/>
      <c r="D301" s="24"/>
      <c r="E301" s="24"/>
      <c r="F301" s="25"/>
      <c r="G301" s="1">
        <v>675</v>
      </c>
      <c r="H301" s="2">
        <v>94.5</v>
      </c>
      <c r="I301" s="2">
        <v>-16.3</v>
      </c>
      <c r="J301" s="2">
        <v>-29.9</v>
      </c>
      <c r="K301" s="2">
        <f t="shared" si="38"/>
        <v>-16.3</v>
      </c>
      <c r="L301" s="8">
        <f t="shared" si="42"/>
        <v>8.3176377110266746E-12</v>
      </c>
      <c r="M301" s="26"/>
      <c r="N301" s="17"/>
      <c r="O301" s="9">
        <f t="shared" si="40"/>
        <v>-29.9</v>
      </c>
      <c r="P301" s="8">
        <f>D296/B296*10^(O301/10)</f>
        <v>2.01247621815215E-2</v>
      </c>
      <c r="Q301" s="26"/>
      <c r="R301" s="17"/>
      <c r="S301" s="20"/>
      <c r="T301" s="17"/>
      <c r="U301" s="23"/>
    </row>
    <row r="302" spans="1:21" x14ac:dyDescent="0.25">
      <c r="A302" s="24">
        <v>1000</v>
      </c>
      <c r="B302" s="24">
        <v>3</v>
      </c>
      <c r="C302" s="17">
        <v>0.5</v>
      </c>
      <c r="D302" s="24">
        <v>117</v>
      </c>
      <c r="E302" s="24">
        <v>6</v>
      </c>
      <c r="F302" s="25">
        <v>76</v>
      </c>
      <c r="G302" s="1">
        <v>875</v>
      </c>
      <c r="H302" s="2">
        <v>91.1</v>
      </c>
      <c r="I302" s="2">
        <v>-19.8</v>
      </c>
      <c r="J302" s="2">
        <v>-25.2</v>
      </c>
      <c r="K302" s="2">
        <f t="shared" si="38"/>
        <v>-19.8</v>
      </c>
      <c r="L302" s="8">
        <f t="shared" si="42"/>
        <v>8.1283051616409864E-12</v>
      </c>
      <c r="M302" s="26">
        <f>SUM(L302:L307)</f>
        <v>2.3563391875165673E-11</v>
      </c>
      <c r="N302" s="17">
        <f>10*LOG10(M302/E302)</f>
        <v>-114.05913444462102</v>
      </c>
      <c r="O302" s="9">
        <f t="shared" si="40"/>
        <v>-25.2</v>
      </c>
      <c r="P302" s="8">
        <f>D302/B302*10^(O302/10)</f>
        <v>0.11777811709567852</v>
      </c>
      <c r="Q302" s="26">
        <f>SUM(P302:P307)</f>
        <v>0.99079262155212489</v>
      </c>
      <c r="R302" s="17">
        <f>10*LOG10(Q302)</f>
        <v>-4.0172362718373059E-2</v>
      </c>
      <c r="S302" s="18">
        <f>F302+N302-Kzt-H</f>
        <v>-38.059134444621023</v>
      </c>
      <c r="T302" s="17">
        <v>0.8</v>
      </c>
      <c r="U302" s="21">
        <f>T302*10^((S302-R302)/10)</f>
        <v>1.2623906777949206E-4</v>
      </c>
    </row>
    <row r="303" spans="1:21" x14ac:dyDescent="0.25">
      <c r="A303" s="24"/>
      <c r="B303" s="24"/>
      <c r="C303" s="17"/>
      <c r="D303" s="24"/>
      <c r="E303" s="24"/>
      <c r="F303" s="25"/>
      <c r="G303" s="1">
        <v>975</v>
      </c>
      <c r="H303" s="2">
        <v>96.5</v>
      </c>
      <c r="I303" s="2">
        <v>-15.7</v>
      </c>
      <c r="J303" s="2">
        <v>-19.600000000000001</v>
      </c>
      <c r="K303" s="2">
        <f t="shared" si="38"/>
        <v>-15.7</v>
      </c>
      <c r="L303" s="8">
        <f t="shared" si="42"/>
        <v>6.0255958607435596E-12</v>
      </c>
      <c r="M303" s="26"/>
      <c r="N303" s="17"/>
      <c r="O303" s="9">
        <f t="shared" si="40"/>
        <v>-19.600000000000001</v>
      </c>
      <c r="P303" s="8">
        <f>D302/B302*10^(O303/10)</f>
        <v>0.42762649649584183</v>
      </c>
      <c r="Q303" s="26"/>
      <c r="R303" s="17"/>
      <c r="S303" s="19"/>
      <c r="T303" s="17"/>
      <c r="U303" s="22"/>
    </row>
    <row r="304" spans="1:21" x14ac:dyDescent="0.25">
      <c r="A304" s="24"/>
      <c r="B304" s="24"/>
      <c r="C304" s="17"/>
      <c r="D304" s="24"/>
      <c r="E304" s="24"/>
      <c r="F304" s="25"/>
      <c r="G304" s="1">
        <v>1075</v>
      </c>
      <c r="H304" s="2">
        <v>94.6</v>
      </c>
      <c r="I304" s="2">
        <v>-23.7</v>
      </c>
      <c r="J304" s="2">
        <v>-28.8</v>
      </c>
      <c r="K304" s="2">
        <f t="shared" si="38"/>
        <v>-23.7</v>
      </c>
      <c r="L304" s="8">
        <f t="shared" si="42"/>
        <v>1.4791083881682012E-12</v>
      </c>
      <c r="M304" s="26"/>
      <c r="N304" s="17"/>
      <c r="O304" s="9">
        <f t="shared" si="40"/>
        <v>-28.8</v>
      </c>
      <c r="P304" s="8">
        <f>D302/B302*10^(O304/10)</f>
        <v>5.1412012803699877E-2</v>
      </c>
      <c r="Q304" s="26"/>
      <c r="R304" s="17"/>
      <c r="S304" s="19"/>
      <c r="T304" s="17"/>
      <c r="U304" s="22"/>
    </row>
    <row r="305" spans="1:21" x14ac:dyDescent="0.25">
      <c r="A305" s="24"/>
      <c r="B305" s="24"/>
      <c r="C305" s="17"/>
      <c r="D305" s="24"/>
      <c r="E305" s="24"/>
      <c r="F305" s="25"/>
      <c r="G305" s="1">
        <v>1175</v>
      </c>
      <c r="H305" s="2">
        <v>97.8</v>
      </c>
      <c r="I305" s="2">
        <v>-13.6</v>
      </c>
      <c r="J305" s="2">
        <v>-24.7</v>
      </c>
      <c r="K305" s="2">
        <f t="shared" si="38"/>
        <v>-13.6</v>
      </c>
      <c r="L305" s="8">
        <f t="shared" si="42"/>
        <v>7.2443596007498992E-12</v>
      </c>
      <c r="M305" s="26"/>
      <c r="N305" s="17"/>
      <c r="O305" s="9">
        <f t="shared" si="40"/>
        <v>-24.7</v>
      </c>
      <c r="P305" s="8">
        <f>D302/B302*10^(O305/10)</f>
        <v>0.13214922089428893</v>
      </c>
      <c r="Q305" s="26"/>
      <c r="R305" s="17"/>
      <c r="S305" s="19"/>
      <c r="T305" s="17"/>
      <c r="U305" s="22"/>
    </row>
    <row r="306" spans="1:21" x14ac:dyDescent="0.25">
      <c r="A306" s="24"/>
      <c r="B306" s="24"/>
      <c r="C306" s="17"/>
      <c r="D306" s="24"/>
      <c r="E306" s="24"/>
      <c r="F306" s="25"/>
      <c r="G306" s="1">
        <v>1275</v>
      </c>
      <c r="H306" s="2">
        <v>100.1</v>
      </c>
      <c r="I306" s="2">
        <v>-23.7</v>
      </c>
      <c r="J306" s="2">
        <v>-28</v>
      </c>
      <c r="K306" s="2">
        <f t="shared" si="38"/>
        <v>-23.7</v>
      </c>
      <c r="L306" s="8">
        <f t="shared" si="42"/>
        <v>4.1686938347033585E-13</v>
      </c>
      <c r="M306" s="26"/>
      <c r="N306" s="17"/>
      <c r="O306" s="9">
        <f t="shared" si="40"/>
        <v>-28</v>
      </c>
      <c r="P306" s="8">
        <f>D302/B302*10^(O306/10)</f>
        <v>6.1810834505983424E-2</v>
      </c>
      <c r="Q306" s="26"/>
      <c r="R306" s="17"/>
      <c r="S306" s="19"/>
      <c r="T306" s="17"/>
      <c r="U306" s="22"/>
    </row>
    <row r="307" spans="1:21" x14ac:dyDescent="0.25">
      <c r="A307" s="24"/>
      <c r="B307" s="24"/>
      <c r="C307" s="17"/>
      <c r="D307" s="24"/>
      <c r="E307" s="24"/>
      <c r="F307" s="25"/>
      <c r="G307" s="1">
        <v>1375</v>
      </c>
      <c r="H307" s="2">
        <v>103</v>
      </c>
      <c r="I307" s="2">
        <v>-22.7</v>
      </c>
      <c r="J307" s="2">
        <v>-22.9</v>
      </c>
      <c r="K307" s="2">
        <f t="shared" si="38"/>
        <v>-22.7</v>
      </c>
      <c r="L307" s="8">
        <f t="shared" si="42"/>
        <v>2.6915348039269041E-13</v>
      </c>
      <c r="M307" s="26"/>
      <c r="N307" s="17"/>
      <c r="O307" s="9">
        <f t="shared" si="40"/>
        <v>-22.9</v>
      </c>
      <c r="P307" s="8">
        <f>D302/B302*10^(O307/10)</f>
        <v>0.20001593975663223</v>
      </c>
      <c r="Q307" s="26"/>
      <c r="R307" s="17"/>
      <c r="S307" s="20"/>
      <c r="T307" s="17"/>
      <c r="U307" s="23"/>
    </row>
    <row r="308" spans="1:21" x14ac:dyDescent="0.25">
      <c r="A308" s="24">
        <v>2000</v>
      </c>
      <c r="B308" s="24">
        <v>3</v>
      </c>
      <c r="C308" s="17">
        <v>0.5</v>
      </c>
      <c r="D308" s="24">
        <v>234</v>
      </c>
      <c r="E308" s="24">
        <v>6</v>
      </c>
      <c r="F308" s="25">
        <v>68</v>
      </c>
      <c r="G308" s="1">
        <v>1425</v>
      </c>
      <c r="H308" s="2">
        <v>102.8</v>
      </c>
      <c r="I308" s="2">
        <v>-23.5</v>
      </c>
      <c r="J308" s="2">
        <v>-24.5</v>
      </c>
      <c r="K308" s="2">
        <f t="shared" si="38"/>
        <v>-23.5</v>
      </c>
      <c r="L308" s="8">
        <f t="shared" si="42"/>
        <v>2.3442288153199217E-13</v>
      </c>
      <c r="M308" s="26">
        <f>SUM(L308:L313)</f>
        <v>8.416118861310776E-12</v>
      </c>
      <c r="N308" s="17">
        <f>10*LOG10(M308/E308)</f>
        <v>-118.53039389965751</v>
      </c>
      <c r="O308" s="9">
        <f t="shared" si="40"/>
        <v>-24.5</v>
      </c>
      <c r="P308" s="8">
        <f>D308/B308*10^(O308/10)</f>
        <v>0.2767544436021887</v>
      </c>
      <c r="Q308" s="26">
        <f>SUM(P308:P313)</f>
        <v>1.6048579305395747</v>
      </c>
      <c r="R308" s="17">
        <f>10*LOG10(Q308)</f>
        <v>2.0543659268256484</v>
      </c>
      <c r="S308" s="18">
        <f>F308+N308-Kzt-H</f>
        <v>-50.530393899657511</v>
      </c>
      <c r="T308" s="17">
        <v>1</v>
      </c>
      <c r="U308" s="21">
        <f>T308*10^((S308-R308)/10)</f>
        <v>5.5147269907944836E-6</v>
      </c>
    </row>
    <row r="309" spans="1:21" x14ac:dyDescent="0.25">
      <c r="A309" s="24"/>
      <c r="B309" s="24"/>
      <c r="C309" s="17"/>
      <c r="D309" s="24"/>
      <c r="E309" s="24"/>
      <c r="F309" s="25"/>
      <c r="G309" s="1">
        <v>1625</v>
      </c>
      <c r="H309" s="2">
        <v>104.1</v>
      </c>
      <c r="I309" s="2">
        <v>-13.2</v>
      </c>
      <c r="J309" s="2">
        <v>-28.2</v>
      </c>
      <c r="K309" s="2">
        <f t="shared" si="38"/>
        <v>-13.2</v>
      </c>
      <c r="L309" s="8">
        <f t="shared" si="42"/>
        <v>1.8620871366628578E-12</v>
      </c>
      <c r="M309" s="26"/>
      <c r="N309" s="17"/>
      <c r="O309" s="9">
        <f t="shared" si="40"/>
        <v>-28.2</v>
      </c>
      <c r="P309" s="8">
        <f>D308/B308*10^(O309/10)</f>
        <v>0.11805777737802417</v>
      </c>
      <c r="Q309" s="26"/>
      <c r="R309" s="17"/>
      <c r="S309" s="19"/>
      <c r="T309" s="17"/>
      <c r="U309" s="22"/>
    </row>
    <row r="310" spans="1:21" x14ac:dyDescent="0.25">
      <c r="A310" s="24"/>
      <c r="B310" s="24"/>
      <c r="C310" s="17"/>
      <c r="D310" s="24"/>
      <c r="E310" s="24"/>
      <c r="F310" s="25"/>
      <c r="G310" s="1">
        <v>1825</v>
      </c>
      <c r="H310" s="2">
        <v>107.6</v>
      </c>
      <c r="I310" s="2">
        <v>-19.8</v>
      </c>
      <c r="J310" s="2">
        <v>-21.2</v>
      </c>
      <c r="K310" s="2">
        <f t="shared" si="38"/>
        <v>-19.8</v>
      </c>
      <c r="L310" s="8">
        <f t="shared" si="42"/>
        <v>1.8197008586099852E-13</v>
      </c>
      <c r="M310" s="26"/>
      <c r="N310" s="17"/>
      <c r="O310" s="9">
        <f t="shared" si="40"/>
        <v>-21.2</v>
      </c>
      <c r="P310" s="8">
        <f>D308/B308*10^(O310/10)</f>
        <v>0.59169050852276273</v>
      </c>
      <c r="Q310" s="26"/>
      <c r="R310" s="17"/>
      <c r="S310" s="19"/>
      <c r="T310" s="17"/>
      <c r="U310" s="22"/>
    </row>
    <row r="311" spans="1:21" x14ac:dyDescent="0.25">
      <c r="A311" s="24"/>
      <c r="B311" s="24"/>
      <c r="C311" s="17"/>
      <c r="D311" s="24"/>
      <c r="E311" s="24"/>
      <c r="F311" s="25"/>
      <c r="G311" s="1">
        <v>2125</v>
      </c>
      <c r="H311" s="2">
        <v>104.2</v>
      </c>
      <c r="I311" s="2">
        <v>-19.3</v>
      </c>
      <c r="J311" s="2">
        <v>-25.2</v>
      </c>
      <c r="K311" s="2">
        <f t="shared" si="38"/>
        <v>-19.3</v>
      </c>
      <c r="L311" s="8">
        <f t="shared" si="42"/>
        <v>4.4668359215096191E-13</v>
      </c>
      <c r="M311" s="26"/>
      <c r="N311" s="17"/>
      <c r="O311" s="9">
        <f t="shared" si="40"/>
        <v>-25.2</v>
      </c>
      <c r="P311" s="8">
        <f>D308/B308*10^(O311/10)</f>
        <v>0.23555623419135704</v>
      </c>
      <c r="Q311" s="26"/>
      <c r="R311" s="17"/>
      <c r="S311" s="19"/>
      <c r="T311" s="17"/>
      <c r="U311" s="22"/>
    </row>
    <row r="312" spans="1:21" x14ac:dyDescent="0.25">
      <c r="A312" s="24"/>
      <c r="B312" s="24"/>
      <c r="C312" s="17"/>
      <c r="D312" s="24"/>
      <c r="E312" s="24"/>
      <c r="F312" s="25"/>
      <c r="G312" s="1">
        <v>2425</v>
      </c>
      <c r="H312" s="2">
        <v>93.7</v>
      </c>
      <c r="I312" s="2">
        <v>-19.2</v>
      </c>
      <c r="J312" s="2">
        <v>-26.8</v>
      </c>
      <c r="K312" s="2">
        <f t="shared" si="38"/>
        <v>-19.2</v>
      </c>
      <c r="L312" s="8">
        <f t="shared" si="42"/>
        <v>5.1286138399136186E-12</v>
      </c>
      <c r="M312" s="26"/>
      <c r="N312" s="17"/>
      <c r="O312" s="9">
        <f t="shared" si="40"/>
        <v>-26.8</v>
      </c>
      <c r="P312" s="8">
        <f>D308/B308*10^(O312/10)</f>
        <v>0.16296509820661489</v>
      </c>
      <c r="Q312" s="26"/>
      <c r="R312" s="17"/>
      <c r="S312" s="19"/>
      <c r="T312" s="17"/>
      <c r="U312" s="22"/>
    </row>
    <row r="313" spans="1:21" x14ac:dyDescent="0.25">
      <c r="A313" s="24"/>
      <c r="B313" s="24"/>
      <c r="C313" s="17"/>
      <c r="D313" s="24"/>
      <c r="E313" s="24"/>
      <c r="F313" s="25"/>
      <c r="G313" s="1">
        <v>2775</v>
      </c>
      <c r="H313" s="2">
        <v>100.2</v>
      </c>
      <c r="I313" s="2">
        <v>-22.3</v>
      </c>
      <c r="J313" s="2">
        <v>-25.5</v>
      </c>
      <c r="K313" s="2">
        <f t="shared" si="38"/>
        <v>-22.3</v>
      </c>
      <c r="L313" s="8">
        <f t="shared" si="42"/>
        <v>5.6234132519034702E-13</v>
      </c>
      <c r="M313" s="26"/>
      <c r="N313" s="17"/>
      <c r="O313" s="9">
        <f t="shared" si="40"/>
        <v>-25.5</v>
      </c>
      <c r="P313" s="8">
        <f>D308/B308*10^(O313/10)</f>
        <v>0.21983386863862728</v>
      </c>
      <c r="Q313" s="26"/>
      <c r="R313" s="17"/>
      <c r="S313" s="20"/>
      <c r="T313" s="17"/>
      <c r="U313" s="23"/>
    </row>
    <row r="314" spans="1:21" x14ac:dyDescent="0.25">
      <c r="A314" s="24">
        <v>4000</v>
      </c>
      <c r="B314" s="24">
        <v>3</v>
      </c>
      <c r="C314" s="17">
        <v>0.5</v>
      </c>
      <c r="D314" s="24">
        <v>470</v>
      </c>
      <c r="E314" s="24">
        <v>6</v>
      </c>
      <c r="F314" s="25">
        <v>62</v>
      </c>
      <c r="G314" s="1">
        <v>2825</v>
      </c>
      <c r="H314" s="2">
        <v>99.4</v>
      </c>
      <c r="I314" s="2">
        <v>-27.2</v>
      </c>
      <c r="J314" s="2">
        <v>-27.9</v>
      </c>
      <c r="K314" s="2">
        <f t="shared" si="38"/>
        <v>-27.2</v>
      </c>
      <c r="L314" s="8">
        <f t="shared" si="42"/>
        <v>2.1877616239495453E-13</v>
      </c>
      <c r="M314" s="26">
        <f>SUM(L314:L319)</f>
        <v>1.7145491279602051E-12</v>
      </c>
      <c r="N314" s="17">
        <f>10*LOG10(M314/E314)</f>
        <v>-125.44001316665346</v>
      </c>
      <c r="O314" s="9">
        <f t="shared" si="40"/>
        <v>-27.9</v>
      </c>
      <c r="P314" s="8">
        <f>D314/B314*10^(O314/10)</f>
        <v>0.25408358191956543</v>
      </c>
      <c r="Q314" s="26">
        <f>SUM(P314:P319)</f>
        <v>2.3708363356551856</v>
      </c>
      <c r="R314" s="17">
        <f>10*LOG10(Q314)</f>
        <v>3.7490157465505929</v>
      </c>
      <c r="S314" s="18">
        <f>F314+N314-Kzt-H</f>
        <v>-63.440013166653458</v>
      </c>
      <c r="T314" s="17">
        <v>0.9</v>
      </c>
      <c r="U314" s="21">
        <f>T314*10^((S314-R314)/10)</f>
        <v>1.719252316267527E-7</v>
      </c>
    </row>
    <row r="315" spans="1:21" x14ac:dyDescent="0.25">
      <c r="A315" s="24"/>
      <c r="B315" s="24"/>
      <c r="C315" s="17"/>
      <c r="D315" s="24"/>
      <c r="E315" s="24"/>
      <c r="F315" s="25"/>
      <c r="G315" s="1">
        <v>3425</v>
      </c>
      <c r="H315" s="2">
        <v>103.5</v>
      </c>
      <c r="I315" s="2">
        <v>-22.7</v>
      </c>
      <c r="J315" s="2">
        <v>-23.5</v>
      </c>
      <c r="K315" s="2">
        <f t="shared" si="38"/>
        <v>-22.7</v>
      </c>
      <c r="L315" s="8">
        <f t="shared" si="42"/>
        <v>2.3988329190194817E-13</v>
      </c>
      <c r="M315" s="26"/>
      <c r="N315" s="17"/>
      <c r="O315" s="9">
        <f t="shared" si="40"/>
        <v>-23.5</v>
      </c>
      <c r="P315" s="8">
        <f>D314/B314*10^(O315/10)</f>
        <v>0.69980429436984171</v>
      </c>
      <c r="Q315" s="26"/>
      <c r="R315" s="17"/>
      <c r="S315" s="19"/>
      <c r="T315" s="17"/>
      <c r="U315" s="22"/>
    </row>
    <row r="316" spans="1:21" x14ac:dyDescent="0.25">
      <c r="A316" s="24"/>
      <c r="B316" s="24"/>
      <c r="C316" s="17"/>
      <c r="D316" s="24"/>
      <c r="E316" s="24"/>
      <c r="F316" s="25"/>
      <c r="G316" s="1">
        <v>4025</v>
      </c>
      <c r="H316" s="2">
        <v>103.6</v>
      </c>
      <c r="I316" s="2">
        <v>-18.100000000000001</v>
      </c>
      <c r="J316" s="2">
        <v>-24.6</v>
      </c>
      <c r="K316" s="2">
        <f t="shared" si="38"/>
        <v>-18.100000000000001</v>
      </c>
      <c r="L316" s="8">
        <f t="shared" si="42"/>
        <v>6.7608297539198353E-13</v>
      </c>
      <c r="M316" s="26"/>
      <c r="N316" s="17"/>
      <c r="O316" s="9">
        <f t="shared" si="40"/>
        <v>-24.6</v>
      </c>
      <c r="P316" s="8">
        <f>D314/B314*10^(O316/10)</f>
        <v>0.543221065708966</v>
      </c>
      <c r="Q316" s="26"/>
      <c r="R316" s="17"/>
      <c r="S316" s="19"/>
      <c r="T316" s="17"/>
      <c r="U316" s="22"/>
    </row>
    <row r="317" spans="1:21" x14ac:dyDescent="0.25">
      <c r="A317" s="24"/>
      <c r="B317" s="24"/>
      <c r="C317" s="17"/>
      <c r="D317" s="24"/>
      <c r="E317" s="24"/>
      <c r="F317" s="25"/>
      <c r="G317" s="1">
        <v>4625</v>
      </c>
      <c r="H317" s="2">
        <v>105.6</v>
      </c>
      <c r="I317" s="2">
        <v>-24.5</v>
      </c>
      <c r="J317" s="2">
        <v>-26.4</v>
      </c>
      <c r="K317" s="2">
        <f t="shared" si="38"/>
        <v>-24.5</v>
      </c>
      <c r="L317" s="8">
        <f t="shared" si="42"/>
        <v>9.772372209558072E-14</v>
      </c>
      <c r="M317" s="26"/>
      <c r="N317" s="17"/>
      <c r="O317" s="9">
        <f t="shared" si="40"/>
        <v>-26.4</v>
      </c>
      <c r="P317" s="8">
        <f>D314/B314*10^(O317/10)</f>
        <v>0.35890259893361787</v>
      </c>
      <c r="Q317" s="26"/>
      <c r="R317" s="17"/>
      <c r="S317" s="19"/>
      <c r="T317" s="17"/>
      <c r="U317" s="22"/>
    </row>
    <row r="318" spans="1:21" x14ac:dyDescent="0.25">
      <c r="A318" s="24"/>
      <c r="B318" s="24"/>
      <c r="C318" s="17"/>
      <c r="D318" s="24"/>
      <c r="E318" s="24"/>
      <c r="F318" s="25"/>
      <c r="G318" s="1">
        <v>5225</v>
      </c>
      <c r="H318" s="2">
        <v>103.5</v>
      </c>
      <c r="I318" s="2">
        <v>-24.5</v>
      </c>
      <c r="J318" s="2">
        <v>-26.7</v>
      </c>
      <c r="K318" s="2">
        <f t="shared" si="38"/>
        <v>-24.5</v>
      </c>
      <c r="L318" s="8">
        <f t="shared" si="42"/>
        <v>1.5848931924611046E-13</v>
      </c>
      <c r="M318" s="26"/>
      <c r="N318" s="17"/>
      <c r="O318" s="9">
        <f t="shared" si="40"/>
        <v>-26.7</v>
      </c>
      <c r="P318" s="8">
        <f>D314/B314*10^(O318/10)</f>
        <v>0.33494739402201629</v>
      </c>
      <c r="Q318" s="26"/>
      <c r="R318" s="17"/>
      <c r="S318" s="19"/>
      <c r="T318" s="17"/>
      <c r="U318" s="22"/>
    </row>
    <row r="319" spans="1:21" x14ac:dyDescent="0.25">
      <c r="A319" s="24"/>
      <c r="B319" s="24"/>
      <c r="C319" s="17"/>
      <c r="D319" s="24"/>
      <c r="E319" s="24"/>
      <c r="F319" s="25"/>
      <c r="G319" s="1">
        <v>5625</v>
      </c>
      <c r="H319" s="2">
        <v>99.5</v>
      </c>
      <c r="I319" s="2">
        <v>-25.4</v>
      </c>
      <c r="J319" s="2">
        <v>-29.4</v>
      </c>
      <c r="K319" s="2">
        <f t="shared" si="38"/>
        <v>-25.4</v>
      </c>
      <c r="L319" s="8">
        <f t="shared" si="42"/>
        <v>3.2359365692962775E-13</v>
      </c>
      <c r="M319" s="26"/>
      <c r="N319" s="17"/>
      <c r="O319" s="9">
        <f t="shared" si="40"/>
        <v>-29.4</v>
      </c>
      <c r="P319" s="8">
        <f>D314/B314*10^(O319/10)</f>
        <v>0.17987740070117825</v>
      </c>
      <c r="Q319" s="26"/>
      <c r="R319" s="17"/>
      <c r="S319" s="20"/>
      <c r="T319" s="17"/>
      <c r="U319" s="23"/>
    </row>
    <row r="320" spans="1:21" x14ac:dyDescent="0.25">
      <c r="A320" s="24">
        <v>8000</v>
      </c>
      <c r="B320" s="24">
        <v>3</v>
      </c>
      <c r="C320" s="17">
        <v>0.5</v>
      </c>
      <c r="D320" s="24">
        <v>943</v>
      </c>
      <c r="E320" s="24">
        <v>6</v>
      </c>
      <c r="F320" s="25">
        <v>54</v>
      </c>
      <c r="G320" s="1">
        <v>6025</v>
      </c>
      <c r="H320" s="2">
        <v>95</v>
      </c>
      <c r="I320" s="2">
        <v>-14</v>
      </c>
      <c r="J320" s="2">
        <v>-27.1</v>
      </c>
      <c r="K320" s="2">
        <f t="shared" si="38"/>
        <v>-14</v>
      </c>
      <c r="L320" s="8">
        <f t="shared" si="42"/>
        <v>1.2589254117941641E-11</v>
      </c>
      <c r="M320" s="26">
        <f>SUM(L320:L325)</f>
        <v>7.143375778593728E-11</v>
      </c>
      <c r="N320" s="17">
        <f>10*LOG10(M320/E320)</f>
        <v>-109.24247753517248</v>
      </c>
      <c r="O320" s="9">
        <f t="shared" si="40"/>
        <v>-27.1</v>
      </c>
      <c r="P320" s="8">
        <f>D320/B320*10^(O320/10)</f>
        <v>0.61290115252394517</v>
      </c>
      <c r="Q320" s="26">
        <f>SUM(P320:P325)</f>
        <v>11.427435630674911</v>
      </c>
      <c r="R320" s="17">
        <f>10*LOG10(Q320)</f>
        <v>10.579487836414012</v>
      </c>
      <c r="S320" s="18">
        <f>F320+N320-Kzt-H</f>
        <v>-55.242477535172483</v>
      </c>
      <c r="T320" s="17">
        <v>0.7</v>
      </c>
      <c r="U320" s="21">
        <f>T320*10^((S320-R320)/10)</f>
        <v>1.8318989041426792E-7</v>
      </c>
    </row>
    <row r="321" spans="1:21" x14ac:dyDescent="0.25">
      <c r="A321" s="24"/>
      <c r="B321" s="24"/>
      <c r="C321" s="17"/>
      <c r="D321" s="24"/>
      <c r="E321" s="24"/>
      <c r="F321" s="25"/>
      <c r="G321" s="1">
        <v>7025</v>
      </c>
      <c r="H321" s="2">
        <v>94.8</v>
      </c>
      <c r="I321" s="2">
        <v>-17.2</v>
      </c>
      <c r="J321" s="2">
        <v>-19.2</v>
      </c>
      <c r="K321" s="2">
        <f t="shared" si="38"/>
        <v>-17.2</v>
      </c>
      <c r="L321" s="8">
        <f t="shared" si="42"/>
        <v>6.3095734448019345E-12</v>
      </c>
      <c r="M321" s="26"/>
      <c r="N321" s="17"/>
      <c r="O321" s="9">
        <f t="shared" si="40"/>
        <v>-19.2</v>
      </c>
      <c r="P321" s="8">
        <f>D320/B320*10^(O321/10)</f>
        <v>3.7791178728140662</v>
      </c>
      <c r="Q321" s="26"/>
      <c r="R321" s="17"/>
      <c r="S321" s="19"/>
      <c r="T321" s="17"/>
      <c r="U321" s="22"/>
    </row>
    <row r="322" spans="1:21" x14ac:dyDescent="0.25">
      <c r="A322" s="24"/>
      <c r="B322" s="24"/>
      <c r="C322" s="17"/>
      <c r="D322" s="24"/>
      <c r="E322" s="24"/>
      <c r="F322" s="25"/>
      <c r="G322" s="1">
        <v>8025</v>
      </c>
      <c r="H322" s="2">
        <v>101.9</v>
      </c>
      <c r="I322" s="2">
        <v>-20.7</v>
      </c>
      <c r="J322" s="2">
        <v>-22.8</v>
      </c>
      <c r="K322" s="2">
        <f t="shared" si="38"/>
        <v>-20.7</v>
      </c>
      <c r="L322" s="8">
        <f t="shared" si="42"/>
        <v>5.4954087385762056E-13</v>
      </c>
      <c r="M322" s="26"/>
      <c r="N322" s="17"/>
      <c r="O322" s="9">
        <f t="shared" si="40"/>
        <v>-22.8</v>
      </c>
      <c r="P322" s="8">
        <f>D320/B320*10^(O322/10)</f>
        <v>1.649644783385116</v>
      </c>
      <c r="Q322" s="26"/>
      <c r="R322" s="17"/>
      <c r="S322" s="19"/>
      <c r="T322" s="17"/>
      <c r="U322" s="22"/>
    </row>
    <row r="323" spans="1:21" x14ac:dyDescent="0.25">
      <c r="A323" s="24"/>
      <c r="B323" s="24"/>
      <c r="C323" s="17"/>
      <c r="D323" s="24"/>
      <c r="E323" s="24"/>
      <c r="F323" s="25"/>
      <c r="G323" s="1">
        <v>9025</v>
      </c>
      <c r="H323" s="2">
        <v>93.2</v>
      </c>
      <c r="I323" s="2">
        <v>-15</v>
      </c>
      <c r="J323" s="2">
        <v>-26.8</v>
      </c>
      <c r="K323" s="2">
        <f t="shared" si="38"/>
        <v>-15</v>
      </c>
      <c r="L323" s="8">
        <f t="shared" si="42"/>
        <v>1.5135612484362034E-11</v>
      </c>
      <c r="M323" s="26"/>
      <c r="N323" s="17"/>
      <c r="O323" s="9">
        <f t="shared" si="40"/>
        <v>-26.8</v>
      </c>
      <c r="P323" s="8">
        <f>D320/B320*10^(O323/10)</f>
        <v>0.65673541713178563</v>
      </c>
      <c r="Q323" s="26"/>
      <c r="R323" s="17"/>
      <c r="S323" s="19"/>
      <c r="T323" s="17"/>
      <c r="U323" s="22"/>
    </row>
    <row r="324" spans="1:21" x14ac:dyDescent="0.25">
      <c r="A324" s="24"/>
      <c r="B324" s="24"/>
      <c r="C324" s="17"/>
      <c r="D324" s="24"/>
      <c r="E324" s="24"/>
      <c r="F324" s="25"/>
      <c r="G324" s="1">
        <v>10025</v>
      </c>
      <c r="H324" s="2">
        <v>88.3</v>
      </c>
      <c r="I324" s="2">
        <v>-17.8</v>
      </c>
      <c r="J324" s="2">
        <v>-18.8</v>
      </c>
      <c r="K324" s="2">
        <f t="shared" si="38"/>
        <v>-17.8</v>
      </c>
      <c r="L324" s="8">
        <f t="shared" si="42"/>
        <v>2.4547089156850264E-11</v>
      </c>
      <c r="M324" s="26"/>
      <c r="N324" s="17"/>
      <c r="O324" s="9">
        <f t="shared" si="40"/>
        <v>-18.8</v>
      </c>
      <c r="P324" s="8">
        <f>D320/B320*10^(O324/10)</f>
        <v>4.1437203481956359</v>
      </c>
      <c r="Q324" s="26"/>
      <c r="R324" s="17"/>
      <c r="S324" s="19"/>
      <c r="T324" s="17"/>
      <c r="U324" s="22"/>
    </row>
    <row r="325" spans="1:21" x14ac:dyDescent="0.25">
      <c r="A325" s="24"/>
      <c r="B325" s="24"/>
      <c r="C325" s="17"/>
      <c r="D325" s="24"/>
      <c r="E325" s="24"/>
      <c r="F325" s="25"/>
      <c r="G325" s="1">
        <v>11025</v>
      </c>
      <c r="H325" s="2">
        <v>86</v>
      </c>
      <c r="I325" s="2">
        <v>-23.1</v>
      </c>
      <c r="J325" s="2">
        <v>-27.3</v>
      </c>
      <c r="K325" s="2">
        <f t="shared" si="38"/>
        <v>-23.1</v>
      </c>
      <c r="L325" s="8">
        <f t="shared" si="42"/>
        <v>1.2302687708123787E-11</v>
      </c>
      <c r="M325" s="26"/>
      <c r="N325" s="17"/>
      <c r="O325" s="9">
        <f t="shared" si="40"/>
        <v>-27.3</v>
      </c>
      <c r="P325" s="8">
        <f>D320/B320*10^(O325/10)</f>
        <v>0.58531605662436104</v>
      </c>
      <c r="Q325" s="26"/>
      <c r="R325" s="17"/>
      <c r="S325" s="20"/>
      <c r="T325" s="17"/>
      <c r="U325" s="23"/>
    </row>
    <row r="326" spans="1:21" x14ac:dyDescent="0.25">
      <c r="A326" s="24" t="s">
        <v>20</v>
      </c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12">
        <f>U326</f>
        <v>8.1544729383277351E-2</v>
      </c>
      <c r="T326" s="2"/>
      <c r="U326" s="8">
        <f>0.8*SQRT(SUM(U292:U325))</f>
        <v>8.1544729383277351E-2</v>
      </c>
    </row>
    <row r="327" spans="1:21" x14ac:dyDescent="0.25">
      <c r="A327" s="27" t="s">
        <v>101</v>
      </c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9"/>
    </row>
    <row r="328" spans="1:21" x14ac:dyDescent="0.25">
      <c r="A328" s="24">
        <v>250</v>
      </c>
      <c r="B328" s="24">
        <v>3</v>
      </c>
      <c r="C328" s="17">
        <v>0.5</v>
      </c>
      <c r="D328" s="24">
        <v>38</v>
      </c>
      <c r="E328" s="24">
        <v>4</v>
      </c>
      <c r="F328" s="25">
        <v>84</v>
      </c>
      <c r="G328" s="1">
        <v>175</v>
      </c>
      <c r="H328" s="2">
        <v>84.8</v>
      </c>
      <c r="I328" s="2">
        <v>-19.3</v>
      </c>
      <c r="J328" s="2">
        <v>-23</v>
      </c>
      <c r="K328" s="2">
        <f>I328</f>
        <v>-19.3</v>
      </c>
      <c r="L328" s="8">
        <f>10^((K328-H328)/10)</f>
        <v>3.8904514499427922E-11</v>
      </c>
      <c r="M328" s="26">
        <f>SUM(L328:L331)</f>
        <v>5.7060745704766003E-11</v>
      </c>
      <c r="N328" s="17">
        <f>10*LOG10(M328/E328)</f>
        <v>-108.45722548343588</v>
      </c>
      <c r="O328" s="9">
        <f>J328</f>
        <v>-23</v>
      </c>
      <c r="P328" s="8">
        <f>D328/B328*10^(O328/10)</f>
        <v>6.3483716259454467E-2</v>
      </c>
      <c r="Q328" s="26">
        <f>SUM(P328:P331)</f>
        <v>0.16128334913757494</v>
      </c>
      <c r="R328" s="17">
        <f>10*LOG10(Q328)</f>
        <v>-7.9241046677681846</v>
      </c>
      <c r="S328" s="18">
        <f>F328+N328-Kzt-H</f>
        <v>-24.457225483435877</v>
      </c>
      <c r="T328" s="17">
        <v>0.2</v>
      </c>
      <c r="U328" s="21">
        <f>T328*10^((S328-R328)/10)</f>
        <v>4.4434256131846445E-3</v>
      </c>
    </row>
    <row r="329" spans="1:21" x14ac:dyDescent="0.25">
      <c r="A329" s="24"/>
      <c r="B329" s="24"/>
      <c r="C329" s="17"/>
      <c r="D329" s="24"/>
      <c r="E329" s="24"/>
      <c r="F329" s="25"/>
      <c r="G329" s="1">
        <v>225</v>
      </c>
      <c r="H329" s="2">
        <v>90</v>
      </c>
      <c r="I329" s="2">
        <v>-20.7</v>
      </c>
      <c r="J329" s="2">
        <v>-23.5</v>
      </c>
      <c r="K329" s="2">
        <f t="shared" ref="K329:K361" si="43">I329</f>
        <v>-20.7</v>
      </c>
      <c r="L329" s="8">
        <f t="shared" ref="L329:L330" si="44">10^((K329-H329)/10)</f>
        <v>8.5113803820237273E-12</v>
      </c>
      <c r="M329" s="26"/>
      <c r="N329" s="17"/>
      <c r="O329" s="9">
        <f t="shared" ref="O329:O361" si="45">J329</f>
        <v>-23.5</v>
      </c>
      <c r="P329" s="8">
        <f>D328/B328*10^(O329/10)</f>
        <v>5.6579921672455284E-2</v>
      </c>
      <c r="Q329" s="26"/>
      <c r="R329" s="17"/>
      <c r="S329" s="19"/>
      <c r="T329" s="17"/>
      <c r="U329" s="22"/>
    </row>
    <row r="330" spans="1:21" x14ac:dyDescent="0.25">
      <c r="A330" s="24"/>
      <c r="B330" s="24"/>
      <c r="C330" s="17"/>
      <c r="D330" s="24"/>
      <c r="E330" s="24"/>
      <c r="F330" s="25"/>
      <c r="G330" s="1">
        <v>275</v>
      </c>
      <c r="H330" s="2">
        <v>92.2</v>
      </c>
      <c r="I330" s="2">
        <v>-20.2</v>
      </c>
      <c r="J330" s="2">
        <v>-27</v>
      </c>
      <c r="K330" s="2">
        <f t="shared" si="43"/>
        <v>-20.2</v>
      </c>
      <c r="L330" s="8">
        <f t="shared" si="44"/>
        <v>5.7543993733715538E-12</v>
      </c>
      <c r="M330" s="26"/>
      <c r="N330" s="17"/>
      <c r="O330" s="9">
        <f t="shared" si="45"/>
        <v>-27</v>
      </c>
      <c r="P330" s="8">
        <f>D328/B328*10^(O330/10)</f>
        <v>2.5273322656272454E-2</v>
      </c>
      <c r="Q330" s="26"/>
      <c r="R330" s="17"/>
      <c r="S330" s="19"/>
      <c r="T330" s="17"/>
      <c r="U330" s="22"/>
    </row>
    <row r="331" spans="1:21" x14ac:dyDescent="0.25">
      <c r="A331" s="24"/>
      <c r="B331" s="24"/>
      <c r="C331" s="17"/>
      <c r="D331" s="24"/>
      <c r="E331" s="24"/>
      <c r="F331" s="25"/>
      <c r="G331" s="1">
        <v>325</v>
      </c>
      <c r="H331" s="2">
        <v>93.3</v>
      </c>
      <c r="I331" s="2">
        <v>-20.8</v>
      </c>
      <c r="J331" s="2">
        <v>-29</v>
      </c>
      <c r="K331" s="2">
        <f t="shared" si="43"/>
        <v>-20.8</v>
      </c>
      <c r="L331" s="8">
        <f>10^((K331-H331)/10)</f>
        <v>3.890451449942802E-12</v>
      </c>
      <c r="M331" s="26"/>
      <c r="N331" s="17"/>
      <c r="O331" s="9">
        <f t="shared" si="45"/>
        <v>-29</v>
      </c>
      <c r="P331" s="8">
        <f>D328/B328*10^(O331/10)</f>
        <v>1.594638854939277E-2</v>
      </c>
      <c r="Q331" s="26"/>
      <c r="R331" s="17"/>
      <c r="S331" s="20"/>
      <c r="T331" s="17"/>
      <c r="U331" s="23"/>
    </row>
    <row r="332" spans="1:21" x14ac:dyDescent="0.25">
      <c r="A332" s="24">
        <v>500</v>
      </c>
      <c r="B332" s="24">
        <v>3</v>
      </c>
      <c r="C332" s="17">
        <v>0.5</v>
      </c>
      <c r="D332" s="24">
        <v>59</v>
      </c>
      <c r="E332" s="24">
        <v>6</v>
      </c>
      <c r="F332" s="25">
        <v>84</v>
      </c>
      <c r="G332" s="1">
        <v>375</v>
      </c>
      <c r="H332" s="2">
        <v>91.9</v>
      </c>
      <c r="I332" s="2">
        <v>-19.7</v>
      </c>
      <c r="J332" s="2">
        <v>-23.6</v>
      </c>
      <c r="K332" s="2">
        <f t="shared" si="43"/>
        <v>-19.7</v>
      </c>
      <c r="L332" s="8">
        <f t="shared" ref="L332:L333" si="46">10^((K332-H332)/10)</f>
        <v>6.9183097091893405E-12</v>
      </c>
      <c r="M332" s="26">
        <f>SUM(L332:L337)</f>
        <v>3.2534756367127101E-11</v>
      </c>
      <c r="N332" s="17">
        <f>10*LOG10(M332/E332)</f>
        <v>-112.65803691467096</v>
      </c>
      <c r="O332" s="9">
        <f t="shared" si="45"/>
        <v>-23.6</v>
      </c>
      <c r="P332" s="8">
        <f>D332/B332*10^(O332/10)</f>
        <v>8.584811367389919E-2</v>
      </c>
      <c r="Q332" s="26">
        <f>SUM(P332:P337)</f>
        <v>0.39232021211357393</v>
      </c>
      <c r="R332" s="17">
        <f>10*LOG10(Q332)</f>
        <v>-4.0635931669006684</v>
      </c>
      <c r="S332" s="18">
        <f>F332+N332-Kzt-H</f>
        <v>-28.658036914670959</v>
      </c>
      <c r="T332" s="17">
        <v>0.5</v>
      </c>
      <c r="U332" s="21">
        <f>T332*10^((S332-R332)/10)</f>
        <v>1.7359037028872638E-3</v>
      </c>
    </row>
    <row r="333" spans="1:21" x14ac:dyDescent="0.25">
      <c r="A333" s="24"/>
      <c r="B333" s="24"/>
      <c r="C333" s="17"/>
      <c r="D333" s="24"/>
      <c r="E333" s="24"/>
      <c r="F333" s="25"/>
      <c r="G333" s="1">
        <v>425</v>
      </c>
      <c r="H333" s="2">
        <v>88.1</v>
      </c>
      <c r="I333" s="2">
        <v>-22.2</v>
      </c>
      <c r="J333" s="2">
        <v>-25.7</v>
      </c>
      <c r="K333" s="2">
        <f t="shared" si="43"/>
        <v>-22.2</v>
      </c>
      <c r="L333" s="8">
        <f t="shared" si="46"/>
        <v>9.3325430079698992E-12</v>
      </c>
      <c r="M333" s="26"/>
      <c r="N333" s="17"/>
      <c r="O333" s="9">
        <f t="shared" si="45"/>
        <v>-25.7</v>
      </c>
      <c r="P333" s="8">
        <f>D332/B332*10^(O333/10)</f>
        <v>5.2933517810562658E-2</v>
      </c>
      <c r="Q333" s="26"/>
      <c r="R333" s="17"/>
      <c r="S333" s="19"/>
      <c r="T333" s="17"/>
      <c r="U333" s="22"/>
    </row>
    <row r="334" spans="1:21" x14ac:dyDescent="0.25">
      <c r="A334" s="24"/>
      <c r="B334" s="24"/>
      <c r="C334" s="17"/>
      <c r="D334" s="24"/>
      <c r="E334" s="24"/>
      <c r="F334" s="25"/>
      <c r="G334" s="1">
        <v>475</v>
      </c>
      <c r="H334" s="2">
        <v>90</v>
      </c>
      <c r="I334" s="2">
        <v>-22.7</v>
      </c>
      <c r="J334" s="2">
        <v>-26.1</v>
      </c>
      <c r="K334" s="2">
        <f t="shared" si="43"/>
        <v>-22.7</v>
      </c>
      <c r="L334" s="8">
        <f>10^((K334-H334)/10)</f>
        <v>5.3703179637025143E-12</v>
      </c>
      <c r="M334" s="26"/>
      <c r="N334" s="17"/>
      <c r="O334" s="9">
        <f t="shared" si="45"/>
        <v>-26.1</v>
      </c>
      <c r="P334" s="8">
        <f>D332/B332*10^(O334/10)</f>
        <v>4.827594200847219E-2</v>
      </c>
      <c r="Q334" s="26"/>
      <c r="R334" s="17"/>
      <c r="S334" s="19"/>
      <c r="T334" s="17"/>
      <c r="U334" s="22"/>
    </row>
    <row r="335" spans="1:21" x14ac:dyDescent="0.25">
      <c r="A335" s="24"/>
      <c r="B335" s="24"/>
      <c r="C335" s="17"/>
      <c r="D335" s="24"/>
      <c r="E335" s="24"/>
      <c r="F335" s="25"/>
      <c r="G335" s="1">
        <v>575</v>
      </c>
      <c r="H335" s="2">
        <v>97</v>
      </c>
      <c r="I335" s="2">
        <v>-24.1</v>
      </c>
      <c r="J335" s="2">
        <v>-24.6</v>
      </c>
      <c r="K335" s="2">
        <f t="shared" si="43"/>
        <v>-24.1</v>
      </c>
      <c r="L335" s="8">
        <f t="shared" ref="L335:L361" si="47">10^((K335-H335)/10)</f>
        <v>7.7624711662869047E-13</v>
      </c>
      <c r="M335" s="26"/>
      <c r="N335" s="17"/>
      <c r="O335" s="9">
        <f t="shared" si="45"/>
        <v>-24.6</v>
      </c>
      <c r="P335" s="8">
        <f>D332/B332*10^(O335/10)</f>
        <v>6.8191580588997866E-2</v>
      </c>
      <c r="Q335" s="26"/>
      <c r="R335" s="17"/>
      <c r="S335" s="19"/>
      <c r="T335" s="17"/>
      <c r="U335" s="22"/>
    </row>
    <row r="336" spans="1:21" x14ac:dyDescent="0.25">
      <c r="A336" s="24"/>
      <c r="B336" s="24"/>
      <c r="C336" s="17"/>
      <c r="D336" s="24"/>
      <c r="E336" s="24"/>
      <c r="F336" s="25"/>
      <c r="G336" s="1">
        <v>625</v>
      </c>
      <c r="H336" s="2">
        <v>92</v>
      </c>
      <c r="I336" s="2">
        <v>-18.8</v>
      </c>
      <c r="J336" s="2">
        <v>-26.2</v>
      </c>
      <c r="K336" s="2">
        <f t="shared" si="43"/>
        <v>-18.8</v>
      </c>
      <c r="L336" s="8">
        <f t="shared" si="47"/>
        <v>8.3176377110266746E-12</v>
      </c>
      <c r="M336" s="26"/>
      <c r="N336" s="17"/>
      <c r="O336" s="9">
        <f t="shared" si="45"/>
        <v>-26.2</v>
      </c>
      <c r="P336" s="8">
        <f>D332/B332*10^(O336/10)</f>
        <v>4.717704740738328E-2</v>
      </c>
      <c r="Q336" s="26"/>
      <c r="R336" s="17"/>
      <c r="S336" s="19"/>
      <c r="T336" s="17"/>
      <c r="U336" s="22"/>
    </row>
    <row r="337" spans="1:21" x14ac:dyDescent="0.25">
      <c r="A337" s="24"/>
      <c r="B337" s="24"/>
      <c r="C337" s="17"/>
      <c r="D337" s="24"/>
      <c r="E337" s="24"/>
      <c r="F337" s="25"/>
      <c r="G337" s="1">
        <v>675</v>
      </c>
      <c r="H337" s="2">
        <v>94.5</v>
      </c>
      <c r="I337" s="2">
        <v>-22.9</v>
      </c>
      <c r="J337" s="2">
        <v>-23.4</v>
      </c>
      <c r="K337" s="2">
        <f t="shared" si="43"/>
        <v>-22.9</v>
      </c>
      <c r="L337" s="8">
        <f t="shared" si="47"/>
        <v>1.8197008586099809E-12</v>
      </c>
      <c r="M337" s="26"/>
      <c r="N337" s="17"/>
      <c r="O337" s="9">
        <f t="shared" si="45"/>
        <v>-23.4</v>
      </c>
      <c r="P337" s="8">
        <f>D332/B332*10^(O337/10)</f>
        <v>8.9894010624258766E-2</v>
      </c>
      <c r="Q337" s="26"/>
      <c r="R337" s="17"/>
      <c r="S337" s="20"/>
      <c r="T337" s="17"/>
      <c r="U337" s="23"/>
    </row>
    <row r="338" spans="1:21" x14ac:dyDescent="0.25">
      <c r="A338" s="24">
        <v>1000</v>
      </c>
      <c r="B338" s="24">
        <v>3</v>
      </c>
      <c r="C338" s="17">
        <v>0.5</v>
      </c>
      <c r="D338" s="24">
        <v>117</v>
      </c>
      <c r="E338" s="24">
        <v>6</v>
      </c>
      <c r="F338" s="25">
        <v>76</v>
      </c>
      <c r="G338" s="1">
        <v>875</v>
      </c>
      <c r="H338" s="2">
        <v>91.1</v>
      </c>
      <c r="I338" s="2">
        <v>-22.7</v>
      </c>
      <c r="J338" s="2">
        <v>-27.8</v>
      </c>
      <c r="K338" s="2">
        <f t="shared" si="43"/>
        <v>-22.7</v>
      </c>
      <c r="L338" s="8">
        <f t="shared" si="47"/>
        <v>4.1686938347033479E-12</v>
      </c>
      <c r="M338" s="26">
        <f>SUM(L338:L343)</f>
        <v>8.7407620769427613E-12</v>
      </c>
      <c r="N338" s="17">
        <f>10*LOG10(M338/E338)</f>
        <v>-118.36601951458312</v>
      </c>
      <c r="O338" s="9">
        <f t="shared" si="45"/>
        <v>-27.8</v>
      </c>
      <c r="P338" s="8">
        <f>D338/B338*10^(O338/10)</f>
        <v>6.4723889390064807E-2</v>
      </c>
      <c r="Q338" s="26">
        <f>SUM(P338:P343)</f>
        <v>0.47691497049874065</v>
      </c>
      <c r="R338" s="17">
        <f>10*LOG10(Q338)</f>
        <v>-3.2155904472287493</v>
      </c>
      <c r="S338" s="18">
        <f>F338+N338-Kzt-H</f>
        <v>-42.366019514583115</v>
      </c>
      <c r="T338" s="17">
        <v>0.8</v>
      </c>
      <c r="U338" s="21">
        <f>T338*10^((S338-R338)/10)</f>
        <v>9.7285268141725554E-5</v>
      </c>
    </row>
    <row r="339" spans="1:21" x14ac:dyDescent="0.25">
      <c r="A339" s="24"/>
      <c r="B339" s="24"/>
      <c r="C339" s="17"/>
      <c r="D339" s="24"/>
      <c r="E339" s="24"/>
      <c r="F339" s="25"/>
      <c r="G339" s="1">
        <v>975</v>
      </c>
      <c r="H339" s="2">
        <v>96.5</v>
      </c>
      <c r="I339" s="2">
        <v>-23.3</v>
      </c>
      <c r="J339" s="2">
        <v>-25.9</v>
      </c>
      <c r="K339" s="2">
        <f t="shared" si="43"/>
        <v>-23.3</v>
      </c>
      <c r="L339" s="8">
        <f t="shared" si="47"/>
        <v>1.0471285480508967E-12</v>
      </c>
      <c r="M339" s="26"/>
      <c r="N339" s="17"/>
      <c r="O339" s="9">
        <f t="shared" si="45"/>
        <v>-25.9</v>
      </c>
      <c r="P339" s="8">
        <f>D338/B338*10^(O339/10)</f>
        <v>0.10024543552798568</v>
      </c>
      <c r="Q339" s="26"/>
      <c r="R339" s="17"/>
      <c r="S339" s="19"/>
      <c r="T339" s="17"/>
      <c r="U339" s="22"/>
    </row>
    <row r="340" spans="1:21" x14ac:dyDescent="0.25">
      <c r="A340" s="24"/>
      <c r="B340" s="24"/>
      <c r="C340" s="17"/>
      <c r="D340" s="24"/>
      <c r="E340" s="24"/>
      <c r="F340" s="25"/>
      <c r="G340" s="1">
        <v>1075</v>
      </c>
      <c r="H340" s="2">
        <v>94.6</v>
      </c>
      <c r="I340" s="2">
        <v>-23.900000000000002</v>
      </c>
      <c r="J340" s="2">
        <v>-24.6</v>
      </c>
      <c r="K340" s="2">
        <f t="shared" si="43"/>
        <v>-23.900000000000002</v>
      </c>
      <c r="L340" s="8">
        <f t="shared" si="47"/>
        <v>1.4125375446227535E-12</v>
      </c>
      <c r="M340" s="26"/>
      <c r="N340" s="17"/>
      <c r="O340" s="9">
        <f t="shared" si="45"/>
        <v>-24.6</v>
      </c>
      <c r="P340" s="8">
        <f>D338/B338*10^(O340/10)</f>
        <v>0.1352273716764873</v>
      </c>
      <c r="Q340" s="26"/>
      <c r="R340" s="17"/>
      <c r="S340" s="19"/>
      <c r="T340" s="17"/>
      <c r="U340" s="22"/>
    </row>
    <row r="341" spans="1:21" x14ac:dyDescent="0.25">
      <c r="A341" s="24"/>
      <c r="B341" s="24"/>
      <c r="C341" s="17"/>
      <c r="D341" s="24"/>
      <c r="E341" s="24"/>
      <c r="F341" s="25"/>
      <c r="G341" s="1">
        <v>1175</v>
      </c>
      <c r="H341" s="2">
        <v>97.8</v>
      </c>
      <c r="I341" s="2">
        <v>-21.9</v>
      </c>
      <c r="J341" s="2">
        <v>-29.2</v>
      </c>
      <c r="K341" s="2">
        <f t="shared" si="43"/>
        <v>-21.9</v>
      </c>
      <c r="L341" s="8">
        <f t="shared" si="47"/>
        <v>1.0715193052376071E-12</v>
      </c>
      <c r="M341" s="26"/>
      <c r="N341" s="17"/>
      <c r="O341" s="9">
        <f t="shared" si="45"/>
        <v>-29.2</v>
      </c>
      <c r="P341" s="8">
        <f>D338/B338*10^(O341/10)</f>
        <v>4.6888312950079079E-2</v>
      </c>
      <c r="Q341" s="26"/>
      <c r="R341" s="17"/>
      <c r="S341" s="19"/>
      <c r="T341" s="17"/>
      <c r="U341" s="22"/>
    </row>
    <row r="342" spans="1:21" x14ac:dyDescent="0.25">
      <c r="A342" s="24"/>
      <c r="B342" s="24"/>
      <c r="C342" s="17"/>
      <c r="D342" s="24"/>
      <c r="E342" s="24"/>
      <c r="F342" s="25"/>
      <c r="G342" s="1">
        <v>1275</v>
      </c>
      <c r="H342" s="2">
        <v>100.1</v>
      </c>
      <c r="I342" s="2">
        <v>-21.7</v>
      </c>
      <c r="J342" s="2">
        <v>-31.2</v>
      </c>
      <c r="K342" s="2">
        <f t="shared" si="43"/>
        <v>-21.7</v>
      </c>
      <c r="L342" s="8">
        <f t="shared" si="47"/>
        <v>6.606934480075954E-13</v>
      </c>
      <c r="M342" s="26"/>
      <c r="N342" s="17"/>
      <c r="O342" s="9">
        <f t="shared" si="45"/>
        <v>-31.2</v>
      </c>
      <c r="P342" s="8">
        <f>D338/B338*10^(O342/10)</f>
        <v>2.9584525426138129E-2</v>
      </c>
      <c r="Q342" s="26"/>
      <c r="R342" s="17"/>
      <c r="S342" s="19"/>
      <c r="T342" s="17"/>
      <c r="U342" s="22"/>
    </row>
    <row r="343" spans="1:21" x14ac:dyDescent="0.25">
      <c r="A343" s="24"/>
      <c r="B343" s="24"/>
      <c r="C343" s="17"/>
      <c r="D343" s="24"/>
      <c r="E343" s="24"/>
      <c r="F343" s="25"/>
      <c r="G343" s="1">
        <v>1375</v>
      </c>
      <c r="H343" s="2">
        <v>103</v>
      </c>
      <c r="I343" s="2">
        <v>-21.2</v>
      </c>
      <c r="J343" s="2">
        <v>-25.9</v>
      </c>
      <c r="K343" s="2">
        <f t="shared" si="43"/>
        <v>-21.2</v>
      </c>
      <c r="L343" s="8">
        <f t="shared" si="47"/>
        <v>3.8018939632056036E-13</v>
      </c>
      <c r="M343" s="26"/>
      <c r="N343" s="17"/>
      <c r="O343" s="9">
        <f t="shared" si="45"/>
        <v>-25.9</v>
      </c>
      <c r="P343" s="8">
        <f>D338/B338*10^(O343/10)</f>
        <v>0.10024543552798568</v>
      </c>
      <c r="Q343" s="26"/>
      <c r="R343" s="17"/>
      <c r="S343" s="20"/>
      <c r="T343" s="17"/>
      <c r="U343" s="23"/>
    </row>
    <row r="344" spans="1:21" x14ac:dyDescent="0.25">
      <c r="A344" s="24">
        <v>2000</v>
      </c>
      <c r="B344" s="24">
        <v>3</v>
      </c>
      <c r="C344" s="17">
        <v>0.5</v>
      </c>
      <c r="D344" s="24">
        <v>234</v>
      </c>
      <c r="E344" s="24">
        <v>6</v>
      </c>
      <c r="F344" s="25">
        <v>68</v>
      </c>
      <c r="G344" s="1">
        <v>1425</v>
      </c>
      <c r="H344" s="2">
        <v>102.8</v>
      </c>
      <c r="I344" s="2">
        <v>-24.8</v>
      </c>
      <c r="J344" s="2">
        <v>-27.4</v>
      </c>
      <c r="K344" s="2">
        <f t="shared" si="43"/>
        <v>-24.8</v>
      </c>
      <c r="L344" s="8">
        <f t="shared" si="47"/>
        <v>1.7378008287493713E-13</v>
      </c>
      <c r="M344" s="26">
        <f>SUM(L344:L349)</f>
        <v>5.7532470810189319E-12</v>
      </c>
      <c r="N344" s="17">
        <f>10*LOG10(M344/E344)</f>
        <v>-120.18238224590567</v>
      </c>
      <c r="O344" s="9">
        <f t="shared" si="45"/>
        <v>-27.4</v>
      </c>
      <c r="P344" s="8">
        <f>D344/B344*10^(O344/10)</f>
        <v>0.14193666697157864</v>
      </c>
      <c r="Q344" s="26">
        <f>SUM(P344:P349)</f>
        <v>0.70640296242414313</v>
      </c>
      <c r="R344" s="17">
        <f>10*LOG10(Q344)</f>
        <v>-1.5094748813694212</v>
      </c>
      <c r="S344" s="18">
        <f>F344+N344-Kzt-H</f>
        <v>-52.182382245905671</v>
      </c>
      <c r="T344" s="17">
        <v>1</v>
      </c>
      <c r="U344" s="21">
        <f>T344*10^((S344-R344)/10)</f>
        <v>8.5646429716757606E-6</v>
      </c>
    </row>
    <row r="345" spans="1:21" x14ac:dyDescent="0.25">
      <c r="A345" s="24"/>
      <c r="B345" s="24"/>
      <c r="C345" s="17"/>
      <c r="D345" s="24"/>
      <c r="E345" s="24"/>
      <c r="F345" s="25"/>
      <c r="G345" s="1">
        <v>1625</v>
      </c>
      <c r="H345" s="2">
        <v>104.1</v>
      </c>
      <c r="I345" s="2">
        <v>-27.7</v>
      </c>
      <c r="J345" s="2">
        <v>-28</v>
      </c>
      <c r="K345" s="2">
        <f t="shared" si="43"/>
        <v>-27.7</v>
      </c>
      <c r="L345" s="8">
        <f t="shared" si="47"/>
        <v>6.6069344800759699E-14</v>
      </c>
      <c r="M345" s="26"/>
      <c r="N345" s="17"/>
      <c r="O345" s="9">
        <f t="shared" si="45"/>
        <v>-28</v>
      </c>
      <c r="P345" s="8">
        <f>D344/B344*10^(O345/10)</f>
        <v>0.12362166901196685</v>
      </c>
      <c r="Q345" s="26"/>
      <c r="R345" s="17"/>
      <c r="S345" s="19"/>
      <c r="T345" s="17"/>
      <c r="U345" s="22"/>
    </row>
    <row r="346" spans="1:21" x14ac:dyDescent="0.25">
      <c r="A346" s="24"/>
      <c r="B346" s="24"/>
      <c r="C346" s="17"/>
      <c r="D346" s="24"/>
      <c r="E346" s="24"/>
      <c r="F346" s="25"/>
      <c r="G346" s="1">
        <v>1825</v>
      </c>
      <c r="H346" s="2">
        <v>107.6</v>
      </c>
      <c r="I346" s="2">
        <v>-20.6</v>
      </c>
      <c r="J346" s="2">
        <v>-28.8</v>
      </c>
      <c r="K346" s="2">
        <f t="shared" si="43"/>
        <v>-20.6</v>
      </c>
      <c r="L346" s="8">
        <f t="shared" si="47"/>
        <v>1.5135612484362107E-13</v>
      </c>
      <c r="M346" s="26"/>
      <c r="N346" s="17"/>
      <c r="O346" s="9">
        <f t="shared" si="45"/>
        <v>-28.8</v>
      </c>
      <c r="P346" s="8">
        <f>D344/B344*10^(O346/10)</f>
        <v>0.10282402560739975</v>
      </c>
      <c r="Q346" s="26"/>
      <c r="R346" s="17"/>
      <c r="S346" s="19"/>
      <c r="T346" s="17"/>
      <c r="U346" s="22"/>
    </row>
    <row r="347" spans="1:21" x14ac:dyDescent="0.25">
      <c r="A347" s="24"/>
      <c r="B347" s="24"/>
      <c r="C347" s="17"/>
      <c r="D347" s="24"/>
      <c r="E347" s="24"/>
      <c r="F347" s="25"/>
      <c r="G347" s="1">
        <v>2125</v>
      </c>
      <c r="H347" s="2">
        <v>104.2</v>
      </c>
      <c r="I347" s="2">
        <v>-24.3</v>
      </c>
      <c r="J347" s="2">
        <v>-26.8</v>
      </c>
      <c r="K347" s="2">
        <f t="shared" si="43"/>
        <v>-24.3</v>
      </c>
      <c r="L347" s="8">
        <f t="shared" si="47"/>
        <v>1.4125375446227519E-13</v>
      </c>
      <c r="M347" s="26"/>
      <c r="N347" s="17"/>
      <c r="O347" s="9">
        <f t="shared" si="45"/>
        <v>-26.8</v>
      </c>
      <c r="P347" s="8">
        <f>D344/B344*10^(O347/10)</f>
        <v>0.16296509820661489</v>
      </c>
      <c r="Q347" s="26"/>
      <c r="R347" s="17"/>
      <c r="S347" s="19"/>
      <c r="T347" s="17"/>
      <c r="U347" s="22"/>
    </row>
    <row r="348" spans="1:21" x14ac:dyDescent="0.25">
      <c r="A348" s="24"/>
      <c r="B348" s="24"/>
      <c r="C348" s="17"/>
      <c r="D348" s="24"/>
      <c r="E348" s="24"/>
      <c r="F348" s="25"/>
      <c r="G348" s="1">
        <v>2425</v>
      </c>
      <c r="H348" s="2">
        <v>93.7</v>
      </c>
      <c r="I348" s="2">
        <v>-20</v>
      </c>
      <c r="J348" s="2">
        <v>-30.8</v>
      </c>
      <c r="K348" s="2">
        <f t="shared" si="43"/>
        <v>-20</v>
      </c>
      <c r="L348" s="8">
        <f t="shared" si="47"/>
        <v>4.2657951880159045E-12</v>
      </c>
      <c r="M348" s="26"/>
      <c r="N348" s="17"/>
      <c r="O348" s="9">
        <f t="shared" si="45"/>
        <v>-30.8</v>
      </c>
      <c r="P348" s="8">
        <f>D344/B344*10^(O348/10)</f>
        <v>6.4877574146008282E-2</v>
      </c>
      <c r="Q348" s="26"/>
      <c r="R348" s="17"/>
      <c r="S348" s="19"/>
      <c r="T348" s="17"/>
      <c r="U348" s="22"/>
    </row>
    <row r="349" spans="1:21" x14ac:dyDescent="0.25">
      <c r="A349" s="24"/>
      <c r="B349" s="24"/>
      <c r="C349" s="17"/>
      <c r="D349" s="24"/>
      <c r="E349" s="24"/>
      <c r="F349" s="25"/>
      <c r="G349" s="1">
        <v>2775</v>
      </c>
      <c r="H349" s="2">
        <v>100.2</v>
      </c>
      <c r="I349" s="2">
        <v>-20</v>
      </c>
      <c r="J349" s="2">
        <v>-28.5</v>
      </c>
      <c r="K349" s="2">
        <f t="shared" si="43"/>
        <v>-20</v>
      </c>
      <c r="L349" s="8">
        <f t="shared" si="47"/>
        <v>9.5499258602143367E-13</v>
      </c>
      <c r="M349" s="26"/>
      <c r="N349" s="17"/>
      <c r="O349" s="9">
        <f t="shared" si="45"/>
        <v>-28.5</v>
      </c>
      <c r="P349" s="8">
        <f>D344/B344*10^(O349/10)</f>
        <v>0.11017792848057471</v>
      </c>
      <c r="Q349" s="26"/>
      <c r="R349" s="17"/>
      <c r="S349" s="20"/>
      <c r="T349" s="17"/>
      <c r="U349" s="23"/>
    </row>
    <row r="350" spans="1:21" x14ac:dyDescent="0.25">
      <c r="A350" s="24">
        <v>4000</v>
      </c>
      <c r="B350" s="24">
        <v>3</v>
      </c>
      <c r="C350" s="17">
        <v>0.5</v>
      </c>
      <c r="D350" s="24">
        <v>470</v>
      </c>
      <c r="E350" s="24">
        <v>6</v>
      </c>
      <c r="F350" s="25">
        <v>62</v>
      </c>
      <c r="G350" s="1">
        <v>2825</v>
      </c>
      <c r="H350" s="2">
        <v>99.4</v>
      </c>
      <c r="I350" s="2">
        <v>-23.7</v>
      </c>
      <c r="J350" s="2">
        <v>-24.8</v>
      </c>
      <c r="K350" s="2">
        <f t="shared" si="43"/>
        <v>-23.7</v>
      </c>
      <c r="L350" s="8">
        <f t="shared" si="47"/>
        <v>4.8977881936844462E-13</v>
      </c>
      <c r="M350" s="26">
        <f>SUM(L350:L355)</f>
        <v>1.839071885636684E-12</v>
      </c>
      <c r="N350" s="17">
        <f>10*LOG10(M350/E350)</f>
        <v>-125.13552545112299</v>
      </c>
      <c r="O350" s="9">
        <f t="shared" si="45"/>
        <v>-24.8</v>
      </c>
      <c r="P350" s="8">
        <f>D350/B350*10^(O350/10)</f>
        <v>0.51877209032272598</v>
      </c>
      <c r="Q350" s="26">
        <f>SUM(P350:P355)</f>
        <v>1.7226360679490726</v>
      </c>
      <c r="R350" s="17">
        <f>10*LOG10(Q350)</f>
        <v>2.3619353608070104</v>
      </c>
      <c r="S350" s="18">
        <f>F350+N350-Kzt-H</f>
        <v>-63.135525451122987</v>
      </c>
      <c r="T350" s="17">
        <v>0.9</v>
      </c>
      <c r="U350" s="21">
        <f>T350*10^((S350-R350)/10)</f>
        <v>2.5380281124576819E-7</v>
      </c>
    </row>
    <row r="351" spans="1:21" x14ac:dyDescent="0.25">
      <c r="A351" s="24"/>
      <c r="B351" s="24"/>
      <c r="C351" s="17"/>
      <c r="D351" s="24"/>
      <c r="E351" s="24"/>
      <c r="F351" s="25"/>
      <c r="G351" s="1">
        <v>3425</v>
      </c>
      <c r="H351" s="2">
        <v>103.5</v>
      </c>
      <c r="I351" s="2">
        <v>-24.9</v>
      </c>
      <c r="J351" s="2">
        <v>-29</v>
      </c>
      <c r="K351" s="2">
        <f t="shared" si="43"/>
        <v>-24.9</v>
      </c>
      <c r="L351" s="8">
        <f t="shared" si="47"/>
        <v>1.4454397707459251E-13</v>
      </c>
      <c r="M351" s="26"/>
      <c r="N351" s="17"/>
      <c r="O351" s="9">
        <f t="shared" si="45"/>
        <v>-29</v>
      </c>
      <c r="P351" s="8">
        <f>D350/B350*10^(O351/10)</f>
        <v>0.19723164784775268</v>
      </c>
      <c r="Q351" s="26"/>
      <c r="R351" s="17"/>
      <c r="S351" s="19"/>
      <c r="T351" s="17"/>
      <c r="U351" s="22"/>
    </row>
    <row r="352" spans="1:21" x14ac:dyDescent="0.25">
      <c r="A352" s="24"/>
      <c r="B352" s="24"/>
      <c r="C352" s="17"/>
      <c r="D352" s="24"/>
      <c r="E352" s="24"/>
      <c r="F352" s="25"/>
      <c r="G352" s="1">
        <v>4025</v>
      </c>
      <c r="H352" s="2">
        <v>103.6</v>
      </c>
      <c r="I352" s="2">
        <v>-23.9</v>
      </c>
      <c r="J352" s="2">
        <v>-27.8</v>
      </c>
      <c r="K352" s="2">
        <f t="shared" si="43"/>
        <v>-23.9</v>
      </c>
      <c r="L352" s="8">
        <f t="shared" si="47"/>
        <v>1.7782794100389184E-13</v>
      </c>
      <c r="M352" s="26"/>
      <c r="N352" s="17"/>
      <c r="O352" s="9">
        <f t="shared" si="45"/>
        <v>-27.8</v>
      </c>
      <c r="P352" s="8">
        <f>D350/B350*10^(O352/10)</f>
        <v>0.26000194883188427</v>
      </c>
      <c r="Q352" s="26"/>
      <c r="R352" s="17"/>
      <c r="S352" s="19"/>
      <c r="T352" s="17"/>
      <c r="U352" s="22"/>
    </row>
    <row r="353" spans="1:21" x14ac:dyDescent="0.25">
      <c r="A353" s="24"/>
      <c r="B353" s="24"/>
      <c r="C353" s="17"/>
      <c r="D353" s="24"/>
      <c r="E353" s="24"/>
      <c r="F353" s="25"/>
      <c r="G353" s="1">
        <v>4625</v>
      </c>
      <c r="H353" s="2">
        <v>105.6</v>
      </c>
      <c r="I353" s="2">
        <v>-19</v>
      </c>
      <c r="J353" s="2">
        <v>-28.1</v>
      </c>
      <c r="K353" s="2">
        <f t="shared" si="43"/>
        <v>-19</v>
      </c>
      <c r="L353" s="8">
        <f t="shared" si="47"/>
        <v>3.4673685045253105E-13</v>
      </c>
      <c r="M353" s="26"/>
      <c r="N353" s="17"/>
      <c r="O353" s="9">
        <f t="shared" si="45"/>
        <v>-28.1</v>
      </c>
      <c r="P353" s="8">
        <f>D350/B350*10^(O353/10)</f>
        <v>0.24264793696295522</v>
      </c>
      <c r="Q353" s="26"/>
      <c r="R353" s="17"/>
      <c r="S353" s="19"/>
      <c r="T353" s="17"/>
      <c r="U353" s="22"/>
    </row>
    <row r="354" spans="1:21" x14ac:dyDescent="0.25">
      <c r="A354" s="24"/>
      <c r="B354" s="24"/>
      <c r="C354" s="17"/>
      <c r="D354" s="24"/>
      <c r="E354" s="24"/>
      <c r="F354" s="25"/>
      <c r="G354" s="1">
        <v>5225</v>
      </c>
      <c r="H354" s="2">
        <v>103.5</v>
      </c>
      <c r="I354" s="2">
        <v>-27.6</v>
      </c>
      <c r="J354" s="2">
        <v>-27.6</v>
      </c>
      <c r="K354" s="2">
        <f t="shared" si="43"/>
        <v>-27.6</v>
      </c>
      <c r="L354" s="8">
        <f t="shared" si="47"/>
        <v>7.7624711662868969E-14</v>
      </c>
      <c r="M354" s="26"/>
      <c r="N354" s="17"/>
      <c r="O354" s="9">
        <f t="shared" si="45"/>
        <v>-27.6</v>
      </c>
      <c r="P354" s="8">
        <f>D350/B350*10^(O354/10)</f>
        <v>0.27225546317073518</v>
      </c>
      <c r="Q354" s="26"/>
      <c r="R354" s="17"/>
      <c r="S354" s="19"/>
      <c r="T354" s="17"/>
      <c r="U354" s="22"/>
    </row>
    <row r="355" spans="1:21" x14ac:dyDescent="0.25">
      <c r="A355" s="24"/>
      <c r="B355" s="24"/>
      <c r="C355" s="17"/>
      <c r="D355" s="24"/>
      <c r="E355" s="24"/>
      <c r="F355" s="25"/>
      <c r="G355" s="1">
        <v>5625</v>
      </c>
      <c r="H355" s="2">
        <v>99.5</v>
      </c>
      <c r="I355" s="2">
        <v>-22.7</v>
      </c>
      <c r="J355" s="2">
        <v>-28.3</v>
      </c>
      <c r="K355" s="2">
        <f t="shared" si="43"/>
        <v>-22.7</v>
      </c>
      <c r="L355" s="8">
        <f t="shared" si="47"/>
        <v>6.025595860743553E-13</v>
      </c>
      <c r="M355" s="26"/>
      <c r="N355" s="17"/>
      <c r="O355" s="9">
        <f t="shared" si="45"/>
        <v>-28.3</v>
      </c>
      <c r="P355" s="8">
        <f>D350/B350*10^(O355/10)</f>
        <v>0.23172698081301901</v>
      </c>
      <c r="Q355" s="26"/>
      <c r="R355" s="17"/>
      <c r="S355" s="20"/>
      <c r="T355" s="17"/>
      <c r="U355" s="23"/>
    </row>
    <row r="356" spans="1:21" x14ac:dyDescent="0.25">
      <c r="A356" s="24">
        <v>8000</v>
      </c>
      <c r="B356" s="24">
        <v>3</v>
      </c>
      <c r="C356" s="17">
        <v>0.5</v>
      </c>
      <c r="D356" s="24">
        <v>943</v>
      </c>
      <c r="E356" s="24">
        <v>6</v>
      </c>
      <c r="F356" s="25">
        <v>54</v>
      </c>
      <c r="G356" s="1">
        <v>6025</v>
      </c>
      <c r="H356" s="2">
        <v>95</v>
      </c>
      <c r="I356" s="2">
        <v>-25.7</v>
      </c>
      <c r="J356" s="2">
        <v>-29.9</v>
      </c>
      <c r="K356" s="2">
        <f t="shared" si="43"/>
        <v>-25.7</v>
      </c>
      <c r="L356" s="8">
        <f t="shared" si="47"/>
        <v>8.5113803820237492E-13</v>
      </c>
      <c r="M356" s="26">
        <f>SUM(L356:L361)</f>
        <v>2.9053630134961697E-11</v>
      </c>
      <c r="N356" s="17">
        <f>10*LOG10(M356/E356)</f>
        <v>-113.14950846907323</v>
      </c>
      <c r="O356" s="9">
        <f t="shared" si="45"/>
        <v>-29.9</v>
      </c>
      <c r="P356" s="8">
        <f>D356/B356*10^(O356/10)</f>
        <v>0.32165509724025038</v>
      </c>
      <c r="Q356" s="26">
        <f>SUM(P356:P361)</f>
        <v>2.3517697601871492</v>
      </c>
      <c r="R356" s="17">
        <f>10*LOG10(Q356)</f>
        <v>3.7139480176859436</v>
      </c>
      <c r="S356" s="18">
        <f>F356+N356-Kzt-H</f>
        <v>-59.149508469073226</v>
      </c>
      <c r="T356" s="17">
        <v>0.7</v>
      </c>
      <c r="U356" s="21">
        <f>T356*10^((S356-R356)/10)</f>
        <v>3.6203652805288729E-7</v>
      </c>
    </row>
    <row r="357" spans="1:21" x14ac:dyDescent="0.25">
      <c r="A357" s="24"/>
      <c r="B357" s="24"/>
      <c r="C357" s="17"/>
      <c r="D357" s="24"/>
      <c r="E357" s="24"/>
      <c r="F357" s="25"/>
      <c r="G357" s="1">
        <v>7025</v>
      </c>
      <c r="H357" s="2">
        <v>94.8</v>
      </c>
      <c r="I357" s="2">
        <v>-18.2</v>
      </c>
      <c r="J357" s="2">
        <v>-29.9</v>
      </c>
      <c r="K357" s="2">
        <f t="shared" si="43"/>
        <v>-18.2</v>
      </c>
      <c r="L357" s="8">
        <f t="shared" si="47"/>
        <v>5.0118723362726945E-12</v>
      </c>
      <c r="M357" s="26"/>
      <c r="N357" s="17"/>
      <c r="O357" s="9">
        <f t="shared" si="45"/>
        <v>-29.9</v>
      </c>
      <c r="P357" s="8">
        <f>D356/B356*10^(O357/10)</f>
        <v>0.32165509724025038</v>
      </c>
      <c r="Q357" s="26"/>
      <c r="R357" s="17"/>
      <c r="S357" s="19"/>
      <c r="T357" s="17"/>
      <c r="U357" s="22"/>
    </row>
    <row r="358" spans="1:21" x14ac:dyDescent="0.25">
      <c r="A358" s="24"/>
      <c r="B358" s="24"/>
      <c r="C358" s="17"/>
      <c r="D358" s="24"/>
      <c r="E358" s="24"/>
      <c r="F358" s="25"/>
      <c r="G358" s="1">
        <v>8025</v>
      </c>
      <c r="H358" s="2">
        <v>101.9</v>
      </c>
      <c r="I358" s="2">
        <v>-23.9</v>
      </c>
      <c r="J358" s="2">
        <v>-30.8</v>
      </c>
      <c r="K358" s="2">
        <f t="shared" si="43"/>
        <v>-23.9</v>
      </c>
      <c r="L358" s="8">
        <f t="shared" si="47"/>
        <v>2.6302679918953618E-13</v>
      </c>
      <c r="M358" s="26"/>
      <c r="N358" s="17"/>
      <c r="O358" s="9">
        <f t="shared" si="45"/>
        <v>-30.8</v>
      </c>
      <c r="P358" s="8">
        <f>D356/B356*10^(O358/10)</f>
        <v>0.261451078716606</v>
      </c>
      <c r="Q358" s="26"/>
      <c r="R358" s="17"/>
      <c r="S358" s="19"/>
      <c r="T358" s="17"/>
      <c r="U358" s="22"/>
    </row>
    <row r="359" spans="1:21" x14ac:dyDescent="0.25">
      <c r="A359" s="24"/>
      <c r="B359" s="24"/>
      <c r="C359" s="17"/>
      <c r="D359" s="24"/>
      <c r="E359" s="24"/>
      <c r="F359" s="25"/>
      <c r="G359" s="1">
        <v>9025</v>
      </c>
      <c r="H359" s="2">
        <v>93.2</v>
      </c>
      <c r="I359" s="2">
        <v>-22.6</v>
      </c>
      <c r="J359" s="2">
        <v>-28.2</v>
      </c>
      <c r="K359" s="2">
        <f t="shared" si="43"/>
        <v>-22.6</v>
      </c>
      <c r="L359" s="8">
        <f t="shared" si="47"/>
        <v>2.6302679918953646E-12</v>
      </c>
      <c r="M359" s="26"/>
      <c r="N359" s="17"/>
      <c r="O359" s="9">
        <f t="shared" si="45"/>
        <v>-28.2</v>
      </c>
      <c r="P359" s="8">
        <f>D356/B356*10^(O359/10)</f>
        <v>0.47576275242511445</v>
      </c>
      <c r="Q359" s="26"/>
      <c r="R359" s="17"/>
      <c r="S359" s="19"/>
      <c r="T359" s="17"/>
      <c r="U359" s="22"/>
    </row>
    <row r="360" spans="1:21" x14ac:dyDescent="0.25">
      <c r="A360" s="24"/>
      <c r="B360" s="24"/>
      <c r="C360" s="17"/>
      <c r="D360" s="24"/>
      <c r="E360" s="24"/>
      <c r="F360" s="25"/>
      <c r="G360" s="1">
        <v>10025</v>
      </c>
      <c r="H360" s="2">
        <v>88.3</v>
      </c>
      <c r="I360" s="2">
        <v>-21.3</v>
      </c>
      <c r="J360" s="2">
        <v>-26.5</v>
      </c>
      <c r="K360" s="2">
        <f t="shared" si="43"/>
        <v>-21.3</v>
      </c>
      <c r="L360" s="8">
        <f t="shared" si="47"/>
        <v>1.096478196143183E-11</v>
      </c>
      <c r="M360" s="26"/>
      <c r="N360" s="17"/>
      <c r="O360" s="9">
        <f t="shared" si="45"/>
        <v>-26.5</v>
      </c>
      <c r="P360" s="8">
        <f>D356/B356*10^(O360/10)</f>
        <v>0.70370467788998103</v>
      </c>
      <c r="Q360" s="26"/>
      <c r="R360" s="17"/>
      <c r="S360" s="19"/>
      <c r="T360" s="17"/>
      <c r="U360" s="22"/>
    </row>
    <row r="361" spans="1:21" x14ac:dyDescent="0.25">
      <c r="A361" s="24"/>
      <c r="B361" s="24"/>
      <c r="C361" s="17"/>
      <c r="D361" s="24"/>
      <c r="E361" s="24"/>
      <c r="F361" s="25"/>
      <c r="G361" s="1">
        <v>11025</v>
      </c>
      <c r="H361" s="2">
        <v>86</v>
      </c>
      <c r="I361" s="2">
        <v>-24.3</v>
      </c>
      <c r="J361" s="2">
        <v>-30.7</v>
      </c>
      <c r="K361" s="2">
        <f t="shared" si="43"/>
        <v>-24.3</v>
      </c>
      <c r="L361" s="8">
        <f t="shared" si="47"/>
        <v>9.3325430079698992E-12</v>
      </c>
      <c r="M361" s="26"/>
      <c r="N361" s="17"/>
      <c r="O361" s="9">
        <f t="shared" si="45"/>
        <v>-30.7</v>
      </c>
      <c r="P361" s="8">
        <f>D356/B356*10^(O361/10)</f>
        <v>0.26754105667494699</v>
      </c>
      <c r="Q361" s="26"/>
      <c r="R361" s="17"/>
      <c r="S361" s="20"/>
      <c r="T361" s="17"/>
      <c r="U361" s="23"/>
    </row>
    <row r="362" spans="1:21" x14ac:dyDescent="0.25">
      <c r="A362" s="24" t="s">
        <v>20</v>
      </c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12">
        <f>U362</f>
        <v>6.3426404931824332E-2</v>
      </c>
      <c r="T362" s="2"/>
      <c r="U362" s="8">
        <f>0.8*SQRT(SUM(U328:U361))</f>
        <v>6.3426404931824332E-2</v>
      </c>
    </row>
    <row r="363" spans="1:21" x14ac:dyDescent="0.25">
      <c r="A363" s="27" t="s">
        <v>102</v>
      </c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9"/>
    </row>
    <row r="364" spans="1:21" x14ac:dyDescent="0.25">
      <c r="A364" s="24">
        <v>250</v>
      </c>
      <c r="B364" s="24">
        <v>3</v>
      </c>
      <c r="C364" s="17">
        <v>0.5</v>
      </c>
      <c r="D364" s="24">
        <v>38</v>
      </c>
      <c r="E364" s="24">
        <v>4</v>
      </c>
      <c r="F364" s="25">
        <v>84</v>
      </c>
      <c r="G364" s="1">
        <v>175</v>
      </c>
      <c r="H364" s="2">
        <v>84.8</v>
      </c>
      <c r="I364" s="2">
        <v>-19.3</v>
      </c>
      <c r="J364" s="2">
        <v>-23</v>
      </c>
      <c r="K364" s="2">
        <f>I364</f>
        <v>-19.3</v>
      </c>
      <c r="L364" s="8">
        <f>10^((K364-H364)/10)</f>
        <v>3.8904514499427922E-11</v>
      </c>
      <c r="M364" s="26">
        <f>SUM(L364:L367)</f>
        <v>6.121860967007884E-11</v>
      </c>
      <c r="N364" s="17">
        <f>10*LOG10(M364/E364)</f>
        <v>-108.15176529174606</v>
      </c>
      <c r="O364" s="9">
        <f>J364</f>
        <v>-23</v>
      </c>
      <c r="P364" s="8">
        <f>D364/B364*10^(O364/10)</f>
        <v>6.3483716259454467E-2</v>
      </c>
      <c r="Q364" s="26">
        <f>SUM(P364:P367)</f>
        <v>0.16267865518146374</v>
      </c>
      <c r="R364" s="17">
        <f>10*LOG10(Q364)</f>
        <v>-7.8866942644253939</v>
      </c>
      <c r="S364" s="18">
        <f>F364+N364-Kzt-H</f>
        <v>-24.151765291746059</v>
      </c>
      <c r="T364" s="17">
        <v>0.2</v>
      </c>
      <c r="U364" s="21">
        <f>T364*10^((S364-R364)/10)</f>
        <v>4.7263175004311807E-3</v>
      </c>
    </row>
    <row r="365" spans="1:21" x14ac:dyDescent="0.25">
      <c r="A365" s="24"/>
      <c r="B365" s="24"/>
      <c r="C365" s="17"/>
      <c r="D365" s="24"/>
      <c r="E365" s="24"/>
      <c r="F365" s="25"/>
      <c r="G365" s="1">
        <v>225</v>
      </c>
      <c r="H365" s="2">
        <v>90</v>
      </c>
      <c r="I365" s="2">
        <v>-22.5</v>
      </c>
      <c r="J365" s="2">
        <v>-23.8</v>
      </c>
      <c r="K365" s="2">
        <f t="shared" ref="K365:K397" si="48">I365</f>
        <v>-22.5</v>
      </c>
      <c r="L365" s="8">
        <f t="shared" ref="L365:L366" si="49">10^((K365-H365)/10)</f>
        <v>5.6234132519034759E-12</v>
      </c>
      <c r="M365" s="26"/>
      <c r="N365" s="17"/>
      <c r="O365" s="9">
        <f t="shared" ref="O365:O397" si="50">J365</f>
        <v>-23.8</v>
      </c>
      <c r="P365" s="8">
        <f>D364/B364*10^(O365/10)</f>
        <v>5.2803455239575796E-2</v>
      </c>
      <c r="Q365" s="26"/>
      <c r="R365" s="17"/>
      <c r="S365" s="19"/>
      <c r="T365" s="17"/>
      <c r="U365" s="22"/>
    </row>
    <row r="366" spans="1:21" x14ac:dyDescent="0.25">
      <c r="A366" s="24"/>
      <c r="B366" s="24"/>
      <c r="C366" s="17"/>
      <c r="D366" s="24"/>
      <c r="E366" s="24"/>
      <c r="F366" s="25"/>
      <c r="G366" s="1">
        <v>275</v>
      </c>
      <c r="H366" s="2">
        <v>92.2</v>
      </c>
      <c r="I366" s="2">
        <v>-17.899999999999999</v>
      </c>
      <c r="J366" s="2">
        <v>-26.3</v>
      </c>
      <c r="K366" s="2">
        <f t="shared" si="48"/>
        <v>-17.899999999999999</v>
      </c>
      <c r="L366" s="8">
        <f t="shared" si="49"/>
        <v>9.7723722095580929E-12</v>
      </c>
      <c r="M366" s="26"/>
      <c r="N366" s="17"/>
      <c r="O366" s="9">
        <f t="shared" si="50"/>
        <v>-26.3</v>
      </c>
      <c r="P366" s="8">
        <f>D364/B364*10^(O366/10)</f>
        <v>2.9693564994052322E-2</v>
      </c>
      <c r="Q366" s="26"/>
      <c r="R366" s="17"/>
      <c r="S366" s="19"/>
      <c r="T366" s="17"/>
      <c r="U366" s="22"/>
    </row>
    <row r="367" spans="1:21" x14ac:dyDescent="0.25">
      <c r="A367" s="24"/>
      <c r="B367" s="24"/>
      <c r="C367" s="17"/>
      <c r="D367" s="24"/>
      <c r="E367" s="24"/>
      <c r="F367" s="25"/>
      <c r="G367" s="1">
        <v>325</v>
      </c>
      <c r="H367" s="2">
        <v>93.3</v>
      </c>
      <c r="I367" s="2">
        <v>-18.3</v>
      </c>
      <c r="J367" s="2">
        <v>-28.8</v>
      </c>
      <c r="K367" s="2">
        <f t="shared" si="48"/>
        <v>-18.3</v>
      </c>
      <c r="L367" s="8">
        <f>10^((K367-H367)/10)</f>
        <v>6.9183097091893405E-12</v>
      </c>
      <c r="M367" s="26"/>
      <c r="N367" s="17"/>
      <c r="O367" s="9">
        <f t="shared" si="50"/>
        <v>-28.8</v>
      </c>
      <c r="P367" s="8">
        <f>D364/B364*10^(O367/10)</f>
        <v>1.6697918688381157E-2</v>
      </c>
      <c r="Q367" s="26"/>
      <c r="R367" s="17"/>
      <c r="S367" s="20"/>
      <c r="T367" s="17"/>
      <c r="U367" s="23"/>
    </row>
    <row r="368" spans="1:21" x14ac:dyDescent="0.25">
      <c r="A368" s="24">
        <v>500</v>
      </c>
      <c r="B368" s="24">
        <v>3</v>
      </c>
      <c r="C368" s="17">
        <v>0.5</v>
      </c>
      <c r="D368" s="24">
        <v>59</v>
      </c>
      <c r="E368" s="24">
        <v>6</v>
      </c>
      <c r="F368" s="25">
        <v>84</v>
      </c>
      <c r="G368" s="1">
        <v>375</v>
      </c>
      <c r="H368" s="2">
        <v>91.9</v>
      </c>
      <c r="I368" s="2">
        <v>-24.7</v>
      </c>
      <c r="J368" s="2">
        <v>-25.8</v>
      </c>
      <c r="K368" s="2">
        <f t="shared" si="48"/>
        <v>-24.7</v>
      </c>
      <c r="L368" s="8">
        <f t="shared" ref="L368:L369" si="51">10^((K368-H368)/10)</f>
        <v>2.1877616239495474E-12</v>
      </c>
      <c r="M368" s="26">
        <f>SUM(L368:L373)</f>
        <v>3.0664029183033421E-11</v>
      </c>
      <c r="N368" s="17">
        <f>10*LOG10(M368/E368)</f>
        <v>-112.91522030818004</v>
      </c>
      <c r="O368" s="9">
        <f t="shared" si="50"/>
        <v>-25.8</v>
      </c>
      <c r="P368" s="8">
        <f>D368/B368*10^(O368/10)</f>
        <v>5.1728603840609129E-2</v>
      </c>
      <c r="Q368" s="26">
        <f>SUM(P368:P373)</f>
        <v>0.37932706135361438</v>
      </c>
      <c r="R368" s="17">
        <f>10*LOG10(Q368)</f>
        <v>-4.2098617343926064</v>
      </c>
      <c r="S368" s="18">
        <f>F368+N368-Kzt-H</f>
        <v>-28.915220308180039</v>
      </c>
      <c r="T368" s="17">
        <v>0.5</v>
      </c>
      <c r="U368" s="21">
        <f>T368*10^((S368-R368)/10)</f>
        <v>1.6921316432802578E-3</v>
      </c>
    </row>
    <row r="369" spans="1:21" x14ac:dyDescent="0.25">
      <c r="A369" s="24"/>
      <c r="B369" s="24"/>
      <c r="C369" s="17"/>
      <c r="D369" s="24"/>
      <c r="E369" s="24"/>
      <c r="F369" s="25"/>
      <c r="G369" s="1">
        <v>425</v>
      </c>
      <c r="H369" s="2">
        <v>88.1</v>
      </c>
      <c r="I369" s="2">
        <v>-19.600000000000001</v>
      </c>
      <c r="J369" s="2">
        <v>-24</v>
      </c>
      <c r="K369" s="2">
        <f t="shared" si="48"/>
        <v>-19.600000000000001</v>
      </c>
      <c r="L369" s="8">
        <f t="shared" si="51"/>
        <v>1.6982436524617441E-11</v>
      </c>
      <c r="M369" s="26"/>
      <c r="N369" s="17"/>
      <c r="O369" s="9">
        <f t="shared" si="50"/>
        <v>-24</v>
      </c>
      <c r="P369" s="8">
        <f>D368/B368*10^(O369/10)</f>
        <v>7.8294410208854442E-2</v>
      </c>
      <c r="Q369" s="26"/>
      <c r="R369" s="17"/>
      <c r="S369" s="19"/>
      <c r="T369" s="17"/>
      <c r="U369" s="22"/>
    </row>
    <row r="370" spans="1:21" x14ac:dyDescent="0.25">
      <c r="A370" s="24"/>
      <c r="B370" s="24"/>
      <c r="C370" s="17"/>
      <c r="D370" s="24"/>
      <c r="E370" s="24"/>
      <c r="F370" s="25"/>
      <c r="G370" s="1">
        <v>475</v>
      </c>
      <c r="H370" s="2">
        <v>90</v>
      </c>
      <c r="I370" s="2">
        <v>-21.599999999999998</v>
      </c>
      <c r="J370" s="2">
        <v>-23.2</v>
      </c>
      <c r="K370" s="2">
        <f t="shared" si="48"/>
        <v>-21.599999999999998</v>
      </c>
      <c r="L370" s="8">
        <f>10^((K370-H370)/10)</f>
        <v>6.9183097091893405E-12</v>
      </c>
      <c r="M370" s="26"/>
      <c r="N370" s="17"/>
      <c r="O370" s="9">
        <f t="shared" si="50"/>
        <v>-23.2</v>
      </c>
      <c r="P370" s="8">
        <f>D368/B368*10^(O370/10)</f>
        <v>9.4130584823452212E-2</v>
      </c>
      <c r="Q370" s="26"/>
      <c r="R370" s="17"/>
      <c r="S370" s="19"/>
      <c r="T370" s="17"/>
      <c r="U370" s="22"/>
    </row>
    <row r="371" spans="1:21" x14ac:dyDescent="0.25">
      <c r="A371" s="24"/>
      <c r="B371" s="24"/>
      <c r="C371" s="17"/>
      <c r="D371" s="24"/>
      <c r="E371" s="24"/>
      <c r="F371" s="25"/>
      <c r="G371" s="1">
        <v>575</v>
      </c>
      <c r="H371" s="2">
        <v>97</v>
      </c>
      <c r="I371" s="2">
        <v>-24.5</v>
      </c>
      <c r="J371" s="2">
        <v>-25.4</v>
      </c>
      <c r="K371" s="2">
        <f t="shared" si="48"/>
        <v>-24.5</v>
      </c>
      <c r="L371" s="8">
        <f t="shared" ref="L371:L397" si="52">10^((K371-H371)/10)</f>
        <v>7.0794578438413455E-13</v>
      </c>
      <c r="M371" s="26"/>
      <c r="N371" s="17"/>
      <c r="O371" s="9">
        <f t="shared" si="50"/>
        <v>-25.4</v>
      </c>
      <c r="P371" s="8">
        <f>D368/B368*10^(O371/10)</f>
        <v>5.671928622815655E-2</v>
      </c>
      <c r="Q371" s="26"/>
      <c r="R371" s="17"/>
      <c r="S371" s="19"/>
      <c r="T371" s="17"/>
      <c r="U371" s="22"/>
    </row>
    <row r="372" spans="1:21" x14ac:dyDescent="0.25">
      <c r="A372" s="24"/>
      <c r="B372" s="24"/>
      <c r="C372" s="17"/>
      <c r="D372" s="24"/>
      <c r="E372" s="24"/>
      <c r="F372" s="25"/>
      <c r="G372" s="1">
        <v>625</v>
      </c>
      <c r="H372" s="2">
        <v>92</v>
      </c>
      <c r="I372" s="2">
        <v>-24.8</v>
      </c>
      <c r="J372" s="2">
        <v>-25.5</v>
      </c>
      <c r="K372" s="2">
        <f t="shared" si="48"/>
        <v>-24.8</v>
      </c>
      <c r="L372" s="8">
        <f t="shared" si="52"/>
        <v>2.0892961308540349E-12</v>
      </c>
      <c r="M372" s="26"/>
      <c r="N372" s="17"/>
      <c r="O372" s="9">
        <f t="shared" si="50"/>
        <v>-25.5</v>
      </c>
      <c r="P372" s="8">
        <f>D368/B368*10^(O372/10)</f>
        <v>5.5428197648200894E-2</v>
      </c>
      <c r="Q372" s="26"/>
      <c r="R372" s="17"/>
      <c r="S372" s="19"/>
      <c r="T372" s="17"/>
      <c r="U372" s="22"/>
    </row>
    <row r="373" spans="1:21" x14ac:dyDescent="0.25">
      <c r="A373" s="24"/>
      <c r="B373" s="24"/>
      <c r="C373" s="17"/>
      <c r="D373" s="24"/>
      <c r="E373" s="24"/>
      <c r="F373" s="25"/>
      <c r="G373" s="1">
        <v>675</v>
      </c>
      <c r="H373" s="2">
        <v>94.5</v>
      </c>
      <c r="I373" s="2">
        <v>-23</v>
      </c>
      <c r="J373" s="2">
        <v>-26.6</v>
      </c>
      <c r="K373" s="2">
        <f t="shared" si="48"/>
        <v>-23</v>
      </c>
      <c r="L373" s="8">
        <f t="shared" si="52"/>
        <v>1.7782794100389204E-12</v>
      </c>
      <c r="M373" s="26"/>
      <c r="N373" s="17"/>
      <c r="O373" s="9">
        <f t="shared" si="50"/>
        <v>-26.6</v>
      </c>
      <c r="P373" s="8">
        <f>D368/B368*10^(O373/10)</f>
        <v>4.3025978604341153E-2</v>
      </c>
      <c r="Q373" s="26"/>
      <c r="R373" s="17"/>
      <c r="S373" s="20"/>
      <c r="T373" s="17"/>
      <c r="U373" s="23"/>
    </row>
    <row r="374" spans="1:21" x14ac:dyDescent="0.25">
      <c r="A374" s="24">
        <v>1000</v>
      </c>
      <c r="B374" s="24">
        <v>3</v>
      </c>
      <c r="C374" s="17">
        <v>0.5</v>
      </c>
      <c r="D374" s="24">
        <v>117</v>
      </c>
      <c r="E374" s="24">
        <v>6</v>
      </c>
      <c r="F374" s="25">
        <v>76</v>
      </c>
      <c r="G374" s="1">
        <v>875</v>
      </c>
      <c r="H374" s="2">
        <v>91.1</v>
      </c>
      <c r="I374" s="2">
        <v>-22.099999999999998</v>
      </c>
      <c r="J374" s="2">
        <v>-22.7</v>
      </c>
      <c r="K374" s="2">
        <f t="shared" si="48"/>
        <v>-22.099999999999998</v>
      </c>
      <c r="L374" s="8">
        <f t="shared" si="52"/>
        <v>4.7863009232263907E-12</v>
      </c>
      <c r="M374" s="26">
        <f>SUM(L374:L379)</f>
        <v>1.0860290117923514E-11</v>
      </c>
      <c r="N374" s="17">
        <f>10*LOG10(M374/E374)</f>
        <v>-117.42309823387689</v>
      </c>
      <c r="O374" s="9">
        <f t="shared" si="50"/>
        <v>-22.7</v>
      </c>
      <c r="P374" s="8">
        <f>D374/B374*10^(O374/10)</f>
        <v>0.20944240058439845</v>
      </c>
      <c r="Q374" s="26">
        <f>SUM(P374:P379)</f>
        <v>0.49135457331952292</v>
      </c>
      <c r="R374" s="17">
        <f>10*LOG10(Q374)</f>
        <v>-3.086049973647004</v>
      </c>
      <c r="S374" s="18">
        <f>F374+N374-Kzt-H</f>
        <v>-41.423098233876885</v>
      </c>
      <c r="T374" s="17">
        <v>0.8</v>
      </c>
      <c r="U374" s="21">
        <f>T374*10^((S374-R374)/10)</f>
        <v>1.1732354067728258E-4</v>
      </c>
    </row>
    <row r="375" spans="1:21" x14ac:dyDescent="0.25">
      <c r="A375" s="24"/>
      <c r="B375" s="24"/>
      <c r="C375" s="17"/>
      <c r="D375" s="24"/>
      <c r="E375" s="24"/>
      <c r="F375" s="25"/>
      <c r="G375" s="1">
        <v>975</v>
      </c>
      <c r="H375" s="2">
        <v>96.5</v>
      </c>
      <c r="I375" s="2">
        <v>-21</v>
      </c>
      <c r="J375" s="2">
        <v>-27.8</v>
      </c>
      <c r="K375" s="2">
        <f t="shared" si="48"/>
        <v>-21</v>
      </c>
      <c r="L375" s="8">
        <f t="shared" si="52"/>
        <v>1.7782794100389204E-12</v>
      </c>
      <c r="M375" s="26"/>
      <c r="N375" s="17"/>
      <c r="O375" s="9">
        <f t="shared" si="50"/>
        <v>-27.8</v>
      </c>
      <c r="P375" s="8">
        <f>D374/B374*10^(O375/10)</f>
        <v>6.4723889390064807E-2</v>
      </c>
      <c r="Q375" s="26"/>
      <c r="R375" s="17"/>
      <c r="S375" s="19"/>
      <c r="T375" s="17"/>
      <c r="U375" s="22"/>
    </row>
    <row r="376" spans="1:21" x14ac:dyDescent="0.25">
      <c r="A376" s="24"/>
      <c r="B376" s="24"/>
      <c r="C376" s="17"/>
      <c r="D376" s="24"/>
      <c r="E376" s="24"/>
      <c r="F376" s="25"/>
      <c r="G376" s="1">
        <v>1075</v>
      </c>
      <c r="H376" s="2">
        <v>94.6</v>
      </c>
      <c r="I376" s="2">
        <v>-20.9</v>
      </c>
      <c r="J376" s="2">
        <v>-27.5</v>
      </c>
      <c r="K376" s="2">
        <f t="shared" si="48"/>
        <v>-20.9</v>
      </c>
      <c r="L376" s="8">
        <f t="shared" si="52"/>
        <v>2.8183829312644444E-12</v>
      </c>
      <c r="M376" s="26"/>
      <c r="N376" s="17"/>
      <c r="O376" s="9">
        <f t="shared" si="50"/>
        <v>-27.5</v>
      </c>
      <c r="P376" s="8">
        <f>D374/B374*10^(O376/10)</f>
        <v>6.9352896991517976E-2</v>
      </c>
      <c r="Q376" s="26"/>
      <c r="R376" s="17"/>
      <c r="S376" s="19"/>
      <c r="T376" s="17"/>
      <c r="U376" s="22"/>
    </row>
    <row r="377" spans="1:21" x14ac:dyDescent="0.25">
      <c r="A377" s="24"/>
      <c r="B377" s="24"/>
      <c r="C377" s="17"/>
      <c r="D377" s="24"/>
      <c r="E377" s="24"/>
      <c r="F377" s="25"/>
      <c r="G377" s="1">
        <v>1175</v>
      </c>
      <c r="H377" s="2">
        <v>97.8</v>
      </c>
      <c r="I377" s="2">
        <v>-25.5</v>
      </c>
      <c r="J377" s="2">
        <v>-29.9</v>
      </c>
      <c r="K377" s="2">
        <f t="shared" si="48"/>
        <v>-25.5</v>
      </c>
      <c r="L377" s="8">
        <f t="shared" si="52"/>
        <v>4.6773514128719676E-13</v>
      </c>
      <c r="M377" s="26"/>
      <c r="N377" s="17"/>
      <c r="O377" s="9">
        <f t="shared" si="50"/>
        <v>-29.9</v>
      </c>
      <c r="P377" s="8">
        <f>D374/B374*10^(O377/10)</f>
        <v>3.9908426698949416E-2</v>
      </c>
      <c r="Q377" s="26"/>
      <c r="R377" s="17"/>
      <c r="S377" s="19"/>
      <c r="T377" s="17"/>
      <c r="U377" s="22"/>
    </row>
    <row r="378" spans="1:21" x14ac:dyDescent="0.25">
      <c r="A378" s="24"/>
      <c r="B378" s="24"/>
      <c r="C378" s="17"/>
      <c r="D378" s="24"/>
      <c r="E378" s="24"/>
      <c r="F378" s="25"/>
      <c r="G378" s="1">
        <v>1275</v>
      </c>
      <c r="H378" s="2">
        <v>100.1</v>
      </c>
      <c r="I378" s="2">
        <v>-20.7</v>
      </c>
      <c r="J378" s="2">
        <v>-28.3</v>
      </c>
      <c r="K378" s="2">
        <f t="shared" si="48"/>
        <v>-20.7</v>
      </c>
      <c r="L378" s="8">
        <f t="shared" si="52"/>
        <v>8.3176377110266952E-13</v>
      </c>
      <c r="M378" s="26"/>
      <c r="N378" s="17"/>
      <c r="O378" s="9">
        <f t="shared" si="50"/>
        <v>-28.3</v>
      </c>
      <c r="P378" s="8">
        <f>D374/B374*10^(O378/10)</f>
        <v>5.7685227138560058E-2</v>
      </c>
      <c r="Q378" s="26"/>
      <c r="R378" s="17"/>
      <c r="S378" s="19"/>
      <c r="T378" s="17"/>
      <c r="U378" s="22"/>
    </row>
    <row r="379" spans="1:21" x14ac:dyDescent="0.25">
      <c r="A379" s="24"/>
      <c r="B379" s="24"/>
      <c r="C379" s="17"/>
      <c r="D379" s="24"/>
      <c r="E379" s="24"/>
      <c r="F379" s="25"/>
      <c r="G379" s="1">
        <v>1375</v>
      </c>
      <c r="H379" s="2">
        <v>103</v>
      </c>
      <c r="I379" s="2">
        <v>-24.5</v>
      </c>
      <c r="J379" s="2">
        <v>-28.9</v>
      </c>
      <c r="K379" s="2">
        <f t="shared" si="48"/>
        <v>-24.5</v>
      </c>
      <c r="L379" s="8">
        <f t="shared" si="52"/>
        <v>1.7782794100389184E-13</v>
      </c>
      <c r="M379" s="26"/>
      <c r="N379" s="17"/>
      <c r="O379" s="9">
        <f t="shared" si="50"/>
        <v>-28.9</v>
      </c>
      <c r="P379" s="8">
        <f>D374/B374*10^(O379/10)</f>
        <v>5.0241732516032228E-2</v>
      </c>
      <c r="Q379" s="26"/>
      <c r="R379" s="17"/>
      <c r="S379" s="20"/>
      <c r="T379" s="17"/>
      <c r="U379" s="23"/>
    </row>
    <row r="380" spans="1:21" x14ac:dyDescent="0.25">
      <c r="A380" s="24">
        <v>2000</v>
      </c>
      <c r="B380" s="24">
        <v>3</v>
      </c>
      <c r="C380" s="17">
        <v>0.5</v>
      </c>
      <c r="D380" s="24">
        <v>234</v>
      </c>
      <c r="E380" s="24">
        <v>6</v>
      </c>
      <c r="F380" s="25">
        <v>68</v>
      </c>
      <c r="G380" s="1">
        <v>1425</v>
      </c>
      <c r="H380" s="2">
        <v>102.8</v>
      </c>
      <c r="I380" s="2">
        <v>-25.2</v>
      </c>
      <c r="J380" s="2">
        <v>-27</v>
      </c>
      <c r="K380" s="2">
        <f t="shared" si="48"/>
        <v>-25.2</v>
      </c>
      <c r="L380" s="8">
        <f t="shared" si="52"/>
        <v>1.5848931924611046E-13</v>
      </c>
      <c r="M380" s="26">
        <f>SUM(L380:L385)</f>
        <v>3.688853467021996E-12</v>
      </c>
      <c r="N380" s="17">
        <f>10*LOG10(M380/E380)</f>
        <v>-122.11259846370639</v>
      </c>
      <c r="O380" s="9">
        <f t="shared" si="50"/>
        <v>-27</v>
      </c>
      <c r="P380" s="8">
        <f>D380/B380*10^(O380/10)</f>
        <v>0.15563046056757249</v>
      </c>
      <c r="Q380" s="26">
        <f>SUM(P380:P385)</f>
        <v>1.1382337375598124</v>
      </c>
      <c r="R380" s="17">
        <f>10*LOG10(Q380)</f>
        <v>0.56231454070506925</v>
      </c>
      <c r="S380" s="18">
        <f>F380+N380-Kzt-H</f>
        <v>-54.112598463706391</v>
      </c>
      <c r="T380" s="17">
        <v>1</v>
      </c>
      <c r="U380" s="21">
        <f>T380*10^((S380-R380)/10)</f>
        <v>3.4080715160176734E-6</v>
      </c>
    </row>
    <row r="381" spans="1:21" x14ac:dyDescent="0.25">
      <c r="A381" s="24"/>
      <c r="B381" s="24"/>
      <c r="C381" s="17"/>
      <c r="D381" s="24"/>
      <c r="E381" s="24"/>
      <c r="F381" s="25"/>
      <c r="G381" s="1">
        <v>1625</v>
      </c>
      <c r="H381" s="2">
        <v>104.1</v>
      </c>
      <c r="I381" s="2">
        <v>-23.8</v>
      </c>
      <c r="J381" s="2">
        <v>-26.5</v>
      </c>
      <c r="K381" s="2">
        <f t="shared" si="48"/>
        <v>-23.8</v>
      </c>
      <c r="L381" s="8">
        <f t="shared" si="52"/>
        <v>1.6218100973589265E-13</v>
      </c>
      <c r="M381" s="26"/>
      <c r="N381" s="17"/>
      <c r="O381" s="9">
        <f t="shared" si="50"/>
        <v>-26.5</v>
      </c>
      <c r="P381" s="8">
        <f>D380/B380*10^(O381/10)</f>
        <v>0.17462024880833041</v>
      </c>
      <c r="Q381" s="26"/>
      <c r="R381" s="17"/>
      <c r="S381" s="19"/>
      <c r="T381" s="17"/>
      <c r="U381" s="22"/>
    </row>
    <row r="382" spans="1:21" x14ac:dyDescent="0.25">
      <c r="A382" s="24"/>
      <c r="B382" s="24"/>
      <c r="C382" s="17"/>
      <c r="D382" s="24"/>
      <c r="E382" s="24"/>
      <c r="F382" s="25"/>
      <c r="G382" s="1">
        <v>1825</v>
      </c>
      <c r="H382" s="2">
        <v>107.6</v>
      </c>
      <c r="I382" s="2">
        <v>-22.1</v>
      </c>
      <c r="J382" s="2">
        <v>-23.3</v>
      </c>
      <c r="K382" s="2">
        <f t="shared" si="48"/>
        <v>-22.1</v>
      </c>
      <c r="L382" s="8">
        <f t="shared" si="52"/>
        <v>1.071519305237606E-13</v>
      </c>
      <c r="M382" s="26"/>
      <c r="N382" s="17"/>
      <c r="O382" s="9">
        <f t="shared" si="50"/>
        <v>-23.3</v>
      </c>
      <c r="P382" s="8">
        <f>D380/B380*10^(O382/10)</f>
        <v>0.36483341020401427</v>
      </c>
      <c r="Q382" s="26"/>
      <c r="R382" s="17"/>
      <c r="S382" s="19"/>
      <c r="T382" s="17"/>
      <c r="U382" s="22"/>
    </row>
    <row r="383" spans="1:21" x14ac:dyDescent="0.25">
      <c r="A383" s="24"/>
      <c r="B383" s="24"/>
      <c r="C383" s="17"/>
      <c r="D383" s="24"/>
      <c r="E383" s="24"/>
      <c r="F383" s="25"/>
      <c r="G383" s="1">
        <v>2125</v>
      </c>
      <c r="H383" s="2">
        <v>104.2</v>
      </c>
      <c r="I383" s="2">
        <v>-22.3</v>
      </c>
      <c r="J383" s="2">
        <v>-30.9</v>
      </c>
      <c r="K383" s="2">
        <f t="shared" si="48"/>
        <v>-22.3</v>
      </c>
      <c r="L383" s="8">
        <f t="shared" si="52"/>
        <v>2.238721138568332E-13</v>
      </c>
      <c r="M383" s="26"/>
      <c r="N383" s="17"/>
      <c r="O383" s="9">
        <f t="shared" si="50"/>
        <v>-30.9</v>
      </c>
      <c r="P383" s="8">
        <f>D380/B380*10^(O383/10)</f>
        <v>6.3400780260799705E-2</v>
      </c>
      <c r="Q383" s="26"/>
      <c r="R383" s="17"/>
      <c r="S383" s="19"/>
      <c r="T383" s="17"/>
      <c r="U383" s="22"/>
    </row>
    <row r="384" spans="1:21" x14ac:dyDescent="0.25">
      <c r="A384" s="24"/>
      <c r="B384" s="24"/>
      <c r="C384" s="17"/>
      <c r="D384" s="24"/>
      <c r="E384" s="24"/>
      <c r="F384" s="25"/>
      <c r="G384" s="1">
        <v>2425</v>
      </c>
      <c r="H384" s="2">
        <v>93.7</v>
      </c>
      <c r="I384" s="2">
        <v>-21.8</v>
      </c>
      <c r="J384" s="2">
        <v>-25.1</v>
      </c>
      <c r="K384" s="2">
        <f t="shared" si="48"/>
        <v>-21.8</v>
      </c>
      <c r="L384" s="8">
        <f t="shared" si="52"/>
        <v>2.8183829312644444E-12</v>
      </c>
      <c r="M384" s="26"/>
      <c r="N384" s="17"/>
      <c r="O384" s="9">
        <f t="shared" si="50"/>
        <v>-25.1</v>
      </c>
      <c r="P384" s="8">
        <f>D380/B380*10^(O384/10)</f>
        <v>0.24104304373605984</v>
      </c>
      <c r="Q384" s="26"/>
      <c r="R384" s="17"/>
      <c r="S384" s="19"/>
      <c r="T384" s="17"/>
      <c r="U384" s="22"/>
    </row>
    <row r="385" spans="1:21" x14ac:dyDescent="0.25">
      <c r="A385" s="24"/>
      <c r="B385" s="24"/>
      <c r="C385" s="17"/>
      <c r="D385" s="24"/>
      <c r="E385" s="24"/>
      <c r="F385" s="25"/>
      <c r="G385" s="1">
        <v>2775</v>
      </c>
      <c r="H385" s="2">
        <v>100.2</v>
      </c>
      <c r="I385" s="2">
        <v>-26.4</v>
      </c>
      <c r="J385" s="2">
        <v>-27.5</v>
      </c>
      <c r="K385" s="2">
        <f t="shared" si="48"/>
        <v>-26.4</v>
      </c>
      <c r="L385" s="8">
        <f t="shared" si="52"/>
        <v>2.1877616239495453E-13</v>
      </c>
      <c r="M385" s="26"/>
      <c r="N385" s="17"/>
      <c r="O385" s="9">
        <f t="shared" si="50"/>
        <v>-27.5</v>
      </c>
      <c r="P385" s="8">
        <f>D380/B380*10^(O385/10)</f>
        <v>0.13870579398303595</v>
      </c>
      <c r="Q385" s="26"/>
      <c r="R385" s="17"/>
      <c r="S385" s="20"/>
      <c r="T385" s="17"/>
      <c r="U385" s="23"/>
    </row>
    <row r="386" spans="1:21" x14ac:dyDescent="0.25">
      <c r="A386" s="24">
        <v>4000</v>
      </c>
      <c r="B386" s="24">
        <v>3</v>
      </c>
      <c r="C386" s="17">
        <v>0.5</v>
      </c>
      <c r="D386" s="24">
        <v>470</v>
      </c>
      <c r="E386" s="24">
        <v>6</v>
      </c>
      <c r="F386" s="25">
        <v>62</v>
      </c>
      <c r="G386" s="1">
        <v>2825</v>
      </c>
      <c r="H386" s="2">
        <v>99.4</v>
      </c>
      <c r="I386" s="2">
        <v>-24.3</v>
      </c>
      <c r="J386" s="2">
        <v>-24.8</v>
      </c>
      <c r="K386" s="2">
        <f t="shared" si="48"/>
        <v>-24.3</v>
      </c>
      <c r="L386" s="8">
        <f t="shared" si="52"/>
        <v>4.2657951880159005E-13</v>
      </c>
      <c r="M386" s="26">
        <f>SUM(L386:L391)</f>
        <v>2.3685695851553861E-12</v>
      </c>
      <c r="N386" s="17">
        <f>10*LOG10(M386/E386)</f>
        <v>-124.0366510218727</v>
      </c>
      <c r="O386" s="9">
        <f t="shared" si="50"/>
        <v>-24.8</v>
      </c>
      <c r="P386" s="8">
        <f>D386/B386*10^(O386/10)</f>
        <v>0.51877209032272598</v>
      </c>
      <c r="Q386" s="26">
        <f>SUM(P386:P391)</f>
        <v>1.9327448929990643</v>
      </c>
      <c r="R386" s="17">
        <f>10*LOG10(Q386)</f>
        <v>2.861745343832951</v>
      </c>
      <c r="S386" s="18">
        <f>F386+N386-Kzt-H</f>
        <v>-62.0366510218727</v>
      </c>
      <c r="T386" s="17">
        <v>0.9</v>
      </c>
      <c r="U386" s="21">
        <f>T386*10^((S386-R386)/10)</f>
        <v>2.9134184948419558E-7</v>
      </c>
    </row>
    <row r="387" spans="1:21" x14ac:dyDescent="0.25">
      <c r="A387" s="24"/>
      <c r="B387" s="24"/>
      <c r="C387" s="17"/>
      <c r="D387" s="24"/>
      <c r="E387" s="24"/>
      <c r="F387" s="25"/>
      <c r="G387" s="1">
        <v>3425</v>
      </c>
      <c r="H387" s="2">
        <v>103.5</v>
      </c>
      <c r="I387" s="2">
        <v>-24.400000000000002</v>
      </c>
      <c r="J387" s="2">
        <v>-25.1</v>
      </c>
      <c r="K387" s="2">
        <f t="shared" si="48"/>
        <v>-24.400000000000002</v>
      </c>
      <c r="L387" s="8">
        <f t="shared" si="52"/>
        <v>1.6218100973589207E-13</v>
      </c>
      <c r="M387" s="26"/>
      <c r="N387" s="17"/>
      <c r="O387" s="9">
        <f t="shared" si="50"/>
        <v>-25.1</v>
      </c>
      <c r="P387" s="8">
        <f>D386/B386*10^(O387/10)</f>
        <v>0.4841462844271287</v>
      </c>
      <c r="Q387" s="26"/>
      <c r="R387" s="17"/>
      <c r="S387" s="19"/>
      <c r="T387" s="17"/>
      <c r="U387" s="22"/>
    </row>
    <row r="388" spans="1:21" x14ac:dyDescent="0.25">
      <c r="A388" s="24"/>
      <c r="B388" s="24"/>
      <c r="C388" s="17"/>
      <c r="D388" s="24"/>
      <c r="E388" s="24"/>
      <c r="F388" s="25"/>
      <c r="G388" s="1">
        <v>4025</v>
      </c>
      <c r="H388" s="2">
        <v>103.6</v>
      </c>
      <c r="I388" s="2">
        <v>-23.2</v>
      </c>
      <c r="J388" s="2">
        <v>-32.799999999999997</v>
      </c>
      <c r="K388" s="2">
        <f t="shared" si="48"/>
        <v>-23.2</v>
      </c>
      <c r="L388" s="8">
        <f t="shared" si="52"/>
        <v>2.0892961308540331E-13</v>
      </c>
      <c r="M388" s="26"/>
      <c r="N388" s="17"/>
      <c r="O388" s="9">
        <f t="shared" si="50"/>
        <v>-32.799999999999997</v>
      </c>
      <c r="P388" s="8">
        <f>D386/B386*10^(O388/10)</f>
        <v>8.2219835439130987E-2</v>
      </c>
      <c r="Q388" s="26"/>
      <c r="R388" s="17"/>
      <c r="S388" s="19"/>
      <c r="T388" s="17"/>
      <c r="U388" s="22"/>
    </row>
    <row r="389" spans="1:21" x14ac:dyDescent="0.25">
      <c r="A389" s="24"/>
      <c r="B389" s="24"/>
      <c r="C389" s="17"/>
      <c r="D389" s="24"/>
      <c r="E389" s="24"/>
      <c r="F389" s="25"/>
      <c r="G389" s="1">
        <v>4625</v>
      </c>
      <c r="H389" s="2">
        <v>105.6</v>
      </c>
      <c r="I389" s="2">
        <v>-21.2</v>
      </c>
      <c r="J389" s="2">
        <v>-26.9</v>
      </c>
      <c r="K389" s="2">
        <f t="shared" si="48"/>
        <v>-21.2</v>
      </c>
      <c r="L389" s="8">
        <f t="shared" si="52"/>
        <v>2.0892961308540331E-13</v>
      </c>
      <c r="M389" s="26"/>
      <c r="N389" s="17"/>
      <c r="O389" s="9">
        <f t="shared" si="50"/>
        <v>-26.9</v>
      </c>
      <c r="P389" s="8">
        <f>D386/B386*10^(O389/10)</f>
        <v>0.31987227799822626</v>
      </c>
      <c r="Q389" s="26"/>
      <c r="R389" s="17"/>
      <c r="S389" s="19"/>
      <c r="T389" s="17"/>
      <c r="U389" s="22"/>
    </row>
    <row r="390" spans="1:21" x14ac:dyDescent="0.25">
      <c r="A390" s="24"/>
      <c r="B390" s="24"/>
      <c r="C390" s="17"/>
      <c r="D390" s="24"/>
      <c r="E390" s="24"/>
      <c r="F390" s="25"/>
      <c r="G390" s="1">
        <v>5225</v>
      </c>
      <c r="H390" s="2">
        <v>103.5</v>
      </c>
      <c r="I390" s="2">
        <v>-23.2</v>
      </c>
      <c r="J390" s="2">
        <v>-27.4</v>
      </c>
      <c r="K390" s="2">
        <f t="shared" si="48"/>
        <v>-23.2</v>
      </c>
      <c r="L390" s="8">
        <f t="shared" si="52"/>
        <v>2.1379620895022253E-13</v>
      </c>
      <c r="M390" s="26"/>
      <c r="N390" s="17"/>
      <c r="O390" s="9">
        <f t="shared" si="50"/>
        <v>-27.4</v>
      </c>
      <c r="P390" s="8">
        <f>D386/B386*10^(O390/10)</f>
        <v>0.28508646784889724</v>
      </c>
      <c r="Q390" s="26"/>
      <c r="R390" s="17"/>
      <c r="S390" s="19"/>
      <c r="T390" s="17"/>
      <c r="U390" s="22"/>
    </row>
    <row r="391" spans="1:21" x14ac:dyDescent="0.25">
      <c r="A391" s="24"/>
      <c r="B391" s="24"/>
      <c r="C391" s="17"/>
      <c r="D391" s="24"/>
      <c r="E391" s="24"/>
      <c r="F391" s="25"/>
      <c r="G391" s="1">
        <v>5625</v>
      </c>
      <c r="H391" s="2">
        <v>99.5</v>
      </c>
      <c r="I391" s="2">
        <v>-19.899999999999999</v>
      </c>
      <c r="J391" s="2">
        <v>-28.1</v>
      </c>
      <c r="K391" s="2">
        <f t="shared" si="48"/>
        <v>-19.899999999999999</v>
      </c>
      <c r="L391" s="8">
        <f t="shared" si="52"/>
        <v>1.1481536214968749E-12</v>
      </c>
      <c r="M391" s="26"/>
      <c r="N391" s="17"/>
      <c r="O391" s="9">
        <f t="shared" si="50"/>
        <v>-28.1</v>
      </c>
      <c r="P391" s="8">
        <f>D386/B386*10^(O391/10)</f>
        <v>0.24264793696295522</v>
      </c>
      <c r="Q391" s="26"/>
      <c r="R391" s="17"/>
      <c r="S391" s="20"/>
      <c r="T391" s="17"/>
      <c r="U391" s="23"/>
    </row>
    <row r="392" spans="1:21" x14ac:dyDescent="0.25">
      <c r="A392" s="24">
        <v>8000</v>
      </c>
      <c r="B392" s="24">
        <v>3</v>
      </c>
      <c r="C392" s="17">
        <v>0.5</v>
      </c>
      <c r="D392" s="24">
        <v>943</v>
      </c>
      <c r="E392" s="24">
        <v>6</v>
      </c>
      <c r="F392" s="25">
        <v>54</v>
      </c>
      <c r="G392" s="1">
        <v>6025</v>
      </c>
      <c r="H392" s="2">
        <v>95</v>
      </c>
      <c r="I392" s="2">
        <v>-23.2</v>
      </c>
      <c r="J392" s="2">
        <v>-26.7</v>
      </c>
      <c r="K392" s="2">
        <f t="shared" si="48"/>
        <v>-23.2</v>
      </c>
      <c r="L392" s="8">
        <f t="shared" si="52"/>
        <v>1.5135612484362015E-12</v>
      </c>
      <c r="M392" s="26">
        <f>SUM(L392:L397)</f>
        <v>1.3649010720793261E-11</v>
      </c>
      <c r="N392" s="17">
        <f>10*LOG10(M392/E392)</f>
        <v>-116.43050075495532</v>
      </c>
      <c r="O392" s="9">
        <f t="shared" si="50"/>
        <v>-26.7</v>
      </c>
      <c r="P392" s="8">
        <f>D392/B392*10^(O392/10)</f>
        <v>0.67203275013353481</v>
      </c>
      <c r="Q392" s="26">
        <f>SUM(P392:P397)</f>
        <v>3.88399266750482</v>
      </c>
      <c r="R392" s="17">
        <f>10*LOG10(Q392)</f>
        <v>5.892784013427641</v>
      </c>
      <c r="S392" s="18">
        <f>F392+N392-Kzt-H</f>
        <v>-62.430500754955318</v>
      </c>
      <c r="T392" s="17">
        <v>0.7</v>
      </c>
      <c r="U392" s="21">
        <f>T392*10^((S392-R392)/10)</f>
        <v>1.0298395421783131E-7</v>
      </c>
    </row>
    <row r="393" spans="1:21" x14ac:dyDescent="0.25">
      <c r="A393" s="24"/>
      <c r="B393" s="24"/>
      <c r="C393" s="17"/>
      <c r="D393" s="24"/>
      <c r="E393" s="24"/>
      <c r="F393" s="25"/>
      <c r="G393" s="1">
        <v>7025</v>
      </c>
      <c r="H393" s="2">
        <v>94.8</v>
      </c>
      <c r="I393" s="2">
        <v>-27</v>
      </c>
      <c r="J393" s="2">
        <v>-27.6</v>
      </c>
      <c r="K393" s="2">
        <f t="shared" si="48"/>
        <v>-27</v>
      </c>
      <c r="L393" s="8">
        <f t="shared" si="52"/>
        <v>6.606934480075954E-13</v>
      </c>
      <c r="M393" s="26"/>
      <c r="N393" s="17"/>
      <c r="O393" s="9">
        <f t="shared" si="50"/>
        <v>-27.6</v>
      </c>
      <c r="P393" s="8">
        <f>D392/B392*10^(O393/10)</f>
        <v>0.54624872717021966</v>
      </c>
      <c r="Q393" s="26"/>
      <c r="R393" s="17"/>
      <c r="S393" s="19"/>
      <c r="T393" s="17"/>
      <c r="U393" s="22"/>
    </row>
    <row r="394" spans="1:21" x14ac:dyDescent="0.25">
      <c r="A394" s="24"/>
      <c r="B394" s="24"/>
      <c r="C394" s="17"/>
      <c r="D394" s="24"/>
      <c r="E394" s="24"/>
      <c r="F394" s="25"/>
      <c r="G394" s="1">
        <v>8025</v>
      </c>
      <c r="H394" s="2">
        <v>101.9</v>
      </c>
      <c r="I394" s="2">
        <v>-29.2</v>
      </c>
      <c r="J394" s="2">
        <v>-29.4</v>
      </c>
      <c r="K394" s="2">
        <f t="shared" si="48"/>
        <v>-29.2</v>
      </c>
      <c r="L394" s="8">
        <f t="shared" si="52"/>
        <v>7.7624711662868969E-14</v>
      </c>
      <c r="M394" s="26"/>
      <c r="N394" s="17"/>
      <c r="O394" s="9">
        <f t="shared" si="50"/>
        <v>-29.4</v>
      </c>
      <c r="P394" s="8">
        <f>D392/B392*10^(O394/10)</f>
        <v>0.36090295502385339</v>
      </c>
      <c r="Q394" s="26"/>
      <c r="R394" s="17"/>
      <c r="S394" s="19"/>
      <c r="T394" s="17"/>
      <c r="U394" s="22"/>
    </row>
    <row r="395" spans="1:21" x14ac:dyDescent="0.25">
      <c r="A395" s="24"/>
      <c r="B395" s="24"/>
      <c r="C395" s="17"/>
      <c r="D395" s="24"/>
      <c r="E395" s="24"/>
      <c r="F395" s="25"/>
      <c r="G395" s="1">
        <v>9025</v>
      </c>
      <c r="H395" s="2">
        <v>93.2</v>
      </c>
      <c r="I395" s="2">
        <v>-22.1</v>
      </c>
      <c r="J395" s="2">
        <v>-24.2</v>
      </c>
      <c r="K395" s="2">
        <f t="shared" si="48"/>
        <v>-22.1</v>
      </c>
      <c r="L395" s="8">
        <f t="shared" si="52"/>
        <v>2.9512092266663754E-12</v>
      </c>
      <c r="M395" s="26"/>
      <c r="N395" s="17"/>
      <c r="O395" s="9">
        <f t="shared" si="50"/>
        <v>-24.2</v>
      </c>
      <c r="P395" s="8">
        <f>D392/B392*10^(O395/10)</f>
        <v>1.1950620024342973</v>
      </c>
      <c r="Q395" s="26"/>
      <c r="R395" s="17"/>
      <c r="S395" s="19"/>
      <c r="T395" s="17"/>
      <c r="U395" s="22"/>
    </row>
    <row r="396" spans="1:21" x14ac:dyDescent="0.25">
      <c r="A396" s="24"/>
      <c r="B396" s="24"/>
      <c r="C396" s="17"/>
      <c r="D396" s="24"/>
      <c r="E396" s="24"/>
      <c r="F396" s="25"/>
      <c r="G396" s="1">
        <v>10025</v>
      </c>
      <c r="H396" s="2">
        <v>88.3</v>
      </c>
      <c r="I396" s="2">
        <v>-24.8</v>
      </c>
      <c r="J396" s="2">
        <v>-25.6</v>
      </c>
      <c r="K396" s="2">
        <f t="shared" si="48"/>
        <v>-24.8</v>
      </c>
      <c r="L396" s="8">
        <f t="shared" si="52"/>
        <v>4.8977881936844688E-12</v>
      </c>
      <c r="M396" s="26"/>
      <c r="N396" s="17"/>
      <c r="O396" s="9">
        <f t="shared" si="50"/>
        <v>-25.6</v>
      </c>
      <c r="P396" s="8">
        <f>D392/B392*10^(O396/10)</f>
        <v>0.86574588908262984</v>
      </c>
      <c r="Q396" s="26"/>
      <c r="R396" s="17"/>
      <c r="S396" s="19"/>
      <c r="T396" s="17"/>
      <c r="U396" s="22"/>
    </row>
    <row r="397" spans="1:21" x14ac:dyDescent="0.25">
      <c r="A397" s="24"/>
      <c r="B397" s="24"/>
      <c r="C397" s="17"/>
      <c r="D397" s="24"/>
      <c r="E397" s="24"/>
      <c r="F397" s="25"/>
      <c r="G397" s="1">
        <v>11025</v>
      </c>
      <c r="H397" s="2">
        <v>86</v>
      </c>
      <c r="I397" s="2">
        <v>-28.5</v>
      </c>
      <c r="J397" s="2">
        <v>-31.1</v>
      </c>
      <c r="K397" s="2">
        <f t="shared" si="48"/>
        <v>-28.5</v>
      </c>
      <c r="L397" s="8">
        <f t="shared" si="52"/>
        <v>3.5481338923357515E-12</v>
      </c>
      <c r="M397" s="26"/>
      <c r="N397" s="17"/>
      <c r="O397" s="9">
        <f t="shared" si="50"/>
        <v>-31.1</v>
      </c>
      <c r="P397" s="8">
        <f>D392/B392*10^(O397/10)</f>
        <v>0.24400034366028509</v>
      </c>
      <c r="Q397" s="26"/>
      <c r="R397" s="17"/>
      <c r="S397" s="20"/>
      <c r="T397" s="17"/>
      <c r="U397" s="23"/>
    </row>
    <row r="398" spans="1:21" x14ac:dyDescent="0.25">
      <c r="A398" s="24" t="s">
        <v>20</v>
      </c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12">
        <f>U398</f>
        <v>6.469411141899549E-2</v>
      </c>
      <c r="T398" s="2"/>
      <c r="U398" s="8">
        <f>0.8*SQRT(SUM(U364:U397))</f>
        <v>6.469411141899549E-2</v>
      </c>
    </row>
    <row r="399" spans="1:21" x14ac:dyDescent="0.25">
      <c r="A399" s="27" t="s">
        <v>103</v>
      </c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9"/>
    </row>
    <row r="400" spans="1:21" x14ac:dyDescent="0.25">
      <c r="A400" s="24">
        <v>250</v>
      </c>
      <c r="B400" s="24">
        <v>3</v>
      </c>
      <c r="C400" s="17">
        <v>0.5</v>
      </c>
      <c r="D400" s="24">
        <v>38</v>
      </c>
      <c r="E400" s="24">
        <v>4</v>
      </c>
      <c r="F400" s="25">
        <v>84</v>
      </c>
      <c r="G400" s="1">
        <v>175</v>
      </c>
      <c r="H400" s="2">
        <v>84.8</v>
      </c>
      <c r="I400" s="2">
        <v>-17.7</v>
      </c>
      <c r="J400" s="2">
        <v>-20.5</v>
      </c>
      <c r="K400" s="2">
        <f>I400</f>
        <v>-17.7</v>
      </c>
      <c r="L400" s="8">
        <f>10^((K400-H400)/10)</f>
        <v>5.6234132519034822E-11</v>
      </c>
      <c r="M400" s="26">
        <f>SUM(L400:L403)</f>
        <v>7.4271264218703864E-11</v>
      </c>
      <c r="N400" s="17">
        <f>10*LOG10(M400/E400)</f>
        <v>-107.31239174945229</v>
      </c>
      <c r="O400" s="9">
        <f>J400</f>
        <v>-20.5</v>
      </c>
      <c r="P400" s="8">
        <f>D400/B400*10^(O400/10)</f>
        <v>0.11289178549694109</v>
      </c>
      <c r="Q400" s="26">
        <f>SUM(P400:P403)</f>
        <v>0.26367652074093295</v>
      </c>
      <c r="R400" s="17">
        <f>10*LOG10(Q400)</f>
        <v>-5.789285405388906</v>
      </c>
      <c r="S400" s="18">
        <f>F400+N400-Kzt-H</f>
        <v>-23.312391749452289</v>
      </c>
      <c r="T400" s="17">
        <v>0.2</v>
      </c>
      <c r="U400" s="21">
        <f>T400*10^((S400-R400)/10)</f>
        <v>3.537686638116043E-3</v>
      </c>
    </row>
    <row r="401" spans="1:21" x14ac:dyDescent="0.25">
      <c r="A401" s="24"/>
      <c r="B401" s="24"/>
      <c r="C401" s="17"/>
      <c r="D401" s="24"/>
      <c r="E401" s="24"/>
      <c r="F401" s="25"/>
      <c r="G401" s="1">
        <v>225</v>
      </c>
      <c r="H401" s="2">
        <v>90</v>
      </c>
      <c r="I401" s="2">
        <v>-22.599999999999998</v>
      </c>
      <c r="J401" s="2">
        <v>-23.9</v>
      </c>
      <c r="K401" s="2">
        <f t="shared" ref="K401:K433" si="53">I401</f>
        <v>-22.599999999999998</v>
      </c>
      <c r="L401" s="8">
        <f t="shared" ref="L401:L402" si="54">10^((K401-H401)/10)</f>
        <v>5.4954087385762314E-12</v>
      </c>
      <c r="M401" s="26"/>
      <c r="N401" s="17"/>
      <c r="O401" s="9">
        <f t="shared" ref="O401:O433" si="55">J401</f>
        <v>-23.9</v>
      </c>
      <c r="P401" s="8">
        <f>D400/B400*10^(O401/10)</f>
        <v>5.1601501855187651E-2</v>
      </c>
      <c r="Q401" s="26"/>
      <c r="R401" s="17"/>
      <c r="S401" s="19"/>
      <c r="T401" s="17"/>
      <c r="U401" s="22"/>
    </row>
    <row r="402" spans="1:21" x14ac:dyDescent="0.25">
      <c r="A402" s="24"/>
      <c r="B402" s="24"/>
      <c r="C402" s="17"/>
      <c r="D402" s="24"/>
      <c r="E402" s="24"/>
      <c r="F402" s="25"/>
      <c r="G402" s="1">
        <v>275</v>
      </c>
      <c r="H402" s="2">
        <v>92.2</v>
      </c>
      <c r="I402" s="2">
        <v>-20.3</v>
      </c>
      <c r="J402" s="2">
        <v>-23</v>
      </c>
      <c r="K402" s="2">
        <f t="shared" si="53"/>
        <v>-20.3</v>
      </c>
      <c r="L402" s="8">
        <f t="shared" si="54"/>
        <v>5.6234132519034759E-12</v>
      </c>
      <c r="M402" s="26"/>
      <c r="N402" s="17"/>
      <c r="O402" s="9">
        <f t="shared" si="55"/>
        <v>-23</v>
      </c>
      <c r="P402" s="8">
        <f>D400/B400*10^(O402/10)</f>
        <v>6.3483716259454467E-2</v>
      </c>
      <c r="Q402" s="26"/>
      <c r="R402" s="17"/>
      <c r="S402" s="19"/>
      <c r="T402" s="17"/>
      <c r="U402" s="22"/>
    </row>
    <row r="403" spans="1:21" x14ac:dyDescent="0.25">
      <c r="A403" s="24"/>
      <c r="B403" s="24"/>
      <c r="C403" s="17"/>
      <c r="D403" s="24"/>
      <c r="E403" s="24"/>
      <c r="F403" s="25"/>
      <c r="G403" s="1">
        <v>325</v>
      </c>
      <c r="H403" s="2">
        <v>93.3</v>
      </c>
      <c r="I403" s="2">
        <v>-18.3</v>
      </c>
      <c r="J403" s="2">
        <v>-25.5</v>
      </c>
      <c r="K403" s="2">
        <f t="shared" si="53"/>
        <v>-18.3</v>
      </c>
      <c r="L403" s="8">
        <f>10^((K403-H403)/10)</f>
        <v>6.9183097091893405E-12</v>
      </c>
      <c r="M403" s="26"/>
      <c r="N403" s="17"/>
      <c r="O403" s="9">
        <f t="shared" si="55"/>
        <v>-25.5</v>
      </c>
      <c r="P403" s="8">
        <f>D400/B400*10^(O403/10)</f>
        <v>3.5699517129349725E-2</v>
      </c>
      <c r="Q403" s="26"/>
      <c r="R403" s="17"/>
      <c r="S403" s="20"/>
      <c r="T403" s="17"/>
      <c r="U403" s="23"/>
    </row>
    <row r="404" spans="1:21" x14ac:dyDescent="0.25">
      <c r="A404" s="24">
        <v>500</v>
      </c>
      <c r="B404" s="24">
        <v>3</v>
      </c>
      <c r="C404" s="17">
        <v>0.5</v>
      </c>
      <c r="D404" s="24">
        <v>59</v>
      </c>
      <c r="E404" s="24">
        <v>6</v>
      </c>
      <c r="F404" s="25">
        <v>84</v>
      </c>
      <c r="G404" s="1">
        <v>375</v>
      </c>
      <c r="H404" s="2">
        <v>91.9</v>
      </c>
      <c r="I404" s="2">
        <v>-21.1</v>
      </c>
      <c r="J404" s="2">
        <v>-27.4</v>
      </c>
      <c r="K404" s="2">
        <f t="shared" si="53"/>
        <v>-21.1</v>
      </c>
      <c r="L404" s="8">
        <f t="shared" ref="L404:L405" si="56">10^((K404-H404)/10)</f>
        <v>5.0118723362726945E-12</v>
      </c>
      <c r="M404" s="26">
        <f>SUM(L404:L409)</f>
        <v>3.0604367203885329E-11</v>
      </c>
      <c r="N404" s="17">
        <f>10*LOG10(M404/E404)</f>
        <v>-112.92367846215221</v>
      </c>
      <c r="O404" s="9">
        <f t="shared" si="55"/>
        <v>-27.4</v>
      </c>
      <c r="P404" s="8">
        <f>D404/B404*10^(O404/10)</f>
        <v>3.5787450219329664E-2</v>
      </c>
      <c r="Q404" s="26">
        <f>SUM(P404:P409)</f>
        <v>0.26703557468961792</v>
      </c>
      <c r="R404" s="17">
        <f>10*LOG10(Q404)</f>
        <v>-5.7343087772820596</v>
      </c>
      <c r="S404" s="18">
        <f>F404+N404-Kzt-H</f>
        <v>-28.92367846215221</v>
      </c>
      <c r="T404" s="17">
        <v>0.5</v>
      </c>
      <c r="U404" s="21">
        <f>T404*10^((S404-R404)/10)</f>
        <v>2.3990154000308071E-3</v>
      </c>
    </row>
    <row r="405" spans="1:21" x14ac:dyDescent="0.25">
      <c r="A405" s="24"/>
      <c r="B405" s="24"/>
      <c r="C405" s="17"/>
      <c r="D405" s="24"/>
      <c r="E405" s="24"/>
      <c r="F405" s="25"/>
      <c r="G405" s="1">
        <v>425</v>
      </c>
      <c r="H405" s="2">
        <v>88.1</v>
      </c>
      <c r="I405" s="2">
        <v>-24.1</v>
      </c>
      <c r="J405" s="2">
        <v>-27.7</v>
      </c>
      <c r="K405" s="2">
        <f t="shared" si="53"/>
        <v>-24.1</v>
      </c>
      <c r="L405" s="8">
        <f t="shared" si="56"/>
        <v>6.0255958607435815E-12</v>
      </c>
      <c r="M405" s="26"/>
      <c r="N405" s="17"/>
      <c r="O405" s="9">
        <f t="shared" si="55"/>
        <v>-27.7</v>
      </c>
      <c r="P405" s="8">
        <f>D404/B404*10^(O405/10)</f>
        <v>3.3398791831747605E-2</v>
      </c>
      <c r="Q405" s="26"/>
      <c r="R405" s="17"/>
      <c r="S405" s="19"/>
      <c r="T405" s="17"/>
      <c r="U405" s="22"/>
    </row>
    <row r="406" spans="1:21" x14ac:dyDescent="0.25">
      <c r="A406" s="24"/>
      <c r="B406" s="24"/>
      <c r="C406" s="17"/>
      <c r="D406" s="24"/>
      <c r="E406" s="24"/>
      <c r="F406" s="25"/>
      <c r="G406" s="1">
        <v>475</v>
      </c>
      <c r="H406" s="2">
        <v>90</v>
      </c>
      <c r="I406" s="2">
        <v>-19.100000000000001</v>
      </c>
      <c r="J406" s="2">
        <v>-25.6</v>
      </c>
      <c r="K406" s="2">
        <f t="shared" si="53"/>
        <v>-19.100000000000001</v>
      </c>
      <c r="L406" s="8">
        <f>10^((K406-H406)/10)</f>
        <v>1.2302687708123787E-11</v>
      </c>
      <c r="M406" s="26"/>
      <c r="N406" s="17"/>
      <c r="O406" s="9">
        <f t="shared" si="55"/>
        <v>-25.6</v>
      </c>
      <c r="P406" s="8">
        <f>D404/B404*10^(O406/10)</f>
        <v>5.4166497832317251E-2</v>
      </c>
      <c r="Q406" s="26"/>
      <c r="R406" s="17"/>
      <c r="S406" s="19"/>
      <c r="T406" s="17"/>
      <c r="U406" s="22"/>
    </row>
    <row r="407" spans="1:21" x14ac:dyDescent="0.25">
      <c r="A407" s="24"/>
      <c r="B407" s="24"/>
      <c r="C407" s="17"/>
      <c r="D407" s="24"/>
      <c r="E407" s="24"/>
      <c r="F407" s="25"/>
      <c r="G407" s="1">
        <v>575</v>
      </c>
      <c r="H407" s="2">
        <v>97</v>
      </c>
      <c r="I407" s="2">
        <v>-22.7</v>
      </c>
      <c r="J407" s="2">
        <v>-26.9</v>
      </c>
      <c r="K407" s="2">
        <f t="shared" si="53"/>
        <v>-22.7</v>
      </c>
      <c r="L407" s="8">
        <f t="shared" ref="L407:L433" si="57">10^((K407-H407)/10)</f>
        <v>1.0715193052376033E-12</v>
      </c>
      <c r="M407" s="26"/>
      <c r="N407" s="17"/>
      <c r="O407" s="9">
        <f t="shared" si="55"/>
        <v>-26.9</v>
      </c>
      <c r="P407" s="8">
        <f>D404/B404*10^(O407/10)</f>
        <v>4.0154179578500745E-2</v>
      </c>
      <c r="Q407" s="26"/>
      <c r="R407" s="17"/>
      <c r="S407" s="19"/>
      <c r="T407" s="17"/>
      <c r="U407" s="22"/>
    </row>
    <row r="408" spans="1:21" x14ac:dyDescent="0.25">
      <c r="A408" s="24"/>
      <c r="B408" s="24"/>
      <c r="C408" s="17"/>
      <c r="D408" s="24"/>
      <c r="E408" s="24"/>
      <c r="F408" s="25"/>
      <c r="G408" s="1">
        <v>625</v>
      </c>
      <c r="H408" s="2">
        <v>92</v>
      </c>
      <c r="I408" s="2">
        <v>-21.4</v>
      </c>
      <c r="J408" s="2">
        <v>-28.1</v>
      </c>
      <c r="K408" s="2">
        <f t="shared" si="53"/>
        <v>-21.4</v>
      </c>
      <c r="L408" s="8">
        <f t="shared" si="57"/>
        <v>4.5708818961487419E-12</v>
      </c>
      <c r="M408" s="26"/>
      <c r="N408" s="17"/>
      <c r="O408" s="9">
        <f t="shared" si="55"/>
        <v>-28.1</v>
      </c>
      <c r="P408" s="8">
        <f>D404/B404*10^(O408/10)</f>
        <v>3.0460060171945448E-2</v>
      </c>
      <c r="Q408" s="26"/>
      <c r="R408" s="17"/>
      <c r="S408" s="19"/>
      <c r="T408" s="17"/>
      <c r="U408" s="22"/>
    </row>
    <row r="409" spans="1:21" x14ac:dyDescent="0.25">
      <c r="A409" s="24"/>
      <c r="B409" s="24"/>
      <c r="C409" s="17"/>
      <c r="D409" s="24"/>
      <c r="E409" s="24"/>
      <c r="F409" s="25"/>
      <c r="G409" s="1">
        <v>675</v>
      </c>
      <c r="H409" s="2">
        <v>94.5</v>
      </c>
      <c r="I409" s="2">
        <v>-23.4</v>
      </c>
      <c r="J409" s="2">
        <v>-24.3</v>
      </c>
      <c r="K409" s="2">
        <f t="shared" si="53"/>
        <v>-23.4</v>
      </c>
      <c r="L409" s="8">
        <f t="shared" si="57"/>
        <v>1.6218100973589226E-12</v>
      </c>
      <c r="M409" s="26"/>
      <c r="N409" s="17"/>
      <c r="O409" s="9">
        <f t="shared" si="55"/>
        <v>-24.3</v>
      </c>
      <c r="P409" s="8">
        <f>D404/B404*10^(O409/10)</f>
        <v>7.3068595055777216E-2</v>
      </c>
      <c r="Q409" s="26"/>
      <c r="R409" s="17"/>
      <c r="S409" s="20"/>
      <c r="T409" s="17"/>
      <c r="U409" s="23"/>
    </row>
    <row r="410" spans="1:21" x14ac:dyDescent="0.25">
      <c r="A410" s="24">
        <v>1000</v>
      </c>
      <c r="B410" s="24">
        <v>3</v>
      </c>
      <c r="C410" s="17">
        <v>0.5</v>
      </c>
      <c r="D410" s="24">
        <v>117</v>
      </c>
      <c r="E410" s="24">
        <v>6</v>
      </c>
      <c r="F410" s="25">
        <v>76</v>
      </c>
      <c r="G410" s="1">
        <v>875</v>
      </c>
      <c r="H410" s="2">
        <v>91.1</v>
      </c>
      <c r="I410" s="2">
        <v>-18.8</v>
      </c>
      <c r="J410" s="2">
        <v>-27.3</v>
      </c>
      <c r="K410" s="2">
        <f t="shared" si="53"/>
        <v>-18.8</v>
      </c>
      <c r="L410" s="8">
        <f t="shared" si="57"/>
        <v>1.0232929922807561E-11</v>
      </c>
      <c r="M410" s="26">
        <f>SUM(L410:L415)</f>
        <v>1.4707410044418304E-11</v>
      </c>
      <c r="N410" s="17">
        <f>10*LOG10(M410/E410)</f>
        <v>-116.10615049610558</v>
      </c>
      <c r="O410" s="9">
        <f t="shared" si="55"/>
        <v>-27.3</v>
      </c>
      <c r="P410" s="8">
        <f>D410/B410*10^(O410/10)</f>
        <v>7.2621398329851788E-2</v>
      </c>
      <c r="Q410" s="26">
        <f>SUM(P410:P415)</f>
        <v>0.5189631901209093</v>
      </c>
      <c r="R410" s="17">
        <f>10*LOG10(Q410)</f>
        <v>-2.8486344541610387</v>
      </c>
      <c r="S410" s="18">
        <f>F410+N410-Kzt-H</f>
        <v>-40.106150496105585</v>
      </c>
      <c r="T410" s="17">
        <v>0.8</v>
      </c>
      <c r="U410" s="21">
        <f>T410*10^((S410-R410)/10)</f>
        <v>1.5043136033313691E-4</v>
      </c>
    </row>
    <row r="411" spans="1:21" x14ac:dyDescent="0.25">
      <c r="A411" s="24"/>
      <c r="B411" s="24"/>
      <c r="C411" s="17"/>
      <c r="D411" s="24"/>
      <c r="E411" s="24"/>
      <c r="F411" s="25"/>
      <c r="G411" s="1">
        <v>975</v>
      </c>
      <c r="H411" s="2">
        <v>96.5</v>
      </c>
      <c r="I411" s="2">
        <v>-22.7</v>
      </c>
      <c r="J411" s="2">
        <v>-27.9</v>
      </c>
      <c r="K411" s="2">
        <f t="shared" si="53"/>
        <v>-22.7</v>
      </c>
      <c r="L411" s="8">
        <f t="shared" si="57"/>
        <v>1.2022644346174088E-12</v>
      </c>
      <c r="M411" s="26"/>
      <c r="N411" s="17"/>
      <c r="O411" s="9">
        <f t="shared" si="55"/>
        <v>-27.9</v>
      </c>
      <c r="P411" s="8">
        <f>D410/B410*10^(O411/10)</f>
        <v>6.3250593796998211E-2</v>
      </c>
      <c r="Q411" s="26"/>
      <c r="R411" s="17"/>
      <c r="S411" s="19"/>
      <c r="T411" s="17"/>
      <c r="U411" s="22"/>
    </row>
    <row r="412" spans="1:21" x14ac:dyDescent="0.25">
      <c r="A412" s="24"/>
      <c r="B412" s="24"/>
      <c r="C412" s="17"/>
      <c r="D412" s="24"/>
      <c r="E412" s="24"/>
      <c r="F412" s="25"/>
      <c r="G412" s="1">
        <v>1075</v>
      </c>
      <c r="H412" s="2">
        <v>94.6</v>
      </c>
      <c r="I412" s="2">
        <v>-24</v>
      </c>
      <c r="J412" s="2">
        <v>-27.7</v>
      </c>
      <c r="K412" s="2">
        <f t="shared" si="53"/>
        <v>-24</v>
      </c>
      <c r="L412" s="8">
        <f t="shared" si="57"/>
        <v>1.3803842646028842E-12</v>
      </c>
      <c r="M412" s="26"/>
      <c r="N412" s="17"/>
      <c r="O412" s="9">
        <f t="shared" si="55"/>
        <v>-27.7</v>
      </c>
      <c r="P412" s="8">
        <f>D410/B410*10^(O412/10)</f>
        <v>6.6231502446007964E-2</v>
      </c>
      <c r="Q412" s="26"/>
      <c r="R412" s="17"/>
      <c r="S412" s="19"/>
      <c r="T412" s="17"/>
      <c r="U412" s="22"/>
    </row>
    <row r="413" spans="1:21" x14ac:dyDescent="0.25">
      <c r="A413" s="24"/>
      <c r="B413" s="24"/>
      <c r="C413" s="17"/>
      <c r="D413" s="24"/>
      <c r="E413" s="24"/>
      <c r="F413" s="25"/>
      <c r="G413" s="1">
        <v>1175</v>
      </c>
      <c r="H413" s="2">
        <v>97.8</v>
      </c>
      <c r="I413" s="2">
        <v>-23</v>
      </c>
      <c r="J413" s="2">
        <v>-25.3</v>
      </c>
      <c r="K413" s="2">
        <f t="shared" si="53"/>
        <v>-23</v>
      </c>
      <c r="L413" s="8">
        <f t="shared" si="57"/>
        <v>8.3176377110266952E-13</v>
      </c>
      <c r="M413" s="26"/>
      <c r="N413" s="17"/>
      <c r="O413" s="9">
        <f t="shared" si="55"/>
        <v>-25.3</v>
      </c>
      <c r="P413" s="8">
        <f>D410/B410*10^(O413/10)</f>
        <v>0.11509715983998897</v>
      </c>
      <c r="Q413" s="26"/>
      <c r="R413" s="17"/>
      <c r="S413" s="19"/>
      <c r="T413" s="17"/>
      <c r="U413" s="22"/>
    </row>
    <row r="414" spans="1:21" x14ac:dyDescent="0.25">
      <c r="A414" s="24"/>
      <c r="B414" s="24"/>
      <c r="C414" s="17"/>
      <c r="D414" s="24"/>
      <c r="E414" s="24"/>
      <c r="F414" s="25"/>
      <c r="G414" s="1">
        <v>1275</v>
      </c>
      <c r="H414" s="2">
        <v>100.1</v>
      </c>
      <c r="I414" s="2">
        <v>-20.6</v>
      </c>
      <c r="J414" s="2">
        <v>-27.3</v>
      </c>
      <c r="K414" s="2">
        <f t="shared" si="53"/>
        <v>-20.6</v>
      </c>
      <c r="L414" s="8">
        <f t="shared" si="57"/>
        <v>8.5113803820237784E-13</v>
      </c>
      <c r="M414" s="26"/>
      <c r="N414" s="17"/>
      <c r="O414" s="9">
        <f t="shared" si="55"/>
        <v>-27.3</v>
      </c>
      <c r="P414" s="8">
        <f>D410/B410*10^(O414/10)</f>
        <v>7.2621398329851788E-2</v>
      </c>
      <c r="Q414" s="26"/>
      <c r="R414" s="17"/>
      <c r="S414" s="19"/>
      <c r="T414" s="17"/>
      <c r="U414" s="22"/>
    </row>
    <row r="415" spans="1:21" x14ac:dyDescent="0.25">
      <c r="A415" s="24"/>
      <c r="B415" s="24"/>
      <c r="C415" s="17"/>
      <c r="D415" s="24"/>
      <c r="E415" s="24"/>
      <c r="F415" s="25"/>
      <c r="G415" s="1">
        <v>1375</v>
      </c>
      <c r="H415" s="2">
        <v>103</v>
      </c>
      <c r="I415" s="2">
        <v>-23.8</v>
      </c>
      <c r="J415" s="2">
        <v>-24.8</v>
      </c>
      <c r="K415" s="2">
        <f t="shared" si="53"/>
        <v>-23.8</v>
      </c>
      <c r="L415" s="8">
        <f t="shared" si="57"/>
        <v>2.0892961308540331E-13</v>
      </c>
      <c r="M415" s="26"/>
      <c r="N415" s="17"/>
      <c r="O415" s="9">
        <f t="shared" si="55"/>
        <v>-24.8</v>
      </c>
      <c r="P415" s="8">
        <f>D410/B410*10^(O415/10)</f>
        <v>0.12914113737821051</v>
      </c>
      <c r="Q415" s="26"/>
      <c r="R415" s="17"/>
      <c r="S415" s="20"/>
      <c r="T415" s="17"/>
      <c r="U415" s="23"/>
    </row>
    <row r="416" spans="1:21" x14ac:dyDescent="0.25">
      <c r="A416" s="24">
        <v>2000</v>
      </c>
      <c r="B416" s="24">
        <v>3</v>
      </c>
      <c r="C416" s="17">
        <v>0.5</v>
      </c>
      <c r="D416" s="24">
        <v>234</v>
      </c>
      <c r="E416" s="24">
        <v>6</v>
      </c>
      <c r="F416" s="25">
        <v>68</v>
      </c>
      <c r="G416" s="1">
        <v>1425</v>
      </c>
      <c r="H416" s="2">
        <v>102.8</v>
      </c>
      <c r="I416" s="2">
        <v>-21.1</v>
      </c>
      <c r="J416" s="2">
        <v>-25.8</v>
      </c>
      <c r="K416" s="2">
        <f t="shared" si="53"/>
        <v>-21.1</v>
      </c>
      <c r="L416" s="8">
        <f t="shared" si="57"/>
        <v>4.0738027780411177E-13</v>
      </c>
      <c r="M416" s="26">
        <f>SUM(L416:L421)</f>
        <v>3.7987128291579155E-12</v>
      </c>
      <c r="N416" s="17">
        <f>10*LOG10(M416/E416)</f>
        <v>-121.98514786896325</v>
      </c>
      <c r="O416" s="9">
        <f t="shared" si="55"/>
        <v>-25.8</v>
      </c>
      <c r="P416" s="8">
        <f>D416/B416*10^(O416/10)</f>
        <v>0.20516090336783957</v>
      </c>
      <c r="Q416" s="26">
        <f>SUM(P416:P421)</f>
        <v>1.3028320165750245</v>
      </c>
      <c r="R416" s="17">
        <f>10*LOG10(Q416)</f>
        <v>1.1488842263693353</v>
      </c>
      <c r="S416" s="18">
        <f>F416+N416-Kzt-H</f>
        <v>-53.985147868963253</v>
      </c>
      <c r="T416" s="17">
        <v>1</v>
      </c>
      <c r="U416" s="21">
        <f>T416*10^((S416-R416)/10)</f>
        <v>3.0661739562163732E-6</v>
      </c>
    </row>
    <row r="417" spans="1:21" x14ac:dyDescent="0.25">
      <c r="A417" s="24"/>
      <c r="B417" s="24"/>
      <c r="C417" s="17"/>
      <c r="D417" s="24"/>
      <c r="E417" s="24"/>
      <c r="F417" s="25"/>
      <c r="G417" s="1">
        <v>1625</v>
      </c>
      <c r="H417" s="2">
        <v>104.1</v>
      </c>
      <c r="I417" s="2">
        <v>-22.5</v>
      </c>
      <c r="J417" s="2">
        <v>-28.5</v>
      </c>
      <c r="K417" s="2">
        <f t="shared" si="53"/>
        <v>-22.5</v>
      </c>
      <c r="L417" s="8">
        <f t="shared" si="57"/>
        <v>2.1877616239495453E-13</v>
      </c>
      <c r="M417" s="26"/>
      <c r="N417" s="17"/>
      <c r="O417" s="9">
        <f t="shared" si="55"/>
        <v>-28.5</v>
      </c>
      <c r="P417" s="8">
        <f>D416/B416*10^(O417/10)</f>
        <v>0.11017792848057471</v>
      </c>
      <c r="Q417" s="26"/>
      <c r="R417" s="17"/>
      <c r="S417" s="19"/>
      <c r="T417" s="17"/>
      <c r="U417" s="22"/>
    </row>
    <row r="418" spans="1:21" x14ac:dyDescent="0.25">
      <c r="A418" s="24"/>
      <c r="B418" s="24"/>
      <c r="C418" s="17"/>
      <c r="D418" s="24"/>
      <c r="E418" s="24"/>
      <c r="F418" s="25"/>
      <c r="G418" s="1">
        <v>1825</v>
      </c>
      <c r="H418" s="2">
        <v>107.6</v>
      </c>
      <c r="I418" s="2">
        <v>-20.3</v>
      </c>
      <c r="J418" s="2">
        <v>-25.5</v>
      </c>
      <c r="K418" s="2">
        <f t="shared" si="53"/>
        <v>-20.3</v>
      </c>
      <c r="L418" s="8">
        <f t="shared" si="57"/>
        <v>1.6218100973589265E-13</v>
      </c>
      <c r="M418" s="26"/>
      <c r="N418" s="17"/>
      <c r="O418" s="9">
        <f t="shared" si="55"/>
        <v>-25.5</v>
      </c>
      <c r="P418" s="8">
        <f>D416/B416*10^(O418/10)</f>
        <v>0.21983386863862728</v>
      </c>
      <c r="Q418" s="26"/>
      <c r="R418" s="17"/>
      <c r="S418" s="19"/>
      <c r="T418" s="17"/>
      <c r="U418" s="22"/>
    </row>
    <row r="419" spans="1:21" x14ac:dyDescent="0.25">
      <c r="A419" s="24"/>
      <c r="B419" s="24"/>
      <c r="C419" s="17"/>
      <c r="D419" s="24"/>
      <c r="E419" s="24"/>
      <c r="F419" s="25"/>
      <c r="G419" s="1">
        <v>2125</v>
      </c>
      <c r="H419" s="2">
        <v>104.2</v>
      </c>
      <c r="I419" s="2">
        <v>-20.399999999999999</v>
      </c>
      <c r="J419" s="2">
        <v>-21</v>
      </c>
      <c r="K419" s="2">
        <f t="shared" si="53"/>
        <v>-20.399999999999999</v>
      </c>
      <c r="L419" s="8">
        <f t="shared" si="57"/>
        <v>3.4673685045253105E-13</v>
      </c>
      <c r="M419" s="26"/>
      <c r="N419" s="17"/>
      <c r="O419" s="9">
        <f t="shared" si="55"/>
        <v>-21</v>
      </c>
      <c r="P419" s="8">
        <f>D416/B416*10^(O419/10)</f>
        <v>0.61957602308493931</v>
      </c>
      <c r="Q419" s="26"/>
      <c r="R419" s="17"/>
      <c r="S419" s="19"/>
      <c r="T419" s="17"/>
      <c r="U419" s="22"/>
    </row>
    <row r="420" spans="1:21" x14ac:dyDescent="0.25">
      <c r="A420" s="24"/>
      <c r="B420" s="24"/>
      <c r="C420" s="17"/>
      <c r="D420" s="24"/>
      <c r="E420" s="24"/>
      <c r="F420" s="25"/>
      <c r="G420" s="1">
        <v>2425</v>
      </c>
      <c r="H420" s="2">
        <v>93.7</v>
      </c>
      <c r="I420" s="2">
        <v>-22.4</v>
      </c>
      <c r="J420" s="2">
        <v>-28.7</v>
      </c>
      <c r="K420" s="2">
        <f t="shared" si="53"/>
        <v>-22.4</v>
      </c>
      <c r="L420" s="8">
        <f t="shared" si="57"/>
        <v>2.4547089156850233E-12</v>
      </c>
      <c r="M420" s="26"/>
      <c r="N420" s="17"/>
      <c r="O420" s="9">
        <f t="shared" si="55"/>
        <v>-28.7</v>
      </c>
      <c r="P420" s="8">
        <f>D416/B416*10^(O420/10)</f>
        <v>0.10521910484214889</v>
      </c>
      <c r="Q420" s="26"/>
      <c r="R420" s="17"/>
      <c r="S420" s="19"/>
      <c r="T420" s="17"/>
      <c r="U420" s="22"/>
    </row>
    <row r="421" spans="1:21" x14ac:dyDescent="0.25">
      <c r="A421" s="24"/>
      <c r="B421" s="24"/>
      <c r="C421" s="17"/>
      <c r="D421" s="24"/>
      <c r="E421" s="24"/>
      <c r="F421" s="25"/>
      <c r="G421" s="1">
        <v>2775</v>
      </c>
      <c r="H421" s="2">
        <v>100.2</v>
      </c>
      <c r="I421" s="2">
        <v>-26.6</v>
      </c>
      <c r="J421" s="2">
        <v>-32.6</v>
      </c>
      <c r="K421" s="2">
        <f t="shared" si="53"/>
        <v>-26.6</v>
      </c>
      <c r="L421" s="8">
        <f t="shared" si="57"/>
        <v>2.0892961308540252E-13</v>
      </c>
      <c r="M421" s="26"/>
      <c r="N421" s="17"/>
      <c r="O421" s="9">
        <f t="shared" si="55"/>
        <v>-32.6</v>
      </c>
      <c r="P421" s="8">
        <f>D416/B416*10^(O421/10)</f>
        <v>4.286418816089467E-2</v>
      </c>
      <c r="Q421" s="26"/>
      <c r="R421" s="17"/>
      <c r="S421" s="20"/>
      <c r="T421" s="17"/>
      <c r="U421" s="23"/>
    </row>
    <row r="422" spans="1:21" x14ac:dyDescent="0.25">
      <c r="A422" s="24">
        <v>4000</v>
      </c>
      <c r="B422" s="24">
        <v>3</v>
      </c>
      <c r="C422" s="17">
        <v>0.5</v>
      </c>
      <c r="D422" s="24">
        <v>470</v>
      </c>
      <c r="E422" s="24">
        <v>6</v>
      </c>
      <c r="F422" s="25">
        <v>62</v>
      </c>
      <c r="G422" s="1">
        <v>2825</v>
      </c>
      <c r="H422" s="2">
        <v>99.4</v>
      </c>
      <c r="I422" s="2">
        <v>-19.600000000000001</v>
      </c>
      <c r="J422" s="2">
        <v>-25.3</v>
      </c>
      <c r="K422" s="2">
        <f t="shared" si="53"/>
        <v>-19.600000000000001</v>
      </c>
      <c r="L422" s="8">
        <f t="shared" si="57"/>
        <v>1.2589254117941629E-12</v>
      </c>
      <c r="M422" s="26">
        <f>SUM(L422:L427)</f>
        <v>2.830660453646588E-12</v>
      </c>
      <c r="N422" s="17">
        <f>10*LOG10(M422/E422)</f>
        <v>-123.26263472841786</v>
      </c>
      <c r="O422" s="9">
        <f t="shared" si="55"/>
        <v>-25.3</v>
      </c>
      <c r="P422" s="8">
        <f>D422/B422*10^(O422/10)</f>
        <v>0.46235611217773342</v>
      </c>
      <c r="Q422" s="26">
        <f>SUM(P422:P427)</f>
        <v>2.4643553134484399</v>
      </c>
      <c r="R422" s="17">
        <f>10*LOG10(Q422)</f>
        <v>3.9170332506102752</v>
      </c>
      <c r="S422" s="18">
        <f>F422+N422-Kzt-H</f>
        <v>-61.262634728417865</v>
      </c>
      <c r="T422" s="17">
        <v>0.9</v>
      </c>
      <c r="U422" s="21">
        <f>T422*10^((S422-R422)/10)</f>
        <v>2.7307108224233094E-7</v>
      </c>
    </row>
    <row r="423" spans="1:21" x14ac:dyDescent="0.25">
      <c r="A423" s="24"/>
      <c r="B423" s="24"/>
      <c r="C423" s="17"/>
      <c r="D423" s="24"/>
      <c r="E423" s="24"/>
      <c r="F423" s="25"/>
      <c r="G423" s="1">
        <v>3425</v>
      </c>
      <c r="H423" s="2">
        <v>103.5</v>
      </c>
      <c r="I423" s="2">
        <v>-21</v>
      </c>
      <c r="J423" s="2">
        <v>-24.2</v>
      </c>
      <c r="K423" s="2">
        <f t="shared" si="53"/>
        <v>-21</v>
      </c>
      <c r="L423" s="8">
        <f t="shared" si="57"/>
        <v>3.5481338923357479E-13</v>
      </c>
      <c r="M423" s="26"/>
      <c r="N423" s="17"/>
      <c r="O423" s="9">
        <f t="shared" si="55"/>
        <v>-24.2</v>
      </c>
      <c r="P423" s="8">
        <f>D422/B422*10^(O423/10)</f>
        <v>0.59563005423554594</v>
      </c>
      <c r="Q423" s="26"/>
      <c r="R423" s="17"/>
      <c r="S423" s="19"/>
      <c r="T423" s="17"/>
      <c r="U423" s="22"/>
    </row>
    <row r="424" spans="1:21" x14ac:dyDescent="0.25">
      <c r="A424" s="24"/>
      <c r="B424" s="24"/>
      <c r="C424" s="17"/>
      <c r="D424" s="24"/>
      <c r="E424" s="24"/>
      <c r="F424" s="25"/>
      <c r="G424" s="1">
        <v>4025</v>
      </c>
      <c r="H424" s="2">
        <v>103.6</v>
      </c>
      <c r="I424" s="2">
        <v>-21.9</v>
      </c>
      <c r="J424" s="2">
        <v>-23.9</v>
      </c>
      <c r="K424" s="2">
        <f t="shared" si="53"/>
        <v>-21.9</v>
      </c>
      <c r="L424" s="8">
        <f t="shared" si="57"/>
        <v>2.8183829312644412E-13</v>
      </c>
      <c r="M424" s="26"/>
      <c r="N424" s="17"/>
      <c r="O424" s="9">
        <f t="shared" si="55"/>
        <v>-23.9</v>
      </c>
      <c r="P424" s="8">
        <f>D422/B422*10^(O424/10)</f>
        <v>0.63822910189311033</v>
      </c>
      <c r="Q424" s="26"/>
      <c r="R424" s="17"/>
      <c r="S424" s="19"/>
      <c r="T424" s="17"/>
      <c r="U424" s="22"/>
    </row>
    <row r="425" spans="1:21" x14ac:dyDescent="0.25">
      <c r="A425" s="24"/>
      <c r="B425" s="24"/>
      <c r="C425" s="17"/>
      <c r="D425" s="24"/>
      <c r="E425" s="24"/>
      <c r="F425" s="25"/>
      <c r="G425" s="1">
        <v>4625</v>
      </c>
      <c r="H425" s="2">
        <v>105.6</v>
      </c>
      <c r="I425" s="2">
        <v>-23.7</v>
      </c>
      <c r="J425" s="2">
        <v>-29.3</v>
      </c>
      <c r="K425" s="2">
        <f t="shared" si="53"/>
        <v>-23.7</v>
      </c>
      <c r="L425" s="8">
        <f t="shared" si="57"/>
        <v>1.1748975549395328E-13</v>
      </c>
      <c r="M425" s="26"/>
      <c r="N425" s="17"/>
      <c r="O425" s="9">
        <f t="shared" si="55"/>
        <v>-29.3</v>
      </c>
      <c r="P425" s="8">
        <f>D422/B422*10^(O425/10)</f>
        <v>0.18406728360719271</v>
      </c>
      <c r="Q425" s="26"/>
      <c r="R425" s="17"/>
      <c r="S425" s="19"/>
      <c r="T425" s="17"/>
      <c r="U425" s="22"/>
    </row>
    <row r="426" spans="1:21" x14ac:dyDescent="0.25">
      <c r="A426" s="24"/>
      <c r="B426" s="24"/>
      <c r="C426" s="17"/>
      <c r="D426" s="24"/>
      <c r="E426" s="24"/>
      <c r="F426" s="25"/>
      <c r="G426" s="1">
        <v>5225</v>
      </c>
      <c r="H426" s="2">
        <v>103.5</v>
      </c>
      <c r="I426" s="2">
        <v>-26.1</v>
      </c>
      <c r="J426" s="2">
        <v>-27.5</v>
      </c>
      <c r="K426" s="2">
        <f t="shared" si="53"/>
        <v>-26.1</v>
      </c>
      <c r="L426" s="8">
        <f t="shared" si="57"/>
        <v>1.0964781961431845E-13</v>
      </c>
      <c r="M426" s="26"/>
      <c r="N426" s="17"/>
      <c r="O426" s="9">
        <f t="shared" si="55"/>
        <v>-27.5</v>
      </c>
      <c r="P426" s="8">
        <f>D422/B422*10^(O426/10)</f>
        <v>0.27859710757276446</v>
      </c>
      <c r="Q426" s="26"/>
      <c r="R426" s="17"/>
      <c r="S426" s="19"/>
      <c r="T426" s="17"/>
      <c r="U426" s="22"/>
    </row>
    <row r="427" spans="1:21" x14ac:dyDescent="0.25">
      <c r="A427" s="24"/>
      <c r="B427" s="24"/>
      <c r="C427" s="17"/>
      <c r="D427" s="24"/>
      <c r="E427" s="24"/>
      <c r="F427" s="25"/>
      <c r="G427" s="1">
        <v>5625</v>
      </c>
      <c r="H427" s="2">
        <v>99.5</v>
      </c>
      <c r="I427" s="2">
        <v>-22</v>
      </c>
      <c r="J427" s="2">
        <v>-27.1</v>
      </c>
      <c r="K427" s="2">
        <f t="shared" si="53"/>
        <v>-22</v>
      </c>
      <c r="L427" s="8">
        <f t="shared" si="57"/>
        <v>7.0794578438413455E-13</v>
      </c>
      <c r="M427" s="26"/>
      <c r="N427" s="17"/>
      <c r="O427" s="9">
        <f t="shared" si="55"/>
        <v>-27.1</v>
      </c>
      <c r="P427" s="8">
        <f>D422/B422*10^(O427/10)</f>
        <v>0.30547565396209353</v>
      </c>
      <c r="Q427" s="26"/>
      <c r="R427" s="17"/>
      <c r="S427" s="20"/>
      <c r="T427" s="17"/>
      <c r="U427" s="23"/>
    </row>
    <row r="428" spans="1:21" x14ac:dyDescent="0.25">
      <c r="A428" s="24">
        <v>8000</v>
      </c>
      <c r="B428" s="24">
        <v>3</v>
      </c>
      <c r="C428" s="17">
        <v>0.5</v>
      </c>
      <c r="D428" s="24">
        <v>943</v>
      </c>
      <c r="E428" s="24">
        <v>6</v>
      </c>
      <c r="F428" s="25">
        <v>54</v>
      </c>
      <c r="G428" s="1">
        <v>6025</v>
      </c>
      <c r="H428" s="2">
        <v>95</v>
      </c>
      <c r="I428" s="2">
        <v>-21</v>
      </c>
      <c r="J428" s="2">
        <v>-25</v>
      </c>
      <c r="K428" s="2">
        <f t="shared" si="53"/>
        <v>-21</v>
      </c>
      <c r="L428" s="8">
        <f t="shared" si="57"/>
        <v>2.5118864315095726E-12</v>
      </c>
      <c r="M428" s="26">
        <f>SUM(L428:L433)</f>
        <v>2.889573276106058E-11</v>
      </c>
      <c r="N428" s="17">
        <f>10*LOG10(M428/E428)</f>
        <v>-113.17317538255402</v>
      </c>
      <c r="O428" s="9">
        <f t="shared" si="55"/>
        <v>-25</v>
      </c>
      <c r="P428" s="8">
        <f>D428/B428*10^(O428/10)</f>
        <v>0.99400927784625959</v>
      </c>
      <c r="Q428" s="26">
        <f>SUM(P428:P433)</f>
        <v>5.0305015828082915</v>
      </c>
      <c r="R428" s="17">
        <f>10*LOG10(Q428)</f>
        <v>7.0161128998346918</v>
      </c>
      <c r="S428" s="18">
        <f>F428+N428-Kzt-H</f>
        <v>-59.173175382554021</v>
      </c>
      <c r="T428" s="17">
        <v>0.7</v>
      </c>
      <c r="U428" s="21">
        <f>T428*10^((S428-R428)/10)</f>
        <v>1.6833297998672851E-7</v>
      </c>
    </row>
    <row r="429" spans="1:21" x14ac:dyDescent="0.25">
      <c r="A429" s="24"/>
      <c r="B429" s="24"/>
      <c r="C429" s="17"/>
      <c r="D429" s="24"/>
      <c r="E429" s="24"/>
      <c r="F429" s="25"/>
      <c r="G429" s="1">
        <v>7025</v>
      </c>
      <c r="H429" s="2">
        <v>94.8</v>
      </c>
      <c r="I429" s="2">
        <v>-25</v>
      </c>
      <c r="J429" s="2">
        <v>-25.8</v>
      </c>
      <c r="K429" s="2">
        <f t="shared" si="53"/>
        <v>-25</v>
      </c>
      <c r="L429" s="8">
        <f t="shared" si="57"/>
        <v>1.0471285480508967E-12</v>
      </c>
      <c r="M429" s="26"/>
      <c r="N429" s="17"/>
      <c r="O429" s="9">
        <f t="shared" si="55"/>
        <v>-25.8</v>
      </c>
      <c r="P429" s="8">
        <f>D428/B428*10^(O429/10)</f>
        <v>0.82678090545244742</v>
      </c>
      <c r="Q429" s="26"/>
      <c r="R429" s="17"/>
      <c r="S429" s="19"/>
      <c r="T429" s="17"/>
      <c r="U429" s="22"/>
    </row>
    <row r="430" spans="1:21" x14ac:dyDescent="0.25">
      <c r="A430" s="24"/>
      <c r="B430" s="24"/>
      <c r="C430" s="17"/>
      <c r="D430" s="24"/>
      <c r="E430" s="24"/>
      <c r="F430" s="25"/>
      <c r="G430" s="1">
        <v>8025</v>
      </c>
      <c r="H430" s="2">
        <v>101.9</v>
      </c>
      <c r="I430" s="2">
        <v>-21.1</v>
      </c>
      <c r="J430" s="2">
        <v>-28.4</v>
      </c>
      <c r="K430" s="2">
        <f t="shared" si="53"/>
        <v>-21.1</v>
      </c>
      <c r="L430" s="8">
        <f t="shared" si="57"/>
        <v>5.0118723362727066E-13</v>
      </c>
      <c r="M430" s="26"/>
      <c r="N430" s="17"/>
      <c r="O430" s="9">
        <f t="shared" si="55"/>
        <v>-28.4</v>
      </c>
      <c r="P430" s="8">
        <f>D428/B428*10^(O430/10)</f>
        <v>0.45434990127113639</v>
      </c>
      <c r="Q430" s="26"/>
      <c r="R430" s="17"/>
      <c r="S430" s="19"/>
      <c r="T430" s="17"/>
      <c r="U430" s="22"/>
    </row>
    <row r="431" spans="1:21" x14ac:dyDescent="0.25">
      <c r="A431" s="24"/>
      <c r="B431" s="24"/>
      <c r="C431" s="17"/>
      <c r="D431" s="24"/>
      <c r="E431" s="24"/>
      <c r="F431" s="25"/>
      <c r="G431" s="1">
        <v>9025</v>
      </c>
      <c r="H431" s="2">
        <v>93.2</v>
      </c>
      <c r="I431" s="2">
        <v>-24.8</v>
      </c>
      <c r="J431" s="2">
        <v>-25.2</v>
      </c>
      <c r="K431" s="2">
        <f t="shared" si="53"/>
        <v>-24.8</v>
      </c>
      <c r="L431" s="8">
        <f t="shared" si="57"/>
        <v>1.5848931924611065E-12</v>
      </c>
      <c r="M431" s="26"/>
      <c r="N431" s="17"/>
      <c r="O431" s="9">
        <f t="shared" si="55"/>
        <v>-25.2</v>
      </c>
      <c r="P431" s="8">
        <f>D428/B428*10^(O431/10)</f>
        <v>0.94927149077969952</v>
      </c>
      <c r="Q431" s="26"/>
      <c r="R431" s="17"/>
      <c r="S431" s="19"/>
      <c r="T431" s="17"/>
      <c r="U431" s="22"/>
    </row>
    <row r="432" spans="1:21" x14ac:dyDescent="0.25">
      <c r="A432" s="24"/>
      <c r="B432" s="24"/>
      <c r="C432" s="17"/>
      <c r="D432" s="24"/>
      <c r="E432" s="24"/>
      <c r="F432" s="25"/>
      <c r="G432" s="1">
        <v>10025</v>
      </c>
      <c r="H432" s="2">
        <v>88.3</v>
      </c>
      <c r="I432" s="2">
        <v>-22.8</v>
      </c>
      <c r="J432" s="2">
        <v>-23.4</v>
      </c>
      <c r="K432" s="2">
        <f t="shared" si="53"/>
        <v>-22.8</v>
      </c>
      <c r="L432" s="8">
        <f t="shared" si="57"/>
        <v>7.762471166286914E-12</v>
      </c>
      <c r="M432" s="26"/>
      <c r="N432" s="17"/>
      <c r="O432" s="9">
        <f t="shared" si="55"/>
        <v>-23.4</v>
      </c>
      <c r="P432" s="8">
        <f>D428/B428*10^(O432/10)</f>
        <v>1.4367805426894238</v>
      </c>
      <c r="Q432" s="26"/>
      <c r="R432" s="17"/>
      <c r="S432" s="19"/>
      <c r="T432" s="17"/>
      <c r="U432" s="22"/>
    </row>
    <row r="433" spans="1:21" x14ac:dyDescent="0.25">
      <c r="A433" s="24"/>
      <c r="B433" s="24"/>
      <c r="C433" s="17"/>
      <c r="D433" s="24"/>
      <c r="E433" s="24"/>
      <c r="F433" s="25"/>
      <c r="G433" s="1">
        <v>11025</v>
      </c>
      <c r="H433" s="2">
        <v>86</v>
      </c>
      <c r="I433" s="2">
        <v>-22.1</v>
      </c>
      <c r="J433" s="2">
        <v>-29.3</v>
      </c>
      <c r="K433" s="2">
        <f t="shared" si="53"/>
        <v>-22.1</v>
      </c>
      <c r="L433" s="8">
        <f t="shared" si="57"/>
        <v>1.5488166189124818E-11</v>
      </c>
      <c r="M433" s="26"/>
      <c r="N433" s="17"/>
      <c r="O433" s="9">
        <f t="shared" si="55"/>
        <v>-29.3</v>
      </c>
      <c r="P433" s="8">
        <f>D428/B428*10^(O433/10)</f>
        <v>0.36930946476932491</v>
      </c>
      <c r="Q433" s="26"/>
      <c r="R433" s="17"/>
      <c r="S433" s="20"/>
      <c r="T433" s="17"/>
      <c r="U433" s="23"/>
    </row>
    <row r="434" spans="1:21" x14ac:dyDescent="0.25">
      <c r="A434" s="24" t="s">
        <v>20</v>
      </c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12">
        <f>U434</f>
        <v>6.2434047001287664E-2</v>
      </c>
      <c r="T434" s="2"/>
      <c r="U434" s="8">
        <f>0.8*SQRT(SUM(U400:U433))</f>
        <v>6.2434047001287664E-2</v>
      </c>
    </row>
    <row r="435" spans="1:21" x14ac:dyDescent="0.25">
      <c r="A435" s="27" t="s">
        <v>104</v>
      </c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9"/>
    </row>
    <row r="436" spans="1:21" x14ac:dyDescent="0.25">
      <c r="A436" s="24">
        <v>250</v>
      </c>
      <c r="B436" s="24">
        <v>3</v>
      </c>
      <c r="C436" s="17">
        <v>0.5</v>
      </c>
      <c r="D436" s="24">
        <v>38</v>
      </c>
      <c r="E436" s="24">
        <v>4</v>
      </c>
      <c r="F436" s="25">
        <v>84</v>
      </c>
      <c r="G436" s="1">
        <v>175</v>
      </c>
      <c r="H436" s="2">
        <v>84.8</v>
      </c>
      <c r="I436" s="2">
        <v>-16.099999999999998</v>
      </c>
      <c r="J436" s="2">
        <v>-17.899999999999999</v>
      </c>
      <c r="K436" s="2">
        <f>I436</f>
        <v>-16.099999999999998</v>
      </c>
      <c r="L436" s="8">
        <f>10^((K436-H436)/10)</f>
        <v>8.1283051616409667E-11</v>
      </c>
      <c r="M436" s="26">
        <f>SUM(L436:L439)</f>
        <v>1.0284229486559034E-10</v>
      </c>
      <c r="N436" s="17">
        <f>10*LOG10(M436/E436)</f>
        <v>-105.89888232221952</v>
      </c>
      <c r="O436" s="9">
        <f>J436</f>
        <v>-17.899999999999999</v>
      </c>
      <c r="P436" s="8">
        <f>D436/B436*10^(O436/10)</f>
        <v>0.20542927899879787</v>
      </c>
      <c r="Q436" s="26">
        <f>SUM(P436:P439)</f>
        <v>0.33332810760505538</v>
      </c>
      <c r="R436" s="17">
        <f>10*LOG10(Q436)</f>
        <v>-4.7712806328789732</v>
      </c>
      <c r="S436" s="18">
        <f>F436+N436-Kzt-H</f>
        <v>-21.898882322219521</v>
      </c>
      <c r="T436" s="17">
        <v>0.2</v>
      </c>
      <c r="U436" s="21">
        <f>T436*10^((S436-R436)/10)</f>
        <v>3.874983224700992E-3</v>
      </c>
    </row>
    <row r="437" spans="1:21" x14ac:dyDescent="0.25">
      <c r="A437" s="24"/>
      <c r="B437" s="24"/>
      <c r="C437" s="17"/>
      <c r="D437" s="24"/>
      <c r="E437" s="24"/>
      <c r="F437" s="25"/>
      <c r="G437" s="1">
        <v>225</v>
      </c>
      <c r="H437" s="2">
        <v>90</v>
      </c>
      <c r="I437" s="2">
        <v>-18.899999999999999</v>
      </c>
      <c r="J437" s="2">
        <v>-24.7</v>
      </c>
      <c r="K437" s="2">
        <f t="shared" ref="K437:K469" si="58">I437</f>
        <v>-18.899999999999999</v>
      </c>
      <c r="L437" s="8">
        <f t="shared" ref="L437:L438" si="59">10^((K437-H437)/10)</f>
        <v>1.2882495516931307E-11</v>
      </c>
      <c r="M437" s="26"/>
      <c r="N437" s="17"/>
      <c r="O437" s="9">
        <f t="shared" ref="O437:O469" si="60">J437</f>
        <v>-24.7</v>
      </c>
      <c r="P437" s="8">
        <f>D436/B436*10^(O437/10)</f>
        <v>4.2920259777632301E-2</v>
      </c>
      <c r="Q437" s="26"/>
      <c r="R437" s="17"/>
      <c r="S437" s="19"/>
      <c r="T437" s="17"/>
      <c r="U437" s="22"/>
    </row>
    <row r="438" spans="1:21" x14ac:dyDescent="0.25">
      <c r="A438" s="24"/>
      <c r="B438" s="24"/>
      <c r="C438" s="17"/>
      <c r="D438" s="24"/>
      <c r="E438" s="24"/>
      <c r="F438" s="25"/>
      <c r="G438" s="1">
        <v>275</v>
      </c>
      <c r="H438" s="2">
        <v>92.2</v>
      </c>
      <c r="I438" s="2">
        <v>-22.3</v>
      </c>
      <c r="J438" s="2">
        <v>-24.1</v>
      </c>
      <c r="K438" s="2">
        <f t="shared" si="58"/>
        <v>-22.3</v>
      </c>
      <c r="L438" s="8">
        <f t="shared" si="59"/>
        <v>3.5481338923357515E-12</v>
      </c>
      <c r="M438" s="26"/>
      <c r="N438" s="17"/>
      <c r="O438" s="9">
        <f t="shared" si="60"/>
        <v>-24.1</v>
      </c>
      <c r="P438" s="8">
        <f>D436/B436*10^(O438/10)</f>
        <v>4.9279051699275496E-2</v>
      </c>
      <c r="Q438" s="26"/>
      <c r="R438" s="17"/>
      <c r="S438" s="19"/>
      <c r="T438" s="17"/>
      <c r="U438" s="22"/>
    </row>
    <row r="439" spans="1:21" x14ac:dyDescent="0.25">
      <c r="A439" s="24"/>
      <c r="B439" s="24"/>
      <c r="C439" s="17"/>
      <c r="D439" s="24"/>
      <c r="E439" s="24"/>
      <c r="F439" s="25"/>
      <c r="G439" s="1">
        <v>325</v>
      </c>
      <c r="H439" s="2">
        <v>93.3</v>
      </c>
      <c r="I439" s="2">
        <v>-19.600000000000001</v>
      </c>
      <c r="J439" s="2">
        <v>-25.5</v>
      </c>
      <c r="K439" s="2">
        <f t="shared" si="58"/>
        <v>-19.600000000000001</v>
      </c>
      <c r="L439" s="8">
        <f>10^((K439-H439)/10)</f>
        <v>5.1286138399136186E-12</v>
      </c>
      <c r="M439" s="26"/>
      <c r="N439" s="17"/>
      <c r="O439" s="9">
        <f t="shared" si="60"/>
        <v>-25.5</v>
      </c>
      <c r="P439" s="8">
        <f>D436/B436*10^(O439/10)</f>
        <v>3.5699517129349725E-2</v>
      </c>
      <c r="Q439" s="26"/>
      <c r="R439" s="17"/>
      <c r="S439" s="20"/>
      <c r="T439" s="17"/>
      <c r="U439" s="23"/>
    </row>
    <row r="440" spans="1:21" x14ac:dyDescent="0.25">
      <c r="A440" s="24">
        <v>500</v>
      </c>
      <c r="B440" s="24">
        <v>3</v>
      </c>
      <c r="C440" s="17">
        <v>0.5</v>
      </c>
      <c r="D440" s="24">
        <v>59</v>
      </c>
      <c r="E440" s="24">
        <v>6</v>
      </c>
      <c r="F440" s="25">
        <v>84</v>
      </c>
      <c r="G440" s="1">
        <v>375</v>
      </c>
      <c r="H440" s="2">
        <v>91.9</v>
      </c>
      <c r="I440" s="2">
        <v>-23.1</v>
      </c>
      <c r="J440" s="2">
        <v>-23.7</v>
      </c>
      <c r="K440" s="2">
        <f t="shared" si="58"/>
        <v>-23.1</v>
      </c>
      <c r="L440" s="8">
        <f t="shared" ref="L440:L441" si="61">10^((K440-H440)/10)</f>
        <v>3.1622776601683669E-12</v>
      </c>
      <c r="M440" s="26">
        <f>SUM(L440:L445)</f>
        <v>3.842397305225691E-11</v>
      </c>
      <c r="N440" s="17">
        <f>10*LOG10(M440/E440)</f>
        <v>-111.93548981334774</v>
      </c>
      <c r="O440" s="9">
        <f t="shared" si="60"/>
        <v>-23.7</v>
      </c>
      <c r="P440" s="8">
        <f>D440/B440*10^(O440/10)</f>
        <v>8.3893972030979869E-2</v>
      </c>
      <c r="Q440" s="26">
        <f>SUM(P440:P445)</f>
        <v>0.40095215514300964</v>
      </c>
      <c r="R440" s="17">
        <f>10*LOG10(Q440)</f>
        <v>-3.9690744782139831</v>
      </c>
      <c r="S440" s="18">
        <f>F440+N440-Kzt-H</f>
        <v>-27.935489813347743</v>
      </c>
      <c r="T440" s="17">
        <v>0.5</v>
      </c>
      <c r="U440" s="21">
        <f>T440*10^((S440-R440)/10)</f>
        <v>2.0059886472038268E-3</v>
      </c>
    </row>
    <row r="441" spans="1:21" x14ac:dyDescent="0.25">
      <c r="A441" s="24"/>
      <c r="B441" s="24"/>
      <c r="C441" s="17"/>
      <c r="D441" s="24"/>
      <c r="E441" s="24"/>
      <c r="F441" s="25"/>
      <c r="G441" s="1">
        <v>425</v>
      </c>
      <c r="H441" s="2">
        <v>88.1</v>
      </c>
      <c r="I441" s="2">
        <v>-20.399999999999999</v>
      </c>
      <c r="J441" s="2">
        <v>-23.2</v>
      </c>
      <c r="K441" s="2">
        <f t="shared" si="58"/>
        <v>-20.399999999999999</v>
      </c>
      <c r="L441" s="8">
        <f t="shared" si="61"/>
        <v>1.4125375446227501E-11</v>
      </c>
      <c r="M441" s="26"/>
      <c r="N441" s="17"/>
      <c r="O441" s="9">
        <f t="shared" si="60"/>
        <v>-23.2</v>
      </c>
      <c r="P441" s="8">
        <f>D440/B440*10^(O441/10)</f>
        <v>9.4130584823452212E-2</v>
      </c>
      <c r="Q441" s="26"/>
      <c r="R441" s="17"/>
      <c r="S441" s="19"/>
      <c r="T441" s="17"/>
      <c r="U441" s="22"/>
    </row>
    <row r="442" spans="1:21" x14ac:dyDescent="0.25">
      <c r="A442" s="24"/>
      <c r="B442" s="24"/>
      <c r="C442" s="17"/>
      <c r="D442" s="24"/>
      <c r="E442" s="24"/>
      <c r="F442" s="25"/>
      <c r="G442" s="1">
        <v>475</v>
      </c>
      <c r="H442" s="2">
        <v>90</v>
      </c>
      <c r="I442" s="2">
        <v>-18.2</v>
      </c>
      <c r="J442" s="2">
        <v>-24.8</v>
      </c>
      <c r="K442" s="2">
        <f t="shared" si="58"/>
        <v>-18.2</v>
      </c>
      <c r="L442" s="8">
        <f>10^((K442-H442)/10)</f>
        <v>1.5135612484362034E-11</v>
      </c>
      <c r="M442" s="26"/>
      <c r="N442" s="17"/>
      <c r="O442" s="9">
        <f t="shared" si="60"/>
        <v>-24.8</v>
      </c>
      <c r="P442" s="8">
        <f>D440/B440*10^(O442/10)</f>
        <v>6.512245389157624E-2</v>
      </c>
      <c r="Q442" s="26"/>
      <c r="R442" s="17"/>
      <c r="S442" s="19"/>
      <c r="T442" s="17"/>
      <c r="U442" s="22"/>
    </row>
    <row r="443" spans="1:21" x14ac:dyDescent="0.25">
      <c r="A443" s="24"/>
      <c r="B443" s="24"/>
      <c r="C443" s="17"/>
      <c r="D443" s="24"/>
      <c r="E443" s="24"/>
      <c r="F443" s="25"/>
      <c r="G443" s="1">
        <v>575</v>
      </c>
      <c r="H443" s="2">
        <v>97</v>
      </c>
      <c r="I443" s="2">
        <v>-24.7</v>
      </c>
      <c r="J443" s="2">
        <v>-27.2</v>
      </c>
      <c r="K443" s="2">
        <f t="shared" si="58"/>
        <v>-24.7</v>
      </c>
      <c r="L443" s="8">
        <f t="shared" ref="L443:L469" si="62">10^((K443-H443)/10)</f>
        <v>6.7608297539198111E-13</v>
      </c>
      <c r="M443" s="26"/>
      <c r="N443" s="17"/>
      <c r="O443" s="9">
        <f t="shared" si="60"/>
        <v>-27.2</v>
      </c>
      <c r="P443" s="8">
        <f>D440/B440*10^(O443/10)</f>
        <v>3.7474060786610537E-2</v>
      </c>
      <c r="Q443" s="26"/>
      <c r="R443" s="17"/>
      <c r="S443" s="19"/>
      <c r="T443" s="17"/>
      <c r="U443" s="22"/>
    </row>
    <row r="444" spans="1:21" x14ac:dyDescent="0.25">
      <c r="A444" s="24"/>
      <c r="B444" s="24"/>
      <c r="C444" s="17"/>
      <c r="D444" s="24"/>
      <c r="E444" s="24"/>
      <c r="F444" s="25"/>
      <c r="G444" s="1">
        <v>625</v>
      </c>
      <c r="H444" s="2">
        <v>92</v>
      </c>
      <c r="I444" s="2">
        <v>-23.6</v>
      </c>
      <c r="J444" s="2">
        <v>-24.5</v>
      </c>
      <c r="K444" s="2">
        <f t="shared" si="58"/>
        <v>-23.6</v>
      </c>
      <c r="L444" s="8">
        <f t="shared" si="62"/>
        <v>2.7542287033381671E-12</v>
      </c>
      <c r="M444" s="26"/>
      <c r="N444" s="17"/>
      <c r="O444" s="9">
        <f t="shared" si="60"/>
        <v>-24.5</v>
      </c>
      <c r="P444" s="8">
        <f>D440/B440*10^(O444/10)</f>
        <v>6.9779966549269809E-2</v>
      </c>
      <c r="Q444" s="26"/>
      <c r="R444" s="17"/>
      <c r="S444" s="19"/>
      <c r="T444" s="17"/>
      <c r="U444" s="22"/>
    </row>
    <row r="445" spans="1:21" x14ac:dyDescent="0.25">
      <c r="A445" s="24"/>
      <c r="B445" s="24"/>
      <c r="C445" s="17"/>
      <c r="D445" s="24"/>
      <c r="E445" s="24"/>
      <c r="F445" s="25"/>
      <c r="G445" s="1">
        <v>675</v>
      </c>
      <c r="H445" s="2">
        <v>94.5</v>
      </c>
      <c r="I445" s="2">
        <v>-21.4</v>
      </c>
      <c r="J445" s="2">
        <v>-25.9</v>
      </c>
      <c r="K445" s="2">
        <f t="shared" si="58"/>
        <v>-21.4</v>
      </c>
      <c r="L445" s="8">
        <f t="shared" si="62"/>
        <v>2.5703957827688561E-12</v>
      </c>
      <c r="M445" s="26"/>
      <c r="N445" s="17"/>
      <c r="O445" s="9">
        <f t="shared" si="60"/>
        <v>-25.9</v>
      </c>
      <c r="P445" s="8">
        <f>D440/B440*10^(O445/10)</f>
        <v>5.055111706112099E-2</v>
      </c>
      <c r="Q445" s="26"/>
      <c r="R445" s="17"/>
      <c r="S445" s="20"/>
      <c r="T445" s="17"/>
      <c r="U445" s="23"/>
    </row>
    <row r="446" spans="1:21" x14ac:dyDescent="0.25">
      <c r="A446" s="24">
        <v>1000</v>
      </c>
      <c r="B446" s="24">
        <v>3</v>
      </c>
      <c r="C446" s="17">
        <v>0.5</v>
      </c>
      <c r="D446" s="24">
        <v>117</v>
      </c>
      <c r="E446" s="24">
        <v>6</v>
      </c>
      <c r="F446" s="25">
        <v>76</v>
      </c>
      <c r="G446" s="1">
        <v>875</v>
      </c>
      <c r="H446" s="2">
        <v>91.1</v>
      </c>
      <c r="I446" s="2">
        <v>-22.5</v>
      </c>
      <c r="J446" s="2">
        <v>-29.1</v>
      </c>
      <c r="K446" s="2">
        <f t="shared" si="58"/>
        <v>-22.5</v>
      </c>
      <c r="L446" s="8">
        <f t="shared" si="62"/>
        <v>4.3651583224016522E-12</v>
      </c>
      <c r="M446" s="26">
        <f>SUM(L446:L451)</f>
        <v>9.8733183637118095E-12</v>
      </c>
      <c r="N446" s="17">
        <f>10*LOG10(M446/E446)</f>
        <v>-117.83688109381549</v>
      </c>
      <c r="O446" s="9">
        <f t="shared" si="60"/>
        <v>-29.1</v>
      </c>
      <c r="P446" s="8">
        <f>D446/B446*10^(O446/10)</f>
        <v>4.7980482061682851E-2</v>
      </c>
      <c r="Q446" s="26">
        <f>SUM(P446:P451)</f>
        <v>0.88174569391086666</v>
      </c>
      <c r="R446" s="17">
        <f>10*LOG10(Q446)</f>
        <v>-0.54656652573787889</v>
      </c>
      <c r="S446" s="18">
        <f>F446+N446-Kzt-H</f>
        <v>-41.836881093815492</v>
      </c>
      <c r="T446" s="17">
        <v>0.8</v>
      </c>
      <c r="U446" s="21">
        <f>T446*10^((S446-R446)/10)</f>
        <v>5.9437225720072963E-5</v>
      </c>
    </row>
    <row r="447" spans="1:21" x14ac:dyDescent="0.25">
      <c r="A447" s="24"/>
      <c r="B447" s="24"/>
      <c r="C447" s="17"/>
      <c r="D447" s="24"/>
      <c r="E447" s="24"/>
      <c r="F447" s="25"/>
      <c r="G447" s="1">
        <v>975</v>
      </c>
      <c r="H447" s="2">
        <v>96.5</v>
      </c>
      <c r="I447" s="2">
        <v>-21.4</v>
      </c>
      <c r="J447" s="2">
        <v>-22.8</v>
      </c>
      <c r="K447" s="2">
        <f t="shared" si="58"/>
        <v>-21.4</v>
      </c>
      <c r="L447" s="8">
        <f t="shared" si="62"/>
        <v>1.6218100973589226E-12</v>
      </c>
      <c r="M447" s="26"/>
      <c r="N447" s="17"/>
      <c r="O447" s="9">
        <f t="shared" si="60"/>
        <v>-22.8</v>
      </c>
      <c r="P447" s="8">
        <f>D446/B446*10^(O447/10)</f>
        <v>0.20467490949741102</v>
      </c>
      <c r="Q447" s="26"/>
      <c r="R447" s="17"/>
      <c r="S447" s="19"/>
      <c r="T447" s="17"/>
      <c r="U447" s="22"/>
    </row>
    <row r="448" spans="1:21" x14ac:dyDescent="0.25">
      <c r="A448" s="24"/>
      <c r="B448" s="24"/>
      <c r="C448" s="17"/>
      <c r="D448" s="24"/>
      <c r="E448" s="24"/>
      <c r="F448" s="25"/>
      <c r="G448" s="1">
        <v>1075</v>
      </c>
      <c r="H448" s="2">
        <v>94.6</v>
      </c>
      <c r="I448" s="2">
        <v>-22.5</v>
      </c>
      <c r="J448" s="2">
        <v>-25</v>
      </c>
      <c r="K448" s="2">
        <f t="shared" si="58"/>
        <v>-22.5</v>
      </c>
      <c r="L448" s="8">
        <f t="shared" si="62"/>
        <v>1.9498445997580419E-12</v>
      </c>
      <c r="M448" s="26"/>
      <c r="N448" s="17"/>
      <c r="O448" s="9">
        <f t="shared" si="60"/>
        <v>-25</v>
      </c>
      <c r="P448" s="8">
        <f>D446/B446*10^(O448/10)</f>
        <v>0.12332882874656667</v>
      </c>
      <c r="Q448" s="26"/>
      <c r="R448" s="17"/>
      <c r="S448" s="19"/>
      <c r="T448" s="17"/>
      <c r="U448" s="22"/>
    </row>
    <row r="449" spans="1:21" x14ac:dyDescent="0.25">
      <c r="A449" s="24"/>
      <c r="B449" s="24"/>
      <c r="C449" s="17"/>
      <c r="D449" s="24"/>
      <c r="E449" s="24"/>
      <c r="F449" s="25"/>
      <c r="G449" s="1">
        <v>1175</v>
      </c>
      <c r="H449" s="2">
        <v>97.8</v>
      </c>
      <c r="I449" s="2">
        <v>-24.1</v>
      </c>
      <c r="J449" s="2">
        <v>-25</v>
      </c>
      <c r="K449" s="2">
        <f t="shared" si="58"/>
        <v>-24.1</v>
      </c>
      <c r="L449" s="8">
        <f t="shared" si="62"/>
        <v>6.456542290346527E-13</v>
      </c>
      <c r="M449" s="26"/>
      <c r="N449" s="17"/>
      <c r="O449" s="9">
        <f t="shared" si="60"/>
        <v>-25</v>
      </c>
      <c r="P449" s="8">
        <f>D446/B446*10^(O449/10)</f>
        <v>0.12332882874656667</v>
      </c>
      <c r="Q449" s="26"/>
      <c r="R449" s="17"/>
      <c r="S449" s="19"/>
      <c r="T449" s="17"/>
      <c r="U449" s="22"/>
    </row>
    <row r="450" spans="1:21" x14ac:dyDescent="0.25">
      <c r="A450" s="24"/>
      <c r="B450" s="24"/>
      <c r="C450" s="17"/>
      <c r="D450" s="24"/>
      <c r="E450" s="24"/>
      <c r="F450" s="25"/>
      <c r="G450" s="1">
        <v>1275</v>
      </c>
      <c r="H450" s="2">
        <v>100.1</v>
      </c>
      <c r="I450" s="2">
        <v>-21.2</v>
      </c>
      <c r="J450" s="2">
        <v>-22.9</v>
      </c>
      <c r="K450" s="2">
        <f t="shared" si="58"/>
        <v>-21.2</v>
      </c>
      <c r="L450" s="8">
        <f t="shared" si="62"/>
        <v>7.4131024130091646E-13</v>
      </c>
      <c r="M450" s="26"/>
      <c r="N450" s="17"/>
      <c r="O450" s="9">
        <f t="shared" si="60"/>
        <v>-22.9</v>
      </c>
      <c r="P450" s="8">
        <f>D446/B446*10^(O450/10)</f>
        <v>0.20001593975663223</v>
      </c>
      <c r="Q450" s="26"/>
      <c r="R450" s="17"/>
      <c r="S450" s="19"/>
      <c r="T450" s="17"/>
      <c r="U450" s="22"/>
    </row>
    <row r="451" spans="1:21" x14ac:dyDescent="0.25">
      <c r="A451" s="24"/>
      <c r="B451" s="24"/>
      <c r="C451" s="17"/>
      <c r="D451" s="24"/>
      <c r="E451" s="24"/>
      <c r="F451" s="25"/>
      <c r="G451" s="1">
        <v>1375</v>
      </c>
      <c r="H451" s="2">
        <v>103</v>
      </c>
      <c r="I451" s="2">
        <v>-19.600000000000001</v>
      </c>
      <c r="J451" s="2">
        <v>-23.3</v>
      </c>
      <c r="K451" s="2">
        <f t="shared" si="58"/>
        <v>-19.600000000000001</v>
      </c>
      <c r="L451" s="8">
        <f t="shared" si="62"/>
        <v>5.4954087385762248E-13</v>
      </c>
      <c r="M451" s="26"/>
      <c r="N451" s="17"/>
      <c r="O451" s="9">
        <f t="shared" si="60"/>
        <v>-23.3</v>
      </c>
      <c r="P451" s="8">
        <f>D446/B446*10^(O451/10)</f>
        <v>0.18241670510200714</v>
      </c>
      <c r="Q451" s="26"/>
      <c r="R451" s="17"/>
      <c r="S451" s="20"/>
      <c r="T451" s="17"/>
      <c r="U451" s="23"/>
    </row>
    <row r="452" spans="1:21" x14ac:dyDescent="0.25">
      <c r="A452" s="24">
        <v>2000</v>
      </c>
      <c r="B452" s="24">
        <v>3</v>
      </c>
      <c r="C452" s="17">
        <v>0.5</v>
      </c>
      <c r="D452" s="24">
        <v>234</v>
      </c>
      <c r="E452" s="24">
        <v>6</v>
      </c>
      <c r="F452" s="25">
        <v>68</v>
      </c>
      <c r="G452" s="1">
        <v>1425</v>
      </c>
      <c r="H452" s="2">
        <v>102.8</v>
      </c>
      <c r="I452" s="2">
        <v>-19.7</v>
      </c>
      <c r="J452" s="2">
        <v>-21.7</v>
      </c>
      <c r="K452" s="2">
        <f t="shared" si="58"/>
        <v>-19.7</v>
      </c>
      <c r="L452" s="8">
        <f t="shared" si="62"/>
        <v>5.6234132519034702E-13</v>
      </c>
      <c r="M452" s="26">
        <f>SUM(L452:L457)</f>
        <v>3.6268306309405435E-12</v>
      </c>
      <c r="N452" s="17">
        <f>10*LOG10(M452/E452)</f>
        <v>-122.18623975411259</v>
      </c>
      <c r="O452" s="9">
        <f t="shared" si="60"/>
        <v>-21.7</v>
      </c>
      <c r="P452" s="8">
        <f>D452/B452*10^(O452/10)</f>
        <v>0.52734472080574546</v>
      </c>
      <c r="Q452" s="26">
        <f>SUM(P452:P457)</f>
        <v>1.834866208079706</v>
      </c>
      <c r="R452" s="17">
        <f>10*LOG10(Q452)</f>
        <v>2.6360440253303246</v>
      </c>
      <c r="S452" s="18">
        <f>F452+N452-Kzt-H</f>
        <v>-54.186239754112592</v>
      </c>
      <c r="T452" s="17">
        <v>1</v>
      </c>
      <c r="U452" s="21">
        <f>T452*10^((S452-R452)/10)</f>
        <v>2.0786033460286835E-6</v>
      </c>
    </row>
    <row r="453" spans="1:21" x14ac:dyDescent="0.25">
      <c r="A453" s="24"/>
      <c r="B453" s="24"/>
      <c r="C453" s="17"/>
      <c r="D453" s="24"/>
      <c r="E453" s="24"/>
      <c r="F453" s="25"/>
      <c r="G453" s="1">
        <v>1625</v>
      </c>
      <c r="H453" s="2">
        <v>104.1</v>
      </c>
      <c r="I453" s="2">
        <v>-22.6</v>
      </c>
      <c r="J453" s="2">
        <v>-27.6</v>
      </c>
      <c r="K453" s="2">
        <f t="shared" si="58"/>
        <v>-22.6</v>
      </c>
      <c r="L453" s="8">
        <f t="shared" si="62"/>
        <v>2.1379620895022328E-13</v>
      </c>
      <c r="M453" s="26"/>
      <c r="N453" s="17"/>
      <c r="O453" s="9">
        <f t="shared" si="60"/>
        <v>-27.6</v>
      </c>
      <c r="P453" s="8">
        <f>D452/B452*10^(O453/10)</f>
        <v>0.13554846464245113</v>
      </c>
      <c r="Q453" s="26"/>
      <c r="R453" s="17"/>
      <c r="S453" s="19"/>
      <c r="T453" s="17"/>
      <c r="U453" s="22"/>
    </row>
    <row r="454" spans="1:21" x14ac:dyDescent="0.25">
      <c r="A454" s="24"/>
      <c r="B454" s="24"/>
      <c r="C454" s="17"/>
      <c r="D454" s="24"/>
      <c r="E454" s="24"/>
      <c r="F454" s="25"/>
      <c r="G454" s="1">
        <v>1825</v>
      </c>
      <c r="H454" s="2">
        <v>107.6</v>
      </c>
      <c r="I454" s="2">
        <v>-21.2</v>
      </c>
      <c r="J454" s="2">
        <v>-22.2</v>
      </c>
      <c r="K454" s="2">
        <f t="shared" si="58"/>
        <v>-21.2</v>
      </c>
      <c r="L454" s="8">
        <f t="shared" si="62"/>
        <v>1.3182567385564054E-13</v>
      </c>
      <c r="M454" s="26"/>
      <c r="N454" s="17"/>
      <c r="O454" s="9">
        <f t="shared" si="60"/>
        <v>-22.2</v>
      </c>
      <c r="P454" s="8">
        <f>D452/B452*10^(O454/10)</f>
        <v>0.46999647713799902</v>
      </c>
      <c r="Q454" s="26"/>
      <c r="R454" s="17"/>
      <c r="S454" s="19"/>
      <c r="T454" s="17"/>
      <c r="U454" s="22"/>
    </row>
    <row r="455" spans="1:21" x14ac:dyDescent="0.25">
      <c r="A455" s="24"/>
      <c r="B455" s="24"/>
      <c r="C455" s="17"/>
      <c r="D455" s="24"/>
      <c r="E455" s="24"/>
      <c r="F455" s="25"/>
      <c r="G455" s="1">
        <v>2125</v>
      </c>
      <c r="H455" s="2">
        <v>104.2</v>
      </c>
      <c r="I455" s="2">
        <v>-19.100000000000001</v>
      </c>
      <c r="J455" s="2">
        <v>-26.8</v>
      </c>
      <c r="K455" s="2">
        <f t="shared" si="58"/>
        <v>-19.100000000000001</v>
      </c>
      <c r="L455" s="8">
        <f t="shared" si="62"/>
        <v>4.6773514128719514E-13</v>
      </c>
      <c r="M455" s="26"/>
      <c r="N455" s="17"/>
      <c r="O455" s="9">
        <f t="shared" si="60"/>
        <v>-26.8</v>
      </c>
      <c r="P455" s="8">
        <f>D452/B452*10^(O455/10)</f>
        <v>0.16296509820661489</v>
      </c>
      <c r="Q455" s="26"/>
      <c r="R455" s="17"/>
      <c r="S455" s="19"/>
      <c r="T455" s="17"/>
      <c r="U455" s="22"/>
    </row>
    <row r="456" spans="1:21" x14ac:dyDescent="0.25">
      <c r="A456" s="24"/>
      <c r="B456" s="24"/>
      <c r="C456" s="17"/>
      <c r="D456" s="24"/>
      <c r="E456" s="24"/>
      <c r="F456" s="25"/>
      <c r="G456" s="1">
        <v>2425</v>
      </c>
      <c r="H456" s="2">
        <v>93.7</v>
      </c>
      <c r="I456" s="2">
        <v>-23.6</v>
      </c>
      <c r="J456" s="2">
        <v>-25.2</v>
      </c>
      <c r="K456" s="2">
        <f t="shared" si="58"/>
        <v>-23.6</v>
      </c>
      <c r="L456" s="8">
        <f t="shared" si="62"/>
        <v>1.8620871366628578E-12</v>
      </c>
      <c r="M456" s="26"/>
      <c r="N456" s="17"/>
      <c r="O456" s="9">
        <f t="shared" si="60"/>
        <v>-25.2</v>
      </c>
      <c r="P456" s="8">
        <f>D452/B452*10^(O456/10)</f>
        <v>0.23555623419135704</v>
      </c>
      <c r="Q456" s="26"/>
      <c r="R456" s="17"/>
      <c r="S456" s="19"/>
      <c r="T456" s="17"/>
      <c r="U456" s="22"/>
    </row>
    <row r="457" spans="1:21" x14ac:dyDescent="0.25">
      <c r="A457" s="24"/>
      <c r="B457" s="24"/>
      <c r="C457" s="17"/>
      <c r="D457" s="24"/>
      <c r="E457" s="24"/>
      <c r="F457" s="25"/>
      <c r="G457" s="1">
        <v>2775</v>
      </c>
      <c r="H457" s="2">
        <v>100.2</v>
      </c>
      <c r="I457" s="2">
        <v>-23.900000000000002</v>
      </c>
      <c r="J457" s="2">
        <v>-24.1</v>
      </c>
      <c r="K457" s="2">
        <f t="shared" si="58"/>
        <v>-23.900000000000002</v>
      </c>
      <c r="L457" s="8">
        <f t="shared" si="62"/>
        <v>3.8904514499427974E-13</v>
      </c>
      <c r="M457" s="26"/>
      <c r="N457" s="17"/>
      <c r="O457" s="9">
        <f t="shared" si="60"/>
        <v>-24.1</v>
      </c>
      <c r="P457" s="8">
        <f>D452/B452*10^(O457/10)</f>
        <v>0.30345521309553858</v>
      </c>
      <c r="Q457" s="26"/>
      <c r="R457" s="17"/>
      <c r="S457" s="20"/>
      <c r="T457" s="17"/>
      <c r="U457" s="23"/>
    </row>
    <row r="458" spans="1:21" x14ac:dyDescent="0.25">
      <c r="A458" s="24">
        <v>4000</v>
      </c>
      <c r="B458" s="24">
        <v>3</v>
      </c>
      <c r="C458" s="17">
        <v>0.5</v>
      </c>
      <c r="D458" s="24">
        <v>470</v>
      </c>
      <c r="E458" s="24">
        <v>6</v>
      </c>
      <c r="F458" s="25">
        <v>62</v>
      </c>
      <c r="G458" s="1">
        <v>2825</v>
      </c>
      <c r="H458" s="2">
        <v>99.4</v>
      </c>
      <c r="I458" s="2">
        <v>-21</v>
      </c>
      <c r="J458" s="2">
        <v>-29.1</v>
      </c>
      <c r="K458" s="2">
        <f t="shared" si="58"/>
        <v>-21</v>
      </c>
      <c r="L458" s="8">
        <f t="shared" si="62"/>
        <v>9.1201083935590446E-13</v>
      </c>
      <c r="M458" s="26">
        <f>SUM(L458:L463)</f>
        <v>2.0893214155531388E-12</v>
      </c>
      <c r="N458" s="17">
        <f>10*LOG10(M458/E458)</f>
        <v>-124.5814599457587</v>
      </c>
      <c r="O458" s="9">
        <f t="shared" si="60"/>
        <v>-29.1</v>
      </c>
      <c r="P458" s="8">
        <f>D458/B458*10^(O458/10)</f>
        <v>0.19274210742727299</v>
      </c>
      <c r="Q458" s="26">
        <f>SUM(P458:P463)</f>
        <v>1.6194289549577447</v>
      </c>
      <c r="R458" s="17">
        <f>10*LOG10(Q458)</f>
        <v>2.0936190007907158</v>
      </c>
      <c r="S458" s="18">
        <f>F458+N458-Kzt-H</f>
        <v>-62.581459945758695</v>
      </c>
      <c r="T458" s="17">
        <v>0.9</v>
      </c>
      <c r="U458" s="21">
        <f>T458*10^((S458-R458)/10)</f>
        <v>3.0671471677432515E-7</v>
      </c>
    </row>
    <row r="459" spans="1:21" x14ac:dyDescent="0.25">
      <c r="A459" s="24"/>
      <c r="B459" s="24"/>
      <c r="C459" s="17"/>
      <c r="D459" s="24"/>
      <c r="E459" s="24"/>
      <c r="F459" s="25"/>
      <c r="G459" s="1">
        <v>3425</v>
      </c>
      <c r="H459" s="2">
        <v>103.5</v>
      </c>
      <c r="I459" s="2">
        <v>-25.3</v>
      </c>
      <c r="J459" s="2">
        <v>-27.4</v>
      </c>
      <c r="K459" s="2">
        <f t="shared" si="58"/>
        <v>-25.3</v>
      </c>
      <c r="L459" s="8">
        <f t="shared" si="62"/>
        <v>1.3182567385564006E-13</v>
      </c>
      <c r="M459" s="26"/>
      <c r="N459" s="17"/>
      <c r="O459" s="9">
        <f t="shared" si="60"/>
        <v>-27.4</v>
      </c>
      <c r="P459" s="8">
        <f>D458/B458*10^(O459/10)</f>
        <v>0.28508646784889724</v>
      </c>
      <c r="Q459" s="26"/>
      <c r="R459" s="17"/>
      <c r="S459" s="19"/>
      <c r="T459" s="17"/>
      <c r="U459" s="22"/>
    </row>
    <row r="460" spans="1:21" x14ac:dyDescent="0.25">
      <c r="A460" s="24"/>
      <c r="B460" s="24"/>
      <c r="C460" s="17"/>
      <c r="D460" s="24"/>
      <c r="E460" s="24"/>
      <c r="F460" s="25"/>
      <c r="G460" s="1">
        <v>4025</v>
      </c>
      <c r="H460" s="2">
        <v>103.6</v>
      </c>
      <c r="I460" s="2">
        <v>-22.8</v>
      </c>
      <c r="J460" s="2">
        <v>-26.4</v>
      </c>
      <c r="K460" s="2">
        <f t="shared" si="58"/>
        <v>-22.8</v>
      </c>
      <c r="L460" s="8">
        <f t="shared" si="62"/>
        <v>2.290867652767773E-13</v>
      </c>
      <c r="M460" s="26"/>
      <c r="N460" s="17"/>
      <c r="O460" s="9">
        <f t="shared" si="60"/>
        <v>-26.4</v>
      </c>
      <c r="P460" s="8">
        <f>D458/B458*10^(O460/10)</f>
        <v>0.35890259893361787</v>
      </c>
      <c r="Q460" s="26"/>
      <c r="R460" s="17"/>
      <c r="S460" s="19"/>
      <c r="T460" s="17"/>
      <c r="U460" s="22"/>
    </row>
    <row r="461" spans="1:21" x14ac:dyDescent="0.25">
      <c r="A461" s="24"/>
      <c r="B461" s="24"/>
      <c r="C461" s="17"/>
      <c r="D461" s="24"/>
      <c r="E461" s="24"/>
      <c r="F461" s="25"/>
      <c r="G461" s="1">
        <v>4625</v>
      </c>
      <c r="H461" s="2">
        <v>105.6</v>
      </c>
      <c r="I461" s="2">
        <v>-23.6</v>
      </c>
      <c r="J461" s="2">
        <v>-29.7</v>
      </c>
      <c r="K461" s="2">
        <f t="shared" si="58"/>
        <v>-23.6</v>
      </c>
      <c r="L461" s="8">
        <f t="shared" si="62"/>
        <v>1.2022644346174159E-13</v>
      </c>
      <c r="M461" s="26"/>
      <c r="N461" s="17"/>
      <c r="O461" s="9">
        <f t="shared" si="60"/>
        <v>-29.7</v>
      </c>
      <c r="P461" s="8">
        <f>D458/B458*10^(O461/10)</f>
        <v>0.16787135782055831</v>
      </c>
      <c r="Q461" s="26"/>
      <c r="R461" s="17"/>
      <c r="S461" s="19"/>
      <c r="T461" s="17"/>
      <c r="U461" s="22"/>
    </row>
    <row r="462" spans="1:21" x14ac:dyDescent="0.25">
      <c r="A462" s="24"/>
      <c r="B462" s="24"/>
      <c r="C462" s="17"/>
      <c r="D462" s="24"/>
      <c r="E462" s="24"/>
      <c r="F462" s="25"/>
      <c r="G462" s="1">
        <v>5225</v>
      </c>
      <c r="H462" s="2">
        <v>103.5</v>
      </c>
      <c r="I462" s="2">
        <v>-23.6</v>
      </c>
      <c r="J462" s="2">
        <v>-26</v>
      </c>
      <c r="K462" s="2">
        <f t="shared" si="58"/>
        <v>-23.6</v>
      </c>
      <c r="L462" s="8">
        <f t="shared" si="62"/>
        <v>1.9498445997580464E-13</v>
      </c>
      <c r="M462" s="26"/>
      <c r="N462" s="17"/>
      <c r="O462" s="9">
        <f t="shared" si="60"/>
        <v>-26</v>
      </c>
      <c r="P462" s="8">
        <f>D458/B458*10^(O462/10)</f>
        <v>0.39352887426983379</v>
      </c>
      <c r="Q462" s="26"/>
      <c r="R462" s="17"/>
      <c r="S462" s="19"/>
      <c r="T462" s="17"/>
      <c r="U462" s="22"/>
    </row>
    <row r="463" spans="1:21" x14ac:dyDescent="0.25">
      <c r="A463" s="24"/>
      <c r="B463" s="24"/>
      <c r="C463" s="17"/>
      <c r="D463" s="24"/>
      <c r="E463" s="24"/>
      <c r="F463" s="25"/>
      <c r="G463" s="1">
        <v>5625</v>
      </c>
      <c r="H463" s="2">
        <v>99.5</v>
      </c>
      <c r="I463" s="2">
        <v>-23.5</v>
      </c>
      <c r="J463" s="2">
        <v>-28.5</v>
      </c>
      <c r="K463" s="2">
        <f t="shared" si="58"/>
        <v>-23.5</v>
      </c>
      <c r="L463" s="8">
        <f t="shared" si="62"/>
        <v>5.0118723362727066E-13</v>
      </c>
      <c r="M463" s="26"/>
      <c r="N463" s="17"/>
      <c r="O463" s="9">
        <f t="shared" si="60"/>
        <v>-28.5</v>
      </c>
      <c r="P463" s="8">
        <f>D458/B458*10^(O463/10)</f>
        <v>0.22129754865756457</v>
      </c>
      <c r="Q463" s="26"/>
      <c r="R463" s="17"/>
      <c r="S463" s="20"/>
      <c r="T463" s="17"/>
      <c r="U463" s="23"/>
    </row>
    <row r="464" spans="1:21" x14ac:dyDescent="0.25">
      <c r="A464" s="24">
        <v>8000</v>
      </c>
      <c r="B464" s="24">
        <v>3</v>
      </c>
      <c r="C464" s="17">
        <v>0.5</v>
      </c>
      <c r="D464" s="24">
        <v>943</v>
      </c>
      <c r="E464" s="24">
        <v>6</v>
      </c>
      <c r="F464" s="25">
        <v>54</v>
      </c>
      <c r="G464" s="1">
        <v>6025</v>
      </c>
      <c r="H464" s="2">
        <v>95</v>
      </c>
      <c r="I464" s="2">
        <v>-20</v>
      </c>
      <c r="J464" s="2">
        <v>-24.4</v>
      </c>
      <c r="K464" s="2">
        <f t="shared" si="58"/>
        <v>-20</v>
      </c>
      <c r="L464" s="8">
        <f t="shared" si="62"/>
        <v>3.1622776601683669E-12</v>
      </c>
      <c r="M464" s="26">
        <f>SUM(L464:L469)</f>
        <v>3.1248601271726268E-11</v>
      </c>
      <c r="N464" s="17">
        <f>10*LOG10(M464/E464)</f>
        <v>-112.83320667857666</v>
      </c>
      <c r="O464" s="9">
        <f t="shared" si="60"/>
        <v>-24.4</v>
      </c>
      <c r="P464" s="8">
        <f>D464/B464*10^(O464/10)</f>
        <v>1.1412753521606844</v>
      </c>
      <c r="Q464" s="26">
        <f>SUM(P464:P469)</f>
        <v>3.3621905241285104</v>
      </c>
      <c r="R464" s="17">
        <f>10*LOG10(Q464)</f>
        <v>5.266223198212499</v>
      </c>
      <c r="S464" s="18">
        <f>F464+N464-Kzt-H</f>
        <v>-58.833206678576659</v>
      </c>
      <c r="T464" s="17">
        <v>0.7</v>
      </c>
      <c r="U464" s="21">
        <f>T464*10^((S464-R464)/10)</f>
        <v>2.7236735436992796E-7</v>
      </c>
    </row>
    <row r="465" spans="1:21" x14ac:dyDescent="0.25">
      <c r="A465" s="24"/>
      <c r="B465" s="24"/>
      <c r="C465" s="17"/>
      <c r="D465" s="24"/>
      <c r="E465" s="24"/>
      <c r="F465" s="25"/>
      <c r="G465" s="1">
        <v>7025</v>
      </c>
      <c r="H465" s="2">
        <v>94.8</v>
      </c>
      <c r="I465" s="2">
        <v>-21.3</v>
      </c>
      <c r="J465" s="2">
        <v>-28.7</v>
      </c>
      <c r="K465" s="2">
        <f t="shared" si="58"/>
        <v>-21.3</v>
      </c>
      <c r="L465" s="8">
        <f t="shared" si="62"/>
        <v>2.4547089156850233E-12</v>
      </c>
      <c r="M465" s="26"/>
      <c r="N465" s="17"/>
      <c r="O465" s="9">
        <f t="shared" si="60"/>
        <v>-28.7</v>
      </c>
      <c r="P465" s="8">
        <f>D464/B464*10^(O465/10)</f>
        <v>0.42402399942797603</v>
      </c>
      <c r="Q465" s="26"/>
      <c r="R465" s="17"/>
      <c r="S465" s="19"/>
      <c r="T465" s="17"/>
      <c r="U465" s="22"/>
    </row>
    <row r="466" spans="1:21" x14ac:dyDescent="0.25">
      <c r="A466" s="24"/>
      <c r="B466" s="24"/>
      <c r="C466" s="17"/>
      <c r="D466" s="24"/>
      <c r="E466" s="24"/>
      <c r="F466" s="25"/>
      <c r="G466" s="1">
        <v>8025</v>
      </c>
      <c r="H466" s="2">
        <v>101.9</v>
      </c>
      <c r="I466" s="2">
        <v>-20.8</v>
      </c>
      <c r="J466" s="2">
        <v>-30.4</v>
      </c>
      <c r="K466" s="2">
        <f t="shared" si="58"/>
        <v>-20.8</v>
      </c>
      <c r="L466" s="8">
        <f t="shared" si="62"/>
        <v>5.3703179637025273E-13</v>
      </c>
      <c r="M466" s="26"/>
      <c r="N466" s="17"/>
      <c r="O466" s="9">
        <f t="shared" si="60"/>
        <v>-30.4</v>
      </c>
      <c r="P466" s="8">
        <f>D464/B464*10^(O466/10)</f>
        <v>0.28667540717087392</v>
      </c>
      <c r="Q466" s="26"/>
      <c r="R466" s="17"/>
      <c r="S466" s="19"/>
      <c r="T466" s="17"/>
      <c r="U466" s="22"/>
    </row>
    <row r="467" spans="1:21" x14ac:dyDescent="0.25">
      <c r="A467" s="24"/>
      <c r="B467" s="24"/>
      <c r="C467" s="17"/>
      <c r="D467" s="24"/>
      <c r="E467" s="24"/>
      <c r="F467" s="25"/>
      <c r="G467" s="1">
        <v>9025</v>
      </c>
      <c r="H467" s="2">
        <v>93.2</v>
      </c>
      <c r="I467" s="2">
        <v>-28.4</v>
      </c>
      <c r="J467" s="2">
        <v>-29.3</v>
      </c>
      <c r="K467" s="2">
        <f t="shared" si="58"/>
        <v>-28.4</v>
      </c>
      <c r="L467" s="8">
        <f t="shared" si="62"/>
        <v>6.9183097091893335E-13</v>
      </c>
      <c r="M467" s="26"/>
      <c r="N467" s="17"/>
      <c r="O467" s="9">
        <f t="shared" si="60"/>
        <v>-29.3</v>
      </c>
      <c r="P467" s="8">
        <f>D464/B464*10^(O467/10)</f>
        <v>0.36930946476932491</v>
      </c>
      <c r="Q467" s="26"/>
      <c r="R467" s="17"/>
      <c r="S467" s="19"/>
      <c r="T467" s="17"/>
      <c r="U467" s="22"/>
    </row>
    <row r="468" spans="1:21" x14ac:dyDescent="0.25">
      <c r="A468" s="24"/>
      <c r="B468" s="24"/>
      <c r="C468" s="17"/>
      <c r="D468" s="24"/>
      <c r="E468" s="24"/>
      <c r="F468" s="25"/>
      <c r="G468" s="1">
        <v>10025</v>
      </c>
      <c r="H468" s="2">
        <v>88.3</v>
      </c>
      <c r="I468" s="2">
        <v>-20.5</v>
      </c>
      <c r="J468" s="2">
        <v>-26.1</v>
      </c>
      <c r="K468" s="2">
        <f t="shared" si="58"/>
        <v>-20.5</v>
      </c>
      <c r="L468" s="8">
        <f t="shared" si="62"/>
        <v>1.3182567385564083E-11</v>
      </c>
      <c r="M468" s="26"/>
      <c r="N468" s="17"/>
      <c r="O468" s="9">
        <f t="shared" si="60"/>
        <v>-26.1</v>
      </c>
      <c r="P468" s="8">
        <f>D464/B464*10^(O468/10)</f>
        <v>0.77159683583032657</v>
      </c>
      <c r="Q468" s="26"/>
      <c r="R468" s="17"/>
      <c r="S468" s="19"/>
      <c r="T468" s="17"/>
      <c r="U468" s="22"/>
    </row>
    <row r="469" spans="1:21" x14ac:dyDescent="0.25">
      <c r="A469" s="24"/>
      <c r="B469" s="24"/>
      <c r="C469" s="17"/>
      <c r="D469" s="24"/>
      <c r="E469" s="24"/>
      <c r="F469" s="25"/>
      <c r="G469" s="1">
        <v>11025</v>
      </c>
      <c r="H469" s="2">
        <v>86</v>
      </c>
      <c r="I469" s="2">
        <v>-23.5</v>
      </c>
      <c r="J469" s="2">
        <v>-29.3</v>
      </c>
      <c r="K469" s="2">
        <f t="shared" si="58"/>
        <v>-23.5</v>
      </c>
      <c r="L469" s="8">
        <f t="shared" si="62"/>
        <v>1.1220184543019613E-11</v>
      </c>
      <c r="M469" s="26"/>
      <c r="N469" s="17"/>
      <c r="O469" s="9">
        <f t="shared" si="60"/>
        <v>-29.3</v>
      </c>
      <c r="P469" s="8">
        <f>D464/B464*10^(O469/10)</f>
        <v>0.36930946476932491</v>
      </c>
      <c r="Q469" s="26"/>
      <c r="R469" s="17"/>
      <c r="S469" s="20"/>
      <c r="T469" s="17"/>
      <c r="U469" s="23"/>
    </row>
    <row r="470" spans="1:21" x14ac:dyDescent="0.25">
      <c r="A470" s="24" t="s">
        <v>20</v>
      </c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12">
        <f>U470</f>
        <v>6.1673030906117476E-2</v>
      </c>
      <c r="T470" s="2"/>
      <c r="U470" s="8">
        <f>0.8*SQRT(SUM(U436:U469))</f>
        <v>6.1673030906117476E-2</v>
      </c>
    </row>
    <row r="471" spans="1:21" x14ac:dyDescent="0.25">
      <c r="A471" s="27" t="s">
        <v>105</v>
      </c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9"/>
    </row>
    <row r="472" spans="1:21" x14ac:dyDescent="0.25">
      <c r="A472" s="24">
        <v>250</v>
      </c>
      <c r="B472" s="24">
        <v>3</v>
      </c>
      <c r="C472" s="17">
        <v>0.5</v>
      </c>
      <c r="D472" s="24">
        <v>38</v>
      </c>
      <c r="E472" s="24">
        <v>4</v>
      </c>
      <c r="F472" s="25">
        <v>84</v>
      </c>
      <c r="G472" s="1">
        <v>175</v>
      </c>
      <c r="H472" s="2">
        <v>84.8</v>
      </c>
      <c r="I472" s="2">
        <v>-11.7</v>
      </c>
      <c r="J472" s="2">
        <v>-20.100000000000001</v>
      </c>
      <c r="K472" s="2">
        <f>I472</f>
        <v>-11.7</v>
      </c>
      <c r="L472" s="8">
        <f>10^((K472-H472)/10)</f>
        <v>2.238721138568331E-10</v>
      </c>
      <c r="M472" s="26">
        <f>SUM(L472:L475)</f>
        <v>2.8877571555534466E-10</v>
      </c>
      <c r="N472" s="17">
        <f>10*LOG10(M472/E472)</f>
        <v>-101.41499322664963</v>
      </c>
      <c r="O472" s="9">
        <f>J472</f>
        <v>-20.100000000000001</v>
      </c>
      <c r="P472" s="8">
        <f>D472/B472*10^(O472/10)</f>
        <v>0.1237833813210692</v>
      </c>
      <c r="Q472" s="26">
        <f>SUM(P472:P475)</f>
        <v>0.44629363012631607</v>
      </c>
      <c r="R472" s="17">
        <f>10*LOG10(Q472)</f>
        <v>-3.5037931172710097</v>
      </c>
      <c r="S472" s="18">
        <f>F472+N472-Kzt-H</f>
        <v>-17.414993226649628</v>
      </c>
      <c r="T472" s="17">
        <v>0.2</v>
      </c>
      <c r="U472" s="21">
        <f>T472*10^((S472-R472)/10)</f>
        <v>8.1266206000703469E-3</v>
      </c>
    </row>
    <row r="473" spans="1:21" x14ac:dyDescent="0.25">
      <c r="A473" s="24"/>
      <c r="B473" s="24"/>
      <c r="C473" s="17"/>
      <c r="D473" s="24"/>
      <c r="E473" s="24"/>
      <c r="F473" s="25"/>
      <c r="G473" s="1">
        <v>225</v>
      </c>
      <c r="H473" s="2">
        <v>90</v>
      </c>
      <c r="I473" s="2">
        <v>-14.9</v>
      </c>
      <c r="J473" s="2">
        <v>-19.2</v>
      </c>
      <c r="K473" s="2">
        <f t="shared" ref="K473:K505" si="63">I473</f>
        <v>-14.9</v>
      </c>
      <c r="L473" s="8">
        <f t="shared" ref="L473:L474" si="64">10^((K473-H473)/10)</f>
        <v>3.2359365692962733E-11</v>
      </c>
      <c r="M473" s="26"/>
      <c r="N473" s="17"/>
      <c r="O473" s="9">
        <f t="shared" ref="O473:O505" si="65">J473</f>
        <v>-19.2</v>
      </c>
      <c r="P473" s="8">
        <f>D472/B472*10^(O473/10)</f>
        <v>0.15228682838487223</v>
      </c>
      <c r="Q473" s="26"/>
      <c r="R473" s="17"/>
      <c r="S473" s="19"/>
      <c r="T473" s="17"/>
      <c r="U473" s="22"/>
    </row>
    <row r="474" spans="1:21" x14ac:dyDescent="0.25">
      <c r="A474" s="24"/>
      <c r="B474" s="24"/>
      <c r="C474" s="17"/>
      <c r="D474" s="24"/>
      <c r="E474" s="24"/>
      <c r="F474" s="25"/>
      <c r="G474" s="1">
        <v>275</v>
      </c>
      <c r="H474" s="2">
        <v>92.2</v>
      </c>
      <c r="I474" s="2">
        <v>-16.5</v>
      </c>
      <c r="J474" s="2">
        <v>-21</v>
      </c>
      <c r="K474" s="2">
        <f t="shared" si="63"/>
        <v>-16.5</v>
      </c>
      <c r="L474" s="8">
        <f t="shared" si="64"/>
        <v>1.348962882591645E-11</v>
      </c>
      <c r="M474" s="26"/>
      <c r="N474" s="17"/>
      <c r="O474" s="9">
        <f t="shared" si="65"/>
        <v>-21</v>
      </c>
      <c r="P474" s="8">
        <f>D472/B472*10^(O474/10)</f>
        <v>0.10061490973174228</v>
      </c>
      <c r="Q474" s="26"/>
      <c r="R474" s="17"/>
      <c r="S474" s="19"/>
      <c r="T474" s="17"/>
      <c r="U474" s="22"/>
    </row>
    <row r="475" spans="1:21" x14ac:dyDescent="0.25">
      <c r="A475" s="24"/>
      <c r="B475" s="24"/>
      <c r="C475" s="17"/>
      <c r="D475" s="24"/>
      <c r="E475" s="24"/>
      <c r="F475" s="25"/>
      <c r="G475" s="1">
        <v>325</v>
      </c>
      <c r="H475" s="2">
        <v>93.3</v>
      </c>
      <c r="I475" s="2">
        <v>-13.9</v>
      </c>
      <c r="J475" s="2">
        <v>-22.6</v>
      </c>
      <c r="K475" s="2">
        <f t="shared" si="63"/>
        <v>-13.9</v>
      </c>
      <c r="L475" s="8">
        <f>10^((K475-H475)/10)</f>
        <v>1.9054607179632392E-11</v>
      </c>
      <c r="M475" s="26"/>
      <c r="N475" s="17"/>
      <c r="O475" s="9">
        <f t="shared" si="65"/>
        <v>-22.6</v>
      </c>
      <c r="P475" s="8">
        <f>D472/B472*10^(O475/10)</f>
        <v>6.96085106886324E-2</v>
      </c>
      <c r="Q475" s="26"/>
      <c r="R475" s="17"/>
      <c r="S475" s="20"/>
      <c r="T475" s="17"/>
      <c r="U475" s="23"/>
    </row>
    <row r="476" spans="1:21" x14ac:dyDescent="0.25">
      <c r="A476" s="24">
        <v>500</v>
      </c>
      <c r="B476" s="24">
        <v>3</v>
      </c>
      <c r="C476" s="17">
        <v>0.5</v>
      </c>
      <c r="D476" s="24">
        <v>59</v>
      </c>
      <c r="E476" s="24">
        <v>6</v>
      </c>
      <c r="F476" s="25">
        <v>84</v>
      </c>
      <c r="G476" s="1">
        <v>375</v>
      </c>
      <c r="H476" s="2">
        <v>91.9</v>
      </c>
      <c r="I476" s="2">
        <v>-14.9</v>
      </c>
      <c r="J476" s="2">
        <v>-17.2</v>
      </c>
      <c r="K476" s="2">
        <f t="shared" si="63"/>
        <v>-14.9</v>
      </c>
      <c r="L476" s="8">
        <f t="shared" ref="L476:L477" si="66">10^((K476-H476)/10)</f>
        <v>2.0892961308540299E-11</v>
      </c>
      <c r="M476" s="26">
        <f>SUM(L476:L481)</f>
        <v>1.4347517109774911E-10</v>
      </c>
      <c r="N476" s="17">
        <f>10*LOG10(M476/E476)</f>
        <v>-106.21374499057251</v>
      </c>
      <c r="O476" s="9">
        <f t="shared" si="65"/>
        <v>-17.2</v>
      </c>
      <c r="P476" s="8">
        <f>D476/B476*10^(O476/10)</f>
        <v>0.37474060786610514</v>
      </c>
      <c r="Q476" s="26">
        <f>SUM(P476:P481)</f>
        <v>1.7308508764987749</v>
      </c>
      <c r="R476" s="17">
        <f>10*LOG10(Q476)</f>
        <v>2.3825965233321447</v>
      </c>
      <c r="S476" s="18">
        <f>F476+N476-Kzt-H</f>
        <v>-22.213744990572508</v>
      </c>
      <c r="T476" s="17">
        <v>0.5</v>
      </c>
      <c r="U476" s="21">
        <f>T476*10^((S476-R476)/10)</f>
        <v>1.7351453189503269E-3</v>
      </c>
    </row>
    <row r="477" spans="1:21" x14ac:dyDescent="0.25">
      <c r="A477" s="24"/>
      <c r="B477" s="24"/>
      <c r="C477" s="17"/>
      <c r="D477" s="24"/>
      <c r="E477" s="24"/>
      <c r="F477" s="25"/>
      <c r="G477" s="1">
        <v>425</v>
      </c>
      <c r="H477" s="2">
        <v>88.1</v>
      </c>
      <c r="I477" s="2">
        <v>-15.1</v>
      </c>
      <c r="J477" s="2">
        <v>-18.600000000000001</v>
      </c>
      <c r="K477" s="2">
        <f t="shared" si="63"/>
        <v>-15.1</v>
      </c>
      <c r="L477" s="8">
        <f t="shared" si="66"/>
        <v>4.7863009232263962E-11</v>
      </c>
      <c r="M477" s="26"/>
      <c r="N477" s="17"/>
      <c r="O477" s="9">
        <f t="shared" si="65"/>
        <v>-18.600000000000001</v>
      </c>
      <c r="P477" s="8">
        <f>D476/B476*10^(O477/10)</f>
        <v>0.27147557203856715</v>
      </c>
      <c r="Q477" s="26"/>
      <c r="R477" s="17"/>
      <c r="S477" s="19"/>
      <c r="T477" s="17"/>
      <c r="U477" s="22"/>
    </row>
    <row r="478" spans="1:21" x14ac:dyDescent="0.25">
      <c r="A478" s="24"/>
      <c r="B478" s="24"/>
      <c r="C478" s="17"/>
      <c r="D478" s="24"/>
      <c r="E478" s="24"/>
      <c r="F478" s="25"/>
      <c r="G478" s="1">
        <v>475</v>
      </c>
      <c r="H478" s="2">
        <v>90</v>
      </c>
      <c r="I478" s="2">
        <v>-13.7</v>
      </c>
      <c r="J478" s="2">
        <v>-17.7</v>
      </c>
      <c r="K478" s="2">
        <f t="shared" si="63"/>
        <v>-13.7</v>
      </c>
      <c r="L478" s="8">
        <f>10^((K478-H478)/10)</f>
        <v>4.2657951880159099E-11</v>
      </c>
      <c r="M478" s="26"/>
      <c r="N478" s="17"/>
      <c r="O478" s="9">
        <f t="shared" si="65"/>
        <v>-17.7</v>
      </c>
      <c r="P478" s="8">
        <f>D476/B476*10^(O478/10)</f>
        <v>0.33398791831747615</v>
      </c>
      <c r="Q478" s="26"/>
      <c r="R478" s="17"/>
      <c r="S478" s="19"/>
      <c r="T478" s="17"/>
      <c r="U478" s="22"/>
    </row>
    <row r="479" spans="1:21" x14ac:dyDescent="0.25">
      <c r="A479" s="24"/>
      <c r="B479" s="24"/>
      <c r="C479" s="17"/>
      <c r="D479" s="24"/>
      <c r="E479" s="24"/>
      <c r="F479" s="25"/>
      <c r="G479" s="1">
        <v>575</v>
      </c>
      <c r="H479" s="2">
        <v>97</v>
      </c>
      <c r="I479" s="2">
        <v>-17.100000000000001</v>
      </c>
      <c r="J479" s="2">
        <v>-20.2</v>
      </c>
      <c r="K479" s="2">
        <f t="shared" si="63"/>
        <v>-17.100000000000001</v>
      </c>
      <c r="L479" s="8">
        <f t="shared" ref="L479:L505" si="67">10^((K479-H479)/10)</f>
        <v>3.890451449942802E-12</v>
      </c>
      <c r="M479" s="26"/>
      <c r="N479" s="17"/>
      <c r="O479" s="9">
        <f t="shared" si="65"/>
        <v>-20.2</v>
      </c>
      <c r="P479" s="8">
        <f>D476/B476*10^(O479/10)</f>
        <v>0.18781520858421571</v>
      </c>
      <c r="Q479" s="26"/>
      <c r="R479" s="17"/>
      <c r="S479" s="19"/>
      <c r="T479" s="17"/>
      <c r="U479" s="22"/>
    </row>
    <row r="480" spans="1:21" x14ac:dyDescent="0.25">
      <c r="A480" s="24"/>
      <c r="B480" s="24"/>
      <c r="C480" s="17"/>
      <c r="D480" s="24"/>
      <c r="E480" s="24"/>
      <c r="F480" s="25"/>
      <c r="G480" s="1">
        <v>625</v>
      </c>
      <c r="H480" s="2">
        <v>92</v>
      </c>
      <c r="I480" s="2">
        <v>-15.3</v>
      </c>
      <c r="J480" s="2">
        <v>-17.100000000000001</v>
      </c>
      <c r="K480" s="2">
        <f t="shared" si="63"/>
        <v>-15.3</v>
      </c>
      <c r="L480" s="8">
        <f t="shared" si="67"/>
        <v>1.8620871366628599E-11</v>
      </c>
      <c r="M480" s="26"/>
      <c r="N480" s="17"/>
      <c r="O480" s="9">
        <f t="shared" si="65"/>
        <v>-17.100000000000001</v>
      </c>
      <c r="P480" s="8">
        <f>D476/B476*10^(O480/10)</f>
        <v>0.38346943795241523</v>
      </c>
      <c r="Q480" s="26"/>
      <c r="R480" s="17"/>
      <c r="S480" s="19"/>
      <c r="T480" s="17"/>
      <c r="U480" s="22"/>
    </row>
    <row r="481" spans="1:21" x14ac:dyDescent="0.25">
      <c r="A481" s="24"/>
      <c r="B481" s="24"/>
      <c r="C481" s="17"/>
      <c r="D481" s="24"/>
      <c r="E481" s="24"/>
      <c r="F481" s="25"/>
      <c r="G481" s="1">
        <v>675</v>
      </c>
      <c r="H481" s="2">
        <v>94.5</v>
      </c>
      <c r="I481" s="2">
        <v>-15.7</v>
      </c>
      <c r="J481" s="2">
        <v>-20.399999999999999</v>
      </c>
      <c r="K481" s="2">
        <f t="shared" si="63"/>
        <v>-15.7</v>
      </c>
      <c r="L481" s="8">
        <f t="shared" si="67"/>
        <v>9.5499258602143472E-12</v>
      </c>
      <c r="M481" s="26"/>
      <c r="N481" s="17"/>
      <c r="O481" s="9">
        <f t="shared" si="65"/>
        <v>-20.399999999999999</v>
      </c>
      <c r="P481" s="8">
        <f>D476/B476*10^(O481/10)</f>
        <v>0.17936213173999541</v>
      </c>
      <c r="Q481" s="26"/>
      <c r="R481" s="17"/>
      <c r="S481" s="20"/>
      <c r="T481" s="17"/>
      <c r="U481" s="23"/>
    </row>
    <row r="482" spans="1:21" x14ac:dyDescent="0.25">
      <c r="A482" s="24">
        <v>1000</v>
      </c>
      <c r="B482" s="24">
        <v>3</v>
      </c>
      <c r="C482" s="17">
        <v>0.5</v>
      </c>
      <c r="D482" s="24">
        <v>117</v>
      </c>
      <c r="E482" s="24">
        <v>6</v>
      </c>
      <c r="F482" s="25">
        <v>76</v>
      </c>
      <c r="G482" s="1">
        <v>875</v>
      </c>
      <c r="H482" s="2">
        <v>91.1</v>
      </c>
      <c r="I482" s="2">
        <v>-17.3</v>
      </c>
      <c r="J482" s="2">
        <v>-17.600000000000001</v>
      </c>
      <c r="K482" s="2">
        <f t="shared" si="63"/>
        <v>-17.3</v>
      </c>
      <c r="L482" s="8">
        <f t="shared" si="67"/>
        <v>1.4454397707459232E-11</v>
      </c>
      <c r="M482" s="26">
        <f>SUM(L482:L487)</f>
        <v>4.9122563251762986E-11</v>
      </c>
      <c r="N482" s="17">
        <f>10*LOG10(M482/E482)</f>
        <v>-110.86870229851266</v>
      </c>
      <c r="O482" s="9">
        <f t="shared" si="65"/>
        <v>-17.600000000000001</v>
      </c>
      <c r="P482" s="8">
        <f>D482/B482*10^(O482/10)</f>
        <v>0.6777423232122558</v>
      </c>
      <c r="Q482" s="26">
        <f>SUM(P482:P487)</f>
        <v>2.9667335788708407</v>
      </c>
      <c r="R482" s="17">
        <f>10*LOG10(Q482)</f>
        <v>4.7227854718592504</v>
      </c>
      <c r="S482" s="18">
        <f>F482+N482-Kzt-H</f>
        <v>-34.868702298512659</v>
      </c>
      <c r="T482" s="17">
        <v>0.8</v>
      </c>
      <c r="U482" s="21">
        <f>T482*10^((S482-R482)/10)</f>
        <v>8.7890353241348201E-5</v>
      </c>
    </row>
    <row r="483" spans="1:21" x14ac:dyDescent="0.25">
      <c r="A483" s="24"/>
      <c r="B483" s="24"/>
      <c r="C483" s="17"/>
      <c r="D483" s="24"/>
      <c r="E483" s="24"/>
      <c r="F483" s="25"/>
      <c r="G483" s="1">
        <v>975</v>
      </c>
      <c r="H483" s="2">
        <v>96.5</v>
      </c>
      <c r="I483" s="2">
        <v>-18.2</v>
      </c>
      <c r="J483" s="2">
        <v>-20.100000000000001</v>
      </c>
      <c r="K483" s="2">
        <f t="shared" si="63"/>
        <v>-18.2</v>
      </c>
      <c r="L483" s="8">
        <f t="shared" si="67"/>
        <v>3.3884415613920115E-12</v>
      </c>
      <c r="M483" s="26"/>
      <c r="N483" s="17"/>
      <c r="O483" s="9">
        <f t="shared" si="65"/>
        <v>-20.100000000000001</v>
      </c>
      <c r="P483" s="8">
        <f>D482/B482*10^(O483/10)</f>
        <v>0.38112251617276571</v>
      </c>
      <c r="Q483" s="26"/>
      <c r="R483" s="17"/>
      <c r="S483" s="19"/>
      <c r="T483" s="17"/>
      <c r="U483" s="22"/>
    </row>
    <row r="484" spans="1:21" x14ac:dyDescent="0.25">
      <c r="A484" s="24"/>
      <c r="B484" s="24"/>
      <c r="C484" s="17"/>
      <c r="D484" s="24"/>
      <c r="E484" s="24"/>
      <c r="F484" s="25"/>
      <c r="G484" s="1">
        <v>1075</v>
      </c>
      <c r="H484" s="2">
        <v>94.6</v>
      </c>
      <c r="I484" s="2">
        <v>-11.9</v>
      </c>
      <c r="J484" s="2">
        <v>-19.7</v>
      </c>
      <c r="K484" s="2">
        <f t="shared" si="63"/>
        <v>-11.9</v>
      </c>
      <c r="L484" s="8">
        <f t="shared" si="67"/>
        <v>2.238721138568329E-11</v>
      </c>
      <c r="M484" s="26"/>
      <c r="N484" s="17"/>
      <c r="O484" s="9">
        <f t="shared" si="65"/>
        <v>-19.7</v>
      </c>
      <c r="P484" s="8">
        <f>D482/B482*10^(O484/10)</f>
        <v>0.41789252904266622</v>
      </c>
      <c r="Q484" s="26"/>
      <c r="R484" s="17"/>
      <c r="S484" s="19"/>
      <c r="T484" s="17"/>
      <c r="U484" s="22"/>
    </row>
    <row r="485" spans="1:21" x14ac:dyDescent="0.25">
      <c r="A485" s="24"/>
      <c r="B485" s="24"/>
      <c r="C485" s="17"/>
      <c r="D485" s="24"/>
      <c r="E485" s="24"/>
      <c r="F485" s="25"/>
      <c r="G485" s="1">
        <v>1175</v>
      </c>
      <c r="H485" s="2">
        <v>97.8</v>
      </c>
      <c r="I485" s="2">
        <v>-18</v>
      </c>
      <c r="J485" s="2">
        <v>-18.600000000000001</v>
      </c>
      <c r="K485" s="2">
        <f t="shared" si="63"/>
        <v>-18</v>
      </c>
      <c r="L485" s="8">
        <f t="shared" si="67"/>
        <v>2.6302679918953739E-12</v>
      </c>
      <c r="M485" s="26"/>
      <c r="N485" s="17"/>
      <c r="O485" s="9">
        <f t="shared" si="65"/>
        <v>-18.600000000000001</v>
      </c>
      <c r="P485" s="8">
        <f>D482/B482*10^(O485/10)</f>
        <v>0.53834986319512468</v>
      </c>
      <c r="Q485" s="26"/>
      <c r="R485" s="17"/>
      <c r="S485" s="19"/>
      <c r="T485" s="17"/>
      <c r="U485" s="22"/>
    </row>
    <row r="486" spans="1:21" x14ac:dyDescent="0.25">
      <c r="A486" s="24"/>
      <c r="B486" s="24"/>
      <c r="C486" s="17"/>
      <c r="D486" s="24"/>
      <c r="E486" s="24"/>
      <c r="F486" s="25"/>
      <c r="G486" s="1">
        <v>1275</v>
      </c>
      <c r="H486" s="2">
        <v>100.1</v>
      </c>
      <c r="I486" s="2">
        <v>-13.2</v>
      </c>
      <c r="J486" s="2">
        <v>-20.5</v>
      </c>
      <c r="K486" s="2">
        <f t="shared" si="63"/>
        <v>-13.2</v>
      </c>
      <c r="L486" s="8">
        <f t="shared" si="67"/>
        <v>4.6773514128719737E-12</v>
      </c>
      <c r="M486" s="26"/>
      <c r="N486" s="17"/>
      <c r="O486" s="9">
        <f t="shared" si="65"/>
        <v>-20.5</v>
      </c>
      <c r="P486" s="8">
        <f>D482/B482*10^(O486/10)</f>
        <v>0.34758786587216078</v>
      </c>
      <c r="Q486" s="26"/>
      <c r="R486" s="17"/>
      <c r="S486" s="19"/>
      <c r="T486" s="17"/>
      <c r="U486" s="22"/>
    </row>
    <row r="487" spans="1:21" x14ac:dyDescent="0.25">
      <c r="A487" s="24"/>
      <c r="B487" s="24"/>
      <c r="C487" s="17"/>
      <c r="D487" s="24"/>
      <c r="E487" s="24"/>
      <c r="F487" s="25"/>
      <c r="G487" s="1">
        <v>1375</v>
      </c>
      <c r="H487" s="2">
        <v>103</v>
      </c>
      <c r="I487" s="2">
        <v>-15</v>
      </c>
      <c r="J487" s="2">
        <v>-18.100000000000001</v>
      </c>
      <c r="K487" s="2">
        <f t="shared" si="63"/>
        <v>-15</v>
      </c>
      <c r="L487" s="8">
        <f t="shared" si="67"/>
        <v>1.5848931924611065E-12</v>
      </c>
      <c r="M487" s="26"/>
      <c r="N487" s="17"/>
      <c r="O487" s="9">
        <f t="shared" si="65"/>
        <v>-18.100000000000001</v>
      </c>
      <c r="P487" s="8">
        <f>D482/B482*10^(O487/10)</f>
        <v>0.60403848137586735</v>
      </c>
      <c r="Q487" s="26"/>
      <c r="R487" s="17"/>
      <c r="S487" s="20"/>
      <c r="T487" s="17"/>
      <c r="U487" s="23"/>
    </row>
    <row r="488" spans="1:21" x14ac:dyDescent="0.25">
      <c r="A488" s="24">
        <v>2000</v>
      </c>
      <c r="B488" s="24">
        <v>3</v>
      </c>
      <c r="C488" s="17">
        <v>0.5</v>
      </c>
      <c r="D488" s="24">
        <v>234</v>
      </c>
      <c r="E488" s="24">
        <v>6</v>
      </c>
      <c r="F488" s="25">
        <v>68</v>
      </c>
      <c r="G488" s="1">
        <v>1425</v>
      </c>
      <c r="H488" s="2">
        <v>102.8</v>
      </c>
      <c r="I488" s="2">
        <v>-13.8</v>
      </c>
      <c r="J488" s="2">
        <v>-16.5</v>
      </c>
      <c r="K488" s="2">
        <f t="shared" si="63"/>
        <v>-13.8</v>
      </c>
      <c r="L488" s="8">
        <f t="shared" si="67"/>
        <v>2.1877616239495474E-12</v>
      </c>
      <c r="M488" s="26">
        <f>SUM(L488:L493)</f>
        <v>3.0909428457068191E-11</v>
      </c>
      <c r="N488" s="17">
        <f>10*LOG10(M488/E488)</f>
        <v>-112.88060275738856</v>
      </c>
      <c r="O488" s="9">
        <f t="shared" si="65"/>
        <v>-16.5</v>
      </c>
      <c r="P488" s="8">
        <f>D488/B488*10^(O488/10)</f>
        <v>1.7462024880833042</v>
      </c>
      <c r="Q488" s="26">
        <f>SUM(P488:P493)</f>
        <v>6.2418068793828096</v>
      </c>
      <c r="R488" s="17">
        <f>10*LOG10(Q488)</f>
        <v>7.9531032752767086</v>
      </c>
      <c r="S488" s="18">
        <f>F488+N488-Kzt-H</f>
        <v>-44.880602757388559</v>
      </c>
      <c r="T488" s="17">
        <v>1</v>
      </c>
      <c r="U488" s="21">
        <f>T488*10^((S488-R488)/10)</f>
        <v>5.207501416267408E-6</v>
      </c>
    </row>
    <row r="489" spans="1:21" x14ac:dyDescent="0.25">
      <c r="A489" s="24"/>
      <c r="B489" s="24"/>
      <c r="C489" s="17"/>
      <c r="D489" s="24"/>
      <c r="E489" s="24"/>
      <c r="F489" s="25"/>
      <c r="G489" s="1">
        <v>1625</v>
      </c>
      <c r="H489" s="2">
        <v>104.1</v>
      </c>
      <c r="I489" s="2">
        <v>-11.4</v>
      </c>
      <c r="J489" s="2">
        <v>-21.7</v>
      </c>
      <c r="K489" s="2">
        <f t="shared" si="63"/>
        <v>-11.4</v>
      </c>
      <c r="L489" s="8">
        <f t="shared" si="67"/>
        <v>2.8183829312644444E-12</v>
      </c>
      <c r="M489" s="26"/>
      <c r="N489" s="17"/>
      <c r="O489" s="9">
        <f t="shared" si="65"/>
        <v>-21.7</v>
      </c>
      <c r="P489" s="8">
        <f>D488/B488*10^(O489/10)</f>
        <v>0.52734472080574546</v>
      </c>
      <c r="Q489" s="26"/>
      <c r="R489" s="17"/>
      <c r="S489" s="19"/>
      <c r="T489" s="17"/>
      <c r="U489" s="22"/>
    </row>
    <row r="490" spans="1:21" x14ac:dyDescent="0.25">
      <c r="A490" s="24"/>
      <c r="B490" s="24"/>
      <c r="C490" s="17"/>
      <c r="D490" s="24"/>
      <c r="E490" s="24"/>
      <c r="F490" s="25"/>
      <c r="G490" s="1">
        <v>1825</v>
      </c>
      <c r="H490" s="2">
        <v>107.6</v>
      </c>
      <c r="I490" s="2">
        <v>-15.3</v>
      </c>
      <c r="J490" s="2">
        <v>-20.5</v>
      </c>
      <c r="K490" s="2">
        <f t="shared" si="63"/>
        <v>-15.3</v>
      </c>
      <c r="L490" s="8">
        <f t="shared" si="67"/>
        <v>5.1286138399136499E-13</v>
      </c>
      <c r="M490" s="26"/>
      <c r="N490" s="17"/>
      <c r="O490" s="9">
        <f t="shared" si="65"/>
        <v>-20.5</v>
      </c>
      <c r="P490" s="8">
        <f>D488/B488*10^(O490/10)</f>
        <v>0.69517573174432157</v>
      </c>
      <c r="Q490" s="26"/>
      <c r="R490" s="17"/>
      <c r="S490" s="19"/>
      <c r="T490" s="17"/>
      <c r="U490" s="22"/>
    </row>
    <row r="491" spans="1:21" x14ac:dyDescent="0.25">
      <c r="A491" s="24"/>
      <c r="B491" s="24"/>
      <c r="C491" s="17"/>
      <c r="D491" s="24"/>
      <c r="E491" s="24"/>
      <c r="F491" s="25"/>
      <c r="G491" s="1">
        <v>2125</v>
      </c>
      <c r="H491" s="2">
        <v>104.2</v>
      </c>
      <c r="I491" s="2">
        <v>-17</v>
      </c>
      <c r="J491" s="2">
        <v>-19.3</v>
      </c>
      <c r="K491" s="2">
        <f t="shared" si="63"/>
        <v>-17</v>
      </c>
      <c r="L491" s="8">
        <f t="shared" si="67"/>
        <v>7.5857757502917993E-13</v>
      </c>
      <c r="M491" s="26"/>
      <c r="N491" s="17"/>
      <c r="O491" s="9">
        <f t="shared" si="65"/>
        <v>-19.3</v>
      </c>
      <c r="P491" s="8">
        <f>D488/B488*10^(O491/10)</f>
        <v>0.9164200928528321</v>
      </c>
      <c r="Q491" s="26"/>
      <c r="R491" s="17"/>
      <c r="S491" s="19"/>
      <c r="T491" s="17"/>
      <c r="U491" s="22"/>
    </row>
    <row r="492" spans="1:21" x14ac:dyDescent="0.25">
      <c r="A492" s="24"/>
      <c r="B492" s="24"/>
      <c r="C492" s="17"/>
      <c r="D492" s="24"/>
      <c r="E492" s="24"/>
      <c r="F492" s="25"/>
      <c r="G492" s="1">
        <v>2425</v>
      </c>
      <c r="H492" s="2">
        <v>93.7</v>
      </c>
      <c r="I492" s="2">
        <v>-12.9</v>
      </c>
      <c r="J492" s="2">
        <v>-19.7</v>
      </c>
      <c r="K492" s="2">
        <f t="shared" si="63"/>
        <v>-12.9</v>
      </c>
      <c r="L492" s="8">
        <f t="shared" si="67"/>
        <v>2.1877616239495499E-11</v>
      </c>
      <c r="M492" s="26"/>
      <c r="N492" s="17"/>
      <c r="O492" s="9">
        <f t="shared" si="65"/>
        <v>-19.7</v>
      </c>
      <c r="P492" s="8">
        <f>D488/B488*10^(O492/10)</f>
        <v>0.83578505808533243</v>
      </c>
      <c r="Q492" s="26"/>
      <c r="R492" s="17"/>
      <c r="S492" s="19"/>
      <c r="T492" s="17"/>
      <c r="U492" s="22"/>
    </row>
    <row r="493" spans="1:21" x14ac:dyDescent="0.25">
      <c r="A493" s="24"/>
      <c r="B493" s="24"/>
      <c r="C493" s="17"/>
      <c r="D493" s="24"/>
      <c r="E493" s="24"/>
      <c r="F493" s="25"/>
      <c r="G493" s="1">
        <v>2775</v>
      </c>
      <c r="H493" s="2">
        <v>100.2</v>
      </c>
      <c r="I493" s="2">
        <v>-15.4</v>
      </c>
      <c r="J493" s="2">
        <v>-17.100000000000001</v>
      </c>
      <c r="K493" s="2">
        <f t="shared" si="63"/>
        <v>-15.4</v>
      </c>
      <c r="L493" s="8">
        <f t="shared" si="67"/>
        <v>2.7542287033381574E-12</v>
      </c>
      <c r="M493" s="26"/>
      <c r="N493" s="17"/>
      <c r="O493" s="9">
        <f t="shared" si="65"/>
        <v>-17.100000000000001</v>
      </c>
      <c r="P493" s="8">
        <f>D488/B488*10^(O493/10)</f>
        <v>1.5208787878112739</v>
      </c>
      <c r="Q493" s="26"/>
      <c r="R493" s="17"/>
      <c r="S493" s="20"/>
      <c r="T493" s="17"/>
      <c r="U493" s="23"/>
    </row>
    <row r="494" spans="1:21" x14ac:dyDescent="0.25">
      <c r="A494" s="24">
        <v>4000</v>
      </c>
      <c r="B494" s="24">
        <v>3</v>
      </c>
      <c r="C494" s="17">
        <v>0.5</v>
      </c>
      <c r="D494" s="24">
        <v>470</v>
      </c>
      <c r="E494" s="24">
        <v>6</v>
      </c>
      <c r="F494" s="25">
        <v>62</v>
      </c>
      <c r="G494" s="1">
        <v>2825</v>
      </c>
      <c r="H494" s="2">
        <v>99.4</v>
      </c>
      <c r="I494" s="2">
        <v>-12.5</v>
      </c>
      <c r="J494" s="2">
        <v>-21.9</v>
      </c>
      <c r="K494" s="2">
        <f t="shared" si="63"/>
        <v>-12.5</v>
      </c>
      <c r="L494" s="8">
        <f t="shared" si="67"/>
        <v>6.4565422903465118E-12</v>
      </c>
      <c r="M494" s="26">
        <f>SUM(L494:L499)</f>
        <v>1.1460107129130014E-11</v>
      </c>
      <c r="N494" s="17">
        <f>10*LOG10(M494/E494)</f>
        <v>-117.18962572946639</v>
      </c>
      <c r="O494" s="9">
        <f t="shared" si="65"/>
        <v>-21.9</v>
      </c>
      <c r="P494" s="8">
        <f>D494/B494*10^(O494/10)</f>
        <v>1.0115249588209598</v>
      </c>
      <c r="Q494" s="26">
        <f>SUM(P494:P499)</f>
        <v>7.8454525407741693</v>
      </c>
      <c r="R494" s="17">
        <f>10*LOG10(Q494)</f>
        <v>8.946179995855001</v>
      </c>
      <c r="S494" s="18">
        <f>F494+N494-Kzt-H</f>
        <v>-55.189625729466385</v>
      </c>
      <c r="T494" s="17">
        <v>0.9</v>
      </c>
      <c r="U494" s="21">
        <f>T494*10^((S494-R494)/10)</f>
        <v>3.4726573794379805E-7</v>
      </c>
    </row>
    <row r="495" spans="1:21" x14ac:dyDescent="0.25">
      <c r="A495" s="24"/>
      <c r="B495" s="24"/>
      <c r="C495" s="17"/>
      <c r="D495" s="24"/>
      <c r="E495" s="24"/>
      <c r="F495" s="25"/>
      <c r="G495" s="1">
        <v>3425</v>
      </c>
      <c r="H495" s="2">
        <v>103.5</v>
      </c>
      <c r="I495" s="2">
        <v>-16.3</v>
      </c>
      <c r="J495" s="2">
        <v>-20</v>
      </c>
      <c r="K495" s="2">
        <f t="shared" si="63"/>
        <v>-16.3</v>
      </c>
      <c r="L495" s="8">
        <f t="shared" si="67"/>
        <v>1.0471285480508967E-12</v>
      </c>
      <c r="M495" s="26"/>
      <c r="N495" s="17"/>
      <c r="O495" s="9">
        <f t="shared" si="65"/>
        <v>-20</v>
      </c>
      <c r="P495" s="8">
        <f>D494/B494*10^(O495/10)</f>
        <v>1.5666666666666667</v>
      </c>
      <c r="Q495" s="26"/>
      <c r="R495" s="17"/>
      <c r="S495" s="19"/>
      <c r="T495" s="17"/>
      <c r="U495" s="22"/>
    </row>
    <row r="496" spans="1:21" x14ac:dyDescent="0.25">
      <c r="A496" s="24"/>
      <c r="B496" s="24"/>
      <c r="C496" s="17"/>
      <c r="D496" s="24"/>
      <c r="E496" s="24"/>
      <c r="F496" s="25"/>
      <c r="G496" s="1">
        <v>4025</v>
      </c>
      <c r="H496" s="2">
        <v>103.6</v>
      </c>
      <c r="I496" s="2">
        <v>-16.100000000000001</v>
      </c>
      <c r="J496" s="2">
        <v>-20.7</v>
      </c>
      <c r="K496" s="2">
        <f t="shared" si="63"/>
        <v>-16.100000000000001</v>
      </c>
      <c r="L496" s="8">
        <f t="shared" si="67"/>
        <v>1.0715193052376071E-12</v>
      </c>
      <c r="M496" s="26"/>
      <c r="N496" s="17"/>
      <c r="O496" s="9">
        <f t="shared" si="65"/>
        <v>-20.7</v>
      </c>
      <c r="P496" s="8">
        <f>D494/B494*10^(O496/10)</f>
        <v>1.3334495931837236</v>
      </c>
      <c r="Q496" s="26"/>
      <c r="R496" s="17"/>
      <c r="S496" s="19"/>
      <c r="T496" s="17"/>
      <c r="U496" s="22"/>
    </row>
    <row r="497" spans="1:21" x14ac:dyDescent="0.25">
      <c r="A497" s="24"/>
      <c r="B497" s="24"/>
      <c r="C497" s="17"/>
      <c r="D497" s="24"/>
      <c r="E497" s="24"/>
      <c r="F497" s="25"/>
      <c r="G497" s="1">
        <v>4625</v>
      </c>
      <c r="H497" s="2">
        <v>105.6</v>
      </c>
      <c r="I497" s="2">
        <v>-15.7</v>
      </c>
      <c r="J497" s="2">
        <v>-19.100000000000001</v>
      </c>
      <c r="K497" s="2">
        <f t="shared" si="63"/>
        <v>-15.7</v>
      </c>
      <c r="L497" s="8">
        <f t="shared" si="67"/>
        <v>7.4131024130091646E-13</v>
      </c>
      <c r="M497" s="26"/>
      <c r="N497" s="17"/>
      <c r="O497" s="9">
        <f t="shared" si="65"/>
        <v>-19.100000000000001</v>
      </c>
      <c r="P497" s="8">
        <f>D494/B494*10^(O497/10)</f>
        <v>1.92742107427273</v>
      </c>
      <c r="Q497" s="26"/>
      <c r="R497" s="17"/>
      <c r="S497" s="19"/>
      <c r="T497" s="17"/>
      <c r="U497" s="22"/>
    </row>
    <row r="498" spans="1:21" x14ac:dyDescent="0.25">
      <c r="A498" s="24"/>
      <c r="B498" s="24"/>
      <c r="C498" s="17"/>
      <c r="D498" s="24"/>
      <c r="E498" s="24"/>
      <c r="F498" s="25"/>
      <c r="G498" s="1">
        <v>5225</v>
      </c>
      <c r="H498" s="2">
        <v>103.5</v>
      </c>
      <c r="I498" s="2">
        <v>-16.3</v>
      </c>
      <c r="J498" s="2">
        <v>-22.3</v>
      </c>
      <c r="K498" s="2">
        <f t="shared" si="63"/>
        <v>-16.3</v>
      </c>
      <c r="L498" s="8">
        <f t="shared" si="67"/>
        <v>1.0471285480508967E-12</v>
      </c>
      <c r="M498" s="26"/>
      <c r="N498" s="17"/>
      <c r="O498" s="9">
        <f t="shared" si="65"/>
        <v>-22.3</v>
      </c>
      <c r="P498" s="8">
        <f>D494/B494*10^(O498/10)</f>
        <v>0.92252172672375599</v>
      </c>
      <c r="Q498" s="26"/>
      <c r="R498" s="17"/>
      <c r="S498" s="19"/>
      <c r="T498" s="17"/>
      <c r="U498" s="22"/>
    </row>
    <row r="499" spans="1:21" x14ac:dyDescent="0.25">
      <c r="A499" s="24"/>
      <c r="B499" s="24"/>
      <c r="C499" s="17"/>
      <c r="D499" s="24"/>
      <c r="E499" s="24"/>
      <c r="F499" s="25"/>
      <c r="G499" s="1">
        <v>5625</v>
      </c>
      <c r="H499" s="2">
        <v>99.5</v>
      </c>
      <c r="I499" s="2">
        <v>-20.100000000000001</v>
      </c>
      <c r="J499" s="2">
        <v>-21.6</v>
      </c>
      <c r="K499" s="2">
        <f t="shared" si="63"/>
        <v>-20.100000000000001</v>
      </c>
      <c r="L499" s="8">
        <f t="shared" si="67"/>
        <v>1.0964781961431857E-12</v>
      </c>
      <c r="M499" s="26"/>
      <c r="N499" s="17"/>
      <c r="O499" s="9">
        <f t="shared" si="65"/>
        <v>-21.6</v>
      </c>
      <c r="P499" s="8">
        <f>D494/B494*10^(O499/10)</f>
        <v>1.083868521106333</v>
      </c>
      <c r="Q499" s="26"/>
      <c r="R499" s="17"/>
      <c r="S499" s="20"/>
      <c r="T499" s="17"/>
      <c r="U499" s="23"/>
    </row>
    <row r="500" spans="1:21" x14ac:dyDescent="0.25">
      <c r="A500" s="24">
        <v>8000</v>
      </c>
      <c r="B500" s="24">
        <v>3</v>
      </c>
      <c r="C500" s="17">
        <v>0.5</v>
      </c>
      <c r="D500" s="24">
        <v>943</v>
      </c>
      <c r="E500" s="24">
        <v>6</v>
      </c>
      <c r="F500" s="25">
        <v>54</v>
      </c>
      <c r="G500" s="1">
        <v>6025</v>
      </c>
      <c r="H500" s="2">
        <v>95</v>
      </c>
      <c r="I500" s="2">
        <v>-18.3</v>
      </c>
      <c r="J500" s="2">
        <v>-20.7</v>
      </c>
      <c r="K500" s="2">
        <f t="shared" si="63"/>
        <v>-18.3</v>
      </c>
      <c r="L500" s="8">
        <f t="shared" si="67"/>
        <v>4.6773514128719737E-12</v>
      </c>
      <c r="M500" s="26">
        <f>SUM(L500:L505)</f>
        <v>1.2229201410228599E-10</v>
      </c>
      <c r="N500" s="17">
        <f>10*LOG10(M500/E500)</f>
        <v>-106.9075315266501</v>
      </c>
      <c r="O500" s="9">
        <f t="shared" si="65"/>
        <v>-20.7</v>
      </c>
      <c r="P500" s="8">
        <f>D500/B500*10^(O500/10)</f>
        <v>2.6754105667494708</v>
      </c>
      <c r="Q500" s="26">
        <f>SUM(P500:P505)</f>
        <v>18.733356882479459</v>
      </c>
      <c r="R500" s="17">
        <f>10*LOG10(Q500)</f>
        <v>12.726156067884265</v>
      </c>
      <c r="S500" s="18">
        <f>F500+N500-Kzt-H</f>
        <v>-52.907531526650104</v>
      </c>
      <c r="T500" s="17">
        <v>0.7</v>
      </c>
      <c r="U500" s="21">
        <f>T500*10^((S500-R500)/10)</f>
        <v>1.9130630367246506E-7</v>
      </c>
    </row>
    <row r="501" spans="1:21" x14ac:dyDescent="0.25">
      <c r="A501" s="24"/>
      <c r="B501" s="24"/>
      <c r="C501" s="17"/>
      <c r="D501" s="24"/>
      <c r="E501" s="24"/>
      <c r="F501" s="25"/>
      <c r="G501" s="1">
        <v>7025</v>
      </c>
      <c r="H501" s="2">
        <v>94.8</v>
      </c>
      <c r="I501" s="2">
        <v>-15.5</v>
      </c>
      <c r="J501" s="2">
        <v>-20.100000000000001</v>
      </c>
      <c r="K501" s="2">
        <f t="shared" si="63"/>
        <v>-15.5</v>
      </c>
      <c r="L501" s="8">
        <f t="shared" si="67"/>
        <v>9.3325430079698992E-12</v>
      </c>
      <c r="M501" s="26"/>
      <c r="N501" s="17"/>
      <c r="O501" s="9">
        <f t="shared" si="65"/>
        <v>-20.100000000000001</v>
      </c>
      <c r="P501" s="8">
        <f>D500/B500*10^(O501/10)</f>
        <v>3.0717823312044277</v>
      </c>
      <c r="Q501" s="26"/>
      <c r="R501" s="17"/>
      <c r="S501" s="19"/>
      <c r="T501" s="17"/>
      <c r="U501" s="22"/>
    </row>
    <row r="502" spans="1:21" x14ac:dyDescent="0.25">
      <c r="A502" s="24"/>
      <c r="B502" s="24"/>
      <c r="C502" s="17"/>
      <c r="D502" s="24"/>
      <c r="E502" s="24"/>
      <c r="F502" s="25"/>
      <c r="G502" s="1">
        <v>8025</v>
      </c>
      <c r="H502" s="2">
        <v>101.9</v>
      </c>
      <c r="I502" s="2">
        <v>-19.3</v>
      </c>
      <c r="J502" s="2">
        <v>-19.8</v>
      </c>
      <c r="K502" s="2">
        <f t="shared" si="63"/>
        <v>-19.3</v>
      </c>
      <c r="L502" s="8">
        <f t="shared" si="67"/>
        <v>7.5857757502917993E-13</v>
      </c>
      <c r="M502" s="26"/>
      <c r="N502" s="17"/>
      <c r="O502" s="9">
        <f t="shared" si="65"/>
        <v>-19.8</v>
      </c>
      <c r="P502" s="8">
        <f>D500/B500*10^(O502/10)</f>
        <v>3.2914740693733253</v>
      </c>
      <c r="Q502" s="26"/>
      <c r="R502" s="17"/>
      <c r="S502" s="19"/>
      <c r="T502" s="17"/>
      <c r="U502" s="22"/>
    </row>
    <row r="503" spans="1:21" x14ac:dyDescent="0.25">
      <c r="A503" s="24"/>
      <c r="B503" s="24"/>
      <c r="C503" s="17"/>
      <c r="D503" s="24"/>
      <c r="E503" s="24"/>
      <c r="F503" s="25"/>
      <c r="G503" s="1">
        <v>9025</v>
      </c>
      <c r="H503" s="2">
        <v>93.2</v>
      </c>
      <c r="I503" s="2">
        <v>-18.7</v>
      </c>
      <c r="J503" s="2">
        <v>-18.899999999999999</v>
      </c>
      <c r="K503" s="2">
        <f t="shared" si="63"/>
        <v>-18.7</v>
      </c>
      <c r="L503" s="8">
        <f t="shared" si="67"/>
        <v>6.4565422903465118E-12</v>
      </c>
      <c r="M503" s="26"/>
      <c r="N503" s="17"/>
      <c r="O503" s="9">
        <f t="shared" si="65"/>
        <v>-18.899999999999999</v>
      </c>
      <c r="P503" s="8">
        <f>D500/B500*10^(O503/10)</f>
        <v>4.0493977574887481</v>
      </c>
      <c r="Q503" s="26"/>
      <c r="R503" s="17"/>
      <c r="S503" s="19"/>
      <c r="T503" s="17"/>
      <c r="U503" s="22"/>
    </row>
    <row r="504" spans="1:21" x14ac:dyDescent="0.25">
      <c r="A504" s="24"/>
      <c r="B504" s="24"/>
      <c r="C504" s="17"/>
      <c r="D504" s="24"/>
      <c r="E504" s="24"/>
      <c r="F504" s="25"/>
      <c r="G504" s="1">
        <v>10025</v>
      </c>
      <c r="H504" s="2">
        <v>88.3</v>
      </c>
      <c r="I504" s="2">
        <v>-18</v>
      </c>
      <c r="J504" s="2">
        <v>-19</v>
      </c>
      <c r="K504" s="2">
        <f t="shared" si="63"/>
        <v>-18</v>
      </c>
      <c r="L504" s="8">
        <f t="shared" si="67"/>
        <v>2.3442288153199185E-11</v>
      </c>
      <c r="M504" s="26"/>
      <c r="N504" s="17"/>
      <c r="O504" s="9">
        <f t="shared" si="65"/>
        <v>-19</v>
      </c>
      <c r="P504" s="8">
        <f>D500/B500*10^(O504/10)</f>
        <v>3.9572222110729962</v>
      </c>
      <c r="Q504" s="26"/>
      <c r="R504" s="17"/>
      <c r="S504" s="19"/>
      <c r="T504" s="17"/>
      <c r="U504" s="22"/>
    </row>
    <row r="505" spans="1:21" x14ac:dyDescent="0.25">
      <c r="A505" s="24"/>
      <c r="B505" s="24"/>
      <c r="C505" s="17"/>
      <c r="D505" s="24"/>
      <c r="E505" s="24"/>
      <c r="F505" s="25"/>
      <c r="G505" s="1">
        <v>11025</v>
      </c>
      <c r="H505" s="2">
        <v>86</v>
      </c>
      <c r="I505" s="2">
        <v>-15.1</v>
      </c>
      <c r="J505" s="2">
        <v>-22.7</v>
      </c>
      <c r="K505" s="2">
        <f t="shared" si="63"/>
        <v>-15.1</v>
      </c>
      <c r="L505" s="8">
        <f t="shared" si="67"/>
        <v>7.7624711662869221E-11</v>
      </c>
      <c r="M505" s="26"/>
      <c r="N505" s="17"/>
      <c r="O505" s="9">
        <f t="shared" si="65"/>
        <v>-22.7</v>
      </c>
      <c r="P505" s="8">
        <f>D500/B500*10^(O505/10)</f>
        <v>1.6880699465904934</v>
      </c>
      <c r="Q505" s="26"/>
      <c r="R505" s="17"/>
      <c r="S505" s="20"/>
      <c r="T505" s="17"/>
      <c r="U505" s="23"/>
    </row>
    <row r="506" spans="1:21" x14ac:dyDescent="0.25">
      <c r="A506" s="24" t="s">
        <v>20</v>
      </c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12">
        <f>U506</f>
        <v>7.9821410043050101E-2</v>
      </c>
      <c r="T506" s="2"/>
      <c r="U506" s="8">
        <f>0.8*SQRT(SUM(U472:U505))</f>
        <v>7.9821410043050101E-2</v>
      </c>
    </row>
    <row r="507" spans="1:21" x14ac:dyDescent="0.25">
      <c r="A507" s="27" t="s">
        <v>106</v>
      </c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9"/>
    </row>
    <row r="508" spans="1:21" x14ac:dyDescent="0.25">
      <c r="A508" s="24">
        <v>250</v>
      </c>
      <c r="B508" s="24">
        <v>3</v>
      </c>
      <c r="C508" s="17">
        <v>0.5</v>
      </c>
      <c r="D508" s="24">
        <v>38</v>
      </c>
      <c r="E508" s="24">
        <v>4</v>
      </c>
      <c r="F508" s="25">
        <v>84</v>
      </c>
      <c r="G508" s="1">
        <v>175</v>
      </c>
      <c r="H508" s="2">
        <v>84.8</v>
      </c>
      <c r="I508" s="2">
        <v>-18.5</v>
      </c>
      <c r="J508" s="2">
        <v>-19.3</v>
      </c>
      <c r="K508" s="2">
        <f>I508</f>
        <v>-18.5</v>
      </c>
      <c r="L508" s="8">
        <f>10^((K508-H508)/10)</f>
        <v>4.6773514128719782E-11</v>
      </c>
      <c r="M508" s="26">
        <f>SUM(L508:L511)</f>
        <v>6.99239254961043E-11</v>
      </c>
      <c r="N508" s="17">
        <f>10*LOG10(M508/E508)</f>
        <v>-107.5743418993042</v>
      </c>
      <c r="O508" s="9">
        <f>J508</f>
        <v>-19.3</v>
      </c>
      <c r="P508" s="8">
        <f>D508/B508*10^(O508/10)</f>
        <v>0.14882035695900692</v>
      </c>
      <c r="Q508" s="26">
        <f>SUM(P508:P511)</f>
        <v>0.27356426322801441</v>
      </c>
      <c r="R508" s="17">
        <f>10*LOG10(Q508)</f>
        <v>-5.6294063683703808</v>
      </c>
      <c r="S508" s="18">
        <f>F508+N508-Kzt-H</f>
        <v>-23.574341899304201</v>
      </c>
      <c r="T508" s="17">
        <v>0.2</v>
      </c>
      <c r="U508" s="21">
        <f>T508*10^((S508-R508)/10)</f>
        <v>3.2102321702954907E-3</v>
      </c>
    </row>
    <row r="509" spans="1:21" x14ac:dyDescent="0.25">
      <c r="A509" s="24"/>
      <c r="B509" s="24"/>
      <c r="C509" s="17"/>
      <c r="D509" s="24"/>
      <c r="E509" s="24"/>
      <c r="F509" s="25"/>
      <c r="G509" s="1">
        <v>225</v>
      </c>
      <c r="H509" s="2">
        <v>90</v>
      </c>
      <c r="I509" s="2">
        <v>-18.8</v>
      </c>
      <c r="J509" s="2">
        <v>-24.2</v>
      </c>
      <c r="K509" s="2">
        <f t="shared" ref="K509:K541" si="68">I509</f>
        <v>-18.8</v>
      </c>
      <c r="L509" s="8">
        <f t="shared" ref="L509:L510" si="69">10^((K509-H509)/10)</f>
        <v>1.3182567385564083E-11</v>
      </c>
      <c r="M509" s="26"/>
      <c r="N509" s="17"/>
      <c r="O509" s="9">
        <f t="shared" ref="O509:O541" si="70">J509</f>
        <v>-24.2</v>
      </c>
      <c r="P509" s="8">
        <f>D508/B508*10^(O509/10)</f>
        <v>4.815732353393775E-2</v>
      </c>
      <c r="Q509" s="26"/>
      <c r="R509" s="17"/>
      <c r="S509" s="19"/>
      <c r="T509" s="17"/>
      <c r="U509" s="22"/>
    </row>
    <row r="510" spans="1:21" x14ac:dyDescent="0.25">
      <c r="A510" s="24"/>
      <c r="B510" s="24"/>
      <c r="C510" s="17"/>
      <c r="D510" s="24"/>
      <c r="E510" s="24"/>
      <c r="F510" s="25"/>
      <c r="G510" s="1">
        <v>275</v>
      </c>
      <c r="H510" s="2">
        <v>92.2</v>
      </c>
      <c r="I510" s="2">
        <v>-22</v>
      </c>
      <c r="J510" s="2">
        <v>-25.4</v>
      </c>
      <c r="K510" s="2">
        <f t="shared" si="68"/>
        <v>-22</v>
      </c>
      <c r="L510" s="8">
        <f t="shared" si="69"/>
        <v>3.8018939632056084E-12</v>
      </c>
      <c r="M510" s="26"/>
      <c r="N510" s="17"/>
      <c r="O510" s="9">
        <f t="shared" si="70"/>
        <v>-25.4</v>
      </c>
      <c r="P510" s="8">
        <f>D508/B508*10^(O510/10)</f>
        <v>3.6531065706270321E-2</v>
      </c>
      <c r="Q510" s="26"/>
      <c r="R510" s="17"/>
      <c r="S510" s="19"/>
      <c r="T510" s="17"/>
      <c r="U510" s="22"/>
    </row>
    <row r="511" spans="1:21" x14ac:dyDescent="0.25">
      <c r="A511" s="24"/>
      <c r="B511" s="24"/>
      <c r="C511" s="17"/>
      <c r="D511" s="24"/>
      <c r="E511" s="24"/>
      <c r="F511" s="25"/>
      <c r="G511" s="1">
        <v>325</v>
      </c>
      <c r="H511" s="2">
        <v>93.3</v>
      </c>
      <c r="I511" s="2">
        <v>-18.8</v>
      </c>
      <c r="J511" s="2">
        <v>-25</v>
      </c>
      <c r="K511" s="2">
        <f t="shared" si="68"/>
        <v>-18.8</v>
      </c>
      <c r="L511" s="8">
        <f>10^((K511-H511)/10)</f>
        <v>6.1659500186148244E-12</v>
      </c>
      <c r="M511" s="26"/>
      <c r="N511" s="17"/>
      <c r="O511" s="9">
        <f t="shared" si="70"/>
        <v>-25</v>
      </c>
      <c r="P511" s="8">
        <f>D508/B508*10^(O511/10)</f>
        <v>4.0055517028799434E-2</v>
      </c>
      <c r="Q511" s="26"/>
      <c r="R511" s="17"/>
      <c r="S511" s="20"/>
      <c r="T511" s="17"/>
      <c r="U511" s="23"/>
    </row>
    <row r="512" spans="1:21" x14ac:dyDescent="0.25">
      <c r="A512" s="24">
        <v>500</v>
      </c>
      <c r="B512" s="24">
        <v>3</v>
      </c>
      <c r="C512" s="17">
        <v>0.5</v>
      </c>
      <c r="D512" s="24">
        <v>59</v>
      </c>
      <c r="E512" s="24">
        <v>6</v>
      </c>
      <c r="F512" s="25">
        <v>84</v>
      </c>
      <c r="G512" s="1">
        <v>375</v>
      </c>
      <c r="H512" s="2">
        <v>91.9</v>
      </c>
      <c r="I512" s="2">
        <v>-22.2</v>
      </c>
      <c r="J512" s="2">
        <v>-23.7</v>
      </c>
      <c r="K512" s="2">
        <f t="shared" si="68"/>
        <v>-22.2</v>
      </c>
      <c r="L512" s="8">
        <f t="shared" ref="L512:L513" si="71">10^((K512-H512)/10)</f>
        <v>3.890451449942802E-12</v>
      </c>
      <c r="M512" s="26">
        <f>SUM(L512:L517)</f>
        <v>2.8933758082789582E-11</v>
      </c>
      <c r="N512" s="17">
        <f>10*LOG10(M512/E512)</f>
        <v>-113.1674640440869</v>
      </c>
      <c r="O512" s="9">
        <f t="shared" si="70"/>
        <v>-23.7</v>
      </c>
      <c r="P512" s="8">
        <f>D512/B512*10^(O512/10)</f>
        <v>8.3893972030979869E-2</v>
      </c>
      <c r="Q512" s="26">
        <f>SUM(P512:P517)</f>
        <v>0.43116801220023948</v>
      </c>
      <c r="R512" s="17">
        <f>10*LOG10(Q512)</f>
        <v>-3.6535346637472892</v>
      </c>
      <c r="S512" s="18">
        <f>F512+N512-Kzt-H</f>
        <v>-29.167464044086898</v>
      </c>
      <c r="T512" s="17">
        <v>0.5</v>
      </c>
      <c r="U512" s="21">
        <f>T512*10^((S512-R512)/10)</f>
        <v>1.4046789241519472E-3</v>
      </c>
    </row>
    <row r="513" spans="1:21" x14ac:dyDescent="0.25">
      <c r="A513" s="24"/>
      <c r="B513" s="24"/>
      <c r="C513" s="17"/>
      <c r="D513" s="24"/>
      <c r="E513" s="24"/>
      <c r="F513" s="25"/>
      <c r="G513" s="1">
        <v>425</v>
      </c>
      <c r="H513" s="2">
        <v>88.1</v>
      </c>
      <c r="I513" s="2">
        <v>-22.6</v>
      </c>
      <c r="J513" s="2">
        <v>-23.3</v>
      </c>
      <c r="K513" s="2">
        <f t="shared" si="68"/>
        <v>-22.6</v>
      </c>
      <c r="L513" s="8">
        <f t="shared" si="71"/>
        <v>8.5113803820237871E-12</v>
      </c>
      <c r="M513" s="26"/>
      <c r="N513" s="17"/>
      <c r="O513" s="9">
        <f t="shared" si="70"/>
        <v>-23.3</v>
      </c>
      <c r="P513" s="8">
        <f>D512/B512*10^(O513/10)</f>
        <v>9.1987911119815566E-2</v>
      </c>
      <c r="Q513" s="26"/>
      <c r="R513" s="17"/>
      <c r="S513" s="19"/>
      <c r="T513" s="17"/>
      <c r="U513" s="22"/>
    </row>
    <row r="514" spans="1:21" x14ac:dyDescent="0.25">
      <c r="A514" s="24"/>
      <c r="B514" s="24"/>
      <c r="C514" s="17"/>
      <c r="D514" s="24"/>
      <c r="E514" s="24"/>
      <c r="F514" s="25"/>
      <c r="G514" s="1">
        <v>475</v>
      </c>
      <c r="H514" s="2">
        <v>90</v>
      </c>
      <c r="I514" s="2">
        <v>-21.4</v>
      </c>
      <c r="J514" s="2">
        <v>-24.8</v>
      </c>
      <c r="K514" s="2">
        <f t="shared" si="68"/>
        <v>-21.4</v>
      </c>
      <c r="L514" s="8">
        <f>10^((K514-H514)/10)</f>
        <v>7.2443596007498734E-12</v>
      </c>
      <c r="M514" s="26"/>
      <c r="N514" s="17"/>
      <c r="O514" s="9">
        <f t="shared" si="70"/>
        <v>-24.8</v>
      </c>
      <c r="P514" s="8">
        <f>D512/B512*10^(O514/10)</f>
        <v>6.512245389157624E-2</v>
      </c>
      <c r="Q514" s="26"/>
      <c r="R514" s="17"/>
      <c r="S514" s="19"/>
      <c r="T514" s="17"/>
      <c r="U514" s="22"/>
    </row>
    <row r="515" spans="1:21" x14ac:dyDescent="0.25">
      <c r="A515" s="24"/>
      <c r="B515" s="24"/>
      <c r="C515" s="17"/>
      <c r="D515" s="24"/>
      <c r="E515" s="24"/>
      <c r="F515" s="25"/>
      <c r="G515" s="1">
        <v>575</v>
      </c>
      <c r="H515" s="2">
        <v>97</v>
      </c>
      <c r="I515" s="2">
        <v>-18.7</v>
      </c>
      <c r="J515" s="2">
        <v>-23.4</v>
      </c>
      <c r="K515" s="2">
        <f t="shared" si="68"/>
        <v>-18.7</v>
      </c>
      <c r="L515" s="8">
        <f t="shared" ref="L515:L541" si="72">10^((K515-H515)/10)</f>
        <v>2.6915348039269074E-12</v>
      </c>
      <c r="M515" s="26"/>
      <c r="N515" s="17"/>
      <c r="O515" s="9">
        <f t="shared" si="70"/>
        <v>-23.4</v>
      </c>
      <c r="P515" s="8">
        <f>D512/B512*10^(O515/10)</f>
        <v>8.9894010624258766E-2</v>
      </c>
      <c r="Q515" s="26"/>
      <c r="R515" s="17"/>
      <c r="S515" s="19"/>
      <c r="T515" s="17"/>
      <c r="U515" s="22"/>
    </row>
    <row r="516" spans="1:21" x14ac:dyDescent="0.25">
      <c r="A516" s="24"/>
      <c r="B516" s="24"/>
      <c r="C516" s="17"/>
      <c r="D516" s="24"/>
      <c r="E516" s="24"/>
      <c r="F516" s="25"/>
      <c r="G516" s="1">
        <v>625</v>
      </c>
      <c r="H516" s="2">
        <v>92</v>
      </c>
      <c r="I516" s="2">
        <v>-21.1</v>
      </c>
      <c r="J516" s="2">
        <v>-26.3</v>
      </c>
      <c r="K516" s="2">
        <f t="shared" si="68"/>
        <v>-21.1</v>
      </c>
      <c r="L516" s="8">
        <f t="shared" si="72"/>
        <v>4.8977881936844688E-12</v>
      </c>
      <c r="M516" s="26"/>
      <c r="N516" s="17"/>
      <c r="O516" s="9">
        <f t="shared" si="70"/>
        <v>-26.3</v>
      </c>
      <c r="P516" s="8">
        <f>D512/B512*10^(O516/10)</f>
        <v>4.6103166701291769E-2</v>
      </c>
      <c r="Q516" s="26"/>
      <c r="R516" s="17"/>
      <c r="S516" s="19"/>
      <c r="T516" s="17"/>
      <c r="U516" s="22"/>
    </row>
    <row r="517" spans="1:21" x14ac:dyDescent="0.25">
      <c r="A517" s="24"/>
      <c r="B517" s="24"/>
      <c r="C517" s="17"/>
      <c r="D517" s="24"/>
      <c r="E517" s="24"/>
      <c r="F517" s="25"/>
      <c r="G517" s="1">
        <v>675</v>
      </c>
      <c r="H517" s="2">
        <v>94.5</v>
      </c>
      <c r="I517" s="2">
        <v>-23.2</v>
      </c>
      <c r="J517" s="2">
        <v>-25.6</v>
      </c>
      <c r="K517" s="2">
        <f t="shared" si="68"/>
        <v>-23.2</v>
      </c>
      <c r="L517" s="8">
        <f t="shared" si="72"/>
        <v>1.6982436524617421E-12</v>
      </c>
      <c r="M517" s="26"/>
      <c r="N517" s="17"/>
      <c r="O517" s="9">
        <f t="shared" si="70"/>
        <v>-25.6</v>
      </c>
      <c r="P517" s="8">
        <f>D512/B512*10^(O517/10)</f>
        <v>5.4166497832317251E-2</v>
      </c>
      <c r="Q517" s="26"/>
      <c r="R517" s="17"/>
      <c r="S517" s="20"/>
      <c r="T517" s="17"/>
      <c r="U517" s="23"/>
    </row>
    <row r="518" spans="1:21" x14ac:dyDescent="0.25">
      <c r="A518" s="24">
        <v>1000</v>
      </c>
      <c r="B518" s="24">
        <v>3</v>
      </c>
      <c r="C518" s="17">
        <v>0.5</v>
      </c>
      <c r="D518" s="24">
        <v>117</v>
      </c>
      <c r="E518" s="24">
        <v>6</v>
      </c>
      <c r="F518" s="25">
        <v>76</v>
      </c>
      <c r="G518" s="1">
        <v>875</v>
      </c>
      <c r="H518" s="2">
        <v>91.1</v>
      </c>
      <c r="I518" s="2">
        <v>-24.3</v>
      </c>
      <c r="J518" s="2">
        <v>-25.5</v>
      </c>
      <c r="K518" s="2">
        <f t="shared" si="68"/>
        <v>-24.3</v>
      </c>
      <c r="L518" s="8">
        <f t="shared" si="72"/>
        <v>2.884031503126606E-12</v>
      </c>
      <c r="M518" s="26">
        <f>SUM(L518:L523)</f>
        <v>1.1729071508720687E-11</v>
      </c>
      <c r="N518" s="17">
        <f>10*LOG10(M518/E518)</f>
        <v>-117.0888761632431</v>
      </c>
      <c r="O518" s="9">
        <f t="shared" si="70"/>
        <v>-25.5</v>
      </c>
      <c r="P518" s="8">
        <f>D518/B518*10^(O518/10)</f>
        <v>0.10991693431931364</v>
      </c>
      <c r="Q518" s="26">
        <f>SUM(P518:P523)</f>
        <v>0.62278998382068518</v>
      </c>
      <c r="R518" s="17">
        <f>10*LOG10(Q518)</f>
        <v>-2.0565838069991242</v>
      </c>
      <c r="S518" s="18">
        <f>F518+N518-Kzt-H</f>
        <v>-41.0888761632431</v>
      </c>
      <c r="T518" s="17">
        <v>0.8</v>
      </c>
      <c r="U518" s="21">
        <f>T518*10^((S518-R518)/10)</f>
        <v>9.9967941957157985E-5</v>
      </c>
    </row>
    <row r="519" spans="1:21" x14ac:dyDescent="0.25">
      <c r="A519" s="24"/>
      <c r="B519" s="24"/>
      <c r="C519" s="17"/>
      <c r="D519" s="24"/>
      <c r="E519" s="24"/>
      <c r="F519" s="25"/>
      <c r="G519" s="1">
        <v>975</v>
      </c>
      <c r="H519" s="2">
        <v>96.5</v>
      </c>
      <c r="I519" s="2">
        <v>-18.8</v>
      </c>
      <c r="J519" s="2">
        <v>-28.9</v>
      </c>
      <c r="K519" s="2">
        <f t="shared" si="68"/>
        <v>-18.8</v>
      </c>
      <c r="L519" s="8">
        <f t="shared" si="72"/>
        <v>2.9512092266663859E-12</v>
      </c>
      <c r="M519" s="26"/>
      <c r="N519" s="17"/>
      <c r="O519" s="9">
        <f t="shared" si="70"/>
        <v>-28.9</v>
      </c>
      <c r="P519" s="8">
        <f>D518/B518*10^(O519/10)</f>
        <v>5.0241732516032228E-2</v>
      </c>
      <c r="Q519" s="26"/>
      <c r="R519" s="17"/>
      <c r="S519" s="19"/>
      <c r="T519" s="17"/>
      <c r="U519" s="22"/>
    </row>
    <row r="520" spans="1:21" x14ac:dyDescent="0.25">
      <c r="A520" s="24"/>
      <c r="B520" s="24"/>
      <c r="C520" s="17"/>
      <c r="D520" s="24"/>
      <c r="E520" s="24"/>
      <c r="F520" s="25"/>
      <c r="G520" s="1">
        <v>1075</v>
      </c>
      <c r="H520" s="2">
        <v>94.6</v>
      </c>
      <c r="I520" s="2">
        <v>-21.4</v>
      </c>
      <c r="J520" s="2">
        <v>-24.2</v>
      </c>
      <c r="K520" s="2">
        <f t="shared" si="68"/>
        <v>-21.4</v>
      </c>
      <c r="L520" s="8">
        <f t="shared" si="72"/>
        <v>2.5118864315095726E-12</v>
      </c>
      <c r="M520" s="26"/>
      <c r="N520" s="17"/>
      <c r="O520" s="9">
        <f t="shared" si="70"/>
        <v>-24.2</v>
      </c>
      <c r="P520" s="8">
        <f>D518/B518*10^(O520/10)</f>
        <v>0.14827386456501887</v>
      </c>
      <c r="Q520" s="26"/>
      <c r="R520" s="17"/>
      <c r="S520" s="19"/>
      <c r="T520" s="17"/>
      <c r="U520" s="22"/>
    </row>
    <row r="521" spans="1:21" x14ac:dyDescent="0.25">
      <c r="A521" s="24"/>
      <c r="B521" s="24"/>
      <c r="C521" s="17"/>
      <c r="D521" s="24"/>
      <c r="E521" s="24"/>
      <c r="F521" s="25"/>
      <c r="G521" s="1">
        <v>1175</v>
      </c>
      <c r="H521" s="2">
        <v>97.8</v>
      </c>
      <c r="I521" s="2">
        <v>-18.899999999999999</v>
      </c>
      <c r="J521" s="2">
        <v>-24.7</v>
      </c>
      <c r="K521" s="2">
        <f t="shared" si="68"/>
        <v>-18.899999999999999</v>
      </c>
      <c r="L521" s="8">
        <f t="shared" si="72"/>
        <v>2.137962089502235E-12</v>
      </c>
      <c r="M521" s="26"/>
      <c r="N521" s="17"/>
      <c r="O521" s="9">
        <f t="shared" si="70"/>
        <v>-24.7</v>
      </c>
      <c r="P521" s="8">
        <f>D518/B518*10^(O521/10)</f>
        <v>0.13214922089428893</v>
      </c>
      <c r="Q521" s="26"/>
      <c r="R521" s="17"/>
      <c r="S521" s="19"/>
      <c r="T521" s="17"/>
      <c r="U521" s="22"/>
    </row>
    <row r="522" spans="1:21" x14ac:dyDescent="0.25">
      <c r="A522" s="24"/>
      <c r="B522" s="24"/>
      <c r="C522" s="17"/>
      <c r="D522" s="24"/>
      <c r="E522" s="24"/>
      <c r="F522" s="25"/>
      <c r="G522" s="1">
        <v>1275</v>
      </c>
      <c r="H522" s="2">
        <v>100.1</v>
      </c>
      <c r="I522" s="2">
        <v>-21</v>
      </c>
      <c r="J522" s="2">
        <v>-26.9</v>
      </c>
      <c r="K522" s="2">
        <f t="shared" si="68"/>
        <v>-21</v>
      </c>
      <c r="L522" s="8">
        <f t="shared" si="72"/>
        <v>7.7624711662869047E-13</v>
      </c>
      <c r="M522" s="26"/>
      <c r="N522" s="17"/>
      <c r="O522" s="9">
        <f t="shared" si="70"/>
        <v>-26.9</v>
      </c>
      <c r="P522" s="8">
        <f>D518/B518*10^(O522/10)</f>
        <v>7.962777984211164E-2</v>
      </c>
      <c r="Q522" s="26"/>
      <c r="R522" s="17"/>
      <c r="S522" s="19"/>
      <c r="T522" s="17"/>
      <c r="U522" s="22"/>
    </row>
    <row r="523" spans="1:21" x14ac:dyDescent="0.25">
      <c r="A523" s="24"/>
      <c r="B523" s="24"/>
      <c r="C523" s="17"/>
      <c r="D523" s="24"/>
      <c r="E523" s="24"/>
      <c r="F523" s="25"/>
      <c r="G523" s="1">
        <v>1375</v>
      </c>
      <c r="H523" s="2">
        <v>103</v>
      </c>
      <c r="I523" s="2">
        <v>-20.3</v>
      </c>
      <c r="J523" s="2">
        <v>-25.8</v>
      </c>
      <c r="K523" s="2">
        <f t="shared" si="68"/>
        <v>-20.3</v>
      </c>
      <c r="L523" s="8">
        <f t="shared" si="72"/>
        <v>4.6773514128719676E-13</v>
      </c>
      <c r="M523" s="26"/>
      <c r="N523" s="17"/>
      <c r="O523" s="9">
        <f t="shared" si="70"/>
        <v>-25.8</v>
      </c>
      <c r="P523" s="8">
        <f>D518/B518*10^(O523/10)</f>
        <v>0.10258045168391978</v>
      </c>
      <c r="Q523" s="26"/>
      <c r="R523" s="17"/>
      <c r="S523" s="20"/>
      <c r="T523" s="17"/>
      <c r="U523" s="23"/>
    </row>
    <row r="524" spans="1:21" x14ac:dyDescent="0.25">
      <c r="A524" s="24">
        <v>2000</v>
      </c>
      <c r="B524" s="24">
        <v>3</v>
      </c>
      <c r="C524" s="17">
        <v>0.5</v>
      </c>
      <c r="D524" s="24">
        <v>234</v>
      </c>
      <c r="E524" s="24">
        <v>6</v>
      </c>
      <c r="F524" s="25">
        <v>68</v>
      </c>
      <c r="G524" s="1">
        <v>1425</v>
      </c>
      <c r="H524" s="2">
        <v>102.8</v>
      </c>
      <c r="I524" s="2">
        <v>-18.5</v>
      </c>
      <c r="J524" s="2">
        <v>-24.7</v>
      </c>
      <c r="K524" s="2">
        <f t="shared" si="68"/>
        <v>-18.5</v>
      </c>
      <c r="L524" s="8">
        <f t="shared" si="72"/>
        <v>7.4131024130091646E-13</v>
      </c>
      <c r="M524" s="26">
        <f>SUM(L524:L529)</f>
        <v>3.6538605459549186E-12</v>
      </c>
      <c r="N524" s="17">
        <f>10*LOG10(M524/E524)</f>
        <v>-122.15399282429522</v>
      </c>
      <c r="O524" s="9">
        <f t="shared" si="70"/>
        <v>-24.7</v>
      </c>
      <c r="P524" s="8">
        <f>D524/B524*10^(O524/10)</f>
        <v>0.26429844178857786</v>
      </c>
      <c r="Q524" s="26">
        <f>SUM(P524:P529)</f>
        <v>1.1320181330841772</v>
      </c>
      <c r="R524" s="17">
        <f>10*LOG10(Q524)</f>
        <v>0.53853383597239013</v>
      </c>
      <c r="S524" s="18">
        <f>F524+N524-Kzt-H</f>
        <v>-54.153992824295216</v>
      </c>
      <c r="T524" s="17">
        <v>1</v>
      </c>
      <c r="U524" s="21">
        <f>T524*10^((S524-R524)/10)</f>
        <v>3.3942774115810423E-6</v>
      </c>
    </row>
    <row r="525" spans="1:21" x14ac:dyDescent="0.25">
      <c r="A525" s="24"/>
      <c r="B525" s="24"/>
      <c r="C525" s="17"/>
      <c r="D525" s="24"/>
      <c r="E525" s="24"/>
      <c r="F525" s="25"/>
      <c r="G525" s="1">
        <v>1625</v>
      </c>
      <c r="H525" s="2">
        <v>104.1</v>
      </c>
      <c r="I525" s="2">
        <v>-22.5</v>
      </c>
      <c r="J525" s="2">
        <v>-28.3</v>
      </c>
      <c r="K525" s="2">
        <f t="shared" si="68"/>
        <v>-22.5</v>
      </c>
      <c r="L525" s="8">
        <f t="shared" si="72"/>
        <v>2.1877616239495453E-13</v>
      </c>
      <c r="M525" s="26"/>
      <c r="N525" s="17"/>
      <c r="O525" s="9">
        <f t="shared" si="70"/>
        <v>-28.3</v>
      </c>
      <c r="P525" s="8">
        <f>D524/B524*10^(O525/10)</f>
        <v>0.11537045427712012</v>
      </c>
      <c r="Q525" s="26"/>
      <c r="R525" s="17"/>
      <c r="S525" s="19"/>
      <c r="T525" s="17"/>
      <c r="U525" s="22"/>
    </row>
    <row r="526" spans="1:21" x14ac:dyDescent="0.25">
      <c r="A526" s="24"/>
      <c r="B526" s="24"/>
      <c r="C526" s="17"/>
      <c r="D526" s="24"/>
      <c r="E526" s="24"/>
      <c r="F526" s="25"/>
      <c r="G526" s="1">
        <v>1825</v>
      </c>
      <c r="H526" s="2">
        <v>107.6</v>
      </c>
      <c r="I526" s="2">
        <v>-23.2</v>
      </c>
      <c r="J526" s="2">
        <v>-23.9</v>
      </c>
      <c r="K526" s="2">
        <f t="shared" si="68"/>
        <v>-23.2</v>
      </c>
      <c r="L526" s="8">
        <f t="shared" si="72"/>
        <v>8.3176377110267161E-14</v>
      </c>
      <c r="M526" s="26"/>
      <c r="N526" s="17"/>
      <c r="O526" s="9">
        <f t="shared" si="70"/>
        <v>-23.9</v>
      </c>
      <c r="P526" s="8">
        <f>D524/B524*10^(O526/10)</f>
        <v>0.31775661668720817</v>
      </c>
      <c r="Q526" s="26"/>
      <c r="R526" s="17"/>
      <c r="S526" s="19"/>
      <c r="T526" s="17"/>
      <c r="U526" s="22"/>
    </row>
    <row r="527" spans="1:21" x14ac:dyDescent="0.25">
      <c r="A527" s="24"/>
      <c r="B527" s="24"/>
      <c r="C527" s="17"/>
      <c r="D527" s="24"/>
      <c r="E527" s="24"/>
      <c r="F527" s="25"/>
      <c r="G527" s="1">
        <v>2125</v>
      </c>
      <c r="H527" s="2">
        <v>104.2</v>
      </c>
      <c r="I527" s="2">
        <v>-20.6</v>
      </c>
      <c r="J527" s="2">
        <v>-30.4</v>
      </c>
      <c r="K527" s="2">
        <f t="shared" si="68"/>
        <v>-20.6</v>
      </c>
      <c r="L527" s="8">
        <f t="shared" si="72"/>
        <v>3.311311214825894E-13</v>
      </c>
      <c r="M527" s="26"/>
      <c r="N527" s="17"/>
      <c r="O527" s="9">
        <f t="shared" si="70"/>
        <v>-30.4</v>
      </c>
      <c r="P527" s="8">
        <f>D524/B524*10^(O527/10)</f>
        <v>7.1136845469760873E-2</v>
      </c>
      <c r="Q527" s="26"/>
      <c r="R527" s="17"/>
      <c r="S527" s="19"/>
      <c r="T527" s="17"/>
      <c r="U527" s="22"/>
    </row>
    <row r="528" spans="1:21" x14ac:dyDescent="0.25">
      <c r="A528" s="24"/>
      <c r="B528" s="24"/>
      <c r="C528" s="17"/>
      <c r="D528" s="24"/>
      <c r="E528" s="24"/>
      <c r="F528" s="25"/>
      <c r="G528" s="1">
        <v>2425</v>
      </c>
      <c r="H528" s="2">
        <v>93.7</v>
      </c>
      <c r="I528" s="2">
        <v>-23.8</v>
      </c>
      <c r="J528" s="2">
        <v>-25.6</v>
      </c>
      <c r="K528" s="2">
        <f t="shared" si="68"/>
        <v>-23.8</v>
      </c>
      <c r="L528" s="8">
        <f t="shared" si="72"/>
        <v>1.7782794100389204E-12</v>
      </c>
      <c r="M528" s="26"/>
      <c r="N528" s="17"/>
      <c r="O528" s="9">
        <f t="shared" si="70"/>
        <v>-25.6</v>
      </c>
      <c r="P528" s="8">
        <f>D524/B524*10^(O528/10)</f>
        <v>0.21482983886037688</v>
      </c>
      <c r="Q528" s="26"/>
      <c r="R528" s="17"/>
      <c r="S528" s="19"/>
      <c r="T528" s="17"/>
      <c r="U528" s="22"/>
    </row>
    <row r="529" spans="1:21" x14ac:dyDescent="0.25">
      <c r="A529" s="24"/>
      <c r="B529" s="24"/>
      <c r="C529" s="17"/>
      <c r="D529" s="24"/>
      <c r="E529" s="24"/>
      <c r="F529" s="25"/>
      <c r="G529" s="1">
        <v>2775</v>
      </c>
      <c r="H529" s="2">
        <v>100.2</v>
      </c>
      <c r="I529" s="2">
        <v>-22.8</v>
      </c>
      <c r="J529" s="2">
        <v>-27.2</v>
      </c>
      <c r="K529" s="2">
        <f t="shared" si="68"/>
        <v>-22.8</v>
      </c>
      <c r="L529" s="8">
        <f t="shared" si="72"/>
        <v>5.0118723362727066E-13</v>
      </c>
      <c r="M529" s="26"/>
      <c r="N529" s="17"/>
      <c r="O529" s="9">
        <f t="shared" si="70"/>
        <v>-27.2</v>
      </c>
      <c r="P529" s="8">
        <f>D524/B524*10^(O529/10)</f>
        <v>0.1486259360011333</v>
      </c>
      <c r="Q529" s="26"/>
      <c r="R529" s="17"/>
      <c r="S529" s="20"/>
      <c r="T529" s="17"/>
      <c r="U529" s="23"/>
    </row>
    <row r="530" spans="1:21" x14ac:dyDescent="0.25">
      <c r="A530" s="24">
        <v>4000</v>
      </c>
      <c r="B530" s="24">
        <v>3</v>
      </c>
      <c r="C530" s="17">
        <v>0.5</v>
      </c>
      <c r="D530" s="24">
        <v>470</v>
      </c>
      <c r="E530" s="24">
        <v>6</v>
      </c>
      <c r="F530" s="25">
        <v>62</v>
      </c>
      <c r="G530" s="1">
        <v>2825</v>
      </c>
      <c r="H530" s="2">
        <v>99.4</v>
      </c>
      <c r="I530" s="2">
        <v>-20.7</v>
      </c>
      <c r="J530" s="2">
        <v>-29</v>
      </c>
      <c r="K530" s="2">
        <f t="shared" si="68"/>
        <v>-20.7</v>
      </c>
      <c r="L530" s="8">
        <f t="shared" si="72"/>
        <v>9.7723722095580473E-13</v>
      </c>
      <c r="M530" s="26">
        <f>SUM(L530:L535)</f>
        <v>2.4311667915503599E-12</v>
      </c>
      <c r="N530" s="17">
        <f>10*LOG10(M530/E530)</f>
        <v>-123.9233649550365</v>
      </c>
      <c r="O530" s="9">
        <f t="shared" si="70"/>
        <v>-29</v>
      </c>
      <c r="P530" s="8">
        <f>D530/B530*10^(O530/10)</f>
        <v>0.19723164784775268</v>
      </c>
      <c r="Q530" s="26">
        <f>SUM(P530:P535)</f>
        <v>2.3294284849830471</v>
      </c>
      <c r="R530" s="17">
        <f>10*LOG10(Q530)</f>
        <v>3.6724938185700622</v>
      </c>
      <c r="S530" s="18">
        <f>F530+N530-Kzt-H</f>
        <v>-61.923364955036504</v>
      </c>
      <c r="T530" s="17">
        <v>0.9</v>
      </c>
      <c r="U530" s="21">
        <f>T530*10^((S530-R530)/10)</f>
        <v>2.4811706320920143E-7</v>
      </c>
    </row>
    <row r="531" spans="1:21" x14ac:dyDescent="0.25">
      <c r="A531" s="24"/>
      <c r="B531" s="24"/>
      <c r="C531" s="17"/>
      <c r="D531" s="24"/>
      <c r="E531" s="24"/>
      <c r="F531" s="25"/>
      <c r="G531" s="1">
        <v>3425</v>
      </c>
      <c r="H531" s="2">
        <v>103.5</v>
      </c>
      <c r="I531" s="2">
        <v>-22.7</v>
      </c>
      <c r="J531" s="2">
        <v>-27.3</v>
      </c>
      <c r="K531" s="2">
        <f t="shared" si="68"/>
        <v>-22.7</v>
      </c>
      <c r="L531" s="8">
        <f t="shared" si="72"/>
        <v>2.3988329190194817E-13</v>
      </c>
      <c r="M531" s="26"/>
      <c r="N531" s="17"/>
      <c r="O531" s="9">
        <f t="shared" si="70"/>
        <v>-27.3</v>
      </c>
      <c r="P531" s="8">
        <f>D530/B530*10^(O531/10)</f>
        <v>0.29172698474384906</v>
      </c>
      <c r="Q531" s="26"/>
      <c r="R531" s="17"/>
      <c r="S531" s="19"/>
      <c r="T531" s="17"/>
      <c r="U531" s="22"/>
    </row>
    <row r="532" spans="1:21" x14ac:dyDescent="0.25">
      <c r="A532" s="24"/>
      <c r="B532" s="24"/>
      <c r="C532" s="17"/>
      <c r="D532" s="24"/>
      <c r="E532" s="24"/>
      <c r="F532" s="25"/>
      <c r="G532" s="1">
        <v>4025</v>
      </c>
      <c r="H532" s="2">
        <v>103.6</v>
      </c>
      <c r="I532" s="2">
        <v>-21.4</v>
      </c>
      <c r="J532" s="2">
        <v>-24.5</v>
      </c>
      <c r="K532" s="2">
        <f t="shared" si="68"/>
        <v>-21.4</v>
      </c>
      <c r="L532" s="8">
        <f t="shared" si="72"/>
        <v>3.1622776601683746E-13</v>
      </c>
      <c r="M532" s="26"/>
      <c r="N532" s="17"/>
      <c r="O532" s="9">
        <f t="shared" si="70"/>
        <v>-24.5</v>
      </c>
      <c r="P532" s="8">
        <f>D530/B530*10^(O532/10)</f>
        <v>0.55587430979926788</v>
      </c>
      <c r="Q532" s="26"/>
      <c r="R532" s="17"/>
      <c r="S532" s="19"/>
      <c r="T532" s="17"/>
      <c r="U532" s="22"/>
    </row>
    <row r="533" spans="1:21" x14ac:dyDescent="0.25">
      <c r="A533" s="24"/>
      <c r="B533" s="24"/>
      <c r="C533" s="17"/>
      <c r="D533" s="24"/>
      <c r="E533" s="24"/>
      <c r="F533" s="25"/>
      <c r="G533" s="1">
        <v>4625</v>
      </c>
      <c r="H533" s="2">
        <v>105.6</v>
      </c>
      <c r="I533" s="2">
        <v>-21.6</v>
      </c>
      <c r="J533" s="2">
        <v>-25.5</v>
      </c>
      <c r="K533" s="2">
        <f t="shared" si="68"/>
        <v>-21.6</v>
      </c>
      <c r="L533" s="8">
        <f t="shared" si="72"/>
        <v>1.9054607179632483E-13</v>
      </c>
      <c r="M533" s="26"/>
      <c r="N533" s="17"/>
      <c r="O533" s="9">
        <f t="shared" si="70"/>
        <v>-25.5</v>
      </c>
      <c r="P533" s="8">
        <f>D530/B530*10^(O533/10)</f>
        <v>0.44154665923143083</v>
      </c>
      <c r="Q533" s="26"/>
      <c r="R533" s="17"/>
      <c r="S533" s="19"/>
      <c r="T533" s="17"/>
      <c r="U533" s="22"/>
    </row>
    <row r="534" spans="1:21" x14ac:dyDescent="0.25">
      <c r="A534" s="24"/>
      <c r="B534" s="24"/>
      <c r="C534" s="17"/>
      <c r="D534" s="24"/>
      <c r="E534" s="24"/>
      <c r="F534" s="25"/>
      <c r="G534" s="1">
        <v>5225</v>
      </c>
      <c r="H534" s="2">
        <v>103.5</v>
      </c>
      <c r="I534" s="2">
        <v>-26.3</v>
      </c>
      <c r="J534" s="2">
        <v>-26.4</v>
      </c>
      <c r="K534" s="2">
        <f t="shared" si="68"/>
        <v>-26.3</v>
      </c>
      <c r="L534" s="8">
        <f t="shared" si="72"/>
        <v>1.0471285480508955E-13</v>
      </c>
      <c r="M534" s="26"/>
      <c r="N534" s="17"/>
      <c r="O534" s="9">
        <f t="shared" si="70"/>
        <v>-26.4</v>
      </c>
      <c r="P534" s="8">
        <f>D530/B530*10^(O534/10)</f>
        <v>0.35890259893361787</v>
      </c>
      <c r="Q534" s="26"/>
      <c r="R534" s="17"/>
      <c r="S534" s="19"/>
      <c r="T534" s="17"/>
      <c r="U534" s="22"/>
    </row>
    <row r="535" spans="1:21" x14ac:dyDescent="0.25">
      <c r="A535" s="24"/>
      <c r="B535" s="24"/>
      <c r="C535" s="17"/>
      <c r="D535" s="24"/>
      <c r="E535" s="24"/>
      <c r="F535" s="25"/>
      <c r="G535" s="1">
        <v>5625</v>
      </c>
      <c r="H535" s="2">
        <v>99.5</v>
      </c>
      <c r="I535" s="2">
        <v>-22.7</v>
      </c>
      <c r="J535" s="2">
        <v>-25.1</v>
      </c>
      <c r="K535" s="2">
        <f t="shared" si="68"/>
        <v>-22.7</v>
      </c>
      <c r="L535" s="8">
        <f t="shared" si="72"/>
        <v>6.025595860743553E-13</v>
      </c>
      <c r="M535" s="26"/>
      <c r="N535" s="17"/>
      <c r="O535" s="9">
        <f t="shared" si="70"/>
        <v>-25.1</v>
      </c>
      <c r="P535" s="8">
        <f>D530/B530*10^(O535/10)</f>
        <v>0.4841462844271287</v>
      </c>
      <c r="Q535" s="26"/>
      <c r="R535" s="17"/>
      <c r="S535" s="20"/>
      <c r="T535" s="17"/>
      <c r="U535" s="23"/>
    </row>
    <row r="536" spans="1:21" x14ac:dyDescent="0.25">
      <c r="A536" s="24">
        <v>8000</v>
      </c>
      <c r="B536" s="24">
        <v>3</v>
      </c>
      <c r="C536" s="17">
        <v>0.5</v>
      </c>
      <c r="D536" s="24">
        <v>943</v>
      </c>
      <c r="E536" s="24">
        <v>6</v>
      </c>
      <c r="F536" s="25">
        <v>54</v>
      </c>
      <c r="G536" s="1">
        <v>6025</v>
      </c>
      <c r="H536" s="2">
        <v>95</v>
      </c>
      <c r="I536" s="2">
        <v>-21.5</v>
      </c>
      <c r="J536" s="2">
        <v>-23.4</v>
      </c>
      <c r="K536" s="2">
        <f t="shared" si="68"/>
        <v>-21.5</v>
      </c>
      <c r="L536" s="8">
        <f t="shared" si="72"/>
        <v>2.2387211385683343E-12</v>
      </c>
      <c r="M536" s="26">
        <f>SUM(L536:L541)</f>
        <v>1.8686093951900885E-11</v>
      </c>
      <c r="N536" s="17">
        <f>10*LOG10(M536/E536)</f>
        <v>-115.06632722275226</v>
      </c>
      <c r="O536" s="9">
        <f t="shared" si="70"/>
        <v>-23.4</v>
      </c>
      <c r="P536" s="8">
        <f>D536/B536*10^(O536/10)</f>
        <v>1.4367805426894238</v>
      </c>
      <c r="Q536" s="26">
        <f>SUM(P536:P541)</f>
        <v>5.5658127153863006</v>
      </c>
      <c r="R536" s="17">
        <f>10*LOG10(Q536)</f>
        <v>7.4552858862348002</v>
      </c>
      <c r="S536" s="18">
        <f>F536+N536-Kzt-H</f>
        <v>-61.066327222752264</v>
      </c>
      <c r="T536" s="17">
        <v>0.7</v>
      </c>
      <c r="U536" s="21">
        <f>T536*10^((S536-R536)/10)</f>
        <v>9.8386775897544934E-8</v>
      </c>
    </row>
    <row r="537" spans="1:21" x14ac:dyDescent="0.25">
      <c r="A537" s="24"/>
      <c r="B537" s="24"/>
      <c r="C537" s="17"/>
      <c r="D537" s="24"/>
      <c r="E537" s="24"/>
      <c r="F537" s="25"/>
      <c r="G537" s="1">
        <v>7025</v>
      </c>
      <c r="H537" s="2">
        <v>94.8</v>
      </c>
      <c r="I537" s="2">
        <v>-23</v>
      </c>
      <c r="J537" s="2">
        <v>-25.9</v>
      </c>
      <c r="K537" s="2">
        <f t="shared" si="68"/>
        <v>-23</v>
      </c>
      <c r="L537" s="8">
        <f t="shared" si="72"/>
        <v>1.6595869074375588E-12</v>
      </c>
      <c r="M537" s="26"/>
      <c r="N537" s="17"/>
      <c r="O537" s="9">
        <f t="shared" si="70"/>
        <v>-25.9</v>
      </c>
      <c r="P537" s="8">
        <f>D536/B536*10^(O537/10)</f>
        <v>0.80796107438367948</v>
      </c>
      <c r="Q537" s="26"/>
      <c r="R537" s="17"/>
      <c r="S537" s="19"/>
      <c r="T537" s="17"/>
      <c r="U537" s="22"/>
    </row>
    <row r="538" spans="1:21" x14ac:dyDescent="0.25">
      <c r="A538" s="24"/>
      <c r="B538" s="24"/>
      <c r="C538" s="17"/>
      <c r="D538" s="24"/>
      <c r="E538" s="24"/>
      <c r="F538" s="25"/>
      <c r="G538" s="1">
        <v>8025</v>
      </c>
      <c r="H538" s="2">
        <v>101.9</v>
      </c>
      <c r="I538" s="2">
        <v>-18.899999999999999</v>
      </c>
      <c r="J538" s="2">
        <v>-24</v>
      </c>
      <c r="K538" s="2">
        <f t="shared" si="68"/>
        <v>-18.899999999999999</v>
      </c>
      <c r="L538" s="8">
        <f t="shared" si="72"/>
        <v>8.3176377110266649E-13</v>
      </c>
      <c r="M538" s="26"/>
      <c r="N538" s="17"/>
      <c r="O538" s="9">
        <f t="shared" si="70"/>
        <v>-24</v>
      </c>
      <c r="P538" s="8">
        <f>D536/B536*10^(O538/10)</f>
        <v>1.2513835394398261</v>
      </c>
      <c r="Q538" s="26"/>
      <c r="R538" s="17"/>
      <c r="S538" s="19"/>
      <c r="T538" s="17"/>
      <c r="U538" s="22"/>
    </row>
    <row r="539" spans="1:21" x14ac:dyDescent="0.25">
      <c r="A539" s="24"/>
      <c r="B539" s="24"/>
      <c r="C539" s="17"/>
      <c r="D539" s="24"/>
      <c r="E539" s="24"/>
      <c r="F539" s="25"/>
      <c r="G539" s="1">
        <v>9025</v>
      </c>
      <c r="H539" s="2">
        <v>93.2</v>
      </c>
      <c r="I539" s="2">
        <v>-21.9</v>
      </c>
      <c r="J539" s="2">
        <v>-26</v>
      </c>
      <c r="K539" s="2">
        <f t="shared" si="68"/>
        <v>-21.9</v>
      </c>
      <c r="L539" s="8">
        <f t="shared" si="72"/>
        <v>3.0902954325135792E-12</v>
      </c>
      <c r="M539" s="26"/>
      <c r="N539" s="17"/>
      <c r="O539" s="9">
        <f t="shared" si="70"/>
        <v>-26</v>
      </c>
      <c r="P539" s="8">
        <f>D536/B536*10^(O539/10)</f>
        <v>0.78956963497117716</v>
      </c>
      <c r="Q539" s="26"/>
      <c r="R539" s="17"/>
      <c r="S539" s="19"/>
      <c r="T539" s="17"/>
      <c r="U539" s="22"/>
    </row>
    <row r="540" spans="1:21" x14ac:dyDescent="0.25">
      <c r="A540" s="24"/>
      <c r="B540" s="24"/>
      <c r="C540" s="17"/>
      <c r="D540" s="24"/>
      <c r="E540" s="24"/>
      <c r="F540" s="25"/>
      <c r="G540" s="1">
        <v>10025</v>
      </c>
      <c r="H540" s="2">
        <v>88.3</v>
      </c>
      <c r="I540" s="2">
        <v>-24.4</v>
      </c>
      <c r="J540" s="2">
        <v>-25.6</v>
      </c>
      <c r="K540" s="2">
        <f t="shared" si="68"/>
        <v>-24.4</v>
      </c>
      <c r="L540" s="8">
        <f t="shared" si="72"/>
        <v>5.3703179637025143E-12</v>
      </c>
      <c r="M540" s="26"/>
      <c r="N540" s="17"/>
      <c r="O540" s="9">
        <f t="shared" si="70"/>
        <v>-25.6</v>
      </c>
      <c r="P540" s="8">
        <f>D536/B536*10^(O540/10)</f>
        <v>0.86574588908262984</v>
      </c>
      <c r="Q540" s="26"/>
      <c r="R540" s="17"/>
      <c r="S540" s="19"/>
      <c r="T540" s="17"/>
      <c r="U540" s="22"/>
    </row>
    <row r="541" spans="1:21" x14ac:dyDescent="0.25">
      <c r="A541" s="24"/>
      <c r="B541" s="24"/>
      <c r="C541" s="17"/>
      <c r="D541" s="24"/>
      <c r="E541" s="24"/>
      <c r="F541" s="25"/>
      <c r="G541" s="1">
        <v>11025</v>
      </c>
      <c r="H541" s="2">
        <v>86</v>
      </c>
      <c r="I541" s="2">
        <v>-26.6</v>
      </c>
      <c r="J541" s="2">
        <v>-28.8</v>
      </c>
      <c r="K541" s="2">
        <f t="shared" si="68"/>
        <v>-26.6</v>
      </c>
      <c r="L541" s="8">
        <f t="shared" si="72"/>
        <v>5.4954087385762314E-12</v>
      </c>
      <c r="M541" s="26"/>
      <c r="N541" s="17"/>
      <c r="O541" s="9">
        <f t="shared" si="70"/>
        <v>-28.8</v>
      </c>
      <c r="P541" s="8">
        <f>D536/B536*10^(O541/10)</f>
        <v>0.41437203481956392</v>
      </c>
      <c r="Q541" s="26"/>
      <c r="R541" s="17"/>
      <c r="S541" s="20"/>
      <c r="T541" s="17"/>
      <c r="U541" s="23"/>
    </row>
    <row r="542" spans="1:21" x14ac:dyDescent="0.25">
      <c r="A542" s="24" t="s">
        <v>20</v>
      </c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12">
        <f>U542</f>
        <v>5.4953768599609092E-2</v>
      </c>
      <c r="T542" s="2"/>
      <c r="U542" s="8">
        <f>0.8*SQRT(SUM(U508:U541))</f>
        <v>5.4953768599609092E-2</v>
      </c>
    </row>
    <row r="543" spans="1:21" x14ac:dyDescent="0.25">
      <c r="A543" s="27" t="s">
        <v>107</v>
      </c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9"/>
    </row>
    <row r="544" spans="1:21" x14ac:dyDescent="0.25">
      <c r="A544" s="24">
        <v>250</v>
      </c>
      <c r="B544" s="24">
        <v>3</v>
      </c>
      <c r="C544" s="17">
        <v>0.5</v>
      </c>
      <c r="D544" s="24">
        <v>38</v>
      </c>
      <c r="E544" s="24">
        <v>4</v>
      </c>
      <c r="F544" s="25">
        <v>84</v>
      </c>
      <c r="G544" s="1">
        <v>175</v>
      </c>
      <c r="H544" s="2">
        <v>84.8</v>
      </c>
      <c r="I544" s="2">
        <v>-15.6</v>
      </c>
      <c r="J544" s="2">
        <v>-18.7</v>
      </c>
      <c r="K544" s="2">
        <f>I544</f>
        <v>-15.6</v>
      </c>
      <c r="L544" s="8">
        <f>10^((K544-H544)/10)</f>
        <v>9.1201083935590972E-11</v>
      </c>
      <c r="M544" s="26">
        <f>SUM(L544:L547)</f>
        <v>2.0750049035394375E-10</v>
      </c>
      <c r="N544" s="17">
        <f>10*LOG10(M544/E544)</f>
        <v>-102.85040863977392</v>
      </c>
      <c r="O544" s="9">
        <f>J544</f>
        <v>-18.7</v>
      </c>
      <c r="P544" s="8">
        <f>D544/B544*10^(O544/10)</f>
        <v>0.1708686317949428</v>
      </c>
      <c r="Q544" s="26">
        <f>SUM(P544:P547)</f>
        <v>0.65598686101994308</v>
      </c>
      <c r="R544" s="17">
        <f>10*LOG10(Q544)</f>
        <v>-1.8310485916653749</v>
      </c>
      <c r="S544" s="18">
        <f>F544+N544-Kzt-H</f>
        <v>-18.850408639773917</v>
      </c>
      <c r="T544" s="17">
        <v>0.2</v>
      </c>
      <c r="U544" s="21">
        <f>T544*10^((S544-R544)/10)</f>
        <v>3.972775197366411E-3</v>
      </c>
    </row>
    <row r="545" spans="1:21" x14ac:dyDescent="0.25">
      <c r="A545" s="24"/>
      <c r="B545" s="24"/>
      <c r="C545" s="17"/>
      <c r="D545" s="24"/>
      <c r="E545" s="24"/>
      <c r="F545" s="25"/>
      <c r="G545" s="1">
        <v>225</v>
      </c>
      <c r="H545" s="2">
        <v>90</v>
      </c>
      <c r="I545" s="2">
        <v>-11.9</v>
      </c>
      <c r="J545" s="2">
        <v>-20.9</v>
      </c>
      <c r="K545" s="2">
        <f t="shared" ref="K545:K577" si="73">I545</f>
        <v>-11.9</v>
      </c>
      <c r="L545" s="8">
        <f t="shared" ref="L545:L546" si="74">10^((K545-H545)/10)</f>
        <v>6.4565422903465183E-11</v>
      </c>
      <c r="M545" s="26"/>
      <c r="N545" s="17"/>
      <c r="O545" s="9">
        <f t="shared" ref="O545:O577" si="75">J545</f>
        <v>-20.9</v>
      </c>
      <c r="P545" s="8">
        <f>D544/B544*10^(O545/10)</f>
        <v>0.10295853204745253</v>
      </c>
      <c r="Q545" s="26"/>
      <c r="R545" s="17"/>
      <c r="S545" s="19"/>
      <c r="T545" s="17"/>
      <c r="U545" s="22"/>
    </row>
    <row r="546" spans="1:21" x14ac:dyDescent="0.25">
      <c r="A546" s="24"/>
      <c r="B546" s="24"/>
      <c r="C546" s="17"/>
      <c r="D546" s="24"/>
      <c r="E546" s="24"/>
      <c r="F546" s="25"/>
      <c r="G546" s="1">
        <v>275</v>
      </c>
      <c r="H546" s="2">
        <v>92.2</v>
      </c>
      <c r="I546" s="2">
        <v>-15.1</v>
      </c>
      <c r="J546" s="2">
        <v>-22.5</v>
      </c>
      <c r="K546" s="2">
        <f t="shared" si="73"/>
        <v>-15.1</v>
      </c>
      <c r="L546" s="8">
        <f t="shared" si="74"/>
        <v>1.8620871366628599E-11</v>
      </c>
      <c r="M546" s="26"/>
      <c r="N546" s="17"/>
      <c r="O546" s="9">
        <f t="shared" si="75"/>
        <v>-22.5</v>
      </c>
      <c r="P546" s="8">
        <f>D544/B544*10^(O546/10)</f>
        <v>7.1229901190777489E-2</v>
      </c>
      <c r="Q546" s="26"/>
      <c r="R546" s="17"/>
      <c r="S546" s="19"/>
      <c r="T546" s="17"/>
      <c r="U546" s="22"/>
    </row>
    <row r="547" spans="1:21" x14ac:dyDescent="0.25">
      <c r="A547" s="24"/>
      <c r="B547" s="24"/>
      <c r="C547" s="17"/>
      <c r="D547" s="24"/>
      <c r="E547" s="24"/>
      <c r="F547" s="25"/>
      <c r="G547" s="1">
        <v>325</v>
      </c>
      <c r="H547" s="2">
        <v>93.3</v>
      </c>
      <c r="I547" s="2">
        <v>-11.5</v>
      </c>
      <c r="J547" s="2">
        <v>-16.100000000000001</v>
      </c>
      <c r="K547" s="2">
        <f t="shared" si="73"/>
        <v>-11.5</v>
      </c>
      <c r="L547" s="8">
        <f>10^((K547-H547)/10)</f>
        <v>3.3113112148259015E-11</v>
      </c>
      <c r="M547" s="26"/>
      <c r="N547" s="17"/>
      <c r="O547" s="9">
        <f t="shared" si="75"/>
        <v>-16.100000000000001</v>
      </c>
      <c r="P547" s="8">
        <f>D544/B544*10^(O547/10)</f>
        <v>0.31092979598677029</v>
      </c>
      <c r="Q547" s="26"/>
      <c r="R547" s="17"/>
      <c r="S547" s="20"/>
      <c r="T547" s="17"/>
      <c r="U547" s="23"/>
    </row>
    <row r="548" spans="1:21" x14ac:dyDescent="0.25">
      <c r="A548" s="24">
        <v>500</v>
      </c>
      <c r="B548" s="24">
        <v>3</v>
      </c>
      <c r="C548" s="17">
        <v>0.5</v>
      </c>
      <c r="D548" s="24">
        <v>59</v>
      </c>
      <c r="E548" s="24">
        <v>6</v>
      </c>
      <c r="F548" s="25">
        <v>84</v>
      </c>
      <c r="G548" s="1">
        <v>375</v>
      </c>
      <c r="H548" s="2">
        <v>91.9</v>
      </c>
      <c r="I548" s="2">
        <v>-16.8</v>
      </c>
      <c r="J548" s="2">
        <v>-18</v>
      </c>
      <c r="K548" s="2">
        <f t="shared" si="73"/>
        <v>-16.8</v>
      </c>
      <c r="L548" s="8">
        <f t="shared" ref="L548:L549" si="76">10^((K548-H548)/10)</f>
        <v>1.348962882591645E-11</v>
      </c>
      <c r="M548" s="26">
        <f>SUM(L548:L553)</f>
        <v>9.6445334569992849E-11</v>
      </c>
      <c r="N548" s="17">
        <f>10*LOG10(M548/E548)</f>
        <v>-107.9387002638211</v>
      </c>
      <c r="O548" s="9">
        <f t="shared" si="75"/>
        <v>-18</v>
      </c>
      <c r="P548" s="8">
        <f>D548/B548*10^(O548/10)</f>
        <v>0.31169566118401881</v>
      </c>
      <c r="Q548" s="26">
        <f>SUM(P548:P553)</f>
        <v>1.4069647026867291</v>
      </c>
      <c r="R548" s="17">
        <f>10*LOG10(Q548)</f>
        <v>1.482832021819618</v>
      </c>
      <c r="S548" s="18">
        <f>F548+N548-Kzt-H</f>
        <v>-23.938700263821104</v>
      </c>
      <c r="T548" s="17">
        <v>0.5</v>
      </c>
      <c r="U548" s="21">
        <f>T548*10^((S548-R548)/10)</f>
        <v>1.4348839433459696E-3</v>
      </c>
    </row>
    <row r="549" spans="1:21" x14ac:dyDescent="0.25">
      <c r="A549" s="24"/>
      <c r="B549" s="24"/>
      <c r="C549" s="17"/>
      <c r="D549" s="24"/>
      <c r="E549" s="24"/>
      <c r="F549" s="25"/>
      <c r="G549" s="1">
        <v>425</v>
      </c>
      <c r="H549" s="2">
        <v>88.1</v>
      </c>
      <c r="I549" s="2">
        <v>-16.100000000000001</v>
      </c>
      <c r="J549" s="2">
        <v>-19.100000000000001</v>
      </c>
      <c r="K549" s="2">
        <f t="shared" si="73"/>
        <v>-16.100000000000001</v>
      </c>
      <c r="L549" s="8">
        <f t="shared" si="76"/>
        <v>3.8018939632056257E-11</v>
      </c>
      <c r="M549" s="26"/>
      <c r="N549" s="17"/>
      <c r="O549" s="9">
        <f t="shared" si="75"/>
        <v>-19.100000000000001</v>
      </c>
      <c r="P549" s="8">
        <f>D548/B548*10^(O549/10)</f>
        <v>0.24195285825976826</v>
      </c>
      <c r="Q549" s="26"/>
      <c r="R549" s="17"/>
      <c r="S549" s="19"/>
      <c r="T549" s="17"/>
      <c r="U549" s="22"/>
    </row>
    <row r="550" spans="1:21" x14ac:dyDescent="0.25">
      <c r="A550" s="24"/>
      <c r="B550" s="24"/>
      <c r="C550" s="17"/>
      <c r="D550" s="24"/>
      <c r="E550" s="24"/>
      <c r="F550" s="25"/>
      <c r="G550" s="1">
        <v>475</v>
      </c>
      <c r="H550" s="2">
        <v>90</v>
      </c>
      <c r="I550" s="2">
        <v>-15.9</v>
      </c>
      <c r="J550" s="2">
        <v>-19.899999999999999</v>
      </c>
      <c r="K550" s="2">
        <f t="shared" si="73"/>
        <v>-15.9</v>
      </c>
      <c r="L550" s="8">
        <f>10^((K550-H550)/10)</f>
        <v>2.5703957827688591E-11</v>
      </c>
      <c r="M550" s="26"/>
      <c r="N550" s="17"/>
      <c r="O550" s="9">
        <f t="shared" si="75"/>
        <v>-19.899999999999999</v>
      </c>
      <c r="P550" s="8">
        <f>D548/B548*10^(O550/10)</f>
        <v>0.20124762181521505</v>
      </c>
      <c r="Q550" s="26"/>
      <c r="R550" s="17"/>
      <c r="S550" s="19"/>
      <c r="T550" s="17"/>
      <c r="U550" s="22"/>
    </row>
    <row r="551" spans="1:21" x14ac:dyDescent="0.25">
      <c r="A551" s="24"/>
      <c r="B551" s="24"/>
      <c r="C551" s="17"/>
      <c r="D551" s="24"/>
      <c r="E551" s="24"/>
      <c r="F551" s="25"/>
      <c r="G551" s="1">
        <v>575</v>
      </c>
      <c r="H551" s="2">
        <v>97</v>
      </c>
      <c r="I551" s="2">
        <v>-18.200000000000003</v>
      </c>
      <c r="J551" s="2">
        <v>-18.600000000000001</v>
      </c>
      <c r="K551" s="2">
        <f t="shared" si="73"/>
        <v>-18.200000000000003</v>
      </c>
      <c r="L551" s="8">
        <f t="shared" ref="L551:L577" si="77">10^((K551-H551)/10)</f>
        <v>3.0199517204020161E-12</v>
      </c>
      <c r="M551" s="26"/>
      <c r="N551" s="17"/>
      <c r="O551" s="9">
        <f t="shared" si="75"/>
        <v>-18.600000000000001</v>
      </c>
      <c r="P551" s="8">
        <f>D548/B548*10^(O551/10)</f>
        <v>0.27147557203856715</v>
      </c>
      <c r="Q551" s="26"/>
      <c r="R551" s="17"/>
      <c r="S551" s="19"/>
      <c r="T551" s="17"/>
      <c r="U551" s="22"/>
    </row>
    <row r="552" spans="1:21" x14ac:dyDescent="0.25">
      <c r="A552" s="24"/>
      <c r="B552" s="24"/>
      <c r="C552" s="17"/>
      <c r="D552" s="24"/>
      <c r="E552" s="24"/>
      <c r="F552" s="25"/>
      <c r="G552" s="1">
        <v>625</v>
      </c>
      <c r="H552" s="2">
        <v>92</v>
      </c>
      <c r="I552" s="2">
        <v>-17.599999999999998</v>
      </c>
      <c r="J552" s="2">
        <v>-18.399999999999999</v>
      </c>
      <c r="K552" s="2">
        <f t="shared" si="73"/>
        <v>-17.599999999999998</v>
      </c>
      <c r="L552" s="8">
        <f t="shared" si="77"/>
        <v>1.096478196143183E-11</v>
      </c>
      <c r="M552" s="26"/>
      <c r="N552" s="17"/>
      <c r="O552" s="9">
        <f t="shared" si="75"/>
        <v>-18.399999999999999</v>
      </c>
      <c r="P552" s="8">
        <f>D548/B548*10^(O552/10)</f>
        <v>0.28426982158003239</v>
      </c>
      <c r="Q552" s="26"/>
      <c r="R552" s="17"/>
      <c r="S552" s="19"/>
      <c r="T552" s="17"/>
      <c r="U552" s="22"/>
    </row>
    <row r="553" spans="1:21" x14ac:dyDescent="0.25">
      <c r="A553" s="24"/>
      <c r="B553" s="24"/>
      <c r="C553" s="17"/>
      <c r="D553" s="24"/>
      <c r="E553" s="24"/>
      <c r="F553" s="25"/>
      <c r="G553" s="1">
        <v>675</v>
      </c>
      <c r="H553" s="2">
        <v>94.5</v>
      </c>
      <c r="I553" s="2">
        <v>-18.3</v>
      </c>
      <c r="J553" s="2">
        <v>-23.1</v>
      </c>
      <c r="K553" s="2">
        <f t="shared" si="73"/>
        <v>-18.3</v>
      </c>
      <c r="L553" s="8">
        <f t="shared" si="77"/>
        <v>5.2480746024977136E-12</v>
      </c>
      <c r="M553" s="26"/>
      <c r="N553" s="17"/>
      <c r="O553" s="9">
        <f t="shared" si="75"/>
        <v>-23.1</v>
      </c>
      <c r="P553" s="8">
        <f>D548/B548*10^(O553/10)</f>
        <v>9.6323167809127655E-2</v>
      </c>
      <c r="Q553" s="26"/>
      <c r="R553" s="17"/>
      <c r="S553" s="20"/>
      <c r="T553" s="17"/>
      <c r="U553" s="23"/>
    </row>
    <row r="554" spans="1:21" x14ac:dyDescent="0.25">
      <c r="A554" s="24">
        <v>1000</v>
      </c>
      <c r="B554" s="24">
        <v>3</v>
      </c>
      <c r="C554" s="17">
        <v>0.5</v>
      </c>
      <c r="D554" s="24">
        <v>117</v>
      </c>
      <c r="E554" s="24">
        <v>6</v>
      </c>
      <c r="F554" s="25">
        <v>76</v>
      </c>
      <c r="G554" s="1">
        <v>875</v>
      </c>
      <c r="H554" s="2">
        <v>91.1</v>
      </c>
      <c r="I554" s="2">
        <v>-14.9</v>
      </c>
      <c r="J554" s="2">
        <v>-22.7</v>
      </c>
      <c r="K554" s="2">
        <f t="shared" si="73"/>
        <v>-14.9</v>
      </c>
      <c r="L554" s="8">
        <f t="shared" si="77"/>
        <v>2.5118864315095759E-11</v>
      </c>
      <c r="M554" s="26">
        <f>SUM(L554:L559)</f>
        <v>4.0447526551616791E-11</v>
      </c>
      <c r="N554" s="17">
        <f>10*LOG10(M554/E554)</f>
        <v>-111.71259281612814</v>
      </c>
      <c r="O554" s="9">
        <f t="shared" si="75"/>
        <v>-22.7</v>
      </c>
      <c r="P554" s="8">
        <f>D554/B554*10^(O554/10)</f>
        <v>0.20944240058439845</v>
      </c>
      <c r="Q554" s="26">
        <f>SUM(P554:P559)</f>
        <v>1.5889075959978367</v>
      </c>
      <c r="R554" s="17">
        <f>10*LOG10(Q554)</f>
        <v>2.0109864125071981</v>
      </c>
      <c r="S554" s="18">
        <f>F554+N554-Kzt-H</f>
        <v>-35.712592816128137</v>
      </c>
      <c r="T554" s="17">
        <v>0.8</v>
      </c>
      <c r="U554" s="21">
        <f>T554*10^((S554-R554)/10)</f>
        <v>1.351238665853253E-4</v>
      </c>
    </row>
    <row r="555" spans="1:21" x14ac:dyDescent="0.25">
      <c r="A555" s="24"/>
      <c r="B555" s="24"/>
      <c r="C555" s="17"/>
      <c r="D555" s="24"/>
      <c r="E555" s="24"/>
      <c r="F555" s="25"/>
      <c r="G555" s="1">
        <v>975</v>
      </c>
      <c r="H555" s="2">
        <v>96.5</v>
      </c>
      <c r="I555" s="2">
        <v>-16.8</v>
      </c>
      <c r="J555" s="2">
        <v>-21.3</v>
      </c>
      <c r="K555" s="2">
        <f t="shared" si="73"/>
        <v>-16.8</v>
      </c>
      <c r="L555" s="8">
        <f t="shared" si="77"/>
        <v>4.6773514128719737E-12</v>
      </c>
      <c r="M555" s="26"/>
      <c r="N555" s="17"/>
      <c r="O555" s="9">
        <f t="shared" si="75"/>
        <v>-21.3</v>
      </c>
      <c r="P555" s="8">
        <f>D554/B554*10^(O555/10)</f>
        <v>0.2891109941073578</v>
      </c>
      <c r="Q555" s="26"/>
      <c r="R555" s="17"/>
      <c r="S555" s="19"/>
      <c r="T555" s="17"/>
      <c r="U555" s="22"/>
    </row>
    <row r="556" spans="1:21" x14ac:dyDescent="0.25">
      <c r="A556" s="24"/>
      <c r="B556" s="24"/>
      <c r="C556" s="17"/>
      <c r="D556" s="24"/>
      <c r="E556" s="24"/>
      <c r="F556" s="25"/>
      <c r="G556" s="1">
        <v>1075</v>
      </c>
      <c r="H556" s="2">
        <v>94.6</v>
      </c>
      <c r="I556" s="2">
        <v>-18.600000000000001</v>
      </c>
      <c r="J556" s="2">
        <v>-20.8</v>
      </c>
      <c r="K556" s="2">
        <f t="shared" si="73"/>
        <v>-18.600000000000001</v>
      </c>
      <c r="L556" s="8">
        <f t="shared" si="77"/>
        <v>4.7863009232263907E-12</v>
      </c>
      <c r="M556" s="26"/>
      <c r="N556" s="17"/>
      <c r="O556" s="9">
        <f t="shared" si="75"/>
        <v>-20.8</v>
      </c>
      <c r="P556" s="8">
        <f>D554/B554*10^(O556/10)</f>
        <v>0.32438787073004149</v>
      </c>
      <c r="Q556" s="26"/>
      <c r="R556" s="17"/>
      <c r="S556" s="19"/>
      <c r="T556" s="17"/>
      <c r="U556" s="22"/>
    </row>
    <row r="557" spans="1:21" x14ac:dyDescent="0.25">
      <c r="A557" s="24"/>
      <c r="B557" s="24"/>
      <c r="C557" s="17"/>
      <c r="D557" s="24"/>
      <c r="E557" s="24"/>
      <c r="F557" s="25"/>
      <c r="G557" s="1">
        <v>1175</v>
      </c>
      <c r="H557" s="2">
        <v>97.8</v>
      </c>
      <c r="I557" s="2">
        <v>-19.899999999999999</v>
      </c>
      <c r="J557" s="2">
        <v>-22.3</v>
      </c>
      <c r="K557" s="2">
        <f t="shared" si="73"/>
        <v>-19.899999999999999</v>
      </c>
      <c r="L557" s="8">
        <f t="shared" si="77"/>
        <v>1.6982436524617421E-12</v>
      </c>
      <c r="M557" s="26"/>
      <c r="N557" s="17"/>
      <c r="O557" s="9">
        <f t="shared" si="75"/>
        <v>-22.3</v>
      </c>
      <c r="P557" s="8">
        <f>D554/B554*10^(O557/10)</f>
        <v>0.22964902558867969</v>
      </c>
      <c r="Q557" s="26"/>
      <c r="R557" s="17"/>
      <c r="S557" s="19"/>
      <c r="T557" s="17"/>
      <c r="U557" s="22"/>
    </row>
    <row r="558" spans="1:21" x14ac:dyDescent="0.25">
      <c r="A558" s="24"/>
      <c r="B558" s="24"/>
      <c r="C558" s="17"/>
      <c r="D558" s="24"/>
      <c r="E558" s="24"/>
      <c r="F558" s="25"/>
      <c r="G558" s="1">
        <v>1275</v>
      </c>
      <c r="H558" s="2">
        <v>100.1</v>
      </c>
      <c r="I558" s="2">
        <v>-15.5</v>
      </c>
      <c r="J558" s="2">
        <v>-21.2</v>
      </c>
      <c r="K558" s="2">
        <f t="shared" si="73"/>
        <v>-15.5</v>
      </c>
      <c r="L558" s="8">
        <f t="shared" si="77"/>
        <v>2.7542287033381671E-12</v>
      </c>
      <c r="M558" s="26"/>
      <c r="N558" s="17"/>
      <c r="O558" s="9">
        <f t="shared" si="75"/>
        <v>-21.2</v>
      </c>
      <c r="P558" s="8">
        <f>D554/B554*10^(O558/10)</f>
        <v>0.29584525426138136</v>
      </c>
      <c r="Q558" s="26"/>
      <c r="R558" s="17"/>
      <c r="S558" s="19"/>
      <c r="T558" s="17"/>
      <c r="U558" s="22"/>
    </row>
    <row r="559" spans="1:21" x14ac:dyDescent="0.25">
      <c r="A559" s="24"/>
      <c r="B559" s="24"/>
      <c r="C559" s="17"/>
      <c r="D559" s="24"/>
      <c r="E559" s="24"/>
      <c r="F559" s="25"/>
      <c r="G559" s="1">
        <v>1375</v>
      </c>
      <c r="H559" s="2">
        <v>103</v>
      </c>
      <c r="I559" s="2">
        <v>-15.5</v>
      </c>
      <c r="J559" s="2">
        <v>-22.1</v>
      </c>
      <c r="K559" s="2">
        <f t="shared" si="73"/>
        <v>-15.5</v>
      </c>
      <c r="L559" s="8">
        <f t="shared" si="77"/>
        <v>1.4125375446227535E-12</v>
      </c>
      <c r="M559" s="26"/>
      <c r="N559" s="17"/>
      <c r="O559" s="9">
        <f t="shared" si="75"/>
        <v>-22.1</v>
      </c>
      <c r="P559" s="8">
        <f>D554/B554*10^(O559/10)</f>
        <v>0.24047205072597796</v>
      </c>
      <c r="Q559" s="26"/>
      <c r="R559" s="17"/>
      <c r="S559" s="20"/>
      <c r="T559" s="17"/>
      <c r="U559" s="23"/>
    </row>
    <row r="560" spans="1:21" x14ac:dyDescent="0.25">
      <c r="A560" s="24">
        <v>2000</v>
      </c>
      <c r="B560" s="24">
        <v>3</v>
      </c>
      <c r="C560" s="17">
        <v>0.5</v>
      </c>
      <c r="D560" s="24">
        <v>234</v>
      </c>
      <c r="E560" s="24">
        <v>6</v>
      </c>
      <c r="F560" s="25">
        <v>68</v>
      </c>
      <c r="G560" s="1">
        <v>1425</v>
      </c>
      <c r="H560" s="2">
        <v>102.8</v>
      </c>
      <c r="I560" s="2">
        <v>-17.3</v>
      </c>
      <c r="J560" s="2">
        <v>-19.8</v>
      </c>
      <c r="K560" s="2">
        <f t="shared" si="73"/>
        <v>-17.3</v>
      </c>
      <c r="L560" s="8">
        <f t="shared" si="77"/>
        <v>9.7723722095580816E-13</v>
      </c>
      <c r="M560" s="26">
        <f>SUM(L560:L565)</f>
        <v>1.7592498664294396E-11</v>
      </c>
      <c r="N560" s="17">
        <f>10*LOG10(M560/E560)</f>
        <v>-115.32823723657899</v>
      </c>
      <c r="O560" s="9">
        <f t="shared" si="75"/>
        <v>-19.8</v>
      </c>
      <c r="P560" s="8">
        <f>D560/B560*10^(O560/10)</f>
        <v>0.8167602674797011</v>
      </c>
      <c r="Q560" s="26">
        <f>SUM(P560:P565)</f>
        <v>3.0725302743617884</v>
      </c>
      <c r="R560" s="17">
        <f>10*LOG10(Q560)</f>
        <v>4.874961707850149</v>
      </c>
      <c r="S560" s="18">
        <f>F560+N560-Kzt-H</f>
        <v>-47.328237236578985</v>
      </c>
      <c r="T560" s="17">
        <v>1</v>
      </c>
      <c r="U560" s="21">
        <f>T560*10^((S560-R560)/10)</f>
        <v>6.0211591363951494E-6</v>
      </c>
    </row>
    <row r="561" spans="1:21" x14ac:dyDescent="0.25">
      <c r="A561" s="24"/>
      <c r="B561" s="24"/>
      <c r="C561" s="17"/>
      <c r="D561" s="24"/>
      <c r="E561" s="24"/>
      <c r="F561" s="25"/>
      <c r="G561" s="1">
        <v>1625</v>
      </c>
      <c r="H561" s="2">
        <v>104.1</v>
      </c>
      <c r="I561" s="2">
        <v>-13.9</v>
      </c>
      <c r="J561" s="2">
        <v>-24.3</v>
      </c>
      <c r="K561" s="2">
        <f t="shared" si="73"/>
        <v>-13.9</v>
      </c>
      <c r="L561" s="8">
        <f t="shared" si="77"/>
        <v>1.5848931924611065E-12</v>
      </c>
      <c r="M561" s="26"/>
      <c r="N561" s="17"/>
      <c r="O561" s="9">
        <f t="shared" si="75"/>
        <v>-24.3</v>
      </c>
      <c r="P561" s="8">
        <f>D560/B560*10^(O561/10)</f>
        <v>0.28979747869579436</v>
      </c>
      <c r="Q561" s="26"/>
      <c r="R561" s="17"/>
      <c r="S561" s="19"/>
      <c r="T561" s="17"/>
      <c r="U561" s="22"/>
    </row>
    <row r="562" spans="1:21" x14ac:dyDescent="0.25">
      <c r="A562" s="24"/>
      <c r="B562" s="24"/>
      <c r="C562" s="17"/>
      <c r="D562" s="24"/>
      <c r="E562" s="24"/>
      <c r="F562" s="25"/>
      <c r="G562" s="1">
        <v>1825</v>
      </c>
      <c r="H562" s="2">
        <v>107.6</v>
      </c>
      <c r="I562" s="2">
        <v>-14.3</v>
      </c>
      <c r="J562" s="2">
        <v>-19.7</v>
      </c>
      <c r="K562" s="2">
        <f t="shared" si="73"/>
        <v>-14.3</v>
      </c>
      <c r="L562" s="8">
        <f t="shared" si="77"/>
        <v>6.4565422903465492E-13</v>
      </c>
      <c r="M562" s="26"/>
      <c r="N562" s="17"/>
      <c r="O562" s="9">
        <f t="shared" si="75"/>
        <v>-19.7</v>
      </c>
      <c r="P562" s="8">
        <f>D560/B560*10^(O562/10)</f>
        <v>0.83578505808533243</v>
      </c>
      <c r="Q562" s="26"/>
      <c r="R562" s="17"/>
      <c r="S562" s="19"/>
      <c r="T562" s="17"/>
      <c r="U562" s="22"/>
    </row>
    <row r="563" spans="1:21" x14ac:dyDescent="0.25">
      <c r="A563" s="24"/>
      <c r="B563" s="24"/>
      <c r="C563" s="17"/>
      <c r="D563" s="24"/>
      <c r="E563" s="24"/>
      <c r="F563" s="25"/>
      <c r="G563" s="1">
        <v>2125</v>
      </c>
      <c r="H563" s="2">
        <v>104.2</v>
      </c>
      <c r="I563" s="2">
        <v>-16.5</v>
      </c>
      <c r="J563" s="2">
        <v>-22.5</v>
      </c>
      <c r="K563" s="2">
        <f t="shared" si="73"/>
        <v>-16.5</v>
      </c>
      <c r="L563" s="8">
        <f t="shared" si="77"/>
        <v>8.5113803820237492E-13</v>
      </c>
      <c r="M563" s="26"/>
      <c r="N563" s="17"/>
      <c r="O563" s="9">
        <f t="shared" si="75"/>
        <v>-22.5</v>
      </c>
      <c r="P563" s="8">
        <f>D560/B560*10^(O563/10)</f>
        <v>0.43862623364847197</v>
      </c>
      <c r="Q563" s="26"/>
      <c r="R563" s="17"/>
      <c r="S563" s="19"/>
      <c r="T563" s="17"/>
      <c r="U563" s="22"/>
    </row>
    <row r="564" spans="1:21" x14ac:dyDescent="0.25">
      <c r="A564" s="24"/>
      <c r="B564" s="24"/>
      <c r="C564" s="17"/>
      <c r="D564" s="24"/>
      <c r="E564" s="24"/>
      <c r="F564" s="25"/>
      <c r="G564" s="1">
        <v>2425</v>
      </c>
      <c r="H564" s="2">
        <v>93.7</v>
      </c>
      <c r="I564" s="2">
        <v>-16</v>
      </c>
      <c r="J564" s="2">
        <v>-21.4</v>
      </c>
      <c r="K564" s="2">
        <f t="shared" si="73"/>
        <v>-16</v>
      </c>
      <c r="L564" s="8">
        <f t="shared" si="77"/>
        <v>1.0715193052376007E-11</v>
      </c>
      <c r="M564" s="26"/>
      <c r="N564" s="17"/>
      <c r="O564" s="9">
        <f t="shared" si="75"/>
        <v>-21.4</v>
      </c>
      <c r="P564" s="8">
        <f>D560/B560*10^(O564/10)</f>
        <v>0.56506004885849226</v>
      </c>
      <c r="Q564" s="26"/>
      <c r="R564" s="17"/>
      <c r="S564" s="19"/>
      <c r="T564" s="17"/>
      <c r="U564" s="22"/>
    </row>
    <row r="565" spans="1:21" x14ac:dyDescent="0.25">
      <c r="A565" s="24"/>
      <c r="B565" s="24"/>
      <c r="C565" s="17"/>
      <c r="D565" s="24"/>
      <c r="E565" s="24"/>
      <c r="F565" s="25"/>
      <c r="G565" s="1">
        <v>2775</v>
      </c>
      <c r="H565" s="2">
        <v>100.2</v>
      </c>
      <c r="I565" s="2">
        <v>-15.3</v>
      </c>
      <c r="J565" s="2">
        <v>-27.9</v>
      </c>
      <c r="K565" s="2">
        <f t="shared" si="73"/>
        <v>-15.3</v>
      </c>
      <c r="L565" s="8">
        <f t="shared" si="77"/>
        <v>2.8183829312644444E-12</v>
      </c>
      <c r="M565" s="26"/>
      <c r="N565" s="17"/>
      <c r="O565" s="9">
        <f t="shared" si="75"/>
        <v>-27.9</v>
      </c>
      <c r="P565" s="8">
        <f>D560/B560*10^(O565/10)</f>
        <v>0.12650118759399642</v>
      </c>
      <c r="Q565" s="26"/>
      <c r="R565" s="17"/>
      <c r="S565" s="20"/>
      <c r="T565" s="17"/>
      <c r="U565" s="23"/>
    </row>
    <row r="566" spans="1:21" x14ac:dyDescent="0.25">
      <c r="A566" s="24">
        <v>4000</v>
      </c>
      <c r="B566" s="24">
        <v>3</v>
      </c>
      <c r="C566" s="17">
        <v>0.5</v>
      </c>
      <c r="D566" s="24">
        <v>470</v>
      </c>
      <c r="E566" s="24">
        <v>6</v>
      </c>
      <c r="F566" s="25">
        <v>62</v>
      </c>
      <c r="G566" s="1">
        <v>2825</v>
      </c>
      <c r="H566" s="2">
        <v>99.4</v>
      </c>
      <c r="I566" s="2">
        <v>-14.6</v>
      </c>
      <c r="J566" s="2">
        <v>-18.899999999999999</v>
      </c>
      <c r="K566" s="2">
        <f t="shared" si="73"/>
        <v>-14.6</v>
      </c>
      <c r="L566" s="8">
        <f t="shared" si="77"/>
        <v>3.9810717055349533E-12</v>
      </c>
      <c r="M566" s="26">
        <f>SUM(L566:L571)</f>
        <v>1.0474311511581918E-11</v>
      </c>
      <c r="N566" s="17">
        <f>10*LOG10(M566/E566)</f>
        <v>-117.58025764477782</v>
      </c>
      <c r="O566" s="9">
        <f t="shared" si="75"/>
        <v>-18.899999999999999</v>
      </c>
      <c r="P566" s="8">
        <f>D566/B566*10^(O566/10)</f>
        <v>2.0182576309859086</v>
      </c>
      <c r="Q566" s="26">
        <f>SUM(P566:P571)</f>
        <v>11.154872099464985</v>
      </c>
      <c r="R566" s="17">
        <f>10*LOG10(Q566)</f>
        <v>10.474645950757029</v>
      </c>
      <c r="S566" s="18">
        <f>F566+N566-Kzt-H</f>
        <v>-55.580257644777816</v>
      </c>
      <c r="T566" s="17">
        <v>0.9</v>
      </c>
      <c r="U566" s="21">
        <f>T566*10^((S566-R566)/10)</f>
        <v>2.2322978958072626E-7</v>
      </c>
    </row>
    <row r="567" spans="1:21" x14ac:dyDescent="0.25">
      <c r="A567" s="24"/>
      <c r="B567" s="24"/>
      <c r="C567" s="17"/>
      <c r="D567" s="24"/>
      <c r="E567" s="24"/>
      <c r="F567" s="25"/>
      <c r="G567" s="1">
        <v>3425</v>
      </c>
      <c r="H567" s="2">
        <v>103.5</v>
      </c>
      <c r="I567" s="2">
        <v>-16.899999999999999</v>
      </c>
      <c r="J567" s="2">
        <v>-17.5</v>
      </c>
      <c r="K567" s="2">
        <f t="shared" si="73"/>
        <v>-16.899999999999999</v>
      </c>
      <c r="L567" s="8">
        <f t="shared" si="77"/>
        <v>9.1201083935590446E-13</v>
      </c>
      <c r="M567" s="26"/>
      <c r="N567" s="17"/>
      <c r="O567" s="9">
        <f t="shared" si="75"/>
        <v>-17.5</v>
      </c>
      <c r="P567" s="8">
        <f>D566/B566*10^(O567/10)</f>
        <v>2.785971075727645</v>
      </c>
      <c r="Q567" s="26"/>
      <c r="R567" s="17"/>
      <c r="S567" s="19"/>
      <c r="T567" s="17"/>
      <c r="U567" s="22"/>
    </row>
    <row r="568" spans="1:21" x14ac:dyDescent="0.25">
      <c r="A568" s="24"/>
      <c r="B568" s="24"/>
      <c r="C568" s="17"/>
      <c r="D568" s="24"/>
      <c r="E568" s="24"/>
      <c r="F568" s="25"/>
      <c r="G568" s="1">
        <v>4025</v>
      </c>
      <c r="H568" s="2">
        <v>103.6</v>
      </c>
      <c r="I568" s="2">
        <v>-16.7</v>
      </c>
      <c r="J568" s="2">
        <v>-21.6</v>
      </c>
      <c r="K568" s="2">
        <f t="shared" si="73"/>
        <v>-16.7</v>
      </c>
      <c r="L568" s="8">
        <f t="shared" si="77"/>
        <v>9.3325430079698887E-13</v>
      </c>
      <c r="M568" s="26"/>
      <c r="N568" s="17"/>
      <c r="O568" s="9">
        <f t="shared" si="75"/>
        <v>-21.6</v>
      </c>
      <c r="P568" s="8">
        <f>D566/B566*10^(O568/10)</f>
        <v>1.083868521106333</v>
      </c>
      <c r="Q568" s="26"/>
      <c r="R568" s="17"/>
      <c r="S568" s="19"/>
      <c r="T568" s="17"/>
      <c r="U568" s="22"/>
    </row>
    <row r="569" spans="1:21" x14ac:dyDescent="0.25">
      <c r="A569" s="24"/>
      <c r="B569" s="24"/>
      <c r="C569" s="17"/>
      <c r="D569" s="24"/>
      <c r="E569" s="24"/>
      <c r="F569" s="25"/>
      <c r="G569" s="1">
        <v>4625</v>
      </c>
      <c r="H569" s="2">
        <v>105.6</v>
      </c>
      <c r="I569" s="2">
        <v>-19.3</v>
      </c>
      <c r="J569" s="2">
        <v>-20.8</v>
      </c>
      <c r="K569" s="2">
        <f t="shared" si="73"/>
        <v>-19.3</v>
      </c>
      <c r="L569" s="8">
        <f t="shared" si="77"/>
        <v>3.2359365692962897E-13</v>
      </c>
      <c r="M569" s="26"/>
      <c r="N569" s="17"/>
      <c r="O569" s="9">
        <f t="shared" si="75"/>
        <v>-20.8</v>
      </c>
      <c r="P569" s="8">
        <f>D566/B566*10^(O569/10)</f>
        <v>1.3030965747275172</v>
      </c>
      <c r="Q569" s="26"/>
      <c r="R569" s="17"/>
      <c r="S569" s="19"/>
      <c r="T569" s="17"/>
      <c r="U569" s="22"/>
    </row>
    <row r="570" spans="1:21" x14ac:dyDescent="0.25">
      <c r="A570" s="24"/>
      <c r="B570" s="24"/>
      <c r="C570" s="17"/>
      <c r="D570" s="24"/>
      <c r="E570" s="24"/>
      <c r="F570" s="25"/>
      <c r="G570" s="1">
        <v>5225</v>
      </c>
      <c r="H570" s="2">
        <v>103.5</v>
      </c>
      <c r="I570" s="2">
        <v>-17.600000000000001</v>
      </c>
      <c r="J570" s="2">
        <v>-17.7</v>
      </c>
      <c r="K570" s="2">
        <f t="shared" si="73"/>
        <v>-17.600000000000001</v>
      </c>
      <c r="L570" s="8">
        <f t="shared" si="77"/>
        <v>7.7624711662869047E-13</v>
      </c>
      <c r="M570" s="26"/>
      <c r="N570" s="17"/>
      <c r="O570" s="9">
        <f t="shared" si="75"/>
        <v>-17.7</v>
      </c>
      <c r="P570" s="8">
        <f>D566/B566*10^(O570/10)</f>
        <v>2.6605817221900638</v>
      </c>
      <c r="Q570" s="26"/>
      <c r="R570" s="17"/>
      <c r="S570" s="19"/>
      <c r="T570" s="17"/>
      <c r="U570" s="22"/>
    </row>
    <row r="571" spans="1:21" x14ac:dyDescent="0.25">
      <c r="A571" s="24"/>
      <c r="B571" s="24"/>
      <c r="C571" s="17"/>
      <c r="D571" s="24"/>
      <c r="E571" s="24"/>
      <c r="F571" s="25"/>
      <c r="G571" s="1">
        <v>5625</v>
      </c>
      <c r="H571" s="2">
        <v>99.5</v>
      </c>
      <c r="I571" s="2">
        <v>-15</v>
      </c>
      <c r="J571" s="2">
        <v>-20.8</v>
      </c>
      <c r="K571" s="2">
        <f t="shared" si="73"/>
        <v>-15</v>
      </c>
      <c r="L571" s="8">
        <f t="shared" si="77"/>
        <v>3.5481338923357515E-12</v>
      </c>
      <c r="M571" s="26"/>
      <c r="N571" s="17"/>
      <c r="O571" s="9">
        <f t="shared" si="75"/>
        <v>-20.8</v>
      </c>
      <c r="P571" s="8">
        <f>D566/B566*10^(O571/10)</f>
        <v>1.3030965747275172</v>
      </c>
      <c r="Q571" s="26"/>
      <c r="R571" s="17"/>
      <c r="S571" s="20"/>
      <c r="T571" s="17"/>
      <c r="U571" s="23"/>
    </row>
    <row r="572" spans="1:21" x14ac:dyDescent="0.25">
      <c r="A572" s="24">
        <v>8000</v>
      </c>
      <c r="B572" s="24">
        <v>3</v>
      </c>
      <c r="C572" s="17">
        <v>0.5</v>
      </c>
      <c r="D572" s="24">
        <v>943</v>
      </c>
      <c r="E572" s="24">
        <v>6</v>
      </c>
      <c r="F572" s="25">
        <v>54</v>
      </c>
      <c r="G572" s="1">
        <v>6025</v>
      </c>
      <c r="H572" s="2">
        <v>95</v>
      </c>
      <c r="I572" s="2">
        <v>-18.899999999999999</v>
      </c>
      <c r="J572" s="2">
        <v>-22.5</v>
      </c>
      <c r="K572" s="2">
        <f t="shared" si="73"/>
        <v>-18.899999999999999</v>
      </c>
      <c r="L572" s="8">
        <f t="shared" si="77"/>
        <v>4.0738027780411076E-12</v>
      </c>
      <c r="M572" s="26">
        <f>SUM(L572:L577)</f>
        <v>1.5904149607971125E-10</v>
      </c>
      <c r="N572" s="17">
        <f>10*LOG10(M572/E572)</f>
        <v>-105.76640797967559</v>
      </c>
      <c r="O572" s="9">
        <f t="shared" si="75"/>
        <v>-22.5</v>
      </c>
      <c r="P572" s="8">
        <f>D572/B572*10^(O572/10)</f>
        <v>1.7676262321816625</v>
      </c>
      <c r="Q572" s="26">
        <f>SUM(P572:P577)</f>
        <v>15.317743077343639</v>
      </c>
      <c r="R572" s="17">
        <f>10*LOG10(Q572)</f>
        <v>11.851947808800411</v>
      </c>
      <c r="S572" s="18">
        <f>F572+N572-Kzt-H</f>
        <v>-51.766407979675591</v>
      </c>
      <c r="T572" s="17">
        <v>0.7</v>
      </c>
      <c r="U572" s="21">
        <f>T572*10^((S572-R572)/10)</f>
        <v>3.0427233070250154E-7</v>
      </c>
    </row>
    <row r="573" spans="1:21" x14ac:dyDescent="0.25">
      <c r="A573" s="24"/>
      <c r="B573" s="24"/>
      <c r="C573" s="17"/>
      <c r="D573" s="24"/>
      <c r="E573" s="24"/>
      <c r="F573" s="25"/>
      <c r="G573" s="1">
        <v>7025</v>
      </c>
      <c r="H573" s="2">
        <v>94.8</v>
      </c>
      <c r="I573" s="2">
        <v>-19.600000000000001</v>
      </c>
      <c r="J573" s="2">
        <v>-20.5</v>
      </c>
      <c r="K573" s="2">
        <f t="shared" si="73"/>
        <v>-19.600000000000001</v>
      </c>
      <c r="L573" s="8">
        <f t="shared" si="77"/>
        <v>3.6307805477009972E-12</v>
      </c>
      <c r="M573" s="26"/>
      <c r="N573" s="17"/>
      <c r="O573" s="9">
        <f t="shared" si="75"/>
        <v>-20.5</v>
      </c>
      <c r="P573" s="8">
        <f>D572/B572*10^(O573/10)</f>
        <v>2.8014987822004067</v>
      </c>
      <c r="Q573" s="26"/>
      <c r="R573" s="17"/>
      <c r="S573" s="19"/>
      <c r="T573" s="17"/>
      <c r="U573" s="22"/>
    </row>
    <row r="574" spans="1:21" x14ac:dyDescent="0.25">
      <c r="A574" s="24"/>
      <c r="B574" s="24"/>
      <c r="C574" s="17"/>
      <c r="D574" s="24"/>
      <c r="E574" s="24"/>
      <c r="F574" s="25"/>
      <c r="G574" s="1">
        <v>8025</v>
      </c>
      <c r="H574" s="2">
        <v>101.9</v>
      </c>
      <c r="I574" s="2">
        <v>-16</v>
      </c>
      <c r="J574" s="2">
        <v>-20.399999999999999</v>
      </c>
      <c r="K574" s="2">
        <f t="shared" si="73"/>
        <v>-16</v>
      </c>
      <c r="L574" s="8">
        <f t="shared" si="77"/>
        <v>1.6218100973589226E-12</v>
      </c>
      <c r="M574" s="26"/>
      <c r="N574" s="17"/>
      <c r="O574" s="9">
        <f t="shared" si="75"/>
        <v>-20.399999999999999</v>
      </c>
      <c r="P574" s="8">
        <f>D572/B572*10^(O574/10)</f>
        <v>2.8667540717087401</v>
      </c>
      <c r="Q574" s="26"/>
      <c r="R574" s="17"/>
      <c r="S574" s="19"/>
      <c r="T574" s="17"/>
      <c r="U574" s="22"/>
    </row>
    <row r="575" spans="1:21" x14ac:dyDescent="0.25">
      <c r="A575" s="24"/>
      <c r="B575" s="24"/>
      <c r="C575" s="17"/>
      <c r="D575" s="24"/>
      <c r="E575" s="24"/>
      <c r="F575" s="25"/>
      <c r="G575" s="1">
        <v>9025</v>
      </c>
      <c r="H575" s="2">
        <v>93.2</v>
      </c>
      <c r="I575" s="2">
        <v>-16.600000000000001</v>
      </c>
      <c r="J575" s="2">
        <v>-21.1</v>
      </c>
      <c r="K575" s="2">
        <f t="shared" si="73"/>
        <v>-16.600000000000001</v>
      </c>
      <c r="L575" s="8">
        <f t="shared" si="77"/>
        <v>1.0471285480508978E-11</v>
      </c>
      <c r="M575" s="26"/>
      <c r="N575" s="17"/>
      <c r="O575" s="9">
        <f t="shared" si="75"/>
        <v>-21.1</v>
      </c>
      <c r="P575" s="8">
        <f>D572/B572*10^(O575/10)</f>
        <v>2.4400034366028516</v>
      </c>
      <c r="Q575" s="26"/>
      <c r="R575" s="17"/>
      <c r="S575" s="19"/>
      <c r="T575" s="17"/>
      <c r="U575" s="22"/>
    </row>
    <row r="576" spans="1:21" x14ac:dyDescent="0.25">
      <c r="A576" s="24"/>
      <c r="B576" s="24"/>
      <c r="C576" s="17"/>
      <c r="D576" s="24"/>
      <c r="E576" s="24"/>
      <c r="F576" s="25"/>
      <c r="G576" s="1">
        <v>10025</v>
      </c>
      <c r="H576" s="2">
        <v>88.3</v>
      </c>
      <c r="I576" s="2">
        <v>-14.7</v>
      </c>
      <c r="J576" s="2">
        <v>-21.5</v>
      </c>
      <c r="K576" s="2">
        <f t="shared" si="73"/>
        <v>-14.7</v>
      </c>
      <c r="L576" s="8">
        <f t="shared" si="77"/>
        <v>5.0118723362726993E-11</v>
      </c>
      <c r="M576" s="26"/>
      <c r="N576" s="17"/>
      <c r="O576" s="9">
        <f t="shared" si="75"/>
        <v>-21.5</v>
      </c>
      <c r="P576" s="8">
        <f>D572/B572*10^(O576/10)</f>
        <v>2.2253095822474735</v>
      </c>
      <c r="Q576" s="26"/>
      <c r="R576" s="17"/>
      <c r="S576" s="19"/>
      <c r="T576" s="17"/>
      <c r="U576" s="22"/>
    </row>
    <row r="577" spans="1:21" x14ac:dyDescent="0.25">
      <c r="A577" s="24"/>
      <c r="B577" s="24"/>
      <c r="C577" s="17"/>
      <c r="D577" s="24"/>
      <c r="E577" s="24"/>
      <c r="F577" s="25"/>
      <c r="G577" s="1">
        <v>11025</v>
      </c>
      <c r="H577" s="2">
        <v>86</v>
      </c>
      <c r="I577" s="2">
        <v>-14.5</v>
      </c>
      <c r="J577" s="2">
        <v>-19.899999999999999</v>
      </c>
      <c r="K577" s="2">
        <f t="shared" si="73"/>
        <v>-14.5</v>
      </c>
      <c r="L577" s="8">
        <f t="shared" si="77"/>
        <v>8.9125093813374255E-11</v>
      </c>
      <c r="M577" s="26"/>
      <c r="N577" s="17"/>
      <c r="O577" s="9">
        <f t="shared" si="75"/>
        <v>-19.899999999999999</v>
      </c>
      <c r="P577" s="8">
        <f>D572/B572*10^(O577/10)</f>
        <v>3.2165509724025045</v>
      </c>
      <c r="Q577" s="26"/>
      <c r="R577" s="17"/>
      <c r="S577" s="20"/>
      <c r="T577" s="17"/>
      <c r="U577" s="23"/>
    </row>
    <row r="578" spans="1:21" x14ac:dyDescent="0.25">
      <c r="A578" s="24" t="s">
        <v>20</v>
      </c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12">
        <f>U578</f>
        <v>5.9595069157395958E-2</v>
      </c>
      <c r="T578" s="2"/>
      <c r="U578" s="8">
        <f>0.8*SQRT(SUM(U544:U577))</f>
        <v>5.9595069157395958E-2</v>
      </c>
    </row>
    <row r="579" spans="1:21" x14ac:dyDescent="0.25">
      <c r="A579" s="27" t="s">
        <v>108</v>
      </c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9"/>
    </row>
    <row r="580" spans="1:21" x14ac:dyDescent="0.25">
      <c r="A580" s="24">
        <v>250</v>
      </c>
      <c r="B580" s="24">
        <v>3</v>
      </c>
      <c r="C580" s="17">
        <v>0.5</v>
      </c>
      <c r="D580" s="24">
        <v>38</v>
      </c>
      <c r="E580" s="24">
        <v>4</v>
      </c>
      <c r="F580" s="25">
        <v>84</v>
      </c>
      <c r="G580" s="1">
        <v>175</v>
      </c>
      <c r="H580" s="2">
        <v>84.8</v>
      </c>
      <c r="I580" s="2">
        <v>-7.8</v>
      </c>
      <c r="J580" s="2">
        <v>-9</v>
      </c>
      <c r="K580" s="2">
        <f>I580</f>
        <v>-7.8</v>
      </c>
      <c r="L580" s="8">
        <f>10^((K580-H580)/10)</f>
        <v>5.495408738576243E-10</v>
      </c>
      <c r="M580" s="26">
        <f>SUM(L580:L583)</f>
        <v>6.6181599509809074E-10</v>
      </c>
      <c r="N580" s="17">
        <f>10*LOG10(M580/E580)</f>
        <v>-97.813227321322742</v>
      </c>
      <c r="O580" s="9">
        <f>J580</f>
        <v>-9</v>
      </c>
      <c r="P580" s="8">
        <f>D580/B580*10^(O580/10)</f>
        <v>1.5946388549392778</v>
      </c>
      <c r="Q580" s="26">
        <f>SUM(P580:P583)</f>
        <v>2.9331395564910236</v>
      </c>
      <c r="R580" s="17">
        <f>10*LOG10(Q580)</f>
        <v>4.6733272686465961</v>
      </c>
      <c r="S580" s="18">
        <f>F580+N580-Kzt-H</f>
        <v>-13.813227321322742</v>
      </c>
      <c r="T580" s="17">
        <v>0.2</v>
      </c>
      <c r="U580" s="21">
        <f>T580*10^((S580-R580)/10)</f>
        <v>2.8338348486760603E-3</v>
      </c>
    </row>
    <row r="581" spans="1:21" x14ac:dyDescent="0.25">
      <c r="A581" s="24"/>
      <c r="B581" s="24"/>
      <c r="C581" s="17"/>
      <c r="D581" s="24"/>
      <c r="E581" s="24"/>
      <c r="F581" s="25"/>
      <c r="G581" s="1">
        <v>225</v>
      </c>
      <c r="H581" s="2">
        <v>90</v>
      </c>
      <c r="I581" s="2">
        <v>-13</v>
      </c>
      <c r="J581" s="2">
        <v>-16.399999999999999</v>
      </c>
      <c r="K581" s="2">
        <f t="shared" ref="K581:K613" si="78">I581</f>
        <v>-13</v>
      </c>
      <c r="L581" s="8">
        <f t="shared" ref="L581:L582" si="79">10^((K581-H581)/10)</f>
        <v>5.0118723362726993E-11</v>
      </c>
      <c r="M581" s="26"/>
      <c r="N581" s="17"/>
      <c r="O581" s="9">
        <f t="shared" ref="O581:O613" si="80">J581</f>
        <v>-16.399999999999999</v>
      </c>
      <c r="P581" s="8">
        <f>D580/B580*10^(O581/10)</f>
        <v>0.2901765693505845</v>
      </c>
      <c r="Q581" s="26"/>
      <c r="R581" s="17"/>
      <c r="S581" s="19"/>
      <c r="T581" s="17"/>
      <c r="U581" s="22"/>
    </row>
    <row r="582" spans="1:21" x14ac:dyDescent="0.25">
      <c r="A582" s="24"/>
      <c r="B582" s="24"/>
      <c r="C582" s="17"/>
      <c r="D582" s="24"/>
      <c r="E582" s="24"/>
      <c r="F582" s="25"/>
      <c r="G582" s="1">
        <v>275</v>
      </c>
      <c r="H582" s="2">
        <v>92.2</v>
      </c>
      <c r="I582" s="2">
        <v>-14.9</v>
      </c>
      <c r="J582" s="2">
        <v>-17.399999999999999</v>
      </c>
      <c r="K582" s="2">
        <f t="shared" si="78"/>
        <v>-14.9</v>
      </c>
      <c r="L582" s="8">
        <f t="shared" si="79"/>
        <v>1.9498445997580369E-11</v>
      </c>
      <c r="M582" s="26"/>
      <c r="N582" s="17"/>
      <c r="O582" s="9">
        <f t="shared" si="80"/>
        <v>-17.399999999999999</v>
      </c>
      <c r="P582" s="8">
        <f>D580/B580*10^(O582/10)</f>
        <v>0.23049544209059783</v>
      </c>
      <c r="Q582" s="26"/>
      <c r="R582" s="17"/>
      <c r="S582" s="19"/>
      <c r="T582" s="17"/>
      <c r="U582" s="22"/>
    </row>
    <row r="583" spans="1:21" x14ac:dyDescent="0.25">
      <c r="A583" s="24"/>
      <c r="B583" s="24"/>
      <c r="C583" s="17"/>
      <c r="D583" s="24"/>
      <c r="E583" s="24"/>
      <c r="F583" s="25"/>
      <c r="G583" s="1">
        <v>325</v>
      </c>
      <c r="H583" s="2">
        <v>93.3</v>
      </c>
      <c r="I583" s="2">
        <v>-10.4</v>
      </c>
      <c r="J583" s="2">
        <v>-11.9</v>
      </c>
      <c r="K583" s="2">
        <f t="shared" si="78"/>
        <v>-10.4</v>
      </c>
      <c r="L583" s="8">
        <f>10^((K583-H583)/10)</f>
        <v>4.2657951880159099E-11</v>
      </c>
      <c r="M583" s="26"/>
      <c r="N583" s="17"/>
      <c r="O583" s="9">
        <f t="shared" si="80"/>
        <v>-11.9</v>
      </c>
      <c r="P583" s="8">
        <f>D580/B580*10^(O583/10)</f>
        <v>0.81782869011056336</v>
      </c>
      <c r="Q583" s="26"/>
      <c r="R583" s="17"/>
      <c r="S583" s="20"/>
      <c r="T583" s="17"/>
      <c r="U583" s="23"/>
    </row>
    <row r="584" spans="1:21" x14ac:dyDescent="0.25">
      <c r="A584" s="24">
        <v>500</v>
      </c>
      <c r="B584" s="24">
        <v>3</v>
      </c>
      <c r="C584" s="17">
        <v>0.5</v>
      </c>
      <c r="D584" s="24">
        <v>59</v>
      </c>
      <c r="E584" s="24">
        <v>6</v>
      </c>
      <c r="F584" s="25">
        <v>84</v>
      </c>
      <c r="G584" s="1">
        <v>375</v>
      </c>
      <c r="H584" s="2">
        <v>91.9</v>
      </c>
      <c r="I584" s="2">
        <v>-9.9</v>
      </c>
      <c r="J584" s="2">
        <v>-11.6</v>
      </c>
      <c r="K584" s="2">
        <f t="shared" si="78"/>
        <v>-9.9</v>
      </c>
      <c r="L584" s="8">
        <f t="shared" ref="L584:L585" si="81">10^((K584-H584)/10)</f>
        <v>6.6069344800759217E-11</v>
      </c>
      <c r="M584" s="26">
        <f>SUM(L584:L589)</f>
        <v>2.4381897903870275E-10</v>
      </c>
      <c r="N584" s="17">
        <f>10*LOG10(M584/E584)</f>
        <v>-103.91083742001315</v>
      </c>
      <c r="O584" s="9">
        <f t="shared" si="80"/>
        <v>-11.6</v>
      </c>
      <c r="P584" s="8">
        <f>D584/B584*10^(O584/10)</f>
        <v>1.3606009094739084</v>
      </c>
      <c r="Q584" s="26">
        <f>SUM(P584:P589)</f>
        <v>3.6434649480986083</v>
      </c>
      <c r="R584" s="17">
        <f>10*LOG10(Q584)</f>
        <v>5.6151459575718068</v>
      </c>
      <c r="S584" s="18">
        <f>F584+N584-Kzt-H</f>
        <v>-19.910837420013152</v>
      </c>
      <c r="T584" s="17">
        <v>0.5</v>
      </c>
      <c r="U584" s="21">
        <f>T584*10^((S584-R584)/10)</f>
        <v>1.4007855935585199E-3</v>
      </c>
    </row>
    <row r="585" spans="1:21" x14ac:dyDescent="0.25">
      <c r="A585" s="24"/>
      <c r="B585" s="24"/>
      <c r="C585" s="17"/>
      <c r="D585" s="24"/>
      <c r="E585" s="24"/>
      <c r="F585" s="25"/>
      <c r="G585" s="1">
        <v>425</v>
      </c>
      <c r="H585" s="2">
        <v>88.1</v>
      </c>
      <c r="I585" s="2">
        <v>-12.1</v>
      </c>
      <c r="J585" s="2">
        <v>-14.3</v>
      </c>
      <c r="K585" s="2">
        <f t="shared" si="78"/>
        <v>-12.1</v>
      </c>
      <c r="L585" s="8">
        <f t="shared" si="81"/>
        <v>9.5499258602143585E-11</v>
      </c>
      <c r="M585" s="26"/>
      <c r="N585" s="17"/>
      <c r="O585" s="9">
        <f t="shared" si="80"/>
        <v>-14.3</v>
      </c>
      <c r="P585" s="8">
        <f>D584/B584*10^(O585/10)</f>
        <v>0.7306859505577723</v>
      </c>
      <c r="Q585" s="26"/>
      <c r="R585" s="17"/>
      <c r="S585" s="19"/>
      <c r="T585" s="17"/>
      <c r="U585" s="22"/>
    </row>
    <row r="586" spans="1:21" x14ac:dyDescent="0.25">
      <c r="A586" s="24"/>
      <c r="B586" s="24"/>
      <c r="C586" s="17"/>
      <c r="D586" s="24"/>
      <c r="E586" s="24"/>
      <c r="F586" s="25"/>
      <c r="G586" s="1">
        <v>475</v>
      </c>
      <c r="H586" s="2">
        <v>90</v>
      </c>
      <c r="I586" s="2">
        <v>-13.7</v>
      </c>
      <c r="J586" s="2">
        <v>-14.9</v>
      </c>
      <c r="K586" s="2">
        <f t="shared" si="78"/>
        <v>-13.7</v>
      </c>
      <c r="L586" s="8">
        <f>10^((K586-H586)/10)</f>
        <v>4.2657951880159099E-11</v>
      </c>
      <c r="M586" s="26"/>
      <c r="N586" s="17"/>
      <c r="O586" s="9">
        <f t="shared" si="80"/>
        <v>-14.9</v>
      </c>
      <c r="P586" s="8">
        <f>D584/B584*10^(O586/10)</f>
        <v>0.63640085862826867</v>
      </c>
      <c r="Q586" s="26"/>
      <c r="R586" s="17"/>
      <c r="S586" s="19"/>
      <c r="T586" s="17"/>
      <c r="U586" s="22"/>
    </row>
    <row r="587" spans="1:21" x14ac:dyDescent="0.25">
      <c r="A587" s="24"/>
      <c r="B587" s="24"/>
      <c r="C587" s="17"/>
      <c r="D587" s="24"/>
      <c r="E587" s="24"/>
      <c r="F587" s="25"/>
      <c r="G587" s="1">
        <v>575</v>
      </c>
      <c r="H587" s="2">
        <v>97</v>
      </c>
      <c r="I587" s="2">
        <v>-15.6</v>
      </c>
      <c r="J587" s="2">
        <v>-18.399999999999999</v>
      </c>
      <c r="K587" s="2">
        <f t="shared" si="78"/>
        <v>-15.6</v>
      </c>
      <c r="L587" s="8">
        <f t="shared" ref="L587:L613" si="82">10^((K587-H587)/10)</f>
        <v>5.4954087385762314E-12</v>
      </c>
      <c r="M587" s="26"/>
      <c r="N587" s="17"/>
      <c r="O587" s="9">
        <f t="shared" si="80"/>
        <v>-18.399999999999999</v>
      </c>
      <c r="P587" s="8">
        <f>D584/B584*10^(O587/10)</f>
        <v>0.28426982158003239</v>
      </c>
      <c r="Q587" s="26"/>
      <c r="R587" s="17"/>
      <c r="S587" s="19"/>
      <c r="T587" s="17"/>
      <c r="U587" s="22"/>
    </row>
    <row r="588" spans="1:21" x14ac:dyDescent="0.25">
      <c r="A588" s="24"/>
      <c r="B588" s="24"/>
      <c r="C588" s="17"/>
      <c r="D588" s="24"/>
      <c r="E588" s="24"/>
      <c r="F588" s="25"/>
      <c r="G588" s="1">
        <v>625</v>
      </c>
      <c r="H588" s="2">
        <v>92</v>
      </c>
      <c r="I588" s="2">
        <v>-14.1</v>
      </c>
      <c r="J588" s="2">
        <v>-16.600000000000001</v>
      </c>
      <c r="K588" s="2">
        <f t="shared" si="78"/>
        <v>-14.1</v>
      </c>
      <c r="L588" s="8">
        <f t="shared" si="82"/>
        <v>2.4547089156850264E-11</v>
      </c>
      <c r="M588" s="26"/>
      <c r="N588" s="17"/>
      <c r="O588" s="9">
        <f t="shared" si="80"/>
        <v>-16.600000000000001</v>
      </c>
      <c r="P588" s="8">
        <f>D584/B584*10^(O588/10)</f>
        <v>0.43025978604341175</v>
      </c>
      <c r="Q588" s="26"/>
      <c r="R588" s="17"/>
      <c r="S588" s="19"/>
      <c r="T588" s="17"/>
      <c r="U588" s="22"/>
    </row>
    <row r="589" spans="1:21" x14ac:dyDescent="0.25">
      <c r="A589" s="24"/>
      <c r="B589" s="24"/>
      <c r="C589" s="17"/>
      <c r="D589" s="24"/>
      <c r="E589" s="24"/>
      <c r="F589" s="25"/>
      <c r="G589" s="1">
        <v>675</v>
      </c>
      <c r="H589" s="2">
        <v>94.5</v>
      </c>
      <c r="I589" s="2">
        <v>-15.7</v>
      </c>
      <c r="J589" s="2">
        <v>-19.899999999999999</v>
      </c>
      <c r="K589" s="2">
        <f t="shared" si="78"/>
        <v>-15.7</v>
      </c>
      <c r="L589" s="8">
        <f t="shared" si="82"/>
        <v>9.5499258602143472E-12</v>
      </c>
      <c r="M589" s="26"/>
      <c r="N589" s="17"/>
      <c r="O589" s="9">
        <f t="shared" si="80"/>
        <v>-19.899999999999999</v>
      </c>
      <c r="P589" s="8">
        <f>D584/B584*10^(O589/10)</f>
        <v>0.20124762181521505</v>
      </c>
      <c r="Q589" s="26"/>
      <c r="R589" s="17"/>
      <c r="S589" s="20"/>
      <c r="T589" s="17"/>
      <c r="U589" s="23"/>
    </row>
    <row r="590" spans="1:21" x14ac:dyDescent="0.25">
      <c r="A590" s="24">
        <v>1000</v>
      </c>
      <c r="B590" s="24">
        <v>3</v>
      </c>
      <c r="C590" s="17">
        <v>0.5</v>
      </c>
      <c r="D590" s="24">
        <v>117</v>
      </c>
      <c r="E590" s="24">
        <v>6</v>
      </c>
      <c r="F590" s="25">
        <v>76</v>
      </c>
      <c r="G590" s="1">
        <v>875</v>
      </c>
      <c r="H590" s="2">
        <v>91.1</v>
      </c>
      <c r="I590" s="2">
        <v>-14.1</v>
      </c>
      <c r="J590" s="2">
        <v>-18.3</v>
      </c>
      <c r="K590" s="2">
        <f t="shared" si="78"/>
        <v>-14.1</v>
      </c>
      <c r="L590" s="8">
        <f t="shared" si="82"/>
        <v>3.0199517204020087E-11</v>
      </c>
      <c r="M590" s="26">
        <f>SUM(L590:L595)</f>
        <v>6.0357722155724986E-11</v>
      </c>
      <c r="N590" s="17">
        <f>10*LOG10(M590/E590)</f>
        <v>-109.97418408840494</v>
      </c>
      <c r="O590" s="9">
        <f t="shared" si="80"/>
        <v>-18.3</v>
      </c>
      <c r="P590" s="8">
        <f>D590/B590*10^(O590/10)</f>
        <v>0.5768522713856008</v>
      </c>
      <c r="Q590" s="26">
        <f>SUM(P590:P595)</f>
        <v>5.9453191569686688</v>
      </c>
      <c r="R590" s="17">
        <f>10*LOG10(Q590)</f>
        <v>7.741751734021288</v>
      </c>
      <c r="S590" s="18">
        <f>F590+N590-Kzt-H</f>
        <v>-33.97418408840494</v>
      </c>
      <c r="T590" s="17">
        <v>0.8</v>
      </c>
      <c r="U590" s="21">
        <f>T590*10^((S590-R590)/10)</f>
        <v>5.3888538426188898E-5</v>
      </c>
    </row>
    <row r="591" spans="1:21" x14ac:dyDescent="0.25">
      <c r="A591" s="24"/>
      <c r="B591" s="24"/>
      <c r="C591" s="17"/>
      <c r="D591" s="24"/>
      <c r="E591" s="24"/>
      <c r="F591" s="25"/>
      <c r="G591" s="1">
        <v>975</v>
      </c>
      <c r="H591" s="2">
        <v>96.5</v>
      </c>
      <c r="I591" s="2">
        <v>-14.2</v>
      </c>
      <c r="J591" s="2">
        <v>-16.100000000000001</v>
      </c>
      <c r="K591" s="2">
        <f t="shared" si="78"/>
        <v>-14.2</v>
      </c>
      <c r="L591" s="8">
        <f t="shared" si="82"/>
        <v>8.5113803820237273E-12</v>
      </c>
      <c r="M591" s="26"/>
      <c r="N591" s="17"/>
      <c r="O591" s="9">
        <f t="shared" si="80"/>
        <v>-16.100000000000001</v>
      </c>
      <c r="P591" s="8">
        <f>D590/B590*10^(O591/10)</f>
        <v>0.95733647711716119</v>
      </c>
      <c r="Q591" s="26"/>
      <c r="R591" s="17"/>
      <c r="S591" s="19"/>
      <c r="T591" s="17"/>
      <c r="U591" s="22"/>
    </row>
    <row r="592" spans="1:21" x14ac:dyDescent="0.25">
      <c r="A592" s="24"/>
      <c r="B592" s="24"/>
      <c r="C592" s="17"/>
      <c r="D592" s="24"/>
      <c r="E592" s="24"/>
      <c r="F592" s="25"/>
      <c r="G592" s="1">
        <v>1075</v>
      </c>
      <c r="H592" s="2">
        <v>94.6</v>
      </c>
      <c r="I592" s="2">
        <v>-17.399999999999999</v>
      </c>
      <c r="J592" s="2">
        <v>-18.5</v>
      </c>
      <c r="K592" s="2">
        <f t="shared" si="78"/>
        <v>-17.399999999999999</v>
      </c>
      <c r="L592" s="8">
        <f t="shared" si="82"/>
        <v>6.3095734448019345E-12</v>
      </c>
      <c r="M592" s="26"/>
      <c r="N592" s="17"/>
      <c r="O592" s="9">
        <f t="shared" si="80"/>
        <v>-18.5</v>
      </c>
      <c r="P592" s="8">
        <f>D590/B590*10^(O592/10)</f>
        <v>0.55088964240287364</v>
      </c>
      <c r="Q592" s="26"/>
      <c r="R592" s="17"/>
      <c r="S592" s="19"/>
      <c r="T592" s="17"/>
      <c r="U592" s="22"/>
    </row>
    <row r="593" spans="1:21" x14ac:dyDescent="0.25">
      <c r="A593" s="24"/>
      <c r="B593" s="24"/>
      <c r="C593" s="17"/>
      <c r="D593" s="24"/>
      <c r="E593" s="24"/>
      <c r="F593" s="25"/>
      <c r="G593" s="1">
        <v>1175</v>
      </c>
      <c r="H593" s="2">
        <v>97.8</v>
      </c>
      <c r="I593" s="2">
        <v>-14</v>
      </c>
      <c r="J593" s="2">
        <v>-17.399999999999999</v>
      </c>
      <c r="K593" s="2">
        <f t="shared" si="78"/>
        <v>-14</v>
      </c>
      <c r="L593" s="8">
        <f t="shared" si="82"/>
        <v>6.6069344800759387E-12</v>
      </c>
      <c r="M593" s="26"/>
      <c r="N593" s="17"/>
      <c r="O593" s="9">
        <f t="shared" si="80"/>
        <v>-17.399999999999999</v>
      </c>
      <c r="P593" s="8">
        <f>D590/B590*10^(O593/10)</f>
        <v>0.70968333485789337</v>
      </c>
      <c r="Q593" s="26"/>
      <c r="R593" s="17"/>
      <c r="S593" s="19"/>
      <c r="T593" s="17"/>
      <c r="U593" s="22"/>
    </row>
    <row r="594" spans="1:21" x14ac:dyDescent="0.25">
      <c r="A594" s="24"/>
      <c r="B594" s="24"/>
      <c r="C594" s="17"/>
      <c r="D594" s="24"/>
      <c r="E594" s="24"/>
      <c r="F594" s="25"/>
      <c r="G594" s="1">
        <v>1275</v>
      </c>
      <c r="H594" s="2">
        <v>100.1</v>
      </c>
      <c r="I594" s="2">
        <v>-13.5</v>
      </c>
      <c r="J594" s="2">
        <v>-17.899999999999999</v>
      </c>
      <c r="K594" s="2">
        <f t="shared" si="78"/>
        <v>-13.5</v>
      </c>
      <c r="L594" s="8">
        <f t="shared" si="82"/>
        <v>4.3651583224016522E-12</v>
      </c>
      <c r="M594" s="26"/>
      <c r="N594" s="17"/>
      <c r="O594" s="9">
        <f t="shared" si="80"/>
        <v>-17.899999999999999</v>
      </c>
      <c r="P594" s="8">
        <f>D590/B590*10^(O594/10)</f>
        <v>0.63250593796998289</v>
      </c>
      <c r="Q594" s="26"/>
      <c r="R594" s="17"/>
      <c r="S594" s="19"/>
      <c r="T594" s="17"/>
      <c r="U594" s="22"/>
    </row>
    <row r="595" spans="1:21" x14ac:dyDescent="0.25">
      <c r="A595" s="24"/>
      <c r="B595" s="24"/>
      <c r="C595" s="17"/>
      <c r="D595" s="24"/>
      <c r="E595" s="24"/>
      <c r="F595" s="25"/>
      <c r="G595" s="1">
        <v>1375</v>
      </c>
      <c r="H595" s="2">
        <v>103</v>
      </c>
      <c r="I595" s="2">
        <v>-10.6</v>
      </c>
      <c r="J595" s="2">
        <v>-11.9</v>
      </c>
      <c r="K595" s="2">
        <f t="shared" si="78"/>
        <v>-10.6</v>
      </c>
      <c r="L595" s="8">
        <f t="shared" si="82"/>
        <v>4.3651583224016522E-12</v>
      </c>
      <c r="M595" s="26"/>
      <c r="N595" s="17"/>
      <c r="O595" s="9">
        <f t="shared" si="80"/>
        <v>-11.9</v>
      </c>
      <c r="P595" s="8">
        <f>D590/B590*10^(O595/10)</f>
        <v>2.5180514932351561</v>
      </c>
      <c r="Q595" s="26"/>
      <c r="R595" s="17"/>
      <c r="S595" s="20"/>
      <c r="T595" s="17"/>
      <c r="U595" s="23"/>
    </row>
    <row r="596" spans="1:21" x14ac:dyDescent="0.25">
      <c r="A596" s="24">
        <v>2000</v>
      </c>
      <c r="B596" s="24">
        <v>3</v>
      </c>
      <c r="C596" s="17">
        <v>0.5</v>
      </c>
      <c r="D596" s="24">
        <v>234</v>
      </c>
      <c r="E596" s="24">
        <v>6</v>
      </c>
      <c r="F596" s="25">
        <v>68</v>
      </c>
      <c r="G596" s="1">
        <v>1425</v>
      </c>
      <c r="H596" s="2">
        <v>102.8</v>
      </c>
      <c r="I596" s="2">
        <v>-8.6</v>
      </c>
      <c r="J596" s="2">
        <v>-21.5</v>
      </c>
      <c r="K596" s="2">
        <f t="shared" si="78"/>
        <v>-8.6</v>
      </c>
      <c r="L596" s="8">
        <f t="shared" si="82"/>
        <v>7.2443596007498992E-12</v>
      </c>
      <c r="M596" s="26">
        <f>SUM(L596:L601)</f>
        <v>3.3666596633561611E-11</v>
      </c>
      <c r="N596" s="17">
        <f>10*LOG10(M596/E596)</f>
        <v>-112.5095203473718</v>
      </c>
      <c r="O596" s="9">
        <f t="shared" si="80"/>
        <v>-21.5</v>
      </c>
      <c r="P596" s="8">
        <f>D596/B596*10^(O596/10)</f>
        <v>0.55219771181962762</v>
      </c>
      <c r="Q596" s="26">
        <f>SUM(P596:P601)</f>
        <v>4.0838812629032724</v>
      </c>
      <c r="R596" s="17">
        <f>10*LOG10(Q596)</f>
        <v>6.1107310667257568</v>
      </c>
      <c r="S596" s="18">
        <f>F596+N596-Kzt-H</f>
        <v>-44.509520347371804</v>
      </c>
      <c r="T596" s="17">
        <v>1</v>
      </c>
      <c r="U596" s="21">
        <f>T596*10^((S596-R596)/10)</f>
        <v>8.6691168858390063E-6</v>
      </c>
    </row>
    <row r="597" spans="1:21" x14ac:dyDescent="0.25">
      <c r="A597" s="24"/>
      <c r="B597" s="24"/>
      <c r="C597" s="17"/>
      <c r="D597" s="24"/>
      <c r="E597" s="24"/>
      <c r="F597" s="25"/>
      <c r="G597" s="1">
        <v>1625</v>
      </c>
      <c r="H597" s="2">
        <v>104.1</v>
      </c>
      <c r="I597" s="2">
        <v>-12.8</v>
      </c>
      <c r="J597" s="2">
        <v>-17.2</v>
      </c>
      <c r="K597" s="2">
        <f t="shared" si="78"/>
        <v>-12.8</v>
      </c>
      <c r="L597" s="8">
        <f t="shared" si="82"/>
        <v>2.0417379446695251E-12</v>
      </c>
      <c r="M597" s="26"/>
      <c r="N597" s="17"/>
      <c r="O597" s="9">
        <f t="shared" si="80"/>
        <v>-17.2</v>
      </c>
      <c r="P597" s="8">
        <f>D596/B596*10^(O597/10)</f>
        <v>1.4862593600113321</v>
      </c>
      <c r="Q597" s="26"/>
      <c r="R597" s="17"/>
      <c r="S597" s="19"/>
      <c r="T597" s="17"/>
      <c r="U597" s="22"/>
    </row>
    <row r="598" spans="1:21" x14ac:dyDescent="0.25">
      <c r="A598" s="24"/>
      <c r="B598" s="24"/>
      <c r="C598" s="17"/>
      <c r="D598" s="24"/>
      <c r="E598" s="24"/>
      <c r="F598" s="25"/>
      <c r="G598" s="1">
        <v>1825</v>
      </c>
      <c r="H598" s="2">
        <v>107.6</v>
      </c>
      <c r="I598" s="2">
        <v>-12.1</v>
      </c>
      <c r="J598" s="2">
        <v>-21.2</v>
      </c>
      <c r="K598" s="2">
        <f t="shared" si="78"/>
        <v>-12.1</v>
      </c>
      <c r="L598" s="8">
        <f t="shared" si="82"/>
        <v>1.0715193052376071E-12</v>
      </c>
      <c r="M598" s="26"/>
      <c r="N598" s="17"/>
      <c r="O598" s="9">
        <f t="shared" si="80"/>
        <v>-21.2</v>
      </c>
      <c r="P598" s="8">
        <f>D596/B596*10^(O598/10)</f>
        <v>0.59169050852276273</v>
      </c>
      <c r="Q598" s="26"/>
      <c r="R598" s="17"/>
      <c r="S598" s="19"/>
      <c r="T598" s="17"/>
      <c r="U598" s="22"/>
    </row>
    <row r="599" spans="1:21" x14ac:dyDescent="0.25">
      <c r="A599" s="24"/>
      <c r="B599" s="24"/>
      <c r="C599" s="17"/>
      <c r="D599" s="24"/>
      <c r="E599" s="24"/>
      <c r="F599" s="25"/>
      <c r="G599" s="1">
        <v>2125</v>
      </c>
      <c r="H599" s="2">
        <v>104.2</v>
      </c>
      <c r="I599" s="2">
        <v>-14.3</v>
      </c>
      <c r="J599" s="2">
        <v>-21.1</v>
      </c>
      <c r="K599" s="2">
        <f t="shared" si="78"/>
        <v>-14.3</v>
      </c>
      <c r="L599" s="8">
        <f t="shared" si="82"/>
        <v>1.4125375446227535E-12</v>
      </c>
      <c r="M599" s="26"/>
      <c r="N599" s="17"/>
      <c r="O599" s="9">
        <f t="shared" si="80"/>
        <v>-21.1</v>
      </c>
      <c r="P599" s="8">
        <f>D596/B596*10^(O599/10)</f>
        <v>0.60547275097037889</v>
      </c>
      <c r="Q599" s="26"/>
      <c r="R599" s="17"/>
      <c r="S599" s="19"/>
      <c r="T599" s="17"/>
      <c r="U599" s="22"/>
    </row>
    <row r="600" spans="1:21" x14ac:dyDescent="0.25">
      <c r="A600" s="24"/>
      <c r="B600" s="24"/>
      <c r="C600" s="17"/>
      <c r="D600" s="24"/>
      <c r="E600" s="24"/>
      <c r="F600" s="25"/>
      <c r="G600" s="1">
        <v>2425</v>
      </c>
      <c r="H600" s="2">
        <v>93.7</v>
      </c>
      <c r="I600" s="2">
        <v>-14.5</v>
      </c>
      <c r="J600" s="2">
        <v>-21.4</v>
      </c>
      <c r="K600" s="2">
        <f t="shared" si="78"/>
        <v>-14.5</v>
      </c>
      <c r="L600" s="8">
        <f t="shared" si="82"/>
        <v>1.5135612484362034E-11</v>
      </c>
      <c r="M600" s="26"/>
      <c r="N600" s="17"/>
      <c r="O600" s="9">
        <f t="shared" si="80"/>
        <v>-21.4</v>
      </c>
      <c r="P600" s="8">
        <f>D596/B596*10^(O600/10)</f>
        <v>0.56506004885849226</v>
      </c>
      <c r="Q600" s="26"/>
      <c r="R600" s="17"/>
      <c r="S600" s="19"/>
      <c r="T600" s="17"/>
      <c r="U600" s="22"/>
    </row>
    <row r="601" spans="1:21" x14ac:dyDescent="0.25">
      <c r="A601" s="24"/>
      <c r="B601" s="24"/>
      <c r="C601" s="17"/>
      <c r="D601" s="24"/>
      <c r="E601" s="24"/>
      <c r="F601" s="25"/>
      <c r="G601" s="1">
        <v>2775</v>
      </c>
      <c r="H601" s="2">
        <v>100.2</v>
      </c>
      <c r="I601" s="2">
        <v>-11.5</v>
      </c>
      <c r="J601" s="2">
        <v>-24.4</v>
      </c>
      <c r="K601" s="2">
        <f t="shared" si="78"/>
        <v>-11.5</v>
      </c>
      <c r="L601" s="8">
        <f t="shared" si="82"/>
        <v>6.7608297539197943E-12</v>
      </c>
      <c r="M601" s="26"/>
      <c r="N601" s="17"/>
      <c r="O601" s="9">
        <f t="shared" si="80"/>
        <v>-24.4</v>
      </c>
      <c r="P601" s="8">
        <f>D596/B596*10^(O601/10)</f>
        <v>0.28320088272067884</v>
      </c>
      <c r="Q601" s="26"/>
      <c r="R601" s="17"/>
      <c r="S601" s="20"/>
      <c r="T601" s="17"/>
      <c r="U601" s="23"/>
    </row>
    <row r="602" spans="1:21" x14ac:dyDescent="0.25">
      <c r="A602" s="24">
        <v>4000</v>
      </c>
      <c r="B602" s="24">
        <v>3</v>
      </c>
      <c r="C602" s="17">
        <v>0.5</v>
      </c>
      <c r="D602" s="24">
        <v>470</v>
      </c>
      <c r="E602" s="24">
        <v>6</v>
      </c>
      <c r="F602" s="25">
        <v>62</v>
      </c>
      <c r="G602" s="1">
        <v>2825</v>
      </c>
      <c r="H602" s="2">
        <v>99.4</v>
      </c>
      <c r="I602" s="2">
        <v>-18.100000000000001</v>
      </c>
      <c r="J602" s="2">
        <v>-19.8</v>
      </c>
      <c r="K602" s="2">
        <f t="shared" si="78"/>
        <v>-18.100000000000001</v>
      </c>
      <c r="L602" s="8">
        <f t="shared" si="82"/>
        <v>1.7782794100389204E-12</v>
      </c>
      <c r="M602" s="26">
        <f>SUM(L602:L607)</f>
        <v>9.8944375103503205E-12</v>
      </c>
      <c r="N602" s="17">
        <f>10*LOG10(M602/E602)</f>
        <v>-117.82760140380347</v>
      </c>
      <c r="O602" s="9">
        <f t="shared" si="80"/>
        <v>-19.8</v>
      </c>
      <c r="P602" s="8">
        <f>D602/B602*10^(O602/10)</f>
        <v>1.6405013919464082</v>
      </c>
      <c r="Q602" s="26">
        <f>SUM(P602:P607)</f>
        <v>11.502710121767457</v>
      </c>
      <c r="R602" s="17">
        <f>10*LOG10(Q602)</f>
        <v>10.608001753331083</v>
      </c>
      <c r="S602" s="18">
        <f>F602+N602-Kzt-H</f>
        <v>-55.82760140380347</v>
      </c>
      <c r="T602" s="17">
        <v>0.9</v>
      </c>
      <c r="U602" s="21">
        <f>T602*10^((S602-R602)/10)</f>
        <v>2.0449476454740708E-7</v>
      </c>
    </row>
    <row r="603" spans="1:21" x14ac:dyDescent="0.25">
      <c r="A603" s="24"/>
      <c r="B603" s="24"/>
      <c r="C603" s="17"/>
      <c r="D603" s="24"/>
      <c r="E603" s="24"/>
      <c r="F603" s="25"/>
      <c r="G603" s="1">
        <v>3425</v>
      </c>
      <c r="H603" s="2">
        <v>103.5</v>
      </c>
      <c r="I603" s="2">
        <v>-15.899999999999999</v>
      </c>
      <c r="J603" s="2">
        <v>-16.899999999999999</v>
      </c>
      <c r="K603" s="2">
        <f t="shared" si="78"/>
        <v>-15.899999999999999</v>
      </c>
      <c r="L603" s="8">
        <f t="shared" si="82"/>
        <v>1.1481536214968749E-12</v>
      </c>
      <c r="M603" s="26"/>
      <c r="N603" s="17"/>
      <c r="O603" s="9">
        <f t="shared" si="80"/>
        <v>-16.899999999999999</v>
      </c>
      <c r="P603" s="8">
        <f>D602/B602*10^(O603/10)</f>
        <v>3.1987227799822615</v>
      </c>
      <c r="Q603" s="26"/>
      <c r="R603" s="17"/>
      <c r="S603" s="19"/>
      <c r="T603" s="17"/>
      <c r="U603" s="22"/>
    </row>
    <row r="604" spans="1:21" x14ac:dyDescent="0.25">
      <c r="A604" s="24"/>
      <c r="B604" s="24"/>
      <c r="C604" s="17"/>
      <c r="D604" s="24"/>
      <c r="E604" s="24"/>
      <c r="F604" s="25"/>
      <c r="G604" s="1">
        <v>4025</v>
      </c>
      <c r="H604" s="2">
        <v>103.6</v>
      </c>
      <c r="I604" s="2">
        <v>-12.1</v>
      </c>
      <c r="J604" s="2">
        <v>-19.2</v>
      </c>
      <c r="K604" s="2">
        <f t="shared" si="78"/>
        <v>-12.1</v>
      </c>
      <c r="L604" s="8">
        <f t="shared" si="82"/>
        <v>2.6915348039269171E-12</v>
      </c>
      <c r="M604" s="26"/>
      <c r="N604" s="17"/>
      <c r="O604" s="9">
        <f t="shared" si="80"/>
        <v>-19.2</v>
      </c>
      <c r="P604" s="8">
        <f>D602/B602*10^(O604/10)</f>
        <v>1.883547614233946</v>
      </c>
      <c r="Q604" s="26"/>
      <c r="R604" s="17"/>
      <c r="S604" s="19"/>
      <c r="T604" s="17"/>
      <c r="U604" s="22"/>
    </row>
    <row r="605" spans="1:21" x14ac:dyDescent="0.25">
      <c r="A605" s="24"/>
      <c r="B605" s="24"/>
      <c r="C605" s="17"/>
      <c r="D605" s="24"/>
      <c r="E605" s="24"/>
      <c r="F605" s="25"/>
      <c r="G605" s="1">
        <v>4625</v>
      </c>
      <c r="H605" s="2">
        <v>105.6</v>
      </c>
      <c r="I605" s="2">
        <v>-17.400000000000002</v>
      </c>
      <c r="J605" s="2">
        <v>-18.100000000000001</v>
      </c>
      <c r="K605" s="2">
        <f t="shared" si="78"/>
        <v>-17.400000000000002</v>
      </c>
      <c r="L605" s="8">
        <f t="shared" si="82"/>
        <v>5.0118723362727066E-13</v>
      </c>
      <c r="M605" s="26"/>
      <c r="N605" s="17"/>
      <c r="O605" s="9">
        <f t="shared" si="80"/>
        <v>-18.100000000000001</v>
      </c>
      <c r="P605" s="8">
        <f>D602/B602*10^(O605/10)</f>
        <v>2.4264793696295524</v>
      </c>
      <c r="Q605" s="26"/>
      <c r="R605" s="17"/>
      <c r="S605" s="19"/>
      <c r="T605" s="17"/>
      <c r="U605" s="22"/>
    </row>
    <row r="606" spans="1:21" x14ac:dyDescent="0.25">
      <c r="A606" s="24"/>
      <c r="B606" s="24"/>
      <c r="C606" s="17"/>
      <c r="D606" s="24"/>
      <c r="E606" s="24"/>
      <c r="F606" s="25"/>
      <c r="G606" s="1">
        <v>5225</v>
      </c>
      <c r="H606" s="2">
        <v>103.5</v>
      </c>
      <c r="I606" s="2">
        <v>-17</v>
      </c>
      <c r="J606" s="2">
        <v>-19.5</v>
      </c>
      <c r="K606" s="2">
        <f t="shared" si="78"/>
        <v>-17</v>
      </c>
      <c r="L606" s="8">
        <f t="shared" si="82"/>
        <v>8.9125093813374051E-13</v>
      </c>
      <c r="M606" s="26"/>
      <c r="N606" s="17"/>
      <c r="O606" s="9">
        <f t="shared" si="80"/>
        <v>-19.5</v>
      </c>
      <c r="P606" s="8">
        <f>D602/B602*10^(O606/10)</f>
        <v>1.7578289117397425</v>
      </c>
      <c r="Q606" s="26"/>
      <c r="R606" s="17"/>
      <c r="S606" s="19"/>
      <c r="T606" s="17"/>
      <c r="U606" s="22"/>
    </row>
    <row r="607" spans="1:21" x14ac:dyDescent="0.25">
      <c r="A607" s="24"/>
      <c r="B607" s="24"/>
      <c r="C607" s="17"/>
      <c r="D607" s="24"/>
      <c r="E607" s="24"/>
      <c r="F607" s="25"/>
      <c r="G607" s="1">
        <v>5625</v>
      </c>
      <c r="H607" s="2">
        <v>99.5</v>
      </c>
      <c r="I607" s="2">
        <v>-15.9</v>
      </c>
      <c r="J607" s="2">
        <v>-24.2</v>
      </c>
      <c r="K607" s="2">
        <f t="shared" si="78"/>
        <v>-15.9</v>
      </c>
      <c r="L607" s="8">
        <f t="shared" si="82"/>
        <v>2.8840315031265959E-12</v>
      </c>
      <c r="M607" s="26"/>
      <c r="N607" s="17"/>
      <c r="O607" s="9">
        <f t="shared" si="80"/>
        <v>-24.2</v>
      </c>
      <c r="P607" s="8">
        <f>D602/B602*10^(O607/10)</f>
        <v>0.59563005423554594</v>
      </c>
      <c r="Q607" s="26"/>
      <c r="R607" s="17"/>
      <c r="S607" s="20"/>
      <c r="T607" s="17"/>
      <c r="U607" s="23"/>
    </row>
    <row r="608" spans="1:21" x14ac:dyDescent="0.25">
      <c r="A608" s="24">
        <v>8000</v>
      </c>
      <c r="B608" s="24">
        <v>3</v>
      </c>
      <c r="C608" s="17">
        <v>0.5</v>
      </c>
      <c r="D608" s="24">
        <v>943</v>
      </c>
      <c r="E608" s="24">
        <v>6</v>
      </c>
      <c r="F608" s="25">
        <v>54</v>
      </c>
      <c r="G608" s="1">
        <v>6025</v>
      </c>
      <c r="H608" s="2">
        <v>95</v>
      </c>
      <c r="I608" s="2">
        <v>-17.399999999999999</v>
      </c>
      <c r="J608" s="2">
        <v>-19.899999999999999</v>
      </c>
      <c r="K608" s="2">
        <f t="shared" si="78"/>
        <v>-17.399999999999999</v>
      </c>
      <c r="L608" s="8">
        <f t="shared" si="82"/>
        <v>5.7543993733715538E-12</v>
      </c>
      <c r="M608" s="26">
        <f>SUM(L608:L613)</f>
        <v>1.0860854940225731E-10</v>
      </c>
      <c r="N608" s="17">
        <f>10*LOG10(M608/E608)</f>
        <v>-107.42287237174254</v>
      </c>
      <c r="O608" s="9">
        <f t="shared" si="80"/>
        <v>-19.899999999999999</v>
      </c>
      <c r="P608" s="8">
        <f>D608/B608*10^(O608/10)</f>
        <v>3.2165509724025045</v>
      </c>
      <c r="Q608" s="26">
        <f>SUM(P608:P613)</f>
        <v>18.765995628269067</v>
      </c>
      <c r="R608" s="17">
        <f>10*LOG10(Q608)</f>
        <v>12.733716108163923</v>
      </c>
      <c r="S608" s="18">
        <f>F608+N608-Kzt-H</f>
        <v>-53.422872371742542</v>
      </c>
      <c r="T608" s="17">
        <v>0.7</v>
      </c>
      <c r="U608" s="21">
        <f>T608*10^((S608-R608)/10)</f>
        <v>1.6960521119820265E-7</v>
      </c>
    </row>
    <row r="609" spans="1:21" x14ac:dyDescent="0.25">
      <c r="A609" s="24"/>
      <c r="B609" s="24"/>
      <c r="C609" s="17"/>
      <c r="D609" s="24"/>
      <c r="E609" s="24"/>
      <c r="F609" s="25"/>
      <c r="G609" s="1">
        <v>7025</v>
      </c>
      <c r="H609" s="2">
        <v>94.8</v>
      </c>
      <c r="I609" s="2">
        <v>-17.600000000000001</v>
      </c>
      <c r="J609" s="2">
        <v>-20</v>
      </c>
      <c r="K609" s="2">
        <f t="shared" si="78"/>
        <v>-17.600000000000001</v>
      </c>
      <c r="L609" s="8">
        <f t="shared" si="82"/>
        <v>5.7543993733715538E-12</v>
      </c>
      <c r="M609" s="26"/>
      <c r="N609" s="17"/>
      <c r="O609" s="9">
        <f t="shared" si="80"/>
        <v>-20</v>
      </c>
      <c r="P609" s="8">
        <f>D608/B608*10^(O609/10)</f>
        <v>3.1433333333333331</v>
      </c>
      <c r="Q609" s="26"/>
      <c r="R609" s="17"/>
      <c r="S609" s="19"/>
      <c r="T609" s="17"/>
      <c r="U609" s="22"/>
    </row>
    <row r="610" spans="1:21" x14ac:dyDescent="0.25">
      <c r="A610" s="24"/>
      <c r="B610" s="24"/>
      <c r="C610" s="17"/>
      <c r="D610" s="24"/>
      <c r="E610" s="24"/>
      <c r="F610" s="25"/>
      <c r="G610" s="1">
        <v>8025</v>
      </c>
      <c r="H610" s="2">
        <v>101.9</v>
      </c>
      <c r="I610" s="2">
        <v>-17.399999999999999</v>
      </c>
      <c r="J610" s="2">
        <v>-18.899999999999999</v>
      </c>
      <c r="K610" s="2">
        <f t="shared" si="78"/>
        <v>-17.399999999999999</v>
      </c>
      <c r="L610" s="8">
        <f t="shared" si="82"/>
        <v>1.1748975549395215E-12</v>
      </c>
      <c r="M610" s="26"/>
      <c r="N610" s="17"/>
      <c r="O610" s="9">
        <f t="shared" si="80"/>
        <v>-18.899999999999999</v>
      </c>
      <c r="P610" s="8">
        <f>D608/B608*10^(O610/10)</f>
        <v>4.0493977574887481</v>
      </c>
      <c r="Q610" s="26"/>
      <c r="R610" s="17"/>
      <c r="S610" s="19"/>
      <c r="T610" s="17"/>
      <c r="U610" s="22"/>
    </row>
    <row r="611" spans="1:21" x14ac:dyDescent="0.25">
      <c r="A611" s="24"/>
      <c r="B611" s="24"/>
      <c r="C611" s="17"/>
      <c r="D611" s="24"/>
      <c r="E611" s="24"/>
      <c r="F611" s="25"/>
      <c r="G611" s="1">
        <v>9025</v>
      </c>
      <c r="H611" s="2">
        <v>93.2</v>
      </c>
      <c r="I611" s="2">
        <v>-14.5</v>
      </c>
      <c r="J611" s="2">
        <v>-19.100000000000001</v>
      </c>
      <c r="K611" s="2">
        <f t="shared" si="78"/>
        <v>-14.5</v>
      </c>
      <c r="L611" s="8">
        <f t="shared" si="82"/>
        <v>1.6982436524617441E-11</v>
      </c>
      <c r="M611" s="26"/>
      <c r="N611" s="17"/>
      <c r="O611" s="9">
        <f t="shared" si="80"/>
        <v>-19.100000000000001</v>
      </c>
      <c r="P611" s="8">
        <f>D608/B608*10^(O611/10)</f>
        <v>3.8671448362535839</v>
      </c>
      <c r="Q611" s="26"/>
      <c r="R611" s="17"/>
      <c r="S611" s="19"/>
      <c r="T611" s="17"/>
      <c r="U611" s="22"/>
    </row>
    <row r="612" spans="1:21" x14ac:dyDescent="0.25">
      <c r="A612" s="24"/>
      <c r="B612" s="24"/>
      <c r="C612" s="17"/>
      <c r="D612" s="24"/>
      <c r="E612" s="24"/>
      <c r="F612" s="25"/>
      <c r="G612" s="1">
        <v>10025</v>
      </c>
      <c r="H612" s="2">
        <v>88.3</v>
      </c>
      <c r="I612" s="2">
        <v>-17.899999999999999</v>
      </c>
      <c r="J612" s="2">
        <v>-20.5</v>
      </c>
      <c r="K612" s="2">
        <f t="shared" si="78"/>
        <v>-17.899999999999999</v>
      </c>
      <c r="L612" s="8">
        <f t="shared" si="82"/>
        <v>2.3988329190194867E-11</v>
      </c>
      <c r="M612" s="26"/>
      <c r="N612" s="17"/>
      <c r="O612" s="9">
        <f t="shared" si="80"/>
        <v>-20.5</v>
      </c>
      <c r="P612" s="8">
        <f>D608/B608*10^(O612/10)</f>
        <v>2.8014987822004067</v>
      </c>
      <c r="Q612" s="26"/>
      <c r="R612" s="17"/>
      <c r="S612" s="19"/>
      <c r="T612" s="17"/>
      <c r="U612" s="22"/>
    </row>
    <row r="613" spans="1:21" x14ac:dyDescent="0.25">
      <c r="A613" s="24"/>
      <c r="B613" s="24"/>
      <c r="C613" s="17"/>
      <c r="D613" s="24"/>
      <c r="E613" s="24"/>
      <c r="F613" s="25"/>
      <c r="G613" s="1">
        <v>11025</v>
      </c>
      <c r="H613" s="2">
        <v>86</v>
      </c>
      <c r="I613" s="2">
        <v>-16.600000000000001</v>
      </c>
      <c r="J613" s="2">
        <v>-22.7</v>
      </c>
      <c r="K613" s="2">
        <f t="shared" si="78"/>
        <v>-16.600000000000001</v>
      </c>
      <c r="L613" s="8">
        <f t="shared" si="82"/>
        <v>5.4954087385762376E-11</v>
      </c>
      <c r="M613" s="26"/>
      <c r="N613" s="17"/>
      <c r="O613" s="9">
        <f t="shared" si="80"/>
        <v>-22.7</v>
      </c>
      <c r="P613" s="8">
        <f>D608/B608*10^(O613/10)</f>
        <v>1.6880699465904934</v>
      </c>
      <c r="Q613" s="26"/>
      <c r="R613" s="17"/>
      <c r="S613" s="20"/>
      <c r="T613" s="17"/>
      <c r="U613" s="23"/>
    </row>
    <row r="614" spans="1:21" x14ac:dyDescent="0.25">
      <c r="A614" s="24" t="s">
        <v>20</v>
      </c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12">
        <f>U614</f>
        <v>5.2444574613722511E-2</v>
      </c>
      <c r="T614" s="2"/>
      <c r="U614" s="8">
        <f>0.8*SQRT(SUM(U580:U613))</f>
        <v>5.2444574613722511E-2</v>
      </c>
    </row>
    <row r="615" spans="1:21" x14ac:dyDescent="0.25">
      <c r="A615" s="27" t="s">
        <v>109</v>
      </c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9"/>
    </row>
    <row r="616" spans="1:21" x14ac:dyDescent="0.25">
      <c r="A616" s="24">
        <v>250</v>
      </c>
      <c r="B616" s="24">
        <v>3</v>
      </c>
      <c r="C616" s="17">
        <v>0.5</v>
      </c>
      <c r="D616" s="24">
        <v>38</v>
      </c>
      <c r="E616" s="24">
        <v>4</v>
      </c>
      <c r="F616" s="25">
        <v>84</v>
      </c>
      <c r="G616" s="1">
        <v>175</v>
      </c>
      <c r="H616" s="2">
        <v>84.8</v>
      </c>
      <c r="I616" s="2">
        <v>-11.1</v>
      </c>
      <c r="J616" s="2">
        <v>-13.7</v>
      </c>
      <c r="K616" s="2">
        <f>I616</f>
        <v>-11.1</v>
      </c>
      <c r="L616" s="8">
        <f>10^((K616-H616)/10)</f>
        <v>2.5703957827688617E-10</v>
      </c>
      <c r="M616" s="26">
        <f>SUM(L616:L619)</f>
        <v>3.4844137952044275E-10</v>
      </c>
      <c r="N616" s="17">
        <f>10*LOG10(M616/E616)</f>
        <v>-100.5993026683426</v>
      </c>
      <c r="O616" s="9">
        <f>J616</f>
        <v>-13.7</v>
      </c>
      <c r="P616" s="8">
        <f>D616/B616*10^(O616/10)</f>
        <v>0.54033405714868388</v>
      </c>
      <c r="Q616" s="26">
        <f>SUM(P616:P619)</f>
        <v>1.1021123787430562</v>
      </c>
      <c r="R616" s="17">
        <f>10*LOG10(Q616)</f>
        <v>0.42225880341212829</v>
      </c>
      <c r="S616" s="18">
        <f>F616+N616-Kzt-H</f>
        <v>-16.599302668342602</v>
      </c>
      <c r="T616" s="17">
        <v>0.2</v>
      </c>
      <c r="U616" s="21">
        <f>T616*10^((S616-R616)/10)</f>
        <v>3.9707619217202129E-3</v>
      </c>
    </row>
    <row r="617" spans="1:21" x14ac:dyDescent="0.25">
      <c r="A617" s="24"/>
      <c r="B617" s="24"/>
      <c r="C617" s="17"/>
      <c r="D617" s="24"/>
      <c r="E617" s="24"/>
      <c r="F617" s="25"/>
      <c r="G617" s="1">
        <v>225</v>
      </c>
      <c r="H617" s="2">
        <v>90</v>
      </c>
      <c r="I617" s="2">
        <v>-14.2</v>
      </c>
      <c r="J617" s="2">
        <v>-19.2</v>
      </c>
      <c r="K617" s="2">
        <f t="shared" ref="K617:K649" si="83">I617</f>
        <v>-14.2</v>
      </c>
      <c r="L617" s="8">
        <f t="shared" ref="L617:L618" si="84">10^((K617-H617)/10)</f>
        <v>3.8018939632055986E-11</v>
      </c>
      <c r="M617" s="26"/>
      <c r="N617" s="17"/>
      <c r="O617" s="9">
        <f t="shared" ref="O617:O649" si="85">J617</f>
        <v>-19.2</v>
      </c>
      <c r="P617" s="8">
        <f>D616/B616*10^(O617/10)</f>
        <v>0.15228682838487223</v>
      </c>
      <c r="Q617" s="26"/>
      <c r="R617" s="17"/>
      <c r="S617" s="19"/>
      <c r="T617" s="17"/>
      <c r="U617" s="22"/>
    </row>
    <row r="618" spans="1:21" x14ac:dyDescent="0.25">
      <c r="A618" s="24"/>
      <c r="B618" s="24"/>
      <c r="C618" s="17"/>
      <c r="D618" s="24"/>
      <c r="E618" s="24"/>
      <c r="F618" s="25"/>
      <c r="G618" s="1">
        <v>275</v>
      </c>
      <c r="H618" s="2">
        <v>92.2</v>
      </c>
      <c r="I618" s="2">
        <v>-12.5</v>
      </c>
      <c r="J618" s="2">
        <v>-15.8</v>
      </c>
      <c r="K618" s="2">
        <f t="shared" si="83"/>
        <v>-12.5</v>
      </c>
      <c r="L618" s="8">
        <f t="shared" si="84"/>
        <v>3.3884415613920157E-11</v>
      </c>
      <c r="M618" s="26"/>
      <c r="N618" s="17"/>
      <c r="O618" s="9">
        <f t="shared" si="85"/>
        <v>-15.8</v>
      </c>
      <c r="P618" s="8">
        <f>D616/B616*10^(O618/10)</f>
        <v>0.33316727897341486</v>
      </c>
      <c r="Q618" s="26"/>
      <c r="R618" s="17"/>
      <c r="S618" s="19"/>
      <c r="T618" s="17"/>
      <c r="U618" s="22"/>
    </row>
    <row r="619" spans="1:21" x14ac:dyDescent="0.25">
      <c r="A619" s="24"/>
      <c r="B619" s="24"/>
      <c r="C619" s="17"/>
      <c r="D619" s="24"/>
      <c r="E619" s="24"/>
      <c r="F619" s="25"/>
      <c r="G619" s="1">
        <v>325</v>
      </c>
      <c r="H619" s="2">
        <v>93.3</v>
      </c>
      <c r="I619" s="2">
        <v>-13.8</v>
      </c>
      <c r="J619" s="2">
        <v>-22.2</v>
      </c>
      <c r="K619" s="2">
        <f t="shared" si="83"/>
        <v>-13.8</v>
      </c>
      <c r="L619" s="8">
        <f>10^((K619-H619)/10)</f>
        <v>1.949844599758044E-11</v>
      </c>
      <c r="M619" s="26"/>
      <c r="N619" s="17"/>
      <c r="O619" s="9">
        <f t="shared" si="85"/>
        <v>-22.2</v>
      </c>
      <c r="P619" s="8">
        <f>D616/B616*10^(O619/10)</f>
        <v>7.6324214236085305E-2</v>
      </c>
      <c r="Q619" s="26"/>
      <c r="R619" s="17"/>
      <c r="S619" s="20"/>
      <c r="T619" s="17"/>
      <c r="U619" s="23"/>
    </row>
    <row r="620" spans="1:21" x14ac:dyDescent="0.25">
      <c r="A620" s="24">
        <v>500</v>
      </c>
      <c r="B620" s="24">
        <v>3</v>
      </c>
      <c r="C620" s="17">
        <v>0.5</v>
      </c>
      <c r="D620" s="24">
        <v>59</v>
      </c>
      <c r="E620" s="24">
        <v>6</v>
      </c>
      <c r="F620" s="25">
        <v>84</v>
      </c>
      <c r="G620" s="1">
        <v>375</v>
      </c>
      <c r="H620" s="2">
        <v>91.9</v>
      </c>
      <c r="I620" s="2">
        <v>-12</v>
      </c>
      <c r="J620" s="2">
        <v>-18.8</v>
      </c>
      <c r="K620" s="2">
        <f t="shared" si="83"/>
        <v>-12</v>
      </c>
      <c r="L620" s="8">
        <f t="shared" ref="L620:L621" si="86">10^((K620-H620)/10)</f>
        <v>4.0738027780411121E-11</v>
      </c>
      <c r="M620" s="26">
        <f>SUM(L620:L625)</f>
        <v>1.798948677439312E-10</v>
      </c>
      <c r="N620" s="17">
        <f>10*LOG10(M620/E620)</f>
        <v>-105.2313247693406</v>
      </c>
      <c r="O620" s="9">
        <f t="shared" si="85"/>
        <v>-18.8</v>
      </c>
      <c r="P620" s="8">
        <f>D620/B620*10^(O620/10)</f>
        <v>0.25925715858275988</v>
      </c>
      <c r="Q620" s="26">
        <f>SUM(P620:P625)</f>
        <v>1.4170146800577361</v>
      </c>
      <c r="R620" s="17">
        <f>10*LOG10(Q620)</f>
        <v>1.5137434949590378</v>
      </c>
      <c r="S620" s="18">
        <f>F620+N620-Kzt-H</f>
        <v>-21.231324769340603</v>
      </c>
      <c r="T620" s="17">
        <v>0.5</v>
      </c>
      <c r="U620" s="21">
        <f>T620*10^((S620-R620)/10)</f>
        <v>2.6574382264326012E-3</v>
      </c>
    </row>
    <row r="621" spans="1:21" x14ac:dyDescent="0.25">
      <c r="A621" s="24"/>
      <c r="B621" s="24"/>
      <c r="C621" s="17"/>
      <c r="D621" s="24"/>
      <c r="E621" s="24"/>
      <c r="F621" s="25"/>
      <c r="G621" s="1">
        <v>425</v>
      </c>
      <c r="H621" s="2">
        <v>88.1</v>
      </c>
      <c r="I621" s="2">
        <v>-15.7</v>
      </c>
      <c r="J621" s="2">
        <v>-17.399999999999999</v>
      </c>
      <c r="K621" s="2">
        <f t="shared" si="83"/>
        <v>-15.7</v>
      </c>
      <c r="L621" s="8">
        <f t="shared" si="86"/>
        <v>4.1686938347033529E-11</v>
      </c>
      <c r="M621" s="26"/>
      <c r="N621" s="17"/>
      <c r="O621" s="9">
        <f t="shared" si="85"/>
        <v>-17.399999999999999</v>
      </c>
      <c r="P621" s="8">
        <f>D620/B620*10^(O621/10)</f>
        <v>0.35787450219329664</v>
      </c>
      <c r="Q621" s="26"/>
      <c r="R621" s="17"/>
      <c r="S621" s="19"/>
      <c r="T621" s="17"/>
      <c r="U621" s="22"/>
    </row>
    <row r="622" spans="1:21" x14ac:dyDescent="0.25">
      <c r="A622" s="24"/>
      <c r="B622" s="24"/>
      <c r="C622" s="17"/>
      <c r="D622" s="24"/>
      <c r="E622" s="24"/>
      <c r="F622" s="25"/>
      <c r="G622" s="1">
        <v>475</v>
      </c>
      <c r="H622" s="2">
        <v>90</v>
      </c>
      <c r="I622" s="2">
        <v>-12.4</v>
      </c>
      <c r="J622" s="2">
        <v>-20.9</v>
      </c>
      <c r="K622" s="2">
        <f t="shared" si="83"/>
        <v>-12.4</v>
      </c>
      <c r="L622" s="8">
        <f>10^((K622-H622)/10)</f>
        <v>5.7543993733715601E-11</v>
      </c>
      <c r="M622" s="26"/>
      <c r="N622" s="17"/>
      <c r="O622" s="9">
        <f t="shared" si="85"/>
        <v>-20.9</v>
      </c>
      <c r="P622" s="8">
        <f>D620/B620*10^(O622/10)</f>
        <v>0.15985666817893945</v>
      </c>
      <c r="Q622" s="26"/>
      <c r="R622" s="17"/>
      <c r="S622" s="19"/>
      <c r="T622" s="17"/>
      <c r="U622" s="22"/>
    </row>
    <row r="623" spans="1:21" x14ac:dyDescent="0.25">
      <c r="A623" s="24"/>
      <c r="B623" s="24"/>
      <c r="C623" s="17"/>
      <c r="D623" s="24"/>
      <c r="E623" s="24"/>
      <c r="F623" s="25"/>
      <c r="G623" s="1">
        <v>575</v>
      </c>
      <c r="H623" s="2">
        <v>97</v>
      </c>
      <c r="I623" s="2">
        <v>-17.099999999999998</v>
      </c>
      <c r="J623" s="2">
        <v>-17.899999999999999</v>
      </c>
      <c r="K623" s="2">
        <f t="shared" si="83"/>
        <v>-17.099999999999998</v>
      </c>
      <c r="L623" s="8">
        <f t="shared" ref="L623:L649" si="87">10^((K623-H623)/10)</f>
        <v>3.890451449942802E-12</v>
      </c>
      <c r="M623" s="26"/>
      <c r="N623" s="17"/>
      <c r="O623" s="9">
        <f t="shared" si="85"/>
        <v>-17.899999999999999</v>
      </c>
      <c r="P623" s="8">
        <f>D620/B620*10^(O623/10)</f>
        <v>0.31895598581392304</v>
      </c>
      <c r="Q623" s="26"/>
      <c r="R623" s="17"/>
      <c r="S623" s="19"/>
      <c r="T623" s="17"/>
      <c r="U623" s="22"/>
    </row>
    <row r="624" spans="1:21" x14ac:dyDescent="0.25">
      <c r="A624" s="24"/>
      <c r="B624" s="24"/>
      <c r="C624" s="17"/>
      <c r="D624" s="24"/>
      <c r="E624" s="24"/>
      <c r="F624" s="25"/>
      <c r="G624" s="1">
        <v>625</v>
      </c>
      <c r="H624" s="2">
        <v>92</v>
      </c>
      <c r="I624" s="2">
        <v>-13.7</v>
      </c>
      <c r="J624" s="2">
        <v>-21.3</v>
      </c>
      <c r="K624" s="2">
        <f t="shared" si="83"/>
        <v>-13.7</v>
      </c>
      <c r="L624" s="8">
        <f t="shared" si="87"/>
        <v>2.6915348039269103E-11</v>
      </c>
      <c r="M624" s="26"/>
      <c r="N624" s="17"/>
      <c r="O624" s="9">
        <f t="shared" si="85"/>
        <v>-21.3</v>
      </c>
      <c r="P624" s="8">
        <f>D620/B620*10^(O624/10)</f>
        <v>0.14579101412251377</v>
      </c>
      <c r="Q624" s="26"/>
      <c r="R624" s="17"/>
      <c r="S624" s="19"/>
      <c r="T624" s="17"/>
      <c r="U624" s="22"/>
    </row>
    <row r="625" spans="1:21" x14ac:dyDescent="0.25">
      <c r="A625" s="24"/>
      <c r="B625" s="24"/>
      <c r="C625" s="17"/>
      <c r="D625" s="24"/>
      <c r="E625" s="24"/>
      <c r="F625" s="25"/>
      <c r="G625" s="1">
        <v>675</v>
      </c>
      <c r="H625" s="2">
        <v>94.5</v>
      </c>
      <c r="I625" s="2">
        <v>-15.9</v>
      </c>
      <c r="J625" s="2">
        <v>-20.5</v>
      </c>
      <c r="K625" s="2">
        <f t="shared" si="83"/>
        <v>-15.9</v>
      </c>
      <c r="L625" s="8">
        <f t="shared" si="87"/>
        <v>9.1201083935590542E-12</v>
      </c>
      <c r="M625" s="26"/>
      <c r="N625" s="17"/>
      <c r="O625" s="9">
        <f t="shared" si="85"/>
        <v>-20.5</v>
      </c>
      <c r="P625" s="8">
        <f>D620/B620*10^(O625/10)</f>
        <v>0.1752793511663033</v>
      </c>
      <c r="Q625" s="26"/>
      <c r="R625" s="17"/>
      <c r="S625" s="20"/>
      <c r="T625" s="17"/>
      <c r="U625" s="23"/>
    </row>
    <row r="626" spans="1:21" x14ac:dyDescent="0.25">
      <c r="A626" s="24">
        <v>1000</v>
      </c>
      <c r="B626" s="24">
        <v>3</v>
      </c>
      <c r="C626" s="17">
        <v>0.5</v>
      </c>
      <c r="D626" s="24">
        <v>117</v>
      </c>
      <c r="E626" s="24">
        <v>6</v>
      </c>
      <c r="F626" s="25">
        <v>76</v>
      </c>
      <c r="G626" s="1">
        <v>875</v>
      </c>
      <c r="H626" s="2">
        <v>91.1</v>
      </c>
      <c r="I626" s="2">
        <v>-14.7</v>
      </c>
      <c r="J626" s="2">
        <v>-23.7</v>
      </c>
      <c r="K626" s="2">
        <f t="shared" si="83"/>
        <v>-14.7</v>
      </c>
      <c r="L626" s="8">
        <f t="shared" si="87"/>
        <v>2.6302679918953769E-11</v>
      </c>
      <c r="M626" s="26">
        <f>SUM(L626:L631)</f>
        <v>4.9412669710719621E-11</v>
      </c>
      <c r="N626" s="17">
        <f>10*LOG10(M626/E626)</f>
        <v>-110.84312931420121</v>
      </c>
      <c r="O626" s="9">
        <f t="shared" si="85"/>
        <v>-23.7</v>
      </c>
      <c r="P626" s="8">
        <f>D626/B626*10^(O626/10)</f>
        <v>0.16636601233262108</v>
      </c>
      <c r="Q626" s="26">
        <f>SUM(P626:P631)</f>
        <v>2.1382562037281097</v>
      </c>
      <c r="R626" s="17">
        <f>10*LOG10(Q626)</f>
        <v>3.3005974072266215</v>
      </c>
      <c r="S626" s="18">
        <f>F626+N626-Kzt-H</f>
        <v>-34.843129314201207</v>
      </c>
      <c r="T626" s="17">
        <v>0.8</v>
      </c>
      <c r="U626" s="21">
        <f>T626*10^((S626-R626)/10)</f>
        <v>1.2266405428081176E-4</v>
      </c>
    </row>
    <row r="627" spans="1:21" x14ac:dyDescent="0.25">
      <c r="A627" s="24"/>
      <c r="B627" s="24"/>
      <c r="C627" s="17"/>
      <c r="D627" s="24"/>
      <c r="E627" s="24"/>
      <c r="F627" s="25"/>
      <c r="G627" s="1">
        <v>975</v>
      </c>
      <c r="H627" s="2">
        <v>96.5</v>
      </c>
      <c r="I627" s="2">
        <v>-12.7</v>
      </c>
      <c r="J627" s="2">
        <v>-22.1</v>
      </c>
      <c r="K627" s="2">
        <f t="shared" si="83"/>
        <v>-12.7</v>
      </c>
      <c r="L627" s="8">
        <f t="shared" si="87"/>
        <v>1.2022644346174101E-11</v>
      </c>
      <c r="M627" s="26"/>
      <c r="N627" s="17"/>
      <c r="O627" s="9">
        <f t="shared" si="85"/>
        <v>-22.1</v>
      </c>
      <c r="P627" s="8">
        <f>D626/B626*10^(O627/10)</f>
        <v>0.24047205072597796</v>
      </c>
      <c r="Q627" s="26"/>
      <c r="R627" s="17"/>
      <c r="S627" s="19"/>
      <c r="T627" s="17"/>
      <c r="U627" s="22"/>
    </row>
    <row r="628" spans="1:21" x14ac:dyDescent="0.25">
      <c r="A628" s="24"/>
      <c r="B628" s="24"/>
      <c r="C628" s="17"/>
      <c r="D628" s="24"/>
      <c r="E628" s="24"/>
      <c r="F628" s="25"/>
      <c r="G628" s="1">
        <v>1075</v>
      </c>
      <c r="H628" s="2">
        <v>94.6</v>
      </c>
      <c r="I628" s="2">
        <v>-17.399999999999999</v>
      </c>
      <c r="J628" s="2">
        <v>-20.399999999999999</v>
      </c>
      <c r="K628" s="2">
        <f t="shared" si="83"/>
        <v>-17.399999999999999</v>
      </c>
      <c r="L628" s="8">
        <f t="shared" si="87"/>
        <v>6.3095734448019345E-12</v>
      </c>
      <c r="M628" s="26"/>
      <c r="N628" s="17"/>
      <c r="O628" s="9">
        <f t="shared" si="85"/>
        <v>-20.399999999999999</v>
      </c>
      <c r="P628" s="8">
        <f>D626/B626*10^(O628/10)</f>
        <v>0.35568422734880445</v>
      </c>
      <c r="Q628" s="26"/>
      <c r="R628" s="17"/>
      <c r="S628" s="19"/>
      <c r="T628" s="17"/>
      <c r="U628" s="22"/>
    </row>
    <row r="629" spans="1:21" x14ac:dyDescent="0.25">
      <c r="A629" s="24"/>
      <c r="B629" s="24"/>
      <c r="C629" s="17"/>
      <c r="D629" s="24"/>
      <c r="E629" s="24"/>
      <c r="F629" s="25"/>
      <c r="G629" s="1">
        <v>1175</v>
      </c>
      <c r="H629" s="2">
        <v>97.8</v>
      </c>
      <c r="I629" s="2">
        <v>-19.8</v>
      </c>
      <c r="J629" s="2">
        <v>-21.8</v>
      </c>
      <c r="K629" s="2">
        <f t="shared" si="83"/>
        <v>-19.8</v>
      </c>
      <c r="L629" s="8">
        <f t="shared" si="87"/>
        <v>1.737800828749373E-12</v>
      </c>
      <c r="M629" s="26"/>
      <c r="N629" s="17"/>
      <c r="O629" s="9">
        <f t="shared" si="85"/>
        <v>-21.8</v>
      </c>
      <c r="P629" s="8">
        <f>D626/B626*10^(O629/10)</f>
        <v>0.2576704447229623</v>
      </c>
      <c r="Q629" s="26"/>
      <c r="R629" s="17"/>
      <c r="S629" s="19"/>
      <c r="T629" s="17"/>
      <c r="U629" s="22"/>
    </row>
    <row r="630" spans="1:21" x14ac:dyDescent="0.25">
      <c r="A630" s="24"/>
      <c r="B630" s="24"/>
      <c r="C630" s="17"/>
      <c r="D630" s="24"/>
      <c r="E630" s="24"/>
      <c r="F630" s="25"/>
      <c r="G630" s="1">
        <v>1275</v>
      </c>
      <c r="H630" s="2">
        <v>100.1</v>
      </c>
      <c r="I630" s="2">
        <v>-17.7</v>
      </c>
      <c r="J630" s="2">
        <v>-19.8</v>
      </c>
      <c r="K630" s="2">
        <f t="shared" si="83"/>
        <v>-17.7</v>
      </c>
      <c r="L630" s="8">
        <f t="shared" si="87"/>
        <v>1.6595869074375588E-12</v>
      </c>
      <c r="M630" s="26"/>
      <c r="N630" s="17"/>
      <c r="O630" s="9">
        <f t="shared" si="85"/>
        <v>-19.8</v>
      </c>
      <c r="P630" s="8">
        <f>D626/B626*10^(O630/10)</f>
        <v>0.40838013373985055</v>
      </c>
      <c r="Q630" s="26"/>
      <c r="R630" s="17"/>
      <c r="S630" s="19"/>
      <c r="T630" s="17"/>
      <c r="U630" s="22"/>
    </row>
    <row r="631" spans="1:21" x14ac:dyDescent="0.25">
      <c r="A631" s="24"/>
      <c r="B631" s="24"/>
      <c r="C631" s="17"/>
      <c r="D631" s="24"/>
      <c r="E631" s="24"/>
      <c r="F631" s="25"/>
      <c r="G631" s="1">
        <v>1375</v>
      </c>
      <c r="H631" s="2">
        <v>103</v>
      </c>
      <c r="I631" s="2">
        <v>-15.6</v>
      </c>
      <c r="J631" s="2">
        <v>-17.399999999999999</v>
      </c>
      <c r="K631" s="2">
        <f t="shared" si="83"/>
        <v>-15.6</v>
      </c>
      <c r="L631" s="8">
        <f t="shared" si="87"/>
        <v>1.3803842646028842E-12</v>
      </c>
      <c r="M631" s="26"/>
      <c r="N631" s="17"/>
      <c r="O631" s="9">
        <f t="shared" si="85"/>
        <v>-17.399999999999999</v>
      </c>
      <c r="P631" s="8">
        <f>D626/B626*10^(O631/10)</f>
        <v>0.70968333485789337</v>
      </c>
      <c r="Q631" s="26"/>
      <c r="R631" s="17"/>
      <c r="S631" s="20"/>
      <c r="T631" s="17"/>
      <c r="U631" s="23"/>
    </row>
    <row r="632" spans="1:21" x14ac:dyDescent="0.25">
      <c r="A632" s="24">
        <v>2000</v>
      </c>
      <c r="B632" s="24">
        <v>3</v>
      </c>
      <c r="C632" s="17">
        <v>0.5</v>
      </c>
      <c r="D632" s="24">
        <v>234</v>
      </c>
      <c r="E632" s="24">
        <v>6</v>
      </c>
      <c r="F632" s="25">
        <v>68</v>
      </c>
      <c r="G632" s="1">
        <v>1425</v>
      </c>
      <c r="H632" s="2">
        <v>102.8</v>
      </c>
      <c r="I632" s="2">
        <v>-17.5</v>
      </c>
      <c r="J632" s="2">
        <v>-21</v>
      </c>
      <c r="K632" s="2">
        <f t="shared" si="83"/>
        <v>-17.5</v>
      </c>
      <c r="L632" s="8">
        <f t="shared" si="87"/>
        <v>9.3325430079698887E-13</v>
      </c>
      <c r="M632" s="26">
        <f>SUM(L632:L637)</f>
        <v>1.8323233202315476E-11</v>
      </c>
      <c r="N632" s="17">
        <f>10*LOG10(M632/E632)</f>
        <v>-115.15149141421222</v>
      </c>
      <c r="O632" s="9">
        <f t="shared" si="85"/>
        <v>-21</v>
      </c>
      <c r="P632" s="8">
        <f>D632/B632*10^(O632/10)</f>
        <v>0.61957602308493931</v>
      </c>
      <c r="Q632" s="26">
        <f>SUM(P632:P637)</f>
        <v>3.3274961676227468</v>
      </c>
      <c r="R632" s="17">
        <f>10*LOG10(Q632)</f>
        <v>5.2211756395700517</v>
      </c>
      <c r="S632" s="18">
        <f>F632+N632-Kzt-H</f>
        <v>-47.151491414212217</v>
      </c>
      <c r="T632" s="17">
        <v>1</v>
      </c>
      <c r="U632" s="21">
        <f>T632*10^((S632-R632)/10)</f>
        <v>5.7907297164942531E-6</v>
      </c>
    </row>
    <row r="633" spans="1:21" x14ac:dyDescent="0.25">
      <c r="A633" s="24"/>
      <c r="B633" s="24"/>
      <c r="C633" s="17"/>
      <c r="D633" s="24"/>
      <c r="E633" s="24"/>
      <c r="F633" s="25"/>
      <c r="G633" s="1">
        <v>1625</v>
      </c>
      <c r="H633" s="2">
        <v>104.1</v>
      </c>
      <c r="I633" s="2">
        <v>-16.7</v>
      </c>
      <c r="J633" s="2">
        <v>-21.4</v>
      </c>
      <c r="K633" s="2">
        <f t="shared" si="83"/>
        <v>-16.7</v>
      </c>
      <c r="L633" s="8">
        <f t="shared" si="87"/>
        <v>8.3176377110266952E-13</v>
      </c>
      <c r="M633" s="26"/>
      <c r="N633" s="17"/>
      <c r="O633" s="9">
        <f t="shared" si="85"/>
        <v>-21.4</v>
      </c>
      <c r="P633" s="8">
        <f>D632/B632*10^(O633/10)</f>
        <v>0.56506004885849226</v>
      </c>
      <c r="Q633" s="26"/>
      <c r="R633" s="17"/>
      <c r="S633" s="19"/>
      <c r="T633" s="17"/>
      <c r="U633" s="22"/>
    </row>
    <row r="634" spans="1:21" x14ac:dyDescent="0.25">
      <c r="A634" s="24"/>
      <c r="B634" s="24"/>
      <c r="C634" s="17"/>
      <c r="D634" s="24"/>
      <c r="E634" s="24"/>
      <c r="F634" s="25"/>
      <c r="G634" s="1">
        <v>1825</v>
      </c>
      <c r="H634" s="2">
        <v>107.6</v>
      </c>
      <c r="I634" s="2">
        <v>-18.600000000000001</v>
      </c>
      <c r="J634" s="2">
        <v>-22.4</v>
      </c>
      <c r="K634" s="2">
        <f t="shared" si="83"/>
        <v>-18.600000000000001</v>
      </c>
      <c r="L634" s="8">
        <f t="shared" si="87"/>
        <v>2.3988329190194898E-13</v>
      </c>
      <c r="M634" s="26"/>
      <c r="N634" s="17"/>
      <c r="O634" s="9">
        <f t="shared" si="85"/>
        <v>-22.4</v>
      </c>
      <c r="P634" s="8">
        <f>D632/B632*10^(O634/10)</f>
        <v>0.44884315112298245</v>
      </c>
      <c r="Q634" s="26"/>
      <c r="R634" s="17"/>
      <c r="S634" s="19"/>
      <c r="T634" s="17"/>
      <c r="U634" s="22"/>
    </row>
    <row r="635" spans="1:21" x14ac:dyDescent="0.25">
      <c r="A635" s="24"/>
      <c r="B635" s="24"/>
      <c r="C635" s="17"/>
      <c r="D635" s="24"/>
      <c r="E635" s="24"/>
      <c r="F635" s="25"/>
      <c r="G635" s="1">
        <v>2125</v>
      </c>
      <c r="H635" s="2">
        <v>104.2</v>
      </c>
      <c r="I635" s="2">
        <v>-15.4</v>
      </c>
      <c r="J635" s="2">
        <v>-23.3</v>
      </c>
      <c r="K635" s="2">
        <f t="shared" si="83"/>
        <v>-15.4</v>
      </c>
      <c r="L635" s="8">
        <f t="shared" si="87"/>
        <v>1.0964781961431817E-12</v>
      </c>
      <c r="M635" s="26"/>
      <c r="N635" s="17"/>
      <c r="O635" s="9">
        <f t="shared" si="85"/>
        <v>-23.3</v>
      </c>
      <c r="P635" s="8">
        <f>D632/B632*10^(O635/10)</f>
        <v>0.36483341020401427</v>
      </c>
      <c r="Q635" s="26"/>
      <c r="R635" s="17"/>
      <c r="S635" s="19"/>
      <c r="T635" s="17"/>
      <c r="U635" s="22"/>
    </row>
    <row r="636" spans="1:21" x14ac:dyDescent="0.25">
      <c r="A636" s="24"/>
      <c r="B636" s="24"/>
      <c r="C636" s="17"/>
      <c r="D636" s="24"/>
      <c r="E636" s="24"/>
      <c r="F636" s="25"/>
      <c r="G636" s="1">
        <v>2425</v>
      </c>
      <c r="H636" s="2">
        <v>93.7</v>
      </c>
      <c r="I636" s="2">
        <v>-14.8</v>
      </c>
      <c r="J636" s="2">
        <v>-20.5</v>
      </c>
      <c r="K636" s="2">
        <f t="shared" si="83"/>
        <v>-14.8</v>
      </c>
      <c r="L636" s="8">
        <f t="shared" si="87"/>
        <v>1.4125375446227501E-11</v>
      </c>
      <c r="M636" s="26"/>
      <c r="N636" s="17"/>
      <c r="O636" s="9">
        <f t="shared" si="85"/>
        <v>-20.5</v>
      </c>
      <c r="P636" s="8">
        <f>D632/B632*10^(O636/10)</f>
        <v>0.69517573174432157</v>
      </c>
      <c r="Q636" s="26"/>
      <c r="R636" s="17"/>
      <c r="S636" s="19"/>
      <c r="T636" s="17"/>
      <c r="U636" s="22"/>
    </row>
    <row r="637" spans="1:21" x14ac:dyDescent="0.25">
      <c r="A637" s="24"/>
      <c r="B637" s="24"/>
      <c r="C637" s="17"/>
      <c r="D637" s="24"/>
      <c r="E637" s="24"/>
      <c r="F637" s="25"/>
      <c r="G637" s="1">
        <v>2775</v>
      </c>
      <c r="H637" s="2">
        <v>100.2</v>
      </c>
      <c r="I637" s="2">
        <v>-19.399999999999999</v>
      </c>
      <c r="J637" s="2">
        <v>-20.9</v>
      </c>
      <c r="K637" s="2">
        <f t="shared" si="83"/>
        <v>-19.399999999999999</v>
      </c>
      <c r="L637" s="8">
        <f t="shared" si="87"/>
        <v>1.0964781961431857E-12</v>
      </c>
      <c r="M637" s="26"/>
      <c r="N637" s="17"/>
      <c r="O637" s="9">
        <f t="shared" si="85"/>
        <v>-20.9</v>
      </c>
      <c r="P637" s="8">
        <f>D632/B632*10^(O637/10)</f>
        <v>0.63400780260799716</v>
      </c>
      <c r="Q637" s="26"/>
      <c r="R637" s="17"/>
      <c r="S637" s="20"/>
      <c r="T637" s="17"/>
      <c r="U637" s="23"/>
    </row>
    <row r="638" spans="1:21" x14ac:dyDescent="0.25">
      <c r="A638" s="24">
        <v>4000</v>
      </c>
      <c r="B638" s="24">
        <v>3</v>
      </c>
      <c r="C638" s="17">
        <v>0.5</v>
      </c>
      <c r="D638" s="24">
        <v>470</v>
      </c>
      <c r="E638" s="24">
        <v>6</v>
      </c>
      <c r="F638" s="25">
        <v>62</v>
      </c>
      <c r="G638" s="1">
        <v>2825</v>
      </c>
      <c r="H638" s="2">
        <v>99.4</v>
      </c>
      <c r="I638" s="2">
        <v>-15.8</v>
      </c>
      <c r="J638" s="2">
        <v>-18.8</v>
      </c>
      <c r="K638" s="2">
        <f t="shared" si="83"/>
        <v>-15.8</v>
      </c>
      <c r="L638" s="8">
        <f t="shared" si="87"/>
        <v>3.0199517204020161E-12</v>
      </c>
      <c r="M638" s="26">
        <f>SUM(L638:L643)</f>
        <v>9.6372227787402849E-12</v>
      </c>
      <c r="N638" s="17">
        <f>10*LOG10(M638/E638)</f>
        <v>-117.94199351920737</v>
      </c>
      <c r="O638" s="9">
        <f t="shared" si="85"/>
        <v>-18.8</v>
      </c>
      <c r="P638" s="8">
        <f>D638/B638*10^(O638/10)</f>
        <v>2.065268890405036</v>
      </c>
      <c r="Q638" s="26">
        <f>SUM(P638:P643)</f>
        <v>9.2649142560079607</v>
      </c>
      <c r="R638" s="17">
        <f>10*LOG10(Q638)</f>
        <v>9.668414044088383</v>
      </c>
      <c r="S638" s="18">
        <f>F638+N638-Kzt-H</f>
        <v>-55.941993519207372</v>
      </c>
      <c r="T638" s="17">
        <v>0.9</v>
      </c>
      <c r="U638" s="21">
        <f>T638*10^((S638-R638)/10)</f>
        <v>2.472872660373304E-7</v>
      </c>
    </row>
    <row r="639" spans="1:21" x14ac:dyDescent="0.25">
      <c r="A639" s="24"/>
      <c r="B639" s="24"/>
      <c r="C639" s="17"/>
      <c r="D639" s="24"/>
      <c r="E639" s="24"/>
      <c r="F639" s="25"/>
      <c r="G639" s="1">
        <v>3425</v>
      </c>
      <c r="H639" s="2">
        <v>103.5</v>
      </c>
      <c r="I639" s="2">
        <v>-18</v>
      </c>
      <c r="J639" s="2">
        <v>-21.7</v>
      </c>
      <c r="K639" s="2">
        <f t="shared" si="83"/>
        <v>-18</v>
      </c>
      <c r="L639" s="8">
        <f t="shared" si="87"/>
        <v>7.0794578438413455E-13</v>
      </c>
      <c r="M639" s="26"/>
      <c r="N639" s="17"/>
      <c r="O639" s="9">
        <f t="shared" si="85"/>
        <v>-21.7</v>
      </c>
      <c r="P639" s="8">
        <f>D638/B638*10^(O639/10)</f>
        <v>1.0591966614474373</v>
      </c>
      <c r="Q639" s="26"/>
      <c r="R639" s="17"/>
      <c r="S639" s="19"/>
      <c r="T639" s="17"/>
      <c r="U639" s="22"/>
    </row>
    <row r="640" spans="1:21" x14ac:dyDescent="0.25">
      <c r="A640" s="24"/>
      <c r="B640" s="24"/>
      <c r="C640" s="17"/>
      <c r="D640" s="24"/>
      <c r="E640" s="24"/>
      <c r="F640" s="25"/>
      <c r="G640" s="1">
        <v>4025</v>
      </c>
      <c r="H640" s="2">
        <v>103.6</v>
      </c>
      <c r="I640" s="2">
        <v>-16.2</v>
      </c>
      <c r="J640" s="2">
        <v>-22.7</v>
      </c>
      <c r="K640" s="2">
        <f t="shared" si="83"/>
        <v>-16.2</v>
      </c>
      <c r="L640" s="8">
        <f t="shared" si="87"/>
        <v>1.0471285480508967E-12</v>
      </c>
      <c r="M640" s="26"/>
      <c r="N640" s="17"/>
      <c r="O640" s="9">
        <f t="shared" si="85"/>
        <v>-22.7</v>
      </c>
      <c r="P640" s="8">
        <f>D638/B638*10^(O640/10)</f>
        <v>0.84134981431339539</v>
      </c>
      <c r="Q640" s="26"/>
      <c r="R640" s="17"/>
      <c r="S640" s="19"/>
      <c r="T640" s="17"/>
      <c r="U640" s="22"/>
    </row>
    <row r="641" spans="1:21" x14ac:dyDescent="0.25">
      <c r="A641" s="24"/>
      <c r="B641" s="24"/>
      <c r="C641" s="17"/>
      <c r="D641" s="24"/>
      <c r="E641" s="24"/>
      <c r="F641" s="25"/>
      <c r="G641" s="1">
        <v>4625</v>
      </c>
      <c r="H641" s="2">
        <v>105.6</v>
      </c>
      <c r="I641" s="2">
        <v>-18.7</v>
      </c>
      <c r="J641" s="2">
        <v>-19.3</v>
      </c>
      <c r="K641" s="2">
        <f t="shared" si="83"/>
        <v>-18.7</v>
      </c>
      <c r="L641" s="8">
        <f t="shared" si="87"/>
        <v>3.7153522909717175E-13</v>
      </c>
      <c r="M641" s="26"/>
      <c r="N641" s="17"/>
      <c r="O641" s="9">
        <f t="shared" si="85"/>
        <v>-19.3</v>
      </c>
      <c r="P641" s="8">
        <f>D638/B638*10^(O641/10)</f>
        <v>1.8406728360719276</v>
      </c>
      <c r="Q641" s="26"/>
      <c r="R641" s="17"/>
      <c r="S641" s="19"/>
      <c r="T641" s="17"/>
      <c r="U641" s="22"/>
    </row>
    <row r="642" spans="1:21" x14ac:dyDescent="0.25">
      <c r="A642" s="24"/>
      <c r="B642" s="24"/>
      <c r="C642" s="17"/>
      <c r="D642" s="24"/>
      <c r="E642" s="24"/>
      <c r="F642" s="25"/>
      <c r="G642" s="1">
        <v>5225</v>
      </c>
      <c r="H642" s="2">
        <v>103.5</v>
      </c>
      <c r="I642" s="2">
        <v>-16.399999999999999</v>
      </c>
      <c r="J642" s="2">
        <v>-19.100000000000001</v>
      </c>
      <c r="K642" s="2">
        <f t="shared" si="83"/>
        <v>-16.399999999999999</v>
      </c>
      <c r="L642" s="8">
        <f t="shared" si="87"/>
        <v>1.0232929922807514E-12</v>
      </c>
      <c r="M642" s="26"/>
      <c r="N642" s="17"/>
      <c r="O642" s="9">
        <f t="shared" si="85"/>
        <v>-19.100000000000001</v>
      </c>
      <c r="P642" s="8">
        <f>D638/B638*10^(O642/10)</f>
        <v>1.92742107427273</v>
      </c>
      <c r="Q642" s="26"/>
      <c r="R642" s="17"/>
      <c r="S642" s="19"/>
      <c r="T642" s="17"/>
      <c r="U642" s="22"/>
    </row>
    <row r="643" spans="1:21" x14ac:dyDescent="0.25">
      <c r="A643" s="24"/>
      <c r="B643" s="24"/>
      <c r="C643" s="17"/>
      <c r="D643" s="24"/>
      <c r="E643" s="24"/>
      <c r="F643" s="25"/>
      <c r="G643" s="1">
        <v>5625</v>
      </c>
      <c r="H643" s="2">
        <v>99.5</v>
      </c>
      <c r="I643" s="2">
        <v>-15.1</v>
      </c>
      <c r="J643" s="2">
        <v>-20.100000000000001</v>
      </c>
      <c r="K643" s="2">
        <f t="shared" si="83"/>
        <v>-15.1</v>
      </c>
      <c r="L643" s="8">
        <f t="shared" si="87"/>
        <v>3.4673685045253144E-12</v>
      </c>
      <c r="M643" s="26"/>
      <c r="N643" s="17"/>
      <c r="O643" s="9">
        <f t="shared" si="85"/>
        <v>-20.100000000000001</v>
      </c>
      <c r="P643" s="8">
        <f>D638/B638*10^(O643/10)</f>
        <v>1.5310049794974347</v>
      </c>
      <c r="Q643" s="26"/>
      <c r="R643" s="17"/>
      <c r="S643" s="20"/>
      <c r="T643" s="17"/>
      <c r="U643" s="23"/>
    </row>
    <row r="644" spans="1:21" x14ac:dyDescent="0.25">
      <c r="A644" s="24">
        <v>8000</v>
      </c>
      <c r="B644" s="24">
        <v>3</v>
      </c>
      <c r="C644" s="17">
        <v>0.5</v>
      </c>
      <c r="D644" s="24">
        <v>943</v>
      </c>
      <c r="E644" s="24">
        <v>6</v>
      </c>
      <c r="F644" s="25">
        <v>54</v>
      </c>
      <c r="G644" s="1">
        <v>6025</v>
      </c>
      <c r="H644" s="2">
        <v>95</v>
      </c>
      <c r="I644" s="2">
        <v>-16.5</v>
      </c>
      <c r="J644" s="2">
        <v>-20.399999999999999</v>
      </c>
      <c r="K644" s="2">
        <f t="shared" si="83"/>
        <v>-16.5</v>
      </c>
      <c r="L644" s="8">
        <f t="shared" si="87"/>
        <v>7.0794578438413538E-12</v>
      </c>
      <c r="M644" s="26">
        <f>SUM(L644:L649)</f>
        <v>1.4322625418178121E-10</v>
      </c>
      <c r="N644" s="17">
        <f>10*LOG10(M644/E644)</f>
        <v>-106.22128616481773</v>
      </c>
      <c r="O644" s="9">
        <f t="shared" si="85"/>
        <v>-20.399999999999999</v>
      </c>
      <c r="P644" s="8">
        <f>D644/B644*10^(O644/10)</f>
        <v>2.8667540717087401</v>
      </c>
      <c r="Q644" s="26">
        <f>SUM(P644:P649)</f>
        <v>15.977790512657396</v>
      </c>
      <c r="R644" s="17">
        <f>10*LOG10(Q644)</f>
        <v>12.035167227561598</v>
      </c>
      <c r="S644" s="18">
        <f>F644+N644-Kzt-H</f>
        <v>-52.221286164817727</v>
      </c>
      <c r="T644" s="17">
        <v>0.7</v>
      </c>
      <c r="U644" s="21">
        <f>T644*10^((S644-R644)/10)</f>
        <v>2.626955407894767E-7</v>
      </c>
    </row>
    <row r="645" spans="1:21" x14ac:dyDescent="0.25">
      <c r="A645" s="24"/>
      <c r="B645" s="24"/>
      <c r="C645" s="17"/>
      <c r="D645" s="24"/>
      <c r="E645" s="24"/>
      <c r="F645" s="25"/>
      <c r="G645" s="1">
        <v>7025</v>
      </c>
      <c r="H645" s="2">
        <v>94.8</v>
      </c>
      <c r="I645" s="2">
        <v>-17.399999999999999</v>
      </c>
      <c r="J645" s="2">
        <v>-18.600000000000001</v>
      </c>
      <c r="K645" s="2">
        <f t="shared" si="83"/>
        <v>-17.399999999999999</v>
      </c>
      <c r="L645" s="8">
        <f t="shared" si="87"/>
        <v>6.0255958607435815E-12</v>
      </c>
      <c r="M645" s="26"/>
      <c r="N645" s="17"/>
      <c r="O645" s="9">
        <f t="shared" si="85"/>
        <v>-18.600000000000001</v>
      </c>
      <c r="P645" s="8">
        <f>D644/B644*10^(O645/10)</f>
        <v>4.3390078717350642</v>
      </c>
      <c r="Q645" s="26"/>
      <c r="R645" s="17"/>
      <c r="S645" s="19"/>
      <c r="T645" s="17"/>
      <c r="U645" s="22"/>
    </row>
    <row r="646" spans="1:21" x14ac:dyDescent="0.25">
      <c r="A646" s="24"/>
      <c r="B646" s="24"/>
      <c r="C646" s="17"/>
      <c r="D646" s="24"/>
      <c r="E646" s="24"/>
      <c r="F646" s="25"/>
      <c r="G646" s="1">
        <v>8025</v>
      </c>
      <c r="H646" s="2">
        <v>101.9</v>
      </c>
      <c r="I646" s="2">
        <v>-22.4</v>
      </c>
      <c r="J646" s="2">
        <v>-25.4</v>
      </c>
      <c r="K646" s="2">
        <f t="shared" si="83"/>
        <v>-22.4</v>
      </c>
      <c r="L646" s="8">
        <f t="shared" si="87"/>
        <v>3.7153522909717049E-13</v>
      </c>
      <c r="M646" s="26"/>
      <c r="N646" s="17"/>
      <c r="O646" s="9">
        <f t="shared" si="85"/>
        <v>-25.4</v>
      </c>
      <c r="P646" s="8">
        <f>D644/B644*10^(O646/10)</f>
        <v>0.90654723581612917</v>
      </c>
      <c r="Q646" s="26"/>
      <c r="R646" s="17"/>
      <c r="S646" s="19"/>
      <c r="T646" s="17"/>
      <c r="U646" s="22"/>
    </row>
    <row r="647" spans="1:21" x14ac:dyDescent="0.25">
      <c r="A647" s="24"/>
      <c r="B647" s="24"/>
      <c r="C647" s="17"/>
      <c r="D647" s="24"/>
      <c r="E647" s="24"/>
      <c r="F647" s="25"/>
      <c r="G647" s="1">
        <v>9025</v>
      </c>
      <c r="H647" s="2">
        <v>93.2</v>
      </c>
      <c r="I647" s="2">
        <v>-16</v>
      </c>
      <c r="J647" s="2">
        <v>-20</v>
      </c>
      <c r="K647" s="2">
        <f t="shared" si="83"/>
        <v>-16</v>
      </c>
      <c r="L647" s="8">
        <f t="shared" si="87"/>
        <v>1.2022644346174101E-11</v>
      </c>
      <c r="M647" s="26"/>
      <c r="N647" s="17"/>
      <c r="O647" s="9">
        <f t="shared" si="85"/>
        <v>-20</v>
      </c>
      <c r="P647" s="8">
        <f>D644/B644*10^(O647/10)</f>
        <v>3.1433333333333331</v>
      </c>
      <c r="Q647" s="26"/>
      <c r="R647" s="17"/>
      <c r="S647" s="19"/>
      <c r="T647" s="17"/>
      <c r="U647" s="22"/>
    </row>
    <row r="648" spans="1:21" x14ac:dyDescent="0.25">
      <c r="A648" s="24"/>
      <c r="B648" s="24"/>
      <c r="C648" s="17"/>
      <c r="D648" s="24"/>
      <c r="E648" s="24"/>
      <c r="F648" s="25"/>
      <c r="G648" s="1">
        <v>10025</v>
      </c>
      <c r="H648" s="2">
        <v>88.3</v>
      </c>
      <c r="I648" s="2">
        <v>-13.4</v>
      </c>
      <c r="J648" s="2">
        <v>-21</v>
      </c>
      <c r="K648" s="2">
        <f t="shared" si="83"/>
        <v>-13.4</v>
      </c>
      <c r="L648" s="8">
        <f t="shared" si="87"/>
        <v>6.7608297539198024E-11</v>
      </c>
      <c r="M648" s="26"/>
      <c r="N648" s="17"/>
      <c r="O648" s="9">
        <f t="shared" si="85"/>
        <v>-21</v>
      </c>
      <c r="P648" s="8">
        <f>D644/B644*10^(O648/10)</f>
        <v>2.4968384178166572</v>
      </c>
      <c r="Q648" s="26"/>
      <c r="R648" s="17"/>
      <c r="S648" s="19"/>
      <c r="T648" s="17"/>
      <c r="U648" s="22"/>
    </row>
    <row r="649" spans="1:21" x14ac:dyDescent="0.25">
      <c r="A649" s="24"/>
      <c r="B649" s="24"/>
      <c r="C649" s="17"/>
      <c r="D649" s="24"/>
      <c r="E649" s="24"/>
      <c r="F649" s="25"/>
      <c r="G649" s="1">
        <v>11025</v>
      </c>
      <c r="H649" s="2">
        <v>86</v>
      </c>
      <c r="I649" s="2">
        <v>-17</v>
      </c>
      <c r="J649" s="2">
        <v>-21.5</v>
      </c>
      <c r="K649" s="2">
        <f t="shared" si="83"/>
        <v>-17</v>
      </c>
      <c r="L649" s="8">
        <f t="shared" si="87"/>
        <v>5.0118723362726993E-11</v>
      </c>
      <c r="M649" s="26"/>
      <c r="N649" s="17"/>
      <c r="O649" s="9">
        <f t="shared" si="85"/>
        <v>-21.5</v>
      </c>
      <c r="P649" s="8">
        <f>D644/B644*10^(O649/10)</f>
        <v>2.2253095822474735</v>
      </c>
      <c r="Q649" s="26"/>
      <c r="R649" s="17"/>
      <c r="S649" s="20"/>
      <c r="T649" s="17"/>
      <c r="U649" s="23"/>
    </row>
    <row r="650" spans="1:21" x14ac:dyDescent="0.25">
      <c r="A650" s="24" t="s">
        <v>20</v>
      </c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12">
        <f>U650</f>
        <v>6.5761581075674008E-2</v>
      </c>
      <c r="T650" s="2"/>
      <c r="U650" s="8">
        <f>0.8*SQRT(SUM(U616:U649))</f>
        <v>6.5761581075674008E-2</v>
      </c>
    </row>
    <row r="651" spans="1:21" x14ac:dyDescent="0.25">
      <c r="A651" s="27" t="s">
        <v>110</v>
      </c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9"/>
    </row>
    <row r="652" spans="1:21" x14ac:dyDescent="0.25">
      <c r="A652" s="24">
        <v>250</v>
      </c>
      <c r="B652" s="24">
        <v>3</v>
      </c>
      <c r="C652" s="17">
        <v>0.5</v>
      </c>
      <c r="D652" s="24">
        <v>38</v>
      </c>
      <c r="E652" s="24">
        <v>4</v>
      </c>
      <c r="F652" s="25">
        <v>84</v>
      </c>
      <c r="G652" s="1">
        <v>175</v>
      </c>
      <c r="H652" s="2">
        <v>84.8</v>
      </c>
      <c r="I652" s="2">
        <v>-17.7</v>
      </c>
      <c r="J652" s="2">
        <v>-20.5</v>
      </c>
      <c r="K652" s="2">
        <f>I652</f>
        <v>-17.7</v>
      </c>
      <c r="L652" s="8">
        <f>10^((K652-H652)/10)</f>
        <v>5.6234132519034822E-11</v>
      </c>
      <c r="M652" s="26">
        <f>SUM(L652:L655)</f>
        <v>7.248062893183295E-11</v>
      </c>
      <c r="N652" s="17">
        <f>10*LOG10(M652/E652)</f>
        <v>-107.41838038165284</v>
      </c>
      <c r="O652" s="9">
        <f>J652</f>
        <v>-20.5</v>
      </c>
      <c r="P652" s="8">
        <f>D652/B652*10^(O652/10)</f>
        <v>0.11289178549694109</v>
      </c>
      <c r="Q652" s="26">
        <f>SUM(P652:P655)</f>
        <v>0.23225207743244106</v>
      </c>
      <c r="R652" s="17">
        <f>10*LOG10(Q652)</f>
        <v>-6.3404039266947407</v>
      </c>
      <c r="S652" s="18">
        <f>F652+N652-Kzt-H</f>
        <v>-23.418380381652838</v>
      </c>
      <c r="T652" s="17">
        <v>0.2</v>
      </c>
      <c r="U652" s="21">
        <f>T652*10^((S652-R652)/10)</f>
        <v>3.9195151745006771E-3</v>
      </c>
    </row>
    <row r="653" spans="1:21" x14ac:dyDescent="0.25">
      <c r="A653" s="24"/>
      <c r="B653" s="24"/>
      <c r="C653" s="17"/>
      <c r="D653" s="24"/>
      <c r="E653" s="24"/>
      <c r="F653" s="25"/>
      <c r="G653" s="1">
        <v>225</v>
      </c>
      <c r="H653" s="2">
        <v>90</v>
      </c>
      <c r="I653" s="2">
        <v>-20.399999999999999</v>
      </c>
      <c r="J653" s="2">
        <v>-25.5</v>
      </c>
      <c r="K653" s="2">
        <f t="shared" ref="K653:K685" si="88">I653</f>
        <v>-20.399999999999999</v>
      </c>
      <c r="L653" s="8">
        <f t="shared" ref="L653:L654" si="89">10^((K653-H653)/10)</f>
        <v>9.1201083935590542E-12</v>
      </c>
      <c r="M653" s="26"/>
      <c r="N653" s="17"/>
      <c r="O653" s="9">
        <f t="shared" ref="O653:O685" si="90">J653</f>
        <v>-25.5</v>
      </c>
      <c r="P653" s="8">
        <f>D652/B652*10^(O653/10)</f>
        <v>3.5699517129349725E-2</v>
      </c>
      <c r="Q653" s="26"/>
      <c r="R653" s="17"/>
      <c r="S653" s="19"/>
      <c r="T653" s="17"/>
      <c r="U653" s="22"/>
    </row>
    <row r="654" spans="1:21" x14ac:dyDescent="0.25">
      <c r="A654" s="24"/>
      <c r="B654" s="24"/>
      <c r="C654" s="17"/>
      <c r="D654" s="24"/>
      <c r="E654" s="24"/>
      <c r="F654" s="25"/>
      <c r="G654" s="1">
        <v>275</v>
      </c>
      <c r="H654" s="2">
        <v>92.2</v>
      </c>
      <c r="I654" s="2">
        <v>-22.7</v>
      </c>
      <c r="J654" s="2">
        <v>-26.7</v>
      </c>
      <c r="K654" s="2">
        <f t="shared" si="88"/>
        <v>-22.7</v>
      </c>
      <c r="L654" s="8">
        <f t="shared" si="89"/>
        <v>3.2359365692962695E-12</v>
      </c>
      <c r="M654" s="26"/>
      <c r="N654" s="17"/>
      <c r="O654" s="9">
        <f t="shared" si="90"/>
        <v>-26.7</v>
      </c>
      <c r="P654" s="8">
        <f>D652/B652*10^(O654/10)</f>
        <v>2.7080853133694936E-2</v>
      </c>
      <c r="Q654" s="26"/>
      <c r="R654" s="17"/>
      <c r="S654" s="19"/>
      <c r="T654" s="17"/>
      <c r="U654" s="22"/>
    </row>
    <row r="655" spans="1:21" x14ac:dyDescent="0.25">
      <c r="A655" s="24"/>
      <c r="B655" s="24"/>
      <c r="C655" s="17"/>
      <c r="D655" s="24"/>
      <c r="E655" s="24"/>
      <c r="F655" s="25"/>
      <c r="G655" s="1">
        <v>325</v>
      </c>
      <c r="H655" s="2">
        <v>93.3</v>
      </c>
      <c r="I655" s="2">
        <v>-20.8</v>
      </c>
      <c r="J655" s="2">
        <v>-23.5</v>
      </c>
      <c r="K655" s="2">
        <f t="shared" si="88"/>
        <v>-20.8</v>
      </c>
      <c r="L655" s="8">
        <f>10^((K655-H655)/10)</f>
        <v>3.890451449942802E-12</v>
      </c>
      <c r="M655" s="26"/>
      <c r="N655" s="17"/>
      <c r="O655" s="9">
        <f t="shared" si="90"/>
        <v>-23.5</v>
      </c>
      <c r="P655" s="8">
        <f>D652/B652*10^(O655/10)</f>
        <v>5.6579921672455284E-2</v>
      </c>
      <c r="Q655" s="26"/>
      <c r="R655" s="17"/>
      <c r="S655" s="20"/>
      <c r="T655" s="17"/>
      <c r="U655" s="23"/>
    </row>
    <row r="656" spans="1:21" x14ac:dyDescent="0.25">
      <c r="A656" s="24">
        <v>500</v>
      </c>
      <c r="B656" s="24">
        <v>3</v>
      </c>
      <c r="C656" s="17">
        <v>0.5</v>
      </c>
      <c r="D656" s="24">
        <v>59</v>
      </c>
      <c r="E656" s="24">
        <v>6</v>
      </c>
      <c r="F656" s="25">
        <v>84</v>
      </c>
      <c r="G656" s="1">
        <v>375</v>
      </c>
      <c r="H656" s="2">
        <v>91.9</v>
      </c>
      <c r="I656" s="2">
        <v>-15.7</v>
      </c>
      <c r="J656" s="2">
        <v>-25.5</v>
      </c>
      <c r="K656" s="2">
        <f t="shared" si="88"/>
        <v>-15.7</v>
      </c>
      <c r="L656" s="8">
        <f t="shared" ref="L656:L657" si="91">10^((K656-H656)/10)</f>
        <v>1.7378008287493627E-11</v>
      </c>
      <c r="M656" s="26">
        <f>SUM(L656:L661)</f>
        <v>5.9362896125132361E-11</v>
      </c>
      <c r="N656" s="17">
        <f>10*LOG10(M656/E656)</f>
        <v>-110.04636169762234</v>
      </c>
      <c r="O656" s="9">
        <f t="shared" si="90"/>
        <v>-25.5</v>
      </c>
      <c r="P656" s="8">
        <f>D656/B656*10^(O656/10)</f>
        <v>5.5428197648200894E-2</v>
      </c>
      <c r="Q656" s="26">
        <f>SUM(P656:P661)</f>
        <v>0.32417072141362163</v>
      </c>
      <c r="R656" s="17">
        <f>10*LOG10(Q656)</f>
        <v>-4.8922621250634393</v>
      </c>
      <c r="S656" s="18">
        <f>F656+N656-Kzt-H</f>
        <v>-26.046361697622345</v>
      </c>
      <c r="T656" s="17">
        <v>0.5</v>
      </c>
      <c r="U656" s="21">
        <f>T656*10^((S656-R656)/10)</f>
        <v>3.8331873573074654E-3</v>
      </c>
    </row>
    <row r="657" spans="1:21" x14ac:dyDescent="0.25">
      <c r="A657" s="24"/>
      <c r="B657" s="24"/>
      <c r="C657" s="17"/>
      <c r="D657" s="24"/>
      <c r="E657" s="24"/>
      <c r="F657" s="25"/>
      <c r="G657" s="1">
        <v>425</v>
      </c>
      <c r="H657" s="2">
        <v>88.1</v>
      </c>
      <c r="I657" s="2">
        <v>-18.7</v>
      </c>
      <c r="J657" s="2">
        <v>-23.4</v>
      </c>
      <c r="K657" s="2">
        <f t="shared" si="88"/>
        <v>-18.7</v>
      </c>
      <c r="L657" s="8">
        <f t="shared" si="91"/>
        <v>2.0892961308540373E-11</v>
      </c>
      <c r="M657" s="26"/>
      <c r="N657" s="17"/>
      <c r="O657" s="9">
        <f t="shared" si="90"/>
        <v>-23.4</v>
      </c>
      <c r="P657" s="8">
        <f>D656/B656*10^(O657/10)</f>
        <v>8.9894010624258766E-2</v>
      </c>
      <c r="Q657" s="26"/>
      <c r="R657" s="17"/>
      <c r="S657" s="19"/>
      <c r="T657" s="17"/>
      <c r="U657" s="22"/>
    </row>
    <row r="658" spans="1:21" x14ac:dyDescent="0.25">
      <c r="A658" s="24"/>
      <c r="B658" s="24"/>
      <c r="C658" s="17"/>
      <c r="D658" s="24"/>
      <c r="E658" s="24"/>
      <c r="F658" s="25"/>
      <c r="G658" s="1">
        <v>475</v>
      </c>
      <c r="H658" s="2">
        <v>90</v>
      </c>
      <c r="I658" s="2">
        <v>-18.899999999999999</v>
      </c>
      <c r="J658" s="2">
        <v>-23.5</v>
      </c>
      <c r="K658" s="2">
        <f t="shared" si="88"/>
        <v>-18.899999999999999</v>
      </c>
      <c r="L658" s="8">
        <f>10^((K658-H658)/10)</f>
        <v>1.2882495516931307E-11</v>
      </c>
      <c r="M658" s="26"/>
      <c r="N658" s="17"/>
      <c r="O658" s="9">
        <f t="shared" si="90"/>
        <v>-23.5</v>
      </c>
      <c r="P658" s="8">
        <f>D656/B656*10^(O658/10)</f>
        <v>8.7847773123022693E-2</v>
      </c>
      <c r="Q658" s="26"/>
      <c r="R658" s="17"/>
      <c r="S658" s="19"/>
      <c r="T658" s="17"/>
      <c r="U658" s="22"/>
    </row>
    <row r="659" spans="1:21" x14ac:dyDescent="0.25">
      <c r="A659" s="24"/>
      <c r="B659" s="24"/>
      <c r="C659" s="17"/>
      <c r="D659" s="24"/>
      <c r="E659" s="24"/>
      <c r="F659" s="25"/>
      <c r="G659" s="1">
        <v>575</v>
      </c>
      <c r="H659" s="2">
        <v>97</v>
      </c>
      <c r="I659" s="2">
        <v>-21.4</v>
      </c>
      <c r="J659" s="2">
        <v>-26.7</v>
      </c>
      <c r="K659" s="2">
        <f t="shared" si="88"/>
        <v>-21.4</v>
      </c>
      <c r="L659" s="8">
        <f t="shared" ref="L659:L685" si="92">10^((K659-H659)/10)</f>
        <v>1.4454397707459267E-12</v>
      </c>
      <c r="M659" s="26"/>
      <c r="N659" s="17"/>
      <c r="O659" s="9">
        <f t="shared" si="90"/>
        <v>-26.7</v>
      </c>
      <c r="P659" s="8">
        <f>D656/B656*10^(O659/10)</f>
        <v>4.2046587760210558E-2</v>
      </c>
      <c r="Q659" s="26"/>
      <c r="R659" s="17"/>
      <c r="S659" s="19"/>
      <c r="T659" s="17"/>
      <c r="U659" s="22"/>
    </row>
    <row r="660" spans="1:21" x14ac:dyDescent="0.25">
      <c r="A660" s="24"/>
      <c r="B660" s="24"/>
      <c r="C660" s="17"/>
      <c r="D660" s="24"/>
      <c r="E660" s="24"/>
      <c r="F660" s="25"/>
      <c r="G660" s="1">
        <v>625</v>
      </c>
      <c r="H660" s="2">
        <v>92</v>
      </c>
      <c r="I660" s="2">
        <v>-21.6</v>
      </c>
      <c r="J660" s="2">
        <v>-29</v>
      </c>
      <c r="K660" s="2">
        <f t="shared" si="88"/>
        <v>-21.6</v>
      </c>
      <c r="L660" s="8">
        <f t="shared" si="92"/>
        <v>4.3651583224016522E-12</v>
      </c>
      <c r="M660" s="26"/>
      <c r="N660" s="17"/>
      <c r="O660" s="9">
        <f t="shared" si="90"/>
        <v>-29</v>
      </c>
      <c r="P660" s="8">
        <f>D656/B656*10^(O660/10)</f>
        <v>2.4758866431951937E-2</v>
      </c>
      <c r="Q660" s="26"/>
      <c r="R660" s="17"/>
      <c r="S660" s="19"/>
      <c r="T660" s="17"/>
      <c r="U660" s="22"/>
    </row>
    <row r="661" spans="1:21" x14ac:dyDescent="0.25">
      <c r="A661" s="24"/>
      <c r="B661" s="24"/>
      <c r="C661" s="17"/>
      <c r="D661" s="24"/>
      <c r="E661" s="24"/>
      <c r="F661" s="25"/>
      <c r="G661" s="1">
        <v>675</v>
      </c>
      <c r="H661" s="2">
        <v>94.5</v>
      </c>
      <c r="I661" s="2">
        <v>-21.7</v>
      </c>
      <c r="J661" s="2">
        <v>-29.1</v>
      </c>
      <c r="K661" s="2">
        <f t="shared" si="88"/>
        <v>-21.7</v>
      </c>
      <c r="L661" s="8">
        <f t="shared" si="92"/>
        <v>2.3988329190194755E-12</v>
      </c>
      <c r="M661" s="26"/>
      <c r="N661" s="17"/>
      <c r="O661" s="9">
        <f t="shared" si="90"/>
        <v>-29.1</v>
      </c>
      <c r="P661" s="8">
        <f>D656/B656*10^(O661/10)</f>
        <v>2.4195285825976822E-2</v>
      </c>
      <c r="Q661" s="26"/>
      <c r="R661" s="17"/>
      <c r="S661" s="20"/>
      <c r="T661" s="17"/>
      <c r="U661" s="23"/>
    </row>
    <row r="662" spans="1:21" x14ac:dyDescent="0.25">
      <c r="A662" s="24">
        <v>1000</v>
      </c>
      <c r="B662" s="24">
        <v>3</v>
      </c>
      <c r="C662" s="17">
        <v>0.5</v>
      </c>
      <c r="D662" s="24">
        <v>117</v>
      </c>
      <c r="E662" s="24">
        <v>6</v>
      </c>
      <c r="F662" s="25">
        <v>76</v>
      </c>
      <c r="G662" s="1">
        <v>875</v>
      </c>
      <c r="H662" s="2">
        <v>91.1</v>
      </c>
      <c r="I662" s="2">
        <v>-26.4</v>
      </c>
      <c r="J662" s="2">
        <v>-29.4</v>
      </c>
      <c r="K662" s="2">
        <f t="shared" si="88"/>
        <v>-26.4</v>
      </c>
      <c r="L662" s="8">
        <f t="shared" si="92"/>
        <v>1.7782794100389204E-12</v>
      </c>
      <c r="M662" s="26">
        <f>SUM(L662:L667)</f>
        <v>5.8214987807889111E-12</v>
      </c>
      <c r="N662" s="17">
        <f>10*LOG10(M662/E662)</f>
        <v>-120.13116439543322</v>
      </c>
      <c r="O662" s="9">
        <f t="shared" si="90"/>
        <v>-29.4</v>
      </c>
      <c r="P662" s="8">
        <f>D662/B662*10^(O662/10)</f>
        <v>4.4777991238378417E-2</v>
      </c>
      <c r="Q662" s="26">
        <f>SUM(P662:P667)</f>
        <v>0.63446940883824166</v>
      </c>
      <c r="R662" s="17">
        <f>10*LOG10(Q662)</f>
        <v>-1.975893127229813</v>
      </c>
      <c r="S662" s="18">
        <f>F662+N662-Kzt-H</f>
        <v>-44.131164395433217</v>
      </c>
      <c r="T662" s="17">
        <v>0.8</v>
      </c>
      <c r="U662" s="21">
        <f>T662*10^((S662-R662)/10)</f>
        <v>4.8703801438205416E-5</v>
      </c>
    </row>
    <row r="663" spans="1:21" x14ac:dyDescent="0.25">
      <c r="A663" s="24"/>
      <c r="B663" s="24"/>
      <c r="C663" s="17"/>
      <c r="D663" s="24"/>
      <c r="E663" s="24"/>
      <c r="F663" s="25"/>
      <c r="G663" s="1">
        <v>975</v>
      </c>
      <c r="H663" s="2">
        <v>96.5</v>
      </c>
      <c r="I663" s="2">
        <v>-22</v>
      </c>
      <c r="J663" s="2">
        <v>-26.8</v>
      </c>
      <c r="K663" s="2">
        <f t="shared" si="88"/>
        <v>-22</v>
      </c>
      <c r="L663" s="8">
        <f t="shared" si="92"/>
        <v>1.4125375446227535E-12</v>
      </c>
      <c r="M663" s="26"/>
      <c r="N663" s="17"/>
      <c r="O663" s="9">
        <f t="shared" si="90"/>
        <v>-26.8</v>
      </c>
      <c r="P663" s="8">
        <f>D662/B662*10^(O663/10)</f>
        <v>8.1482549103307447E-2</v>
      </c>
      <c r="Q663" s="26"/>
      <c r="R663" s="17"/>
      <c r="S663" s="19"/>
      <c r="T663" s="17"/>
      <c r="U663" s="22"/>
    </row>
    <row r="664" spans="1:21" x14ac:dyDescent="0.25">
      <c r="A664" s="24"/>
      <c r="B664" s="24"/>
      <c r="C664" s="17"/>
      <c r="D664" s="24"/>
      <c r="E664" s="24"/>
      <c r="F664" s="25"/>
      <c r="G664" s="1">
        <v>1075</v>
      </c>
      <c r="H664" s="2">
        <v>94.6</v>
      </c>
      <c r="I664" s="2">
        <v>-25.5</v>
      </c>
      <c r="J664" s="2">
        <v>-27.5</v>
      </c>
      <c r="K664" s="2">
        <f t="shared" si="88"/>
        <v>-25.5</v>
      </c>
      <c r="L664" s="8">
        <f t="shared" si="92"/>
        <v>9.7723722095580816E-13</v>
      </c>
      <c r="M664" s="26"/>
      <c r="N664" s="17"/>
      <c r="O664" s="9">
        <f t="shared" si="90"/>
        <v>-27.5</v>
      </c>
      <c r="P664" s="8">
        <f>D662/B662*10^(O664/10)</f>
        <v>6.9352896991517976E-2</v>
      </c>
      <c r="Q664" s="26"/>
      <c r="R664" s="17"/>
      <c r="S664" s="19"/>
      <c r="T664" s="17"/>
      <c r="U664" s="22"/>
    </row>
    <row r="665" spans="1:21" x14ac:dyDescent="0.25">
      <c r="A665" s="24"/>
      <c r="B665" s="24"/>
      <c r="C665" s="17"/>
      <c r="D665" s="24"/>
      <c r="E665" s="24"/>
      <c r="F665" s="25"/>
      <c r="G665" s="1">
        <v>1175</v>
      </c>
      <c r="H665" s="2">
        <v>97.8</v>
      </c>
      <c r="I665" s="2">
        <v>-22.7</v>
      </c>
      <c r="J665" s="2">
        <v>-24.4</v>
      </c>
      <c r="K665" s="2">
        <f t="shared" si="88"/>
        <v>-22.7</v>
      </c>
      <c r="L665" s="8">
        <f t="shared" si="92"/>
        <v>8.9125093813374051E-13</v>
      </c>
      <c r="M665" s="26"/>
      <c r="N665" s="17"/>
      <c r="O665" s="9">
        <f t="shared" si="90"/>
        <v>-24.4</v>
      </c>
      <c r="P665" s="8">
        <f>D662/B662*10^(O665/10)</f>
        <v>0.14160044136033942</v>
      </c>
      <c r="Q665" s="26"/>
      <c r="R665" s="17"/>
      <c r="S665" s="19"/>
      <c r="T665" s="17"/>
      <c r="U665" s="22"/>
    </row>
    <row r="666" spans="1:21" x14ac:dyDescent="0.25">
      <c r="A666" s="24"/>
      <c r="B666" s="24"/>
      <c r="C666" s="17"/>
      <c r="D666" s="24"/>
      <c r="E666" s="24"/>
      <c r="F666" s="25"/>
      <c r="G666" s="1">
        <v>1275</v>
      </c>
      <c r="H666" s="2">
        <v>100.1</v>
      </c>
      <c r="I666" s="2">
        <v>-23.799999999999997</v>
      </c>
      <c r="J666" s="2">
        <v>-23.9</v>
      </c>
      <c r="K666" s="2">
        <f t="shared" si="88"/>
        <v>-23.799999999999997</v>
      </c>
      <c r="L666" s="8">
        <f t="shared" si="92"/>
        <v>4.0738027780411313E-13</v>
      </c>
      <c r="M666" s="26"/>
      <c r="N666" s="17"/>
      <c r="O666" s="9">
        <f t="shared" si="90"/>
        <v>-23.9</v>
      </c>
      <c r="P666" s="8">
        <f>D662/B662*10^(O666/10)</f>
        <v>0.15887830834360409</v>
      </c>
      <c r="Q666" s="26"/>
      <c r="R666" s="17"/>
      <c r="S666" s="19"/>
      <c r="T666" s="17"/>
      <c r="U666" s="22"/>
    </row>
    <row r="667" spans="1:21" x14ac:dyDescent="0.25">
      <c r="A667" s="24"/>
      <c r="B667" s="24"/>
      <c r="C667" s="17"/>
      <c r="D667" s="24"/>
      <c r="E667" s="24"/>
      <c r="F667" s="25"/>
      <c r="G667" s="1">
        <v>1375</v>
      </c>
      <c r="H667" s="2">
        <v>103</v>
      </c>
      <c r="I667" s="2">
        <v>-21.5</v>
      </c>
      <c r="J667" s="2">
        <v>-24.5</v>
      </c>
      <c r="K667" s="2">
        <f t="shared" si="88"/>
        <v>-21.5</v>
      </c>
      <c r="L667" s="8">
        <f t="shared" si="92"/>
        <v>3.5481338923357479E-13</v>
      </c>
      <c r="M667" s="26"/>
      <c r="N667" s="17"/>
      <c r="O667" s="9">
        <f t="shared" si="90"/>
        <v>-24.5</v>
      </c>
      <c r="P667" s="8">
        <f>D662/B662*10^(O667/10)</f>
        <v>0.13837722180109435</v>
      </c>
      <c r="Q667" s="26"/>
      <c r="R667" s="17"/>
      <c r="S667" s="20"/>
      <c r="T667" s="17"/>
      <c r="U667" s="23"/>
    </row>
    <row r="668" spans="1:21" x14ac:dyDescent="0.25">
      <c r="A668" s="24">
        <v>2000</v>
      </c>
      <c r="B668" s="24">
        <v>3</v>
      </c>
      <c r="C668" s="17">
        <v>0.5</v>
      </c>
      <c r="D668" s="24">
        <v>234</v>
      </c>
      <c r="E668" s="24">
        <v>6</v>
      </c>
      <c r="F668" s="25">
        <v>68</v>
      </c>
      <c r="G668" s="1">
        <v>1425</v>
      </c>
      <c r="H668" s="2">
        <v>102.8</v>
      </c>
      <c r="I668" s="2">
        <v>-21.5</v>
      </c>
      <c r="J668" s="2">
        <v>-30.9</v>
      </c>
      <c r="K668" s="2">
        <f t="shared" si="88"/>
        <v>-21.5</v>
      </c>
      <c r="L668" s="8">
        <f t="shared" si="92"/>
        <v>3.7153522909717175E-13</v>
      </c>
      <c r="M668" s="26">
        <f>SUM(L668:L673)</f>
        <v>6.9000851530873862E-12</v>
      </c>
      <c r="N668" s="17">
        <f>10*LOG10(M668/E668)</f>
        <v>-119.39296800039465</v>
      </c>
      <c r="O668" s="9">
        <f t="shared" si="90"/>
        <v>-30.9</v>
      </c>
      <c r="P668" s="8">
        <f>D668/B668*10^(O668/10)</f>
        <v>6.3400780260799705E-2</v>
      </c>
      <c r="Q668" s="26">
        <f>SUM(P668:P673)</f>
        <v>0.83677635098861125</v>
      </c>
      <c r="R668" s="17">
        <f>10*LOG10(Q668)</f>
        <v>-0.77390602353810789</v>
      </c>
      <c r="S668" s="18">
        <f>F668+N668-Kzt-H</f>
        <v>-51.392968000394646</v>
      </c>
      <c r="T668" s="17">
        <v>1</v>
      </c>
      <c r="U668" s="21">
        <f>T668*10^((S668-R668)/10)</f>
        <v>8.6714914917938398E-6</v>
      </c>
    </row>
    <row r="669" spans="1:21" x14ac:dyDescent="0.25">
      <c r="A669" s="24"/>
      <c r="B669" s="24"/>
      <c r="C669" s="17"/>
      <c r="D669" s="24"/>
      <c r="E669" s="24"/>
      <c r="F669" s="25"/>
      <c r="G669" s="1">
        <v>1625</v>
      </c>
      <c r="H669" s="2">
        <v>104.1</v>
      </c>
      <c r="I669" s="2">
        <v>-20.9</v>
      </c>
      <c r="J669" s="2">
        <v>-27.7</v>
      </c>
      <c r="K669" s="2">
        <f t="shared" si="88"/>
        <v>-20.9</v>
      </c>
      <c r="L669" s="8">
        <f t="shared" si="92"/>
        <v>3.1622776601683746E-13</v>
      </c>
      <c r="M669" s="26"/>
      <c r="N669" s="17"/>
      <c r="O669" s="9">
        <f t="shared" si="90"/>
        <v>-27.7</v>
      </c>
      <c r="P669" s="8">
        <f>D668/B668*10^(O669/10)</f>
        <v>0.13246300489201593</v>
      </c>
      <c r="Q669" s="26"/>
      <c r="R669" s="17"/>
      <c r="S669" s="19"/>
      <c r="T669" s="17"/>
      <c r="U669" s="22"/>
    </row>
    <row r="670" spans="1:21" x14ac:dyDescent="0.25">
      <c r="A670" s="24"/>
      <c r="B670" s="24"/>
      <c r="C670" s="17"/>
      <c r="D670" s="24"/>
      <c r="E670" s="24"/>
      <c r="F670" s="25"/>
      <c r="G670" s="1">
        <v>1825</v>
      </c>
      <c r="H670" s="2">
        <v>107.6</v>
      </c>
      <c r="I670" s="2">
        <v>-22.7</v>
      </c>
      <c r="J670" s="2">
        <v>-24.2</v>
      </c>
      <c r="K670" s="2">
        <f t="shared" si="88"/>
        <v>-22.7</v>
      </c>
      <c r="L670" s="8">
        <f t="shared" si="92"/>
        <v>9.3325430079699445E-14</v>
      </c>
      <c r="M670" s="26"/>
      <c r="N670" s="17"/>
      <c r="O670" s="9">
        <f t="shared" si="90"/>
        <v>-24.2</v>
      </c>
      <c r="P670" s="8">
        <f>D668/B668*10^(O670/10)</f>
        <v>0.29654772913003774</v>
      </c>
      <c r="Q670" s="26"/>
      <c r="R670" s="17"/>
      <c r="S670" s="19"/>
      <c r="T670" s="17"/>
      <c r="U670" s="22"/>
    </row>
    <row r="671" spans="1:21" x14ac:dyDescent="0.25">
      <c r="A671" s="24"/>
      <c r="B671" s="24"/>
      <c r="C671" s="17"/>
      <c r="D671" s="24"/>
      <c r="E671" s="24"/>
      <c r="F671" s="25"/>
      <c r="G671" s="1">
        <v>2125</v>
      </c>
      <c r="H671" s="2">
        <v>104.2</v>
      </c>
      <c r="I671" s="2">
        <v>-19.3</v>
      </c>
      <c r="J671" s="2">
        <v>-27.2</v>
      </c>
      <c r="K671" s="2">
        <f t="shared" si="88"/>
        <v>-19.3</v>
      </c>
      <c r="L671" s="8">
        <f t="shared" si="92"/>
        <v>4.4668359215096191E-13</v>
      </c>
      <c r="M671" s="26"/>
      <c r="N671" s="17"/>
      <c r="O671" s="9">
        <f t="shared" si="90"/>
        <v>-27.2</v>
      </c>
      <c r="P671" s="8">
        <f>D668/B668*10^(O671/10)</f>
        <v>0.1486259360011333</v>
      </c>
      <c r="Q671" s="26"/>
      <c r="R671" s="17"/>
      <c r="S671" s="19"/>
      <c r="T671" s="17"/>
      <c r="U671" s="22"/>
    </row>
    <row r="672" spans="1:21" x14ac:dyDescent="0.25">
      <c r="A672" s="24"/>
      <c r="B672" s="24"/>
      <c r="C672" s="17"/>
      <c r="D672" s="24"/>
      <c r="E672" s="24"/>
      <c r="F672" s="25"/>
      <c r="G672" s="1">
        <v>2425</v>
      </c>
      <c r="H672" s="2">
        <v>93.7</v>
      </c>
      <c r="I672" s="2">
        <v>-19</v>
      </c>
      <c r="J672" s="2">
        <v>-33.299999999999997</v>
      </c>
      <c r="K672" s="2">
        <f t="shared" si="88"/>
        <v>-19</v>
      </c>
      <c r="L672" s="8">
        <f t="shared" si="92"/>
        <v>5.3703179637025143E-12</v>
      </c>
      <c r="M672" s="26"/>
      <c r="N672" s="17"/>
      <c r="O672" s="9">
        <f t="shared" si="90"/>
        <v>-33.299999999999997</v>
      </c>
      <c r="P672" s="8">
        <f>D668/B668*10^(O672/10)</f>
        <v>3.6483341020401447E-2</v>
      </c>
      <c r="Q672" s="26"/>
      <c r="R672" s="17"/>
      <c r="S672" s="19"/>
      <c r="T672" s="17"/>
      <c r="U672" s="22"/>
    </row>
    <row r="673" spans="1:21" x14ac:dyDescent="0.25">
      <c r="A673" s="24"/>
      <c r="B673" s="24"/>
      <c r="C673" s="17"/>
      <c r="D673" s="24"/>
      <c r="E673" s="24"/>
      <c r="F673" s="25"/>
      <c r="G673" s="1">
        <v>2775</v>
      </c>
      <c r="H673" s="2">
        <v>100.2</v>
      </c>
      <c r="I673" s="2">
        <v>-25</v>
      </c>
      <c r="J673" s="2">
        <v>-26.9</v>
      </c>
      <c r="K673" s="2">
        <f t="shared" si="88"/>
        <v>-25</v>
      </c>
      <c r="L673" s="8">
        <f t="shared" si="92"/>
        <v>3.0199517204020122E-13</v>
      </c>
      <c r="M673" s="26"/>
      <c r="N673" s="17"/>
      <c r="O673" s="9">
        <f t="shared" si="90"/>
        <v>-26.9</v>
      </c>
      <c r="P673" s="8">
        <f>D668/B668*10^(O673/10)</f>
        <v>0.15925555968422328</v>
      </c>
      <c r="Q673" s="26"/>
      <c r="R673" s="17"/>
      <c r="S673" s="20"/>
      <c r="T673" s="17"/>
      <c r="U673" s="23"/>
    </row>
    <row r="674" spans="1:21" x14ac:dyDescent="0.25">
      <c r="A674" s="24">
        <v>4000</v>
      </c>
      <c r="B674" s="24">
        <v>3</v>
      </c>
      <c r="C674" s="17">
        <v>0.5</v>
      </c>
      <c r="D674" s="24">
        <v>470</v>
      </c>
      <c r="E674" s="24">
        <v>6</v>
      </c>
      <c r="F674" s="25">
        <v>62</v>
      </c>
      <c r="G674" s="1">
        <v>2825</v>
      </c>
      <c r="H674" s="2">
        <v>99.4</v>
      </c>
      <c r="I674" s="2">
        <v>-18.2</v>
      </c>
      <c r="J674" s="2">
        <v>-27.4</v>
      </c>
      <c r="K674" s="2">
        <f t="shared" si="88"/>
        <v>-18.2</v>
      </c>
      <c r="L674" s="8">
        <f t="shared" si="92"/>
        <v>1.7378008287493668E-12</v>
      </c>
      <c r="M674" s="26">
        <f>SUM(L674:L679)</f>
        <v>3.3465235012966627E-12</v>
      </c>
      <c r="N674" s="17">
        <f>10*LOG10(M674/E674)</f>
        <v>-122.53557371156893</v>
      </c>
      <c r="O674" s="9">
        <f t="shared" si="90"/>
        <v>-27.4</v>
      </c>
      <c r="P674" s="8">
        <f>D674/B674*10^(O674/10)</f>
        <v>0.28508646784889724</v>
      </c>
      <c r="Q674" s="26">
        <f>SUM(P674:P679)</f>
        <v>2.2852726683282238</v>
      </c>
      <c r="R674" s="17">
        <f>10*LOG10(Q674)</f>
        <v>3.5893802553737331</v>
      </c>
      <c r="S674" s="18">
        <f>F674+N674-Kzt-H</f>
        <v>-60.535573711568929</v>
      </c>
      <c r="T674" s="17">
        <v>0.9</v>
      </c>
      <c r="U674" s="21">
        <f>T674*10^((S674-R674)/10)</f>
        <v>3.4813453920333924E-7</v>
      </c>
    </row>
    <row r="675" spans="1:21" x14ac:dyDescent="0.25">
      <c r="A675" s="24"/>
      <c r="B675" s="24"/>
      <c r="C675" s="17"/>
      <c r="D675" s="24"/>
      <c r="E675" s="24"/>
      <c r="F675" s="25"/>
      <c r="G675" s="1">
        <v>3425</v>
      </c>
      <c r="H675" s="2">
        <v>103.5</v>
      </c>
      <c r="I675" s="2">
        <v>-23</v>
      </c>
      <c r="J675" s="2">
        <v>-24</v>
      </c>
      <c r="K675" s="2">
        <f t="shared" si="88"/>
        <v>-23</v>
      </c>
      <c r="L675" s="8">
        <f t="shared" si="92"/>
        <v>2.238721138568332E-13</v>
      </c>
      <c r="M675" s="26"/>
      <c r="N675" s="17"/>
      <c r="O675" s="9">
        <f t="shared" si="90"/>
        <v>-24</v>
      </c>
      <c r="P675" s="8">
        <f>D674/B674*10^(O675/10)</f>
        <v>0.62370123386714549</v>
      </c>
      <c r="Q675" s="26"/>
      <c r="R675" s="17"/>
      <c r="S675" s="19"/>
      <c r="T675" s="17"/>
      <c r="U675" s="22"/>
    </row>
    <row r="676" spans="1:21" x14ac:dyDescent="0.25">
      <c r="A676" s="24"/>
      <c r="B676" s="24"/>
      <c r="C676" s="17"/>
      <c r="D676" s="24"/>
      <c r="E676" s="24"/>
      <c r="F676" s="25"/>
      <c r="G676" s="1">
        <v>4025</v>
      </c>
      <c r="H676" s="2">
        <v>103.6</v>
      </c>
      <c r="I676" s="2">
        <v>-20.399999999999999</v>
      </c>
      <c r="J676" s="2">
        <v>-25.7</v>
      </c>
      <c r="K676" s="2">
        <f t="shared" si="88"/>
        <v>-20.399999999999999</v>
      </c>
      <c r="L676" s="8">
        <f t="shared" si="92"/>
        <v>3.9810717055349631E-13</v>
      </c>
      <c r="M676" s="26"/>
      <c r="N676" s="17"/>
      <c r="O676" s="9">
        <f t="shared" si="90"/>
        <v>-25.7</v>
      </c>
      <c r="P676" s="8">
        <f>D674/B674*10^(O676/10)</f>
        <v>0.42167378594854998</v>
      </c>
      <c r="Q676" s="26"/>
      <c r="R676" s="17"/>
      <c r="S676" s="19"/>
      <c r="T676" s="17"/>
      <c r="U676" s="22"/>
    </row>
    <row r="677" spans="1:21" x14ac:dyDescent="0.25">
      <c r="A677" s="24"/>
      <c r="B677" s="24"/>
      <c r="C677" s="17"/>
      <c r="D677" s="24"/>
      <c r="E677" s="24"/>
      <c r="F677" s="25"/>
      <c r="G677" s="1">
        <v>4625</v>
      </c>
      <c r="H677" s="2">
        <v>105.6</v>
      </c>
      <c r="I677" s="2">
        <v>-20</v>
      </c>
      <c r="J677" s="2">
        <v>-28.7</v>
      </c>
      <c r="K677" s="2">
        <f t="shared" si="88"/>
        <v>-20</v>
      </c>
      <c r="L677" s="8">
        <f t="shared" si="92"/>
        <v>2.754228703338164E-13</v>
      </c>
      <c r="M677" s="26"/>
      <c r="N677" s="17"/>
      <c r="O677" s="9">
        <f t="shared" si="90"/>
        <v>-28.7</v>
      </c>
      <c r="P677" s="8">
        <f>D674/B674*10^(O677/10)</f>
        <v>0.21133751827269218</v>
      </c>
      <c r="Q677" s="26"/>
      <c r="R677" s="17"/>
      <c r="S677" s="19"/>
      <c r="T677" s="17"/>
      <c r="U677" s="22"/>
    </row>
    <row r="678" spans="1:21" x14ac:dyDescent="0.25">
      <c r="A678" s="24"/>
      <c r="B678" s="24"/>
      <c r="C678" s="17"/>
      <c r="D678" s="24"/>
      <c r="E678" s="24"/>
      <c r="F678" s="25"/>
      <c r="G678" s="1">
        <v>5225</v>
      </c>
      <c r="H678" s="2">
        <v>103.5</v>
      </c>
      <c r="I678" s="2">
        <v>-20.7</v>
      </c>
      <c r="J678" s="2">
        <v>-26.4</v>
      </c>
      <c r="K678" s="2">
        <f t="shared" si="88"/>
        <v>-20.7</v>
      </c>
      <c r="L678" s="8">
        <f t="shared" si="92"/>
        <v>3.8018939632056036E-13</v>
      </c>
      <c r="M678" s="26"/>
      <c r="N678" s="17"/>
      <c r="O678" s="9">
        <f t="shared" si="90"/>
        <v>-26.4</v>
      </c>
      <c r="P678" s="8">
        <f>D674/B674*10^(O678/10)</f>
        <v>0.35890259893361787</v>
      </c>
      <c r="Q678" s="26"/>
      <c r="R678" s="17"/>
      <c r="S678" s="19"/>
      <c r="T678" s="17"/>
      <c r="U678" s="22"/>
    </row>
    <row r="679" spans="1:21" x14ac:dyDescent="0.25">
      <c r="A679" s="24"/>
      <c r="B679" s="24"/>
      <c r="C679" s="17"/>
      <c r="D679" s="24"/>
      <c r="E679" s="24"/>
      <c r="F679" s="25"/>
      <c r="G679" s="1">
        <v>5625</v>
      </c>
      <c r="H679" s="2">
        <v>99.5</v>
      </c>
      <c r="I679" s="2">
        <v>-25.3</v>
      </c>
      <c r="J679" s="2">
        <v>-26.1</v>
      </c>
      <c r="K679" s="2">
        <f t="shared" si="88"/>
        <v>-25.3</v>
      </c>
      <c r="L679" s="8">
        <f t="shared" si="92"/>
        <v>3.311311214825894E-13</v>
      </c>
      <c r="M679" s="26"/>
      <c r="N679" s="17"/>
      <c r="O679" s="9">
        <f t="shared" si="90"/>
        <v>-26.1</v>
      </c>
      <c r="P679" s="8">
        <f>D674/B674*10^(O679/10)</f>
        <v>0.38457106345732078</v>
      </c>
      <c r="Q679" s="26"/>
      <c r="R679" s="17"/>
      <c r="S679" s="20"/>
      <c r="T679" s="17"/>
      <c r="U679" s="23"/>
    </row>
    <row r="680" spans="1:21" x14ac:dyDescent="0.25">
      <c r="A680" s="24">
        <v>8000</v>
      </c>
      <c r="B680" s="24">
        <v>3</v>
      </c>
      <c r="C680" s="17">
        <v>0.5</v>
      </c>
      <c r="D680" s="24">
        <v>943</v>
      </c>
      <c r="E680" s="24">
        <v>6</v>
      </c>
      <c r="F680" s="25">
        <v>54</v>
      </c>
      <c r="G680" s="1">
        <v>6025</v>
      </c>
      <c r="H680" s="2">
        <v>95</v>
      </c>
      <c r="I680" s="2">
        <v>-20.6</v>
      </c>
      <c r="J680" s="2">
        <v>-22.6</v>
      </c>
      <c r="K680" s="2">
        <f t="shared" si="88"/>
        <v>-20.6</v>
      </c>
      <c r="L680" s="8">
        <f t="shared" si="92"/>
        <v>2.7542287033381671E-12</v>
      </c>
      <c r="M680" s="26">
        <f>SUM(L680:L685)</f>
        <v>2.5457283464549715E-11</v>
      </c>
      <c r="N680" s="17">
        <f>10*LOG10(M680/E680)</f>
        <v>-113.72339191965473</v>
      </c>
      <c r="O680" s="9">
        <f t="shared" si="90"/>
        <v>-22.6</v>
      </c>
      <c r="P680" s="8">
        <f>D680/B680*10^(O680/10)</f>
        <v>1.7273901468257986</v>
      </c>
      <c r="Q680" s="26">
        <f>SUM(P680:P685)</f>
        <v>5.9755496013064882</v>
      </c>
      <c r="R680" s="17">
        <f>10*LOG10(Q680)</f>
        <v>7.7637785570178428</v>
      </c>
      <c r="S680" s="18">
        <f>F680+N680-Kzt-H</f>
        <v>-59.72339191965473</v>
      </c>
      <c r="T680" s="17">
        <v>0.7</v>
      </c>
      <c r="U680" s="21">
        <f>T680*10^((S680-R680)/10)</f>
        <v>1.248478283141247E-7</v>
      </c>
    </row>
    <row r="681" spans="1:21" x14ac:dyDescent="0.25">
      <c r="A681" s="24"/>
      <c r="B681" s="24"/>
      <c r="C681" s="17"/>
      <c r="D681" s="24"/>
      <c r="E681" s="24"/>
      <c r="F681" s="25"/>
      <c r="G681" s="1">
        <v>7025</v>
      </c>
      <c r="H681" s="2">
        <v>94.8</v>
      </c>
      <c r="I681" s="2">
        <v>-22.9</v>
      </c>
      <c r="J681" s="2">
        <v>-25.5</v>
      </c>
      <c r="K681" s="2">
        <f t="shared" si="88"/>
        <v>-22.9</v>
      </c>
      <c r="L681" s="8">
        <f t="shared" si="92"/>
        <v>1.6982436524617421E-12</v>
      </c>
      <c r="M681" s="26"/>
      <c r="N681" s="17"/>
      <c r="O681" s="9">
        <f t="shared" si="90"/>
        <v>-25.5</v>
      </c>
      <c r="P681" s="8">
        <f>D680/B680*10^(O681/10)</f>
        <v>0.88591170139412612</v>
      </c>
      <c r="Q681" s="26"/>
      <c r="R681" s="17"/>
      <c r="S681" s="19"/>
      <c r="T681" s="17"/>
      <c r="U681" s="22"/>
    </row>
    <row r="682" spans="1:21" x14ac:dyDescent="0.25">
      <c r="A682" s="24"/>
      <c r="B682" s="24"/>
      <c r="C682" s="17"/>
      <c r="D682" s="24"/>
      <c r="E682" s="24"/>
      <c r="F682" s="25"/>
      <c r="G682" s="1">
        <v>8025</v>
      </c>
      <c r="H682" s="2">
        <v>101.9</v>
      </c>
      <c r="I682" s="2">
        <v>-24</v>
      </c>
      <c r="J682" s="2">
        <v>-28</v>
      </c>
      <c r="K682" s="2">
        <f t="shared" si="88"/>
        <v>-24</v>
      </c>
      <c r="L682" s="8">
        <f t="shared" si="92"/>
        <v>2.5703957827688533E-13</v>
      </c>
      <c r="M682" s="26"/>
      <c r="N682" s="17"/>
      <c r="O682" s="9">
        <f t="shared" si="90"/>
        <v>-28</v>
      </c>
      <c r="P682" s="8">
        <f>D680/B680*10^(O682/10)</f>
        <v>0.49818476016360996</v>
      </c>
      <c r="Q682" s="26"/>
      <c r="R682" s="17"/>
      <c r="S682" s="19"/>
      <c r="T682" s="17"/>
      <c r="U682" s="22"/>
    </row>
    <row r="683" spans="1:21" x14ac:dyDescent="0.25">
      <c r="A683" s="24"/>
      <c r="B683" s="24"/>
      <c r="C683" s="17"/>
      <c r="D683" s="24"/>
      <c r="E683" s="24"/>
      <c r="F683" s="25"/>
      <c r="G683" s="1">
        <v>9025</v>
      </c>
      <c r="H683" s="2">
        <v>93.2</v>
      </c>
      <c r="I683" s="2">
        <v>-23.6</v>
      </c>
      <c r="J683" s="2">
        <v>-25.9</v>
      </c>
      <c r="K683" s="2">
        <f t="shared" si="88"/>
        <v>-23.6</v>
      </c>
      <c r="L683" s="8">
        <f t="shared" si="92"/>
        <v>2.0892961308540277E-12</v>
      </c>
      <c r="M683" s="26"/>
      <c r="N683" s="17"/>
      <c r="O683" s="9">
        <f t="shared" si="90"/>
        <v>-25.9</v>
      </c>
      <c r="P683" s="8">
        <f>D680/B680*10^(O683/10)</f>
        <v>0.80796107438367948</v>
      </c>
      <c r="Q683" s="26"/>
      <c r="R683" s="17"/>
      <c r="S683" s="19"/>
      <c r="T683" s="17"/>
      <c r="U683" s="22"/>
    </row>
    <row r="684" spans="1:21" x14ac:dyDescent="0.25">
      <c r="A684" s="24"/>
      <c r="B684" s="24"/>
      <c r="C684" s="17"/>
      <c r="D684" s="24"/>
      <c r="E684" s="24"/>
      <c r="F684" s="25"/>
      <c r="G684" s="1">
        <v>10025</v>
      </c>
      <c r="H684" s="2">
        <v>88.3</v>
      </c>
      <c r="I684" s="2">
        <v>-21.4</v>
      </c>
      <c r="J684" s="2">
        <v>-22.9</v>
      </c>
      <c r="K684" s="2">
        <f t="shared" si="88"/>
        <v>-21.4</v>
      </c>
      <c r="L684" s="8">
        <f t="shared" si="92"/>
        <v>1.0715193052376083E-11</v>
      </c>
      <c r="M684" s="26"/>
      <c r="N684" s="17"/>
      <c r="O684" s="9">
        <f t="shared" si="90"/>
        <v>-22.9</v>
      </c>
      <c r="P684" s="8">
        <f>D680/B680*10^(O684/10)</f>
        <v>1.6120942836795229</v>
      </c>
      <c r="Q684" s="26"/>
      <c r="R684" s="17"/>
      <c r="S684" s="19"/>
      <c r="T684" s="17"/>
      <c r="U684" s="22"/>
    </row>
    <row r="685" spans="1:21" x14ac:dyDescent="0.25">
      <c r="A685" s="24"/>
      <c r="B685" s="24"/>
      <c r="C685" s="17"/>
      <c r="D685" s="24"/>
      <c r="E685" s="24"/>
      <c r="F685" s="25"/>
      <c r="G685" s="1">
        <v>11025</v>
      </c>
      <c r="H685" s="2">
        <v>86</v>
      </c>
      <c r="I685" s="2">
        <v>-25</v>
      </c>
      <c r="J685" s="2">
        <v>-28.5</v>
      </c>
      <c r="K685" s="2">
        <f t="shared" si="88"/>
        <v>-25</v>
      </c>
      <c r="L685" s="8">
        <f t="shared" si="92"/>
        <v>7.9432823472428101E-12</v>
      </c>
      <c r="M685" s="26"/>
      <c r="N685" s="17"/>
      <c r="O685" s="9">
        <f t="shared" si="90"/>
        <v>-28.5</v>
      </c>
      <c r="P685" s="8">
        <f>D680/B680*10^(O685/10)</f>
        <v>0.44400763485975192</v>
      </c>
      <c r="Q685" s="26"/>
      <c r="R685" s="17"/>
      <c r="S685" s="20"/>
      <c r="T685" s="17"/>
      <c r="U685" s="23"/>
    </row>
    <row r="686" spans="1:21" x14ac:dyDescent="0.25">
      <c r="A686" s="24" t="s">
        <v>20</v>
      </c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12">
        <f>U686</f>
        <v>7.0701856528295082E-2</v>
      </c>
      <c r="T686" s="2"/>
      <c r="U686" s="8">
        <f>0.8*SQRT(SUM(U652:U685))</f>
        <v>7.0701856528295082E-2</v>
      </c>
    </row>
    <row r="687" spans="1:21" x14ac:dyDescent="0.25">
      <c r="A687" s="27" t="s">
        <v>111</v>
      </c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9"/>
    </row>
    <row r="688" spans="1:21" x14ac:dyDescent="0.25">
      <c r="A688" s="24">
        <v>250</v>
      </c>
      <c r="B688" s="24">
        <v>3</v>
      </c>
      <c r="C688" s="17">
        <v>0.5</v>
      </c>
      <c r="D688" s="24">
        <v>38</v>
      </c>
      <c r="E688" s="24">
        <v>4</v>
      </c>
      <c r="F688" s="25">
        <v>84</v>
      </c>
      <c r="G688" s="1">
        <v>175</v>
      </c>
      <c r="H688" s="2">
        <v>84.8</v>
      </c>
      <c r="I688" s="2">
        <v>-11</v>
      </c>
      <c r="J688" s="2">
        <v>-16.600000000000001</v>
      </c>
      <c r="K688" s="2">
        <f>I688</f>
        <v>-11</v>
      </c>
      <c r="L688" s="8">
        <f>10^((K688-H688)/10)</f>
        <v>2.6302679918953798E-10</v>
      </c>
      <c r="M688" s="26">
        <f>SUM(L688:L691)</f>
        <v>3.9403212130998067E-10</v>
      </c>
      <c r="N688" s="17">
        <f>10*LOG10(M688/E688)</f>
        <v>-100.06528364580923</v>
      </c>
      <c r="O688" s="9">
        <f>J688</f>
        <v>-16.600000000000001</v>
      </c>
      <c r="P688" s="8">
        <f>D688/B688*10^(O688/10)</f>
        <v>0.27711647236694315</v>
      </c>
      <c r="Q688" s="26">
        <f>SUM(P688:P691)</f>
        <v>1.3228107931454078</v>
      </c>
      <c r="R688" s="17">
        <f>10*LOG10(Q688)</f>
        <v>1.2149772977384705</v>
      </c>
      <c r="S688" s="18">
        <f>F688+N688-Kzt-H</f>
        <v>-16.065283645809231</v>
      </c>
      <c r="T688" s="17">
        <v>0.2</v>
      </c>
      <c r="U688" s="21">
        <f>T688*10^((S688-R688)/10)</f>
        <v>3.7411394895863859E-3</v>
      </c>
    </row>
    <row r="689" spans="1:21" x14ac:dyDescent="0.25">
      <c r="A689" s="24"/>
      <c r="B689" s="24"/>
      <c r="C689" s="17"/>
      <c r="D689" s="24"/>
      <c r="E689" s="24"/>
      <c r="F689" s="25"/>
      <c r="G689" s="1">
        <v>225</v>
      </c>
      <c r="H689" s="2">
        <v>90</v>
      </c>
      <c r="I689" s="2">
        <v>-12.4</v>
      </c>
      <c r="J689" s="2">
        <v>-17.399999999999999</v>
      </c>
      <c r="K689" s="2">
        <f t="shared" ref="K689:K721" si="93">I689</f>
        <v>-12.4</v>
      </c>
      <c r="L689" s="8">
        <f t="shared" ref="L689:L690" si="94">10^((K689-H689)/10)</f>
        <v>5.7543993733715601E-11</v>
      </c>
      <c r="M689" s="26"/>
      <c r="N689" s="17"/>
      <c r="O689" s="9">
        <f t="shared" ref="O689:O721" si="95">J689</f>
        <v>-17.399999999999999</v>
      </c>
      <c r="P689" s="8">
        <f>D688/B688*10^(O689/10)</f>
        <v>0.23049544209059783</v>
      </c>
      <c r="Q689" s="26"/>
      <c r="R689" s="17"/>
      <c r="S689" s="19"/>
      <c r="T689" s="17"/>
      <c r="U689" s="22"/>
    </row>
    <row r="690" spans="1:21" x14ac:dyDescent="0.25">
      <c r="A690" s="24"/>
      <c r="B690" s="24"/>
      <c r="C690" s="17"/>
      <c r="D690" s="24"/>
      <c r="E690" s="24"/>
      <c r="F690" s="25"/>
      <c r="G690" s="1">
        <v>275</v>
      </c>
      <c r="H690" s="2">
        <v>92.2</v>
      </c>
      <c r="I690" s="2">
        <v>-12.2</v>
      </c>
      <c r="J690" s="2">
        <v>-14</v>
      </c>
      <c r="K690" s="2">
        <f t="shared" si="93"/>
        <v>-12.2</v>
      </c>
      <c r="L690" s="8">
        <f t="shared" si="94"/>
        <v>3.6307805477009883E-11</v>
      </c>
      <c r="M690" s="26"/>
      <c r="N690" s="17"/>
      <c r="O690" s="9">
        <f t="shared" si="95"/>
        <v>-14</v>
      </c>
      <c r="P690" s="8">
        <f>D688/B688*10^(O690/10)</f>
        <v>0.50426908270109649</v>
      </c>
      <c r="Q690" s="26"/>
      <c r="R690" s="17"/>
      <c r="S690" s="19"/>
      <c r="T690" s="17"/>
      <c r="U690" s="22"/>
    </row>
    <row r="691" spans="1:21" x14ac:dyDescent="0.25">
      <c r="A691" s="24"/>
      <c r="B691" s="24"/>
      <c r="C691" s="17"/>
      <c r="D691" s="24"/>
      <c r="E691" s="24"/>
      <c r="F691" s="25"/>
      <c r="G691" s="1">
        <v>325</v>
      </c>
      <c r="H691" s="2">
        <v>93.3</v>
      </c>
      <c r="I691" s="2">
        <v>-11</v>
      </c>
      <c r="J691" s="2">
        <v>-16.100000000000001</v>
      </c>
      <c r="K691" s="2">
        <f t="shared" si="93"/>
        <v>-11</v>
      </c>
      <c r="L691" s="8">
        <f>10^((K691-H691)/10)</f>
        <v>3.7153522909717256E-11</v>
      </c>
      <c r="M691" s="26"/>
      <c r="N691" s="17"/>
      <c r="O691" s="9">
        <f t="shared" si="95"/>
        <v>-16.100000000000001</v>
      </c>
      <c r="P691" s="8">
        <f>D688/B688*10^(O691/10)</f>
        <v>0.31092979598677029</v>
      </c>
      <c r="Q691" s="26"/>
      <c r="R691" s="17"/>
      <c r="S691" s="20"/>
      <c r="T691" s="17"/>
      <c r="U691" s="23"/>
    </row>
    <row r="692" spans="1:21" x14ac:dyDescent="0.25">
      <c r="A692" s="24">
        <v>500</v>
      </c>
      <c r="B692" s="24">
        <v>3</v>
      </c>
      <c r="C692" s="17">
        <v>0.5</v>
      </c>
      <c r="D692" s="24">
        <v>59</v>
      </c>
      <c r="E692" s="24">
        <v>6</v>
      </c>
      <c r="F692" s="25">
        <v>84</v>
      </c>
      <c r="G692" s="1">
        <v>375</v>
      </c>
      <c r="H692" s="2">
        <v>91.9</v>
      </c>
      <c r="I692" s="2">
        <v>-11.3</v>
      </c>
      <c r="J692" s="2">
        <v>-20.5</v>
      </c>
      <c r="K692" s="2">
        <f t="shared" si="93"/>
        <v>-11.3</v>
      </c>
      <c r="L692" s="8">
        <f t="shared" ref="L692:L693" si="96">10^((K692-H692)/10)</f>
        <v>4.786300923226362E-11</v>
      </c>
      <c r="M692" s="26">
        <f>SUM(L692:L697)</f>
        <v>1.1719780675635633E-10</v>
      </c>
      <c r="N692" s="17">
        <f>10*LOG10(M692/E692)</f>
        <v>-107.09231766026866</v>
      </c>
      <c r="O692" s="9">
        <f t="shared" si="95"/>
        <v>-20.5</v>
      </c>
      <c r="P692" s="8">
        <f>D692/B692*10^(O692/10)</f>
        <v>0.1752793511663033</v>
      </c>
      <c r="Q692" s="26">
        <f>SUM(P692:P697)</f>
        <v>1.3186759065944349</v>
      </c>
      <c r="R692" s="17">
        <f>10*LOG10(Q692)</f>
        <v>1.2013807130627607</v>
      </c>
      <c r="S692" s="18">
        <f>F692+N692-Kzt-H</f>
        <v>-23.092317660268662</v>
      </c>
      <c r="T692" s="17">
        <v>0.5</v>
      </c>
      <c r="U692" s="21">
        <f>T692*10^((S692-R692)/10)</f>
        <v>1.8603735959798757E-3</v>
      </c>
    </row>
    <row r="693" spans="1:21" x14ac:dyDescent="0.25">
      <c r="A693" s="24"/>
      <c r="B693" s="24"/>
      <c r="C693" s="17"/>
      <c r="D693" s="24"/>
      <c r="E693" s="24"/>
      <c r="F693" s="25"/>
      <c r="G693" s="1">
        <v>425</v>
      </c>
      <c r="H693" s="2">
        <v>88.1</v>
      </c>
      <c r="I693" s="2">
        <v>-18.3</v>
      </c>
      <c r="J693" s="2">
        <v>-20.7</v>
      </c>
      <c r="K693" s="2">
        <f t="shared" si="93"/>
        <v>-18.3</v>
      </c>
      <c r="L693" s="8">
        <f t="shared" si="96"/>
        <v>2.290867652767778E-11</v>
      </c>
      <c r="M693" s="26"/>
      <c r="N693" s="17"/>
      <c r="O693" s="9">
        <f t="shared" si="95"/>
        <v>-20.7</v>
      </c>
      <c r="P693" s="8">
        <f>D692/B692*10^(O693/10)</f>
        <v>0.16739048084646743</v>
      </c>
      <c r="Q693" s="26"/>
      <c r="R693" s="17"/>
      <c r="S693" s="19"/>
      <c r="T693" s="17"/>
      <c r="U693" s="22"/>
    </row>
    <row r="694" spans="1:21" x14ac:dyDescent="0.25">
      <c r="A694" s="24"/>
      <c r="B694" s="24"/>
      <c r="C694" s="17"/>
      <c r="D694" s="24"/>
      <c r="E694" s="24"/>
      <c r="F694" s="25"/>
      <c r="G694" s="1">
        <v>475</v>
      </c>
      <c r="H694" s="2">
        <v>90</v>
      </c>
      <c r="I694" s="2">
        <v>-16.8</v>
      </c>
      <c r="J694" s="2">
        <v>-18.3</v>
      </c>
      <c r="K694" s="2">
        <f t="shared" si="93"/>
        <v>-16.8</v>
      </c>
      <c r="L694" s="8">
        <f>10^((K694-H694)/10)</f>
        <v>2.0892961308540373E-11</v>
      </c>
      <c r="M694" s="26"/>
      <c r="N694" s="17"/>
      <c r="O694" s="9">
        <f t="shared" si="95"/>
        <v>-18.3</v>
      </c>
      <c r="P694" s="8">
        <f>D692/B692*10^(O694/10)</f>
        <v>0.29089131633974741</v>
      </c>
      <c r="Q694" s="26"/>
      <c r="R694" s="17"/>
      <c r="S694" s="19"/>
      <c r="T694" s="17"/>
      <c r="U694" s="22"/>
    </row>
    <row r="695" spans="1:21" x14ac:dyDescent="0.25">
      <c r="A695" s="24"/>
      <c r="B695" s="24"/>
      <c r="C695" s="17"/>
      <c r="D695" s="24"/>
      <c r="E695" s="24"/>
      <c r="F695" s="25"/>
      <c r="G695" s="1">
        <v>575</v>
      </c>
      <c r="H695" s="2">
        <v>97</v>
      </c>
      <c r="I695" s="2">
        <v>-14.6</v>
      </c>
      <c r="J695" s="2">
        <v>-18.7</v>
      </c>
      <c r="K695" s="2">
        <f t="shared" si="93"/>
        <v>-14.6</v>
      </c>
      <c r="L695" s="8">
        <f t="shared" ref="L695:L721" si="97">10^((K695-H695)/10)</f>
        <v>6.9183097091893405E-12</v>
      </c>
      <c r="M695" s="26"/>
      <c r="N695" s="17"/>
      <c r="O695" s="9">
        <f t="shared" si="95"/>
        <v>-18.7</v>
      </c>
      <c r="P695" s="8">
        <f>D692/B692*10^(O695/10)</f>
        <v>0.26529603357635856</v>
      </c>
      <c r="Q695" s="26"/>
      <c r="R695" s="17"/>
      <c r="S695" s="19"/>
      <c r="T695" s="17"/>
      <c r="U695" s="22"/>
    </row>
    <row r="696" spans="1:21" x14ac:dyDescent="0.25">
      <c r="A696" s="24"/>
      <c r="B696" s="24"/>
      <c r="C696" s="17"/>
      <c r="D696" s="24"/>
      <c r="E696" s="24"/>
      <c r="F696" s="25"/>
      <c r="G696" s="1">
        <v>625</v>
      </c>
      <c r="H696" s="2">
        <v>92</v>
      </c>
      <c r="I696" s="2">
        <v>-20.2</v>
      </c>
      <c r="J696" s="2">
        <v>-22.9</v>
      </c>
      <c r="K696" s="2">
        <f t="shared" si="93"/>
        <v>-20.2</v>
      </c>
      <c r="L696" s="8">
        <f t="shared" si="97"/>
        <v>6.0255958607435596E-12</v>
      </c>
      <c r="M696" s="26"/>
      <c r="N696" s="17"/>
      <c r="O696" s="9">
        <f t="shared" si="95"/>
        <v>-22.9</v>
      </c>
      <c r="P696" s="8">
        <f>D692/B692*10^(O696/10)</f>
        <v>0.10086273885163506</v>
      </c>
      <c r="Q696" s="26"/>
      <c r="R696" s="17"/>
      <c r="S696" s="19"/>
      <c r="T696" s="17"/>
      <c r="U696" s="22"/>
    </row>
    <row r="697" spans="1:21" x14ac:dyDescent="0.25">
      <c r="A697" s="24"/>
      <c r="B697" s="24"/>
      <c r="C697" s="17"/>
      <c r="D697" s="24"/>
      <c r="E697" s="24"/>
      <c r="F697" s="25"/>
      <c r="G697" s="1">
        <v>675</v>
      </c>
      <c r="H697" s="2">
        <v>94.5</v>
      </c>
      <c r="I697" s="2">
        <v>-14.5</v>
      </c>
      <c r="J697" s="2">
        <v>-17.899999999999999</v>
      </c>
      <c r="K697" s="2">
        <f t="shared" si="93"/>
        <v>-14.5</v>
      </c>
      <c r="L697" s="8">
        <f t="shared" si="97"/>
        <v>1.2589254117941641E-11</v>
      </c>
      <c r="M697" s="26"/>
      <c r="N697" s="17"/>
      <c r="O697" s="9">
        <f t="shared" si="95"/>
        <v>-17.899999999999999</v>
      </c>
      <c r="P697" s="8">
        <f>D692/B692*10^(O697/10)</f>
        <v>0.31895598581392304</v>
      </c>
      <c r="Q697" s="26"/>
      <c r="R697" s="17"/>
      <c r="S697" s="20"/>
      <c r="T697" s="17"/>
      <c r="U697" s="23"/>
    </row>
    <row r="698" spans="1:21" x14ac:dyDescent="0.25">
      <c r="A698" s="24">
        <v>1000</v>
      </c>
      <c r="B698" s="24">
        <v>3</v>
      </c>
      <c r="C698" s="17">
        <v>0.5</v>
      </c>
      <c r="D698" s="24">
        <v>117</v>
      </c>
      <c r="E698" s="24">
        <v>6</v>
      </c>
      <c r="F698" s="25">
        <v>76</v>
      </c>
      <c r="G698" s="1">
        <v>875</v>
      </c>
      <c r="H698" s="2">
        <v>91.1</v>
      </c>
      <c r="I698" s="2">
        <v>-16</v>
      </c>
      <c r="J698" s="2">
        <v>-24.1</v>
      </c>
      <c r="K698" s="2">
        <f t="shared" si="93"/>
        <v>-16</v>
      </c>
      <c r="L698" s="8">
        <f t="shared" si="97"/>
        <v>1.949844599758044E-11</v>
      </c>
      <c r="M698" s="26">
        <f>SUM(L698:L703)</f>
        <v>5.8385090688365037E-11</v>
      </c>
      <c r="N698" s="17">
        <f>10*LOG10(M698/E698)</f>
        <v>-110.11849291258214</v>
      </c>
      <c r="O698" s="9">
        <f t="shared" si="95"/>
        <v>-24.1</v>
      </c>
      <c r="P698" s="8">
        <f>D698/B698*10^(O698/10)</f>
        <v>0.15172760654776929</v>
      </c>
      <c r="Q698" s="26">
        <f>SUM(P698:P703)</f>
        <v>2.4096010635817295</v>
      </c>
      <c r="R698" s="17">
        <f>10*LOG10(Q698)</f>
        <v>3.8194514621531699</v>
      </c>
      <c r="S698" s="18">
        <f>F698+N698-Kzt-H</f>
        <v>-34.118492912582141</v>
      </c>
      <c r="T698" s="17">
        <v>0.8</v>
      </c>
      <c r="U698" s="21">
        <f>T698*10^((S698-R698)/10)</f>
        <v>1.2861616310822922E-4</v>
      </c>
    </row>
    <row r="699" spans="1:21" x14ac:dyDescent="0.25">
      <c r="A699" s="24"/>
      <c r="B699" s="24"/>
      <c r="C699" s="17"/>
      <c r="D699" s="24"/>
      <c r="E699" s="24"/>
      <c r="F699" s="25"/>
      <c r="G699" s="1">
        <v>975</v>
      </c>
      <c r="H699" s="2">
        <v>96.5</v>
      </c>
      <c r="I699" s="2">
        <v>-18.8</v>
      </c>
      <c r="J699" s="2">
        <v>-20.3</v>
      </c>
      <c r="K699" s="2">
        <f t="shared" si="93"/>
        <v>-18.8</v>
      </c>
      <c r="L699" s="8">
        <f t="shared" si="97"/>
        <v>2.9512092266663859E-12</v>
      </c>
      <c r="M699" s="26"/>
      <c r="N699" s="17"/>
      <c r="O699" s="9">
        <f t="shared" si="95"/>
        <v>-20.3</v>
      </c>
      <c r="P699" s="8">
        <f>D698/B698*10^(O699/10)</f>
        <v>0.36396917731082612</v>
      </c>
      <c r="Q699" s="26"/>
      <c r="R699" s="17"/>
      <c r="S699" s="19"/>
      <c r="T699" s="17"/>
      <c r="U699" s="22"/>
    </row>
    <row r="700" spans="1:21" x14ac:dyDescent="0.25">
      <c r="A700" s="24"/>
      <c r="B700" s="24"/>
      <c r="C700" s="17"/>
      <c r="D700" s="24"/>
      <c r="E700" s="24"/>
      <c r="F700" s="25"/>
      <c r="G700" s="1">
        <v>1075</v>
      </c>
      <c r="H700" s="2">
        <v>94.6</v>
      </c>
      <c r="I700" s="2">
        <v>-10.8</v>
      </c>
      <c r="J700" s="2">
        <v>-21.3</v>
      </c>
      <c r="K700" s="2">
        <f t="shared" si="93"/>
        <v>-10.8</v>
      </c>
      <c r="L700" s="8">
        <f t="shared" si="97"/>
        <v>2.8840315031266094E-11</v>
      </c>
      <c r="M700" s="26"/>
      <c r="N700" s="17"/>
      <c r="O700" s="9">
        <f t="shared" si="95"/>
        <v>-21.3</v>
      </c>
      <c r="P700" s="8">
        <f>D698/B698*10^(O700/10)</f>
        <v>0.2891109941073578</v>
      </c>
      <c r="Q700" s="26"/>
      <c r="R700" s="17"/>
      <c r="S700" s="19"/>
      <c r="T700" s="17"/>
      <c r="U700" s="22"/>
    </row>
    <row r="701" spans="1:21" x14ac:dyDescent="0.25">
      <c r="A701" s="24"/>
      <c r="B701" s="24"/>
      <c r="C701" s="17"/>
      <c r="D701" s="24"/>
      <c r="E701" s="24"/>
      <c r="F701" s="25"/>
      <c r="G701" s="1">
        <v>1175</v>
      </c>
      <c r="H701" s="2">
        <v>97.8</v>
      </c>
      <c r="I701" s="2">
        <v>-16.7</v>
      </c>
      <c r="J701" s="2">
        <v>-17.3</v>
      </c>
      <c r="K701" s="2">
        <f t="shared" si="93"/>
        <v>-16.7</v>
      </c>
      <c r="L701" s="8">
        <f t="shared" si="97"/>
        <v>3.5481338923357515E-12</v>
      </c>
      <c r="M701" s="26"/>
      <c r="N701" s="17"/>
      <c r="O701" s="9">
        <f t="shared" si="95"/>
        <v>-17.3</v>
      </c>
      <c r="P701" s="8">
        <f>D698/B698*10^(O701/10)</f>
        <v>0.72621398329851805</v>
      </c>
      <c r="Q701" s="26"/>
      <c r="R701" s="17"/>
      <c r="S701" s="19"/>
      <c r="T701" s="17"/>
      <c r="U701" s="22"/>
    </row>
    <row r="702" spans="1:21" x14ac:dyDescent="0.25">
      <c r="A702" s="24"/>
      <c r="B702" s="24"/>
      <c r="C702" s="17"/>
      <c r="D702" s="24"/>
      <c r="E702" s="24"/>
      <c r="F702" s="25"/>
      <c r="G702" s="1">
        <v>1275</v>
      </c>
      <c r="H702" s="2">
        <v>100.1</v>
      </c>
      <c r="I702" s="2">
        <v>-16.100000000000001</v>
      </c>
      <c r="J702" s="2">
        <v>-22</v>
      </c>
      <c r="K702" s="2">
        <f t="shared" si="93"/>
        <v>-16.100000000000001</v>
      </c>
      <c r="L702" s="8">
        <f t="shared" si="97"/>
        <v>2.3988329190194925E-12</v>
      </c>
      <c r="M702" s="26"/>
      <c r="N702" s="17"/>
      <c r="O702" s="9">
        <f t="shared" si="95"/>
        <v>-22</v>
      </c>
      <c r="P702" s="8">
        <f>D698/B698*10^(O702/10)</f>
        <v>0.24607336434727509</v>
      </c>
      <c r="Q702" s="26"/>
      <c r="R702" s="17"/>
      <c r="S702" s="19"/>
      <c r="T702" s="17"/>
      <c r="U702" s="22"/>
    </row>
    <row r="703" spans="1:21" x14ac:dyDescent="0.25">
      <c r="A703" s="24"/>
      <c r="B703" s="24"/>
      <c r="C703" s="17"/>
      <c r="D703" s="24"/>
      <c r="E703" s="24"/>
      <c r="F703" s="25"/>
      <c r="G703" s="1">
        <v>1375</v>
      </c>
      <c r="H703" s="2">
        <v>103</v>
      </c>
      <c r="I703" s="2">
        <v>-16.399999999999999</v>
      </c>
      <c r="J703" s="2">
        <v>-17.899999999999999</v>
      </c>
      <c r="K703" s="2">
        <f t="shared" si="93"/>
        <v>-16.399999999999999</v>
      </c>
      <c r="L703" s="8">
        <f t="shared" si="97"/>
        <v>1.1481536214968749E-12</v>
      </c>
      <c r="M703" s="26"/>
      <c r="N703" s="17"/>
      <c r="O703" s="9">
        <f t="shared" si="95"/>
        <v>-17.899999999999999</v>
      </c>
      <c r="P703" s="8">
        <f>D698/B698*10^(O703/10)</f>
        <v>0.63250593796998289</v>
      </c>
      <c r="Q703" s="26"/>
      <c r="R703" s="17"/>
      <c r="S703" s="20"/>
      <c r="T703" s="17"/>
      <c r="U703" s="23"/>
    </row>
    <row r="704" spans="1:21" x14ac:dyDescent="0.25">
      <c r="A704" s="24">
        <v>2000</v>
      </c>
      <c r="B704" s="24">
        <v>3</v>
      </c>
      <c r="C704" s="17">
        <v>0.5</v>
      </c>
      <c r="D704" s="24">
        <v>234</v>
      </c>
      <c r="E704" s="24">
        <v>6</v>
      </c>
      <c r="F704" s="25">
        <v>68</v>
      </c>
      <c r="G704" s="1">
        <v>1425</v>
      </c>
      <c r="H704" s="2">
        <v>102.8</v>
      </c>
      <c r="I704" s="2">
        <v>-17.100000000000001</v>
      </c>
      <c r="J704" s="2">
        <v>-21.1</v>
      </c>
      <c r="K704" s="2">
        <f t="shared" si="93"/>
        <v>-17.100000000000001</v>
      </c>
      <c r="L704" s="8">
        <f t="shared" si="97"/>
        <v>1.0232929922807514E-12</v>
      </c>
      <c r="M704" s="26">
        <f>SUM(L704:L709)</f>
        <v>1.4019734820881452E-11</v>
      </c>
      <c r="N704" s="17">
        <f>10*LOG10(M704/E704)</f>
        <v>-116.31411451226404</v>
      </c>
      <c r="O704" s="9">
        <f t="shared" si="95"/>
        <v>-21.1</v>
      </c>
      <c r="P704" s="8">
        <f>D704/B704*10^(O704/10)</f>
        <v>0.60547275097037889</v>
      </c>
      <c r="Q704" s="26">
        <f>SUM(P704:P709)</f>
        <v>4.2268068063862216</v>
      </c>
      <c r="R704" s="17">
        <f>10*LOG10(Q704)</f>
        <v>6.2601239809212768</v>
      </c>
      <c r="S704" s="18">
        <f>F704+N704-Kzt-H</f>
        <v>-48.314114512264041</v>
      </c>
      <c r="T704" s="17">
        <v>1</v>
      </c>
      <c r="U704" s="21">
        <f>T704*10^((S704-R704)/10)</f>
        <v>3.4879973851398265E-6</v>
      </c>
    </row>
    <row r="705" spans="1:21" x14ac:dyDescent="0.25">
      <c r="A705" s="24"/>
      <c r="B705" s="24"/>
      <c r="C705" s="17"/>
      <c r="D705" s="24"/>
      <c r="E705" s="24"/>
      <c r="F705" s="25"/>
      <c r="G705" s="1">
        <v>1625</v>
      </c>
      <c r="H705" s="2">
        <v>104.1</v>
      </c>
      <c r="I705" s="2">
        <v>-14.6</v>
      </c>
      <c r="J705" s="2">
        <v>-23.9</v>
      </c>
      <c r="K705" s="2">
        <f t="shared" si="93"/>
        <v>-14.6</v>
      </c>
      <c r="L705" s="8">
        <f t="shared" si="97"/>
        <v>1.3489628825916532E-12</v>
      </c>
      <c r="M705" s="26"/>
      <c r="N705" s="17"/>
      <c r="O705" s="9">
        <f t="shared" si="95"/>
        <v>-23.9</v>
      </c>
      <c r="P705" s="8">
        <f>D704/B704*10^(O705/10)</f>
        <v>0.31775661668720817</v>
      </c>
      <c r="Q705" s="26"/>
      <c r="R705" s="17"/>
      <c r="S705" s="19"/>
      <c r="T705" s="17"/>
      <c r="U705" s="22"/>
    </row>
    <row r="706" spans="1:21" x14ac:dyDescent="0.25">
      <c r="A706" s="24"/>
      <c r="B706" s="24"/>
      <c r="C706" s="17"/>
      <c r="D706" s="24"/>
      <c r="E706" s="24"/>
      <c r="F706" s="25"/>
      <c r="G706" s="1">
        <v>1825</v>
      </c>
      <c r="H706" s="2">
        <v>107.6</v>
      </c>
      <c r="I706" s="2">
        <v>-18.399999999999999</v>
      </c>
      <c r="J706" s="2">
        <v>-21.7</v>
      </c>
      <c r="K706" s="2">
        <f t="shared" si="93"/>
        <v>-18.399999999999999</v>
      </c>
      <c r="L706" s="8">
        <f t="shared" si="97"/>
        <v>2.511886431509579E-13</v>
      </c>
      <c r="M706" s="26"/>
      <c r="N706" s="17"/>
      <c r="O706" s="9">
        <f t="shared" si="95"/>
        <v>-21.7</v>
      </c>
      <c r="P706" s="8">
        <f>D704/B704*10^(O706/10)</f>
        <v>0.52734472080574546</v>
      </c>
      <c r="Q706" s="26"/>
      <c r="R706" s="17"/>
      <c r="S706" s="19"/>
      <c r="T706" s="17"/>
      <c r="U706" s="22"/>
    </row>
    <row r="707" spans="1:21" x14ac:dyDescent="0.25">
      <c r="A707" s="24"/>
      <c r="B707" s="24"/>
      <c r="C707" s="17"/>
      <c r="D707" s="24"/>
      <c r="E707" s="24"/>
      <c r="F707" s="25"/>
      <c r="G707" s="1">
        <v>2125</v>
      </c>
      <c r="H707" s="2">
        <v>104.2</v>
      </c>
      <c r="I707" s="2">
        <v>-17.899999999999999</v>
      </c>
      <c r="J707" s="2">
        <v>-19.899999999999999</v>
      </c>
      <c r="K707" s="2">
        <f t="shared" si="93"/>
        <v>-17.899999999999999</v>
      </c>
      <c r="L707" s="8">
        <f t="shared" si="97"/>
        <v>6.1659500186148178E-13</v>
      </c>
      <c r="M707" s="26"/>
      <c r="N707" s="17"/>
      <c r="O707" s="9">
        <f t="shared" si="95"/>
        <v>-19.899999999999999</v>
      </c>
      <c r="P707" s="8">
        <f>D704/B704*10^(O707/10)</f>
        <v>0.79816853397898846</v>
      </c>
      <c r="Q707" s="26"/>
      <c r="R707" s="17"/>
      <c r="S707" s="19"/>
      <c r="T707" s="17"/>
      <c r="U707" s="22"/>
    </row>
    <row r="708" spans="1:21" x14ac:dyDescent="0.25">
      <c r="A708" s="24"/>
      <c r="B708" s="24"/>
      <c r="C708" s="17"/>
      <c r="D708" s="24"/>
      <c r="E708" s="24"/>
      <c r="F708" s="25"/>
      <c r="G708" s="1">
        <v>2425</v>
      </c>
      <c r="H708" s="2">
        <v>93.7</v>
      </c>
      <c r="I708" s="2">
        <v>-16.7</v>
      </c>
      <c r="J708" s="2">
        <v>-16.8</v>
      </c>
      <c r="K708" s="2">
        <f t="shared" si="93"/>
        <v>-16.7</v>
      </c>
      <c r="L708" s="8">
        <f t="shared" si="97"/>
        <v>9.1201083935590542E-12</v>
      </c>
      <c r="M708" s="26"/>
      <c r="N708" s="17"/>
      <c r="O708" s="9">
        <f t="shared" si="95"/>
        <v>-16.8</v>
      </c>
      <c r="P708" s="8">
        <f>D704/B704*10^(O708/10)</f>
        <v>1.6296509820661493</v>
      </c>
      <c r="Q708" s="26"/>
      <c r="R708" s="17"/>
      <c r="S708" s="19"/>
      <c r="T708" s="17"/>
      <c r="U708" s="22"/>
    </row>
    <row r="709" spans="1:21" x14ac:dyDescent="0.25">
      <c r="A709" s="24"/>
      <c r="B709" s="24"/>
      <c r="C709" s="17"/>
      <c r="D709" s="24"/>
      <c r="E709" s="24"/>
      <c r="F709" s="25"/>
      <c r="G709" s="1">
        <v>2775</v>
      </c>
      <c r="H709" s="2">
        <v>100.2</v>
      </c>
      <c r="I709" s="2">
        <v>-17.600000000000001</v>
      </c>
      <c r="J709" s="2">
        <v>-23.5</v>
      </c>
      <c r="K709" s="2">
        <f t="shared" si="93"/>
        <v>-17.600000000000001</v>
      </c>
      <c r="L709" s="8">
        <f t="shared" si="97"/>
        <v>1.6595869074375527E-12</v>
      </c>
      <c r="M709" s="26"/>
      <c r="N709" s="17"/>
      <c r="O709" s="9">
        <f t="shared" si="95"/>
        <v>-23.5</v>
      </c>
      <c r="P709" s="8">
        <f>D704/B704*10^(O709/10)</f>
        <v>0.34841320187775099</v>
      </c>
      <c r="Q709" s="26"/>
      <c r="R709" s="17"/>
      <c r="S709" s="20"/>
      <c r="T709" s="17"/>
      <c r="U709" s="23"/>
    </row>
    <row r="710" spans="1:21" x14ac:dyDescent="0.25">
      <c r="A710" s="24">
        <v>4000</v>
      </c>
      <c r="B710" s="24">
        <v>3</v>
      </c>
      <c r="C710" s="17">
        <v>0.5</v>
      </c>
      <c r="D710" s="24">
        <v>470</v>
      </c>
      <c r="E710" s="24">
        <v>6</v>
      </c>
      <c r="F710" s="25">
        <v>62</v>
      </c>
      <c r="G710" s="1">
        <v>2825</v>
      </c>
      <c r="H710" s="2">
        <v>99.4</v>
      </c>
      <c r="I710" s="2">
        <v>-16.5</v>
      </c>
      <c r="J710" s="2">
        <v>-20.399999999999999</v>
      </c>
      <c r="K710" s="2">
        <f t="shared" si="93"/>
        <v>-16.5</v>
      </c>
      <c r="L710" s="8">
        <f t="shared" si="97"/>
        <v>2.5703957827688561E-12</v>
      </c>
      <c r="M710" s="26">
        <f>SUM(L710:L715)</f>
        <v>8.1270702848222509E-12</v>
      </c>
      <c r="N710" s="17">
        <f>10*LOG10(M710/E710)</f>
        <v>-118.68217234733376</v>
      </c>
      <c r="O710" s="9">
        <f t="shared" si="95"/>
        <v>-20.399999999999999</v>
      </c>
      <c r="P710" s="8">
        <f>D710/B710*10^(O710/10)</f>
        <v>1.4288169816575904</v>
      </c>
      <c r="Q710" s="26">
        <f>SUM(P710:P715)</f>
        <v>8.9572736988509654</v>
      </c>
      <c r="R710" s="17">
        <f>10*LOG10(Q710)</f>
        <v>9.5217584473859151</v>
      </c>
      <c r="S710" s="18">
        <f>F710+N710-Kzt-H</f>
        <v>-56.682172347333761</v>
      </c>
      <c r="T710" s="17">
        <v>0.9</v>
      </c>
      <c r="U710" s="21">
        <f>T710*10^((S710-R710)/10)</f>
        <v>2.1569964481581117E-7</v>
      </c>
    </row>
    <row r="711" spans="1:21" x14ac:dyDescent="0.25">
      <c r="A711" s="24"/>
      <c r="B711" s="24"/>
      <c r="C711" s="17"/>
      <c r="D711" s="24"/>
      <c r="E711" s="24"/>
      <c r="F711" s="25"/>
      <c r="G711" s="1">
        <v>3425</v>
      </c>
      <c r="H711" s="2">
        <v>103.5</v>
      </c>
      <c r="I711" s="2">
        <v>-16.399999999999999</v>
      </c>
      <c r="J711" s="2">
        <v>-20.399999999999999</v>
      </c>
      <c r="K711" s="2">
        <f t="shared" si="93"/>
        <v>-16.399999999999999</v>
      </c>
      <c r="L711" s="8">
        <f t="shared" si="97"/>
        <v>1.0232929922807514E-12</v>
      </c>
      <c r="M711" s="26"/>
      <c r="N711" s="17"/>
      <c r="O711" s="9">
        <f t="shared" si="95"/>
        <v>-20.399999999999999</v>
      </c>
      <c r="P711" s="8">
        <f>D710/B710*10^(O711/10)</f>
        <v>1.4288169816575904</v>
      </c>
      <c r="Q711" s="26"/>
      <c r="R711" s="17"/>
      <c r="S711" s="19"/>
      <c r="T711" s="17"/>
      <c r="U711" s="22"/>
    </row>
    <row r="712" spans="1:21" x14ac:dyDescent="0.25">
      <c r="A712" s="24"/>
      <c r="B712" s="24"/>
      <c r="C712" s="17"/>
      <c r="D712" s="24"/>
      <c r="E712" s="24"/>
      <c r="F712" s="25"/>
      <c r="G712" s="1">
        <v>4025</v>
      </c>
      <c r="H712" s="2">
        <v>103.6</v>
      </c>
      <c r="I712" s="2">
        <v>-16</v>
      </c>
      <c r="J712" s="2">
        <v>-19.399999999999999</v>
      </c>
      <c r="K712" s="2">
        <f t="shared" si="93"/>
        <v>-16</v>
      </c>
      <c r="L712" s="8">
        <f t="shared" si="97"/>
        <v>1.0964781961431857E-12</v>
      </c>
      <c r="M712" s="26"/>
      <c r="N712" s="17"/>
      <c r="O712" s="9">
        <f t="shared" si="95"/>
        <v>-19.399999999999999</v>
      </c>
      <c r="P712" s="8">
        <f>D710/B710*10^(O712/10)</f>
        <v>1.7987740070117826</v>
      </c>
      <c r="Q712" s="26"/>
      <c r="R712" s="17"/>
      <c r="S712" s="19"/>
      <c r="T712" s="17"/>
      <c r="U712" s="22"/>
    </row>
    <row r="713" spans="1:21" x14ac:dyDescent="0.25">
      <c r="A713" s="24"/>
      <c r="B713" s="24"/>
      <c r="C713" s="17"/>
      <c r="D713" s="24"/>
      <c r="E713" s="24"/>
      <c r="F713" s="25"/>
      <c r="G713" s="1">
        <v>4625</v>
      </c>
      <c r="H713" s="2">
        <v>105.6</v>
      </c>
      <c r="I713" s="2">
        <v>-14.2</v>
      </c>
      <c r="J713" s="2">
        <v>-19.2</v>
      </c>
      <c r="K713" s="2">
        <f t="shared" si="93"/>
        <v>-14.2</v>
      </c>
      <c r="L713" s="8">
        <f t="shared" si="97"/>
        <v>1.0471285480508967E-12</v>
      </c>
      <c r="M713" s="26"/>
      <c r="N713" s="17"/>
      <c r="O713" s="9">
        <f t="shared" si="95"/>
        <v>-19.2</v>
      </c>
      <c r="P713" s="8">
        <f>D710/B710*10^(O713/10)</f>
        <v>1.883547614233946</v>
      </c>
      <c r="Q713" s="26"/>
      <c r="R713" s="17"/>
      <c r="S713" s="19"/>
      <c r="T713" s="17"/>
      <c r="U713" s="22"/>
    </row>
    <row r="714" spans="1:21" x14ac:dyDescent="0.25">
      <c r="A714" s="24"/>
      <c r="B714" s="24"/>
      <c r="C714" s="17"/>
      <c r="D714" s="24"/>
      <c r="E714" s="24"/>
      <c r="F714" s="25"/>
      <c r="G714" s="1">
        <v>5225</v>
      </c>
      <c r="H714" s="2">
        <v>103.5</v>
      </c>
      <c r="I714" s="2">
        <v>-15</v>
      </c>
      <c r="J714" s="2">
        <v>-20.7</v>
      </c>
      <c r="K714" s="2">
        <f t="shared" si="93"/>
        <v>-15</v>
      </c>
      <c r="L714" s="8">
        <f t="shared" si="97"/>
        <v>1.4125375446227535E-12</v>
      </c>
      <c r="M714" s="26"/>
      <c r="N714" s="17"/>
      <c r="O714" s="9">
        <f t="shared" si="95"/>
        <v>-20.7</v>
      </c>
      <c r="P714" s="8">
        <f>D710/B710*10^(O714/10)</f>
        <v>1.3334495931837236</v>
      </c>
      <c r="Q714" s="26"/>
      <c r="R714" s="17"/>
      <c r="S714" s="19"/>
      <c r="T714" s="17"/>
      <c r="U714" s="22"/>
    </row>
    <row r="715" spans="1:21" x14ac:dyDescent="0.25">
      <c r="A715" s="24"/>
      <c r="B715" s="24"/>
      <c r="C715" s="17"/>
      <c r="D715" s="24"/>
      <c r="E715" s="24"/>
      <c r="F715" s="25"/>
      <c r="G715" s="1">
        <v>5625</v>
      </c>
      <c r="H715" s="2">
        <v>99.5</v>
      </c>
      <c r="I715" s="2">
        <v>-20.6</v>
      </c>
      <c r="J715" s="2">
        <v>-21.6</v>
      </c>
      <c r="K715" s="2">
        <f t="shared" si="93"/>
        <v>-20.6</v>
      </c>
      <c r="L715" s="8">
        <f t="shared" si="97"/>
        <v>9.7723722095580816E-13</v>
      </c>
      <c r="M715" s="26"/>
      <c r="N715" s="17"/>
      <c r="O715" s="9">
        <f t="shared" si="95"/>
        <v>-21.6</v>
      </c>
      <c r="P715" s="8">
        <f>D710/B710*10^(O715/10)</f>
        <v>1.083868521106333</v>
      </c>
      <c r="Q715" s="26"/>
      <c r="R715" s="17"/>
      <c r="S715" s="20"/>
      <c r="T715" s="17"/>
      <c r="U715" s="23"/>
    </row>
    <row r="716" spans="1:21" x14ac:dyDescent="0.25">
      <c r="A716" s="24">
        <v>8000</v>
      </c>
      <c r="B716" s="24">
        <v>3</v>
      </c>
      <c r="C716" s="17">
        <v>0.5</v>
      </c>
      <c r="D716" s="24">
        <v>943</v>
      </c>
      <c r="E716" s="24">
        <v>6</v>
      </c>
      <c r="F716" s="25">
        <v>54</v>
      </c>
      <c r="G716" s="1">
        <v>6025</v>
      </c>
      <c r="H716" s="2">
        <v>95</v>
      </c>
      <c r="I716" s="2">
        <v>-12.4</v>
      </c>
      <c r="J716" s="2">
        <v>-24.2</v>
      </c>
      <c r="K716" s="2">
        <f t="shared" si="93"/>
        <v>-12.4</v>
      </c>
      <c r="L716" s="8">
        <f t="shared" si="97"/>
        <v>1.8197008586099764E-11</v>
      </c>
      <c r="M716" s="26">
        <f>SUM(L716:L721)</f>
        <v>1.038943062516134E-10</v>
      </c>
      <c r="N716" s="17">
        <f>10*LOG10(M716/E716)</f>
        <v>-107.6155950293486</v>
      </c>
      <c r="O716" s="9">
        <f t="shared" si="95"/>
        <v>-24.2</v>
      </c>
      <c r="P716" s="8">
        <f>D716/B716*10^(O716/10)</f>
        <v>1.1950620024342973</v>
      </c>
      <c r="Q716" s="26">
        <f>SUM(P716:P721)</f>
        <v>13.226739566952315</v>
      </c>
      <c r="R716" s="17">
        <f>10*LOG10(Q716)</f>
        <v>11.214528024195756</v>
      </c>
      <c r="S716" s="18">
        <f>F716+N716-Kzt-H</f>
        <v>-53.615595029348597</v>
      </c>
      <c r="T716" s="17">
        <v>0.7</v>
      </c>
      <c r="U716" s="21">
        <f>T716*10^((S716-R716)/10)</f>
        <v>2.3018961929918121E-7</v>
      </c>
    </row>
    <row r="717" spans="1:21" x14ac:dyDescent="0.25">
      <c r="A717" s="24"/>
      <c r="B717" s="24"/>
      <c r="C717" s="17"/>
      <c r="D717" s="24"/>
      <c r="E717" s="24"/>
      <c r="F717" s="25"/>
      <c r="G717" s="1">
        <v>7025</v>
      </c>
      <c r="H717" s="2">
        <v>94.8</v>
      </c>
      <c r="I717" s="2">
        <v>-13.9</v>
      </c>
      <c r="J717" s="2">
        <v>-22.6</v>
      </c>
      <c r="K717" s="2">
        <f t="shared" si="93"/>
        <v>-13.9</v>
      </c>
      <c r="L717" s="8">
        <f t="shared" si="97"/>
        <v>1.348962882591645E-11</v>
      </c>
      <c r="M717" s="26"/>
      <c r="N717" s="17"/>
      <c r="O717" s="9">
        <f t="shared" si="95"/>
        <v>-22.6</v>
      </c>
      <c r="P717" s="8">
        <f>D716/B716*10^(O717/10)</f>
        <v>1.7273901468257986</v>
      </c>
      <c r="Q717" s="26"/>
      <c r="R717" s="17"/>
      <c r="S717" s="19"/>
      <c r="T717" s="17"/>
      <c r="U717" s="22"/>
    </row>
    <row r="718" spans="1:21" x14ac:dyDescent="0.25">
      <c r="A718" s="24"/>
      <c r="B718" s="24"/>
      <c r="C718" s="17"/>
      <c r="D718" s="24"/>
      <c r="E718" s="24"/>
      <c r="F718" s="25"/>
      <c r="G718" s="1">
        <v>8025</v>
      </c>
      <c r="H718" s="2">
        <v>101.9</v>
      </c>
      <c r="I718" s="2">
        <v>-16.7</v>
      </c>
      <c r="J718" s="2">
        <v>-21.4</v>
      </c>
      <c r="K718" s="2">
        <f t="shared" si="93"/>
        <v>-16.7</v>
      </c>
      <c r="L718" s="8">
        <f t="shared" si="97"/>
        <v>1.3803842646028794E-12</v>
      </c>
      <c r="M718" s="26"/>
      <c r="N718" s="17"/>
      <c r="O718" s="9">
        <f t="shared" si="95"/>
        <v>-21.4</v>
      </c>
      <c r="P718" s="8">
        <f>D716/B716*10^(O718/10)</f>
        <v>2.2771437011690518</v>
      </c>
      <c r="Q718" s="26"/>
      <c r="R718" s="17"/>
      <c r="S718" s="19"/>
      <c r="T718" s="17"/>
      <c r="U718" s="22"/>
    </row>
    <row r="719" spans="1:21" x14ac:dyDescent="0.25">
      <c r="A719" s="24"/>
      <c r="B719" s="24"/>
      <c r="C719" s="17"/>
      <c r="D719" s="24"/>
      <c r="E719" s="24"/>
      <c r="F719" s="25"/>
      <c r="G719" s="1">
        <v>9025</v>
      </c>
      <c r="H719" s="2">
        <v>93.2</v>
      </c>
      <c r="I719" s="2">
        <v>-17.399999999999999</v>
      </c>
      <c r="J719" s="2">
        <v>-21.1</v>
      </c>
      <c r="K719" s="2">
        <f t="shared" si="93"/>
        <v>-17.399999999999999</v>
      </c>
      <c r="L719" s="8">
        <f t="shared" si="97"/>
        <v>8.7096358995607975E-12</v>
      </c>
      <c r="M719" s="26"/>
      <c r="N719" s="17"/>
      <c r="O719" s="9">
        <f t="shared" si="95"/>
        <v>-21.1</v>
      </c>
      <c r="P719" s="8">
        <f>D716/B716*10^(O719/10)</f>
        <v>2.4400034366028516</v>
      </c>
      <c r="Q719" s="26"/>
      <c r="R719" s="17"/>
      <c r="S719" s="19"/>
      <c r="T719" s="17"/>
      <c r="U719" s="22"/>
    </row>
    <row r="720" spans="1:21" x14ac:dyDescent="0.25">
      <c r="A720" s="24"/>
      <c r="B720" s="24"/>
      <c r="C720" s="17"/>
      <c r="D720" s="24"/>
      <c r="E720" s="24"/>
      <c r="F720" s="25"/>
      <c r="G720" s="1">
        <v>10025</v>
      </c>
      <c r="H720" s="2">
        <v>88.3</v>
      </c>
      <c r="I720" s="2">
        <v>-18.399999999999999</v>
      </c>
      <c r="J720" s="2">
        <v>-22.2</v>
      </c>
      <c r="K720" s="2">
        <f t="shared" si="93"/>
        <v>-18.399999999999999</v>
      </c>
      <c r="L720" s="8">
        <f t="shared" si="97"/>
        <v>2.1379620895022375E-11</v>
      </c>
      <c r="M720" s="26"/>
      <c r="N720" s="17"/>
      <c r="O720" s="9">
        <f t="shared" si="95"/>
        <v>-22.2</v>
      </c>
      <c r="P720" s="8">
        <f>D716/B716*10^(O720/10)</f>
        <v>1.8940456322270642</v>
      </c>
      <c r="Q720" s="26"/>
      <c r="R720" s="17"/>
      <c r="S720" s="19"/>
      <c r="T720" s="17"/>
      <c r="U720" s="22"/>
    </row>
    <row r="721" spans="1:21" x14ac:dyDescent="0.25">
      <c r="A721" s="24"/>
      <c r="B721" s="24"/>
      <c r="C721" s="17"/>
      <c r="D721" s="24"/>
      <c r="E721" s="24"/>
      <c r="F721" s="25"/>
      <c r="G721" s="1">
        <v>11025</v>
      </c>
      <c r="H721" s="2">
        <v>86</v>
      </c>
      <c r="I721" s="2">
        <v>-17.899999999999999</v>
      </c>
      <c r="J721" s="2">
        <v>-19.3</v>
      </c>
      <c r="K721" s="2">
        <f t="shared" si="93"/>
        <v>-17.899999999999999</v>
      </c>
      <c r="L721" s="8">
        <f t="shared" si="97"/>
        <v>4.0738027780411121E-11</v>
      </c>
      <c r="M721" s="26"/>
      <c r="N721" s="17"/>
      <c r="O721" s="9">
        <f t="shared" si="95"/>
        <v>-19.3</v>
      </c>
      <c r="P721" s="8">
        <f>D716/B716*10^(O721/10)</f>
        <v>3.6930946476932505</v>
      </c>
      <c r="Q721" s="26"/>
      <c r="R721" s="17"/>
      <c r="S721" s="20"/>
      <c r="T721" s="17"/>
      <c r="U721" s="23"/>
    </row>
    <row r="722" spans="1:21" x14ac:dyDescent="0.25">
      <c r="A722" s="24" t="s">
        <v>20</v>
      </c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12">
        <f>U722</f>
        <v>6.0578877561466897E-2</v>
      </c>
      <c r="T722" s="2"/>
      <c r="U722" s="8">
        <f>0.8*SQRT(SUM(U688:U721))</f>
        <v>6.0578877561466897E-2</v>
      </c>
    </row>
  </sheetData>
  <mergeCells count="1600">
    <mergeCell ref="R4:R7"/>
    <mergeCell ref="S4:S7"/>
    <mergeCell ref="T4:T7"/>
    <mergeCell ref="U4:U7"/>
    <mergeCell ref="A8:A13"/>
    <mergeCell ref="B8:B13"/>
    <mergeCell ref="C8:C13"/>
    <mergeCell ref="D8:D13"/>
    <mergeCell ref="E8:E13"/>
    <mergeCell ref="F8:F13"/>
    <mergeCell ref="A3:U3"/>
    <mergeCell ref="A4:A7"/>
    <mergeCell ref="B4:B7"/>
    <mergeCell ref="C4:C7"/>
    <mergeCell ref="D4:D7"/>
    <mergeCell ref="E4:E7"/>
    <mergeCell ref="F4:F7"/>
    <mergeCell ref="M4:M7"/>
    <mergeCell ref="N4:N7"/>
    <mergeCell ref="Q4:Q7"/>
    <mergeCell ref="R14:R19"/>
    <mergeCell ref="S14:S19"/>
    <mergeCell ref="T14:T19"/>
    <mergeCell ref="U14:U19"/>
    <mergeCell ref="A20:A25"/>
    <mergeCell ref="B20:B25"/>
    <mergeCell ref="C20:C25"/>
    <mergeCell ref="D20:D25"/>
    <mergeCell ref="E20:E25"/>
    <mergeCell ref="F20:F25"/>
    <mergeCell ref="U8:U13"/>
    <mergeCell ref="A14:A19"/>
    <mergeCell ref="B14:B19"/>
    <mergeCell ref="C14:C19"/>
    <mergeCell ref="D14:D19"/>
    <mergeCell ref="E14:E19"/>
    <mergeCell ref="F14:F19"/>
    <mergeCell ref="M14:M19"/>
    <mergeCell ref="N14:N19"/>
    <mergeCell ref="Q14:Q19"/>
    <mergeCell ref="M8:M13"/>
    <mergeCell ref="N8:N13"/>
    <mergeCell ref="Q8:Q13"/>
    <mergeCell ref="R8:R13"/>
    <mergeCell ref="S8:S13"/>
    <mergeCell ref="T8:T13"/>
    <mergeCell ref="R26:R31"/>
    <mergeCell ref="S26:S31"/>
    <mergeCell ref="T26:T31"/>
    <mergeCell ref="U26:U31"/>
    <mergeCell ref="A32:A37"/>
    <mergeCell ref="B32:B37"/>
    <mergeCell ref="C32:C37"/>
    <mergeCell ref="D32:D37"/>
    <mergeCell ref="E32:E37"/>
    <mergeCell ref="F32:F37"/>
    <mergeCell ref="U20:U25"/>
    <mergeCell ref="A26:A31"/>
    <mergeCell ref="B26:B31"/>
    <mergeCell ref="C26:C31"/>
    <mergeCell ref="D26:D31"/>
    <mergeCell ref="E26:E31"/>
    <mergeCell ref="F26:F31"/>
    <mergeCell ref="M26:M31"/>
    <mergeCell ref="N26:N31"/>
    <mergeCell ref="Q26:Q31"/>
    <mergeCell ref="M20:M25"/>
    <mergeCell ref="N20:N25"/>
    <mergeCell ref="Q20:Q25"/>
    <mergeCell ref="R20:R25"/>
    <mergeCell ref="S20:S25"/>
    <mergeCell ref="T20:T25"/>
    <mergeCell ref="N40:N43"/>
    <mergeCell ref="Q40:Q43"/>
    <mergeCell ref="R40:R43"/>
    <mergeCell ref="S40:S43"/>
    <mergeCell ref="T40:T43"/>
    <mergeCell ref="U40:U43"/>
    <mergeCell ref="U32:U37"/>
    <mergeCell ref="A38:R38"/>
    <mergeCell ref="A39:U39"/>
    <mergeCell ref="A40:A43"/>
    <mergeCell ref="B40:B43"/>
    <mergeCell ref="C40:C43"/>
    <mergeCell ref="D40:D43"/>
    <mergeCell ref="E40:E43"/>
    <mergeCell ref="F40:F43"/>
    <mergeCell ref="M40:M43"/>
    <mergeCell ref="M32:M37"/>
    <mergeCell ref="N32:N37"/>
    <mergeCell ref="Q32:Q37"/>
    <mergeCell ref="R32:R37"/>
    <mergeCell ref="S32:S37"/>
    <mergeCell ref="T32:T37"/>
    <mergeCell ref="R50:R55"/>
    <mergeCell ref="S50:S55"/>
    <mergeCell ref="T50:T55"/>
    <mergeCell ref="U50:U55"/>
    <mergeCell ref="A56:A61"/>
    <mergeCell ref="B56:B61"/>
    <mergeCell ref="C56:C61"/>
    <mergeCell ref="D56:D61"/>
    <mergeCell ref="E56:E61"/>
    <mergeCell ref="F56:F61"/>
    <mergeCell ref="U44:U49"/>
    <mergeCell ref="A50:A55"/>
    <mergeCell ref="B50:B55"/>
    <mergeCell ref="C50:C55"/>
    <mergeCell ref="D50:D55"/>
    <mergeCell ref="E50:E55"/>
    <mergeCell ref="F50:F55"/>
    <mergeCell ref="M50:M55"/>
    <mergeCell ref="N50:N55"/>
    <mergeCell ref="Q50:Q55"/>
    <mergeCell ref="M44:M49"/>
    <mergeCell ref="N44:N49"/>
    <mergeCell ref="Q44:Q49"/>
    <mergeCell ref="R44:R49"/>
    <mergeCell ref="S44:S49"/>
    <mergeCell ref="T44:T49"/>
    <mergeCell ref="A44:A49"/>
    <mergeCell ref="B44:B49"/>
    <mergeCell ref="C44:C49"/>
    <mergeCell ref="D44:D49"/>
    <mergeCell ref="E44:E49"/>
    <mergeCell ref="F44:F49"/>
    <mergeCell ref="R62:R67"/>
    <mergeCell ref="S62:S67"/>
    <mergeCell ref="T62:T67"/>
    <mergeCell ref="U62:U67"/>
    <mergeCell ref="A68:A73"/>
    <mergeCell ref="B68:B73"/>
    <mergeCell ref="C68:C73"/>
    <mergeCell ref="D68:D73"/>
    <mergeCell ref="E68:E73"/>
    <mergeCell ref="F68:F73"/>
    <mergeCell ref="U56:U61"/>
    <mergeCell ref="A62:A67"/>
    <mergeCell ref="B62:B67"/>
    <mergeCell ref="C62:C67"/>
    <mergeCell ref="D62:D67"/>
    <mergeCell ref="E62:E67"/>
    <mergeCell ref="F62:F67"/>
    <mergeCell ref="M62:M67"/>
    <mergeCell ref="N62:N67"/>
    <mergeCell ref="Q62:Q67"/>
    <mergeCell ref="M56:M61"/>
    <mergeCell ref="N56:N61"/>
    <mergeCell ref="Q56:Q61"/>
    <mergeCell ref="R56:R61"/>
    <mergeCell ref="S56:S61"/>
    <mergeCell ref="T56:T61"/>
    <mergeCell ref="N76:N79"/>
    <mergeCell ref="Q76:Q79"/>
    <mergeCell ref="R76:R79"/>
    <mergeCell ref="S76:S79"/>
    <mergeCell ref="T76:T79"/>
    <mergeCell ref="U76:U79"/>
    <mergeCell ref="U68:U73"/>
    <mergeCell ref="A74:R74"/>
    <mergeCell ref="A75:U75"/>
    <mergeCell ref="A76:A79"/>
    <mergeCell ref="B76:B79"/>
    <mergeCell ref="C76:C79"/>
    <mergeCell ref="D76:D79"/>
    <mergeCell ref="E76:E79"/>
    <mergeCell ref="F76:F79"/>
    <mergeCell ref="M76:M79"/>
    <mergeCell ref="M68:M73"/>
    <mergeCell ref="N68:N73"/>
    <mergeCell ref="Q68:Q73"/>
    <mergeCell ref="R68:R73"/>
    <mergeCell ref="S68:S73"/>
    <mergeCell ref="T68:T73"/>
    <mergeCell ref="R86:R91"/>
    <mergeCell ref="S86:S91"/>
    <mergeCell ref="T86:T91"/>
    <mergeCell ref="U86:U91"/>
    <mergeCell ref="A92:A97"/>
    <mergeCell ref="B92:B97"/>
    <mergeCell ref="C92:C97"/>
    <mergeCell ref="D92:D97"/>
    <mergeCell ref="E92:E97"/>
    <mergeCell ref="F92:F97"/>
    <mergeCell ref="U80:U85"/>
    <mergeCell ref="A86:A91"/>
    <mergeCell ref="B86:B91"/>
    <mergeCell ref="C86:C91"/>
    <mergeCell ref="D86:D91"/>
    <mergeCell ref="E86:E91"/>
    <mergeCell ref="F86:F91"/>
    <mergeCell ref="M86:M91"/>
    <mergeCell ref="N86:N91"/>
    <mergeCell ref="Q86:Q91"/>
    <mergeCell ref="M80:M85"/>
    <mergeCell ref="N80:N85"/>
    <mergeCell ref="Q80:Q85"/>
    <mergeCell ref="R80:R85"/>
    <mergeCell ref="S80:S85"/>
    <mergeCell ref="T80:T85"/>
    <mergeCell ref="A80:A85"/>
    <mergeCell ref="B80:B85"/>
    <mergeCell ref="C80:C85"/>
    <mergeCell ref="D80:D85"/>
    <mergeCell ref="E80:E85"/>
    <mergeCell ref="F80:F85"/>
    <mergeCell ref="R98:R103"/>
    <mergeCell ref="S98:S103"/>
    <mergeCell ref="T98:T103"/>
    <mergeCell ref="U98:U103"/>
    <mergeCell ref="A104:A109"/>
    <mergeCell ref="B104:B109"/>
    <mergeCell ref="C104:C109"/>
    <mergeCell ref="D104:D109"/>
    <mergeCell ref="E104:E109"/>
    <mergeCell ref="F104:F109"/>
    <mergeCell ref="U92:U97"/>
    <mergeCell ref="A98:A103"/>
    <mergeCell ref="B98:B103"/>
    <mergeCell ref="C98:C103"/>
    <mergeCell ref="D98:D103"/>
    <mergeCell ref="E98:E103"/>
    <mergeCell ref="F98:F103"/>
    <mergeCell ref="M98:M103"/>
    <mergeCell ref="N98:N103"/>
    <mergeCell ref="Q98:Q103"/>
    <mergeCell ref="M92:M97"/>
    <mergeCell ref="N92:N97"/>
    <mergeCell ref="Q92:Q97"/>
    <mergeCell ref="R92:R97"/>
    <mergeCell ref="S92:S97"/>
    <mergeCell ref="T92:T97"/>
    <mergeCell ref="N112:N115"/>
    <mergeCell ref="Q112:Q115"/>
    <mergeCell ref="R112:R115"/>
    <mergeCell ref="S112:S115"/>
    <mergeCell ref="T112:T115"/>
    <mergeCell ref="U112:U115"/>
    <mergeCell ref="U104:U109"/>
    <mergeCell ref="A110:R110"/>
    <mergeCell ref="A111:U111"/>
    <mergeCell ref="A112:A115"/>
    <mergeCell ref="B112:B115"/>
    <mergeCell ref="C112:C115"/>
    <mergeCell ref="D112:D115"/>
    <mergeCell ref="E112:E115"/>
    <mergeCell ref="F112:F115"/>
    <mergeCell ref="M112:M115"/>
    <mergeCell ref="M104:M109"/>
    <mergeCell ref="N104:N109"/>
    <mergeCell ref="Q104:Q109"/>
    <mergeCell ref="R104:R109"/>
    <mergeCell ref="S104:S109"/>
    <mergeCell ref="T104:T109"/>
    <mergeCell ref="R122:R127"/>
    <mergeCell ref="S122:S127"/>
    <mergeCell ref="T122:T127"/>
    <mergeCell ref="U122:U127"/>
    <mergeCell ref="A128:A133"/>
    <mergeCell ref="B128:B133"/>
    <mergeCell ref="C128:C133"/>
    <mergeCell ref="D128:D133"/>
    <mergeCell ref="E128:E133"/>
    <mergeCell ref="F128:F133"/>
    <mergeCell ref="U116:U121"/>
    <mergeCell ref="A122:A127"/>
    <mergeCell ref="B122:B127"/>
    <mergeCell ref="C122:C127"/>
    <mergeCell ref="D122:D127"/>
    <mergeCell ref="E122:E127"/>
    <mergeCell ref="F122:F127"/>
    <mergeCell ref="M122:M127"/>
    <mergeCell ref="N122:N127"/>
    <mergeCell ref="Q122:Q127"/>
    <mergeCell ref="M116:M121"/>
    <mergeCell ref="N116:N121"/>
    <mergeCell ref="Q116:Q121"/>
    <mergeCell ref="R116:R121"/>
    <mergeCell ref="S116:S121"/>
    <mergeCell ref="T116:T121"/>
    <mergeCell ref="A116:A121"/>
    <mergeCell ref="B116:B121"/>
    <mergeCell ref="C116:C121"/>
    <mergeCell ref="D116:D121"/>
    <mergeCell ref="E116:E121"/>
    <mergeCell ref="F116:F121"/>
    <mergeCell ref="R134:R139"/>
    <mergeCell ref="S134:S139"/>
    <mergeCell ref="T134:T139"/>
    <mergeCell ref="U134:U139"/>
    <mergeCell ref="A140:A145"/>
    <mergeCell ref="B140:B145"/>
    <mergeCell ref="C140:C145"/>
    <mergeCell ref="D140:D145"/>
    <mergeCell ref="E140:E145"/>
    <mergeCell ref="F140:F145"/>
    <mergeCell ref="U128:U133"/>
    <mergeCell ref="A134:A139"/>
    <mergeCell ref="B134:B139"/>
    <mergeCell ref="C134:C139"/>
    <mergeCell ref="D134:D139"/>
    <mergeCell ref="E134:E139"/>
    <mergeCell ref="F134:F139"/>
    <mergeCell ref="M134:M139"/>
    <mergeCell ref="N134:N139"/>
    <mergeCell ref="Q134:Q139"/>
    <mergeCell ref="M128:M133"/>
    <mergeCell ref="N128:N133"/>
    <mergeCell ref="Q128:Q133"/>
    <mergeCell ref="R128:R133"/>
    <mergeCell ref="S128:S133"/>
    <mergeCell ref="T128:T133"/>
    <mergeCell ref="N148:N151"/>
    <mergeCell ref="Q148:Q151"/>
    <mergeCell ref="R148:R151"/>
    <mergeCell ref="S148:S151"/>
    <mergeCell ref="T148:T151"/>
    <mergeCell ref="U148:U151"/>
    <mergeCell ref="U140:U145"/>
    <mergeCell ref="A146:R146"/>
    <mergeCell ref="A147:U147"/>
    <mergeCell ref="A148:A151"/>
    <mergeCell ref="B148:B151"/>
    <mergeCell ref="C148:C151"/>
    <mergeCell ref="D148:D151"/>
    <mergeCell ref="E148:E151"/>
    <mergeCell ref="F148:F151"/>
    <mergeCell ref="M148:M151"/>
    <mergeCell ref="M140:M145"/>
    <mergeCell ref="N140:N145"/>
    <mergeCell ref="Q140:Q145"/>
    <mergeCell ref="R140:R145"/>
    <mergeCell ref="S140:S145"/>
    <mergeCell ref="T140:T145"/>
    <mergeCell ref="R158:R163"/>
    <mergeCell ref="S158:S163"/>
    <mergeCell ref="T158:T163"/>
    <mergeCell ref="U158:U163"/>
    <mergeCell ref="A164:A169"/>
    <mergeCell ref="B164:B169"/>
    <mergeCell ref="C164:C169"/>
    <mergeCell ref="D164:D169"/>
    <mergeCell ref="E164:E169"/>
    <mergeCell ref="F164:F169"/>
    <mergeCell ref="U152:U157"/>
    <mergeCell ref="A158:A163"/>
    <mergeCell ref="B158:B163"/>
    <mergeCell ref="C158:C163"/>
    <mergeCell ref="D158:D163"/>
    <mergeCell ref="E158:E163"/>
    <mergeCell ref="F158:F163"/>
    <mergeCell ref="M158:M163"/>
    <mergeCell ref="N158:N163"/>
    <mergeCell ref="Q158:Q163"/>
    <mergeCell ref="M152:M157"/>
    <mergeCell ref="N152:N157"/>
    <mergeCell ref="Q152:Q157"/>
    <mergeCell ref="R152:R157"/>
    <mergeCell ref="S152:S157"/>
    <mergeCell ref="T152:T157"/>
    <mergeCell ref="A152:A157"/>
    <mergeCell ref="B152:B157"/>
    <mergeCell ref="C152:C157"/>
    <mergeCell ref="D152:D157"/>
    <mergeCell ref="E152:E157"/>
    <mergeCell ref="F152:F157"/>
    <mergeCell ref="R170:R175"/>
    <mergeCell ref="S170:S175"/>
    <mergeCell ref="T170:T175"/>
    <mergeCell ref="U170:U175"/>
    <mergeCell ref="A176:A181"/>
    <mergeCell ref="B176:B181"/>
    <mergeCell ref="C176:C181"/>
    <mergeCell ref="D176:D181"/>
    <mergeCell ref="E176:E181"/>
    <mergeCell ref="F176:F181"/>
    <mergeCell ref="U164:U169"/>
    <mergeCell ref="A170:A175"/>
    <mergeCell ref="B170:B175"/>
    <mergeCell ref="C170:C175"/>
    <mergeCell ref="D170:D175"/>
    <mergeCell ref="E170:E175"/>
    <mergeCell ref="F170:F175"/>
    <mergeCell ref="M170:M175"/>
    <mergeCell ref="N170:N175"/>
    <mergeCell ref="Q170:Q175"/>
    <mergeCell ref="M164:M169"/>
    <mergeCell ref="N164:N169"/>
    <mergeCell ref="Q164:Q169"/>
    <mergeCell ref="R164:R169"/>
    <mergeCell ref="S164:S169"/>
    <mergeCell ref="T164:T169"/>
    <mergeCell ref="N184:N187"/>
    <mergeCell ref="Q184:Q187"/>
    <mergeCell ref="R184:R187"/>
    <mergeCell ref="S184:S187"/>
    <mergeCell ref="T184:T187"/>
    <mergeCell ref="U184:U187"/>
    <mergeCell ref="U176:U181"/>
    <mergeCell ref="A182:R182"/>
    <mergeCell ref="A183:U183"/>
    <mergeCell ref="A184:A187"/>
    <mergeCell ref="B184:B187"/>
    <mergeCell ref="C184:C187"/>
    <mergeCell ref="D184:D187"/>
    <mergeCell ref="E184:E187"/>
    <mergeCell ref="F184:F187"/>
    <mergeCell ref="M184:M187"/>
    <mergeCell ref="M176:M181"/>
    <mergeCell ref="N176:N181"/>
    <mergeCell ref="Q176:Q181"/>
    <mergeCell ref="R176:R181"/>
    <mergeCell ref="S176:S181"/>
    <mergeCell ref="T176:T181"/>
    <mergeCell ref="R194:R199"/>
    <mergeCell ref="S194:S199"/>
    <mergeCell ref="T194:T199"/>
    <mergeCell ref="U194:U199"/>
    <mergeCell ref="A200:A205"/>
    <mergeCell ref="B200:B205"/>
    <mergeCell ref="C200:C205"/>
    <mergeCell ref="D200:D205"/>
    <mergeCell ref="E200:E205"/>
    <mergeCell ref="F200:F205"/>
    <mergeCell ref="U188:U193"/>
    <mergeCell ref="A194:A199"/>
    <mergeCell ref="B194:B199"/>
    <mergeCell ref="C194:C199"/>
    <mergeCell ref="D194:D199"/>
    <mergeCell ref="E194:E199"/>
    <mergeCell ref="F194:F199"/>
    <mergeCell ref="M194:M199"/>
    <mergeCell ref="N194:N199"/>
    <mergeCell ref="Q194:Q199"/>
    <mergeCell ref="M188:M193"/>
    <mergeCell ref="N188:N193"/>
    <mergeCell ref="Q188:Q193"/>
    <mergeCell ref="R188:R193"/>
    <mergeCell ref="S188:S193"/>
    <mergeCell ref="T188:T193"/>
    <mergeCell ref="A188:A193"/>
    <mergeCell ref="B188:B193"/>
    <mergeCell ref="C188:C193"/>
    <mergeCell ref="D188:D193"/>
    <mergeCell ref="E188:E193"/>
    <mergeCell ref="F188:F193"/>
    <mergeCell ref="R206:R211"/>
    <mergeCell ref="S206:S211"/>
    <mergeCell ref="T206:T211"/>
    <mergeCell ref="U206:U211"/>
    <mergeCell ref="A212:A217"/>
    <mergeCell ref="B212:B217"/>
    <mergeCell ref="C212:C217"/>
    <mergeCell ref="D212:D217"/>
    <mergeCell ref="E212:E217"/>
    <mergeCell ref="F212:F217"/>
    <mergeCell ref="U200:U205"/>
    <mergeCell ref="A206:A211"/>
    <mergeCell ref="B206:B211"/>
    <mergeCell ref="C206:C211"/>
    <mergeCell ref="D206:D211"/>
    <mergeCell ref="E206:E211"/>
    <mergeCell ref="F206:F211"/>
    <mergeCell ref="M206:M211"/>
    <mergeCell ref="N206:N211"/>
    <mergeCell ref="Q206:Q211"/>
    <mergeCell ref="M200:M205"/>
    <mergeCell ref="N200:N205"/>
    <mergeCell ref="Q200:Q205"/>
    <mergeCell ref="R200:R205"/>
    <mergeCell ref="S200:S205"/>
    <mergeCell ref="T200:T205"/>
    <mergeCell ref="N220:N223"/>
    <mergeCell ref="Q220:Q223"/>
    <mergeCell ref="R220:R223"/>
    <mergeCell ref="S220:S223"/>
    <mergeCell ref="T220:T223"/>
    <mergeCell ref="U220:U223"/>
    <mergeCell ref="U212:U217"/>
    <mergeCell ref="A218:R218"/>
    <mergeCell ref="A219:U219"/>
    <mergeCell ref="A220:A223"/>
    <mergeCell ref="B220:B223"/>
    <mergeCell ref="C220:C223"/>
    <mergeCell ref="D220:D223"/>
    <mergeCell ref="E220:E223"/>
    <mergeCell ref="F220:F223"/>
    <mergeCell ref="M220:M223"/>
    <mergeCell ref="M212:M217"/>
    <mergeCell ref="N212:N217"/>
    <mergeCell ref="Q212:Q217"/>
    <mergeCell ref="R212:R217"/>
    <mergeCell ref="S212:S217"/>
    <mergeCell ref="T212:T217"/>
    <mergeCell ref="R230:R235"/>
    <mergeCell ref="S230:S235"/>
    <mergeCell ref="T230:T235"/>
    <mergeCell ref="U230:U235"/>
    <mergeCell ref="A236:A241"/>
    <mergeCell ref="B236:B241"/>
    <mergeCell ref="C236:C241"/>
    <mergeCell ref="D236:D241"/>
    <mergeCell ref="E236:E241"/>
    <mergeCell ref="F236:F241"/>
    <mergeCell ref="U224:U229"/>
    <mergeCell ref="A230:A235"/>
    <mergeCell ref="B230:B235"/>
    <mergeCell ref="C230:C235"/>
    <mergeCell ref="D230:D235"/>
    <mergeCell ref="E230:E235"/>
    <mergeCell ref="F230:F235"/>
    <mergeCell ref="M230:M235"/>
    <mergeCell ref="N230:N235"/>
    <mergeCell ref="Q230:Q235"/>
    <mergeCell ref="M224:M229"/>
    <mergeCell ref="N224:N229"/>
    <mergeCell ref="Q224:Q229"/>
    <mergeCell ref="R224:R229"/>
    <mergeCell ref="S224:S229"/>
    <mergeCell ref="T224:T229"/>
    <mergeCell ref="A224:A229"/>
    <mergeCell ref="B224:B229"/>
    <mergeCell ref="C224:C229"/>
    <mergeCell ref="D224:D229"/>
    <mergeCell ref="E224:E229"/>
    <mergeCell ref="F224:F229"/>
    <mergeCell ref="R242:R247"/>
    <mergeCell ref="S242:S247"/>
    <mergeCell ref="T242:T247"/>
    <mergeCell ref="U242:U247"/>
    <mergeCell ref="A248:A253"/>
    <mergeCell ref="B248:B253"/>
    <mergeCell ref="C248:C253"/>
    <mergeCell ref="D248:D253"/>
    <mergeCell ref="E248:E253"/>
    <mergeCell ref="F248:F253"/>
    <mergeCell ref="U236:U241"/>
    <mergeCell ref="A242:A247"/>
    <mergeCell ref="B242:B247"/>
    <mergeCell ref="C242:C247"/>
    <mergeCell ref="D242:D247"/>
    <mergeCell ref="E242:E247"/>
    <mergeCell ref="F242:F247"/>
    <mergeCell ref="M242:M247"/>
    <mergeCell ref="N242:N247"/>
    <mergeCell ref="Q242:Q247"/>
    <mergeCell ref="M236:M241"/>
    <mergeCell ref="N236:N241"/>
    <mergeCell ref="Q236:Q241"/>
    <mergeCell ref="R236:R241"/>
    <mergeCell ref="S236:S241"/>
    <mergeCell ref="T236:T241"/>
    <mergeCell ref="N256:N259"/>
    <mergeCell ref="Q256:Q259"/>
    <mergeCell ref="R256:R259"/>
    <mergeCell ref="S256:S259"/>
    <mergeCell ref="T256:T259"/>
    <mergeCell ref="U256:U259"/>
    <mergeCell ref="U248:U253"/>
    <mergeCell ref="A254:R254"/>
    <mergeCell ref="A255:U255"/>
    <mergeCell ref="A256:A259"/>
    <mergeCell ref="B256:B259"/>
    <mergeCell ref="C256:C259"/>
    <mergeCell ref="D256:D259"/>
    <mergeCell ref="E256:E259"/>
    <mergeCell ref="F256:F259"/>
    <mergeCell ref="M256:M259"/>
    <mergeCell ref="M248:M253"/>
    <mergeCell ref="N248:N253"/>
    <mergeCell ref="Q248:Q253"/>
    <mergeCell ref="R248:R253"/>
    <mergeCell ref="S248:S253"/>
    <mergeCell ref="T248:T253"/>
    <mergeCell ref="R266:R271"/>
    <mergeCell ref="S266:S271"/>
    <mergeCell ref="T266:T271"/>
    <mergeCell ref="U266:U271"/>
    <mergeCell ref="A272:A277"/>
    <mergeCell ref="B272:B277"/>
    <mergeCell ref="C272:C277"/>
    <mergeCell ref="D272:D277"/>
    <mergeCell ref="E272:E277"/>
    <mergeCell ref="F272:F277"/>
    <mergeCell ref="U260:U265"/>
    <mergeCell ref="A266:A271"/>
    <mergeCell ref="B266:B271"/>
    <mergeCell ref="C266:C271"/>
    <mergeCell ref="D266:D271"/>
    <mergeCell ref="E266:E271"/>
    <mergeCell ref="F266:F271"/>
    <mergeCell ref="M266:M271"/>
    <mergeCell ref="N266:N271"/>
    <mergeCell ref="Q266:Q271"/>
    <mergeCell ref="M260:M265"/>
    <mergeCell ref="N260:N265"/>
    <mergeCell ref="Q260:Q265"/>
    <mergeCell ref="R260:R265"/>
    <mergeCell ref="S260:S265"/>
    <mergeCell ref="T260:T265"/>
    <mergeCell ref="A260:A265"/>
    <mergeCell ref="B260:B265"/>
    <mergeCell ref="C260:C265"/>
    <mergeCell ref="D260:D265"/>
    <mergeCell ref="E260:E265"/>
    <mergeCell ref="F260:F265"/>
    <mergeCell ref="R278:R283"/>
    <mergeCell ref="S278:S283"/>
    <mergeCell ref="T278:T283"/>
    <mergeCell ref="U278:U283"/>
    <mergeCell ref="A284:A289"/>
    <mergeCell ref="B284:B289"/>
    <mergeCell ref="C284:C289"/>
    <mergeCell ref="D284:D289"/>
    <mergeCell ref="E284:E289"/>
    <mergeCell ref="F284:F289"/>
    <mergeCell ref="U272:U277"/>
    <mergeCell ref="A278:A283"/>
    <mergeCell ref="B278:B283"/>
    <mergeCell ref="C278:C283"/>
    <mergeCell ref="D278:D283"/>
    <mergeCell ref="E278:E283"/>
    <mergeCell ref="F278:F283"/>
    <mergeCell ref="M278:M283"/>
    <mergeCell ref="N278:N283"/>
    <mergeCell ref="Q278:Q283"/>
    <mergeCell ref="M272:M277"/>
    <mergeCell ref="N272:N277"/>
    <mergeCell ref="Q272:Q277"/>
    <mergeCell ref="R272:R277"/>
    <mergeCell ref="S272:S277"/>
    <mergeCell ref="T272:T277"/>
    <mergeCell ref="N292:N295"/>
    <mergeCell ref="Q292:Q295"/>
    <mergeCell ref="R292:R295"/>
    <mergeCell ref="S292:S295"/>
    <mergeCell ref="T292:T295"/>
    <mergeCell ref="U292:U295"/>
    <mergeCell ref="U284:U289"/>
    <mergeCell ref="A290:R290"/>
    <mergeCell ref="A291:U291"/>
    <mergeCell ref="A292:A295"/>
    <mergeCell ref="B292:B295"/>
    <mergeCell ref="C292:C295"/>
    <mergeCell ref="D292:D295"/>
    <mergeCell ref="E292:E295"/>
    <mergeCell ref="F292:F295"/>
    <mergeCell ref="M292:M295"/>
    <mergeCell ref="M284:M289"/>
    <mergeCell ref="N284:N289"/>
    <mergeCell ref="Q284:Q289"/>
    <mergeCell ref="R284:R289"/>
    <mergeCell ref="S284:S289"/>
    <mergeCell ref="T284:T289"/>
    <mergeCell ref="R302:R307"/>
    <mergeCell ref="S302:S307"/>
    <mergeCell ref="T302:T307"/>
    <mergeCell ref="U302:U307"/>
    <mergeCell ref="A308:A313"/>
    <mergeCell ref="B308:B313"/>
    <mergeCell ref="C308:C313"/>
    <mergeCell ref="D308:D313"/>
    <mergeCell ref="E308:E313"/>
    <mergeCell ref="F308:F313"/>
    <mergeCell ref="U296:U301"/>
    <mergeCell ref="A302:A307"/>
    <mergeCell ref="B302:B307"/>
    <mergeCell ref="C302:C307"/>
    <mergeCell ref="D302:D307"/>
    <mergeCell ref="E302:E307"/>
    <mergeCell ref="F302:F307"/>
    <mergeCell ref="M302:M307"/>
    <mergeCell ref="N302:N307"/>
    <mergeCell ref="Q302:Q307"/>
    <mergeCell ref="M296:M301"/>
    <mergeCell ref="N296:N301"/>
    <mergeCell ref="Q296:Q301"/>
    <mergeCell ref="R296:R301"/>
    <mergeCell ref="S296:S301"/>
    <mergeCell ref="T296:T301"/>
    <mergeCell ref="A296:A301"/>
    <mergeCell ref="B296:B301"/>
    <mergeCell ref="C296:C301"/>
    <mergeCell ref="D296:D301"/>
    <mergeCell ref="E296:E301"/>
    <mergeCell ref="F296:F301"/>
    <mergeCell ref="R314:R319"/>
    <mergeCell ref="S314:S319"/>
    <mergeCell ref="T314:T319"/>
    <mergeCell ref="U314:U319"/>
    <mergeCell ref="A320:A325"/>
    <mergeCell ref="B320:B325"/>
    <mergeCell ref="C320:C325"/>
    <mergeCell ref="D320:D325"/>
    <mergeCell ref="E320:E325"/>
    <mergeCell ref="F320:F325"/>
    <mergeCell ref="U308:U313"/>
    <mergeCell ref="A314:A319"/>
    <mergeCell ref="B314:B319"/>
    <mergeCell ref="C314:C319"/>
    <mergeCell ref="D314:D319"/>
    <mergeCell ref="E314:E319"/>
    <mergeCell ref="F314:F319"/>
    <mergeCell ref="M314:M319"/>
    <mergeCell ref="N314:N319"/>
    <mergeCell ref="Q314:Q319"/>
    <mergeCell ref="M308:M313"/>
    <mergeCell ref="N308:N313"/>
    <mergeCell ref="Q308:Q313"/>
    <mergeCell ref="R308:R313"/>
    <mergeCell ref="S308:S313"/>
    <mergeCell ref="T308:T313"/>
    <mergeCell ref="N328:N331"/>
    <mergeCell ref="Q328:Q331"/>
    <mergeCell ref="R328:R331"/>
    <mergeCell ref="S328:S331"/>
    <mergeCell ref="T328:T331"/>
    <mergeCell ref="U328:U331"/>
    <mergeCell ref="U320:U325"/>
    <mergeCell ref="A326:R326"/>
    <mergeCell ref="A327:U327"/>
    <mergeCell ref="A328:A331"/>
    <mergeCell ref="B328:B331"/>
    <mergeCell ref="C328:C331"/>
    <mergeCell ref="D328:D331"/>
    <mergeCell ref="E328:E331"/>
    <mergeCell ref="F328:F331"/>
    <mergeCell ref="M328:M331"/>
    <mergeCell ref="M320:M325"/>
    <mergeCell ref="N320:N325"/>
    <mergeCell ref="Q320:Q325"/>
    <mergeCell ref="R320:R325"/>
    <mergeCell ref="S320:S325"/>
    <mergeCell ref="T320:T325"/>
    <mergeCell ref="R338:R343"/>
    <mergeCell ref="S338:S343"/>
    <mergeCell ref="T338:T343"/>
    <mergeCell ref="U338:U343"/>
    <mergeCell ref="A344:A349"/>
    <mergeCell ref="B344:B349"/>
    <mergeCell ref="C344:C349"/>
    <mergeCell ref="D344:D349"/>
    <mergeCell ref="E344:E349"/>
    <mergeCell ref="F344:F349"/>
    <mergeCell ref="U332:U337"/>
    <mergeCell ref="A338:A343"/>
    <mergeCell ref="B338:B343"/>
    <mergeCell ref="C338:C343"/>
    <mergeCell ref="D338:D343"/>
    <mergeCell ref="E338:E343"/>
    <mergeCell ref="F338:F343"/>
    <mergeCell ref="M338:M343"/>
    <mergeCell ref="N338:N343"/>
    <mergeCell ref="Q338:Q343"/>
    <mergeCell ref="M332:M337"/>
    <mergeCell ref="N332:N337"/>
    <mergeCell ref="Q332:Q337"/>
    <mergeCell ref="R332:R337"/>
    <mergeCell ref="S332:S337"/>
    <mergeCell ref="T332:T337"/>
    <mergeCell ref="A332:A337"/>
    <mergeCell ref="B332:B337"/>
    <mergeCell ref="C332:C337"/>
    <mergeCell ref="D332:D337"/>
    <mergeCell ref="E332:E337"/>
    <mergeCell ref="F332:F337"/>
    <mergeCell ref="R350:R355"/>
    <mergeCell ref="S350:S355"/>
    <mergeCell ref="T350:T355"/>
    <mergeCell ref="U350:U355"/>
    <mergeCell ref="A356:A361"/>
    <mergeCell ref="B356:B361"/>
    <mergeCell ref="C356:C361"/>
    <mergeCell ref="D356:D361"/>
    <mergeCell ref="E356:E361"/>
    <mergeCell ref="F356:F361"/>
    <mergeCell ref="U344:U349"/>
    <mergeCell ref="A350:A355"/>
    <mergeCell ref="B350:B355"/>
    <mergeCell ref="C350:C355"/>
    <mergeCell ref="D350:D355"/>
    <mergeCell ref="E350:E355"/>
    <mergeCell ref="F350:F355"/>
    <mergeCell ref="M350:M355"/>
    <mergeCell ref="N350:N355"/>
    <mergeCell ref="Q350:Q355"/>
    <mergeCell ref="M344:M349"/>
    <mergeCell ref="N344:N349"/>
    <mergeCell ref="Q344:Q349"/>
    <mergeCell ref="R344:R349"/>
    <mergeCell ref="S344:S349"/>
    <mergeCell ref="T344:T349"/>
    <mergeCell ref="N364:N367"/>
    <mergeCell ref="Q364:Q367"/>
    <mergeCell ref="R364:R367"/>
    <mergeCell ref="S364:S367"/>
    <mergeCell ref="T364:T367"/>
    <mergeCell ref="U364:U367"/>
    <mergeCell ref="U356:U361"/>
    <mergeCell ref="A362:R362"/>
    <mergeCell ref="A363:U363"/>
    <mergeCell ref="A364:A367"/>
    <mergeCell ref="B364:B367"/>
    <mergeCell ref="C364:C367"/>
    <mergeCell ref="D364:D367"/>
    <mergeCell ref="E364:E367"/>
    <mergeCell ref="F364:F367"/>
    <mergeCell ref="M364:M367"/>
    <mergeCell ref="M356:M361"/>
    <mergeCell ref="N356:N361"/>
    <mergeCell ref="Q356:Q361"/>
    <mergeCell ref="R356:R361"/>
    <mergeCell ref="S356:S361"/>
    <mergeCell ref="T356:T361"/>
    <mergeCell ref="R374:R379"/>
    <mergeCell ref="S374:S379"/>
    <mergeCell ref="T374:T379"/>
    <mergeCell ref="U374:U379"/>
    <mergeCell ref="A380:A385"/>
    <mergeCell ref="B380:B385"/>
    <mergeCell ref="C380:C385"/>
    <mergeCell ref="D380:D385"/>
    <mergeCell ref="E380:E385"/>
    <mergeCell ref="F380:F385"/>
    <mergeCell ref="U368:U373"/>
    <mergeCell ref="A374:A379"/>
    <mergeCell ref="B374:B379"/>
    <mergeCell ref="C374:C379"/>
    <mergeCell ref="D374:D379"/>
    <mergeCell ref="E374:E379"/>
    <mergeCell ref="F374:F379"/>
    <mergeCell ref="M374:M379"/>
    <mergeCell ref="N374:N379"/>
    <mergeCell ref="Q374:Q379"/>
    <mergeCell ref="M368:M373"/>
    <mergeCell ref="N368:N373"/>
    <mergeCell ref="Q368:Q373"/>
    <mergeCell ref="R368:R373"/>
    <mergeCell ref="S368:S373"/>
    <mergeCell ref="T368:T373"/>
    <mergeCell ref="A368:A373"/>
    <mergeCell ref="B368:B373"/>
    <mergeCell ref="C368:C373"/>
    <mergeCell ref="D368:D373"/>
    <mergeCell ref="E368:E373"/>
    <mergeCell ref="F368:F373"/>
    <mergeCell ref="R386:R391"/>
    <mergeCell ref="S386:S391"/>
    <mergeCell ref="T386:T391"/>
    <mergeCell ref="U386:U391"/>
    <mergeCell ref="A392:A397"/>
    <mergeCell ref="B392:B397"/>
    <mergeCell ref="C392:C397"/>
    <mergeCell ref="D392:D397"/>
    <mergeCell ref="E392:E397"/>
    <mergeCell ref="F392:F397"/>
    <mergeCell ref="U380:U385"/>
    <mergeCell ref="A386:A391"/>
    <mergeCell ref="B386:B391"/>
    <mergeCell ref="C386:C391"/>
    <mergeCell ref="D386:D391"/>
    <mergeCell ref="E386:E391"/>
    <mergeCell ref="F386:F391"/>
    <mergeCell ref="M386:M391"/>
    <mergeCell ref="N386:N391"/>
    <mergeCell ref="Q386:Q391"/>
    <mergeCell ref="M380:M385"/>
    <mergeCell ref="N380:N385"/>
    <mergeCell ref="Q380:Q385"/>
    <mergeCell ref="R380:R385"/>
    <mergeCell ref="S380:S385"/>
    <mergeCell ref="T380:T385"/>
    <mergeCell ref="N400:N403"/>
    <mergeCell ref="Q400:Q403"/>
    <mergeCell ref="R400:R403"/>
    <mergeCell ref="S400:S403"/>
    <mergeCell ref="T400:T403"/>
    <mergeCell ref="U400:U403"/>
    <mergeCell ref="U392:U397"/>
    <mergeCell ref="A398:R398"/>
    <mergeCell ref="A399:U399"/>
    <mergeCell ref="A400:A403"/>
    <mergeCell ref="B400:B403"/>
    <mergeCell ref="C400:C403"/>
    <mergeCell ref="D400:D403"/>
    <mergeCell ref="E400:E403"/>
    <mergeCell ref="F400:F403"/>
    <mergeCell ref="M400:M403"/>
    <mergeCell ref="M392:M397"/>
    <mergeCell ref="N392:N397"/>
    <mergeCell ref="Q392:Q397"/>
    <mergeCell ref="R392:R397"/>
    <mergeCell ref="S392:S397"/>
    <mergeCell ref="T392:T397"/>
    <mergeCell ref="R410:R415"/>
    <mergeCell ref="S410:S415"/>
    <mergeCell ref="T410:T415"/>
    <mergeCell ref="U410:U415"/>
    <mergeCell ref="A416:A421"/>
    <mergeCell ref="B416:B421"/>
    <mergeCell ref="C416:C421"/>
    <mergeCell ref="D416:D421"/>
    <mergeCell ref="E416:E421"/>
    <mergeCell ref="F416:F421"/>
    <mergeCell ref="U404:U409"/>
    <mergeCell ref="A410:A415"/>
    <mergeCell ref="B410:B415"/>
    <mergeCell ref="C410:C415"/>
    <mergeCell ref="D410:D415"/>
    <mergeCell ref="E410:E415"/>
    <mergeCell ref="F410:F415"/>
    <mergeCell ref="M410:M415"/>
    <mergeCell ref="N410:N415"/>
    <mergeCell ref="Q410:Q415"/>
    <mergeCell ref="M404:M409"/>
    <mergeCell ref="N404:N409"/>
    <mergeCell ref="Q404:Q409"/>
    <mergeCell ref="R404:R409"/>
    <mergeCell ref="S404:S409"/>
    <mergeCell ref="T404:T409"/>
    <mergeCell ref="A404:A409"/>
    <mergeCell ref="B404:B409"/>
    <mergeCell ref="C404:C409"/>
    <mergeCell ref="D404:D409"/>
    <mergeCell ref="E404:E409"/>
    <mergeCell ref="F404:F409"/>
    <mergeCell ref="R422:R427"/>
    <mergeCell ref="S422:S427"/>
    <mergeCell ref="T422:T427"/>
    <mergeCell ref="U422:U427"/>
    <mergeCell ref="A428:A433"/>
    <mergeCell ref="B428:B433"/>
    <mergeCell ref="C428:C433"/>
    <mergeCell ref="D428:D433"/>
    <mergeCell ref="E428:E433"/>
    <mergeCell ref="F428:F433"/>
    <mergeCell ref="U416:U421"/>
    <mergeCell ref="A422:A427"/>
    <mergeCell ref="B422:B427"/>
    <mergeCell ref="C422:C427"/>
    <mergeCell ref="D422:D427"/>
    <mergeCell ref="E422:E427"/>
    <mergeCell ref="F422:F427"/>
    <mergeCell ref="M422:M427"/>
    <mergeCell ref="N422:N427"/>
    <mergeCell ref="Q422:Q427"/>
    <mergeCell ref="M416:M421"/>
    <mergeCell ref="N416:N421"/>
    <mergeCell ref="Q416:Q421"/>
    <mergeCell ref="R416:R421"/>
    <mergeCell ref="S416:S421"/>
    <mergeCell ref="T416:T421"/>
    <mergeCell ref="N436:N439"/>
    <mergeCell ref="Q436:Q439"/>
    <mergeCell ref="R436:R439"/>
    <mergeCell ref="S436:S439"/>
    <mergeCell ref="T436:T439"/>
    <mergeCell ref="U436:U439"/>
    <mergeCell ref="U428:U433"/>
    <mergeCell ref="A434:R434"/>
    <mergeCell ref="A435:U435"/>
    <mergeCell ref="A436:A439"/>
    <mergeCell ref="B436:B439"/>
    <mergeCell ref="C436:C439"/>
    <mergeCell ref="D436:D439"/>
    <mergeCell ref="E436:E439"/>
    <mergeCell ref="F436:F439"/>
    <mergeCell ref="M436:M439"/>
    <mergeCell ref="M428:M433"/>
    <mergeCell ref="N428:N433"/>
    <mergeCell ref="Q428:Q433"/>
    <mergeCell ref="R428:R433"/>
    <mergeCell ref="S428:S433"/>
    <mergeCell ref="T428:T433"/>
    <mergeCell ref="R446:R451"/>
    <mergeCell ref="S446:S451"/>
    <mergeCell ref="T446:T451"/>
    <mergeCell ref="U446:U451"/>
    <mergeCell ref="A452:A457"/>
    <mergeCell ref="B452:B457"/>
    <mergeCell ref="C452:C457"/>
    <mergeCell ref="D452:D457"/>
    <mergeCell ref="E452:E457"/>
    <mergeCell ref="F452:F457"/>
    <mergeCell ref="U440:U445"/>
    <mergeCell ref="A446:A451"/>
    <mergeCell ref="B446:B451"/>
    <mergeCell ref="C446:C451"/>
    <mergeCell ref="D446:D451"/>
    <mergeCell ref="E446:E451"/>
    <mergeCell ref="F446:F451"/>
    <mergeCell ref="M446:M451"/>
    <mergeCell ref="N446:N451"/>
    <mergeCell ref="Q446:Q451"/>
    <mergeCell ref="M440:M445"/>
    <mergeCell ref="N440:N445"/>
    <mergeCell ref="Q440:Q445"/>
    <mergeCell ref="R440:R445"/>
    <mergeCell ref="S440:S445"/>
    <mergeCell ref="T440:T445"/>
    <mergeCell ref="A440:A445"/>
    <mergeCell ref="B440:B445"/>
    <mergeCell ref="C440:C445"/>
    <mergeCell ref="D440:D445"/>
    <mergeCell ref="E440:E445"/>
    <mergeCell ref="F440:F445"/>
    <mergeCell ref="R458:R463"/>
    <mergeCell ref="S458:S463"/>
    <mergeCell ref="T458:T463"/>
    <mergeCell ref="U458:U463"/>
    <mergeCell ref="A464:A469"/>
    <mergeCell ref="B464:B469"/>
    <mergeCell ref="C464:C469"/>
    <mergeCell ref="D464:D469"/>
    <mergeCell ref="E464:E469"/>
    <mergeCell ref="F464:F469"/>
    <mergeCell ref="U452:U457"/>
    <mergeCell ref="A458:A463"/>
    <mergeCell ref="B458:B463"/>
    <mergeCell ref="C458:C463"/>
    <mergeCell ref="D458:D463"/>
    <mergeCell ref="E458:E463"/>
    <mergeCell ref="F458:F463"/>
    <mergeCell ref="M458:M463"/>
    <mergeCell ref="N458:N463"/>
    <mergeCell ref="Q458:Q463"/>
    <mergeCell ref="M452:M457"/>
    <mergeCell ref="N452:N457"/>
    <mergeCell ref="Q452:Q457"/>
    <mergeCell ref="R452:R457"/>
    <mergeCell ref="S452:S457"/>
    <mergeCell ref="T452:T457"/>
    <mergeCell ref="N472:N475"/>
    <mergeCell ref="Q472:Q475"/>
    <mergeCell ref="R472:R475"/>
    <mergeCell ref="S472:S475"/>
    <mergeCell ref="T472:T475"/>
    <mergeCell ref="U472:U475"/>
    <mergeCell ref="U464:U469"/>
    <mergeCell ref="A470:R470"/>
    <mergeCell ref="A471:U471"/>
    <mergeCell ref="A472:A475"/>
    <mergeCell ref="B472:B475"/>
    <mergeCell ref="C472:C475"/>
    <mergeCell ref="D472:D475"/>
    <mergeCell ref="E472:E475"/>
    <mergeCell ref="F472:F475"/>
    <mergeCell ref="M472:M475"/>
    <mergeCell ref="M464:M469"/>
    <mergeCell ref="N464:N469"/>
    <mergeCell ref="Q464:Q469"/>
    <mergeCell ref="R464:R469"/>
    <mergeCell ref="S464:S469"/>
    <mergeCell ref="T464:T469"/>
    <mergeCell ref="R482:R487"/>
    <mergeCell ref="S482:S487"/>
    <mergeCell ref="T482:T487"/>
    <mergeCell ref="U482:U487"/>
    <mergeCell ref="A488:A493"/>
    <mergeCell ref="B488:B493"/>
    <mergeCell ref="C488:C493"/>
    <mergeCell ref="D488:D493"/>
    <mergeCell ref="E488:E493"/>
    <mergeCell ref="F488:F493"/>
    <mergeCell ref="U476:U481"/>
    <mergeCell ref="A482:A487"/>
    <mergeCell ref="B482:B487"/>
    <mergeCell ref="C482:C487"/>
    <mergeCell ref="D482:D487"/>
    <mergeCell ref="E482:E487"/>
    <mergeCell ref="F482:F487"/>
    <mergeCell ref="M482:M487"/>
    <mergeCell ref="N482:N487"/>
    <mergeCell ref="Q482:Q487"/>
    <mergeCell ref="M476:M481"/>
    <mergeCell ref="N476:N481"/>
    <mergeCell ref="Q476:Q481"/>
    <mergeCell ref="R476:R481"/>
    <mergeCell ref="S476:S481"/>
    <mergeCell ref="T476:T481"/>
    <mergeCell ref="A476:A481"/>
    <mergeCell ref="B476:B481"/>
    <mergeCell ref="C476:C481"/>
    <mergeCell ref="D476:D481"/>
    <mergeCell ref="E476:E481"/>
    <mergeCell ref="F476:F481"/>
    <mergeCell ref="R494:R499"/>
    <mergeCell ref="S494:S499"/>
    <mergeCell ref="T494:T499"/>
    <mergeCell ref="U494:U499"/>
    <mergeCell ref="A500:A505"/>
    <mergeCell ref="B500:B505"/>
    <mergeCell ref="C500:C505"/>
    <mergeCell ref="D500:D505"/>
    <mergeCell ref="E500:E505"/>
    <mergeCell ref="F500:F505"/>
    <mergeCell ref="U488:U493"/>
    <mergeCell ref="A494:A499"/>
    <mergeCell ref="B494:B499"/>
    <mergeCell ref="C494:C499"/>
    <mergeCell ref="D494:D499"/>
    <mergeCell ref="E494:E499"/>
    <mergeCell ref="F494:F499"/>
    <mergeCell ref="M494:M499"/>
    <mergeCell ref="N494:N499"/>
    <mergeCell ref="Q494:Q499"/>
    <mergeCell ref="M488:M493"/>
    <mergeCell ref="N488:N493"/>
    <mergeCell ref="Q488:Q493"/>
    <mergeCell ref="R488:R493"/>
    <mergeCell ref="S488:S493"/>
    <mergeCell ref="T488:T493"/>
    <mergeCell ref="N508:N511"/>
    <mergeCell ref="Q508:Q511"/>
    <mergeCell ref="R508:R511"/>
    <mergeCell ref="S508:S511"/>
    <mergeCell ref="T508:T511"/>
    <mergeCell ref="U508:U511"/>
    <mergeCell ref="U500:U505"/>
    <mergeCell ref="A506:R506"/>
    <mergeCell ref="A507:U507"/>
    <mergeCell ref="A508:A511"/>
    <mergeCell ref="B508:B511"/>
    <mergeCell ref="C508:C511"/>
    <mergeCell ref="D508:D511"/>
    <mergeCell ref="E508:E511"/>
    <mergeCell ref="F508:F511"/>
    <mergeCell ref="M508:M511"/>
    <mergeCell ref="M500:M505"/>
    <mergeCell ref="N500:N505"/>
    <mergeCell ref="Q500:Q505"/>
    <mergeCell ref="R500:R505"/>
    <mergeCell ref="S500:S505"/>
    <mergeCell ref="T500:T505"/>
    <mergeCell ref="R518:R523"/>
    <mergeCell ref="S518:S523"/>
    <mergeCell ref="T518:T523"/>
    <mergeCell ref="U518:U523"/>
    <mergeCell ref="A524:A529"/>
    <mergeCell ref="B524:B529"/>
    <mergeCell ref="C524:C529"/>
    <mergeCell ref="D524:D529"/>
    <mergeCell ref="E524:E529"/>
    <mergeCell ref="F524:F529"/>
    <mergeCell ref="U512:U517"/>
    <mergeCell ref="A518:A523"/>
    <mergeCell ref="B518:B523"/>
    <mergeCell ref="C518:C523"/>
    <mergeCell ref="D518:D523"/>
    <mergeCell ref="E518:E523"/>
    <mergeCell ref="F518:F523"/>
    <mergeCell ref="M518:M523"/>
    <mergeCell ref="N518:N523"/>
    <mergeCell ref="Q518:Q523"/>
    <mergeCell ref="M512:M517"/>
    <mergeCell ref="N512:N517"/>
    <mergeCell ref="Q512:Q517"/>
    <mergeCell ref="R512:R517"/>
    <mergeCell ref="S512:S517"/>
    <mergeCell ref="T512:T517"/>
    <mergeCell ref="A512:A517"/>
    <mergeCell ref="B512:B517"/>
    <mergeCell ref="C512:C517"/>
    <mergeCell ref="D512:D517"/>
    <mergeCell ref="E512:E517"/>
    <mergeCell ref="F512:F517"/>
    <mergeCell ref="R530:R535"/>
    <mergeCell ref="S530:S535"/>
    <mergeCell ref="T530:T535"/>
    <mergeCell ref="U530:U535"/>
    <mergeCell ref="A536:A541"/>
    <mergeCell ref="B536:B541"/>
    <mergeCell ref="C536:C541"/>
    <mergeCell ref="D536:D541"/>
    <mergeCell ref="E536:E541"/>
    <mergeCell ref="F536:F541"/>
    <mergeCell ref="U524:U529"/>
    <mergeCell ref="A530:A535"/>
    <mergeCell ref="B530:B535"/>
    <mergeCell ref="C530:C535"/>
    <mergeCell ref="D530:D535"/>
    <mergeCell ref="E530:E535"/>
    <mergeCell ref="F530:F535"/>
    <mergeCell ref="M530:M535"/>
    <mergeCell ref="N530:N535"/>
    <mergeCell ref="Q530:Q535"/>
    <mergeCell ref="M524:M529"/>
    <mergeCell ref="N524:N529"/>
    <mergeCell ref="Q524:Q529"/>
    <mergeCell ref="R524:R529"/>
    <mergeCell ref="S524:S529"/>
    <mergeCell ref="T524:T529"/>
    <mergeCell ref="N544:N547"/>
    <mergeCell ref="Q544:Q547"/>
    <mergeCell ref="R544:R547"/>
    <mergeCell ref="S544:S547"/>
    <mergeCell ref="T544:T547"/>
    <mergeCell ref="U544:U547"/>
    <mergeCell ref="U536:U541"/>
    <mergeCell ref="A542:R542"/>
    <mergeCell ref="A543:U543"/>
    <mergeCell ref="A544:A547"/>
    <mergeCell ref="B544:B547"/>
    <mergeCell ref="C544:C547"/>
    <mergeCell ref="D544:D547"/>
    <mergeCell ref="E544:E547"/>
    <mergeCell ref="F544:F547"/>
    <mergeCell ref="M544:M547"/>
    <mergeCell ref="M536:M541"/>
    <mergeCell ref="N536:N541"/>
    <mergeCell ref="Q536:Q541"/>
    <mergeCell ref="R536:R541"/>
    <mergeCell ref="S536:S541"/>
    <mergeCell ref="T536:T541"/>
    <mergeCell ref="R554:R559"/>
    <mergeCell ref="S554:S559"/>
    <mergeCell ref="T554:T559"/>
    <mergeCell ref="U554:U559"/>
    <mergeCell ref="A560:A565"/>
    <mergeCell ref="B560:B565"/>
    <mergeCell ref="C560:C565"/>
    <mergeCell ref="D560:D565"/>
    <mergeCell ref="E560:E565"/>
    <mergeCell ref="F560:F565"/>
    <mergeCell ref="U548:U553"/>
    <mergeCell ref="A554:A559"/>
    <mergeCell ref="B554:B559"/>
    <mergeCell ref="C554:C559"/>
    <mergeCell ref="D554:D559"/>
    <mergeCell ref="E554:E559"/>
    <mergeCell ref="F554:F559"/>
    <mergeCell ref="M554:M559"/>
    <mergeCell ref="N554:N559"/>
    <mergeCell ref="Q554:Q559"/>
    <mergeCell ref="M548:M553"/>
    <mergeCell ref="N548:N553"/>
    <mergeCell ref="Q548:Q553"/>
    <mergeCell ref="R548:R553"/>
    <mergeCell ref="S548:S553"/>
    <mergeCell ref="T548:T553"/>
    <mergeCell ref="A548:A553"/>
    <mergeCell ref="B548:B553"/>
    <mergeCell ref="C548:C553"/>
    <mergeCell ref="D548:D553"/>
    <mergeCell ref="E548:E553"/>
    <mergeCell ref="F548:F553"/>
    <mergeCell ref="R566:R571"/>
    <mergeCell ref="S566:S571"/>
    <mergeCell ref="T566:T571"/>
    <mergeCell ref="U566:U571"/>
    <mergeCell ref="A572:A577"/>
    <mergeCell ref="B572:B577"/>
    <mergeCell ref="C572:C577"/>
    <mergeCell ref="D572:D577"/>
    <mergeCell ref="E572:E577"/>
    <mergeCell ref="F572:F577"/>
    <mergeCell ref="U560:U565"/>
    <mergeCell ref="A566:A571"/>
    <mergeCell ref="B566:B571"/>
    <mergeCell ref="C566:C571"/>
    <mergeCell ref="D566:D571"/>
    <mergeCell ref="E566:E571"/>
    <mergeCell ref="F566:F571"/>
    <mergeCell ref="M566:M571"/>
    <mergeCell ref="N566:N571"/>
    <mergeCell ref="Q566:Q571"/>
    <mergeCell ref="M560:M565"/>
    <mergeCell ref="N560:N565"/>
    <mergeCell ref="Q560:Q565"/>
    <mergeCell ref="R560:R565"/>
    <mergeCell ref="S560:S565"/>
    <mergeCell ref="T560:T565"/>
    <mergeCell ref="N580:N583"/>
    <mergeCell ref="Q580:Q583"/>
    <mergeCell ref="R580:R583"/>
    <mergeCell ref="S580:S583"/>
    <mergeCell ref="T580:T583"/>
    <mergeCell ref="U580:U583"/>
    <mergeCell ref="U572:U577"/>
    <mergeCell ref="A578:R578"/>
    <mergeCell ref="A579:U579"/>
    <mergeCell ref="A580:A583"/>
    <mergeCell ref="B580:B583"/>
    <mergeCell ref="C580:C583"/>
    <mergeCell ref="D580:D583"/>
    <mergeCell ref="E580:E583"/>
    <mergeCell ref="F580:F583"/>
    <mergeCell ref="M580:M583"/>
    <mergeCell ref="M572:M577"/>
    <mergeCell ref="N572:N577"/>
    <mergeCell ref="Q572:Q577"/>
    <mergeCell ref="R572:R577"/>
    <mergeCell ref="S572:S577"/>
    <mergeCell ref="T572:T577"/>
    <mergeCell ref="R590:R595"/>
    <mergeCell ref="S590:S595"/>
    <mergeCell ref="T590:T595"/>
    <mergeCell ref="U590:U595"/>
    <mergeCell ref="A596:A601"/>
    <mergeCell ref="B596:B601"/>
    <mergeCell ref="C596:C601"/>
    <mergeCell ref="D596:D601"/>
    <mergeCell ref="E596:E601"/>
    <mergeCell ref="F596:F601"/>
    <mergeCell ref="U584:U589"/>
    <mergeCell ref="A590:A595"/>
    <mergeCell ref="B590:B595"/>
    <mergeCell ref="C590:C595"/>
    <mergeCell ref="D590:D595"/>
    <mergeCell ref="E590:E595"/>
    <mergeCell ref="F590:F595"/>
    <mergeCell ref="M590:M595"/>
    <mergeCell ref="N590:N595"/>
    <mergeCell ref="Q590:Q595"/>
    <mergeCell ref="M584:M589"/>
    <mergeCell ref="N584:N589"/>
    <mergeCell ref="Q584:Q589"/>
    <mergeCell ref="R584:R589"/>
    <mergeCell ref="S584:S589"/>
    <mergeCell ref="T584:T589"/>
    <mergeCell ref="A584:A589"/>
    <mergeCell ref="B584:B589"/>
    <mergeCell ref="C584:C589"/>
    <mergeCell ref="D584:D589"/>
    <mergeCell ref="E584:E589"/>
    <mergeCell ref="F584:F589"/>
    <mergeCell ref="R602:R607"/>
    <mergeCell ref="S602:S607"/>
    <mergeCell ref="T602:T607"/>
    <mergeCell ref="U602:U607"/>
    <mergeCell ref="A608:A613"/>
    <mergeCell ref="B608:B613"/>
    <mergeCell ref="C608:C613"/>
    <mergeCell ref="D608:D613"/>
    <mergeCell ref="E608:E613"/>
    <mergeCell ref="F608:F613"/>
    <mergeCell ref="U596:U601"/>
    <mergeCell ref="A602:A607"/>
    <mergeCell ref="B602:B607"/>
    <mergeCell ref="C602:C607"/>
    <mergeCell ref="D602:D607"/>
    <mergeCell ref="E602:E607"/>
    <mergeCell ref="F602:F607"/>
    <mergeCell ref="M602:M607"/>
    <mergeCell ref="N602:N607"/>
    <mergeCell ref="Q602:Q607"/>
    <mergeCell ref="M596:M601"/>
    <mergeCell ref="N596:N601"/>
    <mergeCell ref="Q596:Q601"/>
    <mergeCell ref="R596:R601"/>
    <mergeCell ref="S596:S601"/>
    <mergeCell ref="T596:T601"/>
    <mergeCell ref="N616:N619"/>
    <mergeCell ref="Q616:Q619"/>
    <mergeCell ref="R616:R619"/>
    <mergeCell ref="S616:S619"/>
    <mergeCell ref="T616:T619"/>
    <mergeCell ref="U616:U619"/>
    <mergeCell ref="U608:U613"/>
    <mergeCell ref="A614:R614"/>
    <mergeCell ref="A615:U615"/>
    <mergeCell ref="A616:A619"/>
    <mergeCell ref="B616:B619"/>
    <mergeCell ref="C616:C619"/>
    <mergeCell ref="D616:D619"/>
    <mergeCell ref="E616:E619"/>
    <mergeCell ref="F616:F619"/>
    <mergeCell ref="M616:M619"/>
    <mergeCell ref="M608:M613"/>
    <mergeCell ref="N608:N613"/>
    <mergeCell ref="Q608:Q613"/>
    <mergeCell ref="R608:R613"/>
    <mergeCell ref="S608:S613"/>
    <mergeCell ref="T608:T613"/>
    <mergeCell ref="R626:R631"/>
    <mergeCell ref="S626:S631"/>
    <mergeCell ref="T626:T631"/>
    <mergeCell ref="U626:U631"/>
    <mergeCell ref="A632:A637"/>
    <mergeCell ref="B632:B637"/>
    <mergeCell ref="C632:C637"/>
    <mergeCell ref="D632:D637"/>
    <mergeCell ref="E632:E637"/>
    <mergeCell ref="F632:F637"/>
    <mergeCell ref="U620:U625"/>
    <mergeCell ref="A626:A631"/>
    <mergeCell ref="B626:B631"/>
    <mergeCell ref="C626:C631"/>
    <mergeCell ref="D626:D631"/>
    <mergeCell ref="E626:E631"/>
    <mergeCell ref="F626:F631"/>
    <mergeCell ref="M626:M631"/>
    <mergeCell ref="N626:N631"/>
    <mergeCell ref="Q626:Q631"/>
    <mergeCell ref="M620:M625"/>
    <mergeCell ref="N620:N625"/>
    <mergeCell ref="Q620:Q625"/>
    <mergeCell ref="R620:R625"/>
    <mergeCell ref="S620:S625"/>
    <mergeCell ref="T620:T625"/>
    <mergeCell ref="A620:A625"/>
    <mergeCell ref="B620:B625"/>
    <mergeCell ref="C620:C625"/>
    <mergeCell ref="D620:D625"/>
    <mergeCell ref="E620:E625"/>
    <mergeCell ref="F620:F625"/>
    <mergeCell ref="R638:R643"/>
    <mergeCell ref="S638:S643"/>
    <mergeCell ref="T638:T643"/>
    <mergeCell ref="U638:U643"/>
    <mergeCell ref="A644:A649"/>
    <mergeCell ref="B644:B649"/>
    <mergeCell ref="C644:C649"/>
    <mergeCell ref="D644:D649"/>
    <mergeCell ref="E644:E649"/>
    <mergeCell ref="F644:F649"/>
    <mergeCell ref="U632:U637"/>
    <mergeCell ref="A638:A643"/>
    <mergeCell ref="B638:B643"/>
    <mergeCell ref="C638:C643"/>
    <mergeCell ref="D638:D643"/>
    <mergeCell ref="E638:E643"/>
    <mergeCell ref="F638:F643"/>
    <mergeCell ref="M638:M643"/>
    <mergeCell ref="N638:N643"/>
    <mergeCell ref="Q638:Q643"/>
    <mergeCell ref="M632:M637"/>
    <mergeCell ref="N632:N637"/>
    <mergeCell ref="Q632:Q637"/>
    <mergeCell ref="R632:R637"/>
    <mergeCell ref="S632:S637"/>
    <mergeCell ref="T632:T637"/>
    <mergeCell ref="N652:N655"/>
    <mergeCell ref="Q652:Q655"/>
    <mergeCell ref="R652:R655"/>
    <mergeCell ref="S652:S655"/>
    <mergeCell ref="T652:T655"/>
    <mergeCell ref="U652:U655"/>
    <mergeCell ref="U644:U649"/>
    <mergeCell ref="A650:R650"/>
    <mergeCell ref="A651:U651"/>
    <mergeCell ref="A652:A655"/>
    <mergeCell ref="B652:B655"/>
    <mergeCell ref="C652:C655"/>
    <mergeCell ref="D652:D655"/>
    <mergeCell ref="E652:E655"/>
    <mergeCell ref="F652:F655"/>
    <mergeCell ref="M652:M655"/>
    <mergeCell ref="M644:M649"/>
    <mergeCell ref="N644:N649"/>
    <mergeCell ref="Q644:Q649"/>
    <mergeCell ref="R644:R649"/>
    <mergeCell ref="S644:S649"/>
    <mergeCell ref="T644:T649"/>
    <mergeCell ref="R662:R667"/>
    <mergeCell ref="S662:S667"/>
    <mergeCell ref="T662:T667"/>
    <mergeCell ref="U662:U667"/>
    <mergeCell ref="A668:A673"/>
    <mergeCell ref="B668:B673"/>
    <mergeCell ref="C668:C673"/>
    <mergeCell ref="D668:D673"/>
    <mergeCell ref="E668:E673"/>
    <mergeCell ref="F668:F673"/>
    <mergeCell ref="U656:U661"/>
    <mergeCell ref="A662:A667"/>
    <mergeCell ref="B662:B667"/>
    <mergeCell ref="C662:C667"/>
    <mergeCell ref="D662:D667"/>
    <mergeCell ref="E662:E667"/>
    <mergeCell ref="F662:F667"/>
    <mergeCell ref="M662:M667"/>
    <mergeCell ref="N662:N667"/>
    <mergeCell ref="Q662:Q667"/>
    <mergeCell ref="M656:M661"/>
    <mergeCell ref="N656:N661"/>
    <mergeCell ref="Q656:Q661"/>
    <mergeCell ref="R656:R661"/>
    <mergeCell ref="S656:S661"/>
    <mergeCell ref="T656:T661"/>
    <mergeCell ref="A656:A661"/>
    <mergeCell ref="B656:B661"/>
    <mergeCell ref="C656:C661"/>
    <mergeCell ref="D656:D661"/>
    <mergeCell ref="E656:E661"/>
    <mergeCell ref="F656:F661"/>
    <mergeCell ref="R674:R679"/>
    <mergeCell ref="S674:S679"/>
    <mergeCell ref="T674:T679"/>
    <mergeCell ref="U674:U679"/>
    <mergeCell ref="A680:A685"/>
    <mergeCell ref="B680:B685"/>
    <mergeCell ref="C680:C685"/>
    <mergeCell ref="D680:D685"/>
    <mergeCell ref="E680:E685"/>
    <mergeCell ref="F680:F685"/>
    <mergeCell ref="U668:U673"/>
    <mergeCell ref="A674:A679"/>
    <mergeCell ref="B674:B679"/>
    <mergeCell ref="C674:C679"/>
    <mergeCell ref="D674:D679"/>
    <mergeCell ref="E674:E679"/>
    <mergeCell ref="F674:F679"/>
    <mergeCell ref="M674:M679"/>
    <mergeCell ref="N674:N679"/>
    <mergeCell ref="Q674:Q679"/>
    <mergeCell ref="M668:M673"/>
    <mergeCell ref="N668:N673"/>
    <mergeCell ref="Q668:Q673"/>
    <mergeCell ref="R668:R673"/>
    <mergeCell ref="S668:S673"/>
    <mergeCell ref="T668:T673"/>
    <mergeCell ref="N688:N691"/>
    <mergeCell ref="Q688:Q691"/>
    <mergeCell ref="R688:R691"/>
    <mergeCell ref="S688:S691"/>
    <mergeCell ref="T688:T691"/>
    <mergeCell ref="U688:U691"/>
    <mergeCell ref="U680:U685"/>
    <mergeCell ref="A686:R686"/>
    <mergeCell ref="A687:U687"/>
    <mergeCell ref="A688:A691"/>
    <mergeCell ref="B688:B691"/>
    <mergeCell ref="C688:C691"/>
    <mergeCell ref="D688:D691"/>
    <mergeCell ref="E688:E691"/>
    <mergeCell ref="F688:F691"/>
    <mergeCell ref="M688:M691"/>
    <mergeCell ref="M680:M685"/>
    <mergeCell ref="N680:N685"/>
    <mergeCell ref="Q680:Q685"/>
    <mergeCell ref="R680:R685"/>
    <mergeCell ref="S680:S685"/>
    <mergeCell ref="T680:T685"/>
    <mergeCell ref="U692:U697"/>
    <mergeCell ref="A698:A703"/>
    <mergeCell ref="B698:B703"/>
    <mergeCell ref="C698:C703"/>
    <mergeCell ref="D698:D703"/>
    <mergeCell ref="E698:E703"/>
    <mergeCell ref="F698:F703"/>
    <mergeCell ref="M698:M703"/>
    <mergeCell ref="N698:N703"/>
    <mergeCell ref="Q698:Q703"/>
    <mergeCell ref="M692:M697"/>
    <mergeCell ref="N692:N697"/>
    <mergeCell ref="Q692:Q697"/>
    <mergeCell ref="R692:R697"/>
    <mergeCell ref="S692:S697"/>
    <mergeCell ref="T692:T697"/>
    <mergeCell ref="A692:A697"/>
    <mergeCell ref="B692:B697"/>
    <mergeCell ref="C692:C697"/>
    <mergeCell ref="D692:D697"/>
    <mergeCell ref="E692:E697"/>
    <mergeCell ref="F692:F697"/>
    <mergeCell ref="U704:U709"/>
    <mergeCell ref="A710:A715"/>
    <mergeCell ref="B710:B715"/>
    <mergeCell ref="C710:C715"/>
    <mergeCell ref="D710:D715"/>
    <mergeCell ref="E710:E715"/>
    <mergeCell ref="F710:F715"/>
    <mergeCell ref="M710:M715"/>
    <mergeCell ref="N710:N715"/>
    <mergeCell ref="Q710:Q715"/>
    <mergeCell ref="M704:M709"/>
    <mergeCell ref="N704:N709"/>
    <mergeCell ref="Q704:Q709"/>
    <mergeCell ref="R704:R709"/>
    <mergeCell ref="S704:S709"/>
    <mergeCell ref="T704:T709"/>
    <mergeCell ref="R698:R703"/>
    <mergeCell ref="S698:S703"/>
    <mergeCell ref="T698:T703"/>
    <mergeCell ref="U698:U703"/>
    <mergeCell ref="A704:A709"/>
    <mergeCell ref="B704:B709"/>
    <mergeCell ref="C704:C709"/>
    <mergeCell ref="D704:D709"/>
    <mergeCell ref="E704:E709"/>
    <mergeCell ref="F704:F709"/>
    <mergeCell ref="U716:U721"/>
    <mergeCell ref="A722:R722"/>
    <mergeCell ref="M716:M721"/>
    <mergeCell ref="N716:N721"/>
    <mergeCell ref="Q716:Q721"/>
    <mergeCell ref="R716:R721"/>
    <mergeCell ref="S716:S721"/>
    <mergeCell ref="T716:T721"/>
    <mergeCell ref="R710:R715"/>
    <mergeCell ref="S710:S715"/>
    <mergeCell ref="T710:T715"/>
    <mergeCell ref="U710:U715"/>
    <mergeCell ref="A716:A721"/>
    <mergeCell ref="B716:B721"/>
    <mergeCell ref="C716:C721"/>
    <mergeCell ref="D716:D721"/>
    <mergeCell ref="E716:E721"/>
    <mergeCell ref="F716:F7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U722"/>
  <sheetViews>
    <sheetView workbookViewId="0">
      <selection activeCell="T1" sqref="T1:U1048576"/>
    </sheetView>
  </sheetViews>
  <sheetFormatPr defaultRowHeight="15" x14ac:dyDescent="0.25"/>
  <cols>
    <col min="1" max="1" width="9.140625" style="16"/>
    <col min="2" max="5" width="0" style="16" hidden="1" customWidth="1"/>
    <col min="6" max="8" width="9.140625" style="16"/>
    <col min="9" max="10" width="0" style="16" hidden="1" customWidth="1"/>
    <col min="11" max="11" width="9.140625" style="16"/>
    <col min="12" max="13" width="0" style="16" hidden="1" customWidth="1"/>
    <col min="14" max="15" width="9.140625" style="16"/>
    <col min="16" max="17" width="0" style="16" hidden="1" customWidth="1"/>
    <col min="18" max="19" width="9.140625" style="16"/>
    <col min="20" max="21" width="0" style="16" hidden="1" customWidth="1"/>
  </cols>
  <sheetData>
    <row r="1" spans="1:21" ht="45" x14ac:dyDescent="0.25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3" t="s">
        <v>5</v>
      </c>
      <c r="G1" s="13" t="s">
        <v>6</v>
      </c>
      <c r="H1" s="13" t="s">
        <v>7</v>
      </c>
      <c r="I1" s="15" t="s">
        <v>8</v>
      </c>
      <c r="J1" s="15" t="s">
        <v>9</v>
      </c>
      <c r="K1" s="13" t="s">
        <v>31</v>
      </c>
      <c r="L1" s="14" t="s">
        <v>10</v>
      </c>
      <c r="M1" s="14" t="s">
        <v>11</v>
      </c>
      <c r="N1" s="13" t="s">
        <v>12</v>
      </c>
      <c r="O1" s="13" t="s">
        <v>13</v>
      </c>
      <c r="P1" s="14" t="s">
        <v>14</v>
      </c>
      <c r="Q1" s="14" t="s">
        <v>15</v>
      </c>
      <c r="R1" s="13" t="s">
        <v>16</v>
      </c>
      <c r="S1" s="13" t="s">
        <v>17</v>
      </c>
      <c r="T1" s="14" t="s">
        <v>18</v>
      </c>
      <c r="U1" s="14" t="s">
        <v>19</v>
      </c>
    </row>
    <row r="2" spans="1:21" x14ac:dyDescent="0.25">
      <c r="A2" s="3">
        <v>1</v>
      </c>
      <c r="B2" s="4"/>
      <c r="C2" s="4"/>
      <c r="D2" s="4"/>
      <c r="E2" s="4"/>
      <c r="F2" s="3">
        <v>2</v>
      </c>
      <c r="G2" s="3">
        <v>3</v>
      </c>
      <c r="H2" s="3">
        <v>4</v>
      </c>
      <c r="I2" s="5"/>
      <c r="J2" s="6"/>
      <c r="K2" s="3">
        <v>5</v>
      </c>
      <c r="L2" s="4"/>
      <c r="M2" s="5"/>
      <c r="N2" s="3">
        <v>6</v>
      </c>
      <c r="O2" s="3">
        <v>7</v>
      </c>
      <c r="P2" s="4"/>
      <c r="Q2" s="5"/>
      <c r="R2" s="7">
        <v>8</v>
      </c>
      <c r="S2" s="7">
        <v>9</v>
      </c>
      <c r="T2" s="4"/>
      <c r="U2" s="4"/>
    </row>
    <row r="3" spans="1:21" x14ac:dyDescent="0.25">
      <c r="A3" s="27" t="s">
        <v>112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9"/>
    </row>
    <row r="4" spans="1:21" x14ac:dyDescent="0.25">
      <c r="A4" s="24">
        <v>250</v>
      </c>
      <c r="B4" s="24">
        <v>3</v>
      </c>
      <c r="C4" s="17">
        <v>0.5</v>
      </c>
      <c r="D4" s="24">
        <v>38</v>
      </c>
      <c r="E4" s="24">
        <v>4</v>
      </c>
      <c r="F4" s="25">
        <v>84</v>
      </c>
      <c r="G4" s="1">
        <v>175</v>
      </c>
      <c r="H4" s="2">
        <v>84.8</v>
      </c>
      <c r="I4" s="2">
        <v>40.299999999999997</v>
      </c>
      <c r="J4" s="2">
        <v>34.6</v>
      </c>
      <c r="K4" s="2">
        <f>I4</f>
        <v>40.299999999999997</v>
      </c>
      <c r="L4" s="8">
        <f>10^((K4-H4)/10)</f>
        <v>3.5481338923357479E-5</v>
      </c>
      <c r="M4" s="26">
        <f>SUM(L4:L7)</f>
        <v>4.8003691920398873E-5</v>
      </c>
      <c r="N4" s="17">
        <f>10*LOG10(M4/E4)</f>
        <v>-49.207853514732498</v>
      </c>
      <c r="O4" s="9">
        <f>J4</f>
        <v>34.6</v>
      </c>
      <c r="P4" s="8">
        <f>D4/B4*10^(O4/10)</f>
        <v>36531.065706270361</v>
      </c>
      <c r="Q4" s="26">
        <f>SUM(P4:P7)</f>
        <v>159917.41658074764</v>
      </c>
      <c r="R4" s="17">
        <f>10*LOG10(Q4)</f>
        <v>52.038957652659619</v>
      </c>
      <c r="S4" s="18">
        <f>F4+N4-Kzt-H</f>
        <v>34.792146485267502</v>
      </c>
      <c r="T4" s="17">
        <v>0.2</v>
      </c>
      <c r="U4" s="21">
        <f>T4*10^((S4-R4)/10)</f>
        <v>3.7700653554621219E-3</v>
      </c>
    </row>
    <row r="5" spans="1:21" x14ac:dyDescent="0.25">
      <c r="A5" s="24"/>
      <c r="B5" s="24"/>
      <c r="C5" s="17"/>
      <c r="D5" s="24"/>
      <c r="E5" s="24"/>
      <c r="F5" s="25"/>
      <c r="G5" s="1">
        <v>225</v>
      </c>
      <c r="H5" s="2">
        <v>90</v>
      </c>
      <c r="I5" s="2">
        <v>38.700000000000003</v>
      </c>
      <c r="J5" s="2">
        <v>34.9</v>
      </c>
      <c r="K5" s="2">
        <f t="shared" ref="K5:K37" si="0">I5</f>
        <v>38.700000000000003</v>
      </c>
      <c r="L5" s="8">
        <f t="shared" ref="L5:L37" si="1">10^((K5-H5)/10)</f>
        <v>7.4131024130091704E-6</v>
      </c>
      <c r="M5" s="26"/>
      <c r="N5" s="17"/>
      <c r="O5" s="9">
        <f t="shared" ref="O5:O37" si="2">J5</f>
        <v>34.9</v>
      </c>
      <c r="P5" s="8">
        <f>D4/B4*10^(O5/10)</f>
        <v>39143.74214517216</v>
      </c>
      <c r="Q5" s="26"/>
      <c r="R5" s="17"/>
      <c r="S5" s="19"/>
      <c r="T5" s="17"/>
      <c r="U5" s="22"/>
    </row>
    <row r="6" spans="1:21" x14ac:dyDescent="0.25">
      <c r="A6" s="24"/>
      <c r="B6" s="24"/>
      <c r="C6" s="17"/>
      <c r="D6" s="24"/>
      <c r="E6" s="24"/>
      <c r="F6" s="25"/>
      <c r="G6" s="1">
        <v>275</v>
      </c>
      <c r="H6" s="2">
        <v>92.2</v>
      </c>
      <c r="I6" s="2">
        <v>35.800000000000004</v>
      </c>
      <c r="J6" s="2">
        <v>35.6</v>
      </c>
      <c r="K6" s="2">
        <f t="shared" si="0"/>
        <v>35.800000000000004</v>
      </c>
      <c r="L6" s="8">
        <f t="shared" si="1"/>
        <v>2.2908676527677705E-6</v>
      </c>
      <c r="M6" s="26"/>
      <c r="N6" s="17"/>
      <c r="O6" s="9">
        <f t="shared" si="2"/>
        <v>35.6</v>
      </c>
      <c r="P6" s="8">
        <f>D4/B4*10^(O6/10)</f>
        <v>45989.886937546238</v>
      </c>
      <c r="Q6" s="26"/>
      <c r="R6" s="17"/>
      <c r="S6" s="19"/>
      <c r="T6" s="17"/>
      <c r="U6" s="22"/>
    </row>
    <row r="7" spans="1:21" x14ac:dyDescent="0.25">
      <c r="A7" s="24"/>
      <c r="B7" s="24"/>
      <c r="C7" s="17"/>
      <c r="D7" s="24"/>
      <c r="E7" s="24"/>
      <c r="F7" s="25"/>
      <c r="G7" s="1">
        <v>325</v>
      </c>
      <c r="H7" s="2">
        <v>93.3</v>
      </c>
      <c r="I7" s="2">
        <v>37.799999999999997</v>
      </c>
      <c r="J7" s="2">
        <v>34.799999999999997</v>
      </c>
      <c r="K7" s="2">
        <f t="shared" si="0"/>
        <v>37.799999999999997</v>
      </c>
      <c r="L7" s="8">
        <f>10^((K7-H7)/10)</f>
        <v>2.818382931264453E-6</v>
      </c>
      <c r="M7" s="26"/>
      <c r="N7" s="17"/>
      <c r="O7" s="9">
        <f t="shared" si="2"/>
        <v>34.799999999999997</v>
      </c>
      <c r="P7" s="8">
        <f>D4/B4*10^(O7/10)</f>
        <v>38252.721791758886</v>
      </c>
      <c r="Q7" s="26"/>
      <c r="R7" s="17"/>
      <c r="S7" s="20"/>
      <c r="T7" s="17"/>
      <c r="U7" s="23"/>
    </row>
    <row r="8" spans="1:21" x14ac:dyDescent="0.25">
      <c r="A8" s="24">
        <v>500</v>
      </c>
      <c r="B8" s="24">
        <v>3</v>
      </c>
      <c r="C8" s="17">
        <v>0.5</v>
      </c>
      <c r="D8" s="24">
        <v>59</v>
      </c>
      <c r="E8" s="24">
        <v>6</v>
      </c>
      <c r="F8" s="25">
        <v>84</v>
      </c>
      <c r="G8" s="1">
        <v>375</v>
      </c>
      <c r="H8" s="2">
        <v>91.9</v>
      </c>
      <c r="I8" s="2">
        <v>35.299999999999997</v>
      </c>
      <c r="J8" s="2">
        <v>35</v>
      </c>
      <c r="K8" s="2">
        <f t="shared" si="0"/>
        <v>35.299999999999997</v>
      </c>
      <c r="L8" s="8">
        <f t="shared" si="1"/>
        <v>2.1877616239495467E-6</v>
      </c>
      <c r="M8" s="26">
        <f>SUM(L8:L13)</f>
        <v>2.5951189805566778E-5</v>
      </c>
      <c r="N8" s="17">
        <f>10*LOG10(M8/E8)</f>
        <v>-53.639939762860024</v>
      </c>
      <c r="O8" s="9">
        <f t="shared" si="2"/>
        <v>35</v>
      </c>
      <c r="P8" s="8">
        <f>D8/B8*10^(O8/10)</f>
        <v>62191.460649978151</v>
      </c>
      <c r="Q8" s="26">
        <f>SUM(P8:P13)</f>
        <v>220429.37181181356</v>
      </c>
      <c r="R8" s="17">
        <f>10*LOG10(Q8)</f>
        <v>53.432694629832795</v>
      </c>
      <c r="S8" s="18">
        <f>F8+N8-Kzt-H</f>
        <v>30.360060237139976</v>
      </c>
      <c r="T8" s="17">
        <v>0.5</v>
      </c>
      <c r="U8" s="21">
        <f>T8*10^((S8-R8)/10)</f>
        <v>2.4643736985659149E-3</v>
      </c>
    </row>
    <row r="9" spans="1:21" x14ac:dyDescent="0.25">
      <c r="A9" s="24"/>
      <c r="B9" s="24"/>
      <c r="C9" s="17"/>
      <c r="D9" s="24"/>
      <c r="E9" s="24"/>
      <c r="F9" s="25"/>
      <c r="G9" s="1">
        <v>425</v>
      </c>
      <c r="H9" s="2">
        <v>88.1</v>
      </c>
      <c r="I9" s="2">
        <v>39.700000000000003</v>
      </c>
      <c r="J9" s="2">
        <v>32.5</v>
      </c>
      <c r="K9" s="2">
        <f t="shared" si="0"/>
        <v>39.700000000000003</v>
      </c>
      <c r="L9" s="8">
        <f t="shared" si="1"/>
        <v>1.4454397707459302E-5</v>
      </c>
      <c r="M9" s="26"/>
      <c r="N9" s="17"/>
      <c r="O9" s="9">
        <f t="shared" si="2"/>
        <v>32.5</v>
      </c>
      <c r="P9" s="8">
        <f>D8/B8*10^(O9/10)</f>
        <v>34972.828397432182</v>
      </c>
      <c r="Q9" s="26"/>
      <c r="R9" s="17"/>
      <c r="S9" s="19"/>
      <c r="T9" s="17"/>
      <c r="U9" s="22"/>
    </row>
    <row r="10" spans="1:21" x14ac:dyDescent="0.25">
      <c r="A10" s="24"/>
      <c r="B10" s="24"/>
      <c r="C10" s="17"/>
      <c r="D10" s="24"/>
      <c r="E10" s="24"/>
      <c r="F10" s="25"/>
      <c r="G10" s="1">
        <v>475</v>
      </c>
      <c r="H10" s="2">
        <v>90</v>
      </c>
      <c r="I10" s="2">
        <v>35.6</v>
      </c>
      <c r="J10" s="2">
        <v>33.799999999999997</v>
      </c>
      <c r="K10" s="2">
        <f t="shared" si="0"/>
        <v>35.6</v>
      </c>
      <c r="L10" s="8">
        <f>10^((K10-H10)/10)</f>
        <v>3.6307805477010154E-6</v>
      </c>
      <c r="M10" s="26"/>
      <c r="N10" s="17"/>
      <c r="O10" s="9">
        <f t="shared" si="2"/>
        <v>33.799999999999997</v>
      </c>
      <c r="P10" s="8">
        <f>D8/B8*10^(O10/10)</f>
        <v>47177.047407383339</v>
      </c>
      <c r="Q10" s="26"/>
      <c r="R10" s="17"/>
      <c r="S10" s="19"/>
      <c r="T10" s="17"/>
      <c r="U10" s="22"/>
    </row>
    <row r="11" spans="1:21" x14ac:dyDescent="0.25">
      <c r="A11" s="24"/>
      <c r="B11" s="24"/>
      <c r="C11" s="17"/>
      <c r="D11" s="24"/>
      <c r="E11" s="24"/>
      <c r="F11" s="25"/>
      <c r="G11" s="1">
        <v>575</v>
      </c>
      <c r="H11" s="2">
        <v>97</v>
      </c>
      <c r="I11" s="2">
        <v>38.799999999999997</v>
      </c>
      <c r="J11" s="2">
        <v>29.9</v>
      </c>
      <c r="K11" s="2">
        <f t="shared" si="0"/>
        <v>38.799999999999997</v>
      </c>
      <c r="L11" s="8">
        <f t="shared" si="1"/>
        <v>1.5135612484362063E-6</v>
      </c>
      <c r="M11" s="26"/>
      <c r="N11" s="17"/>
      <c r="O11" s="9">
        <f t="shared" si="2"/>
        <v>29.9</v>
      </c>
      <c r="P11" s="8">
        <f>D8/B8*10^(O11/10)</f>
        <v>19218.998678797609</v>
      </c>
      <c r="Q11" s="26"/>
      <c r="R11" s="17"/>
      <c r="S11" s="19"/>
      <c r="T11" s="17"/>
      <c r="U11" s="22"/>
    </row>
    <row r="12" spans="1:21" x14ac:dyDescent="0.25">
      <c r="A12" s="24"/>
      <c r="B12" s="24"/>
      <c r="C12" s="17"/>
      <c r="D12" s="24"/>
      <c r="E12" s="24"/>
      <c r="F12" s="25"/>
      <c r="G12" s="1">
        <v>625</v>
      </c>
      <c r="H12" s="2">
        <v>92</v>
      </c>
      <c r="I12" s="2">
        <v>37.299999999999997</v>
      </c>
      <c r="J12" s="2">
        <v>31.7</v>
      </c>
      <c r="K12" s="2">
        <f t="shared" si="0"/>
        <v>37.299999999999997</v>
      </c>
      <c r="L12" s="8">
        <f t="shared" si="1"/>
        <v>3.3884415613920161E-6</v>
      </c>
      <c r="M12" s="26"/>
      <c r="N12" s="17"/>
      <c r="O12" s="9">
        <f t="shared" si="2"/>
        <v>31.7</v>
      </c>
      <c r="P12" s="8">
        <f>D8/B8*10^(O12/10)</f>
        <v>29089.131633974772</v>
      </c>
      <c r="Q12" s="26"/>
      <c r="R12" s="17"/>
      <c r="S12" s="19"/>
      <c r="T12" s="17"/>
      <c r="U12" s="22"/>
    </row>
    <row r="13" spans="1:21" x14ac:dyDescent="0.25">
      <c r="A13" s="24"/>
      <c r="B13" s="24"/>
      <c r="C13" s="17"/>
      <c r="D13" s="24"/>
      <c r="E13" s="24"/>
      <c r="F13" s="25"/>
      <c r="G13" s="1">
        <v>675</v>
      </c>
      <c r="H13" s="2">
        <v>94.5</v>
      </c>
      <c r="I13" s="2">
        <v>33.4</v>
      </c>
      <c r="J13" s="2">
        <v>31.5</v>
      </c>
      <c r="K13" s="2">
        <f t="shared" si="0"/>
        <v>33.4</v>
      </c>
      <c r="L13" s="8">
        <f t="shared" si="1"/>
        <v>7.7624711662869019E-7</v>
      </c>
      <c r="M13" s="26"/>
      <c r="N13" s="17"/>
      <c r="O13" s="9">
        <f t="shared" si="2"/>
        <v>31.5</v>
      </c>
      <c r="P13" s="8">
        <f>D8/B8*10^(O13/10)</f>
        <v>27779.905044247505</v>
      </c>
      <c r="Q13" s="26"/>
      <c r="R13" s="17"/>
      <c r="S13" s="20"/>
      <c r="T13" s="17"/>
      <c r="U13" s="23"/>
    </row>
    <row r="14" spans="1:21" x14ac:dyDescent="0.25">
      <c r="A14" s="24">
        <v>1000</v>
      </c>
      <c r="B14" s="24">
        <v>3</v>
      </c>
      <c r="C14" s="17">
        <v>0.5</v>
      </c>
      <c r="D14" s="24">
        <v>117</v>
      </c>
      <c r="E14" s="24">
        <v>6</v>
      </c>
      <c r="F14" s="25">
        <v>76</v>
      </c>
      <c r="G14" s="1">
        <v>875</v>
      </c>
      <c r="H14" s="2">
        <v>91.1</v>
      </c>
      <c r="I14" s="2">
        <v>39.1</v>
      </c>
      <c r="J14" s="2">
        <v>32.200000000000003</v>
      </c>
      <c r="K14" s="2">
        <f t="shared" si="0"/>
        <v>39.1</v>
      </c>
      <c r="L14" s="8">
        <f t="shared" si="1"/>
        <v>6.3095734448019322E-6</v>
      </c>
      <c r="M14" s="26">
        <f>SUM(L14:L19)</f>
        <v>8.6190247042236351E-6</v>
      </c>
      <c r="N14" s="17">
        <f>10*LOG10(M14/E14)</f>
        <v>-58.426931248765086</v>
      </c>
      <c r="O14" s="9">
        <f t="shared" si="2"/>
        <v>32.200000000000003</v>
      </c>
      <c r="P14" s="8">
        <f>D14/B14*10^(O14/10)</f>
        <v>64723.889390064942</v>
      </c>
      <c r="Q14" s="26">
        <f>SUM(P14:P19)</f>
        <v>360552.65793343668</v>
      </c>
      <c r="R14" s="17">
        <f>10*LOG10(Q14)</f>
        <v>55.569687014544797</v>
      </c>
      <c r="S14" s="18">
        <f>F14+N14-Kzt-H</f>
        <v>17.573068751234914</v>
      </c>
      <c r="T14" s="17">
        <v>0.8</v>
      </c>
      <c r="U14" s="21">
        <f>T14*10^((S14-R14)/10)</f>
        <v>1.2689022301101737E-4</v>
      </c>
    </row>
    <row r="15" spans="1:21" x14ac:dyDescent="0.25">
      <c r="A15" s="24"/>
      <c r="B15" s="24"/>
      <c r="C15" s="17"/>
      <c r="D15" s="24"/>
      <c r="E15" s="24"/>
      <c r="F15" s="25"/>
      <c r="G15" s="1">
        <v>975</v>
      </c>
      <c r="H15" s="2">
        <v>96.5</v>
      </c>
      <c r="I15" s="2">
        <v>34.9</v>
      </c>
      <c r="J15" s="2">
        <v>34.200000000000003</v>
      </c>
      <c r="K15" s="2">
        <f t="shared" si="0"/>
        <v>34.9</v>
      </c>
      <c r="L15" s="8">
        <f t="shared" si="1"/>
        <v>6.9183097091893534E-7</v>
      </c>
      <c r="M15" s="26"/>
      <c r="N15" s="17"/>
      <c r="O15" s="9">
        <f t="shared" si="2"/>
        <v>34.200000000000003</v>
      </c>
      <c r="P15" s="8">
        <f>D14/B14*10^(O15/10)</f>
        <v>102580.45168392011</v>
      </c>
      <c r="Q15" s="26"/>
      <c r="R15" s="17"/>
      <c r="S15" s="19"/>
      <c r="T15" s="17"/>
      <c r="U15" s="22"/>
    </row>
    <row r="16" spans="1:21" x14ac:dyDescent="0.25">
      <c r="A16" s="24"/>
      <c r="B16" s="24"/>
      <c r="C16" s="17"/>
      <c r="D16" s="24"/>
      <c r="E16" s="24"/>
      <c r="F16" s="25"/>
      <c r="G16" s="1">
        <v>1075</v>
      </c>
      <c r="H16" s="2">
        <v>94.6</v>
      </c>
      <c r="I16" s="2">
        <v>33.799999999999997</v>
      </c>
      <c r="J16" s="2">
        <v>33.5</v>
      </c>
      <c r="K16" s="2">
        <f t="shared" si="0"/>
        <v>33.799999999999997</v>
      </c>
      <c r="L16" s="8">
        <f t="shared" si="1"/>
        <v>8.3176377110266907E-7</v>
      </c>
      <c r="M16" s="26"/>
      <c r="N16" s="17"/>
      <c r="O16" s="9">
        <f t="shared" si="2"/>
        <v>33.5</v>
      </c>
      <c r="P16" s="8">
        <f>D14/B14*10^(O16/10)</f>
        <v>87310.124404165326</v>
      </c>
      <c r="Q16" s="26"/>
      <c r="R16" s="17"/>
      <c r="S16" s="19"/>
      <c r="T16" s="17"/>
      <c r="U16" s="22"/>
    </row>
    <row r="17" spans="1:21" x14ac:dyDescent="0.25">
      <c r="A17" s="24"/>
      <c r="B17" s="24"/>
      <c r="C17" s="17"/>
      <c r="D17" s="24"/>
      <c r="E17" s="24"/>
      <c r="F17" s="25"/>
      <c r="G17" s="1">
        <v>1175</v>
      </c>
      <c r="H17" s="2">
        <v>97.8</v>
      </c>
      <c r="I17" s="2">
        <v>33.299999999999997</v>
      </c>
      <c r="J17" s="2">
        <v>30</v>
      </c>
      <c r="K17" s="2">
        <f t="shared" si="0"/>
        <v>33.299999999999997</v>
      </c>
      <c r="L17" s="8">
        <f t="shared" si="1"/>
        <v>3.5481338923357463E-7</v>
      </c>
      <c r="M17" s="26"/>
      <c r="N17" s="17"/>
      <c r="O17" s="9">
        <f t="shared" si="2"/>
        <v>30</v>
      </c>
      <c r="P17" s="8">
        <f>D14/B14*10^(O17/10)</f>
        <v>39000</v>
      </c>
      <c r="Q17" s="26"/>
      <c r="R17" s="17"/>
      <c r="S17" s="19"/>
      <c r="T17" s="17"/>
      <c r="U17" s="22"/>
    </row>
    <row r="18" spans="1:21" x14ac:dyDescent="0.25">
      <c r="A18" s="24"/>
      <c r="B18" s="24"/>
      <c r="C18" s="17"/>
      <c r="D18" s="24"/>
      <c r="E18" s="24"/>
      <c r="F18" s="25"/>
      <c r="G18" s="1">
        <v>1275</v>
      </c>
      <c r="H18" s="2">
        <v>100.1</v>
      </c>
      <c r="I18" s="2">
        <v>35.1</v>
      </c>
      <c r="J18" s="2">
        <v>26</v>
      </c>
      <c r="K18" s="2">
        <f t="shared" si="0"/>
        <v>35.1</v>
      </c>
      <c r="L18" s="8">
        <f t="shared" si="1"/>
        <v>3.1622776601683734E-7</v>
      </c>
      <c r="M18" s="26"/>
      <c r="N18" s="17"/>
      <c r="O18" s="9">
        <f t="shared" si="2"/>
        <v>26</v>
      </c>
      <c r="P18" s="8">
        <f>D14/B14*10^(O18/10)</f>
        <v>15526.179651586406</v>
      </c>
      <c r="Q18" s="26"/>
      <c r="R18" s="17"/>
      <c r="S18" s="19"/>
      <c r="T18" s="17"/>
      <c r="U18" s="22"/>
    </row>
    <row r="19" spans="1:21" x14ac:dyDescent="0.25">
      <c r="A19" s="24"/>
      <c r="B19" s="24"/>
      <c r="C19" s="17"/>
      <c r="D19" s="24"/>
      <c r="E19" s="24"/>
      <c r="F19" s="25"/>
      <c r="G19" s="1">
        <v>1375</v>
      </c>
      <c r="H19" s="2">
        <v>103</v>
      </c>
      <c r="I19" s="2">
        <v>33.6</v>
      </c>
      <c r="J19" s="2">
        <v>31.2</v>
      </c>
      <c r="K19" s="2">
        <f t="shared" si="0"/>
        <v>33.6</v>
      </c>
      <c r="L19" s="8">
        <f t="shared" si="1"/>
        <v>1.1481536214968794E-7</v>
      </c>
      <c r="M19" s="26"/>
      <c r="N19" s="17"/>
      <c r="O19" s="9">
        <f t="shared" si="2"/>
        <v>31.2</v>
      </c>
      <c r="P19" s="8">
        <f>D14/B14*10^(O19/10)</f>
        <v>51412.012803699945</v>
      </c>
      <c r="Q19" s="26"/>
      <c r="R19" s="17"/>
      <c r="S19" s="20"/>
      <c r="T19" s="17"/>
      <c r="U19" s="23"/>
    </row>
    <row r="20" spans="1:21" x14ac:dyDescent="0.25">
      <c r="A20" s="24">
        <v>2000</v>
      </c>
      <c r="B20" s="24">
        <v>3</v>
      </c>
      <c r="C20" s="17">
        <v>0.5</v>
      </c>
      <c r="D20" s="24">
        <v>234</v>
      </c>
      <c r="E20" s="24">
        <v>6</v>
      </c>
      <c r="F20" s="25">
        <v>68</v>
      </c>
      <c r="G20" s="1">
        <v>1425</v>
      </c>
      <c r="H20" s="2">
        <v>102.8</v>
      </c>
      <c r="I20" s="2">
        <v>36.4</v>
      </c>
      <c r="J20" s="2">
        <v>29</v>
      </c>
      <c r="K20" s="2">
        <f t="shared" si="0"/>
        <v>36.4</v>
      </c>
      <c r="L20" s="8">
        <f t="shared" si="1"/>
        <v>2.2908676527677676E-7</v>
      </c>
      <c r="M20" s="26">
        <f>SUM(L20:L25)</f>
        <v>1.6661416105829704E-6</v>
      </c>
      <c r="N20" s="17">
        <f>10*LOG10(M20/E20)</f>
        <v>-65.564393396987569</v>
      </c>
      <c r="O20" s="9">
        <f t="shared" si="2"/>
        <v>29</v>
      </c>
      <c r="P20" s="8">
        <f>D20/B20*10^(O20/10)</f>
        <v>61957.602308494003</v>
      </c>
      <c r="Q20" s="26">
        <f>SUM(P20:P25)</f>
        <v>302433.97851712245</v>
      </c>
      <c r="R20" s="17">
        <f>10*LOG10(Q20)</f>
        <v>54.806305826410089</v>
      </c>
      <c r="S20" s="18">
        <f>F20+N20-Kzt-H</f>
        <v>2.435606603012431</v>
      </c>
      <c r="T20" s="17">
        <v>1</v>
      </c>
      <c r="U20" s="21">
        <f>T20*10^((S20-R20)/10)</f>
        <v>5.7933541467787593E-6</v>
      </c>
    </row>
    <row r="21" spans="1:21" x14ac:dyDescent="0.25">
      <c r="A21" s="24"/>
      <c r="B21" s="24"/>
      <c r="C21" s="17"/>
      <c r="D21" s="24"/>
      <c r="E21" s="24"/>
      <c r="F21" s="25"/>
      <c r="G21" s="1">
        <v>1625</v>
      </c>
      <c r="H21" s="2">
        <v>104.1</v>
      </c>
      <c r="I21" s="2">
        <v>35.1</v>
      </c>
      <c r="J21" s="2">
        <v>30.8</v>
      </c>
      <c r="K21" s="2">
        <f t="shared" si="0"/>
        <v>35.1</v>
      </c>
      <c r="L21" s="8">
        <f t="shared" si="1"/>
        <v>1.2589254117941651E-7</v>
      </c>
      <c r="M21" s="26"/>
      <c r="N21" s="17"/>
      <c r="O21" s="9">
        <f t="shared" si="2"/>
        <v>30.8</v>
      </c>
      <c r="P21" s="8">
        <f>D20/B20*10^(O21/10)</f>
        <v>93776.62590015828</v>
      </c>
      <c r="Q21" s="26"/>
      <c r="R21" s="17"/>
      <c r="S21" s="19"/>
      <c r="T21" s="17"/>
      <c r="U21" s="22"/>
    </row>
    <row r="22" spans="1:21" x14ac:dyDescent="0.25">
      <c r="A22" s="24"/>
      <c r="B22" s="24"/>
      <c r="C22" s="17"/>
      <c r="D22" s="24"/>
      <c r="E22" s="24"/>
      <c r="F22" s="25"/>
      <c r="G22" s="1">
        <v>1825</v>
      </c>
      <c r="H22" s="2">
        <v>107.6</v>
      </c>
      <c r="I22" s="2">
        <v>36.1</v>
      </c>
      <c r="J22" s="2">
        <v>25.5</v>
      </c>
      <c r="K22" s="2">
        <f t="shared" si="0"/>
        <v>36.1</v>
      </c>
      <c r="L22" s="8">
        <f t="shared" si="1"/>
        <v>7.0794578438413597E-8</v>
      </c>
      <c r="M22" s="26"/>
      <c r="N22" s="17"/>
      <c r="O22" s="9">
        <f t="shared" si="2"/>
        <v>25.5</v>
      </c>
      <c r="P22" s="8">
        <f>D20/B20*10^(O22/10)</f>
        <v>27675.444360218902</v>
      </c>
      <c r="Q22" s="26"/>
      <c r="R22" s="17"/>
      <c r="S22" s="19"/>
      <c r="T22" s="17"/>
      <c r="U22" s="22"/>
    </row>
    <row r="23" spans="1:21" x14ac:dyDescent="0.25">
      <c r="A23" s="24"/>
      <c r="B23" s="24"/>
      <c r="C23" s="17"/>
      <c r="D23" s="24"/>
      <c r="E23" s="24"/>
      <c r="F23" s="25"/>
      <c r="G23" s="1">
        <v>2125</v>
      </c>
      <c r="H23" s="2">
        <v>104.2</v>
      </c>
      <c r="I23" s="2">
        <v>34.299999999999997</v>
      </c>
      <c r="J23" s="2">
        <v>27.3</v>
      </c>
      <c r="K23" s="2">
        <f t="shared" si="0"/>
        <v>34.299999999999997</v>
      </c>
      <c r="L23" s="8">
        <f t="shared" si="1"/>
        <v>1.0232929922807534E-7</v>
      </c>
      <c r="M23" s="26"/>
      <c r="N23" s="17"/>
      <c r="O23" s="9">
        <f t="shared" si="2"/>
        <v>27.3</v>
      </c>
      <c r="P23" s="8">
        <f>D20/B20*10^(O23/10)</f>
        <v>41888.480116879735</v>
      </c>
      <c r="Q23" s="26"/>
      <c r="R23" s="17"/>
      <c r="S23" s="19"/>
      <c r="T23" s="17"/>
      <c r="U23" s="22"/>
    </row>
    <row r="24" spans="1:21" x14ac:dyDescent="0.25">
      <c r="A24" s="24"/>
      <c r="B24" s="24"/>
      <c r="C24" s="17"/>
      <c r="D24" s="24"/>
      <c r="E24" s="24"/>
      <c r="F24" s="25"/>
      <c r="G24" s="1">
        <v>2425</v>
      </c>
      <c r="H24" s="2">
        <v>93.7</v>
      </c>
      <c r="I24" s="2">
        <v>33.700000000000003</v>
      </c>
      <c r="J24" s="2">
        <v>27.5</v>
      </c>
      <c r="K24" s="2">
        <f t="shared" si="0"/>
        <v>33.700000000000003</v>
      </c>
      <c r="L24" s="8">
        <f t="shared" si="1"/>
        <v>9.9999999999999995E-7</v>
      </c>
      <c r="M24" s="26"/>
      <c r="N24" s="17"/>
      <c r="O24" s="9">
        <f t="shared" si="2"/>
        <v>27.5</v>
      </c>
      <c r="P24" s="8">
        <f>D20/B20*10^(O24/10)</f>
        <v>43862.623364847241</v>
      </c>
      <c r="Q24" s="26"/>
      <c r="R24" s="17"/>
      <c r="S24" s="19"/>
      <c r="T24" s="17"/>
      <c r="U24" s="22"/>
    </row>
    <row r="25" spans="1:21" x14ac:dyDescent="0.25">
      <c r="A25" s="24"/>
      <c r="B25" s="24"/>
      <c r="C25" s="17"/>
      <c r="D25" s="24"/>
      <c r="E25" s="24"/>
      <c r="F25" s="25"/>
      <c r="G25" s="1">
        <v>2775</v>
      </c>
      <c r="H25" s="2">
        <v>100.2</v>
      </c>
      <c r="I25" s="2">
        <v>31.6</v>
      </c>
      <c r="J25" s="2">
        <v>26.3</v>
      </c>
      <c r="K25" s="2">
        <f t="shared" si="0"/>
        <v>31.6</v>
      </c>
      <c r="L25" s="8">
        <f t="shared" si="1"/>
        <v>1.3803842646028844E-7</v>
      </c>
      <c r="M25" s="26"/>
      <c r="N25" s="17"/>
      <c r="O25" s="9">
        <f t="shared" si="2"/>
        <v>26.3</v>
      </c>
      <c r="P25" s="8">
        <f>D20/B20*10^(O25/10)</f>
        <v>33273.20246652425</v>
      </c>
      <c r="Q25" s="26"/>
      <c r="R25" s="17"/>
      <c r="S25" s="20"/>
      <c r="T25" s="17"/>
      <c r="U25" s="23"/>
    </row>
    <row r="26" spans="1:21" x14ac:dyDescent="0.25">
      <c r="A26" s="24">
        <v>4000</v>
      </c>
      <c r="B26" s="24">
        <v>3</v>
      </c>
      <c r="C26" s="17">
        <v>0.5</v>
      </c>
      <c r="D26" s="24">
        <v>470</v>
      </c>
      <c r="E26" s="24">
        <v>6</v>
      </c>
      <c r="F26" s="25">
        <v>62</v>
      </c>
      <c r="G26" s="1">
        <v>2825</v>
      </c>
      <c r="H26" s="2">
        <v>99.4</v>
      </c>
      <c r="I26" s="2">
        <v>31.6</v>
      </c>
      <c r="J26" s="2">
        <v>28</v>
      </c>
      <c r="K26" s="2">
        <f t="shared" si="0"/>
        <v>31.6</v>
      </c>
      <c r="L26" s="8">
        <f t="shared" si="1"/>
        <v>1.659586907437553E-7</v>
      </c>
      <c r="M26" s="26">
        <f>SUM(L26:L31)</f>
        <v>5.0568411183299565E-7</v>
      </c>
      <c r="N26" s="17">
        <f>10*LOG10(M26/E26)</f>
        <v>-70.742719417019686</v>
      </c>
      <c r="O26" s="9">
        <f t="shared" si="2"/>
        <v>28</v>
      </c>
      <c r="P26" s="8">
        <f>D26/B26*10^(O26/10)</f>
        <v>98849.983968563596</v>
      </c>
      <c r="Q26" s="26">
        <f>SUM(P26:P31)</f>
        <v>440872.49425680982</v>
      </c>
      <c r="R26" s="17">
        <f>10*LOG10(Q26)</f>
        <v>56.443130043261654</v>
      </c>
      <c r="S26" s="18">
        <f>F26+N26-Kzt-H</f>
        <v>-8.7427194170196856</v>
      </c>
      <c r="T26" s="17">
        <v>0.9</v>
      </c>
      <c r="U26" s="21">
        <f>T26*10^((S26-R26)/10)</f>
        <v>2.7268268608962395E-7</v>
      </c>
    </row>
    <row r="27" spans="1:21" x14ac:dyDescent="0.25">
      <c r="A27" s="24"/>
      <c r="B27" s="24"/>
      <c r="C27" s="17"/>
      <c r="D27" s="24"/>
      <c r="E27" s="24"/>
      <c r="F27" s="25"/>
      <c r="G27" s="1">
        <v>3425</v>
      </c>
      <c r="H27" s="2">
        <v>103.5</v>
      </c>
      <c r="I27" s="2">
        <v>30.5</v>
      </c>
      <c r="J27" s="2">
        <v>25.3</v>
      </c>
      <c r="K27" s="2">
        <f t="shared" si="0"/>
        <v>30.5</v>
      </c>
      <c r="L27" s="8">
        <f t="shared" si="1"/>
        <v>5.0118723362727164E-8</v>
      </c>
      <c r="M27" s="26"/>
      <c r="N27" s="17"/>
      <c r="O27" s="9">
        <f t="shared" si="2"/>
        <v>25.3</v>
      </c>
      <c r="P27" s="8">
        <f>D26/B26*10^(O27/10)</f>
        <v>53085.58446180843</v>
      </c>
      <c r="Q27" s="26"/>
      <c r="R27" s="17"/>
      <c r="S27" s="19"/>
      <c r="T27" s="17"/>
      <c r="U27" s="22"/>
    </row>
    <row r="28" spans="1:21" x14ac:dyDescent="0.25">
      <c r="A28" s="24"/>
      <c r="B28" s="24"/>
      <c r="C28" s="17"/>
      <c r="D28" s="24"/>
      <c r="E28" s="24"/>
      <c r="F28" s="25"/>
      <c r="G28" s="1">
        <v>4025</v>
      </c>
      <c r="H28" s="2">
        <v>103.6</v>
      </c>
      <c r="I28" s="2">
        <v>32.200000000000003</v>
      </c>
      <c r="J28" s="2">
        <v>25.7</v>
      </c>
      <c r="K28" s="2">
        <f t="shared" si="0"/>
        <v>32.200000000000003</v>
      </c>
      <c r="L28" s="8">
        <f t="shared" si="1"/>
        <v>7.2443596007499061E-8</v>
      </c>
      <c r="M28" s="26"/>
      <c r="N28" s="17"/>
      <c r="O28" s="9">
        <f t="shared" si="2"/>
        <v>25.7</v>
      </c>
      <c r="P28" s="8">
        <f>D26/B26*10^(O28/10)</f>
        <v>58207.185891890374</v>
      </c>
      <c r="Q28" s="26"/>
      <c r="R28" s="17"/>
      <c r="S28" s="19"/>
      <c r="T28" s="17"/>
      <c r="U28" s="22"/>
    </row>
    <row r="29" spans="1:21" x14ac:dyDescent="0.25">
      <c r="A29" s="24"/>
      <c r="B29" s="24"/>
      <c r="C29" s="17"/>
      <c r="D29" s="24"/>
      <c r="E29" s="24"/>
      <c r="F29" s="25"/>
      <c r="G29" s="1">
        <v>4625</v>
      </c>
      <c r="H29" s="2">
        <v>105.6</v>
      </c>
      <c r="I29" s="2">
        <v>32.799999999999997</v>
      </c>
      <c r="J29" s="2">
        <v>21.8</v>
      </c>
      <c r="K29" s="2">
        <f t="shared" si="0"/>
        <v>32.799999999999997</v>
      </c>
      <c r="L29" s="8">
        <f t="shared" si="1"/>
        <v>5.2480746024977185E-8</v>
      </c>
      <c r="M29" s="26"/>
      <c r="N29" s="17"/>
      <c r="O29" s="9">
        <f t="shared" si="2"/>
        <v>21.8</v>
      </c>
      <c r="P29" s="8">
        <f>D26/B26*10^(O29/10)</f>
        <v>23712.45955883394</v>
      </c>
      <c r="Q29" s="26"/>
      <c r="R29" s="17"/>
      <c r="S29" s="19"/>
      <c r="T29" s="17"/>
      <c r="U29" s="22"/>
    </row>
    <row r="30" spans="1:21" x14ac:dyDescent="0.25">
      <c r="A30" s="24"/>
      <c r="B30" s="24"/>
      <c r="C30" s="17"/>
      <c r="D30" s="24"/>
      <c r="E30" s="24"/>
      <c r="F30" s="25"/>
      <c r="G30" s="1">
        <v>5225</v>
      </c>
      <c r="H30" s="2">
        <v>103.5</v>
      </c>
      <c r="I30" s="2">
        <v>31.9</v>
      </c>
      <c r="J30" s="2">
        <v>28.2</v>
      </c>
      <c r="K30" s="2">
        <f t="shared" si="0"/>
        <v>31.9</v>
      </c>
      <c r="L30" s="8">
        <f t="shared" si="1"/>
        <v>6.9183097091893717E-8</v>
      </c>
      <c r="M30" s="26"/>
      <c r="N30" s="17"/>
      <c r="O30" s="9">
        <f t="shared" si="2"/>
        <v>28.2</v>
      </c>
      <c r="P30" s="8">
        <f>D26/B26*10^(O30/10)</f>
        <v>103508.64018785677</v>
      </c>
      <c r="Q30" s="26"/>
      <c r="R30" s="17"/>
      <c r="S30" s="19"/>
      <c r="T30" s="17"/>
      <c r="U30" s="22"/>
    </row>
    <row r="31" spans="1:21" x14ac:dyDescent="0.25">
      <c r="A31" s="24"/>
      <c r="B31" s="24"/>
      <c r="C31" s="17"/>
      <c r="D31" s="24"/>
      <c r="E31" s="24"/>
      <c r="F31" s="25"/>
      <c r="G31" s="1">
        <v>5625</v>
      </c>
      <c r="H31" s="2">
        <v>99.5</v>
      </c>
      <c r="I31" s="2">
        <v>29.3</v>
      </c>
      <c r="J31" s="2">
        <v>28.2</v>
      </c>
      <c r="K31" s="2">
        <f t="shared" si="0"/>
        <v>29.3</v>
      </c>
      <c r="L31" s="8">
        <f t="shared" si="1"/>
        <v>9.5499258602143212E-8</v>
      </c>
      <c r="M31" s="26"/>
      <c r="N31" s="17"/>
      <c r="O31" s="9">
        <f t="shared" si="2"/>
        <v>28.2</v>
      </c>
      <c r="P31" s="8">
        <f>D26/B26*10^(O31/10)</f>
        <v>103508.64018785677</v>
      </c>
      <c r="Q31" s="26"/>
      <c r="R31" s="17"/>
      <c r="S31" s="20"/>
      <c r="T31" s="17"/>
      <c r="U31" s="23"/>
    </row>
    <row r="32" spans="1:21" x14ac:dyDescent="0.25">
      <c r="A32" s="24">
        <v>8000</v>
      </c>
      <c r="B32" s="24">
        <v>3</v>
      </c>
      <c r="C32" s="17">
        <v>0.5</v>
      </c>
      <c r="D32" s="24">
        <v>943</v>
      </c>
      <c r="E32" s="24">
        <v>6</v>
      </c>
      <c r="F32" s="25">
        <v>54</v>
      </c>
      <c r="G32" s="1">
        <v>6025</v>
      </c>
      <c r="H32" s="2">
        <v>95</v>
      </c>
      <c r="I32" s="2">
        <v>29.1</v>
      </c>
      <c r="J32" s="2">
        <v>25.9</v>
      </c>
      <c r="K32" s="2">
        <f t="shared" si="0"/>
        <v>29.1</v>
      </c>
      <c r="L32" s="8">
        <f t="shared" si="1"/>
        <v>2.5703957827688563E-7</v>
      </c>
      <c r="M32" s="26">
        <f>SUM(L32:L37)</f>
        <v>6.1522171100371371E-6</v>
      </c>
      <c r="N32" s="17">
        <f>10*LOG10(M32/E32)</f>
        <v>-59.891195971879043</v>
      </c>
      <c r="O32" s="9">
        <f t="shared" si="2"/>
        <v>25.9</v>
      </c>
      <c r="P32" s="8">
        <f>D32/B32*10^(O32/10)</f>
        <v>122289.8572432022</v>
      </c>
      <c r="Q32" s="26">
        <f>SUM(P32:P37)</f>
        <v>739237.24918575713</v>
      </c>
      <c r="R32" s="17">
        <f>10*LOG10(Q32)</f>
        <v>58.687838422870655</v>
      </c>
      <c r="S32" s="18">
        <f>F32+N32-Kzt-H</f>
        <v>-5.8911959718790428</v>
      </c>
      <c r="T32" s="17">
        <v>0.7</v>
      </c>
      <c r="U32" s="21">
        <f>T32*10^((S32-R32)/10)</f>
        <v>2.4389034078927293E-7</v>
      </c>
    </row>
    <row r="33" spans="1:21" x14ac:dyDescent="0.25">
      <c r="A33" s="24"/>
      <c r="B33" s="24"/>
      <c r="C33" s="17"/>
      <c r="D33" s="24"/>
      <c r="E33" s="24"/>
      <c r="F33" s="25"/>
      <c r="G33" s="1">
        <v>7025</v>
      </c>
      <c r="H33" s="2">
        <v>94.8</v>
      </c>
      <c r="I33" s="2">
        <v>29.4</v>
      </c>
      <c r="J33" s="2">
        <v>24.7</v>
      </c>
      <c r="K33" s="2">
        <f t="shared" si="0"/>
        <v>29.4</v>
      </c>
      <c r="L33" s="8">
        <f t="shared" si="1"/>
        <v>2.8840315031265967E-7</v>
      </c>
      <c r="M33" s="26"/>
      <c r="N33" s="17"/>
      <c r="O33" s="9">
        <f t="shared" si="2"/>
        <v>24.7</v>
      </c>
      <c r="P33" s="8">
        <f>D32/B32*10^(O33/10)</f>
        <v>92766.343358213431</v>
      </c>
      <c r="Q33" s="26"/>
      <c r="R33" s="17"/>
      <c r="S33" s="19"/>
      <c r="T33" s="17"/>
      <c r="U33" s="22"/>
    </row>
    <row r="34" spans="1:21" x14ac:dyDescent="0.25">
      <c r="A34" s="24"/>
      <c r="B34" s="24"/>
      <c r="C34" s="17"/>
      <c r="D34" s="24"/>
      <c r="E34" s="24"/>
      <c r="F34" s="25"/>
      <c r="G34" s="1">
        <v>8025</v>
      </c>
      <c r="H34" s="2">
        <v>101.9</v>
      </c>
      <c r="I34" s="2">
        <v>31.6</v>
      </c>
      <c r="J34" s="2">
        <v>23.6</v>
      </c>
      <c r="K34" s="2">
        <f t="shared" si="0"/>
        <v>31.6</v>
      </c>
      <c r="L34" s="8">
        <f t="shared" si="1"/>
        <v>9.3325430079698741E-8</v>
      </c>
      <c r="M34" s="26"/>
      <c r="N34" s="17"/>
      <c r="O34" s="9">
        <f t="shared" si="2"/>
        <v>23.6</v>
      </c>
      <c r="P34" s="8">
        <f>D32/B32*10^(O34/10)</f>
        <v>72009.606552000434</v>
      </c>
      <c r="Q34" s="26"/>
      <c r="R34" s="17"/>
      <c r="S34" s="19"/>
      <c r="T34" s="17"/>
      <c r="U34" s="22"/>
    </row>
    <row r="35" spans="1:21" x14ac:dyDescent="0.25">
      <c r="A35" s="24"/>
      <c r="B35" s="24"/>
      <c r="C35" s="17"/>
      <c r="D35" s="24"/>
      <c r="E35" s="24"/>
      <c r="F35" s="25"/>
      <c r="G35" s="1">
        <v>9025</v>
      </c>
      <c r="H35" s="2">
        <v>93.2</v>
      </c>
      <c r="I35" s="2">
        <v>32.5</v>
      </c>
      <c r="J35" s="2">
        <v>28.9</v>
      </c>
      <c r="K35" s="2">
        <f t="shared" si="0"/>
        <v>32.5</v>
      </c>
      <c r="L35" s="8">
        <f t="shared" si="1"/>
        <v>8.511380382023744E-7</v>
      </c>
      <c r="M35" s="26"/>
      <c r="N35" s="17"/>
      <c r="O35" s="9">
        <f t="shared" si="2"/>
        <v>28.9</v>
      </c>
      <c r="P35" s="8">
        <f>D32/B32*10^(O35/10)</f>
        <v>244000.34366028538</v>
      </c>
      <c r="Q35" s="26"/>
      <c r="R35" s="17"/>
      <c r="S35" s="19"/>
      <c r="T35" s="17"/>
      <c r="U35" s="22"/>
    </row>
    <row r="36" spans="1:21" x14ac:dyDescent="0.25">
      <c r="A36" s="24"/>
      <c r="B36" s="24"/>
      <c r="C36" s="17"/>
      <c r="D36" s="24"/>
      <c r="E36" s="24"/>
      <c r="F36" s="25"/>
      <c r="G36" s="1">
        <v>10025</v>
      </c>
      <c r="H36" s="2">
        <v>88.3</v>
      </c>
      <c r="I36" s="2">
        <v>30.8</v>
      </c>
      <c r="J36" s="2">
        <v>25.2</v>
      </c>
      <c r="K36" s="2">
        <f t="shared" si="0"/>
        <v>30.8</v>
      </c>
      <c r="L36" s="8">
        <f t="shared" si="1"/>
        <v>1.7782794100389193E-6</v>
      </c>
      <c r="M36" s="26"/>
      <c r="N36" s="17"/>
      <c r="O36" s="9">
        <f t="shared" si="2"/>
        <v>25.2</v>
      </c>
      <c r="P36" s="8">
        <f>D32/B32*10^(O36/10)</f>
        <v>104085.54918602789</v>
      </c>
      <c r="Q36" s="26"/>
      <c r="R36" s="17"/>
      <c r="S36" s="19"/>
      <c r="T36" s="17"/>
      <c r="U36" s="22"/>
    </row>
    <row r="37" spans="1:21" x14ac:dyDescent="0.25">
      <c r="A37" s="24"/>
      <c r="B37" s="24"/>
      <c r="C37" s="17"/>
      <c r="D37" s="24"/>
      <c r="E37" s="24"/>
      <c r="F37" s="25"/>
      <c r="G37" s="1">
        <v>11025</v>
      </c>
      <c r="H37" s="2">
        <v>86</v>
      </c>
      <c r="I37" s="2">
        <v>30.6</v>
      </c>
      <c r="J37" s="2">
        <v>25.2</v>
      </c>
      <c r="K37" s="2">
        <f t="shared" si="0"/>
        <v>30.6</v>
      </c>
      <c r="L37" s="8">
        <f t="shared" si="1"/>
        <v>2.8840315031265995E-6</v>
      </c>
      <c r="M37" s="26"/>
      <c r="N37" s="17"/>
      <c r="O37" s="9">
        <f t="shared" si="2"/>
        <v>25.2</v>
      </c>
      <c r="P37" s="8">
        <f>D32/B32*10^(O37/10)</f>
        <v>104085.54918602789</v>
      </c>
      <c r="Q37" s="26"/>
      <c r="R37" s="17"/>
      <c r="S37" s="20"/>
      <c r="T37" s="17"/>
      <c r="U37" s="23"/>
    </row>
    <row r="38" spans="1:21" x14ac:dyDescent="0.25">
      <c r="A38" s="24" t="s">
        <v>20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12">
        <f>U38</f>
        <v>6.3837990966948019E-2</v>
      </c>
      <c r="T38" s="2"/>
      <c r="U38" s="8">
        <f>0.8*SQRT(SUM(U4:U37))</f>
        <v>6.3837990966948019E-2</v>
      </c>
    </row>
    <row r="39" spans="1:21" x14ac:dyDescent="0.25">
      <c r="A39" s="27" t="s">
        <v>113</v>
      </c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9"/>
    </row>
    <row r="40" spans="1:21" x14ac:dyDescent="0.25">
      <c r="A40" s="24">
        <v>250</v>
      </c>
      <c r="B40" s="24">
        <v>3</v>
      </c>
      <c r="C40" s="17">
        <v>0.5</v>
      </c>
      <c r="D40" s="24">
        <v>38</v>
      </c>
      <c r="E40" s="24">
        <v>4</v>
      </c>
      <c r="F40" s="25">
        <v>84</v>
      </c>
      <c r="G40" s="1">
        <v>175</v>
      </c>
      <c r="H40" s="2">
        <v>84.8</v>
      </c>
      <c r="I40" s="2">
        <v>36.4</v>
      </c>
      <c r="J40" s="2">
        <v>33.299999999999997</v>
      </c>
      <c r="K40" s="2">
        <f>I40</f>
        <v>36.4</v>
      </c>
      <c r="L40" s="8">
        <f>10^((K40-H40)/10)</f>
        <v>1.4454397707459275E-5</v>
      </c>
      <c r="M40" s="26">
        <f>SUM(L40:L43)</f>
        <v>2.3709043830042947E-5</v>
      </c>
      <c r="N40" s="17">
        <f>10*LOG10(M40/E40)</f>
        <v>-52.271459518039947</v>
      </c>
      <c r="O40" s="9">
        <f>J40</f>
        <v>33.299999999999997</v>
      </c>
      <c r="P40" s="8">
        <f>D40/B40*10^(O40/10)</f>
        <v>27080.853133694945</v>
      </c>
      <c r="Q40" s="26">
        <f>SUM(P40:P43)</f>
        <v>116845.74052683734</v>
      </c>
      <c r="R40" s="17">
        <f>10*LOG10(Q40)</f>
        <v>50.676128853255307</v>
      </c>
      <c r="S40" s="18">
        <f>F40+N40-Kzt-H</f>
        <v>31.728540481960053</v>
      </c>
      <c r="T40" s="17">
        <v>0.2</v>
      </c>
      <c r="U40" s="21">
        <f>T40*10^((S40-R40)/10)</f>
        <v>2.5484209023037573E-3</v>
      </c>
    </row>
    <row r="41" spans="1:21" x14ac:dyDescent="0.25">
      <c r="A41" s="24"/>
      <c r="B41" s="24"/>
      <c r="C41" s="17"/>
      <c r="D41" s="24"/>
      <c r="E41" s="24"/>
      <c r="F41" s="25"/>
      <c r="G41" s="1">
        <v>225</v>
      </c>
      <c r="H41" s="2">
        <v>90</v>
      </c>
      <c r="I41" s="2">
        <v>35.299999999999997</v>
      </c>
      <c r="J41" s="2">
        <v>31.5</v>
      </c>
      <c r="K41" s="2">
        <f t="shared" ref="K41:K73" si="3">I41</f>
        <v>35.299999999999997</v>
      </c>
      <c r="L41" s="8">
        <f t="shared" ref="L41:L42" si="4">10^((K41-H41)/10)</f>
        <v>3.3884415613920161E-6</v>
      </c>
      <c r="M41" s="26"/>
      <c r="N41" s="17"/>
      <c r="O41" s="9">
        <f t="shared" ref="O41:O73" si="5">J41</f>
        <v>31.5</v>
      </c>
      <c r="P41" s="8">
        <f>D40/B40*10^(O41/10)</f>
        <v>17892.142231888221</v>
      </c>
      <c r="Q41" s="26"/>
      <c r="R41" s="17"/>
      <c r="S41" s="19"/>
      <c r="T41" s="17"/>
      <c r="U41" s="22"/>
    </row>
    <row r="42" spans="1:21" x14ac:dyDescent="0.25">
      <c r="A42" s="24"/>
      <c r="B42" s="24"/>
      <c r="C42" s="17"/>
      <c r="D42" s="24"/>
      <c r="E42" s="24"/>
      <c r="F42" s="25"/>
      <c r="G42" s="1">
        <v>275</v>
      </c>
      <c r="H42" s="2">
        <v>92.2</v>
      </c>
      <c r="I42" s="2">
        <v>37.299999999999997</v>
      </c>
      <c r="J42" s="2">
        <v>34</v>
      </c>
      <c r="K42" s="2">
        <f t="shared" si="3"/>
        <v>37.299999999999997</v>
      </c>
      <c r="L42" s="8">
        <f t="shared" si="4"/>
        <v>3.2359365692962801E-6</v>
      </c>
      <c r="M42" s="26"/>
      <c r="N42" s="17"/>
      <c r="O42" s="9">
        <f t="shared" si="5"/>
        <v>34</v>
      </c>
      <c r="P42" s="8">
        <f>D40/B40*10^(O42/10)</f>
        <v>31817.228132454693</v>
      </c>
      <c r="Q42" s="26"/>
      <c r="R42" s="17"/>
      <c r="S42" s="19"/>
      <c r="T42" s="17"/>
      <c r="U42" s="22"/>
    </row>
    <row r="43" spans="1:21" x14ac:dyDescent="0.25">
      <c r="A43" s="24"/>
      <c r="B43" s="24"/>
      <c r="C43" s="17"/>
      <c r="D43" s="24"/>
      <c r="E43" s="24"/>
      <c r="F43" s="25"/>
      <c r="G43" s="1">
        <v>325</v>
      </c>
      <c r="H43" s="2">
        <v>93.3</v>
      </c>
      <c r="I43" s="2">
        <v>37.5</v>
      </c>
      <c r="J43" s="2">
        <v>35</v>
      </c>
      <c r="K43" s="2">
        <f t="shared" si="3"/>
        <v>37.5</v>
      </c>
      <c r="L43" s="8">
        <f>10^((K43-H43)/10)</f>
        <v>2.630267991895377E-6</v>
      </c>
      <c r="M43" s="26"/>
      <c r="N43" s="17"/>
      <c r="O43" s="9">
        <f t="shared" si="5"/>
        <v>35</v>
      </c>
      <c r="P43" s="8">
        <f>D40/B40*10^(O43/10)</f>
        <v>40055.517028799484</v>
      </c>
      <c r="Q43" s="26"/>
      <c r="R43" s="17"/>
      <c r="S43" s="20"/>
      <c r="T43" s="17"/>
      <c r="U43" s="23"/>
    </row>
    <row r="44" spans="1:21" x14ac:dyDescent="0.25">
      <c r="A44" s="24">
        <v>500</v>
      </c>
      <c r="B44" s="24">
        <v>3</v>
      </c>
      <c r="C44" s="17">
        <v>0.5</v>
      </c>
      <c r="D44" s="24">
        <v>59</v>
      </c>
      <c r="E44" s="24">
        <v>6</v>
      </c>
      <c r="F44" s="25">
        <v>84</v>
      </c>
      <c r="G44" s="1">
        <v>375</v>
      </c>
      <c r="H44" s="2">
        <v>91.9</v>
      </c>
      <c r="I44" s="2">
        <v>38.700000000000003</v>
      </c>
      <c r="J44" s="2">
        <v>32</v>
      </c>
      <c r="K44" s="2">
        <f t="shared" si="3"/>
        <v>38.700000000000003</v>
      </c>
      <c r="L44" s="8">
        <f t="shared" ref="L44:L45" si="6">10^((K44-H44)/10)</f>
        <v>4.7863009232263716E-6</v>
      </c>
      <c r="M44" s="26">
        <f>SUM(L44:L49)</f>
        <v>2.5045829111646823E-5</v>
      </c>
      <c r="N44" s="17">
        <f>10*LOG10(M44/E44)</f>
        <v>-53.794158373306374</v>
      </c>
      <c r="O44" s="9">
        <f t="shared" si="5"/>
        <v>32</v>
      </c>
      <c r="P44" s="8">
        <f>D44/B44*10^(O44/10)</f>
        <v>31169.566118401941</v>
      </c>
      <c r="Q44" s="26">
        <f>SUM(P44:P49)</f>
        <v>179643.7243334431</v>
      </c>
      <c r="R44" s="17">
        <f>10*LOG10(Q44)</f>
        <v>52.544120501799028</v>
      </c>
      <c r="S44" s="18">
        <f>F44+N44-Kzt-H</f>
        <v>30.205841626693626</v>
      </c>
      <c r="T44" s="17">
        <v>0.5</v>
      </c>
      <c r="U44" s="21">
        <f>T44*10^((S44-R44)/10)</f>
        <v>2.9183818576131518E-3</v>
      </c>
    </row>
    <row r="45" spans="1:21" x14ac:dyDescent="0.25">
      <c r="A45" s="24"/>
      <c r="B45" s="24"/>
      <c r="C45" s="17"/>
      <c r="D45" s="24"/>
      <c r="E45" s="24"/>
      <c r="F45" s="25"/>
      <c r="G45" s="1">
        <v>425</v>
      </c>
      <c r="H45" s="2">
        <v>88.1</v>
      </c>
      <c r="I45" s="2">
        <v>35.700000000000003</v>
      </c>
      <c r="J45" s="2">
        <v>30.3</v>
      </c>
      <c r="K45" s="2">
        <f t="shared" si="3"/>
        <v>35.700000000000003</v>
      </c>
      <c r="L45" s="8">
        <f t="shared" si="6"/>
        <v>5.7543993733715718E-6</v>
      </c>
      <c r="M45" s="26"/>
      <c r="N45" s="17"/>
      <c r="O45" s="9">
        <f t="shared" si="5"/>
        <v>30.3</v>
      </c>
      <c r="P45" s="8">
        <f>D44/B44*10^(O45/10)</f>
        <v>21073.213003006287</v>
      </c>
      <c r="Q45" s="26"/>
      <c r="R45" s="17"/>
      <c r="S45" s="19"/>
      <c r="T45" s="17"/>
      <c r="U45" s="22"/>
    </row>
    <row r="46" spans="1:21" x14ac:dyDescent="0.25">
      <c r="A46" s="24"/>
      <c r="B46" s="24"/>
      <c r="C46" s="17"/>
      <c r="D46" s="24"/>
      <c r="E46" s="24"/>
      <c r="F46" s="25"/>
      <c r="G46" s="1">
        <v>475</v>
      </c>
      <c r="H46" s="2">
        <v>90</v>
      </c>
      <c r="I46" s="2">
        <v>38.9</v>
      </c>
      <c r="J46" s="2">
        <v>32.700000000000003</v>
      </c>
      <c r="K46" s="2">
        <f t="shared" si="3"/>
        <v>38.9</v>
      </c>
      <c r="L46" s="8">
        <f>10^((K46-H46)/10)</f>
        <v>7.7624711662868956E-6</v>
      </c>
      <c r="M46" s="26"/>
      <c r="N46" s="17"/>
      <c r="O46" s="9">
        <f t="shared" si="5"/>
        <v>32.700000000000003</v>
      </c>
      <c r="P46" s="8">
        <f>D44/B44*10^(O46/10)</f>
        <v>36621.047021036458</v>
      </c>
      <c r="Q46" s="26"/>
      <c r="R46" s="17"/>
      <c r="S46" s="19"/>
      <c r="T46" s="17"/>
      <c r="U46" s="22"/>
    </row>
    <row r="47" spans="1:21" x14ac:dyDescent="0.25">
      <c r="A47" s="24"/>
      <c r="B47" s="24"/>
      <c r="C47" s="17"/>
      <c r="D47" s="24"/>
      <c r="E47" s="24"/>
      <c r="F47" s="25"/>
      <c r="G47" s="1">
        <v>575</v>
      </c>
      <c r="H47" s="2">
        <v>97</v>
      </c>
      <c r="I47" s="2">
        <v>38.4</v>
      </c>
      <c r="J47" s="2">
        <v>33</v>
      </c>
      <c r="K47" s="2">
        <f t="shared" si="3"/>
        <v>38.4</v>
      </c>
      <c r="L47" s="8">
        <f t="shared" ref="L47:L73" si="7">10^((K47-H47)/10)</f>
        <v>1.3803842646028812E-6</v>
      </c>
      <c r="M47" s="26"/>
      <c r="N47" s="17"/>
      <c r="O47" s="9">
        <f t="shared" si="5"/>
        <v>33</v>
      </c>
      <c r="P47" s="8">
        <f>D44/B44*10^(O47/10)</f>
        <v>39240.158861054653</v>
      </c>
      <c r="Q47" s="26"/>
      <c r="R47" s="17"/>
      <c r="S47" s="19"/>
      <c r="T47" s="17"/>
      <c r="U47" s="22"/>
    </row>
    <row r="48" spans="1:21" x14ac:dyDescent="0.25">
      <c r="A48" s="24"/>
      <c r="B48" s="24"/>
      <c r="C48" s="17"/>
      <c r="D48" s="24"/>
      <c r="E48" s="24"/>
      <c r="F48" s="25"/>
      <c r="G48" s="1">
        <v>625</v>
      </c>
      <c r="H48" s="2">
        <v>92</v>
      </c>
      <c r="I48" s="2">
        <v>38.299999999999997</v>
      </c>
      <c r="J48" s="2">
        <v>32.700000000000003</v>
      </c>
      <c r="K48" s="2">
        <f t="shared" si="3"/>
        <v>38.299999999999997</v>
      </c>
      <c r="L48" s="8">
        <f t="shared" si="7"/>
        <v>4.2657951880159181E-6</v>
      </c>
      <c r="M48" s="26"/>
      <c r="N48" s="17"/>
      <c r="O48" s="9">
        <f t="shared" si="5"/>
        <v>32.700000000000003</v>
      </c>
      <c r="P48" s="8">
        <f>D44/B44*10^(O48/10)</f>
        <v>36621.047021036458</v>
      </c>
      <c r="Q48" s="26"/>
      <c r="R48" s="17"/>
      <c r="S48" s="19"/>
      <c r="T48" s="17"/>
      <c r="U48" s="22"/>
    </row>
    <row r="49" spans="1:21" x14ac:dyDescent="0.25">
      <c r="A49" s="24"/>
      <c r="B49" s="24"/>
      <c r="C49" s="17"/>
      <c r="D49" s="24"/>
      <c r="E49" s="24"/>
      <c r="F49" s="25"/>
      <c r="G49" s="1">
        <v>675</v>
      </c>
      <c r="H49" s="2">
        <v>94.5</v>
      </c>
      <c r="I49" s="2">
        <v>34.9</v>
      </c>
      <c r="J49" s="2">
        <v>28.8</v>
      </c>
      <c r="K49" s="2">
        <f t="shared" si="3"/>
        <v>34.9</v>
      </c>
      <c r="L49" s="8">
        <f t="shared" si="7"/>
        <v>1.0964781961431832E-6</v>
      </c>
      <c r="M49" s="26"/>
      <c r="N49" s="17"/>
      <c r="O49" s="9">
        <f t="shared" si="5"/>
        <v>28.8</v>
      </c>
      <c r="P49" s="8">
        <f>D44/B44*10^(O49/10)</f>
        <v>14918.692308907282</v>
      </c>
      <c r="Q49" s="26"/>
      <c r="R49" s="17"/>
      <c r="S49" s="20"/>
      <c r="T49" s="17"/>
      <c r="U49" s="23"/>
    </row>
    <row r="50" spans="1:21" x14ac:dyDescent="0.25">
      <c r="A50" s="24">
        <v>1000</v>
      </c>
      <c r="B50" s="24">
        <v>3</v>
      </c>
      <c r="C50" s="17">
        <v>0.5</v>
      </c>
      <c r="D50" s="24">
        <v>117</v>
      </c>
      <c r="E50" s="24">
        <v>6</v>
      </c>
      <c r="F50" s="25">
        <v>76</v>
      </c>
      <c r="G50" s="1">
        <v>875</v>
      </c>
      <c r="H50" s="2">
        <v>91.1</v>
      </c>
      <c r="I50" s="2">
        <v>34.799999999999997</v>
      </c>
      <c r="J50" s="2">
        <v>31.5</v>
      </c>
      <c r="K50" s="2">
        <f t="shared" si="3"/>
        <v>34.799999999999997</v>
      </c>
      <c r="L50" s="8">
        <f t="shared" si="7"/>
        <v>2.3442288153199192E-6</v>
      </c>
      <c r="M50" s="26">
        <f>SUM(L50:L55)</f>
        <v>5.959277078476849E-6</v>
      </c>
      <c r="N50" s="17">
        <f>10*LOG10(M50/E50)</f>
        <v>-60.029576718298038</v>
      </c>
      <c r="O50" s="9">
        <f t="shared" si="5"/>
        <v>31.5</v>
      </c>
      <c r="P50" s="8">
        <f>D50/B50*10^(O50/10)</f>
        <v>55088.964240287423</v>
      </c>
      <c r="Q50" s="26">
        <f>SUM(P50:P55)</f>
        <v>324999.55345787964</v>
      </c>
      <c r="R50" s="17">
        <f>10*LOG10(Q50)</f>
        <v>55.118827642683755</v>
      </c>
      <c r="S50" s="18">
        <f>F50+N50-Kzt-H</f>
        <v>15.970423281701962</v>
      </c>
      <c r="T50" s="17">
        <v>0.8</v>
      </c>
      <c r="U50" s="21">
        <f>T50*10^((S50-R50)/10)</f>
        <v>9.7330633678924795E-5</v>
      </c>
    </row>
    <row r="51" spans="1:21" x14ac:dyDescent="0.25">
      <c r="A51" s="24"/>
      <c r="B51" s="24"/>
      <c r="C51" s="17"/>
      <c r="D51" s="24"/>
      <c r="E51" s="24"/>
      <c r="F51" s="25"/>
      <c r="G51" s="1">
        <v>975</v>
      </c>
      <c r="H51" s="2">
        <v>96.5</v>
      </c>
      <c r="I51" s="2">
        <v>35.299999999999997</v>
      </c>
      <c r="J51" s="2">
        <v>34</v>
      </c>
      <c r="K51" s="2">
        <f t="shared" si="3"/>
        <v>35.299999999999997</v>
      </c>
      <c r="L51" s="8">
        <f t="shared" si="7"/>
        <v>7.585775750291823E-7</v>
      </c>
      <c r="M51" s="26"/>
      <c r="N51" s="17"/>
      <c r="O51" s="9">
        <f t="shared" si="5"/>
        <v>34</v>
      </c>
      <c r="P51" s="8">
        <f>D50/B50*10^(O51/10)</f>
        <v>97963.570828873664</v>
      </c>
      <c r="Q51" s="26"/>
      <c r="R51" s="17"/>
      <c r="S51" s="19"/>
      <c r="T51" s="17"/>
      <c r="U51" s="22"/>
    </row>
    <row r="52" spans="1:21" x14ac:dyDescent="0.25">
      <c r="A52" s="24"/>
      <c r="B52" s="24"/>
      <c r="C52" s="17"/>
      <c r="D52" s="24"/>
      <c r="E52" s="24"/>
      <c r="F52" s="25"/>
      <c r="G52" s="1">
        <v>1075</v>
      </c>
      <c r="H52" s="2">
        <v>94.6</v>
      </c>
      <c r="I52" s="2">
        <v>37.5</v>
      </c>
      <c r="J52" s="2">
        <v>32.200000000000003</v>
      </c>
      <c r="K52" s="2">
        <f t="shared" si="3"/>
        <v>37.5</v>
      </c>
      <c r="L52" s="8">
        <f t="shared" si="7"/>
        <v>1.949844599758048E-6</v>
      </c>
      <c r="M52" s="26"/>
      <c r="N52" s="17"/>
      <c r="O52" s="9">
        <f t="shared" si="5"/>
        <v>32.200000000000003</v>
      </c>
      <c r="P52" s="8">
        <f>D50/B50*10^(O52/10)</f>
        <v>64723.889390064942</v>
      </c>
      <c r="Q52" s="26"/>
      <c r="R52" s="17"/>
      <c r="S52" s="19"/>
      <c r="T52" s="17"/>
      <c r="U52" s="22"/>
    </row>
    <row r="53" spans="1:21" x14ac:dyDescent="0.25">
      <c r="A53" s="24"/>
      <c r="B53" s="24"/>
      <c r="C53" s="17"/>
      <c r="D53" s="24"/>
      <c r="E53" s="24"/>
      <c r="F53" s="25"/>
      <c r="G53" s="1">
        <v>1175</v>
      </c>
      <c r="H53" s="2">
        <v>97.8</v>
      </c>
      <c r="I53" s="2">
        <v>32.6</v>
      </c>
      <c r="J53" s="2">
        <v>28.3</v>
      </c>
      <c r="K53" s="2">
        <f t="shared" si="3"/>
        <v>32.6</v>
      </c>
      <c r="L53" s="8">
        <f t="shared" si="7"/>
        <v>3.0199517204020224E-7</v>
      </c>
      <c r="M53" s="26"/>
      <c r="N53" s="17"/>
      <c r="O53" s="9">
        <f t="shared" si="5"/>
        <v>28.3</v>
      </c>
      <c r="P53" s="8">
        <f>D50/B50*10^(O53/10)</f>
        <v>26367.236040287302</v>
      </c>
      <c r="Q53" s="26"/>
      <c r="R53" s="17"/>
      <c r="S53" s="19"/>
      <c r="T53" s="17"/>
      <c r="U53" s="22"/>
    </row>
    <row r="54" spans="1:21" x14ac:dyDescent="0.25">
      <c r="A54" s="24"/>
      <c r="B54" s="24"/>
      <c r="C54" s="17"/>
      <c r="D54" s="24"/>
      <c r="E54" s="24"/>
      <c r="F54" s="25"/>
      <c r="G54" s="1">
        <v>1275</v>
      </c>
      <c r="H54" s="2">
        <v>100.1</v>
      </c>
      <c r="I54" s="2">
        <v>34.700000000000003</v>
      </c>
      <c r="J54" s="2">
        <v>29.4</v>
      </c>
      <c r="K54" s="2">
        <f t="shared" si="3"/>
        <v>34.700000000000003</v>
      </c>
      <c r="L54" s="8">
        <f t="shared" si="7"/>
        <v>2.8840315031266067E-7</v>
      </c>
      <c r="M54" s="26"/>
      <c r="N54" s="17"/>
      <c r="O54" s="9">
        <f t="shared" si="5"/>
        <v>29.4</v>
      </c>
      <c r="P54" s="8">
        <f>D50/B50*10^(O54/10)</f>
        <v>33967.580008287157</v>
      </c>
      <c r="Q54" s="26"/>
      <c r="R54" s="17"/>
      <c r="S54" s="19"/>
      <c r="T54" s="17"/>
      <c r="U54" s="22"/>
    </row>
    <row r="55" spans="1:21" x14ac:dyDescent="0.25">
      <c r="A55" s="24"/>
      <c r="B55" s="24"/>
      <c r="C55" s="17"/>
      <c r="D55" s="24"/>
      <c r="E55" s="24"/>
      <c r="F55" s="25"/>
      <c r="G55" s="1">
        <v>1375</v>
      </c>
      <c r="H55" s="2">
        <v>103</v>
      </c>
      <c r="I55" s="2">
        <v>38</v>
      </c>
      <c r="J55" s="2">
        <v>30.8</v>
      </c>
      <c r="K55" s="2">
        <f t="shared" si="3"/>
        <v>38</v>
      </c>
      <c r="L55" s="8">
        <f t="shared" si="7"/>
        <v>3.1622776601683734E-7</v>
      </c>
      <c r="M55" s="26"/>
      <c r="N55" s="17"/>
      <c r="O55" s="9">
        <f t="shared" si="5"/>
        <v>30.8</v>
      </c>
      <c r="P55" s="8">
        <f>D50/B50*10^(O55/10)</f>
        <v>46888.31295007914</v>
      </c>
      <c r="Q55" s="26"/>
      <c r="R55" s="17"/>
      <c r="S55" s="20"/>
      <c r="T55" s="17"/>
      <c r="U55" s="23"/>
    </row>
    <row r="56" spans="1:21" x14ac:dyDescent="0.25">
      <c r="A56" s="24">
        <v>2000</v>
      </c>
      <c r="B56" s="24">
        <v>3</v>
      </c>
      <c r="C56" s="17">
        <v>0.5</v>
      </c>
      <c r="D56" s="24">
        <v>234</v>
      </c>
      <c r="E56" s="24">
        <v>6</v>
      </c>
      <c r="F56" s="25">
        <v>68</v>
      </c>
      <c r="G56" s="1">
        <v>1425</v>
      </c>
      <c r="H56" s="2">
        <v>102.8</v>
      </c>
      <c r="I56" s="2">
        <v>32.799999999999997</v>
      </c>
      <c r="J56" s="2">
        <v>31.7</v>
      </c>
      <c r="K56" s="2">
        <f t="shared" si="3"/>
        <v>32.799999999999997</v>
      </c>
      <c r="L56" s="8">
        <f t="shared" si="7"/>
        <v>9.9999999999999995E-8</v>
      </c>
      <c r="M56" s="26">
        <f>SUM(L56:L61)</f>
        <v>1.1462518839925324E-6</v>
      </c>
      <c r="N56" s="17">
        <f>10*LOG10(M56/E56)</f>
        <v>-67.188711878936672</v>
      </c>
      <c r="O56" s="9">
        <f t="shared" si="5"/>
        <v>31.7</v>
      </c>
      <c r="P56" s="8">
        <f>D56/B56*10^(O56/10)</f>
        <v>115370.45427712027</v>
      </c>
      <c r="Q56" s="26">
        <f>SUM(P56:P61)</f>
        <v>602373.57282438141</v>
      </c>
      <c r="R56" s="17">
        <f>10*LOG10(Q56)</f>
        <v>57.798659103568184</v>
      </c>
      <c r="S56" s="18">
        <f>F56+N56-Kzt-H</f>
        <v>0.81128812106332759</v>
      </c>
      <c r="T56" s="17">
        <v>1</v>
      </c>
      <c r="U56" s="21">
        <f>T56*10^((S56-R56)/10)</f>
        <v>2.0010728598154116E-6</v>
      </c>
    </row>
    <row r="57" spans="1:21" x14ac:dyDescent="0.25">
      <c r="A57" s="24"/>
      <c r="B57" s="24"/>
      <c r="C57" s="17"/>
      <c r="D57" s="24"/>
      <c r="E57" s="24"/>
      <c r="F57" s="25"/>
      <c r="G57" s="1">
        <v>1625</v>
      </c>
      <c r="H57" s="2">
        <v>104.1</v>
      </c>
      <c r="I57" s="2">
        <v>35.6</v>
      </c>
      <c r="J57" s="2">
        <v>33.1</v>
      </c>
      <c r="K57" s="2">
        <f t="shared" si="3"/>
        <v>35.6</v>
      </c>
      <c r="L57" s="8">
        <f t="shared" si="7"/>
        <v>1.4125375446227539E-7</v>
      </c>
      <c r="M57" s="26"/>
      <c r="N57" s="17"/>
      <c r="O57" s="9">
        <f t="shared" si="5"/>
        <v>33.1</v>
      </c>
      <c r="P57" s="8">
        <f>D56/B56*10^(O57/10)</f>
        <v>159255.55968422347</v>
      </c>
      <c r="Q57" s="26"/>
      <c r="R57" s="17"/>
      <c r="S57" s="19"/>
      <c r="T57" s="17"/>
      <c r="U57" s="22"/>
    </row>
    <row r="58" spans="1:21" x14ac:dyDescent="0.25">
      <c r="A58" s="24"/>
      <c r="B58" s="24"/>
      <c r="C58" s="17"/>
      <c r="D58" s="24"/>
      <c r="E58" s="24"/>
      <c r="F58" s="25"/>
      <c r="G58" s="1">
        <v>1825</v>
      </c>
      <c r="H58" s="2">
        <v>107.6</v>
      </c>
      <c r="I58" s="2">
        <v>32.700000000000003</v>
      </c>
      <c r="J58" s="2">
        <v>27.2</v>
      </c>
      <c r="K58" s="2">
        <f t="shared" si="3"/>
        <v>32.700000000000003</v>
      </c>
      <c r="L58" s="8">
        <f t="shared" si="7"/>
        <v>3.2359365692962842E-8</v>
      </c>
      <c r="M58" s="26"/>
      <c r="N58" s="17"/>
      <c r="O58" s="9">
        <f t="shared" si="5"/>
        <v>27.2</v>
      </c>
      <c r="P58" s="8">
        <f>D56/B56*10^(O58/10)</f>
        <v>40934.981899482256</v>
      </c>
      <c r="Q58" s="26"/>
      <c r="R58" s="17"/>
      <c r="S58" s="19"/>
      <c r="T58" s="17"/>
      <c r="U58" s="22"/>
    </row>
    <row r="59" spans="1:21" x14ac:dyDescent="0.25">
      <c r="A59" s="24"/>
      <c r="B59" s="24"/>
      <c r="C59" s="17"/>
      <c r="D59" s="24"/>
      <c r="E59" s="24"/>
      <c r="F59" s="25"/>
      <c r="G59" s="1">
        <v>2125</v>
      </c>
      <c r="H59" s="2">
        <v>104.2</v>
      </c>
      <c r="I59" s="2">
        <v>32.1</v>
      </c>
      <c r="J59" s="2">
        <v>29.7</v>
      </c>
      <c r="K59" s="2">
        <f t="shared" si="3"/>
        <v>32.1</v>
      </c>
      <c r="L59" s="8">
        <f t="shared" si="7"/>
        <v>6.1659500186148299E-8</v>
      </c>
      <c r="M59" s="26"/>
      <c r="N59" s="17"/>
      <c r="O59" s="9">
        <f t="shared" si="5"/>
        <v>29.7</v>
      </c>
      <c r="P59" s="8">
        <f>D56/B56*10^(O59/10)</f>
        <v>72793.835462165298</v>
      </c>
      <c r="Q59" s="26"/>
      <c r="R59" s="17"/>
      <c r="S59" s="19"/>
      <c r="T59" s="17"/>
      <c r="U59" s="22"/>
    </row>
    <row r="60" spans="1:21" x14ac:dyDescent="0.25">
      <c r="A60" s="24"/>
      <c r="B60" s="24"/>
      <c r="C60" s="17"/>
      <c r="D60" s="24"/>
      <c r="E60" s="24"/>
      <c r="F60" s="25"/>
      <c r="G60" s="1">
        <v>2425</v>
      </c>
      <c r="H60" s="2">
        <v>93.7</v>
      </c>
      <c r="I60" s="2">
        <v>32</v>
      </c>
      <c r="J60" s="2">
        <v>31.8</v>
      </c>
      <c r="K60" s="2">
        <f t="shared" si="3"/>
        <v>32</v>
      </c>
      <c r="L60" s="8">
        <f t="shared" si="7"/>
        <v>6.7608297539198085E-7</v>
      </c>
      <c r="M60" s="26"/>
      <c r="N60" s="17"/>
      <c r="O60" s="9">
        <f t="shared" si="5"/>
        <v>31.8</v>
      </c>
      <c r="P60" s="8">
        <f>D56/B56*10^(O60/10)</f>
        <v>118057.77737802433</v>
      </c>
      <c r="Q60" s="26"/>
      <c r="R60" s="17"/>
      <c r="S60" s="19"/>
      <c r="T60" s="17"/>
      <c r="U60" s="22"/>
    </row>
    <row r="61" spans="1:21" x14ac:dyDescent="0.25">
      <c r="A61" s="24"/>
      <c r="B61" s="24"/>
      <c r="C61" s="17"/>
      <c r="D61" s="24"/>
      <c r="E61" s="24"/>
      <c r="F61" s="25"/>
      <c r="G61" s="1">
        <v>2775</v>
      </c>
      <c r="H61" s="2">
        <v>100.2</v>
      </c>
      <c r="I61" s="2">
        <v>31.5</v>
      </c>
      <c r="J61" s="2">
        <v>30.9</v>
      </c>
      <c r="K61" s="2">
        <f t="shared" si="3"/>
        <v>31.5</v>
      </c>
      <c r="L61" s="8">
        <f t="shared" si="7"/>
        <v>1.3489628825916511E-7</v>
      </c>
      <c r="M61" s="26"/>
      <c r="N61" s="17"/>
      <c r="O61" s="9">
        <f t="shared" si="5"/>
        <v>30.9</v>
      </c>
      <c r="P61" s="8">
        <f>D56/B56*10^(O61/10)</f>
        <v>95960.964123365833</v>
      </c>
      <c r="Q61" s="26"/>
      <c r="R61" s="17"/>
      <c r="S61" s="20"/>
      <c r="T61" s="17"/>
      <c r="U61" s="23"/>
    </row>
    <row r="62" spans="1:21" x14ac:dyDescent="0.25">
      <c r="A62" s="24">
        <v>4000</v>
      </c>
      <c r="B62" s="24">
        <v>3</v>
      </c>
      <c r="C62" s="17">
        <v>0.5</v>
      </c>
      <c r="D62" s="24">
        <v>470</v>
      </c>
      <c r="E62" s="24">
        <v>6</v>
      </c>
      <c r="F62" s="25">
        <v>62</v>
      </c>
      <c r="G62" s="1">
        <v>2825</v>
      </c>
      <c r="H62" s="2">
        <v>99.4</v>
      </c>
      <c r="I62" s="2">
        <v>30.7</v>
      </c>
      <c r="J62" s="2">
        <v>29.8</v>
      </c>
      <c r="K62" s="2">
        <f t="shared" si="3"/>
        <v>30.7</v>
      </c>
      <c r="L62" s="8">
        <f t="shared" si="7"/>
        <v>1.3489628825916511E-7</v>
      </c>
      <c r="M62" s="26">
        <f>SUM(L62:L67)</f>
        <v>5.6900080487299719E-7</v>
      </c>
      <c r="N62" s="17">
        <f>10*LOG10(M62/E62)</f>
        <v>-70.230383696622908</v>
      </c>
      <c r="O62" s="9">
        <f t="shared" si="5"/>
        <v>29.8</v>
      </c>
      <c r="P62" s="8">
        <f>D62/B62*10^(O62/10)</f>
        <v>149615.5051433584</v>
      </c>
      <c r="Q62" s="26">
        <f>SUM(P62:P67)</f>
        <v>573640.81910697371</v>
      </c>
      <c r="R62" s="17">
        <f>10*LOG10(Q62)</f>
        <v>57.586400472660422</v>
      </c>
      <c r="S62" s="18">
        <f>F62+N62-Kzt-H</f>
        <v>-8.2303836966229085</v>
      </c>
      <c r="T62" s="17">
        <v>0.9</v>
      </c>
      <c r="U62" s="21">
        <f>T62*10^((S62-R62)/10)</f>
        <v>2.3581101765526731E-7</v>
      </c>
    </row>
    <row r="63" spans="1:21" x14ac:dyDescent="0.25">
      <c r="A63" s="24"/>
      <c r="B63" s="24"/>
      <c r="C63" s="17"/>
      <c r="D63" s="24"/>
      <c r="E63" s="24"/>
      <c r="F63" s="25"/>
      <c r="G63" s="1">
        <v>3425</v>
      </c>
      <c r="H63" s="2">
        <v>103.5</v>
      </c>
      <c r="I63" s="2">
        <v>27.9</v>
      </c>
      <c r="J63" s="2">
        <v>27.2</v>
      </c>
      <c r="K63" s="2">
        <f t="shared" si="3"/>
        <v>27.9</v>
      </c>
      <c r="L63" s="8">
        <f t="shared" si="7"/>
        <v>2.75422870333816E-8</v>
      </c>
      <c r="M63" s="26"/>
      <c r="N63" s="17"/>
      <c r="O63" s="9">
        <f t="shared" si="5"/>
        <v>27.2</v>
      </c>
      <c r="P63" s="8">
        <f>D62/B62*10^(O63/10)</f>
        <v>82219.835439131013</v>
      </c>
      <c r="Q63" s="26"/>
      <c r="R63" s="17"/>
      <c r="S63" s="19"/>
      <c r="T63" s="17"/>
      <c r="U63" s="22"/>
    </row>
    <row r="64" spans="1:21" x14ac:dyDescent="0.25">
      <c r="A64" s="24"/>
      <c r="B64" s="24"/>
      <c r="C64" s="17"/>
      <c r="D64" s="24"/>
      <c r="E64" s="24"/>
      <c r="F64" s="25"/>
      <c r="G64" s="1">
        <v>4025</v>
      </c>
      <c r="H64" s="2">
        <v>103.6</v>
      </c>
      <c r="I64" s="2">
        <v>27.9</v>
      </c>
      <c r="J64" s="2">
        <v>25.6</v>
      </c>
      <c r="K64" s="2">
        <f t="shared" si="3"/>
        <v>27.9</v>
      </c>
      <c r="L64" s="8">
        <f t="shared" si="7"/>
        <v>2.691534803926919E-8</v>
      </c>
      <c r="M64" s="26"/>
      <c r="N64" s="17"/>
      <c r="O64" s="9">
        <f t="shared" si="5"/>
        <v>25.6</v>
      </c>
      <c r="P64" s="8">
        <f>D62/B62*10^(O64/10)</f>
        <v>56882.228580649236</v>
      </c>
      <c r="Q64" s="26"/>
      <c r="R64" s="17"/>
      <c r="S64" s="19"/>
      <c r="T64" s="17"/>
      <c r="U64" s="22"/>
    </row>
    <row r="65" spans="1:21" x14ac:dyDescent="0.25">
      <c r="A65" s="24"/>
      <c r="B65" s="24"/>
      <c r="C65" s="17"/>
      <c r="D65" s="24"/>
      <c r="E65" s="24"/>
      <c r="F65" s="25"/>
      <c r="G65" s="1">
        <v>4625</v>
      </c>
      <c r="H65" s="2">
        <v>105.6</v>
      </c>
      <c r="I65" s="2">
        <v>30.7</v>
      </c>
      <c r="J65" s="2">
        <v>26.2</v>
      </c>
      <c r="K65" s="2">
        <f t="shared" si="3"/>
        <v>30.7</v>
      </c>
      <c r="L65" s="8">
        <f t="shared" si="7"/>
        <v>3.2359365692962842E-8</v>
      </c>
      <c r="M65" s="26"/>
      <c r="N65" s="17"/>
      <c r="O65" s="9">
        <f t="shared" si="5"/>
        <v>26.2</v>
      </c>
      <c r="P65" s="8">
        <f>D62/B62*10^(O65/10)</f>
        <v>65309.536743685923</v>
      </c>
      <c r="Q65" s="26"/>
      <c r="R65" s="17"/>
      <c r="S65" s="19"/>
      <c r="T65" s="17"/>
      <c r="U65" s="22"/>
    </row>
    <row r="66" spans="1:21" x14ac:dyDescent="0.25">
      <c r="A66" s="24"/>
      <c r="B66" s="24"/>
      <c r="C66" s="17"/>
      <c r="D66" s="24"/>
      <c r="E66" s="24"/>
      <c r="F66" s="25"/>
      <c r="G66" s="1">
        <v>5225</v>
      </c>
      <c r="H66" s="2">
        <v>103.5</v>
      </c>
      <c r="I66" s="2">
        <v>31.2</v>
      </c>
      <c r="J66" s="2">
        <v>26.9</v>
      </c>
      <c r="K66" s="2">
        <f t="shared" si="3"/>
        <v>31.2</v>
      </c>
      <c r="L66" s="8">
        <f t="shared" si="7"/>
        <v>5.8884365535558776E-8</v>
      </c>
      <c r="M66" s="26"/>
      <c r="N66" s="17"/>
      <c r="O66" s="9">
        <f t="shared" si="5"/>
        <v>26.9</v>
      </c>
      <c r="P66" s="8">
        <f>D62/B62*10^(O66/10)</f>
        <v>76732.015034389915</v>
      </c>
      <c r="Q66" s="26"/>
      <c r="R66" s="17"/>
      <c r="S66" s="19"/>
      <c r="T66" s="17"/>
      <c r="U66" s="22"/>
    </row>
    <row r="67" spans="1:21" x14ac:dyDescent="0.25">
      <c r="A67" s="24"/>
      <c r="B67" s="24"/>
      <c r="C67" s="17"/>
      <c r="D67" s="24"/>
      <c r="E67" s="24"/>
      <c r="F67" s="25"/>
      <c r="G67" s="1">
        <v>5625</v>
      </c>
      <c r="H67" s="2">
        <v>99.5</v>
      </c>
      <c r="I67" s="2">
        <v>34.1</v>
      </c>
      <c r="J67" s="2">
        <v>29.6</v>
      </c>
      <c r="K67" s="2">
        <f t="shared" si="3"/>
        <v>34.1</v>
      </c>
      <c r="L67" s="8">
        <f t="shared" si="7"/>
        <v>2.8840315031265967E-7</v>
      </c>
      <c r="M67" s="26"/>
      <c r="N67" s="17"/>
      <c r="O67" s="9">
        <f t="shared" si="5"/>
        <v>29.6</v>
      </c>
      <c r="P67" s="8">
        <f>D62/B62*10^(O67/10)</f>
        <v>142881.69816575921</v>
      </c>
      <c r="Q67" s="26"/>
      <c r="R67" s="17"/>
      <c r="S67" s="20"/>
      <c r="T67" s="17"/>
      <c r="U67" s="23"/>
    </row>
    <row r="68" spans="1:21" x14ac:dyDescent="0.25">
      <c r="A68" s="24">
        <v>8000</v>
      </c>
      <c r="B68" s="24">
        <v>3</v>
      </c>
      <c r="C68" s="17">
        <v>0.5</v>
      </c>
      <c r="D68" s="24">
        <v>943</v>
      </c>
      <c r="E68" s="24">
        <v>6</v>
      </c>
      <c r="F68" s="25">
        <v>54</v>
      </c>
      <c r="G68" s="1">
        <v>6025</v>
      </c>
      <c r="H68" s="2">
        <v>95</v>
      </c>
      <c r="I68" s="2">
        <v>32.5</v>
      </c>
      <c r="J68" s="2">
        <v>25.3</v>
      </c>
      <c r="K68" s="2">
        <f t="shared" si="3"/>
        <v>32.5</v>
      </c>
      <c r="L68" s="8">
        <f t="shared" si="7"/>
        <v>5.6234132519034872E-7</v>
      </c>
      <c r="M68" s="26">
        <f>SUM(L68:L73)</f>
        <v>6.253190884174145E-6</v>
      </c>
      <c r="N68" s="17">
        <f>10*LOG10(M68/E68)</f>
        <v>-59.820495642780259</v>
      </c>
      <c r="O68" s="9">
        <f t="shared" si="5"/>
        <v>25.3</v>
      </c>
      <c r="P68" s="8">
        <f>D68/B68*10^(O68/10)</f>
        <v>106510.01307975606</v>
      </c>
      <c r="Q68" s="26">
        <f>SUM(P68:P73)</f>
        <v>558268.23135426024</v>
      </c>
      <c r="R68" s="17">
        <f>10*LOG10(Q68)</f>
        <v>57.468429147211133</v>
      </c>
      <c r="S68" s="18">
        <f>F68+N68-Kzt-H</f>
        <v>-5.8204956427802585</v>
      </c>
      <c r="T68" s="17">
        <v>0.7</v>
      </c>
      <c r="U68" s="21">
        <f>T68*10^((S68-R68)/10)</f>
        <v>3.2825062450252911E-7</v>
      </c>
    </row>
    <row r="69" spans="1:21" x14ac:dyDescent="0.25">
      <c r="A69" s="24"/>
      <c r="B69" s="24"/>
      <c r="C69" s="17"/>
      <c r="D69" s="24"/>
      <c r="E69" s="24"/>
      <c r="F69" s="25"/>
      <c r="G69" s="1">
        <v>7025</v>
      </c>
      <c r="H69" s="2">
        <v>94.8</v>
      </c>
      <c r="I69" s="2">
        <v>30.9</v>
      </c>
      <c r="J69" s="2">
        <v>26.6</v>
      </c>
      <c r="K69" s="2">
        <f t="shared" si="3"/>
        <v>30.9</v>
      </c>
      <c r="L69" s="8">
        <f t="shared" si="7"/>
        <v>4.0738027780411229E-7</v>
      </c>
      <c r="M69" s="26"/>
      <c r="N69" s="17"/>
      <c r="O69" s="9">
        <f t="shared" si="5"/>
        <v>26.6</v>
      </c>
      <c r="P69" s="8">
        <f>D68/B68*10^(O69/10)</f>
        <v>143678.05426894256</v>
      </c>
      <c r="Q69" s="26"/>
      <c r="R69" s="17"/>
      <c r="S69" s="19"/>
      <c r="T69" s="17"/>
      <c r="U69" s="22"/>
    </row>
    <row r="70" spans="1:21" x14ac:dyDescent="0.25">
      <c r="A70" s="24"/>
      <c r="B70" s="24"/>
      <c r="C70" s="17"/>
      <c r="D70" s="24"/>
      <c r="E70" s="24"/>
      <c r="F70" s="25"/>
      <c r="G70" s="1">
        <v>8025</v>
      </c>
      <c r="H70" s="2">
        <v>101.9</v>
      </c>
      <c r="I70" s="2">
        <v>32.700000000000003</v>
      </c>
      <c r="J70" s="2">
        <v>24.1</v>
      </c>
      <c r="K70" s="2">
        <f t="shared" si="3"/>
        <v>32.700000000000003</v>
      </c>
      <c r="L70" s="8">
        <f t="shared" si="7"/>
        <v>1.2022644346174111E-7</v>
      </c>
      <c r="M70" s="26"/>
      <c r="N70" s="17"/>
      <c r="O70" s="9">
        <f t="shared" si="5"/>
        <v>24.1</v>
      </c>
      <c r="P70" s="8">
        <f>D68/B68*10^(O70/10)</f>
        <v>80796.107438368024</v>
      </c>
      <c r="Q70" s="26"/>
      <c r="R70" s="17"/>
      <c r="S70" s="19"/>
      <c r="T70" s="17"/>
      <c r="U70" s="22"/>
    </row>
    <row r="71" spans="1:21" x14ac:dyDescent="0.25">
      <c r="A71" s="24"/>
      <c r="B71" s="24"/>
      <c r="C71" s="17"/>
      <c r="D71" s="24"/>
      <c r="E71" s="24"/>
      <c r="F71" s="25"/>
      <c r="G71" s="1">
        <v>9025</v>
      </c>
      <c r="H71" s="2">
        <v>93.2</v>
      </c>
      <c r="I71" s="2">
        <v>34.5</v>
      </c>
      <c r="J71" s="2">
        <v>21.3</v>
      </c>
      <c r="K71" s="2">
        <f t="shared" si="3"/>
        <v>34.5</v>
      </c>
      <c r="L71" s="8">
        <f t="shared" si="7"/>
        <v>1.3489628825916527E-6</v>
      </c>
      <c r="M71" s="26"/>
      <c r="N71" s="17"/>
      <c r="O71" s="9">
        <f t="shared" si="5"/>
        <v>21.3</v>
      </c>
      <c r="P71" s="8">
        <f>D68/B68*10^(O71/10)</f>
        <v>42402.399942797645</v>
      </c>
      <c r="Q71" s="26"/>
      <c r="R71" s="17"/>
      <c r="S71" s="19"/>
      <c r="T71" s="17"/>
      <c r="U71" s="22"/>
    </row>
    <row r="72" spans="1:21" x14ac:dyDescent="0.25">
      <c r="A72" s="24"/>
      <c r="B72" s="24"/>
      <c r="C72" s="17"/>
      <c r="D72" s="24"/>
      <c r="E72" s="24"/>
      <c r="F72" s="25"/>
      <c r="G72" s="1">
        <v>10025</v>
      </c>
      <c r="H72" s="2">
        <v>88.3</v>
      </c>
      <c r="I72" s="2">
        <v>27.3</v>
      </c>
      <c r="J72" s="2">
        <v>25.2</v>
      </c>
      <c r="K72" s="2">
        <f t="shared" si="3"/>
        <v>27.3</v>
      </c>
      <c r="L72" s="8">
        <f t="shared" si="7"/>
        <v>7.9432823472428114E-7</v>
      </c>
      <c r="M72" s="26"/>
      <c r="N72" s="17"/>
      <c r="O72" s="9">
        <f t="shared" si="5"/>
        <v>25.2</v>
      </c>
      <c r="P72" s="8">
        <f>D68/B68*10^(O72/10)</f>
        <v>104085.54918602789</v>
      </c>
      <c r="Q72" s="26"/>
      <c r="R72" s="17"/>
      <c r="S72" s="19"/>
      <c r="T72" s="17"/>
      <c r="U72" s="22"/>
    </row>
    <row r="73" spans="1:21" x14ac:dyDescent="0.25">
      <c r="A73" s="24"/>
      <c r="B73" s="24"/>
      <c r="C73" s="17"/>
      <c r="D73" s="24"/>
      <c r="E73" s="24"/>
      <c r="F73" s="25"/>
      <c r="G73" s="1">
        <v>11025</v>
      </c>
      <c r="H73" s="2">
        <v>86</v>
      </c>
      <c r="I73" s="2">
        <v>30.8</v>
      </c>
      <c r="J73" s="2">
        <v>24.1</v>
      </c>
      <c r="K73" s="2">
        <f t="shared" si="3"/>
        <v>30.8</v>
      </c>
      <c r="L73" s="8">
        <f t="shared" si="7"/>
        <v>3.0199517204020095E-6</v>
      </c>
      <c r="M73" s="26"/>
      <c r="N73" s="17"/>
      <c r="O73" s="9">
        <f t="shared" si="5"/>
        <v>24.1</v>
      </c>
      <c r="P73" s="8">
        <f>D68/B68*10^(O73/10)</f>
        <v>80796.107438368024</v>
      </c>
      <c r="Q73" s="26"/>
      <c r="R73" s="17"/>
      <c r="S73" s="20"/>
      <c r="T73" s="17"/>
      <c r="U73" s="23"/>
    </row>
    <row r="74" spans="1:21" x14ac:dyDescent="0.25">
      <c r="A74" s="24" t="s">
        <v>20</v>
      </c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12">
        <f>U74</f>
        <v>5.9688248910339095E-2</v>
      </c>
      <c r="T74" s="2"/>
      <c r="U74" s="8">
        <f>0.8*SQRT(SUM(U40:U73))</f>
        <v>5.9688248910339095E-2</v>
      </c>
    </row>
    <row r="75" spans="1:21" x14ac:dyDescent="0.25">
      <c r="A75" s="27" t="s">
        <v>114</v>
      </c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9"/>
    </row>
    <row r="76" spans="1:21" x14ac:dyDescent="0.25">
      <c r="A76" s="24">
        <v>250</v>
      </c>
      <c r="B76" s="24">
        <v>3</v>
      </c>
      <c r="C76" s="17">
        <v>0.5</v>
      </c>
      <c r="D76" s="24">
        <v>38</v>
      </c>
      <c r="E76" s="24">
        <v>4</v>
      </c>
      <c r="F76" s="25">
        <v>84</v>
      </c>
      <c r="G76" s="1">
        <v>175</v>
      </c>
      <c r="H76" s="2">
        <v>84.8</v>
      </c>
      <c r="I76" s="2">
        <v>40.200000000000003</v>
      </c>
      <c r="J76" s="2">
        <v>34.1</v>
      </c>
      <c r="K76" s="2">
        <f>I76</f>
        <v>40.200000000000003</v>
      </c>
      <c r="L76" s="8">
        <f>10^((K76-H76)/10)</f>
        <v>3.4673685045253229E-5</v>
      </c>
      <c r="M76" s="26">
        <f>SUM(L76:L79)</f>
        <v>6.5240425127642717E-5</v>
      </c>
      <c r="N76" s="17">
        <f>10*LOG10(M76/E76)</f>
        <v>-47.87543208947649</v>
      </c>
      <c r="O76" s="9">
        <f>J76</f>
        <v>34.1</v>
      </c>
      <c r="P76" s="8">
        <f>D76/B76*10^(O76/10)</f>
        <v>32558.346581738977</v>
      </c>
      <c r="Q76" s="26">
        <f>SUM(P76:P79)</f>
        <v>195604.30971459241</v>
      </c>
      <c r="R76" s="17">
        <f>10*LOG10(Q76)</f>
        <v>52.913784192892443</v>
      </c>
      <c r="S76" s="18">
        <f>F76+N76-Kzt-H</f>
        <v>36.12456791052351</v>
      </c>
      <c r="T76" s="17">
        <v>0.2</v>
      </c>
      <c r="U76" s="21">
        <f>T76*10^((S76-R76)/10)</f>
        <v>4.1889807771402334E-3</v>
      </c>
    </row>
    <row r="77" spans="1:21" x14ac:dyDescent="0.25">
      <c r="A77" s="24"/>
      <c r="B77" s="24"/>
      <c r="C77" s="17"/>
      <c r="D77" s="24"/>
      <c r="E77" s="24"/>
      <c r="F77" s="25"/>
      <c r="G77" s="1">
        <v>225</v>
      </c>
      <c r="H77" s="2">
        <v>90</v>
      </c>
      <c r="I77" s="2">
        <v>42.4</v>
      </c>
      <c r="J77" s="2">
        <v>35.1</v>
      </c>
      <c r="K77" s="2">
        <f t="shared" ref="K77:K109" si="8">I77</f>
        <v>42.4</v>
      </c>
      <c r="L77" s="8">
        <f t="shared" ref="L77:L78" si="9">10^((K77-H77)/10)</f>
        <v>1.7378008287493744E-5</v>
      </c>
      <c r="M77" s="26"/>
      <c r="N77" s="17"/>
      <c r="O77" s="9">
        <f t="shared" ref="O77:O109" si="10">J77</f>
        <v>35.1</v>
      </c>
      <c r="P77" s="8">
        <f>D76/B76*10^(O77/10)</f>
        <v>40988.529877752997</v>
      </c>
      <c r="Q77" s="26"/>
      <c r="R77" s="17"/>
      <c r="S77" s="19"/>
      <c r="T77" s="17"/>
      <c r="U77" s="22"/>
    </row>
    <row r="78" spans="1:21" x14ac:dyDescent="0.25">
      <c r="A78" s="24"/>
      <c r="B78" s="24"/>
      <c r="C78" s="17"/>
      <c r="D78" s="24"/>
      <c r="E78" s="24"/>
      <c r="F78" s="25"/>
      <c r="G78" s="1">
        <v>275</v>
      </c>
      <c r="H78" s="2">
        <v>92.2</v>
      </c>
      <c r="I78" s="2">
        <v>38.9</v>
      </c>
      <c r="J78" s="2">
        <v>37.299999999999997</v>
      </c>
      <c r="K78" s="2">
        <f t="shared" si="8"/>
        <v>38.9</v>
      </c>
      <c r="L78" s="8">
        <f t="shared" si="9"/>
        <v>4.6773514128719787E-6</v>
      </c>
      <c r="M78" s="26"/>
      <c r="N78" s="17"/>
      <c r="O78" s="9">
        <f t="shared" si="10"/>
        <v>37.299999999999997</v>
      </c>
      <c r="P78" s="8">
        <f>D76/B76*10^(O78/10)</f>
        <v>68024.027540231997</v>
      </c>
      <c r="Q78" s="26"/>
      <c r="R78" s="17"/>
      <c r="S78" s="19"/>
      <c r="T78" s="17"/>
      <c r="U78" s="22"/>
    </row>
    <row r="79" spans="1:21" x14ac:dyDescent="0.25">
      <c r="A79" s="24"/>
      <c r="B79" s="24"/>
      <c r="C79" s="17"/>
      <c r="D79" s="24"/>
      <c r="E79" s="24"/>
      <c r="F79" s="25"/>
      <c r="G79" s="1">
        <v>325</v>
      </c>
      <c r="H79" s="2">
        <v>93.3</v>
      </c>
      <c r="I79" s="2">
        <v>42.6</v>
      </c>
      <c r="J79" s="2">
        <v>36.299999999999997</v>
      </c>
      <c r="K79" s="2">
        <f t="shared" si="8"/>
        <v>42.6</v>
      </c>
      <c r="L79" s="8">
        <f>10^((K79-H79)/10)</f>
        <v>8.5113803820237683E-6</v>
      </c>
      <c r="M79" s="26"/>
      <c r="N79" s="17"/>
      <c r="O79" s="9">
        <f t="shared" si="10"/>
        <v>36.299999999999997</v>
      </c>
      <c r="P79" s="8">
        <f>D76/B76*10^(O79/10)</f>
        <v>54033.405714868444</v>
      </c>
      <c r="Q79" s="26"/>
      <c r="R79" s="17"/>
      <c r="S79" s="20"/>
      <c r="T79" s="17"/>
      <c r="U79" s="23"/>
    </row>
    <row r="80" spans="1:21" x14ac:dyDescent="0.25">
      <c r="A80" s="24">
        <v>500</v>
      </c>
      <c r="B80" s="24">
        <v>3</v>
      </c>
      <c r="C80" s="17">
        <v>0.5</v>
      </c>
      <c r="D80" s="24">
        <v>59</v>
      </c>
      <c r="E80" s="24">
        <v>6</v>
      </c>
      <c r="F80" s="25">
        <v>84</v>
      </c>
      <c r="G80" s="1">
        <v>375</v>
      </c>
      <c r="H80" s="2">
        <v>91.9</v>
      </c>
      <c r="I80" s="2">
        <v>39.6</v>
      </c>
      <c r="J80" s="2">
        <v>29.7</v>
      </c>
      <c r="K80" s="2">
        <f t="shared" si="8"/>
        <v>39.6</v>
      </c>
      <c r="L80" s="8">
        <f t="shared" ref="L80:L81" si="11">10^((K80-H80)/10)</f>
        <v>5.8884365535558799E-6</v>
      </c>
      <c r="M80" s="26">
        <f>SUM(L80:L85)</f>
        <v>2.7404157844252423E-5</v>
      </c>
      <c r="N80" s="17">
        <f>10*LOG10(M80/E80)</f>
        <v>-53.403347900514639</v>
      </c>
      <c r="O80" s="9">
        <f t="shared" si="10"/>
        <v>29.7</v>
      </c>
      <c r="P80" s="8">
        <f>D80/B80*10^(O80/10)</f>
        <v>18354.001249007491</v>
      </c>
      <c r="Q80" s="26">
        <f>SUM(P80:P85)</f>
        <v>199540.19416515008</v>
      </c>
      <c r="R80" s="17">
        <f>10*LOG10(Q80)</f>
        <v>53.000303904783337</v>
      </c>
      <c r="S80" s="18">
        <f>F80+N80-Kzt-H</f>
        <v>30.596652099485361</v>
      </c>
      <c r="T80" s="17">
        <v>0.5</v>
      </c>
      <c r="U80" s="21">
        <f>T80*10^((S80-R80)/10)</f>
        <v>2.8747813836006689E-3</v>
      </c>
    </row>
    <row r="81" spans="1:21" x14ac:dyDescent="0.25">
      <c r="A81" s="24"/>
      <c r="B81" s="24"/>
      <c r="C81" s="17"/>
      <c r="D81" s="24"/>
      <c r="E81" s="24"/>
      <c r="F81" s="25"/>
      <c r="G81" s="1">
        <v>425</v>
      </c>
      <c r="H81" s="2">
        <v>88.1</v>
      </c>
      <c r="I81" s="2">
        <v>38.1</v>
      </c>
      <c r="J81" s="2">
        <v>34</v>
      </c>
      <c r="K81" s="2">
        <f t="shared" si="8"/>
        <v>38.1</v>
      </c>
      <c r="L81" s="8">
        <f t="shared" si="11"/>
        <v>1.0000000000000016E-5</v>
      </c>
      <c r="M81" s="26"/>
      <c r="N81" s="17"/>
      <c r="O81" s="9">
        <f t="shared" si="10"/>
        <v>34</v>
      </c>
      <c r="P81" s="8">
        <f>D80/B80*10^(O81/10)</f>
        <v>49400.433153021768</v>
      </c>
      <c r="Q81" s="26"/>
      <c r="R81" s="17"/>
      <c r="S81" s="19"/>
      <c r="T81" s="17"/>
      <c r="U81" s="22"/>
    </row>
    <row r="82" spans="1:21" x14ac:dyDescent="0.25">
      <c r="A82" s="24"/>
      <c r="B82" s="24"/>
      <c r="C82" s="17"/>
      <c r="D82" s="24"/>
      <c r="E82" s="24"/>
      <c r="F82" s="25"/>
      <c r="G82" s="1">
        <v>475</v>
      </c>
      <c r="H82" s="2">
        <v>90</v>
      </c>
      <c r="I82" s="2">
        <v>34.799999999999997</v>
      </c>
      <c r="J82" s="2">
        <v>29.5</v>
      </c>
      <c r="K82" s="2">
        <f t="shared" si="8"/>
        <v>34.799999999999997</v>
      </c>
      <c r="L82" s="8">
        <f>10^((K82-H82)/10)</f>
        <v>3.0199517204020095E-6</v>
      </c>
      <c r="M82" s="26"/>
      <c r="N82" s="17"/>
      <c r="O82" s="9">
        <f t="shared" si="10"/>
        <v>29.5</v>
      </c>
      <c r="P82" s="8">
        <f>D80/B80*10^(O82/10)</f>
        <v>17527.93511663035</v>
      </c>
      <c r="Q82" s="26"/>
      <c r="R82" s="17"/>
      <c r="S82" s="19"/>
      <c r="T82" s="17"/>
      <c r="U82" s="22"/>
    </row>
    <row r="83" spans="1:21" x14ac:dyDescent="0.25">
      <c r="A83" s="24"/>
      <c r="B83" s="24"/>
      <c r="C83" s="17"/>
      <c r="D83" s="24"/>
      <c r="E83" s="24"/>
      <c r="F83" s="25"/>
      <c r="G83" s="1">
        <v>575</v>
      </c>
      <c r="H83" s="2">
        <v>97</v>
      </c>
      <c r="I83" s="2">
        <v>39.1</v>
      </c>
      <c r="J83" s="2">
        <v>32.4</v>
      </c>
      <c r="K83" s="2">
        <f t="shared" si="8"/>
        <v>39.1</v>
      </c>
      <c r="L83" s="8">
        <f t="shared" ref="L83:L109" si="12">10^((K83-H83)/10)</f>
        <v>1.6218100973589276E-6</v>
      </c>
      <c r="M83" s="26"/>
      <c r="N83" s="17"/>
      <c r="O83" s="9">
        <f t="shared" si="10"/>
        <v>32.4</v>
      </c>
      <c r="P83" s="8">
        <f>D80/B80*10^(O83/10)</f>
        <v>34176.749632071056</v>
      </c>
      <c r="Q83" s="26"/>
      <c r="R83" s="17"/>
      <c r="S83" s="19"/>
      <c r="T83" s="17"/>
      <c r="U83" s="22"/>
    </row>
    <row r="84" spans="1:21" x14ac:dyDescent="0.25">
      <c r="A84" s="24"/>
      <c r="B84" s="24"/>
      <c r="C84" s="17"/>
      <c r="D84" s="24"/>
      <c r="E84" s="24"/>
      <c r="F84" s="25"/>
      <c r="G84" s="1">
        <v>625</v>
      </c>
      <c r="H84" s="2">
        <v>92</v>
      </c>
      <c r="I84" s="2">
        <v>39</v>
      </c>
      <c r="J84" s="2">
        <v>34.299999999999997</v>
      </c>
      <c r="K84" s="2">
        <f t="shared" si="8"/>
        <v>39</v>
      </c>
      <c r="L84" s="8">
        <f t="shared" si="12"/>
        <v>5.011872336272719E-6</v>
      </c>
      <c r="M84" s="26"/>
      <c r="N84" s="17"/>
      <c r="O84" s="9">
        <f t="shared" si="10"/>
        <v>34.299999999999997</v>
      </c>
      <c r="P84" s="8">
        <f>D80/B80*10^(O84/10)</f>
        <v>52933.517810562684</v>
      </c>
      <c r="Q84" s="26"/>
      <c r="R84" s="17"/>
      <c r="S84" s="19"/>
      <c r="T84" s="17"/>
      <c r="U84" s="22"/>
    </row>
    <row r="85" spans="1:21" x14ac:dyDescent="0.25">
      <c r="A85" s="24"/>
      <c r="B85" s="24"/>
      <c r="C85" s="17"/>
      <c r="D85" s="24"/>
      <c r="E85" s="24"/>
      <c r="F85" s="25"/>
      <c r="G85" s="1">
        <v>675</v>
      </c>
      <c r="H85" s="2">
        <v>94.5</v>
      </c>
      <c r="I85" s="2">
        <v>37.200000000000003</v>
      </c>
      <c r="J85" s="2">
        <v>31.4</v>
      </c>
      <c r="K85" s="2">
        <f t="shared" si="8"/>
        <v>37.200000000000003</v>
      </c>
      <c r="L85" s="8">
        <f t="shared" si="12"/>
        <v>1.8620871366628671E-6</v>
      </c>
      <c r="M85" s="26"/>
      <c r="N85" s="17"/>
      <c r="O85" s="9">
        <f t="shared" si="10"/>
        <v>31.4</v>
      </c>
      <c r="P85" s="8">
        <f>D80/B80*10^(O85/10)</f>
        <v>27147.557203856744</v>
      </c>
      <c r="Q85" s="26"/>
      <c r="R85" s="17"/>
      <c r="S85" s="20"/>
      <c r="T85" s="17"/>
      <c r="U85" s="23"/>
    </row>
    <row r="86" spans="1:21" x14ac:dyDescent="0.25">
      <c r="A86" s="24">
        <v>1000</v>
      </c>
      <c r="B86" s="24">
        <v>3</v>
      </c>
      <c r="C86" s="17">
        <v>0.5</v>
      </c>
      <c r="D86" s="24">
        <v>117</v>
      </c>
      <c r="E86" s="24">
        <v>6</v>
      </c>
      <c r="F86" s="25">
        <v>76</v>
      </c>
      <c r="G86" s="1">
        <v>875</v>
      </c>
      <c r="H86" s="2">
        <v>91.1</v>
      </c>
      <c r="I86" s="2">
        <v>37.6</v>
      </c>
      <c r="J86" s="2">
        <v>30.6</v>
      </c>
      <c r="K86" s="2">
        <f t="shared" si="8"/>
        <v>37.6</v>
      </c>
      <c r="L86" s="8">
        <f t="shared" si="12"/>
        <v>4.4668359215096296E-6</v>
      </c>
      <c r="M86" s="26">
        <f>SUM(L86:L91)</f>
        <v>7.3348917713388307E-6</v>
      </c>
      <c r="N86" s="17">
        <f>10*LOG10(M86/E86)</f>
        <v>-59.127575403102867</v>
      </c>
      <c r="O86" s="9">
        <f t="shared" si="10"/>
        <v>30.6</v>
      </c>
      <c r="P86" s="8">
        <f>D86/B86*10^(O86/10)</f>
        <v>44777.991238378476</v>
      </c>
      <c r="Q86" s="26">
        <f>SUM(P86:P91)</f>
        <v>324176.82887528214</v>
      </c>
      <c r="R86" s="17">
        <f>10*LOG10(Q86)</f>
        <v>55.107819696388546</v>
      </c>
      <c r="S86" s="18">
        <f>F86+N86-Kzt-H</f>
        <v>16.872424596897133</v>
      </c>
      <c r="T86" s="17">
        <v>0.8</v>
      </c>
      <c r="U86" s="21">
        <f>T86*10^((S86-R86)/10)</f>
        <v>1.2010206567548927E-4</v>
      </c>
    </row>
    <row r="87" spans="1:21" x14ac:dyDescent="0.25">
      <c r="A87" s="24"/>
      <c r="B87" s="24"/>
      <c r="C87" s="17"/>
      <c r="D87" s="24"/>
      <c r="E87" s="24"/>
      <c r="F87" s="25"/>
      <c r="G87" s="1">
        <v>975</v>
      </c>
      <c r="H87" s="2">
        <v>96.5</v>
      </c>
      <c r="I87" s="2">
        <v>33.299999999999997</v>
      </c>
      <c r="J87" s="2">
        <v>31.1</v>
      </c>
      <c r="K87" s="2">
        <f t="shared" si="8"/>
        <v>33.299999999999997</v>
      </c>
      <c r="L87" s="8">
        <f t="shared" si="12"/>
        <v>4.7863009232263745E-7</v>
      </c>
      <c r="M87" s="26"/>
      <c r="N87" s="17"/>
      <c r="O87" s="9">
        <f t="shared" si="10"/>
        <v>31.1</v>
      </c>
      <c r="P87" s="8">
        <f>D86/B86*10^(O87/10)</f>
        <v>50241.732516032294</v>
      </c>
      <c r="Q87" s="26"/>
      <c r="R87" s="17"/>
      <c r="S87" s="19"/>
      <c r="T87" s="17"/>
      <c r="U87" s="22"/>
    </row>
    <row r="88" spans="1:21" x14ac:dyDescent="0.25">
      <c r="A88" s="24"/>
      <c r="B88" s="24"/>
      <c r="C88" s="17"/>
      <c r="D88" s="24"/>
      <c r="E88" s="24"/>
      <c r="F88" s="25"/>
      <c r="G88" s="1">
        <v>1075</v>
      </c>
      <c r="H88" s="2">
        <v>94.6</v>
      </c>
      <c r="I88" s="2">
        <v>36.700000000000003</v>
      </c>
      <c r="J88" s="2">
        <v>30.8</v>
      </c>
      <c r="K88" s="2">
        <f t="shared" si="8"/>
        <v>36.700000000000003</v>
      </c>
      <c r="L88" s="8">
        <f t="shared" si="12"/>
        <v>1.6218100973589304E-6</v>
      </c>
      <c r="M88" s="26"/>
      <c r="N88" s="17"/>
      <c r="O88" s="9">
        <f t="shared" si="10"/>
        <v>30.8</v>
      </c>
      <c r="P88" s="8">
        <f>D86/B86*10^(O88/10)</f>
        <v>46888.31295007914</v>
      </c>
      <c r="Q88" s="26"/>
      <c r="R88" s="17"/>
      <c r="S88" s="19"/>
      <c r="T88" s="17"/>
      <c r="U88" s="22"/>
    </row>
    <row r="89" spans="1:21" x14ac:dyDescent="0.25">
      <c r="A89" s="24"/>
      <c r="B89" s="24"/>
      <c r="C89" s="17"/>
      <c r="D89" s="24"/>
      <c r="E89" s="24"/>
      <c r="F89" s="25"/>
      <c r="G89" s="1">
        <v>1175</v>
      </c>
      <c r="H89" s="2">
        <v>97.8</v>
      </c>
      <c r="I89" s="2">
        <v>34.6</v>
      </c>
      <c r="J89" s="2">
        <v>32.9</v>
      </c>
      <c r="K89" s="2">
        <f t="shared" si="8"/>
        <v>34.6</v>
      </c>
      <c r="L89" s="8">
        <f t="shared" si="12"/>
        <v>4.786300923226383E-7</v>
      </c>
      <c r="M89" s="26"/>
      <c r="N89" s="17"/>
      <c r="O89" s="9">
        <f t="shared" si="10"/>
        <v>32.9</v>
      </c>
      <c r="P89" s="8">
        <f>D86/B86*10^(O89/10)</f>
        <v>76043.939390563814</v>
      </c>
      <c r="Q89" s="26"/>
      <c r="R89" s="17"/>
      <c r="S89" s="19"/>
      <c r="T89" s="17"/>
      <c r="U89" s="22"/>
    </row>
    <row r="90" spans="1:21" x14ac:dyDescent="0.25">
      <c r="A90" s="24"/>
      <c r="B90" s="24"/>
      <c r="C90" s="17"/>
      <c r="D90" s="24"/>
      <c r="E90" s="24"/>
      <c r="F90" s="25"/>
      <c r="G90" s="1">
        <v>1275</v>
      </c>
      <c r="H90" s="2">
        <v>100.1</v>
      </c>
      <c r="I90" s="2">
        <v>31</v>
      </c>
      <c r="J90" s="2">
        <v>30.7</v>
      </c>
      <c r="K90" s="2">
        <f t="shared" si="8"/>
        <v>31</v>
      </c>
      <c r="L90" s="8">
        <f t="shared" si="12"/>
        <v>1.2302687708123817E-7</v>
      </c>
      <c r="M90" s="26"/>
      <c r="N90" s="17"/>
      <c r="O90" s="9">
        <f t="shared" si="10"/>
        <v>30.7</v>
      </c>
      <c r="P90" s="8">
        <f>D86/B86*10^(O90/10)</f>
        <v>45821.004642641652</v>
      </c>
      <c r="Q90" s="26"/>
      <c r="R90" s="17"/>
      <c r="S90" s="19"/>
      <c r="T90" s="17"/>
      <c r="U90" s="22"/>
    </row>
    <row r="91" spans="1:21" x14ac:dyDescent="0.25">
      <c r="A91" s="24"/>
      <c r="B91" s="24"/>
      <c r="C91" s="17"/>
      <c r="D91" s="24"/>
      <c r="E91" s="24"/>
      <c r="F91" s="25"/>
      <c r="G91" s="1">
        <v>1375</v>
      </c>
      <c r="H91" s="2">
        <v>103</v>
      </c>
      <c r="I91" s="2">
        <v>35.200000000000003</v>
      </c>
      <c r="J91" s="2">
        <v>31.9</v>
      </c>
      <c r="K91" s="2">
        <f t="shared" si="8"/>
        <v>35.200000000000003</v>
      </c>
      <c r="L91" s="8">
        <f t="shared" si="12"/>
        <v>1.6595869074375618E-7</v>
      </c>
      <c r="M91" s="26"/>
      <c r="N91" s="17"/>
      <c r="O91" s="9">
        <f t="shared" si="10"/>
        <v>31.9</v>
      </c>
      <c r="P91" s="8">
        <f>D86/B86*10^(O91/10)</f>
        <v>60403.848137586807</v>
      </c>
      <c r="Q91" s="26"/>
      <c r="R91" s="17"/>
      <c r="S91" s="20"/>
      <c r="T91" s="17"/>
      <c r="U91" s="23"/>
    </row>
    <row r="92" spans="1:21" x14ac:dyDescent="0.25">
      <c r="A92" s="24">
        <v>2000</v>
      </c>
      <c r="B92" s="24">
        <v>3</v>
      </c>
      <c r="C92" s="17">
        <v>0.5</v>
      </c>
      <c r="D92" s="24">
        <v>234</v>
      </c>
      <c r="E92" s="24">
        <v>6</v>
      </c>
      <c r="F92" s="25">
        <v>68</v>
      </c>
      <c r="G92" s="1">
        <v>1425</v>
      </c>
      <c r="H92" s="2">
        <v>102.8</v>
      </c>
      <c r="I92" s="2">
        <v>32.700000000000003</v>
      </c>
      <c r="J92" s="2">
        <v>30.3</v>
      </c>
      <c r="K92" s="2">
        <f t="shared" si="8"/>
        <v>32.700000000000003</v>
      </c>
      <c r="L92" s="8">
        <f t="shared" si="12"/>
        <v>9.7723722095581017E-8</v>
      </c>
      <c r="M92" s="26">
        <f>SUM(L92:L97)</f>
        <v>1.9050953114776756E-6</v>
      </c>
      <c r="N92" s="17">
        <f>10*LOG10(M92/E92)</f>
        <v>-64.982345421760201</v>
      </c>
      <c r="O92" s="9">
        <f t="shared" si="10"/>
        <v>30.3</v>
      </c>
      <c r="P92" s="8">
        <f>D92/B92*10^(O92/10)</f>
        <v>83578.505808533402</v>
      </c>
      <c r="Q92" s="26">
        <f>SUM(P92:P97)</f>
        <v>463184.79095269181</v>
      </c>
      <c r="R92" s="17">
        <f>10*LOG10(Q92)</f>
        <v>56.657542905428613</v>
      </c>
      <c r="S92" s="18">
        <f>F92+N92-Kzt-H</f>
        <v>3.0176545782397994</v>
      </c>
      <c r="T92" s="17">
        <v>1</v>
      </c>
      <c r="U92" s="21">
        <f>T92*10^((S92-R92)/10)</f>
        <v>4.3252495267214383E-6</v>
      </c>
    </row>
    <row r="93" spans="1:21" x14ac:dyDescent="0.25">
      <c r="A93" s="24"/>
      <c r="B93" s="24"/>
      <c r="C93" s="17"/>
      <c r="D93" s="24"/>
      <c r="E93" s="24"/>
      <c r="F93" s="25"/>
      <c r="G93" s="1">
        <v>1625</v>
      </c>
      <c r="H93" s="2">
        <v>104.1</v>
      </c>
      <c r="I93" s="2">
        <v>32.799999999999997</v>
      </c>
      <c r="J93" s="2">
        <v>31.2</v>
      </c>
      <c r="K93" s="2">
        <f t="shared" si="8"/>
        <v>32.799999999999997</v>
      </c>
      <c r="L93" s="8">
        <f t="shared" si="12"/>
        <v>7.413102413009154E-8</v>
      </c>
      <c r="M93" s="26"/>
      <c r="N93" s="17"/>
      <c r="O93" s="9">
        <f t="shared" si="10"/>
        <v>31.2</v>
      </c>
      <c r="P93" s="8">
        <f>D92/B92*10^(O93/10)</f>
        <v>102824.02560739989</v>
      </c>
      <c r="Q93" s="26"/>
      <c r="R93" s="17"/>
      <c r="S93" s="19"/>
      <c r="T93" s="17"/>
      <c r="U93" s="22"/>
    </row>
    <row r="94" spans="1:21" x14ac:dyDescent="0.25">
      <c r="A94" s="24"/>
      <c r="B94" s="24"/>
      <c r="C94" s="17"/>
      <c r="D94" s="24"/>
      <c r="E94" s="24"/>
      <c r="F94" s="25"/>
      <c r="G94" s="1">
        <v>1825</v>
      </c>
      <c r="H94" s="2">
        <v>107.6</v>
      </c>
      <c r="I94" s="2">
        <v>36.5</v>
      </c>
      <c r="J94" s="2">
        <v>30.8</v>
      </c>
      <c r="K94" s="2">
        <f t="shared" si="8"/>
        <v>36.5</v>
      </c>
      <c r="L94" s="8">
        <f t="shared" si="12"/>
        <v>7.762471166286921E-8</v>
      </c>
      <c r="M94" s="26"/>
      <c r="N94" s="17"/>
      <c r="O94" s="9">
        <f t="shared" si="10"/>
        <v>30.8</v>
      </c>
      <c r="P94" s="8">
        <f>D92/B92*10^(O94/10)</f>
        <v>93776.62590015828</v>
      </c>
      <c r="Q94" s="26"/>
      <c r="R94" s="17"/>
      <c r="S94" s="19"/>
      <c r="T94" s="17"/>
      <c r="U94" s="22"/>
    </row>
    <row r="95" spans="1:21" x14ac:dyDescent="0.25">
      <c r="A95" s="24"/>
      <c r="B95" s="24"/>
      <c r="C95" s="17"/>
      <c r="D95" s="24"/>
      <c r="E95" s="24"/>
      <c r="F95" s="25"/>
      <c r="G95" s="1">
        <v>2125</v>
      </c>
      <c r="H95" s="2">
        <v>104.2</v>
      </c>
      <c r="I95" s="2">
        <v>30.1</v>
      </c>
      <c r="J95" s="2">
        <v>29.1</v>
      </c>
      <c r="K95" s="2">
        <f t="shared" si="8"/>
        <v>30.1</v>
      </c>
      <c r="L95" s="8">
        <f t="shared" si="12"/>
        <v>3.890451449942805E-8</v>
      </c>
      <c r="M95" s="26"/>
      <c r="N95" s="17"/>
      <c r="O95" s="9">
        <f t="shared" si="10"/>
        <v>29.1</v>
      </c>
      <c r="P95" s="8">
        <f>D92/B92*10^(O95/10)</f>
        <v>63400.78026079978</v>
      </c>
      <c r="Q95" s="26"/>
      <c r="R95" s="17"/>
      <c r="S95" s="19"/>
      <c r="T95" s="17"/>
      <c r="U95" s="22"/>
    </row>
    <row r="96" spans="1:21" x14ac:dyDescent="0.25">
      <c r="A96" s="24"/>
      <c r="B96" s="24"/>
      <c r="C96" s="17"/>
      <c r="D96" s="24"/>
      <c r="E96" s="24"/>
      <c r="F96" s="25"/>
      <c r="G96" s="1">
        <v>2425</v>
      </c>
      <c r="H96" s="2">
        <v>93.7</v>
      </c>
      <c r="I96" s="2">
        <v>35.200000000000003</v>
      </c>
      <c r="J96" s="2">
        <v>30.8</v>
      </c>
      <c r="K96" s="2">
        <f t="shared" si="8"/>
        <v>35.200000000000003</v>
      </c>
      <c r="L96" s="8">
        <f t="shared" si="12"/>
        <v>1.4125375446227531E-6</v>
      </c>
      <c r="M96" s="26"/>
      <c r="N96" s="17"/>
      <c r="O96" s="9">
        <f t="shared" si="10"/>
        <v>30.8</v>
      </c>
      <c r="P96" s="8">
        <f>D92/B92*10^(O96/10)</f>
        <v>93776.62590015828</v>
      </c>
      <c r="Q96" s="26"/>
      <c r="R96" s="17"/>
      <c r="S96" s="19"/>
      <c r="T96" s="17"/>
      <c r="U96" s="22"/>
    </row>
    <row r="97" spans="1:21" x14ac:dyDescent="0.25">
      <c r="A97" s="24"/>
      <c r="B97" s="24"/>
      <c r="C97" s="17"/>
      <c r="D97" s="24"/>
      <c r="E97" s="24"/>
      <c r="F97" s="25"/>
      <c r="G97" s="1">
        <v>2775</v>
      </c>
      <c r="H97" s="2">
        <v>100.2</v>
      </c>
      <c r="I97" s="2">
        <v>33.299999999999997</v>
      </c>
      <c r="J97" s="2">
        <v>25.2</v>
      </c>
      <c r="K97" s="2">
        <f t="shared" si="8"/>
        <v>33.299999999999997</v>
      </c>
      <c r="L97" s="8">
        <f t="shared" si="12"/>
        <v>2.0417379446695257E-7</v>
      </c>
      <c r="M97" s="26"/>
      <c r="N97" s="17"/>
      <c r="O97" s="9">
        <f t="shared" si="10"/>
        <v>25.2</v>
      </c>
      <c r="P97" s="8">
        <f>D92/B92*10^(O97/10)</f>
        <v>25828.227475642128</v>
      </c>
      <c r="Q97" s="26"/>
      <c r="R97" s="17"/>
      <c r="S97" s="20"/>
      <c r="T97" s="17"/>
      <c r="U97" s="23"/>
    </row>
    <row r="98" spans="1:21" x14ac:dyDescent="0.25">
      <c r="A98" s="24">
        <v>4000</v>
      </c>
      <c r="B98" s="24">
        <v>3</v>
      </c>
      <c r="C98" s="17">
        <v>0.5</v>
      </c>
      <c r="D98" s="24">
        <v>470</v>
      </c>
      <c r="E98" s="24">
        <v>6</v>
      </c>
      <c r="F98" s="25">
        <v>62</v>
      </c>
      <c r="G98" s="1">
        <v>2825</v>
      </c>
      <c r="H98" s="2">
        <v>99.4</v>
      </c>
      <c r="I98" s="2">
        <v>31.2</v>
      </c>
      <c r="J98" s="2">
        <v>27.9</v>
      </c>
      <c r="K98" s="2">
        <f t="shared" si="8"/>
        <v>31.2</v>
      </c>
      <c r="L98" s="8">
        <f t="shared" si="12"/>
        <v>1.5135612484362046E-7</v>
      </c>
      <c r="M98" s="26">
        <f>SUM(L98:L103)</f>
        <v>8.1325454274734815E-7</v>
      </c>
      <c r="N98" s="17">
        <f>10*LOG10(M98/E98)</f>
        <v>-68.679247525034128</v>
      </c>
      <c r="O98" s="9">
        <f t="shared" si="10"/>
        <v>27.9</v>
      </c>
      <c r="P98" s="8">
        <f>D98/B98*10^(O98/10)</f>
        <v>96599.883624965616</v>
      </c>
      <c r="Q98" s="26">
        <f>SUM(P98:P103)</f>
        <v>517579.17321143538</v>
      </c>
      <c r="R98" s="17">
        <f>10*LOG10(Q98)</f>
        <v>57.139767925035223</v>
      </c>
      <c r="S98" s="18">
        <f>F98+N98-Kzt-H</f>
        <v>-6.6792475250341283</v>
      </c>
      <c r="T98" s="17">
        <v>0.9</v>
      </c>
      <c r="U98" s="21">
        <f>T98*10^((S98-R98)/10)</f>
        <v>3.7354331141483501E-7</v>
      </c>
    </row>
    <row r="99" spans="1:21" x14ac:dyDescent="0.25">
      <c r="A99" s="24"/>
      <c r="B99" s="24"/>
      <c r="C99" s="17"/>
      <c r="D99" s="24"/>
      <c r="E99" s="24"/>
      <c r="F99" s="25"/>
      <c r="G99" s="1">
        <v>3425</v>
      </c>
      <c r="H99" s="2">
        <v>103.5</v>
      </c>
      <c r="I99" s="2">
        <v>34.4</v>
      </c>
      <c r="J99" s="2">
        <v>29.9</v>
      </c>
      <c r="K99" s="2">
        <f t="shared" si="8"/>
        <v>34.4</v>
      </c>
      <c r="L99" s="8">
        <f t="shared" si="12"/>
        <v>1.2302687708123817E-7</v>
      </c>
      <c r="M99" s="26"/>
      <c r="N99" s="17"/>
      <c r="O99" s="9">
        <f t="shared" si="10"/>
        <v>29.9</v>
      </c>
      <c r="P99" s="8">
        <f>D98/B98*10^(O99/10)</f>
        <v>153100.49794974364</v>
      </c>
      <c r="Q99" s="26"/>
      <c r="R99" s="17"/>
      <c r="S99" s="19"/>
      <c r="T99" s="17"/>
      <c r="U99" s="22"/>
    </row>
    <row r="100" spans="1:21" x14ac:dyDescent="0.25">
      <c r="A100" s="24"/>
      <c r="B100" s="24"/>
      <c r="C100" s="17"/>
      <c r="D100" s="24"/>
      <c r="E100" s="24"/>
      <c r="F100" s="25"/>
      <c r="G100" s="1">
        <v>4025</v>
      </c>
      <c r="H100" s="2">
        <v>103.6</v>
      </c>
      <c r="I100" s="2">
        <v>32.299999999999997</v>
      </c>
      <c r="J100" s="2">
        <v>26.4</v>
      </c>
      <c r="K100" s="2">
        <f t="shared" si="8"/>
        <v>32.299999999999997</v>
      </c>
      <c r="L100" s="8">
        <f t="shared" si="12"/>
        <v>7.413102413009154E-8</v>
      </c>
      <c r="M100" s="26"/>
      <c r="N100" s="17"/>
      <c r="O100" s="9">
        <f t="shared" si="10"/>
        <v>26.4</v>
      </c>
      <c r="P100" s="8">
        <f>D98/B98*10^(O100/10)</f>
        <v>68387.480384292634</v>
      </c>
      <c r="Q100" s="26"/>
      <c r="R100" s="17"/>
      <c r="S100" s="19"/>
      <c r="T100" s="17"/>
      <c r="U100" s="22"/>
    </row>
    <row r="101" spans="1:21" x14ac:dyDescent="0.25">
      <c r="A101" s="24"/>
      <c r="B101" s="24"/>
      <c r="C101" s="17"/>
      <c r="D101" s="24"/>
      <c r="E101" s="24"/>
      <c r="F101" s="25"/>
      <c r="G101" s="1">
        <v>4625</v>
      </c>
      <c r="H101" s="2">
        <v>105.6</v>
      </c>
      <c r="I101" s="2">
        <v>35.299999999999997</v>
      </c>
      <c r="J101" s="2">
        <v>24.9</v>
      </c>
      <c r="K101" s="2">
        <f t="shared" si="8"/>
        <v>35.299999999999997</v>
      </c>
      <c r="L101" s="8">
        <f t="shared" si="12"/>
        <v>9.3325430079699072E-8</v>
      </c>
      <c r="M101" s="26"/>
      <c r="N101" s="17"/>
      <c r="O101" s="9">
        <f t="shared" si="10"/>
        <v>24.9</v>
      </c>
      <c r="P101" s="8">
        <f>D98/B98*10^(O101/10)</f>
        <v>48414.628442712921</v>
      </c>
      <c r="Q101" s="26"/>
      <c r="R101" s="17"/>
      <c r="S101" s="19"/>
      <c r="T101" s="17"/>
      <c r="U101" s="22"/>
    </row>
    <row r="102" spans="1:21" x14ac:dyDescent="0.25">
      <c r="A102" s="24"/>
      <c r="B102" s="24"/>
      <c r="C102" s="17"/>
      <c r="D102" s="24"/>
      <c r="E102" s="24"/>
      <c r="F102" s="25"/>
      <c r="G102" s="1">
        <v>5225</v>
      </c>
      <c r="H102" s="2">
        <v>103.5</v>
      </c>
      <c r="I102" s="2">
        <v>34.299999999999997</v>
      </c>
      <c r="J102" s="2">
        <v>23.8</v>
      </c>
      <c r="K102" s="2">
        <f t="shared" si="8"/>
        <v>34.299999999999997</v>
      </c>
      <c r="L102" s="8">
        <f t="shared" si="12"/>
        <v>1.2022644346174111E-7</v>
      </c>
      <c r="M102" s="26"/>
      <c r="N102" s="17"/>
      <c r="O102" s="9">
        <f t="shared" si="10"/>
        <v>23.8</v>
      </c>
      <c r="P102" s="8">
        <f>D98/B98*10^(O102/10)</f>
        <v>37581.715731305361</v>
      </c>
      <c r="Q102" s="26"/>
      <c r="R102" s="17"/>
      <c r="S102" s="19"/>
      <c r="T102" s="17"/>
      <c r="U102" s="22"/>
    </row>
    <row r="103" spans="1:21" x14ac:dyDescent="0.25">
      <c r="A103" s="24"/>
      <c r="B103" s="24"/>
      <c r="C103" s="17"/>
      <c r="D103" s="24"/>
      <c r="E103" s="24"/>
      <c r="F103" s="25"/>
      <c r="G103" s="1">
        <v>5625</v>
      </c>
      <c r="H103" s="2">
        <v>99.5</v>
      </c>
      <c r="I103" s="2">
        <v>33.5</v>
      </c>
      <c r="J103" s="2">
        <v>28.6</v>
      </c>
      <c r="K103" s="2">
        <f t="shared" si="8"/>
        <v>33.5</v>
      </c>
      <c r="L103" s="8">
        <f t="shared" si="12"/>
        <v>2.511886431509578E-7</v>
      </c>
      <c r="M103" s="26"/>
      <c r="N103" s="17"/>
      <c r="O103" s="9">
        <f t="shared" si="10"/>
        <v>28.6</v>
      </c>
      <c r="P103" s="8">
        <f>D98/B98*10^(O103/10)</f>
        <v>113494.96707841523</v>
      </c>
      <c r="Q103" s="26"/>
      <c r="R103" s="17"/>
      <c r="S103" s="20"/>
      <c r="T103" s="17"/>
      <c r="U103" s="23"/>
    </row>
    <row r="104" spans="1:21" x14ac:dyDescent="0.25">
      <c r="A104" s="24">
        <v>8000</v>
      </c>
      <c r="B104" s="24">
        <v>3</v>
      </c>
      <c r="C104" s="17">
        <v>0.5</v>
      </c>
      <c r="D104" s="24">
        <v>943</v>
      </c>
      <c r="E104" s="24">
        <v>6</v>
      </c>
      <c r="F104" s="25">
        <v>54</v>
      </c>
      <c r="G104" s="1">
        <v>6025</v>
      </c>
      <c r="H104" s="2">
        <v>95</v>
      </c>
      <c r="I104" s="2">
        <v>35.200000000000003</v>
      </c>
      <c r="J104" s="2">
        <v>27.7</v>
      </c>
      <c r="K104" s="2">
        <f t="shared" si="8"/>
        <v>35.200000000000003</v>
      </c>
      <c r="L104" s="8">
        <f t="shared" si="12"/>
        <v>1.0471285480508998E-6</v>
      </c>
      <c r="M104" s="26">
        <f>SUM(L104:L109)</f>
        <v>4.1594484968651087E-6</v>
      </c>
      <c r="N104" s="17">
        <f>10*LOG10(M104/E104)</f>
        <v>-61.591154992391651</v>
      </c>
      <c r="O104" s="9">
        <f t="shared" si="10"/>
        <v>27.7</v>
      </c>
      <c r="P104" s="8">
        <f>D104/B104*10^(O104/10)</f>
        <v>185093.18900010697</v>
      </c>
      <c r="Q104" s="26">
        <f>SUM(P104:P109)</f>
        <v>960247.35158269969</v>
      </c>
      <c r="R104" s="17">
        <f>10*LOG10(Q104)</f>
        <v>59.823831180297624</v>
      </c>
      <c r="S104" s="18">
        <f>F104+N104-Kzt-H</f>
        <v>-7.591154992391651</v>
      </c>
      <c r="T104" s="17">
        <v>0.7</v>
      </c>
      <c r="U104" s="21">
        <f>T104*10^((S104-R104)/10)</f>
        <v>1.2694027146985161E-7</v>
      </c>
    </row>
    <row r="105" spans="1:21" x14ac:dyDescent="0.25">
      <c r="A105" s="24"/>
      <c r="B105" s="24"/>
      <c r="C105" s="17"/>
      <c r="D105" s="24"/>
      <c r="E105" s="24"/>
      <c r="F105" s="25"/>
      <c r="G105" s="1">
        <v>7025</v>
      </c>
      <c r="H105" s="2">
        <v>94.8</v>
      </c>
      <c r="I105" s="2">
        <v>32.799999999999997</v>
      </c>
      <c r="J105" s="2">
        <v>26.9</v>
      </c>
      <c r="K105" s="2">
        <f t="shared" si="8"/>
        <v>32.799999999999997</v>
      </c>
      <c r="L105" s="8">
        <f t="shared" si="12"/>
        <v>6.3095734448019254E-7</v>
      </c>
      <c r="M105" s="26"/>
      <c r="N105" s="17"/>
      <c r="O105" s="9">
        <f t="shared" si="10"/>
        <v>26.9</v>
      </c>
      <c r="P105" s="8">
        <f>D104/B104*10^(O105/10)</f>
        <v>153953.80888814825</v>
      </c>
      <c r="Q105" s="26"/>
      <c r="R105" s="17"/>
      <c r="S105" s="19"/>
      <c r="T105" s="17"/>
      <c r="U105" s="22"/>
    </row>
    <row r="106" spans="1:21" x14ac:dyDescent="0.25">
      <c r="A106" s="24"/>
      <c r="B106" s="24"/>
      <c r="C106" s="17"/>
      <c r="D106" s="24"/>
      <c r="E106" s="24"/>
      <c r="F106" s="25"/>
      <c r="G106" s="1">
        <v>8025</v>
      </c>
      <c r="H106" s="2">
        <v>101.9</v>
      </c>
      <c r="I106" s="2">
        <v>28.7</v>
      </c>
      <c r="J106" s="2">
        <v>25.2</v>
      </c>
      <c r="K106" s="2">
        <f t="shared" si="8"/>
        <v>28.7</v>
      </c>
      <c r="L106" s="8">
        <f t="shared" si="12"/>
        <v>4.7863009232263782E-8</v>
      </c>
      <c r="M106" s="26"/>
      <c r="N106" s="17"/>
      <c r="O106" s="9">
        <f t="shared" si="10"/>
        <v>25.2</v>
      </c>
      <c r="P106" s="8">
        <f>D104/B104*10^(O106/10)</f>
        <v>104085.54918602789</v>
      </c>
      <c r="Q106" s="26"/>
      <c r="R106" s="17"/>
      <c r="S106" s="19"/>
      <c r="T106" s="17"/>
      <c r="U106" s="22"/>
    </row>
    <row r="107" spans="1:21" x14ac:dyDescent="0.25">
      <c r="A107" s="24"/>
      <c r="B107" s="24"/>
      <c r="C107" s="17"/>
      <c r="D107" s="24"/>
      <c r="E107" s="24"/>
      <c r="F107" s="25"/>
      <c r="G107" s="1">
        <v>9025</v>
      </c>
      <c r="H107" s="2">
        <v>93.2</v>
      </c>
      <c r="I107" s="2">
        <v>28.8</v>
      </c>
      <c r="J107" s="2">
        <v>27.7</v>
      </c>
      <c r="K107" s="2">
        <f t="shared" si="8"/>
        <v>28.8</v>
      </c>
      <c r="L107" s="8">
        <f t="shared" si="12"/>
        <v>3.6307805477010047E-7</v>
      </c>
      <c r="M107" s="26"/>
      <c r="N107" s="17"/>
      <c r="O107" s="9">
        <f t="shared" si="10"/>
        <v>27.7</v>
      </c>
      <c r="P107" s="8">
        <f>D104/B104*10^(O107/10)</f>
        <v>185093.18900010697</v>
      </c>
      <c r="Q107" s="26"/>
      <c r="R107" s="17"/>
      <c r="S107" s="19"/>
      <c r="T107" s="17"/>
      <c r="U107" s="22"/>
    </row>
    <row r="108" spans="1:21" x14ac:dyDescent="0.25">
      <c r="A108" s="24"/>
      <c r="B108" s="24"/>
      <c r="C108" s="17"/>
      <c r="D108" s="24"/>
      <c r="E108" s="24"/>
      <c r="F108" s="25"/>
      <c r="G108" s="1">
        <v>10025</v>
      </c>
      <c r="H108" s="2">
        <v>88.3</v>
      </c>
      <c r="I108" s="2">
        <v>28.5</v>
      </c>
      <c r="J108" s="2">
        <v>28.3</v>
      </c>
      <c r="K108" s="2">
        <f t="shared" si="8"/>
        <v>28.5</v>
      </c>
      <c r="L108" s="8">
        <f t="shared" si="12"/>
        <v>1.0471285480508998E-6</v>
      </c>
      <c r="M108" s="26"/>
      <c r="N108" s="17"/>
      <c r="O108" s="9">
        <f t="shared" si="10"/>
        <v>28.3</v>
      </c>
      <c r="P108" s="8">
        <f>D104/B104*10^(O108/10)</f>
        <v>212515.4152648797</v>
      </c>
      <c r="Q108" s="26"/>
      <c r="R108" s="17"/>
      <c r="S108" s="19"/>
      <c r="T108" s="17"/>
      <c r="U108" s="22"/>
    </row>
    <row r="109" spans="1:21" x14ac:dyDescent="0.25">
      <c r="A109" s="24"/>
      <c r="B109" s="24"/>
      <c r="C109" s="17"/>
      <c r="D109" s="24"/>
      <c r="E109" s="24"/>
      <c r="F109" s="25"/>
      <c r="G109" s="1">
        <v>11025</v>
      </c>
      <c r="H109" s="2">
        <v>86</v>
      </c>
      <c r="I109" s="2">
        <v>26.1</v>
      </c>
      <c r="J109" s="2">
        <v>25.8</v>
      </c>
      <c r="K109" s="2">
        <f t="shared" si="8"/>
        <v>26.1</v>
      </c>
      <c r="L109" s="8">
        <f t="shared" si="12"/>
        <v>1.0232929922807527E-6</v>
      </c>
      <c r="M109" s="26"/>
      <c r="N109" s="17"/>
      <c r="O109" s="9">
        <f t="shared" si="10"/>
        <v>25.8</v>
      </c>
      <c r="P109" s="8">
        <f>D104/B104*10^(O109/10)</f>
        <v>119506.20024342986</v>
      </c>
      <c r="Q109" s="26"/>
      <c r="R109" s="17"/>
      <c r="S109" s="20"/>
      <c r="T109" s="17"/>
      <c r="U109" s="23"/>
    </row>
    <row r="110" spans="1:21" x14ac:dyDescent="0.25">
      <c r="A110" s="24" t="s">
        <v>20</v>
      </c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12">
        <f>U110</f>
        <v>6.7828913997620796E-2</v>
      </c>
      <c r="T110" s="2"/>
      <c r="U110" s="8">
        <f>0.8*SQRT(SUM(U76:U109))</f>
        <v>6.7828913997620796E-2</v>
      </c>
    </row>
    <row r="111" spans="1:21" x14ac:dyDescent="0.25">
      <c r="A111" s="27" t="s">
        <v>115</v>
      </c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9"/>
    </row>
    <row r="112" spans="1:21" x14ac:dyDescent="0.25">
      <c r="A112" s="24">
        <v>250</v>
      </c>
      <c r="B112" s="24">
        <v>3</v>
      </c>
      <c r="C112" s="17">
        <v>0.5</v>
      </c>
      <c r="D112" s="24">
        <v>38</v>
      </c>
      <c r="E112" s="24">
        <v>4</v>
      </c>
      <c r="F112" s="25">
        <v>84</v>
      </c>
      <c r="G112" s="1">
        <v>175</v>
      </c>
      <c r="H112" s="2">
        <v>84.8</v>
      </c>
      <c r="I112" s="2">
        <v>37</v>
      </c>
      <c r="J112" s="2">
        <v>36.1</v>
      </c>
      <c r="K112" s="2">
        <f>I112</f>
        <v>37</v>
      </c>
      <c r="L112" s="8">
        <f>10^((K112-H112)/10)</f>
        <v>1.6595869074375629E-5</v>
      </c>
      <c r="M112" s="26">
        <f>SUM(L112:L115)</f>
        <v>3.7090155976252868E-5</v>
      </c>
      <c r="N112" s="17">
        <f>10*LOG10(M112/E112)</f>
        <v>-50.328013316449841</v>
      </c>
      <c r="O112" s="9">
        <f>J112</f>
        <v>36.1</v>
      </c>
      <c r="P112" s="8">
        <f>D112/B112*10^(O112/10)</f>
        <v>51601.501855187664</v>
      </c>
      <c r="Q112" s="26">
        <f>SUM(P112:P115)</f>
        <v>181240.52863168728</v>
      </c>
      <c r="R112" s="17">
        <f>10*LOG10(Q112)</f>
        <v>52.582553202335333</v>
      </c>
      <c r="S112" s="18">
        <f>F112+N112-Kzt-H</f>
        <v>33.671986683550159</v>
      </c>
      <c r="T112" s="17">
        <v>0.2</v>
      </c>
      <c r="U112" s="21">
        <f>T112*10^((S112-R112)/10)</f>
        <v>2.5702380213383103E-3</v>
      </c>
    </row>
    <row r="113" spans="1:21" x14ac:dyDescent="0.25">
      <c r="A113" s="24"/>
      <c r="B113" s="24"/>
      <c r="C113" s="17"/>
      <c r="D113" s="24"/>
      <c r="E113" s="24"/>
      <c r="F113" s="25"/>
      <c r="G113" s="1">
        <v>225</v>
      </c>
      <c r="H113" s="2">
        <v>90</v>
      </c>
      <c r="I113" s="2">
        <v>38.799999999999997</v>
      </c>
      <c r="J113" s="2">
        <v>33.5</v>
      </c>
      <c r="K113" s="2">
        <f t="shared" ref="K113:K145" si="13">I113</f>
        <v>38.799999999999997</v>
      </c>
      <c r="L113" s="8">
        <f t="shared" ref="L113:L114" si="14">10^((K113-H113)/10)</f>
        <v>7.5857757502918323E-6</v>
      </c>
      <c r="M113" s="26"/>
      <c r="N113" s="17"/>
      <c r="O113" s="9">
        <f t="shared" ref="O113:O145" si="15">J113</f>
        <v>33.5</v>
      </c>
      <c r="P113" s="8">
        <f>D112/B112*10^(O113/10)</f>
        <v>28357.13442186566</v>
      </c>
      <c r="Q113" s="26"/>
      <c r="R113" s="17"/>
      <c r="S113" s="19"/>
      <c r="T113" s="17"/>
      <c r="U113" s="22"/>
    </row>
    <row r="114" spans="1:21" x14ac:dyDescent="0.25">
      <c r="A114" s="24"/>
      <c r="B114" s="24"/>
      <c r="C114" s="17"/>
      <c r="D114" s="24"/>
      <c r="E114" s="24"/>
      <c r="F114" s="25"/>
      <c r="G114" s="1">
        <v>275</v>
      </c>
      <c r="H114" s="2">
        <v>92.2</v>
      </c>
      <c r="I114" s="2">
        <v>39.6</v>
      </c>
      <c r="J114" s="2">
        <v>36.4</v>
      </c>
      <c r="K114" s="2">
        <f t="shared" si="13"/>
        <v>39.6</v>
      </c>
      <c r="L114" s="8">
        <f t="shared" si="14"/>
        <v>5.4954087385762383E-6</v>
      </c>
      <c r="M114" s="26"/>
      <c r="N114" s="17"/>
      <c r="O114" s="9">
        <f t="shared" si="15"/>
        <v>36.4</v>
      </c>
      <c r="P114" s="8">
        <f>D112/B112*10^(O114/10)</f>
        <v>55292.005417087727</v>
      </c>
      <c r="Q114" s="26"/>
      <c r="R114" s="17"/>
      <c r="S114" s="19"/>
      <c r="T114" s="17"/>
      <c r="U114" s="22"/>
    </row>
    <row r="115" spans="1:21" x14ac:dyDescent="0.25">
      <c r="A115" s="24"/>
      <c r="B115" s="24"/>
      <c r="C115" s="17"/>
      <c r="D115" s="24"/>
      <c r="E115" s="24"/>
      <c r="F115" s="25"/>
      <c r="G115" s="1">
        <v>325</v>
      </c>
      <c r="H115" s="2">
        <v>93.3</v>
      </c>
      <c r="I115" s="2">
        <v>42</v>
      </c>
      <c r="J115" s="2">
        <v>35.6</v>
      </c>
      <c r="K115" s="2">
        <f t="shared" si="13"/>
        <v>42</v>
      </c>
      <c r="L115" s="8">
        <f>10^((K115-H115)/10)</f>
        <v>7.4131024130091704E-6</v>
      </c>
      <c r="M115" s="26"/>
      <c r="N115" s="17"/>
      <c r="O115" s="9">
        <f t="shared" si="15"/>
        <v>35.6</v>
      </c>
      <c r="P115" s="8">
        <f>D112/B112*10^(O115/10)</f>
        <v>45989.886937546238</v>
      </c>
      <c r="Q115" s="26"/>
      <c r="R115" s="17"/>
      <c r="S115" s="20"/>
      <c r="T115" s="17"/>
      <c r="U115" s="23"/>
    </row>
    <row r="116" spans="1:21" x14ac:dyDescent="0.25">
      <c r="A116" s="24">
        <v>500</v>
      </c>
      <c r="B116" s="24">
        <v>3</v>
      </c>
      <c r="C116" s="17">
        <v>0.5</v>
      </c>
      <c r="D116" s="24">
        <v>59</v>
      </c>
      <c r="E116" s="24">
        <v>6</v>
      </c>
      <c r="F116" s="25">
        <v>84</v>
      </c>
      <c r="G116" s="1">
        <v>375</v>
      </c>
      <c r="H116" s="2">
        <v>91.9</v>
      </c>
      <c r="I116" s="2">
        <v>37.200000000000003</v>
      </c>
      <c r="J116" s="2">
        <v>35.6</v>
      </c>
      <c r="K116" s="2">
        <f t="shared" si="13"/>
        <v>37.200000000000003</v>
      </c>
      <c r="L116" s="8">
        <f t="shared" ref="L116:L117" si="16">10^((K116-H116)/10)</f>
        <v>3.3884415613920161E-6</v>
      </c>
      <c r="M116" s="26">
        <f>SUM(L116:L121)</f>
        <v>2.6248386704507727E-5</v>
      </c>
      <c r="N116" s="17">
        <f>10*LOG10(M116/E116)</f>
        <v>-53.590486347125747</v>
      </c>
      <c r="O116" s="9">
        <f t="shared" si="15"/>
        <v>35.6</v>
      </c>
      <c r="P116" s="8">
        <f>D116/B116*10^(O116/10)</f>
        <v>71405.350771453377</v>
      </c>
      <c r="Q116" s="26">
        <f>SUM(P116:P121)</f>
        <v>236906.27179629882</v>
      </c>
      <c r="R116" s="17">
        <f>10*LOG10(Q116)</f>
        <v>53.745765582764555</v>
      </c>
      <c r="S116" s="18">
        <f>F116+N116-Kzt-H</f>
        <v>30.409513652874253</v>
      </c>
      <c r="T116" s="17">
        <v>0.5</v>
      </c>
      <c r="U116" s="21">
        <f>T116*10^((S116-R116)/10)</f>
        <v>2.3192352933554886E-3</v>
      </c>
    </row>
    <row r="117" spans="1:21" x14ac:dyDescent="0.25">
      <c r="A117" s="24"/>
      <c r="B117" s="24"/>
      <c r="C117" s="17"/>
      <c r="D117" s="24"/>
      <c r="E117" s="24"/>
      <c r="F117" s="25"/>
      <c r="G117" s="1">
        <v>425</v>
      </c>
      <c r="H117" s="2">
        <v>88.1</v>
      </c>
      <c r="I117" s="2">
        <v>38.299999999999997</v>
      </c>
      <c r="J117" s="2">
        <v>33.5</v>
      </c>
      <c r="K117" s="2">
        <f t="shared" si="13"/>
        <v>38.299999999999997</v>
      </c>
      <c r="L117" s="8">
        <f t="shared" si="16"/>
        <v>1.0471285480508992E-5</v>
      </c>
      <c r="M117" s="26"/>
      <c r="N117" s="17"/>
      <c r="O117" s="9">
        <f t="shared" si="15"/>
        <v>33.5</v>
      </c>
      <c r="P117" s="8">
        <f>D116/B116*10^(O117/10)</f>
        <v>44028.182391844057</v>
      </c>
      <c r="Q117" s="26"/>
      <c r="R117" s="17"/>
      <c r="S117" s="19"/>
      <c r="T117" s="17"/>
      <c r="U117" s="22"/>
    </row>
    <row r="118" spans="1:21" x14ac:dyDescent="0.25">
      <c r="A118" s="24"/>
      <c r="B118" s="24"/>
      <c r="C118" s="17"/>
      <c r="D118" s="24"/>
      <c r="E118" s="24"/>
      <c r="F118" s="25"/>
      <c r="G118" s="1">
        <v>475</v>
      </c>
      <c r="H118" s="2">
        <v>90</v>
      </c>
      <c r="I118" s="2">
        <v>38.4</v>
      </c>
      <c r="J118" s="2">
        <v>34.6</v>
      </c>
      <c r="K118" s="2">
        <f t="shared" si="13"/>
        <v>38.4</v>
      </c>
      <c r="L118" s="8">
        <f>10^((K118-H118)/10)</f>
        <v>6.9183097091893498E-6</v>
      </c>
      <c r="M118" s="26"/>
      <c r="N118" s="17"/>
      <c r="O118" s="9">
        <f t="shared" si="15"/>
        <v>34.6</v>
      </c>
      <c r="P118" s="8">
        <f>D116/B116*10^(O118/10)</f>
        <v>56719.286228156619</v>
      </c>
      <c r="Q118" s="26"/>
      <c r="R118" s="17"/>
      <c r="S118" s="19"/>
      <c r="T118" s="17"/>
      <c r="U118" s="22"/>
    </row>
    <row r="119" spans="1:21" x14ac:dyDescent="0.25">
      <c r="A119" s="24"/>
      <c r="B119" s="24"/>
      <c r="C119" s="17"/>
      <c r="D119" s="24"/>
      <c r="E119" s="24"/>
      <c r="F119" s="25"/>
      <c r="G119" s="1">
        <v>575</v>
      </c>
      <c r="H119" s="2">
        <v>97</v>
      </c>
      <c r="I119" s="2">
        <v>30.4</v>
      </c>
      <c r="J119" s="2">
        <v>29.9</v>
      </c>
      <c r="K119" s="2">
        <f t="shared" si="13"/>
        <v>30.4</v>
      </c>
      <c r="L119" s="8">
        <f t="shared" ref="L119:L145" si="17">10^((K119-H119)/10)</f>
        <v>2.1877616239495519E-7</v>
      </c>
      <c r="M119" s="26"/>
      <c r="N119" s="17"/>
      <c r="O119" s="9">
        <f t="shared" si="15"/>
        <v>29.9</v>
      </c>
      <c r="P119" s="8">
        <f>D116/B116*10^(O119/10)</f>
        <v>19218.998678797609</v>
      </c>
      <c r="Q119" s="26"/>
      <c r="R119" s="17"/>
      <c r="S119" s="19"/>
      <c r="T119" s="17"/>
      <c r="U119" s="22"/>
    </row>
    <row r="120" spans="1:21" x14ac:dyDescent="0.25">
      <c r="A120" s="24"/>
      <c r="B120" s="24"/>
      <c r="C120" s="17"/>
      <c r="D120" s="24"/>
      <c r="E120" s="24"/>
      <c r="F120" s="25"/>
      <c r="G120" s="1">
        <v>625</v>
      </c>
      <c r="H120" s="2">
        <v>92</v>
      </c>
      <c r="I120" s="2">
        <v>37</v>
      </c>
      <c r="J120" s="2">
        <v>32.5</v>
      </c>
      <c r="K120" s="2">
        <f t="shared" si="13"/>
        <v>37</v>
      </c>
      <c r="L120" s="8">
        <f t="shared" si="17"/>
        <v>3.1622776601683767E-6</v>
      </c>
      <c r="M120" s="26"/>
      <c r="N120" s="17"/>
      <c r="O120" s="9">
        <f t="shared" si="15"/>
        <v>32.5</v>
      </c>
      <c r="P120" s="8">
        <f>D116/B116*10^(O120/10)</f>
        <v>34972.828397432182</v>
      </c>
      <c r="Q120" s="26"/>
      <c r="R120" s="17"/>
      <c r="S120" s="19"/>
      <c r="T120" s="17"/>
      <c r="U120" s="22"/>
    </row>
    <row r="121" spans="1:21" x14ac:dyDescent="0.25">
      <c r="A121" s="24"/>
      <c r="B121" s="24"/>
      <c r="C121" s="17"/>
      <c r="D121" s="24"/>
      <c r="E121" s="24"/>
      <c r="F121" s="25"/>
      <c r="G121" s="1">
        <v>675</v>
      </c>
      <c r="H121" s="2">
        <v>94.5</v>
      </c>
      <c r="I121" s="2">
        <v>37.700000000000003</v>
      </c>
      <c r="J121" s="2">
        <v>27.3</v>
      </c>
      <c r="K121" s="2">
        <f t="shared" si="13"/>
        <v>37.700000000000003</v>
      </c>
      <c r="L121" s="8">
        <f t="shared" si="17"/>
        <v>2.0892961308540377E-6</v>
      </c>
      <c r="M121" s="26"/>
      <c r="N121" s="17"/>
      <c r="O121" s="9">
        <f t="shared" si="15"/>
        <v>27.3</v>
      </c>
      <c r="P121" s="8">
        <f>D116/B116*10^(O121/10)</f>
        <v>10561.625328614977</v>
      </c>
      <c r="Q121" s="26"/>
      <c r="R121" s="17"/>
      <c r="S121" s="20"/>
      <c r="T121" s="17"/>
      <c r="U121" s="23"/>
    </row>
    <row r="122" spans="1:21" x14ac:dyDescent="0.25">
      <c r="A122" s="24">
        <v>1000</v>
      </c>
      <c r="B122" s="24">
        <v>3</v>
      </c>
      <c r="C122" s="17">
        <v>0.5</v>
      </c>
      <c r="D122" s="24">
        <v>117</v>
      </c>
      <c r="E122" s="24">
        <v>6</v>
      </c>
      <c r="F122" s="25">
        <v>76</v>
      </c>
      <c r="G122" s="1">
        <v>875</v>
      </c>
      <c r="H122" s="2">
        <v>91.1</v>
      </c>
      <c r="I122" s="2">
        <v>36.5</v>
      </c>
      <c r="J122" s="2">
        <v>28.5</v>
      </c>
      <c r="K122" s="2">
        <f t="shared" si="13"/>
        <v>36.5</v>
      </c>
      <c r="L122" s="8">
        <f t="shared" si="17"/>
        <v>3.4673685045253181E-6</v>
      </c>
      <c r="M122" s="26">
        <f>SUM(L122:L127)</f>
        <v>5.8029795280029219E-6</v>
      </c>
      <c r="N122" s="17">
        <f>10*LOG10(M122/E122)</f>
        <v>-60.14500211938887</v>
      </c>
      <c r="O122" s="9">
        <f t="shared" si="15"/>
        <v>28.5</v>
      </c>
      <c r="P122" s="8">
        <f>D122/B122*10^(O122/10)</f>
        <v>27609.885590981412</v>
      </c>
      <c r="Q122" s="26">
        <f>SUM(P122:P127)</f>
        <v>231611.33307360267</v>
      </c>
      <c r="R122" s="17">
        <f>10*LOG10(Q122)</f>
        <v>53.647598062251269</v>
      </c>
      <c r="S122" s="18">
        <f>F122+N122-Kzt-H</f>
        <v>15.85499788061113</v>
      </c>
      <c r="T122" s="17">
        <v>0.8</v>
      </c>
      <c r="U122" s="21">
        <f>T122*10^((S122-R122)/10)</f>
        <v>1.329933632069699E-4</v>
      </c>
    </row>
    <row r="123" spans="1:21" x14ac:dyDescent="0.25">
      <c r="A123" s="24"/>
      <c r="B123" s="24"/>
      <c r="C123" s="17"/>
      <c r="D123" s="24"/>
      <c r="E123" s="24"/>
      <c r="F123" s="25"/>
      <c r="G123" s="1">
        <v>975</v>
      </c>
      <c r="H123" s="2">
        <v>96.5</v>
      </c>
      <c r="I123" s="2">
        <v>34.6</v>
      </c>
      <c r="J123" s="2">
        <v>29.8</v>
      </c>
      <c r="K123" s="2">
        <f t="shared" si="13"/>
        <v>34.6</v>
      </c>
      <c r="L123" s="8">
        <f t="shared" si="17"/>
        <v>6.4565422903465583E-7</v>
      </c>
      <c r="M123" s="26"/>
      <c r="N123" s="17"/>
      <c r="O123" s="9">
        <f t="shared" si="15"/>
        <v>29.8</v>
      </c>
      <c r="P123" s="8">
        <f>D122/B122*10^(O123/10)</f>
        <v>37244.710854836034</v>
      </c>
      <c r="Q123" s="26"/>
      <c r="R123" s="17"/>
      <c r="S123" s="19"/>
      <c r="T123" s="17"/>
      <c r="U123" s="22"/>
    </row>
    <row r="124" spans="1:21" x14ac:dyDescent="0.25">
      <c r="A124" s="24"/>
      <c r="B124" s="24"/>
      <c r="C124" s="17"/>
      <c r="D124" s="24"/>
      <c r="E124" s="24"/>
      <c r="F124" s="25"/>
      <c r="G124" s="1">
        <v>1075</v>
      </c>
      <c r="H124" s="2">
        <v>94.6</v>
      </c>
      <c r="I124" s="2">
        <v>33.200000000000003</v>
      </c>
      <c r="J124" s="2">
        <v>30.1</v>
      </c>
      <c r="K124" s="2">
        <f t="shared" si="13"/>
        <v>33.200000000000003</v>
      </c>
      <c r="L124" s="8">
        <f t="shared" si="17"/>
        <v>7.2443596007499143E-7</v>
      </c>
      <c r="M124" s="26"/>
      <c r="N124" s="17"/>
      <c r="O124" s="9">
        <f t="shared" si="15"/>
        <v>30.1</v>
      </c>
      <c r="P124" s="8">
        <f>D122/B122*10^(O124/10)</f>
        <v>39908.426698949464</v>
      </c>
      <c r="Q124" s="26"/>
      <c r="R124" s="17"/>
      <c r="S124" s="19"/>
      <c r="T124" s="17"/>
      <c r="U124" s="22"/>
    </row>
    <row r="125" spans="1:21" x14ac:dyDescent="0.25">
      <c r="A125" s="24"/>
      <c r="B125" s="24"/>
      <c r="C125" s="17"/>
      <c r="D125" s="24"/>
      <c r="E125" s="24"/>
      <c r="F125" s="25"/>
      <c r="G125" s="1">
        <v>1175</v>
      </c>
      <c r="H125" s="2">
        <v>97.8</v>
      </c>
      <c r="I125" s="2">
        <v>33.5</v>
      </c>
      <c r="J125" s="2">
        <v>30.2</v>
      </c>
      <c r="K125" s="2">
        <f t="shared" si="13"/>
        <v>33.5</v>
      </c>
      <c r="L125" s="8">
        <f t="shared" si="17"/>
        <v>3.7153522909717226E-7</v>
      </c>
      <c r="M125" s="26"/>
      <c r="N125" s="17"/>
      <c r="O125" s="9">
        <f t="shared" si="15"/>
        <v>30.2</v>
      </c>
      <c r="P125" s="8">
        <f>D122/B122*10^(O125/10)</f>
        <v>40838.013373985101</v>
      </c>
      <c r="Q125" s="26"/>
      <c r="R125" s="17"/>
      <c r="S125" s="19"/>
      <c r="T125" s="17"/>
      <c r="U125" s="22"/>
    </row>
    <row r="126" spans="1:21" x14ac:dyDescent="0.25">
      <c r="A126" s="24"/>
      <c r="B126" s="24"/>
      <c r="C126" s="17"/>
      <c r="D126" s="24"/>
      <c r="E126" s="24"/>
      <c r="F126" s="25"/>
      <c r="G126" s="1">
        <v>1275</v>
      </c>
      <c r="H126" s="2">
        <v>100.1</v>
      </c>
      <c r="I126" s="2">
        <v>35.9</v>
      </c>
      <c r="J126" s="2">
        <v>31.8</v>
      </c>
      <c r="K126" s="2">
        <f t="shared" si="13"/>
        <v>35.9</v>
      </c>
      <c r="L126" s="8">
        <f t="shared" si="17"/>
        <v>3.8018939632056152E-7</v>
      </c>
      <c r="M126" s="26"/>
      <c r="N126" s="17"/>
      <c r="O126" s="9">
        <f t="shared" si="15"/>
        <v>31.8</v>
      </c>
      <c r="P126" s="8">
        <f>D122/B122*10^(O126/10)</f>
        <v>59028.888689012165</v>
      </c>
      <c r="Q126" s="26"/>
      <c r="R126" s="17"/>
      <c r="S126" s="19"/>
      <c r="T126" s="17"/>
      <c r="U126" s="22"/>
    </row>
    <row r="127" spans="1:21" x14ac:dyDescent="0.25">
      <c r="A127" s="24"/>
      <c r="B127" s="24"/>
      <c r="C127" s="17"/>
      <c r="D127" s="24"/>
      <c r="E127" s="24"/>
      <c r="F127" s="25"/>
      <c r="G127" s="1">
        <v>1375</v>
      </c>
      <c r="H127" s="2">
        <v>103</v>
      </c>
      <c r="I127" s="2">
        <v>36.299999999999997</v>
      </c>
      <c r="J127" s="2">
        <v>28.4</v>
      </c>
      <c r="K127" s="2">
        <f t="shared" si="13"/>
        <v>36.299999999999997</v>
      </c>
      <c r="L127" s="8">
        <f t="shared" si="17"/>
        <v>2.1379620895022279E-7</v>
      </c>
      <c r="M127" s="26"/>
      <c r="N127" s="17"/>
      <c r="O127" s="9">
        <f t="shared" si="15"/>
        <v>28.4</v>
      </c>
      <c r="P127" s="8">
        <f>D122/B122*10^(O127/10)</f>
        <v>26981.407865838533</v>
      </c>
      <c r="Q127" s="26"/>
      <c r="R127" s="17"/>
      <c r="S127" s="20"/>
      <c r="T127" s="17"/>
      <c r="U127" s="23"/>
    </row>
    <row r="128" spans="1:21" x14ac:dyDescent="0.25">
      <c r="A128" s="24">
        <v>2000</v>
      </c>
      <c r="B128" s="24">
        <v>3</v>
      </c>
      <c r="C128" s="17">
        <v>0.5</v>
      </c>
      <c r="D128" s="24">
        <v>234</v>
      </c>
      <c r="E128" s="24">
        <v>6</v>
      </c>
      <c r="F128" s="25">
        <v>68</v>
      </c>
      <c r="G128" s="1">
        <v>1425</v>
      </c>
      <c r="H128" s="2">
        <v>102.8</v>
      </c>
      <c r="I128" s="2">
        <v>32.9</v>
      </c>
      <c r="J128" s="2">
        <v>32</v>
      </c>
      <c r="K128" s="2">
        <f t="shared" si="13"/>
        <v>32.9</v>
      </c>
      <c r="L128" s="8">
        <f t="shared" si="17"/>
        <v>1.0232929922807534E-7</v>
      </c>
      <c r="M128" s="26">
        <f>SUM(L128:L133)</f>
        <v>1.5296266142762822E-6</v>
      </c>
      <c r="N128" s="17">
        <f>10*LOG10(M128/E128)</f>
        <v>-65.935658190102117</v>
      </c>
      <c r="O128" s="9">
        <f t="shared" si="15"/>
        <v>32</v>
      </c>
      <c r="P128" s="8">
        <f>D128/B128*10^(O128/10)</f>
        <v>123621.66901196702</v>
      </c>
      <c r="Q128" s="26">
        <f>SUM(P128:P133)</f>
        <v>423390.80759141664</v>
      </c>
      <c r="R128" s="17">
        <f>10*LOG10(Q128)</f>
        <v>56.267414246430974</v>
      </c>
      <c r="S128" s="18">
        <f>F128+N128-Kzt-H</f>
        <v>2.0643418098978827</v>
      </c>
      <c r="T128" s="17">
        <v>1</v>
      </c>
      <c r="U128" s="21">
        <f>T128*10^((S128-R128)/10)</f>
        <v>3.7992052468042241E-6</v>
      </c>
    </row>
    <row r="129" spans="1:21" x14ac:dyDescent="0.25">
      <c r="A129" s="24"/>
      <c r="B129" s="24"/>
      <c r="C129" s="17"/>
      <c r="D129" s="24"/>
      <c r="E129" s="24"/>
      <c r="F129" s="25"/>
      <c r="G129" s="1">
        <v>1625</v>
      </c>
      <c r="H129" s="2">
        <v>104.1</v>
      </c>
      <c r="I129" s="2">
        <v>37.299999999999997</v>
      </c>
      <c r="J129" s="2">
        <v>30.1</v>
      </c>
      <c r="K129" s="2">
        <f t="shared" si="13"/>
        <v>37.299999999999997</v>
      </c>
      <c r="L129" s="8">
        <f t="shared" si="17"/>
        <v>2.089296130854039E-7</v>
      </c>
      <c r="M129" s="26"/>
      <c r="N129" s="17"/>
      <c r="O129" s="9">
        <f t="shared" si="15"/>
        <v>30.1</v>
      </c>
      <c r="P129" s="8">
        <f>D128/B128*10^(O129/10)</f>
        <v>79816.853397898929</v>
      </c>
      <c r="Q129" s="26"/>
      <c r="R129" s="17"/>
      <c r="S129" s="19"/>
      <c r="T129" s="17"/>
      <c r="U129" s="22"/>
    </row>
    <row r="130" spans="1:21" x14ac:dyDescent="0.25">
      <c r="A130" s="24"/>
      <c r="B130" s="24"/>
      <c r="C130" s="17"/>
      <c r="D130" s="24"/>
      <c r="E130" s="24"/>
      <c r="F130" s="25"/>
      <c r="G130" s="1">
        <v>1825</v>
      </c>
      <c r="H130" s="2">
        <v>107.6</v>
      </c>
      <c r="I130" s="2">
        <v>33.4</v>
      </c>
      <c r="J130" s="2">
        <v>28.3</v>
      </c>
      <c r="K130" s="2">
        <f t="shared" si="13"/>
        <v>33.4</v>
      </c>
      <c r="L130" s="8">
        <f t="shared" si="17"/>
        <v>3.8018939632056113E-8</v>
      </c>
      <c r="M130" s="26"/>
      <c r="N130" s="17"/>
      <c r="O130" s="9">
        <f t="shared" si="15"/>
        <v>28.3</v>
      </c>
      <c r="P130" s="8">
        <f>D128/B128*10^(O130/10)</f>
        <v>52734.472080574604</v>
      </c>
      <c r="Q130" s="26"/>
      <c r="R130" s="17"/>
      <c r="S130" s="19"/>
      <c r="T130" s="17"/>
      <c r="U130" s="22"/>
    </row>
    <row r="131" spans="1:21" x14ac:dyDescent="0.25">
      <c r="A131" s="24"/>
      <c r="B131" s="24"/>
      <c r="C131" s="17"/>
      <c r="D131" s="24"/>
      <c r="E131" s="24"/>
      <c r="F131" s="25"/>
      <c r="G131" s="1">
        <v>2125</v>
      </c>
      <c r="H131" s="2">
        <v>104.2</v>
      </c>
      <c r="I131" s="2">
        <v>34.299999999999997</v>
      </c>
      <c r="J131" s="2">
        <v>28.3</v>
      </c>
      <c r="K131" s="2">
        <f t="shared" si="13"/>
        <v>34.299999999999997</v>
      </c>
      <c r="L131" s="8">
        <f t="shared" si="17"/>
        <v>1.0232929922807534E-7</v>
      </c>
      <c r="M131" s="26"/>
      <c r="N131" s="17"/>
      <c r="O131" s="9">
        <f t="shared" si="15"/>
        <v>28.3</v>
      </c>
      <c r="P131" s="8">
        <f>D128/B128*10^(O131/10)</f>
        <v>52734.472080574604</v>
      </c>
      <c r="Q131" s="26"/>
      <c r="R131" s="17"/>
      <c r="S131" s="19"/>
      <c r="T131" s="17"/>
      <c r="U131" s="22"/>
    </row>
    <row r="132" spans="1:21" x14ac:dyDescent="0.25">
      <c r="A132" s="24"/>
      <c r="B132" s="24"/>
      <c r="C132" s="17"/>
      <c r="D132" s="24"/>
      <c r="E132" s="24"/>
      <c r="F132" s="25"/>
      <c r="G132" s="1">
        <v>2425</v>
      </c>
      <c r="H132" s="2">
        <v>93.7</v>
      </c>
      <c r="I132" s="2">
        <v>33.5</v>
      </c>
      <c r="J132" s="2">
        <v>26.7</v>
      </c>
      <c r="K132" s="2">
        <f t="shared" si="13"/>
        <v>33.5</v>
      </c>
      <c r="L132" s="8">
        <f t="shared" si="17"/>
        <v>9.5499258602143328E-7</v>
      </c>
      <c r="M132" s="26"/>
      <c r="N132" s="17"/>
      <c r="O132" s="9">
        <f t="shared" si="15"/>
        <v>26.7</v>
      </c>
      <c r="P132" s="8">
        <f>D128/B128*10^(O132/10)</f>
        <v>36483.341020401465</v>
      </c>
      <c r="Q132" s="26"/>
      <c r="R132" s="17"/>
      <c r="S132" s="19"/>
      <c r="T132" s="17"/>
      <c r="U132" s="22"/>
    </row>
    <row r="133" spans="1:21" x14ac:dyDescent="0.25">
      <c r="A133" s="24"/>
      <c r="B133" s="24"/>
      <c r="C133" s="17"/>
      <c r="D133" s="24"/>
      <c r="E133" s="24"/>
      <c r="F133" s="25"/>
      <c r="G133" s="1">
        <v>2775</v>
      </c>
      <c r="H133" s="2">
        <v>100.2</v>
      </c>
      <c r="I133" s="2">
        <v>31.1</v>
      </c>
      <c r="J133" s="2">
        <v>30</v>
      </c>
      <c r="K133" s="2">
        <f t="shared" si="13"/>
        <v>31.1</v>
      </c>
      <c r="L133" s="8">
        <f t="shared" si="17"/>
        <v>1.2302687708123817E-7</v>
      </c>
      <c r="M133" s="26"/>
      <c r="N133" s="17"/>
      <c r="O133" s="9">
        <f t="shared" si="15"/>
        <v>30</v>
      </c>
      <c r="P133" s="8">
        <f>D128/B128*10^(O133/10)</f>
        <v>78000</v>
      </c>
      <c r="Q133" s="26"/>
      <c r="R133" s="17"/>
      <c r="S133" s="20"/>
      <c r="T133" s="17"/>
      <c r="U133" s="23"/>
    </row>
    <row r="134" spans="1:21" x14ac:dyDescent="0.25">
      <c r="A134" s="24">
        <v>4000</v>
      </c>
      <c r="B134" s="24">
        <v>3</v>
      </c>
      <c r="C134" s="17">
        <v>0.5</v>
      </c>
      <c r="D134" s="24">
        <v>470</v>
      </c>
      <c r="E134" s="24">
        <v>6</v>
      </c>
      <c r="F134" s="25">
        <v>62</v>
      </c>
      <c r="G134" s="1">
        <v>2825</v>
      </c>
      <c r="H134" s="2">
        <v>99.4</v>
      </c>
      <c r="I134" s="2">
        <v>33</v>
      </c>
      <c r="J134" s="2">
        <v>24.2</v>
      </c>
      <c r="K134" s="2">
        <f t="shared" si="13"/>
        <v>33</v>
      </c>
      <c r="L134" s="8">
        <f t="shared" si="17"/>
        <v>2.2908676527677676E-7</v>
      </c>
      <c r="M134" s="26">
        <f>SUM(L134:L139)</f>
        <v>5.6991156439206048E-7</v>
      </c>
      <c r="N134" s="17">
        <f>10*LOG10(M134/E134)</f>
        <v>-70.223437808098794</v>
      </c>
      <c r="O134" s="9">
        <f t="shared" si="15"/>
        <v>24.2</v>
      </c>
      <c r="P134" s="8">
        <f>D134/B134*10^(O134/10)</f>
        <v>41207.531873027641</v>
      </c>
      <c r="Q134" s="26">
        <f>SUM(P134:P139)</f>
        <v>272401.43645925837</v>
      </c>
      <c r="R134" s="17">
        <f>10*LOG10(Q134)</f>
        <v>54.352093934194713</v>
      </c>
      <c r="S134" s="18">
        <f>F134+N134-Kzt-H</f>
        <v>-8.2234378080987938</v>
      </c>
      <c r="T134" s="17">
        <v>0.9</v>
      </c>
      <c r="U134" s="21">
        <f>T134*10^((S134-R134)/10)</f>
        <v>4.973811649731883E-7</v>
      </c>
    </row>
    <row r="135" spans="1:21" x14ac:dyDescent="0.25">
      <c r="A135" s="24"/>
      <c r="B135" s="24"/>
      <c r="C135" s="17"/>
      <c r="D135" s="24"/>
      <c r="E135" s="24"/>
      <c r="F135" s="25"/>
      <c r="G135" s="1">
        <v>3425</v>
      </c>
      <c r="H135" s="2">
        <v>103.5</v>
      </c>
      <c r="I135" s="2">
        <v>29.7</v>
      </c>
      <c r="J135" s="2">
        <v>25.5</v>
      </c>
      <c r="K135" s="2">
        <f t="shared" si="13"/>
        <v>29.7</v>
      </c>
      <c r="L135" s="8">
        <f t="shared" si="17"/>
        <v>4.1686938347033516E-8</v>
      </c>
      <c r="M135" s="26"/>
      <c r="N135" s="17"/>
      <c r="O135" s="9">
        <f t="shared" si="15"/>
        <v>25.5</v>
      </c>
      <c r="P135" s="8">
        <f>D134/B134*10^(O135/10)</f>
        <v>55587.430979926852</v>
      </c>
      <c r="Q135" s="26"/>
      <c r="R135" s="17"/>
      <c r="S135" s="19"/>
      <c r="T135" s="17"/>
      <c r="U135" s="22"/>
    </row>
    <row r="136" spans="1:21" x14ac:dyDescent="0.25">
      <c r="A136" s="24"/>
      <c r="B136" s="24"/>
      <c r="C136" s="17"/>
      <c r="D136" s="24"/>
      <c r="E136" s="24"/>
      <c r="F136" s="25"/>
      <c r="G136" s="1">
        <v>4025</v>
      </c>
      <c r="H136" s="2">
        <v>103.6</v>
      </c>
      <c r="I136" s="2">
        <v>30.8</v>
      </c>
      <c r="J136" s="2">
        <v>25.7</v>
      </c>
      <c r="K136" s="2">
        <f t="shared" si="13"/>
        <v>30.8</v>
      </c>
      <c r="L136" s="8">
        <f t="shared" si="17"/>
        <v>5.2480746024977185E-8</v>
      </c>
      <c r="M136" s="26"/>
      <c r="N136" s="17"/>
      <c r="O136" s="9">
        <f t="shared" si="15"/>
        <v>25.7</v>
      </c>
      <c r="P136" s="8">
        <f>D134/B134*10^(O136/10)</f>
        <v>58207.185891890374</v>
      </c>
      <c r="Q136" s="26"/>
      <c r="R136" s="17"/>
      <c r="S136" s="19"/>
      <c r="T136" s="17"/>
      <c r="U136" s="22"/>
    </row>
    <row r="137" spans="1:21" x14ac:dyDescent="0.25">
      <c r="A137" s="24"/>
      <c r="B137" s="24"/>
      <c r="C137" s="17"/>
      <c r="D137" s="24"/>
      <c r="E137" s="24"/>
      <c r="F137" s="25"/>
      <c r="G137" s="1">
        <v>4625</v>
      </c>
      <c r="H137" s="2">
        <v>105.6</v>
      </c>
      <c r="I137" s="2">
        <v>29.8</v>
      </c>
      <c r="J137" s="2">
        <v>24.5</v>
      </c>
      <c r="K137" s="2">
        <f t="shared" si="13"/>
        <v>29.8</v>
      </c>
      <c r="L137" s="8">
        <f t="shared" si="17"/>
        <v>2.6302679918953758E-8</v>
      </c>
      <c r="M137" s="26"/>
      <c r="N137" s="17"/>
      <c r="O137" s="9">
        <f t="shared" si="15"/>
        <v>24.5</v>
      </c>
      <c r="P137" s="8">
        <f>D134/B134*10^(O137/10)</f>
        <v>44154.665923143133</v>
      </c>
      <c r="Q137" s="26"/>
      <c r="R137" s="17"/>
      <c r="S137" s="19"/>
      <c r="T137" s="17"/>
      <c r="U137" s="22"/>
    </row>
    <row r="138" spans="1:21" x14ac:dyDescent="0.25">
      <c r="A138" s="24"/>
      <c r="B138" s="24"/>
      <c r="C138" s="17"/>
      <c r="D138" s="24"/>
      <c r="E138" s="24"/>
      <c r="F138" s="25"/>
      <c r="G138" s="1">
        <v>5225</v>
      </c>
      <c r="H138" s="2">
        <v>103.5</v>
      </c>
      <c r="I138" s="2">
        <v>32.1</v>
      </c>
      <c r="J138" s="2">
        <v>24.9</v>
      </c>
      <c r="K138" s="2">
        <f t="shared" si="13"/>
        <v>32.1</v>
      </c>
      <c r="L138" s="8">
        <f t="shared" si="17"/>
        <v>7.2443596007498796E-8</v>
      </c>
      <c r="M138" s="26"/>
      <c r="N138" s="17"/>
      <c r="O138" s="9">
        <f t="shared" si="15"/>
        <v>24.9</v>
      </c>
      <c r="P138" s="8">
        <f>D134/B134*10^(O138/10)</f>
        <v>48414.628442712921</v>
      </c>
      <c r="Q138" s="26"/>
      <c r="R138" s="17"/>
      <c r="S138" s="19"/>
      <c r="T138" s="17"/>
      <c r="U138" s="22"/>
    </row>
    <row r="139" spans="1:21" x14ac:dyDescent="0.25">
      <c r="A139" s="24"/>
      <c r="B139" s="24"/>
      <c r="C139" s="17"/>
      <c r="D139" s="24"/>
      <c r="E139" s="24"/>
      <c r="F139" s="25"/>
      <c r="G139" s="1">
        <v>5625</v>
      </c>
      <c r="H139" s="2">
        <v>99.5</v>
      </c>
      <c r="I139" s="2">
        <v>31.2</v>
      </c>
      <c r="J139" s="2">
        <v>22</v>
      </c>
      <c r="K139" s="2">
        <f t="shared" si="13"/>
        <v>31.2</v>
      </c>
      <c r="L139" s="8">
        <f t="shared" si="17"/>
        <v>1.479108388168204E-7</v>
      </c>
      <c r="M139" s="26"/>
      <c r="N139" s="17"/>
      <c r="O139" s="9">
        <f t="shared" si="15"/>
        <v>22</v>
      </c>
      <c r="P139" s="8">
        <f>D134/B134*10^(O139/10)</f>
        <v>24829.993348557473</v>
      </c>
      <c r="Q139" s="26"/>
      <c r="R139" s="17"/>
      <c r="S139" s="20"/>
      <c r="T139" s="17"/>
      <c r="U139" s="23"/>
    </row>
    <row r="140" spans="1:21" x14ac:dyDescent="0.25">
      <c r="A140" s="24">
        <v>8000</v>
      </c>
      <c r="B140" s="24">
        <v>3</v>
      </c>
      <c r="C140" s="17">
        <v>0.5</v>
      </c>
      <c r="D140" s="24">
        <v>943</v>
      </c>
      <c r="E140" s="24">
        <v>6</v>
      </c>
      <c r="F140" s="25">
        <v>54</v>
      </c>
      <c r="G140" s="1">
        <v>6025</v>
      </c>
      <c r="H140" s="2">
        <v>95</v>
      </c>
      <c r="I140" s="2">
        <v>27.8</v>
      </c>
      <c r="J140" s="2">
        <v>26.6</v>
      </c>
      <c r="K140" s="2">
        <f t="shared" si="13"/>
        <v>27.8</v>
      </c>
      <c r="L140" s="8">
        <f t="shared" si="17"/>
        <v>1.9054607179632409E-7</v>
      </c>
      <c r="M140" s="26">
        <f>SUM(L140:L145)</f>
        <v>4.2850278169711645E-6</v>
      </c>
      <c r="N140" s="17">
        <f>10*LOG10(M140/E140)</f>
        <v>-61.461976048203731</v>
      </c>
      <c r="O140" s="9">
        <f t="shared" si="15"/>
        <v>26.6</v>
      </c>
      <c r="P140" s="8">
        <f>D140/B140*10^(O140/10)</f>
        <v>143678.05426894256</v>
      </c>
      <c r="Q140" s="26">
        <f>SUM(P140:P145)</f>
        <v>674036.44489265559</v>
      </c>
      <c r="R140" s="17">
        <f>10*LOG10(Q140)</f>
        <v>58.286833793066315</v>
      </c>
      <c r="S140" s="18">
        <f>F140+N140-Kzt-H</f>
        <v>-7.4619760482037307</v>
      </c>
      <c r="T140" s="17">
        <v>0.7</v>
      </c>
      <c r="U140" s="21">
        <f>T140*10^((S140-R140)/10)</f>
        <v>1.8630180211456284E-7</v>
      </c>
    </row>
    <row r="141" spans="1:21" x14ac:dyDescent="0.25">
      <c r="A141" s="24"/>
      <c r="B141" s="24"/>
      <c r="C141" s="17"/>
      <c r="D141" s="24"/>
      <c r="E141" s="24"/>
      <c r="F141" s="25"/>
      <c r="G141" s="1">
        <v>7025</v>
      </c>
      <c r="H141" s="2">
        <v>94.8</v>
      </c>
      <c r="I141" s="2">
        <v>28</v>
      </c>
      <c r="J141" s="2">
        <v>24.2</v>
      </c>
      <c r="K141" s="2">
        <f t="shared" si="13"/>
        <v>28</v>
      </c>
      <c r="L141" s="8">
        <f t="shared" si="17"/>
        <v>2.089296130854039E-7</v>
      </c>
      <c r="M141" s="26"/>
      <c r="N141" s="17"/>
      <c r="O141" s="9">
        <f t="shared" si="15"/>
        <v>24.2</v>
      </c>
      <c r="P141" s="8">
        <f>D140/B140*10^(O141/10)</f>
        <v>82678.090545244821</v>
      </c>
      <c r="Q141" s="26"/>
      <c r="R141" s="17"/>
      <c r="S141" s="19"/>
      <c r="T141" s="17"/>
      <c r="U141" s="22"/>
    </row>
    <row r="142" spans="1:21" x14ac:dyDescent="0.25">
      <c r="A142" s="24"/>
      <c r="B142" s="24"/>
      <c r="C142" s="17"/>
      <c r="D142" s="24"/>
      <c r="E142" s="24"/>
      <c r="F142" s="25"/>
      <c r="G142" s="1">
        <v>8025</v>
      </c>
      <c r="H142" s="2">
        <v>101.9</v>
      </c>
      <c r="I142" s="2">
        <v>31.1</v>
      </c>
      <c r="J142" s="2">
        <v>22.7</v>
      </c>
      <c r="K142" s="2">
        <f t="shared" si="13"/>
        <v>31.1</v>
      </c>
      <c r="L142" s="8">
        <f t="shared" si="17"/>
        <v>8.3176377110266823E-8</v>
      </c>
      <c r="M142" s="26"/>
      <c r="N142" s="17"/>
      <c r="O142" s="9">
        <f t="shared" si="15"/>
        <v>22.7</v>
      </c>
      <c r="P142" s="8">
        <f>D140/B140*10^(O142/10)</f>
        <v>58531.605662436166</v>
      </c>
      <c r="Q142" s="26"/>
      <c r="R142" s="17"/>
      <c r="S142" s="19"/>
      <c r="T142" s="17"/>
      <c r="U142" s="22"/>
    </row>
    <row r="143" spans="1:21" x14ac:dyDescent="0.25">
      <c r="A143" s="24"/>
      <c r="B143" s="24"/>
      <c r="C143" s="17"/>
      <c r="D143" s="24"/>
      <c r="E143" s="24"/>
      <c r="F143" s="25"/>
      <c r="G143" s="1">
        <v>9025</v>
      </c>
      <c r="H143" s="2">
        <v>93.2</v>
      </c>
      <c r="I143" s="2">
        <v>27.2</v>
      </c>
      <c r="J143" s="2">
        <v>26.4</v>
      </c>
      <c r="K143" s="2">
        <f t="shared" si="13"/>
        <v>27.2</v>
      </c>
      <c r="L143" s="8">
        <f t="shared" si="17"/>
        <v>2.511886431509578E-7</v>
      </c>
      <c r="M143" s="26"/>
      <c r="N143" s="17"/>
      <c r="O143" s="9">
        <f t="shared" si="15"/>
        <v>26.4</v>
      </c>
      <c r="P143" s="8">
        <f>D140/B140*10^(O143/10)</f>
        <v>137211.47660082544</v>
      </c>
      <c r="Q143" s="26"/>
      <c r="R143" s="17"/>
      <c r="S143" s="19"/>
      <c r="T143" s="17"/>
      <c r="U143" s="22"/>
    </row>
    <row r="144" spans="1:21" x14ac:dyDescent="0.25">
      <c r="A144" s="24"/>
      <c r="B144" s="24"/>
      <c r="C144" s="17"/>
      <c r="D144" s="24"/>
      <c r="E144" s="24"/>
      <c r="F144" s="25"/>
      <c r="G144" s="1">
        <v>10025</v>
      </c>
      <c r="H144" s="2">
        <v>88.3</v>
      </c>
      <c r="I144" s="2">
        <v>28.7</v>
      </c>
      <c r="J144" s="2">
        <v>25.5</v>
      </c>
      <c r="K144" s="2">
        <f t="shared" si="13"/>
        <v>28.7</v>
      </c>
      <c r="L144" s="8">
        <f t="shared" si="17"/>
        <v>1.0964781961431851E-6</v>
      </c>
      <c r="M144" s="26"/>
      <c r="N144" s="17"/>
      <c r="O144" s="9">
        <f t="shared" si="15"/>
        <v>25.5</v>
      </c>
      <c r="P144" s="8">
        <f>D140/B140*10^(O144/10)</f>
        <v>111529.67534908728</v>
      </c>
      <c r="Q144" s="26"/>
      <c r="R144" s="17"/>
      <c r="S144" s="19"/>
      <c r="T144" s="17"/>
      <c r="U144" s="22"/>
    </row>
    <row r="145" spans="1:21" x14ac:dyDescent="0.25">
      <c r="A145" s="24"/>
      <c r="B145" s="24"/>
      <c r="C145" s="17"/>
      <c r="D145" s="24"/>
      <c r="E145" s="24"/>
      <c r="F145" s="25"/>
      <c r="G145" s="1">
        <v>11025</v>
      </c>
      <c r="H145" s="2">
        <v>86</v>
      </c>
      <c r="I145" s="2">
        <v>29.9</v>
      </c>
      <c r="J145" s="2">
        <v>26.5</v>
      </c>
      <c r="K145" s="2">
        <f t="shared" si="13"/>
        <v>29.9</v>
      </c>
      <c r="L145" s="8">
        <f t="shared" si="17"/>
        <v>2.4547089156850267E-6</v>
      </c>
      <c r="M145" s="26"/>
      <c r="N145" s="17"/>
      <c r="O145" s="9">
        <f t="shared" si="15"/>
        <v>26.5</v>
      </c>
      <c r="P145" s="8">
        <f>D140/B140*10^(O145/10)</f>
        <v>140407.54246611946</v>
      </c>
      <c r="Q145" s="26"/>
      <c r="R145" s="17"/>
      <c r="S145" s="20"/>
      <c r="T145" s="17"/>
      <c r="U145" s="23"/>
    </row>
    <row r="146" spans="1:21" x14ac:dyDescent="0.25">
      <c r="A146" s="24" t="s">
        <v>20</v>
      </c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12">
        <f>U146</f>
        <v>5.6720787391514441E-2</v>
      </c>
      <c r="T146" s="2"/>
      <c r="U146" s="8">
        <f>0.8*SQRT(SUM(U112:U145))</f>
        <v>5.6720787391514441E-2</v>
      </c>
    </row>
    <row r="147" spans="1:21" x14ac:dyDescent="0.25">
      <c r="A147" s="27" t="s">
        <v>116</v>
      </c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9"/>
    </row>
    <row r="148" spans="1:21" x14ac:dyDescent="0.25">
      <c r="A148" s="24">
        <v>250</v>
      </c>
      <c r="B148" s="24">
        <v>3</v>
      </c>
      <c r="C148" s="17">
        <v>0.5</v>
      </c>
      <c r="D148" s="24">
        <v>38</v>
      </c>
      <c r="E148" s="24">
        <v>4</v>
      </c>
      <c r="F148" s="25">
        <v>84</v>
      </c>
      <c r="G148" s="1">
        <v>175</v>
      </c>
      <c r="H148" s="2">
        <v>84.8</v>
      </c>
      <c r="I148" s="2">
        <v>36</v>
      </c>
      <c r="J148" s="2">
        <v>32</v>
      </c>
      <c r="K148" s="2">
        <f>I148</f>
        <v>36</v>
      </c>
      <c r="L148" s="8">
        <f>10^((K148-H148)/10)</f>
        <v>1.3182567385564052E-5</v>
      </c>
      <c r="M148" s="26">
        <f>SUM(L148:L151)</f>
        <v>2.9459455921706408E-5</v>
      </c>
      <c r="N148" s="17">
        <f>10*LOG10(M148/E148)</f>
        <v>-51.328352696082682</v>
      </c>
      <c r="O148" s="9">
        <f>J148</f>
        <v>32</v>
      </c>
      <c r="P148" s="8">
        <f>D148/B148*10^(O148/10)</f>
        <v>20075.313771174129</v>
      </c>
      <c r="Q148" s="26">
        <f>SUM(P148:P151)</f>
        <v>153531.92683973117</v>
      </c>
      <c r="R148" s="17">
        <f>10*LOG10(Q148)</f>
        <v>51.861987003900431</v>
      </c>
      <c r="S148" s="18">
        <f>F148+N148-Kzt-H</f>
        <v>32.671647303917318</v>
      </c>
      <c r="T148" s="17">
        <v>0.2</v>
      </c>
      <c r="U148" s="21">
        <f>T148*10^((S148-R148)/10)</f>
        <v>2.4098833751573599E-3</v>
      </c>
    </row>
    <row r="149" spans="1:21" x14ac:dyDescent="0.25">
      <c r="A149" s="24"/>
      <c r="B149" s="24"/>
      <c r="C149" s="17"/>
      <c r="D149" s="24"/>
      <c r="E149" s="24"/>
      <c r="F149" s="25"/>
      <c r="G149" s="1">
        <v>225</v>
      </c>
      <c r="H149" s="2">
        <v>90</v>
      </c>
      <c r="I149" s="2">
        <v>39.9</v>
      </c>
      <c r="J149" s="2">
        <v>34.6</v>
      </c>
      <c r="K149" s="2">
        <f t="shared" ref="K149:K181" si="18">I149</f>
        <v>39.9</v>
      </c>
      <c r="L149" s="8">
        <f t="shared" ref="L149:L150" si="19">10^((K149-H149)/10)</f>
        <v>9.7723722095581059E-6</v>
      </c>
      <c r="M149" s="26"/>
      <c r="N149" s="17"/>
      <c r="O149" s="9">
        <f t="shared" ref="O149:O181" si="20">J149</f>
        <v>34.6</v>
      </c>
      <c r="P149" s="8">
        <f>D148/B148*10^(O149/10)</f>
        <v>36531.065706270361</v>
      </c>
      <c r="Q149" s="26"/>
      <c r="R149" s="17"/>
      <c r="S149" s="19"/>
      <c r="T149" s="17"/>
      <c r="U149" s="22"/>
    </row>
    <row r="150" spans="1:21" x14ac:dyDescent="0.25">
      <c r="A150" s="24"/>
      <c r="B150" s="24"/>
      <c r="C150" s="17"/>
      <c r="D150" s="24"/>
      <c r="E150" s="24"/>
      <c r="F150" s="25"/>
      <c r="G150" s="1">
        <v>275</v>
      </c>
      <c r="H150" s="2">
        <v>92.2</v>
      </c>
      <c r="I150" s="2">
        <v>38.5</v>
      </c>
      <c r="J150" s="2">
        <v>36.9</v>
      </c>
      <c r="K150" s="2">
        <f t="shared" si="18"/>
        <v>38.5</v>
      </c>
      <c r="L150" s="8">
        <f t="shared" si="19"/>
        <v>4.2657951880159181E-6</v>
      </c>
      <c r="M150" s="26"/>
      <c r="N150" s="17"/>
      <c r="O150" s="9">
        <f t="shared" si="20"/>
        <v>36.9</v>
      </c>
      <c r="P150" s="8">
        <f>D148/B148*10^(O150/10)</f>
        <v>62038.65045333653</v>
      </c>
      <c r="Q150" s="26"/>
      <c r="R150" s="17"/>
      <c r="S150" s="19"/>
      <c r="T150" s="17"/>
      <c r="U150" s="22"/>
    </row>
    <row r="151" spans="1:21" x14ac:dyDescent="0.25">
      <c r="A151" s="24"/>
      <c r="B151" s="24"/>
      <c r="C151" s="17"/>
      <c r="D151" s="24"/>
      <c r="E151" s="24"/>
      <c r="F151" s="25"/>
      <c r="G151" s="1">
        <v>325</v>
      </c>
      <c r="H151" s="2">
        <v>93.3</v>
      </c>
      <c r="I151" s="2">
        <v>36.799999999999997</v>
      </c>
      <c r="J151" s="2">
        <v>34.4</v>
      </c>
      <c r="K151" s="2">
        <f t="shared" si="18"/>
        <v>36.799999999999997</v>
      </c>
      <c r="L151" s="8">
        <f>10^((K151-H151)/10)</f>
        <v>2.2387211385683329E-6</v>
      </c>
      <c r="M151" s="26"/>
      <c r="N151" s="17"/>
      <c r="O151" s="9">
        <f t="shared" si="20"/>
        <v>34.4</v>
      </c>
      <c r="P151" s="8">
        <f>D148/B148*10^(O151/10)</f>
        <v>34886.896908950141</v>
      </c>
      <c r="Q151" s="26"/>
      <c r="R151" s="17"/>
      <c r="S151" s="20"/>
      <c r="T151" s="17"/>
      <c r="U151" s="23"/>
    </row>
    <row r="152" spans="1:21" x14ac:dyDescent="0.25">
      <c r="A152" s="24">
        <v>500</v>
      </c>
      <c r="B152" s="24">
        <v>3</v>
      </c>
      <c r="C152" s="17">
        <v>0.5</v>
      </c>
      <c r="D152" s="24">
        <v>59</v>
      </c>
      <c r="E152" s="24">
        <v>6</v>
      </c>
      <c r="F152" s="25">
        <v>84</v>
      </c>
      <c r="G152" s="1">
        <v>375</v>
      </c>
      <c r="H152" s="2">
        <v>91.9</v>
      </c>
      <c r="I152" s="2">
        <v>38.9</v>
      </c>
      <c r="J152" s="2">
        <v>33</v>
      </c>
      <c r="K152" s="2">
        <f t="shared" si="18"/>
        <v>38.9</v>
      </c>
      <c r="L152" s="8">
        <f t="shared" ref="L152:L153" si="21">10^((K152-H152)/10)</f>
        <v>5.0118723362727089E-6</v>
      </c>
      <c r="M152" s="26">
        <f>SUM(L152:L157)</f>
        <v>2.8975038314370404E-5</v>
      </c>
      <c r="N152" s="17">
        <f>10*LOG10(M152/E152)</f>
        <v>-53.161272314698856</v>
      </c>
      <c r="O152" s="9">
        <f t="shared" si="20"/>
        <v>33</v>
      </c>
      <c r="P152" s="8">
        <f>D152/B152*10^(O152/10)</f>
        <v>39240.158861054653</v>
      </c>
      <c r="Q152" s="26">
        <f>SUM(P152:P157)</f>
        <v>237290.8077232108</v>
      </c>
      <c r="R152" s="17">
        <f>10*LOG10(Q152)</f>
        <v>53.752809146505058</v>
      </c>
      <c r="S152" s="18">
        <f>F152+N152-Kzt-H</f>
        <v>30.838727685301144</v>
      </c>
      <c r="T152" s="17">
        <v>0.5</v>
      </c>
      <c r="U152" s="21">
        <f>T152*10^((S152-R152)/10)</f>
        <v>2.556005936789672E-3</v>
      </c>
    </row>
    <row r="153" spans="1:21" x14ac:dyDescent="0.25">
      <c r="A153" s="24"/>
      <c r="B153" s="24"/>
      <c r="C153" s="17"/>
      <c r="D153" s="24"/>
      <c r="E153" s="24"/>
      <c r="F153" s="25"/>
      <c r="G153" s="1">
        <v>425</v>
      </c>
      <c r="H153" s="2">
        <v>88.1</v>
      </c>
      <c r="I153" s="2">
        <v>38.9</v>
      </c>
      <c r="J153" s="2">
        <v>28.9</v>
      </c>
      <c r="K153" s="2">
        <f t="shared" si="18"/>
        <v>38.9</v>
      </c>
      <c r="L153" s="8">
        <f t="shared" si="21"/>
        <v>1.2022644346174118E-5</v>
      </c>
      <c r="M153" s="26"/>
      <c r="N153" s="17"/>
      <c r="O153" s="9">
        <f t="shared" si="20"/>
        <v>28.9</v>
      </c>
      <c r="P153" s="8">
        <f>D152/B152*10^(O153/10)</f>
        <v>15266.193293697603</v>
      </c>
      <c r="Q153" s="26"/>
      <c r="R153" s="17"/>
      <c r="S153" s="19"/>
      <c r="T153" s="17"/>
      <c r="U153" s="22"/>
    </row>
    <row r="154" spans="1:21" x14ac:dyDescent="0.25">
      <c r="A154" s="24"/>
      <c r="B154" s="24"/>
      <c r="C154" s="17"/>
      <c r="D154" s="24"/>
      <c r="E154" s="24"/>
      <c r="F154" s="25"/>
      <c r="G154" s="1">
        <v>475</v>
      </c>
      <c r="H154" s="2">
        <v>90</v>
      </c>
      <c r="I154" s="2">
        <v>36.1</v>
      </c>
      <c r="J154" s="2">
        <v>33.200000000000003</v>
      </c>
      <c r="K154" s="2">
        <f t="shared" si="18"/>
        <v>36.1</v>
      </c>
      <c r="L154" s="8">
        <f>10^((K154-H154)/10)</f>
        <v>4.0738027780411272E-6</v>
      </c>
      <c r="M154" s="26"/>
      <c r="N154" s="17"/>
      <c r="O154" s="9">
        <f t="shared" si="20"/>
        <v>33.200000000000003</v>
      </c>
      <c r="P154" s="8">
        <f>D152/B152*10^(O154/10)</f>
        <v>41089.490573462826</v>
      </c>
      <c r="Q154" s="26"/>
      <c r="R154" s="17"/>
      <c r="S154" s="19"/>
      <c r="T154" s="17"/>
      <c r="U154" s="22"/>
    </row>
    <row r="155" spans="1:21" x14ac:dyDescent="0.25">
      <c r="A155" s="24"/>
      <c r="B155" s="24"/>
      <c r="C155" s="17"/>
      <c r="D155" s="24"/>
      <c r="E155" s="24"/>
      <c r="F155" s="25"/>
      <c r="G155" s="1">
        <v>575</v>
      </c>
      <c r="H155" s="2">
        <v>97</v>
      </c>
      <c r="I155" s="2">
        <v>35.1</v>
      </c>
      <c r="J155" s="2">
        <v>30.4</v>
      </c>
      <c r="K155" s="2">
        <f t="shared" si="18"/>
        <v>35.1</v>
      </c>
      <c r="L155" s="8">
        <f t="shared" ref="L155:L181" si="22">10^((K155-H155)/10)</f>
        <v>6.4565422903465583E-7</v>
      </c>
      <c r="M155" s="26"/>
      <c r="N155" s="17"/>
      <c r="O155" s="9">
        <f t="shared" si="20"/>
        <v>30.4</v>
      </c>
      <c r="P155" s="8">
        <f>D152/B152*10^(O155/10)</f>
        <v>21564.071190815997</v>
      </c>
      <c r="Q155" s="26"/>
      <c r="R155" s="17"/>
      <c r="S155" s="19"/>
      <c r="T155" s="17"/>
      <c r="U155" s="22"/>
    </row>
    <row r="156" spans="1:21" x14ac:dyDescent="0.25">
      <c r="A156" s="24"/>
      <c r="B156" s="24"/>
      <c r="C156" s="17"/>
      <c r="D156" s="24"/>
      <c r="E156" s="24"/>
      <c r="F156" s="25"/>
      <c r="G156" s="1">
        <v>625</v>
      </c>
      <c r="H156" s="2">
        <v>92</v>
      </c>
      <c r="I156" s="2">
        <v>36.4</v>
      </c>
      <c r="J156" s="2">
        <v>30.4</v>
      </c>
      <c r="K156" s="2">
        <f t="shared" si="18"/>
        <v>36.4</v>
      </c>
      <c r="L156" s="8">
        <f t="shared" si="22"/>
        <v>2.7542287033381612E-6</v>
      </c>
      <c r="M156" s="26"/>
      <c r="N156" s="17"/>
      <c r="O156" s="9">
        <f t="shared" si="20"/>
        <v>30.4</v>
      </c>
      <c r="P156" s="8">
        <f>D152/B152*10^(O156/10)</f>
        <v>21564.071190815997</v>
      </c>
      <c r="Q156" s="26"/>
      <c r="R156" s="17"/>
      <c r="S156" s="19"/>
      <c r="T156" s="17"/>
      <c r="U156" s="22"/>
    </row>
    <row r="157" spans="1:21" x14ac:dyDescent="0.25">
      <c r="A157" s="24"/>
      <c r="B157" s="24"/>
      <c r="C157" s="17"/>
      <c r="D157" s="24"/>
      <c r="E157" s="24"/>
      <c r="F157" s="25"/>
      <c r="G157" s="1">
        <v>675</v>
      </c>
      <c r="H157" s="2">
        <v>94.5</v>
      </c>
      <c r="I157" s="2">
        <v>41</v>
      </c>
      <c r="J157" s="2">
        <v>37</v>
      </c>
      <c r="K157" s="2">
        <f t="shared" si="18"/>
        <v>41</v>
      </c>
      <c r="L157" s="8">
        <f t="shared" si="22"/>
        <v>4.4668359215096296E-6</v>
      </c>
      <c r="M157" s="26"/>
      <c r="N157" s="17"/>
      <c r="O157" s="9">
        <f t="shared" si="20"/>
        <v>37</v>
      </c>
      <c r="P157" s="8">
        <f>D152/B152*10^(O157/10)</f>
        <v>98566.822613363736</v>
      </c>
      <c r="Q157" s="26"/>
      <c r="R157" s="17"/>
      <c r="S157" s="20"/>
      <c r="T157" s="17"/>
      <c r="U157" s="23"/>
    </row>
    <row r="158" spans="1:21" x14ac:dyDescent="0.25">
      <c r="A158" s="24">
        <v>1000</v>
      </c>
      <c r="B158" s="24">
        <v>3</v>
      </c>
      <c r="C158" s="17">
        <v>0.5</v>
      </c>
      <c r="D158" s="24">
        <v>117</v>
      </c>
      <c r="E158" s="24">
        <v>6</v>
      </c>
      <c r="F158" s="25">
        <v>76</v>
      </c>
      <c r="G158" s="1">
        <v>875</v>
      </c>
      <c r="H158" s="2">
        <v>91.1</v>
      </c>
      <c r="I158" s="2">
        <v>36.200000000000003</v>
      </c>
      <c r="J158" s="2">
        <v>26.3</v>
      </c>
      <c r="K158" s="2">
        <f t="shared" si="18"/>
        <v>36.200000000000003</v>
      </c>
      <c r="L158" s="8">
        <f t="shared" si="22"/>
        <v>3.2359365692962856E-6</v>
      </c>
      <c r="M158" s="26">
        <f>SUM(L158:L163)</f>
        <v>7.9121724195323393E-6</v>
      </c>
      <c r="N158" s="17">
        <f>10*LOG10(M158/E158)</f>
        <v>-58.798555076848686</v>
      </c>
      <c r="O158" s="9">
        <f t="shared" si="20"/>
        <v>26.3</v>
      </c>
      <c r="P158" s="8">
        <f>D158/B158*10^(O158/10)</f>
        <v>16636.601233262125</v>
      </c>
      <c r="Q158" s="26">
        <f>SUM(P158:P163)</f>
        <v>417137.19420875056</v>
      </c>
      <c r="R158" s="17">
        <f>10*LOG10(Q158)</f>
        <v>56.202789156176905</v>
      </c>
      <c r="S158" s="18">
        <f>F158+N158-Kzt-H</f>
        <v>17.201444923151314</v>
      </c>
      <c r="T158" s="17">
        <v>0.8</v>
      </c>
      <c r="U158" s="21">
        <f>T158*10^((S158-R158)/10)</f>
        <v>1.0068286464988504E-4</v>
      </c>
    </row>
    <row r="159" spans="1:21" x14ac:dyDescent="0.25">
      <c r="A159" s="24"/>
      <c r="B159" s="24"/>
      <c r="C159" s="17"/>
      <c r="D159" s="24"/>
      <c r="E159" s="24"/>
      <c r="F159" s="25"/>
      <c r="G159" s="1">
        <v>975</v>
      </c>
      <c r="H159" s="2">
        <v>96.5</v>
      </c>
      <c r="I159" s="2">
        <v>37.4</v>
      </c>
      <c r="J159" s="2">
        <v>36.4</v>
      </c>
      <c r="K159" s="2">
        <f t="shared" si="18"/>
        <v>37.4</v>
      </c>
      <c r="L159" s="8">
        <f t="shared" si="22"/>
        <v>1.230268770812379E-6</v>
      </c>
      <c r="M159" s="26"/>
      <c r="N159" s="17"/>
      <c r="O159" s="9">
        <f t="shared" si="20"/>
        <v>36.4</v>
      </c>
      <c r="P159" s="8">
        <f>D158/B158*10^(O159/10)</f>
        <v>170241.17457366487</v>
      </c>
      <c r="Q159" s="26"/>
      <c r="R159" s="17"/>
      <c r="S159" s="19"/>
      <c r="T159" s="17"/>
      <c r="U159" s="22"/>
    </row>
    <row r="160" spans="1:21" x14ac:dyDescent="0.25">
      <c r="A160" s="24"/>
      <c r="B160" s="24"/>
      <c r="C160" s="17"/>
      <c r="D160" s="24"/>
      <c r="E160" s="24"/>
      <c r="F160" s="25"/>
      <c r="G160" s="1">
        <v>1075</v>
      </c>
      <c r="H160" s="2">
        <v>94.6</v>
      </c>
      <c r="I160" s="2">
        <v>37.9</v>
      </c>
      <c r="J160" s="2">
        <v>33.4</v>
      </c>
      <c r="K160" s="2">
        <f t="shared" si="18"/>
        <v>37.9</v>
      </c>
      <c r="L160" s="8">
        <f t="shared" si="22"/>
        <v>2.1379620895022301E-6</v>
      </c>
      <c r="M160" s="26"/>
      <c r="N160" s="17"/>
      <c r="O160" s="9">
        <f t="shared" si="20"/>
        <v>33.4</v>
      </c>
      <c r="P160" s="8">
        <f>D158/B158*10^(O160/10)</f>
        <v>85322.703334032558</v>
      </c>
      <c r="Q160" s="26"/>
      <c r="R160" s="17"/>
      <c r="S160" s="19"/>
      <c r="T160" s="17"/>
      <c r="U160" s="22"/>
    </row>
    <row r="161" spans="1:21" x14ac:dyDescent="0.25">
      <c r="A161" s="24"/>
      <c r="B161" s="24"/>
      <c r="C161" s="17"/>
      <c r="D161" s="24"/>
      <c r="E161" s="24"/>
      <c r="F161" s="25"/>
      <c r="G161" s="1">
        <v>1175</v>
      </c>
      <c r="H161" s="2">
        <v>97.8</v>
      </c>
      <c r="I161" s="2">
        <v>38</v>
      </c>
      <c r="J161" s="2">
        <v>29.5</v>
      </c>
      <c r="K161" s="2">
        <f t="shared" si="18"/>
        <v>38</v>
      </c>
      <c r="L161" s="8">
        <f t="shared" si="22"/>
        <v>1.0471285480508998E-6</v>
      </c>
      <c r="M161" s="26"/>
      <c r="N161" s="17"/>
      <c r="O161" s="9">
        <f t="shared" si="20"/>
        <v>29.5</v>
      </c>
      <c r="P161" s="8">
        <f>D158/B158*10^(O161/10)</f>
        <v>34758.786587216113</v>
      </c>
      <c r="Q161" s="26"/>
      <c r="R161" s="17"/>
      <c r="S161" s="19"/>
      <c r="T161" s="17"/>
      <c r="U161" s="22"/>
    </row>
    <row r="162" spans="1:21" x14ac:dyDescent="0.25">
      <c r="A162" s="24"/>
      <c r="B162" s="24"/>
      <c r="C162" s="17"/>
      <c r="D162" s="24"/>
      <c r="E162" s="24"/>
      <c r="F162" s="25"/>
      <c r="G162" s="1">
        <v>1275</v>
      </c>
      <c r="H162" s="2">
        <v>100.1</v>
      </c>
      <c r="I162" s="2">
        <v>32.5</v>
      </c>
      <c r="J162" s="2">
        <v>31.5</v>
      </c>
      <c r="K162" s="2">
        <f t="shared" si="18"/>
        <v>32.5</v>
      </c>
      <c r="L162" s="8">
        <f t="shared" si="22"/>
        <v>1.7378008287493735E-7</v>
      </c>
      <c r="M162" s="26"/>
      <c r="N162" s="17"/>
      <c r="O162" s="9">
        <f t="shared" si="20"/>
        <v>31.5</v>
      </c>
      <c r="P162" s="8">
        <f>D158/B158*10^(O162/10)</f>
        <v>55088.964240287423</v>
      </c>
      <c r="Q162" s="26"/>
      <c r="R162" s="17"/>
      <c r="S162" s="19"/>
      <c r="T162" s="17"/>
      <c r="U162" s="22"/>
    </row>
    <row r="163" spans="1:21" x14ac:dyDescent="0.25">
      <c r="A163" s="24"/>
      <c r="B163" s="24"/>
      <c r="C163" s="17"/>
      <c r="D163" s="24"/>
      <c r="E163" s="24"/>
      <c r="F163" s="25"/>
      <c r="G163" s="1">
        <v>1375</v>
      </c>
      <c r="H163" s="2">
        <v>103</v>
      </c>
      <c r="I163" s="2">
        <v>32.4</v>
      </c>
      <c r="J163" s="2">
        <v>31.5</v>
      </c>
      <c r="K163" s="2">
        <f t="shared" si="18"/>
        <v>32.4</v>
      </c>
      <c r="L163" s="8">
        <f t="shared" si="22"/>
        <v>8.7096358995608061E-8</v>
      </c>
      <c r="M163" s="26"/>
      <c r="N163" s="17"/>
      <c r="O163" s="9">
        <f t="shared" si="20"/>
        <v>31.5</v>
      </c>
      <c r="P163" s="8">
        <f>D158/B158*10^(O163/10)</f>
        <v>55088.964240287423</v>
      </c>
      <c r="Q163" s="26"/>
      <c r="R163" s="17"/>
      <c r="S163" s="20"/>
      <c r="T163" s="17"/>
      <c r="U163" s="23"/>
    </row>
    <row r="164" spans="1:21" x14ac:dyDescent="0.25">
      <c r="A164" s="24">
        <v>2000</v>
      </c>
      <c r="B164" s="24">
        <v>3</v>
      </c>
      <c r="C164" s="17">
        <v>0.5</v>
      </c>
      <c r="D164" s="24">
        <v>234</v>
      </c>
      <c r="E164" s="24">
        <v>6</v>
      </c>
      <c r="F164" s="25">
        <v>68</v>
      </c>
      <c r="G164" s="1">
        <v>1425</v>
      </c>
      <c r="H164" s="2">
        <v>102.8</v>
      </c>
      <c r="I164" s="2">
        <v>33.1</v>
      </c>
      <c r="J164" s="2">
        <v>31</v>
      </c>
      <c r="K164" s="2">
        <f t="shared" si="18"/>
        <v>33.1</v>
      </c>
      <c r="L164" s="8">
        <f t="shared" si="22"/>
        <v>1.0715193052376092E-7</v>
      </c>
      <c r="M164" s="26">
        <f>SUM(L164:L169)</f>
        <v>1.4110489453236616E-6</v>
      </c>
      <c r="N164" s="17">
        <f>10*LOG10(M164/E164)</f>
        <v>-66.286091719125636</v>
      </c>
      <c r="O164" s="9">
        <f t="shared" si="20"/>
        <v>31</v>
      </c>
      <c r="P164" s="8">
        <f>D164/B164*10^(O164/10)</f>
        <v>98196.182119945108</v>
      </c>
      <c r="Q164" s="26">
        <f>SUM(P164:P169)</f>
        <v>404392.48193468695</v>
      </c>
      <c r="R164" s="17">
        <f>10*LOG10(Q164)</f>
        <v>56.068030730202736</v>
      </c>
      <c r="S164" s="18">
        <f>F164+N164-Kzt-H</f>
        <v>1.7139082808743638</v>
      </c>
      <c r="T164" s="17">
        <v>1</v>
      </c>
      <c r="U164" s="21">
        <f>T164*10^((S164-R164)/10)</f>
        <v>3.669338308885721E-6</v>
      </c>
    </row>
    <row r="165" spans="1:21" x14ac:dyDescent="0.25">
      <c r="A165" s="24"/>
      <c r="B165" s="24"/>
      <c r="C165" s="17"/>
      <c r="D165" s="24"/>
      <c r="E165" s="24"/>
      <c r="F165" s="25"/>
      <c r="G165" s="1">
        <v>1625</v>
      </c>
      <c r="H165" s="2">
        <v>104.1</v>
      </c>
      <c r="I165" s="2">
        <v>39.5</v>
      </c>
      <c r="J165" s="2">
        <v>31.5</v>
      </c>
      <c r="K165" s="2">
        <f t="shared" si="18"/>
        <v>39.5</v>
      </c>
      <c r="L165" s="8">
        <f t="shared" si="22"/>
        <v>3.4673685045253212E-7</v>
      </c>
      <c r="M165" s="26"/>
      <c r="N165" s="17"/>
      <c r="O165" s="9">
        <f t="shared" si="20"/>
        <v>31.5</v>
      </c>
      <c r="P165" s="8">
        <f>D164/B164*10^(O165/10)</f>
        <v>110177.92848057485</v>
      </c>
      <c r="Q165" s="26"/>
      <c r="R165" s="17"/>
      <c r="S165" s="19"/>
      <c r="T165" s="17"/>
      <c r="U165" s="22"/>
    </row>
    <row r="166" spans="1:21" x14ac:dyDescent="0.25">
      <c r="A166" s="24"/>
      <c r="B166" s="24"/>
      <c r="C166" s="17"/>
      <c r="D166" s="24"/>
      <c r="E166" s="24"/>
      <c r="F166" s="25"/>
      <c r="G166" s="1">
        <v>1825</v>
      </c>
      <c r="H166" s="2">
        <v>107.6</v>
      </c>
      <c r="I166" s="2">
        <v>35.200000000000003</v>
      </c>
      <c r="J166" s="2">
        <v>29.9</v>
      </c>
      <c r="K166" s="2">
        <f t="shared" si="18"/>
        <v>35.200000000000003</v>
      </c>
      <c r="L166" s="8">
        <f t="shared" si="22"/>
        <v>5.7543993733715791E-8</v>
      </c>
      <c r="M166" s="26"/>
      <c r="N166" s="17"/>
      <c r="O166" s="9">
        <f t="shared" si="20"/>
        <v>29.9</v>
      </c>
      <c r="P166" s="8">
        <f>D164/B164*10^(O166/10)</f>
        <v>76224.503234553224</v>
      </c>
      <c r="Q166" s="26"/>
      <c r="R166" s="17"/>
      <c r="S166" s="19"/>
      <c r="T166" s="17"/>
      <c r="U166" s="22"/>
    </row>
    <row r="167" spans="1:21" x14ac:dyDescent="0.25">
      <c r="A167" s="24"/>
      <c r="B167" s="24"/>
      <c r="C167" s="17"/>
      <c r="D167" s="24"/>
      <c r="E167" s="24"/>
      <c r="F167" s="25"/>
      <c r="G167" s="1">
        <v>2125</v>
      </c>
      <c r="H167" s="2">
        <v>104.2</v>
      </c>
      <c r="I167" s="2">
        <v>35</v>
      </c>
      <c r="J167" s="2">
        <v>27.6</v>
      </c>
      <c r="K167" s="2">
        <f t="shared" si="18"/>
        <v>35</v>
      </c>
      <c r="L167" s="8">
        <f t="shared" si="22"/>
        <v>1.2022644346174111E-7</v>
      </c>
      <c r="M167" s="26"/>
      <c r="N167" s="17"/>
      <c r="O167" s="9">
        <f t="shared" si="20"/>
        <v>27.6</v>
      </c>
      <c r="P167" s="8">
        <f>D164/B164*10^(O167/10)</f>
        <v>44884.315112298296</v>
      </c>
      <c r="Q167" s="26"/>
      <c r="R167" s="17"/>
      <c r="S167" s="19"/>
      <c r="T167" s="17"/>
      <c r="U167" s="22"/>
    </row>
    <row r="168" spans="1:21" x14ac:dyDescent="0.25">
      <c r="A168" s="24"/>
      <c r="B168" s="24"/>
      <c r="C168" s="17"/>
      <c r="D168" s="24"/>
      <c r="E168" s="24"/>
      <c r="F168" s="25"/>
      <c r="G168" s="1">
        <v>2425</v>
      </c>
      <c r="H168" s="2">
        <v>93.7</v>
      </c>
      <c r="I168" s="2">
        <v>31.4</v>
      </c>
      <c r="J168" s="2">
        <v>25.7</v>
      </c>
      <c r="K168" s="2">
        <f t="shared" si="18"/>
        <v>31.4</v>
      </c>
      <c r="L168" s="8">
        <f t="shared" si="22"/>
        <v>5.8884365535558744E-7</v>
      </c>
      <c r="M168" s="26"/>
      <c r="N168" s="17"/>
      <c r="O168" s="9">
        <f t="shared" si="20"/>
        <v>25.7</v>
      </c>
      <c r="P168" s="8">
        <f>D164/B164*10^(O168/10)</f>
        <v>28979.747869579467</v>
      </c>
      <c r="Q168" s="26"/>
      <c r="R168" s="17"/>
      <c r="S168" s="19"/>
      <c r="T168" s="17"/>
      <c r="U168" s="22"/>
    </row>
    <row r="169" spans="1:21" x14ac:dyDescent="0.25">
      <c r="A169" s="24"/>
      <c r="B169" s="24"/>
      <c r="C169" s="17"/>
      <c r="D169" s="24"/>
      <c r="E169" s="24"/>
      <c r="F169" s="25"/>
      <c r="G169" s="1">
        <v>2775</v>
      </c>
      <c r="H169" s="2">
        <v>100.2</v>
      </c>
      <c r="I169" s="2">
        <v>33</v>
      </c>
      <c r="J169" s="2">
        <v>27.7</v>
      </c>
      <c r="K169" s="2">
        <f t="shared" si="18"/>
        <v>33</v>
      </c>
      <c r="L169" s="8">
        <f t="shared" si="22"/>
        <v>1.9054607179632409E-7</v>
      </c>
      <c r="M169" s="26"/>
      <c r="N169" s="17"/>
      <c r="O169" s="9">
        <f t="shared" si="20"/>
        <v>27.7</v>
      </c>
      <c r="P169" s="8">
        <f>D164/B164*10^(O169/10)</f>
        <v>45929.805117735988</v>
      </c>
      <c r="Q169" s="26"/>
      <c r="R169" s="17"/>
      <c r="S169" s="20"/>
      <c r="T169" s="17"/>
      <c r="U169" s="23"/>
    </row>
    <row r="170" spans="1:21" x14ac:dyDescent="0.25">
      <c r="A170" s="24">
        <v>4000</v>
      </c>
      <c r="B170" s="24">
        <v>3</v>
      </c>
      <c r="C170" s="17">
        <v>0.5</v>
      </c>
      <c r="D170" s="24">
        <v>470</v>
      </c>
      <c r="E170" s="24">
        <v>6</v>
      </c>
      <c r="F170" s="25">
        <v>62</v>
      </c>
      <c r="G170" s="1">
        <v>2825</v>
      </c>
      <c r="H170" s="2">
        <v>99.4</v>
      </c>
      <c r="I170" s="2">
        <v>27.4</v>
      </c>
      <c r="J170" s="2">
        <v>23.6</v>
      </c>
      <c r="K170" s="2">
        <f t="shared" si="18"/>
        <v>27.4</v>
      </c>
      <c r="L170" s="8">
        <f t="shared" si="22"/>
        <v>6.3095734448019177E-8</v>
      </c>
      <c r="M170" s="26">
        <f>SUM(L170:L175)</f>
        <v>5.6427013596100866E-7</v>
      </c>
      <c r="N170" s="17">
        <f>10*LOG10(M170/E170)</f>
        <v>-70.266641845731954</v>
      </c>
      <c r="O170" s="9">
        <f t="shared" si="20"/>
        <v>23.6</v>
      </c>
      <c r="P170" s="8">
        <f>D170/B170*10^(O170/10)</f>
        <v>35890.259893361828</v>
      </c>
      <c r="Q170" s="26">
        <f>SUM(P170:P175)</f>
        <v>522142.85078929836</v>
      </c>
      <c r="R170" s="17">
        <f>10*LOG10(Q170)</f>
        <v>57.177893359950232</v>
      </c>
      <c r="S170" s="18">
        <f>F170+N170-Kzt-H</f>
        <v>-8.2666418457319537</v>
      </c>
      <c r="T170" s="17">
        <v>0.9</v>
      </c>
      <c r="U170" s="21">
        <f>T170*10^((S170-R170)/10)</f>
        <v>2.569147205142695E-7</v>
      </c>
    </row>
    <row r="171" spans="1:21" x14ac:dyDescent="0.25">
      <c r="A171" s="24"/>
      <c r="B171" s="24"/>
      <c r="C171" s="17"/>
      <c r="D171" s="24"/>
      <c r="E171" s="24"/>
      <c r="F171" s="25"/>
      <c r="G171" s="1">
        <v>3425</v>
      </c>
      <c r="H171" s="2">
        <v>103.5</v>
      </c>
      <c r="I171" s="2">
        <v>30.2</v>
      </c>
      <c r="J171" s="2">
        <v>28.5</v>
      </c>
      <c r="K171" s="2">
        <f t="shared" si="18"/>
        <v>30.2</v>
      </c>
      <c r="L171" s="8">
        <f t="shared" si="22"/>
        <v>4.6773514128719769E-8</v>
      </c>
      <c r="M171" s="26"/>
      <c r="N171" s="17"/>
      <c r="O171" s="9">
        <f t="shared" si="20"/>
        <v>28.5</v>
      </c>
      <c r="P171" s="8">
        <f>D170/B170*10^(O171/10)</f>
        <v>110911.50622018173</v>
      </c>
      <c r="Q171" s="26"/>
      <c r="R171" s="17"/>
      <c r="S171" s="19"/>
      <c r="T171" s="17"/>
      <c r="U171" s="22"/>
    </row>
    <row r="172" spans="1:21" x14ac:dyDescent="0.25">
      <c r="A172" s="24"/>
      <c r="B172" s="24"/>
      <c r="C172" s="17"/>
      <c r="D172" s="24"/>
      <c r="E172" s="24"/>
      <c r="F172" s="25"/>
      <c r="G172" s="1">
        <v>4025</v>
      </c>
      <c r="H172" s="2">
        <v>103.6</v>
      </c>
      <c r="I172" s="2">
        <v>31.8</v>
      </c>
      <c r="J172" s="2">
        <v>27.7</v>
      </c>
      <c r="K172" s="2">
        <f t="shared" si="18"/>
        <v>31.8</v>
      </c>
      <c r="L172" s="8">
        <f t="shared" si="22"/>
        <v>6.606934480075943E-8</v>
      </c>
      <c r="M172" s="26"/>
      <c r="N172" s="17"/>
      <c r="O172" s="9">
        <f t="shared" si="20"/>
        <v>27.7</v>
      </c>
      <c r="P172" s="8">
        <f>D170/B170*10^(O172/10)</f>
        <v>92252.172672375702</v>
      </c>
      <c r="Q172" s="26"/>
      <c r="R172" s="17"/>
      <c r="S172" s="19"/>
      <c r="T172" s="17"/>
      <c r="U172" s="22"/>
    </row>
    <row r="173" spans="1:21" x14ac:dyDescent="0.25">
      <c r="A173" s="24"/>
      <c r="B173" s="24"/>
      <c r="C173" s="17"/>
      <c r="D173" s="24"/>
      <c r="E173" s="24"/>
      <c r="F173" s="25"/>
      <c r="G173" s="1">
        <v>4625</v>
      </c>
      <c r="H173" s="2">
        <v>105.6</v>
      </c>
      <c r="I173" s="2">
        <v>34.700000000000003</v>
      </c>
      <c r="J173" s="2">
        <v>26.6</v>
      </c>
      <c r="K173" s="2">
        <f t="shared" si="18"/>
        <v>34.700000000000003</v>
      </c>
      <c r="L173" s="8">
        <f t="shared" si="22"/>
        <v>8.128305161640995E-8</v>
      </c>
      <c r="M173" s="26"/>
      <c r="N173" s="17"/>
      <c r="O173" s="9">
        <f t="shared" si="20"/>
        <v>26.6</v>
      </c>
      <c r="P173" s="8">
        <f>D170/B170*10^(O173/10)</f>
        <v>71610.483039663843</v>
      </c>
      <c r="Q173" s="26"/>
      <c r="R173" s="17"/>
      <c r="S173" s="19"/>
      <c r="T173" s="17"/>
      <c r="U173" s="22"/>
    </row>
    <row r="174" spans="1:21" x14ac:dyDescent="0.25">
      <c r="A174" s="24"/>
      <c r="B174" s="24"/>
      <c r="C174" s="17"/>
      <c r="D174" s="24"/>
      <c r="E174" s="24"/>
      <c r="F174" s="25"/>
      <c r="G174" s="1">
        <v>5225</v>
      </c>
      <c r="H174" s="2">
        <v>103.5</v>
      </c>
      <c r="I174" s="2">
        <v>32.700000000000003</v>
      </c>
      <c r="J174" s="2">
        <v>27.3</v>
      </c>
      <c r="K174" s="2">
        <f t="shared" si="18"/>
        <v>32.700000000000003</v>
      </c>
      <c r="L174" s="8">
        <f t="shared" si="22"/>
        <v>8.3176377110266823E-8</v>
      </c>
      <c r="M174" s="26"/>
      <c r="N174" s="17"/>
      <c r="O174" s="9">
        <f t="shared" si="20"/>
        <v>27.3</v>
      </c>
      <c r="P174" s="8">
        <f>D170/B170*10^(O174/10)</f>
        <v>84134.981431339635</v>
      </c>
      <c r="Q174" s="26"/>
      <c r="R174" s="17"/>
      <c r="S174" s="19"/>
      <c r="T174" s="17"/>
      <c r="U174" s="22"/>
    </row>
    <row r="175" spans="1:21" x14ac:dyDescent="0.25">
      <c r="A175" s="24"/>
      <c r="B175" s="24"/>
      <c r="C175" s="17"/>
      <c r="D175" s="24"/>
      <c r="E175" s="24"/>
      <c r="F175" s="25"/>
      <c r="G175" s="1">
        <v>5625</v>
      </c>
      <c r="H175" s="2">
        <v>99.5</v>
      </c>
      <c r="I175" s="2">
        <v>33</v>
      </c>
      <c r="J175" s="2">
        <v>29.1</v>
      </c>
      <c r="K175" s="2">
        <f t="shared" si="18"/>
        <v>33</v>
      </c>
      <c r="L175" s="8">
        <f t="shared" si="22"/>
        <v>2.2387211385683346E-7</v>
      </c>
      <c r="M175" s="26"/>
      <c r="N175" s="17"/>
      <c r="O175" s="9">
        <f t="shared" si="20"/>
        <v>29.1</v>
      </c>
      <c r="P175" s="8">
        <f>D170/B170*10^(O175/10)</f>
        <v>127343.44753237562</v>
      </c>
      <c r="Q175" s="26"/>
      <c r="R175" s="17"/>
      <c r="S175" s="20"/>
      <c r="T175" s="17"/>
      <c r="U175" s="23"/>
    </row>
    <row r="176" spans="1:21" x14ac:dyDescent="0.25">
      <c r="A176" s="24">
        <v>8000</v>
      </c>
      <c r="B176" s="24">
        <v>3</v>
      </c>
      <c r="C176" s="17">
        <v>0.5</v>
      </c>
      <c r="D176" s="24">
        <v>943</v>
      </c>
      <c r="E176" s="24">
        <v>6</v>
      </c>
      <c r="F176" s="25">
        <v>54</v>
      </c>
      <c r="G176" s="1">
        <v>6025</v>
      </c>
      <c r="H176" s="2">
        <v>95</v>
      </c>
      <c r="I176" s="2">
        <v>31.7</v>
      </c>
      <c r="J176" s="2">
        <v>26.5</v>
      </c>
      <c r="K176" s="2">
        <f t="shared" si="18"/>
        <v>31.7</v>
      </c>
      <c r="L176" s="8">
        <f t="shared" si="22"/>
        <v>4.6773514128719735E-7</v>
      </c>
      <c r="M176" s="26">
        <f>SUM(L176:L181)</f>
        <v>5.977862819307743E-6</v>
      </c>
      <c r="N176" s="17">
        <f>10*LOG10(M176/E176)</f>
        <v>-60.016053058063861</v>
      </c>
      <c r="O176" s="9">
        <f t="shared" si="20"/>
        <v>26.5</v>
      </c>
      <c r="P176" s="8">
        <f>D176/B176*10^(O176/10)</f>
        <v>140407.54246611946</v>
      </c>
      <c r="Q176" s="26">
        <f>SUM(P176:P181)</f>
        <v>523683.15525267582</v>
      </c>
      <c r="R176" s="17">
        <f>10*LOG10(Q176)</f>
        <v>57.190686046472052</v>
      </c>
      <c r="S176" s="18">
        <f>F176+N176-Kzt-H</f>
        <v>-6.0160530580638607</v>
      </c>
      <c r="T176" s="17">
        <v>0.7</v>
      </c>
      <c r="U176" s="21">
        <f>T176*10^((S176-R176)/10)</f>
        <v>3.3452157245092735E-7</v>
      </c>
    </row>
    <row r="177" spans="1:21" x14ac:dyDescent="0.25">
      <c r="A177" s="24"/>
      <c r="B177" s="24"/>
      <c r="C177" s="17"/>
      <c r="D177" s="24"/>
      <c r="E177" s="24"/>
      <c r="F177" s="25"/>
      <c r="G177" s="1">
        <v>7025</v>
      </c>
      <c r="H177" s="2">
        <v>94.8</v>
      </c>
      <c r="I177" s="2">
        <v>34.9</v>
      </c>
      <c r="J177" s="2">
        <v>23.6</v>
      </c>
      <c r="K177" s="2">
        <f t="shared" si="18"/>
        <v>34.9</v>
      </c>
      <c r="L177" s="8">
        <f t="shared" si="22"/>
        <v>1.0232929922807527E-6</v>
      </c>
      <c r="M177" s="26"/>
      <c r="N177" s="17"/>
      <c r="O177" s="9">
        <f t="shared" si="20"/>
        <v>23.6</v>
      </c>
      <c r="P177" s="8">
        <f>D176/B176*10^(O177/10)</f>
        <v>72009.606552000434</v>
      </c>
      <c r="Q177" s="26"/>
      <c r="R177" s="17"/>
      <c r="S177" s="19"/>
      <c r="T177" s="17"/>
      <c r="U177" s="22"/>
    </row>
    <row r="178" spans="1:21" x14ac:dyDescent="0.25">
      <c r="A178" s="24"/>
      <c r="B178" s="24"/>
      <c r="C178" s="17"/>
      <c r="D178" s="24"/>
      <c r="E178" s="24"/>
      <c r="F178" s="25"/>
      <c r="G178" s="1">
        <v>8025</v>
      </c>
      <c r="H178" s="2">
        <v>101.9</v>
      </c>
      <c r="I178" s="2">
        <v>33.799999999999997</v>
      </c>
      <c r="J178" s="2">
        <v>23.6</v>
      </c>
      <c r="K178" s="2">
        <f t="shared" si="18"/>
        <v>33.799999999999997</v>
      </c>
      <c r="L178" s="8">
        <f t="shared" si="22"/>
        <v>1.5488166189124776E-7</v>
      </c>
      <c r="M178" s="26"/>
      <c r="N178" s="17"/>
      <c r="O178" s="9">
        <f t="shared" si="20"/>
        <v>23.6</v>
      </c>
      <c r="P178" s="8">
        <f>D176/B176*10^(O178/10)</f>
        <v>72009.606552000434</v>
      </c>
      <c r="Q178" s="26"/>
      <c r="R178" s="17"/>
      <c r="S178" s="19"/>
      <c r="T178" s="17"/>
      <c r="U178" s="22"/>
    </row>
    <row r="179" spans="1:21" x14ac:dyDescent="0.25">
      <c r="A179" s="24"/>
      <c r="B179" s="24"/>
      <c r="C179" s="17"/>
      <c r="D179" s="24"/>
      <c r="E179" s="24"/>
      <c r="F179" s="25"/>
      <c r="G179" s="1">
        <v>9025</v>
      </c>
      <c r="H179" s="2">
        <v>93.2</v>
      </c>
      <c r="I179" s="2">
        <v>32.700000000000003</v>
      </c>
      <c r="J179" s="2">
        <v>25.4</v>
      </c>
      <c r="K179" s="2">
        <f t="shared" si="18"/>
        <v>32.700000000000003</v>
      </c>
      <c r="L179" s="8">
        <f t="shared" si="22"/>
        <v>8.9125093813374487E-7</v>
      </c>
      <c r="M179" s="26"/>
      <c r="N179" s="17"/>
      <c r="O179" s="9">
        <f t="shared" si="20"/>
        <v>25.4</v>
      </c>
      <c r="P179" s="8">
        <f>D176/B176*10^(O179/10)</f>
        <v>108990.94999224583</v>
      </c>
      <c r="Q179" s="26"/>
      <c r="R179" s="17"/>
      <c r="S179" s="19"/>
      <c r="T179" s="17"/>
      <c r="U179" s="22"/>
    </row>
    <row r="180" spans="1:21" x14ac:dyDescent="0.25">
      <c r="A180" s="24"/>
      <c r="B180" s="24"/>
      <c r="C180" s="17"/>
      <c r="D180" s="24"/>
      <c r="E180" s="24"/>
      <c r="F180" s="25"/>
      <c r="G180" s="1">
        <v>10025</v>
      </c>
      <c r="H180" s="2">
        <v>88.3</v>
      </c>
      <c r="I180" s="2">
        <v>31.3</v>
      </c>
      <c r="J180" s="2">
        <v>23.5</v>
      </c>
      <c r="K180" s="2">
        <f t="shared" si="18"/>
        <v>31.3</v>
      </c>
      <c r="L180" s="8">
        <f t="shared" si="22"/>
        <v>1.9952623149688749E-6</v>
      </c>
      <c r="M180" s="26"/>
      <c r="N180" s="17"/>
      <c r="O180" s="9">
        <f t="shared" si="20"/>
        <v>23.5</v>
      </c>
      <c r="P180" s="8">
        <f>D176/B176*10^(O180/10)</f>
        <v>70370.467788998183</v>
      </c>
      <c r="Q180" s="26"/>
      <c r="R180" s="17"/>
      <c r="S180" s="19"/>
      <c r="T180" s="17"/>
      <c r="U180" s="22"/>
    </row>
    <row r="181" spans="1:21" x14ac:dyDescent="0.25">
      <c r="A181" s="24"/>
      <c r="B181" s="24"/>
      <c r="C181" s="17"/>
      <c r="D181" s="24"/>
      <c r="E181" s="24"/>
      <c r="F181" s="25"/>
      <c r="G181" s="1">
        <v>11025</v>
      </c>
      <c r="H181" s="2">
        <v>86</v>
      </c>
      <c r="I181" s="2">
        <v>27.6</v>
      </c>
      <c r="J181" s="2">
        <v>22.8</v>
      </c>
      <c r="K181" s="2">
        <f t="shared" si="18"/>
        <v>27.6</v>
      </c>
      <c r="L181" s="8">
        <f t="shared" si="22"/>
        <v>1.445439770745926E-6</v>
      </c>
      <c r="M181" s="26"/>
      <c r="N181" s="17"/>
      <c r="O181" s="9">
        <f t="shared" si="20"/>
        <v>22.8</v>
      </c>
      <c r="P181" s="8">
        <f>D176/B176*10^(O181/10)</f>
        <v>59894.981901311483</v>
      </c>
      <c r="Q181" s="26"/>
      <c r="R181" s="17"/>
      <c r="S181" s="20"/>
      <c r="T181" s="17"/>
      <c r="U181" s="23"/>
    </row>
    <row r="182" spans="1:21" x14ac:dyDescent="0.25">
      <c r="A182" s="24" t="s">
        <v>20</v>
      </c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12">
        <f>U182</f>
        <v>5.6967825031040212E-2</v>
      </c>
      <c r="T182" s="2"/>
      <c r="U182" s="8">
        <f>0.8*SQRT(SUM(U148:U181))</f>
        <v>5.6967825031040212E-2</v>
      </c>
    </row>
    <row r="183" spans="1:21" x14ac:dyDescent="0.25">
      <c r="A183" s="27" t="s">
        <v>117</v>
      </c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9"/>
    </row>
    <row r="184" spans="1:21" x14ac:dyDescent="0.25">
      <c r="A184" s="24">
        <v>250</v>
      </c>
      <c r="B184" s="24">
        <v>3</v>
      </c>
      <c r="C184" s="17">
        <v>0.5</v>
      </c>
      <c r="D184" s="24">
        <v>38</v>
      </c>
      <c r="E184" s="24">
        <v>4</v>
      </c>
      <c r="F184" s="25">
        <v>84</v>
      </c>
      <c r="G184" s="1">
        <v>175</v>
      </c>
      <c r="H184" s="2">
        <v>84.8</v>
      </c>
      <c r="I184" s="2">
        <v>38.299999999999997</v>
      </c>
      <c r="J184" s="2">
        <v>36.1</v>
      </c>
      <c r="K184" s="2">
        <f>I184</f>
        <v>38.299999999999997</v>
      </c>
      <c r="L184" s="8">
        <f>10^((K184-H184)/10)</f>
        <v>2.2387211385683359E-5</v>
      </c>
      <c r="M184" s="26">
        <f>SUM(L184:L187)</f>
        <v>4.1120267284361601E-5</v>
      </c>
      <c r="N184" s="17">
        <f>10*LOG10(M184/E184)</f>
        <v>-49.880040623897202</v>
      </c>
      <c r="O184" s="9">
        <f>J184</f>
        <v>36.1</v>
      </c>
      <c r="P184" s="8">
        <f>D184/B184*10^(O184/10)</f>
        <v>51601.501855187664</v>
      </c>
      <c r="Q184" s="26">
        <f>SUM(P184:P187)</f>
        <v>192847.13900630138</v>
      </c>
      <c r="R184" s="17">
        <f>10*LOG10(Q184)</f>
        <v>52.852132002516186</v>
      </c>
      <c r="S184" s="18">
        <f>F184+N184-Kzt-H</f>
        <v>34.119959376102798</v>
      </c>
      <c r="T184" s="17">
        <v>0.2</v>
      </c>
      <c r="U184" s="21">
        <f>T184*10^((S184-R184)/10)</f>
        <v>2.6780133214281197E-3</v>
      </c>
    </row>
    <row r="185" spans="1:21" x14ac:dyDescent="0.25">
      <c r="A185" s="24"/>
      <c r="B185" s="24"/>
      <c r="C185" s="17"/>
      <c r="D185" s="24"/>
      <c r="E185" s="24"/>
      <c r="F185" s="25"/>
      <c r="G185" s="1">
        <v>225</v>
      </c>
      <c r="H185" s="2">
        <v>90</v>
      </c>
      <c r="I185" s="2">
        <v>40.799999999999997</v>
      </c>
      <c r="J185" s="2">
        <v>33.6</v>
      </c>
      <c r="K185" s="2">
        <f t="shared" ref="K185:K217" si="23">I185</f>
        <v>40.799999999999997</v>
      </c>
      <c r="L185" s="8">
        <f t="shared" ref="L185:L186" si="24">10^((K185-H185)/10)</f>
        <v>1.2022644346174118E-5</v>
      </c>
      <c r="M185" s="26"/>
      <c r="N185" s="17"/>
      <c r="O185" s="9">
        <f t="shared" ref="O185:O217" si="25">J185</f>
        <v>33.6</v>
      </c>
      <c r="P185" s="8">
        <f>D184/B184*10^(O185/10)</f>
        <v>29017.656935058505</v>
      </c>
      <c r="Q185" s="26"/>
      <c r="R185" s="17"/>
      <c r="S185" s="19"/>
      <c r="T185" s="17"/>
      <c r="U185" s="22"/>
    </row>
    <row r="186" spans="1:21" x14ac:dyDescent="0.25">
      <c r="A186" s="24"/>
      <c r="B186" s="24"/>
      <c r="C186" s="17"/>
      <c r="D186" s="24"/>
      <c r="E186" s="24"/>
      <c r="F186" s="25"/>
      <c r="G186" s="1">
        <v>275</v>
      </c>
      <c r="H186" s="2">
        <v>92.2</v>
      </c>
      <c r="I186" s="2">
        <v>37.200000000000003</v>
      </c>
      <c r="J186" s="2">
        <v>36.1</v>
      </c>
      <c r="K186" s="2">
        <f t="shared" si="23"/>
        <v>37.200000000000003</v>
      </c>
      <c r="L186" s="8">
        <f t="shared" si="24"/>
        <v>3.1622776601683767E-6</v>
      </c>
      <c r="M186" s="26"/>
      <c r="N186" s="17"/>
      <c r="O186" s="9">
        <f t="shared" si="25"/>
        <v>36.1</v>
      </c>
      <c r="P186" s="8">
        <f>D184/B184*10^(O186/10)</f>
        <v>51601.501855187664</v>
      </c>
      <c r="Q186" s="26"/>
      <c r="R186" s="17"/>
      <c r="S186" s="19"/>
      <c r="T186" s="17"/>
      <c r="U186" s="22"/>
    </row>
    <row r="187" spans="1:21" x14ac:dyDescent="0.25">
      <c r="A187" s="24"/>
      <c r="B187" s="24"/>
      <c r="C187" s="17"/>
      <c r="D187" s="24"/>
      <c r="E187" s="24"/>
      <c r="F187" s="25"/>
      <c r="G187" s="1">
        <v>325</v>
      </c>
      <c r="H187" s="2">
        <v>93.3</v>
      </c>
      <c r="I187" s="2">
        <v>38.799999999999997</v>
      </c>
      <c r="J187" s="2">
        <v>36.799999999999997</v>
      </c>
      <c r="K187" s="2">
        <f t="shared" si="23"/>
        <v>38.799999999999997</v>
      </c>
      <c r="L187" s="8">
        <f>10^((K187-H187)/10)</f>
        <v>3.5481338923357504E-6</v>
      </c>
      <c r="M187" s="26"/>
      <c r="N187" s="17"/>
      <c r="O187" s="9">
        <f t="shared" si="25"/>
        <v>36.799999999999997</v>
      </c>
      <c r="P187" s="8">
        <f>D184/B184*10^(O187/10)</f>
        <v>60626.478360867535</v>
      </c>
      <c r="Q187" s="26"/>
      <c r="R187" s="17"/>
      <c r="S187" s="20"/>
      <c r="T187" s="17"/>
      <c r="U187" s="23"/>
    </row>
    <row r="188" spans="1:21" x14ac:dyDescent="0.25">
      <c r="A188" s="24">
        <v>500</v>
      </c>
      <c r="B188" s="24">
        <v>3</v>
      </c>
      <c r="C188" s="17">
        <v>0.5</v>
      </c>
      <c r="D188" s="24">
        <v>59</v>
      </c>
      <c r="E188" s="24">
        <v>6</v>
      </c>
      <c r="F188" s="25">
        <v>84</v>
      </c>
      <c r="G188" s="1">
        <v>375</v>
      </c>
      <c r="H188" s="2">
        <v>91.9</v>
      </c>
      <c r="I188" s="2">
        <v>41.1</v>
      </c>
      <c r="J188" s="2">
        <v>35.5</v>
      </c>
      <c r="K188" s="2">
        <f t="shared" si="23"/>
        <v>41.1</v>
      </c>
      <c r="L188" s="8">
        <f t="shared" ref="L188:L189" si="26">10^((K188-H188)/10)</f>
        <v>8.3176377110266992E-6</v>
      </c>
      <c r="M188" s="26">
        <f>SUM(L188:L193)</f>
        <v>3.5423145433996595E-5</v>
      </c>
      <c r="N188" s="17">
        <f>10*LOG10(M188/E188)</f>
        <v>-52.288641281999304</v>
      </c>
      <c r="O188" s="9">
        <f t="shared" si="25"/>
        <v>35.5</v>
      </c>
      <c r="P188" s="8">
        <f>D188/B188*10^(O188/10)</f>
        <v>69779.966549269826</v>
      </c>
      <c r="Q188" s="26">
        <f>SUM(P188:P193)</f>
        <v>344299.10108625737</v>
      </c>
      <c r="R188" s="17">
        <f>10*LOG10(Q188)</f>
        <v>55.369358888278569</v>
      </c>
      <c r="S188" s="18">
        <f>F188+N188-Kzt-H</f>
        <v>31.711358718000696</v>
      </c>
      <c r="T188" s="17">
        <v>0.5</v>
      </c>
      <c r="U188" s="21">
        <f>T188*10^((S188-R188)/10)</f>
        <v>2.1536245204707141E-3</v>
      </c>
    </row>
    <row r="189" spans="1:21" x14ac:dyDescent="0.25">
      <c r="A189" s="24"/>
      <c r="B189" s="24"/>
      <c r="C189" s="17"/>
      <c r="D189" s="24"/>
      <c r="E189" s="24"/>
      <c r="F189" s="25"/>
      <c r="G189" s="1">
        <v>425</v>
      </c>
      <c r="H189" s="2">
        <v>88.1</v>
      </c>
      <c r="I189" s="2">
        <v>38.4</v>
      </c>
      <c r="J189" s="2">
        <v>36.5</v>
      </c>
      <c r="K189" s="2">
        <f t="shared" si="23"/>
        <v>38.4</v>
      </c>
      <c r="L189" s="8">
        <f t="shared" si="26"/>
        <v>1.071519305237606E-5</v>
      </c>
      <c r="M189" s="26"/>
      <c r="N189" s="17"/>
      <c r="O189" s="9">
        <f t="shared" si="25"/>
        <v>36.5</v>
      </c>
      <c r="P189" s="8">
        <f>D188/B188*10^(O189/10)</f>
        <v>87847.773123022809</v>
      </c>
      <c r="Q189" s="26"/>
      <c r="R189" s="17"/>
      <c r="S189" s="19"/>
      <c r="T189" s="17"/>
      <c r="U189" s="22"/>
    </row>
    <row r="190" spans="1:21" x14ac:dyDescent="0.25">
      <c r="A190" s="24"/>
      <c r="B190" s="24"/>
      <c r="C190" s="17"/>
      <c r="D190" s="24"/>
      <c r="E190" s="24"/>
      <c r="F190" s="25"/>
      <c r="G190" s="1">
        <v>475</v>
      </c>
      <c r="H190" s="2">
        <v>90</v>
      </c>
      <c r="I190" s="2">
        <v>38.799999999999997</v>
      </c>
      <c r="J190" s="2">
        <v>34</v>
      </c>
      <c r="K190" s="2">
        <f t="shared" si="23"/>
        <v>38.799999999999997</v>
      </c>
      <c r="L190" s="8">
        <f>10^((K190-H190)/10)</f>
        <v>7.5857757502918323E-6</v>
      </c>
      <c r="M190" s="26"/>
      <c r="N190" s="17"/>
      <c r="O190" s="9">
        <f t="shared" si="25"/>
        <v>34</v>
      </c>
      <c r="P190" s="8">
        <f>D188/B188*10^(O190/10)</f>
        <v>49400.433153021768</v>
      </c>
      <c r="Q190" s="26"/>
      <c r="R190" s="17"/>
      <c r="S190" s="19"/>
      <c r="T190" s="17"/>
      <c r="U190" s="22"/>
    </row>
    <row r="191" spans="1:21" x14ac:dyDescent="0.25">
      <c r="A191" s="24"/>
      <c r="B191" s="24"/>
      <c r="C191" s="17"/>
      <c r="D191" s="24"/>
      <c r="E191" s="24"/>
      <c r="F191" s="25"/>
      <c r="G191" s="1">
        <v>575</v>
      </c>
      <c r="H191" s="2">
        <v>97</v>
      </c>
      <c r="I191" s="2">
        <v>36.5</v>
      </c>
      <c r="J191" s="2">
        <v>32.4</v>
      </c>
      <c r="K191" s="2">
        <f t="shared" si="23"/>
        <v>36.5</v>
      </c>
      <c r="L191" s="8">
        <f t="shared" ref="L191:L217" si="27">10^((K191-H191)/10)</f>
        <v>8.9125093813374487E-7</v>
      </c>
      <c r="M191" s="26"/>
      <c r="N191" s="17"/>
      <c r="O191" s="9">
        <f t="shared" si="25"/>
        <v>32.4</v>
      </c>
      <c r="P191" s="8">
        <f>D188/B188*10^(O191/10)</f>
        <v>34176.749632071056</v>
      </c>
      <c r="Q191" s="26"/>
      <c r="R191" s="17"/>
      <c r="S191" s="19"/>
      <c r="T191" s="17"/>
      <c r="U191" s="22"/>
    </row>
    <row r="192" spans="1:21" x14ac:dyDescent="0.25">
      <c r="A192" s="24"/>
      <c r="B192" s="24"/>
      <c r="C192" s="17"/>
      <c r="D192" s="24"/>
      <c r="E192" s="24"/>
      <c r="F192" s="25"/>
      <c r="G192" s="1">
        <v>625</v>
      </c>
      <c r="H192" s="2">
        <v>92</v>
      </c>
      <c r="I192" s="2">
        <v>38.700000000000003</v>
      </c>
      <c r="J192" s="2">
        <v>33.6</v>
      </c>
      <c r="K192" s="2">
        <f t="shared" si="23"/>
        <v>38.700000000000003</v>
      </c>
      <c r="L192" s="8">
        <f t="shared" si="27"/>
        <v>4.6773514128719787E-6</v>
      </c>
      <c r="M192" s="26"/>
      <c r="N192" s="17"/>
      <c r="O192" s="9">
        <f t="shared" si="25"/>
        <v>33.6</v>
      </c>
      <c r="P192" s="8">
        <f>D188/B188*10^(O192/10)</f>
        <v>45053.730504432948</v>
      </c>
      <c r="Q192" s="26"/>
      <c r="R192" s="17"/>
      <c r="S192" s="19"/>
      <c r="T192" s="17"/>
      <c r="U192" s="22"/>
    </row>
    <row r="193" spans="1:21" x14ac:dyDescent="0.25">
      <c r="A193" s="24"/>
      <c r="B193" s="24"/>
      <c r="C193" s="17"/>
      <c r="D193" s="24"/>
      <c r="E193" s="24"/>
      <c r="F193" s="25"/>
      <c r="G193" s="1">
        <v>675</v>
      </c>
      <c r="H193" s="2">
        <v>94.5</v>
      </c>
      <c r="I193" s="2">
        <v>39.6</v>
      </c>
      <c r="J193" s="2">
        <v>34.700000000000003</v>
      </c>
      <c r="K193" s="2">
        <f t="shared" si="23"/>
        <v>39.6</v>
      </c>
      <c r="L193" s="8">
        <f t="shared" si="27"/>
        <v>3.2359365692962801E-6</v>
      </c>
      <c r="M193" s="26"/>
      <c r="N193" s="17"/>
      <c r="O193" s="9">
        <f t="shared" si="25"/>
        <v>34.700000000000003</v>
      </c>
      <c r="P193" s="8">
        <f>D188/B188*10^(O193/10)</f>
        <v>58040.448124439004</v>
      </c>
      <c r="Q193" s="26"/>
      <c r="R193" s="17"/>
      <c r="S193" s="20"/>
      <c r="T193" s="17"/>
      <c r="U193" s="23"/>
    </row>
    <row r="194" spans="1:21" x14ac:dyDescent="0.25">
      <c r="A194" s="24">
        <v>1000</v>
      </c>
      <c r="B194" s="24">
        <v>3</v>
      </c>
      <c r="C194" s="17">
        <v>0.5</v>
      </c>
      <c r="D194" s="24">
        <v>117</v>
      </c>
      <c r="E194" s="24">
        <v>6</v>
      </c>
      <c r="F194" s="25">
        <v>76</v>
      </c>
      <c r="G194" s="1">
        <v>875</v>
      </c>
      <c r="H194" s="2">
        <v>91.1</v>
      </c>
      <c r="I194" s="2">
        <v>37.299999999999997</v>
      </c>
      <c r="J194" s="2">
        <v>30.6</v>
      </c>
      <c r="K194" s="2">
        <f t="shared" si="23"/>
        <v>37.299999999999997</v>
      </c>
      <c r="L194" s="8">
        <f t="shared" si="27"/>
        <v>4.168693834703354E-6</v>
      </c>
      <c r="M194" s="26">
        <f>SUM(L194:L199)</f>
        <v>6.6959601664667114E-6</v>
      </c>
      <c r="N194" s="17">
        <f>10*LOG10(M194/E194)</f>
        <v>-59.523383889610386</v>
      </c>
      <c r="O194" s="9">
        <f t="shared" si="25"/>
        <v>30.6</v>
      </c>
      <c r="P194" s="8">
        <f>D194/B194*10^(O194/10)</f>
        <v>44777.991238378476</v>
      </c>
      <c r="Q194" s="26">
        <f>SUM(P194:P199)</f>
        <v>277956.32274219691</v>
      </c>
      <c r="R194" s="17">
        <f>10*LOG10(Q194)</f>
        <v>54.439765574924607</v>
      </c>
      <c r="S194" s="18">
        <f>F194+N194-Kzt-H</f>
        <v>16.476616110389614</v>
      </c>
      <c r="T194" s="17">
        <v>0.8</v>
      </c>
      <c r="U194" s="21">
        <f>T194*10^((S194-R194)/10)</f>
        <v>1.2787187712142399E-4</v>
      </c>
    </row>
    <row r="195" spans="1:21" x14ac:dyDescent="0.25">
      <c r="A195" s="24"/>
      <c r="B195" s="24"/>
      <c r="C195" s="17"/>
      <c r="D195" s="24"/>
      <c r="E195" s="24"/>
      <c r="F195" s="25"/>
      <c r="G195" s="1">
        <v>975</v>
      </c>
      <c r="H195" s="2">
        <v>96.5</v>
      </c>
      <c r="I195" s="2">
        <v>36.4</v>
      </c>
      <c r="J195" s="2">
        <v>26.4</v>
      </c>
      <c r="K195" s="2">
        <f t="shared" si="23"/>
        <v>36.4</v>
      </c>
      <c r="L195" s="8">
        <f t="shared" si="27"/>
        <v>9.7723722095580961E-7</v>
      </c>
      <c r="M195" s="26"/>
      <c r="N195" s="17"/>
      <c r="O195" s="9">
        <f t="shared" si="25"/>
        <v>26.4</v>
      </c>
      <c r="P195" s="8">
        <f>D194/B194*10^(O195/10)</f>
        <v>17024.117457366468</v>
      </c>
      <c r="Q195" s="26"/>
      <c r="R195" s="17"/>
      <c r="S195" s="19"/>
      <c r="T195" s="17"/>
      <c r="U195" s="22"/>
    </row>
    <row r="196" spans="1:21" x14ac:dyDescent="0.25">
      <c r="A196" s="24"/>
      <c r="B196" s="24"/>
      <c r="C196" s="17"/>
      <c r="D196" s="24"/>
      <c r="E196" s="24"/>
      <c r="F196" s="25"/>
      <c r="G196" s="1">
        <v>1075</v>
      </c>
      <c r="H196" s="2">
        <v>94.6</v>
      </c>
      <c r="I196" s="2">
        <v>33</v>
      </c>
      <c r="J196" s="2">
        <v>30.1</v>
      </c>
      <c r="K196" s="2">
        <f t="shared" si="23"/>
        <v>33</v>
      </c>
      <c r="L196" s="8">
        <f t="shared" si="27"/>
        <v>6.9183097091893661E-7</v>
      </c>
      <c r="M196" s="26"/>
      <c r="N196" s="17"/>
      <c r="O196" s="9">
        <f t="shared" si="25"/>
        <v>30.1</v>
      </c>
      <c r="P196" s="8">
        <f>D194/B194*10^(O196/10)</f>
        <v>39908.426698949464</v>
      </c>
      <c r="Q196" s="26"/>
      <c r="R196" s="17"/>
      <c r="S196" s="19"/>
      <c r="T196" s="17"/>
      <c r="U196" s="22"/>
    </row>
    <row r="197" spans="1:21" x14ac:dyDescent="0.25">
      <c r="A197" s="24"/>
      <c r="B197" s="24"/>
      <c r="C197" s="17"/>
      <c r="D197" s="24"/>
      <c r="E197" s="24"/>
      <c r="F197" s="25"/>
      <c r="G197" s="1">
        <v>1175</v>
      </c>
      <c r="H197" s="2">
        <v>97.8</v>
      </c>
      <c r="I197" s="2">
        <v>35.1</v>
      </c>
      <c r="J197" s="2">
        <v>33</v>
      </c>
      <c r="K197" s="2">
        <f t="shared" si="23"/>
        <v>35.1</v>
      </c>
      <c r="L197" s="8">
        <f t="shared" si="27"/>
        <v>5.3703179637025244E-7</v>
      </c>
      <c r="M197" s="26"/>
      <c r="N197" s="17"/>
      <c r="O197" s="9">
        <f t="shared" si="25"/>
        <v>33</v>
      </c>
      <c r="P197" s="8">
        <f>D194/B194*10^(O197/10)</f>
        <v>77815.230283786339</v>
      </c>
      <c r="Q197" s="26"/>
      <c r="R197" s="17"/>
      <c r="S197" s="19"/>
      <c r="T197" s="17"/>
      <c r="U197" s="22"/>
    </row>
    <row r="198" spans="1:21" x14ac:dyDescent="0.25">
      <c r="A198" s="24"/>
      <c r="B198" s="24"/>
      <c r="C198" s="17"/>
      <c r="D198" s="24"/>
      <c r="E198" s="24"/>
      <c r="F198" s="25"/>
      <c r="G198" s="1">
        <v>1275</v>
      </c>
      <c r="H198" s="2">
        <v>100.1</v>
      </c>
      <c r="I198" s="2">
        <v>33.9</v>
      </c>
      <c r="J198" s="2">
        <v>31.3</v>
      </c>
      <c r="K198" s="2">
        <f t="shared" si="23"/>
        <v>33.9</v>
      </c>
      <c r="L198" s="8">
        <f t="shared" si="27"/>
        <v>2.398832919019493E-7</v>
      </c>
      <c r="M198" s="26"/>
      <c r="N198" s="17"/>
      <c r="O198" s="9">
        <f t="shared" si="25"/>
        <v>31.3</v>
      </c>
      <c r="P198" s="8">
        <f>D194/B194*10^(O198/10)</f>
        <v>52609.552421074506</v>
      </c>
      <c r="Q198" s="26"/>
      <c r="R198" s="17"/>
      <c r="S198" s="19"/>
      <c r="T198" s="17"/>
      <c r="U198" s="22"/>
    </row>
    <row r="199" spans="1:21" x14ac:dyDescent="0.25">
      <c r="A199" s="24"/>
      <c r="B199" s="24"/>
      <c r="C199" s="17"/>
      <c r="D199" s="24"/>
      <c r="E199" s="24"/>
      <c r="F199" s="25"/>
      <c r="G199" s="1">
        <v>1375</v>
      </c>
      <c r="H199" s="2">
        <v>103</v>
      </c>
      <c r="I199" s="2">
        <v>32.1</v>
      </c>
      <c r="J199" s="2">
        <v>30.7</v>
      </c>
      <c r="K199" s="2">
        <f t="shared" si="23"/>
        <v>32.1</v>
      </c>
      <c r="L199" s="8">
        <f t="shared" si="27"/>
        <v>8.1283051616409646E-8</v>
      </c>
      <c r="M199" s="26"/>
      <c r="N199" s="17"/>
      <c r="O199" s="9">
        <f t="shared" si="25"/>
        <v>30.7</v>
      </c>
      <c r="P199" s="8">
        <f>D194/B194*10^(O199/10)</f>
        <v>45821.004642641652</v>
      </c>
      <c r="Q199" s="26"/>
      <c r="R199" s="17"/>
      <c r="S199" s="20"/>
      <c r="T199" s="17"/>
      <c r="U199" s="23"/>
    </row>
    <row r="200" spans="1:21" x14ac:dyDescent="0.25">
      <c r="A200" s="24">
        <v>2000</v>
      </c>
      <c r="B200" s="24">
        <v>3</v>
      </c>
      <c r="C200" s="17">
        <v>0.5</v>
      </c>
      <c r="D200" s="24">
        <v>234</v>
      </c>
      <c r="E200" s="24">
        <v>6</v>
      </c>
      <c r="F200" s="25">
        <v>68</v>
      </c>
      <c r="G200" s="1">
        <v>1425</v>
      </c>
      <c r="H200" s="2">
        <v>102.8</v>
      </c>
      <c r="I200" s="2">
        <v>32.299999999999997</v>
      </c>
      <c r="J200" s="2">
        <v>30.7</v>
      </c>
      <c r="K200" s="2">
        <f t="shared" si="23"/>
        <v>32.299999999999997</v>
      </c>
      <c r="L200" s="8">
        <f t="shared" si="27"/>
        <v>8.9125093813374537E-8</v>
      </c>
      <c r="M200" s="26">
        <f>SUM(L200:L205)</f>
        <v>1.40015906731964E-6</v>
      </c>
      <c r="N200" s="17">
        <f>10*LOG10(M200/E200)</f>
        <v>-66.319738731804534</v>
      </c>
      <c r="O200" s="9">
        <f t="shared" si="25"/>
        <v>30.7</v>
      </c>
      <c r="P200" s="8">
        <f>D200/B200*10^(O200/10)</f>
        <v>91642.009285283304</v>
      </c>
      <c r="Q200" s="26">
        <f>SUM(P200:P205)</f>
        <v>328336.36922646529</v>
      </c>
      <c r="R200" s="17">
        <f>10*LOG10(Q200)</f>
        <v>55.163189914090339</v>
      </c>
      <c r="S200" s="18">
        <f>F200+N200-Kzt-H</f>
        <v>1.6802612681954656</v>
      </c>
      <c r="T200" s="17">
        <v>1</v>
      </c>
      <c r="U200" s="21">
        <f>T200*10^((S200-R200)/10)</f>
        <v>4.4844288244561486E-6</v>
      </c>
    </row>
    <row r="201" spans="1:21" x14ac:dyDescent="0.25">
      <c r="A201" s="24"/>
      <c r="B201" s="24"/>
      <c r="C201" s="17"/>
      <c r="D201" s="24"/>
      <c r="E201" s="24"/>
      <c r="F201" s="25"/>
      <c r="G201" s="1">
        <v>1625</v>
      </c>
      <c r="H201" s="2">
        <v>104.1</v>
      </c>
      <c r="I201" s="2">
        <v>35.799999999999997</v>
      </c>
      <c r="J201" s="2">
        <v>30.2</v>
      </c>
      <c r="K201" s="2">
        <f t="shared" si="23"/>
        <v>35.799999999999997</v>
      </c>
      <c r="L201" s="8">
        <f t="shared" si="27"/>
        <v>1.479108388168204E-7</v>
      </c>
      <c r="M201" s="26"/>
      <c r="N201" s="17"/>
      <c r="O201" s="9">
        <f t="shared" si="25"/>
        <v>30.2</v>
      </c>
      <c r="P201" s="8">
        <f>D200/B200*10^(O201/10)</f>
        <v>81676.026747970202</v>
      </c>
      <c r="Q201" s="26"/>
      <c r="R201" s="17"/>
      <c r="S201" s="19"/>
      <c r="T201" s="17"/>
      <c r="U201" s="22"/>
    </row>
    <row r="202" spans="1:21" x14ac:dyDescent="0.25">
      <c r="A202" s="24"/>
      <c r="B202" s="24"/>
      <c r="C202" s="17"/>
      <c r="D202" s="24"/>
      <c r="E202" s="24"/>
      <c r="F202" s="25"/>
      <c r="G202" s="1">
        <v>1825</v>
      </c>
      <c r="H202" s="2">
        <v>107.6</v>
      </c>
      <c r="I202" s="2">
        <v>32.4</v>
      </c>
      <c r="J202" s="2">
        <v>26.6</v>
      </c>
      <c r="K202" s="2">
        <f t="shared" si="23"/>
        <v>32.4</v>
      </c>
      <c r="L202" s="8">
        <f t="shared" si="27"/>
        <v>3.0199517204020188E-8</v>
      </c>
      <c r="M202" s="26"/>
      <c r="N202" s="17"/>
      <c r="O202" s="9">
        <f t="shared" si="25"/>
        <v>26.6</v>
      </c>
      <c r="P202" s="8">
        <f>D200/B200*10^(O202/10)</f>
        <v>35652.878789960298</v>
      </c>
      <c r="Q202" s="26"/>
      <c r="R202" s="17"/>
      <c r="S202" s="19"/>
      <c r="T202" s="17"/>
      <c r="U202" s="22"/>
    </row>
    <row r="203" spans="1:21" x14ac:dyDescent="0.25">
      <c r="A203" s="24"/>
      <c r="B203" s="24"/>
      <c r="C203" s="17"/>
      <c r="D203" s="24"/>
      <c r="E203" s="24"/>
      <c r="F203" s="25"/>
      <c r="G203" s="1">
        <v>2125</v>
      </c>
      <c r="H203" s="2">
        <v>104.2</v>
      </c>
      <c r="I203" s="2">
        <v>31.6</v>
      </c>
      <c r="J203" s="2">
        <v>27</v>
      </c>
      <c r="K203" s="2">
        <f t="shared" si="23"/>
        <v>31.6</v>
      </c>
      <c r="L203" s="8">
        <f t="shared" si="27"/>
        <v>5.4954087385762357E-8</v>
      </c>
      <c r="M203" s="26"/>
      <c r="N203" s="17"/>
      <c r="O203" s="9">
        <f t="shared" si="25"/>
        <v>27</v>
      </c>
      <c r="P203" s="8">
        <f>D200/B200*10^(O203/10)</f>
        <v>39092.604222927272</v>
      </c>
      <c r="Q203" s="26"/>
      <c r="R203" s="17"/>
      <c r="S203" s="19"/>
      <c r="T203" s="17"/>
      <c r="U203" s="22"/>
    </row>
    <row r="204" spans="1:21" x14ac:dyDescent="0.25">
      <c r="A204" s="24"/>
      <c r="B204" s="24"/>
      <c r="C204" s="17"/>
      <c r="D204" s="24"/>
      <c r="E204" s="24"/>
      <c r="F204" s="25"/>
      <c r="G204" s="1">
        <v>2425</v>
      </c>
      <c r="H204" s="2">
        <v>93.7</v>
      </c>
      <c r="I204" s="2">
        <v>33.299999999999997</v>
      </c>
      <c r="J204" s="2">
        <v>27.8</v>
      </c>
      <c r="K204" s="2">
        <f t="shared" si="23"/>
        <v>33.299999999999997</v>
      </c>
      <c r="L204" s="8">
        <f t="shared" si="27"/>
        <v>9.120108393559072E-7</v>
      </c>
      <c r="M204" s="26"/>
      <c r="N204" s="17"/>
      <c r="O204" s="9">
        <f t="shared" si="25"/>
        <v>27.8</v>
      </c>
      <c r="P204" s="8">
        <f>D200/B200*10^(O204/10)</f>
        <v>46999.647713799946</v>
      </c>
      <c r="Q204" s="26"/>
      <c r="R204" s="17"/>
      <c r="S204" s="19"/>
      <c r="T204" s="17"/>
      <c r="U204" s="22"/>
    </row>
    <row r="205" spans="1:21" x14ac:dyDescent="0.25">
      <c r="A205" s="24"/>
      <c r="B205" s="24"/>
      <c r="C205" s="17"/>
      <c r="D205" s="24"/>
      <c r="E205" s="24"/>
      <c r="F205" s="25"/>
      <c r="G205" s="1">
        <v>2775</v>
      </c>
      <c r="H205" s="2">
        <v>100.2</v>
      </c>
      <c r="I205" s="2">
        <v>32.4</v>
      </c>
      <c r="J205" s="2">
        <v>26.3</v>
      </c>
      <c r="K205" s="2">
        <f t="shared" si="23"/>
        <v>32.4</v>
      </c>
      <c r="L205" s="8">
        <f t="shared" si="27"/>
        <v>1.659586907437553E-7</v>
      </c>
      <c r="M205" s="26"/>
      <c r="N205" s="17"/>
      <c r="O205" s="9">
        <f t="shared" si="25"/>
        <v>26.3</v>
      </c>
      <c r="P205" s="8">
        <f>D200/B200*10^(O205/10)</f>
        <v>33273.20246652425</v>
      </c>
      <c r="Q205" s="26"/>
      <c r="R205" s="17"/>
      <c r="S205" s="20"/>
      <c r="T205" s="17"/>
      <c r="U205" s="23"/>
    </row>
    <row r="206" spans="1:21" x14ac:dyDescent="0.25">
      <c r="A206" s="24">
        <v>4000</v>
      </c>
      <c r="B206" s="24">
        <v>3</v>
      </c>
      <c r="C206" s="17">
        <v>0.5</v>
      </c>
      <c r="D206" s="24">
        <v>470</v>
      </c>
      <c r="E206" s="24">
        <v>6</v>
      </c>
      <c r="F206" s="25">
        <v>62</v>
      </c>
      <c r="G206" s="1">
        <v>2825</v>
      </c>
      <c r="H206" s="2">
        <v>99.4</v>
      </c>
      <c r="I206" s="2">
        <v>30.7</v>
      </c>
      <c r="J206" s="2">
        <v>26.2</v>
      </c>
      <c r="K206" s="2">
        <f t="shared" si="23"/>
        <v>30.7</v>
      </c>
      <c r="L206" s="8">
        <f t="shared" si="27"/>
        <v>1.3489628825916511E-7</v>
      </c>
      <c r="M206" s="26">
        <f>SUM(L206:L211)</f>
        <v>5.4096669678536502E-7</v>
      </c>
      <c r="N206" s="17">
        <f>10*LOG10(M206/E206)</f>
        <v>-70.449807206699347</v>
      </c>
      <c r="O206" s="9">
        <f t="shared" si="25"/>
        <v>26.2</v>
      </c>
      <c r="P206" s="8">
        <f>D206/B206*10^(O206/10)</f>
        <v>65309.536743685923</v>
      </c>
      <c r="Q206" s="26">
        <f>SUM(P206:P211)</f>
        <v>382970.49510785815</v>
      </c>
      <c r="R206" s="17">
        <f>10*LOG10(Q206)</f>
        <v>55.831653162520794</v>
      </c>
      <c r="S206" s="18">
        <f>F206+N206-Kzt-H</f>
        <v>-8.4498072066993473</v>
      </c>
      <c r="T206" s="17">
        <v>0.9</v>
      </c>
      <c r="U206" s="21">
        <f>T206*10^((S206-R206)/10)</f>
        <v>3.3581220199815901E-7</v>
      </c>
    </row>
    <row r="207" spans="1:21" x14ac:dyDescent="0.25">
      <c r="A207" s="24"/>
      <c r="B207" s="24"/>
      <c r="C207" s="17"/>
      <c r="D207" s="24"/>
      <c r="E207" s="24"/>
      <c r="F207" s="25"/>
      <c r="G207" s="1">
        <v>3425</v>
      </c>
      <c r="H207" s="2">
        <v>103.5</v>
      </c>
      <c r="I207" s="2">
        <v>34.4</v>
      </c>
      <c r="J207" s="2">
        <v>26.5</v>
      </c>
      <c r="K207" s="2">
        <f t="shared" si="23"/>
        <v>34.4</v>
      </c>
      <c r="L207" s="8">
        <f t="shared" si="27"/>
        <v>1.2302687708123817E-7</v>
      </c>
      <c r="M207" s="26"/>
      <c r="N207" s="17"/>
      <c r="O207" s="9">
        <f t="shared" si="25"/>
        <v>26.5</v>
      </c>
      <c r="P207" s="8">
        <f>D206/B206*10^(O207/10)</f>
        <v>69980.429436984254</v>
      </c>
      <c r="Q207" s="26"/>
      <c r="R207" s="17"/>
      <c r="S207" s="19"/>
      <c r="T207" s="17"/>
      <c r="U207" s="22"/>
    </row>
    <row r="208" spans="1:21" x14ac:dyDescent="0.25">
      <c r="A208" s="24"/>
      <c r="B208" s="24"/>
      <c r="C208" s="17"/>
      <c r="D208" s="24"/>
      <c r="E208" s="24"/>
      <c r="F208" s="25"/>
      <c r="G208" s="1">
        <v>4025</v>
      </c>
      <c r="H208" s="2">
        <v>103.6</v>
      </c>
      <c r="I208" s="2">
        <v>28.9</v>
      </c>
      <c r="J208" s="2">
        <v>22.1</v>
      </c>
      <c r="K208" s="2">
        <f t="shared" si="23"/>
        <v>28.9</v>
      </c>
      <c r="L208" s="8">
        <f t="shared" si="27"/>
        <v>3.3884415613920266E-8</v>
      </c>
      <c r="M208" s="26"/>
      <c r="N208" s="17"/>
      <c r="O208" s="9">
        <f t="shared" si="25"/>
        <v>22.1</v>
      </c>
      <c r="P208" s="8">
        <f>D206/B206*10^(O208/10)</f>
        <v>25408.358191956577</v>
      </c>
      <c r="Q208" s="26"/>
      <c r="R208" s="17"/>
      <c r="S208" s="19"/>
      <c r="T208" s="17"/>
      <c r="U208" s="22"/>
    </row>
    <row r="209" spans="1:21" x14ac:dyDescent="0.25">
      <c r="A209" s="24"/>
      <c r="B209" s="24"/>
      <c r="C209" s="17"/>
      <c r="D209" s="24"/>
      <c r="E209" s="24"/>
      <c r="F209" s="25"/>
      <c r="G209" s="1">
        <v>4625</v>
      </c>
      <c r="H209" s="2">
        <v>105.6</v>
      </c>
      <c r="I209" s="2">
        <v>30.7</v>
      </c>
      <c r="J209" s="2">
        <v>25.9</v>
      </c>
      <c r="K209" s="2">
        <f t="shared" si="23"/>
        <v>30.7</v>
      </c>
      <c r="L209" s="8">
        <f t="shared" si="27"/>
        <v>3.2359365692962842E-8</v>
      </c>
      <c r="M209" s="26"/>
      <c r="N209" s="17"/>
      <c r="O209" s="9">
        <f t="shared" si="25"/>
        <v>25.9</v>
      </c>
      <c r="P209" s="8">
        <f>D206/B206*10^(O209/10)</f>
        <v>60950.406049103964</v>
      </c>
      <c r="Q209" s="26"/>
      <c r="R209" s="17"/>
      <c r="S209" s="19"/>
      <c r="T209" s="17"/>
      <c r="U209" s="22"/>
    </row>
    <row r="210" spans="1:21" x14ac:dyDescent="0.25">
      <c r="A210" s="24"/>
      <c r="B210" s="24"/>
      <c r="C210" s="17"/>
      <c r="D210" s="24"/>
      <c r="E210" s="24"/>
      <c r="F210" s="25"/>
      <c r="G210" s="1">
        <v>5225</v>
      </c>
      <c r="H210" s="2">
        <v>103.5</v>
      </c>
      <c r="I210" s="2">
        <v>33.799999999999997</v>
      </c>
      <c r="J210" s="2">
        <v>24.6</v>
      </c>
      <c r="K210" s="2">
        <f t="shared" si="23"/>
        <v>33.799999999999997</v>
      </c>
      <c r="L210" s="8">
        <f t="shared" si="27"/>
        <v>1.0715193052376018E-7</v>
      </c>
      <c r="M210" s="26"/>
      <c r="N210" s="17"/>
      <c r="O210" s="9">
        <f t="shared" si="25"/>
        <v>24.6</v>
      </c>
      <c r="P210" s="8">
        <f>D206/B206*10^(O210/10)</f>
        <v>45183.160215650176</v>
      </c>
      <c r="Q210" s="26"/>
      <c r="R210" s="17"/>
      <c r="S210" s="19"/>
      <c r="T210" s="17"/>
      <c r="U210" s="22"/>
    </row>
    <row r="211" spans="1:21" x14ac:dyDescent="0.25">
      <c r="A211" s="24"/>
      <c r="B211" s="24"/>
      <c r="C211" s="17"/>
      <c r="D211" s="24"/>
      <c r="E211" s="24"/>
      <c r="F211" s="25"/>
      <c r="G211" s="1">
        <v>5625</v>
      </c>
      <c r="H211" s="2">
        <v>99.5</v>
      </c>
      <c r="I211" s="2">
        <v>29.9</v>
      </c>
      <c r="J211" s="2">
        <v>28.7</v>
      </c>
      <c r="K211" s="2">
        <f t="shared" si="23"/>
        <v>29.9</v>
      </c>
      <c r="L211" s="8">
        <f t="shared" si="27"/>
        <v>1.0964781961431838E-7</v>
      </c>
      <c r="M211" s="26"/>
      <c r="N211" s="17"/>
      <c r="O211" s="9">
        <f t="shared" si="25"/>
        <v>28.7</v>
      </c>
      <c r="P211" s="8">
        <f>D206/B206*10^(O211/10)</f>
        <v>116138.60447047719</v>
      </c>
      <c r="Q211" s="26"/>
      <c r="R211" s="17"/>
      <c r="S211" s="20"/>
      <c r="T211" s="17"/>
      <c r="U211" s="23"/>
    </row>
    <row r="212" spans="1:21" x14ac:dyDescent="0.25">
      <c r="A212" s="24">
        <v>8000</v>
      </c>
      <c r="B212" s="24">
        <v>3</v>
      </c>
      <c r="C212" s="17">
        <v>0.5</v>
      </c>
      <c r="D212" s="24">
        <v>943</v>
      </c>
      <c r="E212" s="24">
        <v>6</v>
      </c>
      <c r="F212" s="25">
        <v>54</v>
      </c>
      <c r="G212" s="1">
        <v>6025</v>
      </c>
      <c r="H212" s="2">
        <v>95</v>
      </c>
      <c r="I212" s="2">
        <v>33.4</v>
      </c>
      <c r="J212" s="2">
        <v>24.1</v>
      </c>
      <c r="K212" s="2">
        <f t="shared" si="23"/>
        <v>33.4</v>
      </c>
      <c r="L212" s="8">
        <f t="shared" si="27"/>
        <v>6.9183097091893534E-7</v>
      </c>
      <c r="M212" s="26">
        <f>SUM(L212:L217)</f>
        <v>8.0291535699386198E-6</v>
      </c>
      <c r="N212" s="17">
        <f>10*LOG10(M212/E212)</f>
        <v>-58.734814858372673</v>
      </c>
      <c r="O212" s="9">
        <f t="shared" si="25"/>
        <v>24.1</v>
      </c>
      <c r="P212" s="8">
        <f>D212/B212*10^(O212/10)</f>
        <v>80796.107438368024</v>
      </c>
      <c r="Q212" s="26">
        <f>SUM(P212:P217)</f>
        <v>643542.92434450286</v>
      </c>
      <c r="R212" s="17">
        <f>10*LOG10(Q212)</f>
        <v>58.085775196696801</v>
      </c>
      <c r="S212" s="18">
        <f>F212+N212-Kzt-H</f>
        <v>-4.7348148583726726</v>
      </c>
      <c r="T212" s="17">
        <v>0.7</v>
      </c>
      <c r="U212" s="21">
        <f>T212*10^((S212-R212)/10)</f>
        <v>3.6562765285016922E-7</v>
      </c>
    </row>
    <row r="213" spans="1:21" x14ac:dyDescent="0.25">
      <c r="A213" s="24"/>
      <c r="B213" s="24"/>
      <c r="C213" s="17"/>
      <c r="D213" s="24"/>
      <c r="E213" s="24"/>
      <c r="F213" s="25"/>
      <c r="G213" s="1">
        <v>7025</v>
      </c>
      <c r="H213" s="2">
        <v>94.8</v>
      </c>
      <c r="I213" s="2">
        <v>29.9</v>
      </c>
      <c r="J213" s="2">
        <v>27.2</v>
      </c>
      <c r="K213" s="2">
        <f t="shared" si="23"/>
        <v>29.9</v>
      </c>
      <c r="L213" s="8">
        <f t="shared" si="27"/>
        <v>3.2359365692962763E-7</v>
      </c>
      <c r="M213" s="26"/>
      <c r="N213" s="17"/>
      <c r="O213" s="9">
        <f t="shared" si="25"/>
        <v>27.2</v>
      </c>
      <c r="P213" s="8">
        <f>D212/B212*10^(O213/10)</f>
        <v>164964.47833851181</v>
      </c>
      <c r="Q213" s="26"/>
      <c r="R213" s="17"/>
      <c r="S213" s="19"/>
      <c r="T213" s="17"/>
      <c r="U213" s="22"/>
    </row>
    <row r="214" spans="1:21" x14ac:dyDescent="0.25">
      <c r="A214" s="24"/>
      <c r="B214" s="24"/>
      <c r="C214" s="17"/>
      <c r="D214" s="24"/>
      <c r="E214" s="24"/>
      <c r="F214" s="25"/>
      <c r="G214" s="1">
        <v>8025</v>
      </c>
      <c r="H214" s="2">
        <v>101.9</v>
      </c>
      <c r="I214" s="2">
        <v>30.2</v>
      </c>
      <c r="J214" s="2">
        <v>25.1</v>
      </c>
      <c r="K214" s="2">
        <f t="shared" si="23"/>
        <v>30.2</v>
      </c>
      <c r="L214" s="8">
        <f t="shared" si="27"/>
        <v>6.7608297539197998E-8</v>
      </c>
      <c r="M214" s="26"/>
      <c r="N214" s="17"/>
      <c r="O214" s="9">
        <f t="shared" si="25"/>
        <v>25.1</v>
      </c>
      <c r="P214" s="8">
        <f>D212/B212*10^(O214/10)</f>
        <v>101716.27282821323</v>
      </c>
      <c r="Q214" s="26"/>
      <c r="R214" s="17"/>
      <c r="S214" s="19"/>
      <c r="T214" s="17"/>
      <c r="U214" s="22"/>
    </row>
    <row r="215" spans="1:21" x14ac:dyDescent="0.25">
      <c r="A215" s="24"/>
      <c r="B215" s="24"/>
      <c r="C215" s="17"/>
      <c r="D215" s="24"/>
      <c r="E215" s="24"/>
      <c r="F215" s="25"/>
      <c r="G215" s="1">
        <v>9025</v>
      </c>
      <c r="H215" s="2">
        <v>93.2</v>
      </c>
      <c r="I215" s="2">
        <v>28.6</v>
      </c>
      <c r="J215" s="2">
        <v>26.3</v>
      </c>
      <c r="K215" s="2">
        <f t="shared" si="23"/>
        <v>28.6</v>
      </c>
      <c r="L215" s="8">
        <f t="shared" si="27"/>
        <v>3.4673685045253212E-7</v>
      </c>
      <c r="M215" s="26"/>
      <c r="N215" s="17"/>
      <c r="O215" s="9">
        <f t="shared" si="25"/>
        <v>26.3</v>
      </c>
      <c r="P215" s="8">
        <f>D212/B212*10^(O215/10)</f>
        <v>134088.16207663403</v>
      </c>
      <c r="Q215" s="26"/>
      <c r="R215" s="17"/>
      <c r="S215" s="19"/>
      <c r="T215" s="17"/>
      <c r="U215" s="22"/>
    </row>
    <row r="216" spans="1:21" x14ac:dyDescent="0.25">
      <c r="A216" s="24"/>
      <c r="B216" s="24"/>
      <c r="C216" s="17"/>
      <c r="D216" s="24"/>
      <c r="E216" s="24"/>
      <c r="F216" s="25"/>
      <c r="G216" s="1">
        <v>10025</v>
      </c>
      <c r="H216" s="2">
        <v>88.3</v>
      </c>
      <c r="I216" s="2">
        <v>34</v>
      </c>
      <c r="J216" s="2">
        <v>23.8</v>
      </c>
      <c r="K216" s="2">
        <f t="shared" si="23"/>
        <v>34</v>
      </c>
      <c r="L216" s="8">
        <f t="shared" si="27"/>
        <v>3.7153522909717272E-6</v>
      </c>
      <c r="M216" s="26"/>
      <c r="N216" s="17"/>
      <c r="O216" s="9">
        <f t="shared" si="25"/>
        <v>23.8</v>
      </c>
      <c r="P216" s="8">
        <f>D212/B212*10^(O216/10)</f>
        <v>75403.31475451267</v>
      </c>
      <c r="Q216" s="26"/>
      <c r="R216" s="17"/>
      <c r="S216" s="19"/>
      <c r="T216" s="17"/>
      <c r="U216" s="22"/>
    </row>
    <row r="217" spans="1:21" x14ac:dyDescent="0.25">
      <c r="A217" s="24"/>
      <c r="B217" s="24"/>
      <c r="C217" s="17"/>
      <c r="D217" s="24"/>
      <c r="E217" s="24"/>
      <c r="F217" s="25"/>
      <c r="G217" s="1">
        <v>11025</v>
      </c>
      <c r="H217" s="2">
        <v>86</v>
      </c>
      <c r="I217" s="2">
        <v>30.6</v>
      </c>
      <c r="J217" s="2">
        <v>24.4</v>
      </c>
      <c r="K217" s="2">
        <f t="shared" si="23"/>
        <v>30.6</v>
      </c>
      <c r="L217" s="8">
        <f t="shared" si="27"/>
        <v>2.8840315031265995E-6</v>
      </c>
      <c r="M217" s="26"/>
      <c r="N217" s="17"/>
      <c r="O217" s="9">
        <f t="shared" si="25"/>
        <v>24.4</v>
      </c>
      <c r="P217" s="8">
        <f>D212/B212*10^(O217/10)</f>
        <v>86574.588908263089</v>
      </c>
      <c r="Q217" s="26"/>
      <c r="R217" s="17"/>
      <c r="S217" s="20"/>
      <c r="T217" s="17"/>
      <c r="U217" s="23"/>
    </row>
    <row r="218" spans="1:21" x14ac:dyDescent="0.25">
      <c r="A218" s="24" t="s">
        <v>20</v>
      </c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12">
        <f>U218</f>
        <v>5.6368476794461275E-2</v>
      </c>
      <c r="T218" s="2"/>
      <c r="U218" s="8">
        <f>0.8*SQRT(SUM(U184:U217))</f>
        <v>5.6368476794461275E-2</v>
      </c>
    </row>
    <row r="219" spans="1:21" x14ac:dyDescent="0.25">
      <c r="A219" s="27" t="s">
        <v>118</v>
      </c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9"/>
    </row>
    <row r="220" spans="1:21" x14ac:dyDescent="0.25">
      <c r="A220" s="24">
        <v>250</v>
      </c>
      <c r="B220" s="24">
        <v>3</v>
      </c>
      <c r="C220" s="17">
        <v>0.5</v>
      </c>
      <c r="D220" s="24">
        <v>38</v>
      </c>
      <c r="E220" s="24">
        <v>4</v>
      </c>
      <c r="F220" s="25">
        <v>84</v>
      </c>
      <c r="G220" s="1">
        <v>175</v>
      </c>
      <c r="H220" s="2">
        <v>84.8</v>
      </c>
      <c r="I220" s="2">
        <v>38</v>
      </c>
      <c r="J220" s="2">
        <v>33.299999999999997</v>
      </c>
      <c r="K220" s="2">
        <f>I220</f>
        <v>38</v>
      </c>
      <c r="L220" s="8">
        <f>10^((K220-H220)/10)</f>
        <v>2.0892961308540399E-5</v>
      </c>
      <c r="M220" s="26">
        <f>SUM(L220:L223)</f>
        <v>5.1398410564284689E-5</v>
      </c>
      <c r="N220" s="17">
        <f>10*LOG10(M220/E220)</f>
        <v>-48.911103021738057</v>
      </c>
      <c r="O220" s="9">
        <f>J220</f>
        <v>33.299999999999997</v>
      </c>
      <c r="P220" s="8">
        <f>D220/B220*10^(O220/10)</f>
        <v>27080.853133694945</v>
      </c>
      <c r="Q220" s="26">
        <f>SUM(P220:P223)</f>
        <v>135256.69926859526</v>
      </c>
      <c r="R220" s="17">
        <f>10*LOG10(Q220)</f>
        <v>51.311587849307685</v>
      </c>
      <c r="S220" s="18">
        <f>F220+N220-Kzt-H</f>
        <v>35.088896978261943</v>
      </c>
      <c r="T220" s="17">
        <v>0.2</v>
      </c>
      <c r="U220" s="21">
        <f>T220*10^((S220-R220)/10)</f>
        <v>4.7726645258879975E-3</v>
      </c>
    </row>
    <row r="221" spans="1:21" x14ac:dyDescent="0.25">
      <c r="A221" s="24"/>
      <c r="B221" s="24"/>
      <c r="C221" s="17"/>
      <c r="D221" s="24"/>
      <c r="E221" s="24"/>
      <c r="F221" s="25"/>
      <c r="G221" s="1">
        <v>225</v>
      </c>
      <c r="H221" s="2">
        <v>90</v>
      </c>
      <c r="I221" s="2">
        <v>42.6</v>
      </c>
      <c r="J221" s="2">
        <v>35.6</v>
      </c>
      <c r="K221" s="2">
        <f t="shared" ref="K221:K253" si="28">I221</f>
        <v>42.6</v>
      </c>
      <c r="L221" s="8">
        <f t="shared" ref="L221:L222" si="29">10^((K221-H221)/10)</f>
        <v>1.8197008586099817E-5</v>
      </c>
      <c r="M221" s="26"/>
      <c r="N221" s="17"/>
      <c r="O221" s="9">
        <f t="shared" ref="O221:O253" si="30">J221</f>
        <v>35.6</v>
      </c>
      <c r="P221" s="8">
        <f>D220/B220*10^(O221/10)</f>
        <v>45989.886937546238</v>
      </c>
      <c r="Q221" s="26"/>
      <c r="R221" s="17"/>
      <c r="S221" s="19"/>
      <c r="T221" s="17"/>
      <c r="U221" s="22"/>
    </row>
    <row r="222" spans="1:21" x14ac:dyDescent="0.25">
      <c r="A222" s="24"/>
      <c r="B222" s="24"/>
      <c r="C222" s="17"/>
      <c r="D222" s="24"/>
      <c r="E222" s="24"/>
      <c r="F222" s="25"/>
      <c r="G222" s="1">
        <v>275</v>
      </c>
      <c r="H222" s="2">
        <v>92.2</v>
      </c>
      <c r="I222" s="2">
        <v>41.2</v>
      </c>
      <c r="J222" s="2">
        <v>33.9</v>
      </c>
      <c r="K222" s="2">
        <f t="shared" si="28"/>
        <v>41.2</v>
      </c>
      <c r="L222" s="8">
        <f t="shared" si="29"/>
        <v>7.9432823472428065E-6</v>
      </c>
      <c r="M222" s="26"/>
      <c r="N222" s="17"/>
      <c r="O222" s="9">
        <f t="shared" si="30"/>
        <v>33.9</v>
      </c>
      <c r="P222" s="8">
        <f>D220/B220*10^(O222/10)</f>
        <v>31092.979598677037</v>
      </c>
      <c r="Q222" s="26"/>
      <c r="R222" s="17"/>
      <c r="S222" s="19"/>
      <c r="T222" s="17"/>
      <c r="U222" s="22"/>
    </row>
    <row r="223" spans="1:21" x14ac:dyDescent="0.25">
      <c r="A223" s="24"/>
      <c r="B223" s="24"/>
      <c r="C223" s="17"/>
      <c r="D223" s="24"/>
      <c r="E223" s="24"/>
      <c r="F223" s="25"/>
      <c r="G223" s="1">
        <v>325</v>
      </c>
      <c r="H223" s="2">
        <v>93.3</v>
      </c>
      <c r="I223" s="2">
        <v>39.700000000000003</v>
      </c>
      <c r="J223" s="2">
        <v>33.9</v>
      </c>
      <c r="K223" s="2">
        <f t="shared" si="28"/>
        <v>39.700000000000003</v>
      </c>
      <c r="L223" s="8">
        <f>10^((K223-H223)/10)</f>
        <v>4.3651583224016583E-6</v>
      </c>
      <c r="M223" s="26"/>
      <c r="N223" s="17"/>
      <c r="O223" s="9">
        <f t="shared" si="30"/>
        <v>33.9</v>
      </c>
      <c r="P223" s="8">
        <f>D220/B220*10^(O223/10)</f>
        <v>31092.979598677037</v>
      </c>
      <c r="Q223" s="26"/>
      <c r="R223" s="17"/>
      <c r="S223" s="20"/>
      <c r="T223" s="17"/>
      <c r="U223" s="23"/>
    </row>
    <row r="224" spans="1:21" x14ac:dyDescent="0.25">
      <c r="A224" s="24">
        <v>500</v>
      </c>
      <c r="B224" s="24">
        <v>3</v>
      </c>
      <c r="C224" s="17">
        <v>0.5</v>
      </c>
      <c r="D224" s="24">
        <v>59</v>
      </c>
      <c r="E224" s="24">
        <v>6</v>
      </c>
      <c r="F224" s="25">
        <v>84</v>
      </c>
      <c r="G224" s="1">
        <v>375</v>
      </c>
      <c r="H224" s="2">
        <v>91.9</v>
      </c>
      <c r="I224" s="2">
        <v>32.9</v>
      </c>
      <c r="J224" s="2">
        <v>29.9</v>
      </c>
      <c r="K224" s="2">
        <f t="shared" si="28"/>
        <v>32.9</v>
      </c>
      <c r="L224" s="8">
        <f t="shared" ref="L224:L225" si="31">10^((K224-H224)/10)</f>
        <v>1.2589254117941642E-6</v>
      </c>
      <c r="M224" s="26">
        <f>SUM(L224:L229)</f>
        <v>2.5467921651357082E-5</v>
      </c>
      <c r="N224" s="17">
        <f>10*LOG10(M224/E224)</f>
        <v>-53.721577452384714</v>
      </c>
      <c r="O224" s="9">
        <f t="shared" si="30"/>
        <v>29.9</v>
      </c>
      <c r="P224" s="8">
        <f>D224/B224*10^(O224/10)</f>
        <v>19218.998678797609</v>
      </c>
      <c r="Q224" s="26">
        <f>SUM(P224:P229)</f>
        <v>281033.29711177864</v>
      </c>
      <c r="R224" s="17">
        <f>10*LOG10(Q224)</f>
        <v>54.487577786069039</v>
      </c>
      <c r="S224" s="18">
        <f>F224+N224-Kzt-H</f>
        <v>30.278422547615286</v>
      </c>
      <c r="T224" s="17">
        <v>0.5</v>
      </c>
      <c r="U224" s="21">
        <f>T224*10^((S224-R224)/10)</f>
        <v>1.8969438702414797E-3</v>
      </c>
    </row>
    <row r="225" spans="1:21" x14ac:dyDescent="0.25">
      <c r="A225" s="24"/>
      <c r="B225" s="24"/>
      <c r="C225" s="17"/>
      <c r="D225" s="24"/>
      <c r="E225" s="24"/>
      <c r="F225" s="25"/>
      <c r="G225" s="1">
        <v>425</v>
      </c>
      <c r="H225" s="2">
        <v>88.1</v>
      </c>
      <c r="I225" s="2">
        <v>39.299999999999997</v>
      </c>
      <c r="J225" s="2">
        <v>36.299999999999997</v>
      </c>
      <c r="K225" s="2">
        <f t="shared" si="28"/>
        <v>39.299999999999997</v>
      </c>
      <c r="L225" s="8">
        <f t="shared" si="31"/>
        <v>1.3182567385564052E-5</v>
      </c>
      <c r="M225" s="26"/>
      <c r="N225" s="17"/>
      <c r="O225" s="9">
        <f t="shared" si="30"/>
        <v>36.299999999999997</v>
      </c>
      <c r="P225" s="8">
        <f>D224/B224*10^(O225/10)</f>
        <v>83893.97203097996</v>
      </c>
      <c r="Q225" s="26"/>
      <c r="R225" s="17"/>
      <c r="S225" s="19"/>
      <c r="T225" s="17"/>
      <c r="U225" s="22"/>
    </row>
    <row r="226" spans="1:21" x14ac:dyDescent="0.25">
      <c r="A226" s="24"/>
      <c r="B226" s="24"/>
      <c r="C226" s="17"/>
      <c r="D226" s="24"/>
      <c r="E226" s="24"/>
      <c r="F226" s="25"/>
      <c r="G226" s="1">
        <v>475</v>
      </c>
      <c r="H226" s="2">
        <v>90</v>
      </c>
      <c r="I226" s="2">
        <v>38</v>
      </c>
      <c r="J226" s="2">
        <v>29.5</v>
      </c>
      <c r="K226" s="2">
        <f t="shared" si="28"/>
        <v>38</v>
      </c>
      <c r="L226" s="8">
        <f>10^((K226-H226)/10)</f>
        <v>6.3095734448019212E-6</v>
      </c>
      <c r="M226" s="26"/>
      <c r="N226" s="17"/>
      <c r="O226" s="9">
        <f t="shared" si="30"/>
        <v>29.5</v>
      </c>
      <c r="P226" s="8">
        <f>D224/B224*10^(O226/10)</f>
        <v>17527.93511663035</v>
      </c>
      <c r="Q226" s="26"/>
      <c r="R226" s="17"/>
      <c r="S226" s="19"/>
      <c r="T226" s="17"/>
      <c r="U226" s="22"/>
    </row>
    <row r="227" spans="1:21" x14ac:dyDescent="0.25">
      <c r="A227" s="24"/>
      <c r="B227" s="24"/>
      <c r="C227" s="17"/>
      <c r="D227" s="24"/>
      <c r="E227" s="24"/>
      <c r="F227" s="25"/>
      <c r="G227" s="1">
        <v>575</v>
      </c>
      <c r="H227" s="2">
        <v>97</v>
      </c>
      <c r="I227" s="2">
        <v>34.799999999999997</v>
      </c>
      <c r="J227" s="2">
        <v>34.5</v>
      </c>
      <c r="K227" s="2">
        <f t="shared" si="28"/>
        <v>34.799999999999997</v>
      </c>
      <c r="L227" s="8">
        <f t="shared" ref="L227:L253" si="32">10^((K227-H227)/10)</f>
        <v>6.0255958607435604E-7</v>
      </c>
      <c r="M227" s="26"/>
      <c r="N227" s="17"/>
      <c r="O227" s="9">
        <f t="shared" si="30"/>
        <v>34.5</v>
      </c>
      <c r="P227" s="8">
        <f>D224/B224*10^(O227/10)</f>
        <v>55428.197648200978</v>
      </c>
      <c r="Q227" s="26"/>
      <c r="R227" s="17"/>
      <c r="S227" s="19"/>
      <c r="T227" s="17"/>
      <c r="U227" s="22"/>
    </row>
    <row r="228" spans="1:21" x14ac:dyDescent="0.25">
      <c r="A228" s="24"/>
      <c r="B228" s="24"/>
      <c r="C228" s="17"/>
      <c r="D228" s="24"/>
      <c r="E228" s="24"/>
      <c r="F228" s="25"/>
      <c r="G228" s="1">
        <v>625</v>
      </c>
      <c r="H228" s="2">
        <v>92</v>
      </c>
      <c r="I228" s="2">
        <v>35.9</v>
      </c>
      <c r="J228" s="2">
        <v>32.1</v>
      </c>
      <c r="K228" s="2">
        <f t="shared" si="28"/>
        <v>35.9</v>
      </c>
      <c r="L228" s="8">
        <f t="shared" si="32"/>
        <v>2.4547089156850267E-6</v>
      </c>
      <c r="M228" s="26"/>
      <c r="N228" s="17"/>
      <c r="O228" s="9">
        <f t="shared" si="30"/>
        <v>32.1</v>
      </c>
      <c r="P228" s="8">
        <f>D224/B224*10^(O228/10)</f>
        <v>31895.598581392307</v>
      </c>
      <c r="Q228" s="26"/>
      <c r="R228" s="17"/>
      <c r="S228" s="19"/>
      <c r="T228" s="17"/>
      <c r="U228" s="22"/>
    </row>
    <row r="229" spans="1:21" x14ac:dyDescent="0.25">
      <c r="A229" s="24"/>
      <c r="B229" s="24"/>
      <c r="C229" s="17"/>
      <c r="D229" s="24"/>
      <c r="E229" s="24"/>
      <c r="F229" s="25"/>
      <c r="G229" s="1">
        <v>675</v>
      </c>
      <c r="H229" s="2">
        <v>94.5</v>
      </c>
      <c r="I229" s="2">
        <v>36.700000000000003</v>
      </c>
      <c r="J229" s="2">
        <v>35.700000000000003</v>
      </c>
      <c r="K229" s="2">
        <f t="shared" si="28"/>
        <v>36.700000000000003</v>
      </c>
      <c r="L229" s="8">
        <f t="shared" si="32"/>
        <v>1.6595869074375609E-6</v>
      </c>
      <c r="M229" s="26"/>
      <c r="N229" s="17"/>
      <c r="O229" s="9">
        <f t="shared" si="30"/>
        <v>35.700000000000003</v>
      </c>
      <c r="P229" s="8">
        <f>D224/B224*10^(O229/10)</f>
        <v>73068.595055777376</v>
      </c>
      <c r="Q229" s="26"/>
      <c r="R229" s="17"/>
      <c r="S229" s="20"/>
      <c r="T229" s="17"/>
      <c r="U229" s="23"/>
    </row>
    <row r="230" spans="1:21" x14ac:dyDescent="0.25">
      <c r="A230" s="24">
        <v>1000</v>
      </c>
      <c r="B230" s="24">
        <v>3</v>
      </c>
      <c r="C230" s="17">
        <v>0.5</v>
      </c>
      <c r="D230" s="24">
        <v>117</v>
      </c>
      <c r="E230" s="24">
        <v>6</v>
      </c>
      <c r="F230" s="25">
        <v>76</v>
      </c>
      <c r="G230" s="1">
        <v>875</v>
      </c>
      <c r="H230" s="2">
        <v>91.1</v>
      </c>
      <c r="I230" s="2">
        <v>35.6</v>
      </c>
      <c r="J230" s="2">
        <v>33</v>
      </c>
      <c r="K230" s="2">
        <f t="shared" si="28"/>
        <v>35.6</v>
      </c>
      <c r="L230" s="8">
        <f t="shared" si="32"/>
        <v>2.8183829312644581E-6</v>
      </c>
      <c r="M230" s="26">
        <f>SUM(L230:L235)</f>
        <v>6.3421432602318927E-6</v>
      </c>
      <c r="N230" s="17">
        <f>10*LOG10(M230/E230)</f>
        <v>-59.759152024709586</v>
      </c>
      <c r="O230" s="9">
        <f t="shared" si="30"/>
        <v>33</v>
      </c>
      <c r="P230" s="8">
        <f>D230/B230*10^(O230/10)</f>
        <v>77815.230283786339</v>
      </c>
      <c r="Q230" s="26">
        <f>SUM(P230:P235)</f>
        <v>289582.38805005426</v>
      </c>
      <c r="R230" s="17">
        <f>10*LOG10(Q230)</f>
        <v>54.617721452141097</v>
      </c>
      <c r="S230" s="18">
        <f>F230+N230-Kzt-H</f>
        <v>16.240847975290414</v>
      </c>
      <c r="T230" s="17">
        <v>0.8</v>
      </c>
      <c r="U230" s="21">
        <f>T230*10^((S230-R230)/10)</f>
        <v>1.16252590524229E-4</v>
      </c>
    </row>
    <row r="231" spans="1:21" x14ac:dyDescent="0.25">
      <c r="A231" s="24"/>
      <c r="B231" s="24"/>
      <c r="C231" s="17"/>
      <c r="D231" s="24"/>
      <c r="E231" s="24"/>
      <c r="F231" s="25"/>
      <c r="G231" s="1">
        <v>975</v>
      </c>
      <c r="H231" s="2">
        <v>96.5</v>
      </c>
      <c r="I231" s="2">
        <v>34.9</v>
      </c>
      <c r="J231" s="2">
        <v>29.2</v>
      </c>
      <c r="K231" s="2">
        <f t="shared" si="28"/>
        <v>34.9</v>
      </c>
      <c r="L231" s="8">
        <f t="shared" si="32"/>
        <v>6.9183097091893534E-7</v>
      </c>
      <c r="M231" s="26"/>
      <c r="N231" s="17"/>
      <c r="O231" s="9">
        <f t="shared" si="30"/>
        <v>29.2</v>
      </c>
      <c r="P231" s="8">
        <f>D230/B230*10^(O231/10)</f>
        <v>32438.787073004183</v>
      </c>
      <c r="Q231" s="26"/>
      <c r="R231" s="17"/>
      <c r="S231" s="19"/>
      <c r="T231" s="17"/>
      <c r="U231" s="22"/>
    </row>
    <row r="232" spans="1:21" x14ac:dyDescent="0.25">
      <c r="A232" s="24"/>
      <c r="B232" s="24"/>
      <c r="C232" s="17"/>
      <c r="D232" s="24"/>
      <c r="E232" s="24"/>
      <c r="F232" s="25"/>
      <c r="G232" s="1">
        <v>1075</v>
      </c>
      <c r="H232" s="2">
        <v>94.6</v>
      </c>
      <c r="I232" s="2">
        <v>35.4</v>
      </c>
      <c r="J232" s="2">
        <v>28.6</v>
      </c>
      <c r="K232" s="2">
        <f t="shared" si="28"/>
        <v>35.4</v>
      </c>
      <c r="L232" s="8">
        <f t="shared" si="32"/>
        <v>1.2022644346174125E-6</v>
      </c>
      <c r="M232" s="26"/>
      <c r="N232" s="17"/>
      <c r="O232" s="9">
        <f t="shared" si="30"/>
        <v>28.6</v>
      </c>
      <c r="P232" s="8">
        <f>D230/B230*10^(O232/10)</f>
        <v>28253.00244292464</v>
      </c>
      <c r="Q232" s="26"/>
      <c r="R232" s="17"/>
      <c r="S232" s="19"/>
      <c r="T232" s="17"/>
      <c r="U232" s="22"/>
    </row>
    <row r="233" spans="1:21" x14ac:dyDescent="0.25">
      <c r="A233" s="24"/>
      <c r="B233" s="24"/>
      <c r="C233" s="17"/>
      <c r="D233" s="24"/>
      <c r="E233" s="24"/>
      <c r="F233" s="25"/>
      <c r="G233" s="1">
        <v>1175</v>
      </c>
      <c r="H233" s="2">
        <v>97.8</v>
      </c>
      <c r="I233" s="2">
        <v>38.4</v>
      </c>
      <c r="J233" s="2">
        <v>30.8</v>
      </c>
      <c r="K233" s="2">
        <f t="shared" si="28"/>
        <v>38.4</v>
      </c>
      <c r="L233" s="8">
        <f t="shared" si="32"/>
        <v>1.1481536214968825E-6</v>
      </c>
      <c r="M233" s="26"/>
      <c r="N233" s="17"/>
      <c r="O233" s="9">
        <f t="shared" si="30"/>
        <v>30.8</v>
      </c>
      <c r="P233" s="8">
        <f>D230/B230*10^(O233/10)</f>
        <v>46888.31295007914</v>
      </c>
      <c r="Q233" s="26"/>
      <c r="R233" s="17"/>
      <c r="S233" s="19"/>
      <c r="T233" s="17"/>
      <c r="U233" s="22"/>
    </row>
    <row r="234" spans="1:21" x14ac:dyDescent="0.25">
      <c r="A234" s="24"/>
      <c r="B234" s="24"/>
      <c r="C234" s="17"/>
      <c r="D234" s="24"/>
      <c r="E234" s="24"/>
      <c r="F234" s="25"/>
      <c r="G234" s="1">
        <v>1275</v>
      </c>
      <c r="H234" s="2">
        <v>100.1</v>
      </c>
      <c r="I234" s="2">
        <v>36.200000000000003</v>
      </c>
      <c r="J234" s="2">
        <v>31</v>
      </c>
      <c r="K234" s="2">
        <f t="shared" si="28"/>
        <v>36.200000000000003</v>
      </c>
      <c r="L234" s="8">
        <f t="shared" si="32"/>
        <v>4.0738027780411298E-7</v>
      </c>
      <c r="M234" s="26"/>
      <c r="N234" s="17"/>
      <c r="O234" s="9">
        <f t="shared" si="30"/>
        <v>31</v>
      </c>
      <c r="P234" s="8">
        <f>D230/B230*10^(O234/10)</f>
        <v>49098.091059972554</v>
      </c>
      <c r="Q234" s="26"/>
      <c r="R234" s="17"/>
      <c r="S234" s="19"/>
      <c r="T234" s="17"/>
      <c r="U234" s="22"/>
    </row>
    <row r="235" spans="1:21" x14ac:dyDescent="0.25">
      <c r="A235" s="24"/>
      <c r="B235" s="24"/>
      <c r="C235" s="17"/>
      <c r="D235" s="24"/>
      <c r="E235" s="24"/>
      <c r="F235" s="25"/>
      <c r="G235" s="1">
        <v>1375</v>
      </c>
      <c r="H235" s="2">
        <v>103</v>
      </c>
      <c r="I235" s="2">
        <v>31.7</v>
      </c>
      <c r="J235" s="2">
        <v>31.5</v>
      </c>
      <c r="K235" s="2">
        <f t="shared" si="28"/>
        <v>31.7</v>
      </c>
      <c r="L235" s="8">
        <f t="shared" si="32"/>
        <v>7.413102413009154E-8</v>
      </c>
      <c r="M235" s="26"/>
      <c r="N235" s="17"/>
      <c r="O235" s="9">
        <f t="shared" si="30"/>
        <v>31.5</v>
      </c>
      <c r="P235" s="8">
        <f>D230/B230*10^(O235/10)</f>
        <v>55088.964240287423</v>
      </c>
      <c r="Q235" s="26"/>
      <c r="R235" s="17"/>
      <c r="S235" s="20"/>
      <c r="T235" s="17"/>
      <c r="U235" s="23"/>
    </row>
    <row r="236" spans="1:21" x14ac:dyDescent="0.25">
      <c r="A236" s="24">
        <v>2000</v>
      </c>
      <c r="B236" s="24">
        <v>3</v>
      </c>
      <c r="C236" s="17">
        <v>0.5</v>
      </c>
      <c r="D236" s="24">
        <v>234</v>
      </c>
      <c r="E236" s="24">
        <v>6</v>
      </c>
      <c r="F236" s="25">
        <v>68</v>
      </c>
      <c r="G236" s="1">
        <v>1425</v>
      </c>
      <c r="H236" s="2">
        <v>102.8</v>
      </c>
      <c r="I236" s="2">
        <v>33.799999999999997</v>
      </c>
      <c r="J236" s="2">
        <v>27.9</v>
      </c>
      <c r="K236" s="2">
        <f t="shared" si="28"/>
        <v>33.799999999999997</v>
      </c>
      <c r="L236" s="8">
        <f t="shared" si="32"/>
        <v>1.2589254117941651E-7</v>
      </c>
      <c r="M236" s="26">
        <f>SUM(L236:L241)</f>
        <v>1.0762119403978106E-6</v>
      </c>
      <c r="N236" s="17">
        <f>10*LOG10(M236/E236)</f>
        <v>-67.462534442192435</v>
      </c>
      <c r="O236" s="9">
        <f t="shared" si="30"/>
        <v>27.9</v>
      </c>
      <c r="P236" s="8">
        <f>D236/B236*10^(O236/10)</f>
        <v>48094.410145195652</v>
      </c>
      <c r="Q236" s="26">
        <f>SUM(P236:P241)</f>
        <v>387027.55321343476</v>
      </c>
      <c r="R236" s="17">
        <f>10*LOG10(Q236)</f>
        <v>55.877418843537825</v>
      </c>
      <c r="S236" s="18">
        <f>F236+N236-Kzt-H</f>
        <v>0.53746555780756466</v>
      </c>
      <c r="T236" s="17">
        <v>1</v>
      </c>
      <c r="U236" s="21">
        <f>T236*10^((S236-R236)/10)</f>
        <v>2.9241838312426472E-6</v>
      </c>
    </row>
    <row r="237" spans="1:21" x14ac:dyDescent="0.25">
      <c r="A237" s="24"/>
      <c r="B237" s="24"/>
      <c r="C237" s="17"/>
      <c r="D237" s="24"/>
      <c r="E237" s="24"/>
      <c r="F237" s="25"/>
      <c r="G237" s="1">
        <v>1625</v>
      </c>
      <c r="H237" s="2">
        <v>104.1</v>
      </c>
      <c r="I237" s="2">
        <v>34</v>
      </c>
      <c r="J237" s="2">
        <v>31.6</v>
      </c>
      <c r="K237" s="2">
        <f t="shared" si="28"/>
        <v>34</v>
      </c>
      <c r="L237" s="8">
        <f t="shared" si="32"/>
        <v>9.7723722095581017E-8</v>
      </c>
      <c r="M237" s="26"/>
      <c r="N237" s="17"/>
      <c r="O237" s="9">
        <f t="shared" si="30"/>
        <v>31.6</v>
      </c>
      <c r="P237" s="8">
        <f>D236/B236*10^(O237/10)</f>
        <v>112744.30211818244</v>
      </c>
      <c r="Q237" s="26"/>
      <c r="R237" s="17"/>
      <c r="S237" s="19"/>
      <c r="T237" s="17"/>
      <c r="U237" s="22"/>
    </row>
    <row r="238" spans="1:21" x14ac:dyDescent="0.25">
      <c r="A238" s="24"/>
      <c r="B238" s="24"/>
      <c r="C238" s="17"/>
      <c r="D238" s="24"/>
      <c r="E238" s="24"/>
      <c r="F238" s="25"/>
      <c r="G238" s="1">
        <v>1825</v>
      </c>
      <c r="H238" s="2">
        <v>107.6</v>
      </c>
      <c r="I238" s="2">
        <v>33.200000000000003</v>
      </c>
      <c r="J238" s="2">
        <v>28.2</v>
      </c>
      <c r="K238" s="2">
        <f t="shared" si="28"/>
        <v>33.200000000000003</v>
      </c>
      <c r="L238" s="8">
        <f t="shared" si="32"/>
        <v>3.6307805477010135E-8</v>
      </c>
      <c r="M238" s="26"/>
      <c r="N238" s="17"/>
      <c r="O238" s="9">
        <f t="shared" si="30"/>
        <v>28.2</v>
      </c>
      <c r="P238" s="8">
        <f>D236/B236*10^(O238/10)</f>
        <v>51534.08894459252</v>
      </c>
      <c r="Q238" s="26"/>
      <c r="R238" s="17"/>
      <c r="S238" s="19"/>
      <c r="T238" s="17"/>
      <c r="U238" s="22"/>
    </row>
    <row r="239" spans="1:21" x14ac:dyDescent="0.25">
      <c r="A239" s="24"/>
      <c r="B239" s="24"/>
      <c r="C239" s="17"/>
      <c r="D239" s="24"/>
      <c r="E239" s="24"/>
      <c r="F239" s="25"/>
      <c r="G239" s="1">
        <v>2125</v>
      </c>
      <c r="H239" s="2">
        <v>104.2</v>
      </c>
      <c r="I239" s="2">
        <v>32.5</v>
      </c>
      <c r="J239" s="2">
        <v>27.6</v>
      </c>
      <c r="K239" s="2">
        <f t="shared" si="28"/>
        <v>32.5</v>
      </c>
      <c r="L239" s="8">
        <f t="shared" si="32"/>
        <v>6.7608297539197998E-8</v>
      </c>
      <c r="M239" s="26"/>
      <c r="N239" s="17"/>
      <c r="O239" s="9">
        <f t="shared" si="30"/>
        <v>27.6</v>
      </c>
      <c r="P239" s="8">
        <f>D236/B236*10^(O239/10)</f>
        <v>44884.315112298296</v>
      </c>
      <c r="Q239" s="26"/>
      <c r="R239" s="17"/>
      <c r="S239" s="19"/>
      <c r="T239" s="17"/>
      <c r="U239" s="22"/>
    </row>
    <row r="240" spans="1:21" x14ac:dyDescent="0.25">
      <c r="A240" s="24"/>
      <c r="B240" s="24"/>
      <c r="C240" s="17"/>
      <c r="D240" s="24"/>
      <c r="E240" s="24"/>
      <c r="F240" s="25"/>
      <c r="G240" s="1">
        <v>2425</v>
      </c>
      <c r="H240" s="2">
        <v>93.7</v>
      </c>
      <c r="I240" s="2">
        <v>30.9</v>
      </c>
      <c r="J240" s="2">
        <v>30.2</v>
      </c>
      <c r="K240" s="2">
        <f t="shared" si="28"/>
        <v>30.9</v>
      </c>
      <c r="L240" s="8">
        <f t="shared" si="32"/>
        <v>5.2480746024977148E-7</v>
      </c>
      <c r="M240" s="26"/>
      <c r="N240" s="17"/>
      <c r="O240" s="9">
        <f t="shared" si="30"/>
        <v>30.2</v>
      </c>
      <c r="P240" s="8">
        <f>D236/B236*10^(O240/10)</f>
        <v>81676.026747970202</v>
      </c>
      <c r="Q240" s="26"/>
      <c r="R240" s="17"/>
      <c r="S240" s="19"/>
      <c r="T240" s="17"/>
      <c r="U240" s="22"/>
    </row>
    <row r="241" spans="1:21" x14ac:dyDescent="0.25">
      <c r="A241" s="24"/>
      <c r="B241" s="24"/>
      <c r="C241" s="17"/>
      <c r="D241" s="24"/>
      <c r="E241" s="24"/>
      <c r="F241" s="25"/>
      <c r="G241" s="1">
        <v>2775</v>
      </c>
      <c r="H241" s="2">
        <v>100.2</v>
      </c>
      <c r="I241" s="2">
        <v>33.700000000000003</v>
      </c>
      <c r="J241" s="2">
        <v>27.9</v>
      </c>
      <c r="K241" s="2">
        <f t="shared" si="28"/>
        <v>33.700000000000003</v>
      </c>
      <c r="L241" s="8">
        <f t="shared" si="32"/>
        <v>2.2387211385683346E-7</v>
      </c>
      <c r="M241" s="26"/>
      <c r="N241" s="17"/>
      <c r="O241" s="9">
        <f t="shared" si="30"/>
        <v>27.9</v>
      </c>
      <c r="P241" s="8">
        <f>D236/B236*10^(O241/10)</f>
        <v>48094.410145195652</v>
      </c>
      <c r="Q241" s="26"/>
      <c r="R241" s="17"/>
      <c r="S241" s="20"/>
      <c r="T241" s="17"/>
      <c r="U241" s="23"/>
    </row>
    <row r="242" spans="1:21" x14ac:dyDescent="0.25">
      <c r="A242" s="24">
        <v>4000</v>
      </c>
      <c r="B242" s="24">
        <v>3</v>
      </c>
      <c r="C242" s="17">
        <v>0.5</v>
      </c>
      <c r="D242" s="24">
        <v>470</v>
      </c>
      <c r="E242" s="24">
        <v>6</v>
      </c>
      <c r="F242" s="25">
        <v>62</v>
      </c>
      <c r="G242" s="1">
        <v>2825</v>
      </c>
      <c r="H242" s="2">
        <v>99.4</v>
      </c>
      <c r="I242" s="2">
        <v>28.8</v>
      </c>
      <c r="J242" s="2">
        <v>26.8</v>
      </c>
      <c r="K242" s="2">
        <f t="shared" si="28"/>
        <v>28.8</v>
      </c>
      <c r="L242" s="8">
        <f t="shared" si="32"/>
        <v>8.7096358995607744E-8</v>
      </c>
      <c r="M242" s="26">
        <f>SUM(L242:L247)</f>
        <v>4.8695755560170577E-7</v>
      </c>
      <c r="N242" s="17">
        <f>10*LOG10(M242/E242)</f>
        <v>-70.906601416767955</v>
      </c>
      <c r="O242" s="9">
        <f t="shared" si="30"/>
        <v>26.8</v>
      </c>
      <c r="P242" s="8">
        <f>D242/B242*10^(O242/10)</f>
        <v>74985.381130546753</v>
      </c>
      <c r="Q242" s="26">
        <f>SUM(P242:P247)</f>
        <v>453503.453837596</v>
      </c>
      <c r="R242" s="17">
        <f>10*LOG10(Q242)</f>
        <v>56.565805989526687</v>
      </c>
      <c r="S242" s="18">
        <f>F242+N242-Kzt-H</f>
        <v>-8.9066014167679555</v>
      </c>
      <c r="T242" s="17">
        <v>0.9</v>
      </c>
      <c r="U242" s="21">
        <f>T242*10^((S242-R242)/10)</f>
        <v>2.5527116994141776E-7</v>
      </c>
    </row>
    <row r="243" spans="1:21" x14ac:dyDescent="0.25">
      <c r="A243" s="24"/>
      <c r="B243" s="24"/>
      <c r="C243" s="17"/>
      <c r="D243" s="24"/>
      <c r="E243" s="24"/>
      <c r="F243" s="25"/>
      <c r="G243" s="1">
        <v>3425</v>
      </c>
      <c r="H243" s="2">
        <v>103.5</v>
      </c>
      <c r="I243" s="2">
        <v>29.8</v>
      </c>
      <c r="J243" s="2">
        <v>25.5</v>
      </c>
      <c r="K243" s="2">
        <f t="shared" si="28"/>
        <v>29.8</v>
      </c>
      <c r="L243" s="8">
        <f t="shared" si="32"/>
        <v>4.2657951880159239E-8</v>
      </c>
      <c r="M243" s="26"/>
      <c r="N243" s="17"/>
      <c r="O243" s="9">
        <f t="shared" si="30"/>
        <v>25.5</v>
      </c>
      <c r="P243" s="8">
        <f>D242/B242*10^(O243/10)</f>
        <v>55587.430979926852</v>
      </c>
      <c r="Q243" s="26"/>
      <c r="R243" s="17"/>
      <c r="S243" s="19"/>
      <c r="T243" s="17"/>
      <c r="U243" s="22"/>
    </row>
    <row r="244" spans="1:21" x14ac:dyDescent="0.25">
      <c r="A244" s="24"/>
      <c r="B244" s="24"/>
      <c r="C244" s="17"/>
      <c r="D244" s="24"/>
      <c r="E244" s="24"/>
      <c r="F244" s="25"/>
      <c r="G244" s="1">
        <v>4025</v>
      </c>
      <c r="H244" s="2">
        <v>103.6</v>
      </c>
      <c r="I244" s="2">
        <v>35.4</v>
      </c>
      <c r="J244" s="2">
        <v>27.4</v>
      </c>
      <c r="K244" s="2">
        <f t="shared" si="28"/>
        <v>35.4</v>
      </c>
      <c r="L244" s="8">
        <f t="shared" si="32"/>
        <v>1.5135612484362101E-7</v>
      </c>
      <c r="M244" s="26"/>
      <c r="N244" s="17"/>
      <c r="O244" s="9">
        <f t="shared" si="30"/>
        <v>27.4</v>
      </c>
      <c r="P244" s="8">
        <f>D242/B242*10^(O244/10)</f>
        <v>86094.736904361213</v>
      </c>
      <c r="Q244" s="26"/>
      <c r="R244" s="17"/>
      <c r="S244" s="19"/>
      <c r="T244" s="17"/>
      <c r="U244" s="22"/>
    </row>
    <row r="245" spans="1:21" x14ac:dyDescent="0.25">
      <c r="A245" s="24"/>
      <c r="B245" s="24"/>
      <c r="C245" s="17"/>
      <c r="D245" s="24"/>
      <c r="E245" s="24"/>
      <c r="F245" s="25"/>
      <c r="G245" s="1">
        <v>4625</v>
      </c>
      <c r="H245" s="2">
        <v>105.6</v>
      </c>
      <c r="I245" s="2">
        <v>30.3</v>
      </c>
      <c r="J245" s="2">
        <v>26.4</v>
      </c>
      <c r="K245" s="2">
        <f t="shared" si="28"/>
        <v>30.3</v>
      </c>
      <c r="L245" s="8">
        <f t="shared" si="32"/>
        <v>2.9512092266663881E-8</v>
      </c>
      <c r="M245" s="26"/>
      <c r="N245" s="17"/>
      <c r="O245" s="9">
        <f t="shared" si="30"/>
        <v>26.4</v>
      </c>
      <c r="P245" s="8">
        <f>D242/B242*10^(O245/10)</f>
        <v>68387.480384292634</v>
      </c>
      <c r="Q245" s="26"/>
      <c r="R245" s="17"/>
      <c r="S245" s="19"/>
      <c r="T245" s="17"/>
      <c r="U245" s="22"/>
    </row>
    <row r="246" spans="1:21" x14ac:dyDescent="0.25">
      <c r="A246" s="24"/>
      <c r="B246" s="24"/>
      <c r="C246" s="17"/>
      <c r="D246" s="24"/>
      <c r="E246" s="24"/>
      <c r="F246" s="25"/>
      <c r="G246" s="1">
        <v>5225</v>
      </c>
      <c r="H246" s="2">
        <v>103.5</v>
      </c>
      <c r="I246" s="2">
        <v>31.9</v>
      </c>
      <c r="J246" s="2">
        <v>27.5</v>
      </c>
      <c r="K246" s="2">
        <f t="shared" si="28"/>
        <v>31.9</v>
      </c>
      <c r="L246" s="8">
        <f t="shared" si="32"/>
        <v>6.9183097091893717E-8</v>
      </c>
      <c r="M246" s="26"/>
      <c r="N246" s="17"/>
      <c r="O246" s="9">
        <f t="shared" si="30"/>
        <v>27.5</v>
      </c>
      <c r="P246" s="8">
        <f>D242/B242*10^(O246/10)</f>
        <v>88100.140946488042</v>
      </c>
      <c r="Q246" s="26"/>
      <c r="R246" s="17"/>
      <c r="S246" s="19"/>
      <c r="T246" s="17"/>
      <c r="U246" s="22"/>
    </row>
    <row r="247" spans="1:21" x14ac:dyDescent="0.25">
      <c r="A247" s="24"/>
      <c r="B247" s="24"/>
      <c r="C247" s="17"/>
      <c r="D247" s="24"/>
      <c r="E247" s="24"/>
      <c r="F247" s="25"/>
      <c r="G247" s="1">
        <v>5625</v>
      </c>
      <c r="H247" s="2">
        <v>99.5</v>
      </c>
      <c r="I247" s="2">
        <v>29.8</v>
      </c>
      <c r="J247" s="2">
        <v>27.1</v>
      </c>
      <c r="K247" s="2">
        <f t="shared" si="28"/>
        <v>29.8</v>
      </c>
      <c r="L247" s="8">
        <f t="shared" si="32"/>
        <v>1.0715193052376018E-7</v>
      </c>
      <c r="M247" s="26"/>
      <c r="N247" s="17"/>
      <c r="O247" s="9">
        <f t="shared" si="30"/>
        <v>27.1</v>
      </c>
      <c r="P247" s="8">
        <f>D242/B242*10^(O247/10)</f>
        <v>80348.283491980546</v>
      </c>
      <c r="Q247" s="26"/>
      <c r="R247" s="17"/>
      <c r="S247" s="20"/>
      <c r="T247" s="17"/>
      <c r="U247" s="23"/>
    </row>
    <row r="248" spans="1:21" x14ac:dyDescent="0.25">
      <c r="A248" s="24">
        <v>8000</v>
      </c>
      <c r="B248" s="24">
        <v>3</v>
      </c>
      <c r="C248" s="17">
        <v>0.5</v>
      </c>
      <c r="D248" s="24">
        <v>943</v>
      </c>
      <c r="E248" s="24">
        <v>6</v>
      </c>
      <c r="F248" s="25">
        <v>54</v>
      </c>
      <c r="G248" s="1">
        <v>6025</v>
      </c>
      <c r="H248" s="2">
        <v>95</v>
      </c>
      <c r="I248" s="2">
        <v>30.9</v>
      </c>
      <c r="J248" s="2">
        <v>27.7</v>
      </c>
      <c r="K248" s="2">
        <f t="shared" si="28"/>
        <v>30.9</v>
      </c>
      <c r="L248" s="8">
        <f t="shared" si="32"/>
        <v>3.8904514499428091E-7</v>
      </c>
      <c r="M248" s="26">
        <f>SUM(L248:L253)</f>
        <v>5.282595848043824E-6</v>
      </c>
      <c r="N248" s="17">
        <f>10*LOG10(M248/E248)</f>
        <v>-60.553038646973633</v>
      </c>
      <c r="O248" s="9">
        <f t="shared" si="30"/>
        <v>27.7</v>
      </c>
      <c r="P248" s="8">
        <f>D248/B248*10^(O248/10)</f>
        <v>185093.18900010697</v>
      </c>
      <c r="Q248" s="26">
        <f>SUM(P248:P253)</f>
        <v>1056442.2623715694</v>
      </c>
      <c r="R248" s="17">
        <f>10*LOG10(Q248)</f>
        <v>60.238457665860345</v>
      </c>
      <c r="S248" s="18">
        <f>F248+N248-Kzt-H</f>
        <v>-6.5530386469736328</v>
      </c>
      <c r="T248" s="17">
        <v>0.7</v>
      </c>
      <c r="U248" s="21">
        <f>T248*10^((S248-R248)/10)</f>
        <v>1.4653737540506417E-7</v>
      </c>
    </row>
    <row r="249" spans="1:21" x14ac:dyDescent="0.25">
      <c r="A249" s="24"/>
      <c r="B249" s="24"/>
      <c r="C249" s="17"/>
      <c r="D249" s="24"/>
      <c r="E249" s="24"/>
      <c r="F249" s="25"/>
      <c r="G249" s="1">
        <v>7025</v>
      </c>
      <c r="H249" s="2">
        <v>94.8</v>
      </c>
      <c r="I249" s="2">
        <v>30.9</v>
      </c>
      <c r="J249" s="2">
        <v>29.2</v>
      </c>
      <c r="K249" s="2">
        <f t="shared" si="28"/>
        <v>30.9</v>
      </c>
      <c r="L249" s="8">
        <f t="shared" si="32"/>
        <v>4.0738027780411229E-7</v>
      </c>
      <c r="M249" s="26"/>
      <c r="N249" s="17"/>
      <c r="O249" s="9">
        <f t="shared" si="30"/>
        <v>29.2</v>
      </c>
      <c r="P249" s="8">
        <f>D248/B248*10^(O249/10)</f>
        <v>261451.07871660637</v>
      </c>
      <c r="Q249" s="26"/>
      <c r="R249" s="17"/>
      <c r="S249" s="19"/>
      <c r="T249" s="17"/>
      <c r="U249" s="22"/>
    </row>
    <row r="250" spans="1:21" x14ac:dyDescent="0.25">
      <c r="A250" s="24"/>
      <c r="B250" s="24"/>
      <c r="C250" s="17"/>
      <c r="D250" s="24"/>
      <c r="E250" s="24"/>
      <c r="F250" s="25"/>
      <c r="G250" s="1">
        <v>8025</v>
      </c>
      <c r="H250" s="2">
        <v>101.9</v>
      </c>
      <c r="I250" s="2">
        <v>29.7</v>
      </c>
      <c r="J250" s="2">
        <v>27.4</v>
      </c>
      <c r="K250" s="2">
        <f t="shared" si="28"/>
        <v>29.7</v>
      </c>
      <c r="L250" s="8">
        <f t="shared" si="32"/>
        <v>6.0255958607435649E-8</v>
      </c>
      <c r="M250" s="26"/>
      <c r="N250" s="17"/>
      <c r="O250" s="9">
        <f t="shared" si="30"/>
        <v>27.4</v>
      </c>
      <c r="P250" s="8">
        <f>D248/B248*10^(O250/10)</f>
        <v>172739.01468258005</v>
      </c>
      <c r="Q250" s="26"/>
      <c r="R250" s="17"/>
      <c r="S250" s="19"/>
      <c r="T250" s="17"/>
      <c r="U250" s="22"/>
    </row>
    <row r="251" spans="1:21" x14ac:dyDescent="0.25">
      <c r="A251" s="24"/>
      <c r="B251" s="24"/>
      <c r="C251" s="17"/>
      <c r="D251" s="24"/>
      <c r="E251" s="24"/>
      <c r="F251" s="25"/>
      <c r="G251" s="1">
        <v>9025</v>
      </c>
      <c r="H251" s="2">
        <v>93.2</v>
      </c>
      <c r="I251" s="2">
        <v>29.7</v>
      </c>
      <c r="J251" s="2">
        <v>28.5</v>
      </c>
      <c r="K251" s="2">
        <f t="shared" si="28"/>
        <v>29.7</v>
      </c>
      <c r="L251" s="8">
        <f t="shared" si="32"/>
        <v>4.4668359215096327E-7</v>
      </c>
      <c r="M251" s="26"/>
      <c r="N251" s="17"/>
      <c r="O251" s="9">
        <f t="shared" si="30"/>
        <v>28.5</v>
      </c>
      <c r="P251" s="8">
        <f>D248/B248*10^(O251/10)</f>
        <v>222530.95822474759</v>
      </c>
      <c r="Q251" s="26"/>
      <c r="R251" s="17"/>
      <c r="S251" s="19"/>
      <c r="T251" s="17"/>
      <c r="U251" s="22"/>
    </row>
    <row r="252" spans="1:21" x14ac:dyDescent="0.25">
      <c r="A252" s="24"/>
      <c r="B252" s="24"/>
      <c r="C252" s="17"/>
      <c r="D252" s="24"/>
      <c r="E252" s="24"/>
      <c r="F252" s="25"/>
      <c r="G252" s="1">
        <v>10025</v>
      </c>
      <c r="H252" s="2">
        <v>88.3</v>
      </c>
      <c r="I252" s="2">
        <v>29.6</v>
      </c>
      <c r="J252" s="2">
        <v>23.1</v>
      </c>
      <c r="K252" s="2">
        <f t="shared" si="28"/>
        <v>29.6</v>
      </c>
      <c r="L252" s="8">
        <f t="shared" si="32"/>
        <v>1.348962882591655E-6</v>
      </c>
      <c r="M252" s="26"/>
      <c r="N252" s="17"/>
      <c r="O252" s="9">
        <f t="shared" si="30"/>
        <v>23.1</v>
      </c>
      <c r="P252" s="8">
        <f>D248/B248*10^(O252/10)</f>
        <v>64178.629394112271</v>
      </c>
      <c r="Q252" s="26"/>
      <c r="R252" s="17"/>
      <c r="S252" s="19"/>
      <c r="T252" s="17"/>
      <c r="U252" s="22"/>
    </row>
    <row r="253" spans="1:21" x14ac:dyDescent="0.25">
      <c r="A253" s="24"/>
      <c r="B253" s="24"/>
      <c r="C253" s="17"/>
      <c r="D253" s="24"/>
      <c r="E253" s="24"/>
      <c r="F253" s="25"/>
      <c r="G253" s="1">
        <v>11025</v>
      </c>
      <c r="H253" s="2">
        <v>86</v>
      </c>
      <c r="I253" s="2">
        <v>30.2</v>
      </c>
      <c r="J253" s="2">
        <v>26.8</v>
      </c>
      <c r="K253" s="2">
        <f t="shared" si="28"/>
        <v>30.2</v>
      </c>
      <c r="L253" s="8">
        <f t="shared" si="32"/>
        <v>2.630267991895377E-6</v>
      </c>
      <c r="M253" s="26"/>
      <c r="N253" s="17"/>
      <c r="O253" s="9">
        <f t="shared" si="30"/>
        <v>26.8</v>
      </c>
      <c r="P253" s="8">
        <f>D248/B248*10^(O253/10)</f>
        <v>150449.39235341613</v>
      </c>
      <c r="Q253" s="26"/>
      <c r="R253" s="17"/>
      <c r="S253" s="20"/>
      <c r="T253" s="17"/>
      <c r="U253" s="23"/>
    </row>
    <row r="254" spans="1:21" x14ac:dyDescent="0.25">
      <c r="A254" s="24" t="s">
        <v>20</v>
      </c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12">
        <f>U254</f>
        <v>6.5917218286115423E-2</v>
      </c>
      <c r="T254" s="2"/>
      <c r="U254" s="8">
        <f>0.8*SQRT(SUM(U220:U253))</f>
        <v>6.5917218286115423E-2</v>
      </c>
    </row>
    <row r="255" spans="1:21" x14ac:dyDescent="0.25">
      <c r="A255" s="27" t="s">
        <v>119</v>
      </c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9"/>
    </row>
    <row r="256" spans="1:21" x14ac:dyDescent="0.25">
      <c r="A256" s="24">
        <v>250</v>
      </c>
      <c r="B256" s="24">
        <v>3</v>
      </c>
      <c r="C256" s="17">
        <v>0.5</v>
      </c>
      <c r="D256" s="24">
        <v>38</v>
      </c>
      <c r="E256" s="24">
        <v>4</v>
      </c>
      <c r="F256" s="25">
        <v>84</v>
      </c>
      <c r="G256" s="1">
        <v>175</v>
      </c>
      <c r="H256" s="2">
        <v>84.8</v>
      </c>
      <c r="I256" s="2">
        <v>34</v>
      </c>
      <c r="J256" s="2">
        <v>33.200000000000003</v>
      </c>
      <c r="K256" s="2">
        <f>I256</f>
        <v>34</v>
      </c>
      <c r="L256" s="8">
        <f>10^((K256-H256)/10)</f>
        <v>8.3176377110266992E-6</v>
      </c>
      <c r="M256" s="26">
        <f>SUM(L256:L259)</f>
        <v>1.9931970115632363E-5</v>
      </c>
      <c r="N256" s="17">
        <f>10*LOG10(M256/E256)</f>
        <v>-53.025097639741212</v>
      </c>
      <c r="O256" s="9">
        <f>J256</f>
        <v>33.200000000000003</v>
      </c>
      <c r="P256" s="8">
        <f>D256/B256*10^(O256/10)</f>
        <v>26464.417657484533</v>
      </c>
      <c r="Q256" s="26">
        <f>SUM(P256:P259)</f>
        <v>156224.93827006992</v>
      </c>
      <c r="R256" s="17">
        <f>10*LOG10(Q256)</f>
        <v>51.937503617345598</v>
      </c>
      <c r="S256" s="18">
        <f>F256+N256-Kzt-H</f>
        <v>30.974902360258788</v>
      </c>
      <c r="T256" s="17">
        <v>0.2</v>
      </c>
      <c r="U256" s="21">
        <f>T256*10^((S256-R256)/10)</f>
        <v>1.6023960656063624E-3</v>
      </c>
    </row>
    <row r="257" spans="1:21" x14ac:dyDescent="0.25">
      <c r="A257" s="24"/>
      <c r="B257" s="24"/>
      <c r="C257" s="17"/>
      <c r="D257" s="24"/>
      <c r="E257" s="24"/>
      <c r="F257" s="25"/>
      <c r="G257" s="1">
        <v>225</v>
      </c>
      <c r="H257" s="2">
        <v>90</v>
      </c>
      <c r="I257" s="2">
        <v>36.1</v>
      </c>
      <c r="J257" s="2">
        <v>35.299999999999997</v>
      </c>
      <c r="K257" s="2">
        <f t="shared" ref="K257:K289" si="33">I257</f>
        <v>36.1</v>
      </c>
      <c r="L257" s="8">
        <f t="shared" ref="L257:L258" si="34">10^((K257-H257)/10)</f>
        <v>4.0738027780411272E-6</v>
      </c>
      <c r="M257" s="26"/>
      <c r="N257" s="17"/>
      <c r="O257" s="9">
        <f t="shared" ref="O257:O289" si="35">J257</f>
        <v>35.299999999999997</v>
      </c>
      <c r="P257" s="8">
        <f>D256/B256*10^(O257/10)</f>
        <v>42920.259777632324</v>
      </c>
      <c r="Q257" s="26"/>
      <c r="R257" s="17"/>
      <c r="S257" s="19"/>
      <c r="T257" s="17"/>
      <c r="U257" s="22"/>
    </row>
    <row r="258" spans="1:21" x14ac:dyDescent="0.25">
      <c r="A258" s="24"/>
      <c r="B258" s="24"/>
      <c r="C258" s="17"/>
      <c r="D258" s="24"/>
      <c r="E258" s="24"/>
      <c r="F258" s="25"/>
      <c r="G258" s="1">
        <v>275</v>
      </c>
      <c r="H258" s="2">
        <v>92.2</v>
      </c>
      <c r="I258" s="2">
        <v>39</v>
      </c>
      <c r="J258" s="2">
        <v>35.299999999999997</v>
      </c>
      <c r="K258" s="2">
        <f t="shared" si="33"/>
        <v>39</v>
      </c>
      <c r="L258" s="8">
        <f t="shared" si="34"/>
        <v>4.7863009232263716E-6</v>
      </c>
      <c r="M258" s="26"/>
      <c r="N258" s="17"/>
      <c r="O258" s="9">
        <f t="shared" si="35"/>
        <v>35.299999999999997</v>
      </c>
      <c r="P258" s="8">
        <f>D256/B256*10^(O258/10)</f>
        <v>42920.259777632324</v>
      </c>
      <c r="Q258" s="26"/>
      <c r="R258" s="17"/>
      <c r="S258" s="19"/>
      <c r="T258" s="17"/>
      <c r="U258" s="22"/>
    </row>
    <row r="259" spans="1:21" x14ac:dyDescent="0.25">
      <c r="A259" s="24"/>
      <c r="B259" s="24"/>
      <c r="C259" s="17"/>
      <c r="D259" s="24"/>
      <c r="E259" s="24"/>
      <c r="F259" s="25"/>
      <c r="G259" s="1">
        <v>325</v>
      </c>
      <c r="H259" s="2">
        <v>93.3</v>
      </c>
      <c r="I259" s="2">
        <v>37.700000000000003</v>
      </c>
      <c r="J259" s="2">
        <v>35.4</v>
      </c>
      <c r="K259" s="2">
        <f t="shared" si="33"/>
        <v>37.700000000000003</v>
      </c>
      <c r="L259" s="8">
        <f>10^((K259-H259)/10)</f>
        <v>2.7542287033381663E-6</v>
      </c>
      <c r="M259" s="26"/>
      <c r="N259" s="17"/>
      <c r="O259" s="9">
        <f t="shared" si="35"/>
        <v>35.4</v>
      </c>
      <c r="P259" s="8">
        <f>D256/B256*10^(O259/10)</f>
        <v>43920.001057320747</v>
      </c>
      <c r="Q259" s="26"/>
      <c r="R259" s="17"/>
      <c r="S259" s="20"/>
      <c r="T259" s="17"/>
      <c r="U259" s="23"/>
    </row>
    <row r="260" spans="1:21" x14ac:dyDescent="0.25">
      <c r="A260" s="24">
        <v>500</v>
      </c>
      <c r="B260" s="24">
        <v>3</v>
      </c>
      <c r="C260" s="17">
        <v>0.5</v>
      </c>
      <c r="D260" s="24">
        <v>59</v>
      </c>
      <c r="E260" s="24">
        <v>6</v>
      </c>
      <c r="F260" s="25">
        <v>84</v>
      </c>
      <c r="G260" s="1">
        <v>375</v>
      </c>
      <c r="H260" s="2">
        <v>91.9</v>
      </c>
      <c r="I260" s="2">
        <v>34.299999999999997</v>
      </c>
      <c r="J260" s="2">
        <v>32.700000000000003</v>
      </c>
      <c r="K260" s="2">
        <f t="shared" si="33"/>
        <v>34.299999999999997</v>
      </c>
      <c r="L260" s="8">
        <f t="shared" ref="L260:L261" si="36">10^((K260-H260)/10)</f>
        <v>1.7378008287493694E-6</v>
      </c>
      <c r="M260" s="26">
        <f>SUM(L260:L265)</f>
        <v>3.0757464718515809E-5</v>
      </c>
      <c r="N260" s="17">
        <f>10*LOG10(M260/E260)</f>
        <v>-52.902007158776748</v>
      </c>
      <c r="O260" s="9">
        <f t="shared" si="35"/>
        <v>32.700000000000003</v>
      </c>
      <c r="P260" s="8">
        <f>D260/B260*10^(O260/10)</f>
        <v>36621.047021036458</v>
      </c>
      <c r="Q260" s="26">
        <f>SUM(P260:P265)</f>
        <v>339943.67197740293</v>
      </c>
      <c r="R260" s="17">
        <f>10*LOG10(Q260)</f>
        <v>55.314069612304593</v>
      </c>
      <c r="S260" s="18">
        <f>F260+N260-Kzt-H</f>
        <v>31.097992841223252</v>
      </c>
      <c r="T260" s="17">
        <v>0.5</v>
      </c>
      <c r="U260" s="21">
        <f>T260*10^((S260-R260)/10)</f>
        <v>1.8939230393834705E-3</v>
      </c>
    </row>
    <row r="261" spans="1:21" x14ac:dyDescent="0.25">
      <c r="A261" s="24"/>
      <c r="B261" s="24"/>
      <c r="C261" s="17"/>
      <c r="D261" s="24"/>
      <c r="E261" s="24"/>
      <c r="F261" s="25"/>
      <c r="G261" s="1">
        <v>425</v>
      </c>
      <c r="H261" s="2">
        <v>88.1</v>
      </c>
      <c r="I261" s="2">
        <v>40</v>
      </c>
      <c r="J261" s="2">
        <v>37.1</v>
      </c>
      <c r="K261" s="2">
        <f t="shared" si="33"/>
        <v>40</v>
      </c>
      <c r="L261" s="8">
        <f t="shared" si="36"/>
        <v>1.5488166189124811E-5</v>
      </c>
      <c r="M261" s="26"/>
      <c r="N261" s="17"/>
      <c r="O261" s="9">
        <f t="shared" si="35"/>
        <v>37.1</v>
      </c>
      <c r="P261" s="8">
        <f>D260/B260*10^(O261/10)</f>
        <v>100862.73885163511</v>
      </c>
      <c r="Q261" s="26"/>
      <c r="R261" s="17"/>
      <c r="S261" s="19"/>
      <c r="T261" s="17"/>
      <c r="U261" s="22"/>
    </row>
    <row r="262" spans="1:21" x14ac:dyDescent="0.25">
      <c r="A262" s="24"/>
      <c r="B262" s="24"/>
      <c r="C262" s="17"/>
      <c r="D262" s="24"/>
      <c r="E262" s="24"/>
      <c r="F262" s="25"/>
      <c r="G262" s="1">
        <v>475</v>
      </c>
      <c r="H262" s="2">
        <v>90</v>
      </c>
      <c r="I262" s="2">
        <v>38.1</v>
      </c>
      <c r="J262" s="2">
        <v>29.4</v>
      </c>
      <c r="K262" s="2">
        <f t="shared" si="33"/>
        <v>38.1</v>
      </c>
      <c r="L262" s="8">
        <f>10^((K262-H262)/10)</f>
        <v>6.456542290346554E-6</v>
      </c>
      <c r="M262" s="26"/>
      <c r="N262" s="17"/>
      <c r="O262" s="9">
        <f t="shared" si="35"/>
        <v>29.4</v>
      </c>
      <c r="P262" s="8">
        <f>D260/B260*10^(O262/10)</f>
        <v>17128.950602469591</v>
      </c>
      <c r="Q262" s="26"/>
      <c r="R262" s="17"/>
      <c r="S262" s="19"/>
      <c r="T262" s="17"/>
      <c r="U262" s="22"/>
    </row>
    <row r="263" spans="1:21" x14ac:dyDescent="0.25">
      <c r="A263" s="24"/>
      <c r="B263" s="24"/>
      <c r="C263" s="17"/>
      <c r="D263" s="24"/>
      <c r="E263" s="24"/>
      <c r="F263" s="25"/>
      <c r="G263" s="1">
        <v>575</v>
      </c>
      <c r="H263" s="2">
        <v>97</v>
      </c>
      <c r="I263" s="2">
        <v>40.6</v>
      </c>
      <c r="J263" s="2">
        <v>30.1</v>
      </c>
      <c r="K263" s="2">
        <f t="shared" si="33"/>
        <v>40.6</v>
      </c>
      <c r="L263" s="8">
        <f t="shared" ref="L263:L289" si="37">10^((K263-H263)/10)</f>
        <v>2.2908676527677705E-6</v>
      </c>
      <c r="M263" s="26"/>
      <c r="N263" s="17"/>
      <c r="O263" s="9">
        <f t="shared" si="35"/>
        <v>30.1</v>
      </c>
      <c r="P263" s="8">
        <f>D260/B260*10^(O263/10)</f>
        <v>20124.762181521528</v>
      </c>
      <c r="Q263" s="26"/>
      <c r="R263" s="17"/>
      <c r="S263" s="19"/>
      <c r="T263" s="17"/>
      <c r="U263" s="22"/>
    </row>
    <row r="264" spans="1:21" x14ac:dyDescent="0.25">
      <c r="A264" s="24"/>
      <c r="B264" s="24"/>
      <c r="C264" s="17"/>
      <c r="D264" s="24"/>
      <c r="E264" s="24"/>
      <c r="F264" s="25"/>
      <c r="G264" s="1">
        <v>625</v>
      </c>
      <c r="H264" s="2">
        <v>92</v>
      </c>
      <c r="I264" s="2">
        <v>37</v>
      </c>
      <c r="J264" s="2">
        <v>37</v>
      </c>
      <c r="K264" s="2">
        <f t="shared" si="33"/>
        <v>37</v>
      </c>
      <c r="L264" s="8">
        <f t="shared" si="37"/>
        <v>3.1622776601683767E-6</v>
      </c>
      <c r="M264" s="26"/>
      <c r="N264" s="17"/>
      <c r="O264" s="9">
        <f t="shared" si="35"/>
        <v>37</v>
      </c>
      <c r="P264" s="8">
        <f>D260/B260*10^(O264/10)</f>
        <v>98566.822613363736</v>
      </c>
      <c r="Q264" s="26"/>
      <c r="R264" s="17"/>
      <c r="S264" s="19"/>
      <c r="T264" s="17"/>
      <c r="U264" s="22"/>
    </row>
    <row r="265" spans="1:21" x14ac:dyDescent="0.25">
      <c r="A265" s="24"/>
      <c r="B265" s="24"/>
      <c r="C265" s="17"/>
      <c r="D265" s="24"/>
      <c r="E265" s="24"/>
      <c r="F265" s="25"/>
      <c r="G265" s="1">
        <v>675</v>
      </c>
      <c r="H265" s="2">
        <v>94.5</v>
      </c>
      <c r="I265" s="2">
        <v>36.6</v>
      </c>
      <c r="J265" s="2">
        <v>35.299999999999997</v>
      </c>
      <c r="K265" s="2">
        <f t="shared" si="33"/>
        <v>36.6</v>
      </c>
      <c r="L265" s="8">
        <f t="shared" si="37"/>
        <v>1.6218100973589276E-6</v>
      </c>
      <c r="M265" s="26"/>
      <c r="N265" s="17"/>
      <c r="O265" s="9">
        <f t="shared" si="35"/>
        <v>35.299999999999997</v>
      </c>
      <c r="P265" s="8">
        <f>D260/B260*10^(O265/10)</f>
        <v>66639.350707376507</v>
      </c>
      <c r="Q265" s="26"/>
      <c r="R265" s="17"/>
      <c r="S265" s="20"/>
      <c r="T265" s="17"/>
      <c r="U265" s="23"/>
    </row>
    <row r="266" spans="1:21" x14ac:dyDescent="0.25">
      <c r="A266" s="24">
        <v>1000</v>
      </c>
      <c r="B266" s="24">
        <v>3</v>
      </c>
      <c r="C266" s="17">
        <v>0.5</v>
      </c>
      <c r="D266" s="24">
        <v>117</v>
      </c>
      <c r="E266" s="24">
        <v>6</v>
      </c>
      <c r="F266" s="25">
        <v>76</v>
      </c>
      <c r="G266" s="1">
        <v>875</v>
      </c>
      <c r="H266" s="2">
        <v>91.1</v>
      </c>
      <c r="I266" s="2">
        <v>38.299999999999997</v>
      </c>
      <c r="J266" s="2">
        <v>29.3</v>
      </c>
      <c r="K266" s="2">
        <f t="shared" si="33"/>
        <v>38.299999999999997</v>
      </c>
      <c r="L266" s="8">
        <f t="shared" si="37"/>
        <v>5.248074602497729E-6</v>
      </c>
      <c r="M266" s="26">
        <f>SUM(L266:L271)</f>
        <v>8.7207145788638334E-6</v>
      </c>
      <c r="N266" s="17">
        <f>10*LOG10(M266/E266)</f>
        <v>-58.375991777283119</v>
      </c>
      <c r="O266" s="9">
        <f t="shared" si="35"/>
        <v>29.3</v>
      </c>
      <c r="P266" s="8">
        <f>D266/B266*10^(O266/10)</f>
        <v>33194.383489892731</v>
      </c>
      <c r="Q266" s="26">
        <f>SUM(P266:P271)</f>
        <v>244316.40777985661</v>
      </c>
      <c r="R266" s="17">
        <f>10*LOG10(Q266)</f>
        <v>53.87952634263528</v>
      </c>
      <c r="S266" s="18">
        <f>F266+N266-Kzt-H</f>
        <v>17.624008222716881</v>
      </c>
      <c r="T266" s="17">
        <v>0.8</v>
      </c>
      <c r="U266" s="21">
        <f>T266*10^((S266-R266)/10)</f>
        <v>1.8946900525400638E-4</v>
      </c>
    </row>
    <row r="267" spans="1:21" x14ac:dyDescent="0.25">
      <c r="A267" s="24"/>
      <c r="B267" s="24"/>
      <c r="C267" s="17"/>
      <c r="D267" s="24"/>
      <c r="E267" s="24"/>
      <c r="F267" s="25"/>
      <c r="G267" s="1">
        <v>975</v>
      </c>
      <c r="H267" s="2">
        <v>96.5</v>
      </c>
      <c r="I267" s="2">
        <v>39.700000000000003</v>
      </c>
      <c r="J267" s="2">
        <v>32.700000000000003</v>
      </c>
      <c r="K267" s="2">
        <f t="shared" si="33"/>
        <v>39.700000000000003</v>
      </c>
      <c r="L267" s="8">
        <f t="shared" si="37"/>
        <v>2.0892961308540377E-6</v>
      </c>
      <c r="M267" s="26"/>
      <c r="N267" s="17"/>
      <c r="O267" s="9">
        <f t="shared" si="35"/>
        <v>32.700000000000003</v>
      </c>
      <c r="P267" s="8">
        <f>D266/B266*10^(O267/10)</f>
        <v>72621.398329851945</v>
      </c>
      <c r="Q267" s="26"/>
      <c r="R267" s="17"/>
      <c r="S267" s="19"/>
      <c r="T267" s="17"/>
      <c r="U267" s="22"/>
    </row>
    <row r="268" spans="1:21" x14ac:dyDescent="0.25">
      <c r="A268" s="24"/>
      <c r="B268" s="24"/>
      <c r="C268" s="17"/>
      <c r="D268" s="24"/>
      <c r="E268" s="24"/>
      <c r="F268" s="25"/>
      <c r="G268" s="1">
        <v>1075</v>
      </c>
      <c r="H268" s="2">
        <v>94.6</v>
      </c>
      <c r="I268" s="2">
        <v>30.7</v>
      </c>
      <c r="J268" s="2">
        <v>27.8</v>
      </c>
      <c r="K268" s="2">
        <f t="shared" si="33"/>
        <v>30.7</v>
      </c>
      <c r="L268" s="8">
        <f t="shared" si="37"/>
        <v>4.0738027780411298E-7</v>
      </c>
      <c r="M268" s="26"/>
      <c r="N268" s="17"/>
      <c r="O268" s="9">
        <f t="shared" si="35"/>
        <v>27.8</v>
      </c>
      <c r="P268" s="8">
        <f>D266/B266*10^(O268/10)</f>
        <v>23499.823856899973</v>
      </c>
      <c r="Q268" s="26"/>
      <c r="R268" s="17"/>
      <c r="S268" s="19"/>
      <c r="T268" s="17"/>
      <c r="U268" s="22"/>
    </row>
    <row r="269" spans="1:21" x14ac:dyDescent="0.25">
      <c r="A269" s="24"/>
      <c r="B269" s="24"/>
      <c r="C269" s="17"/>
      <c r="D269" s="24"/>
      <c r="E269" s="24"/>
      <c r="F269" s="25"/>
      <c r="G269" s="1">
        <v>1175</v>
      </c>
      <c r="H269" s="2">
        <v>97.8</v>
      </c>
      <c r="I269" s="2">
        <v>33.1</v>
      </c>
      <c r="J269" s="2">
        <v>32.4</v>
      </c>
      <c r="K269" s="2">
        <f t="shared" si="33"/>
        <v>33.1</v>
      </c>
      <c r="L269" s="8">
        <f t="shared" si="37"/>
        <v>3.3884415613920301E-7</v>
      </c>
      <c r="M269" s="26"/>
      <c r="N269" s="17"/>
      <c r="O269" s="9">
        <f t="shared" si="35"/>
        <v>32.4</v>
      </c>
      <c r="P269" s="8">
        <f>D266/B266*10^(O269/10)</f>
        <v>67774.23232122566</v>
      </c>
      <c r="Q269" s="26"/>
      <c r="R269" s="17"/>
      <c r="S269" s="19"/>
      <c r="T269" s="17"/>
      <c r="U269" s="22"/>
    </row>
    <row r="270" spans="1:21" x14ac:dyDescent="0.25">
      <c r="A270" s="24"/>
      <c r="B270" s="24"/>
      <c r="C270" s="17"/>
      <c r="D270" s="24"/>
      <c r="E270" s="24"/>
      <c r="F270" s="25"/>
      <c r="G270" s="1">
        <v>1275</v>
      </c>
      <c r="H270" s="2">
        <v>100.1</v>
      </c>
      <c r="I270" s="2">
        <v>36.9</v>
      </c>
      <c r="J270" s="2">
        <v>29.1</v>
      </c>
      <c r="K270" s="2">
        <f t="shared" si="33"/>
        <v>36.9</v>
      </c>
      <c r="L270" s="8">
        <f t="shared" si="37"/>
        <v>4.786300923226383E-7</v>
      </c>
      <c r="M270" s="26"/>
      <c r="N270" s="17"/>
      <c r="O270" s="9">
        <f t="shared" si="35"/>
        <v>29.1</v>
      </c>
      <c r="P270" s="8">
        <f>D266/B266*10^(O270/10)</f>
        <v>31700.39013039989</v>
      </c>
      <c r="Q270" s="26"/>
      <c r="R270" s="17"/>
      <c r="S270" s="19"/>
      <c r="T270" s="17"/>
      <c r="U270" s="22"/>
    </row>
    <row r="271" spans="1:21" x14ac:dyDescent="0.25">
      <c r="A271" s="24"/>
      <c r="B271" s="24"/>
      <c r="C271" s="17"/>
      <c r="D271" s="24"/>
      <c r="E271" s="24"/>
      <c r="F271" s="25"/>
      <c r="G271" s="1">
        <v>1375</v>
      </c>
      <c r="H271" s="2">
        <v>103</v>
      </c>
      <c r="I271" s="2">
        <v>35</v>
      </c>
      <c r="J271" s="2">
        <v>26</v>
      </c>
      <c r="K271" s="2">
        <f t="shared" si="33"/>
        <v>35</v>
      </c>
      <c r="L271" s="8">
        <f t="shared" si="37"/>
        <v>1.5848931924611122E-7</v>
      </c>
      <c r="M271" s="26"/>
      <c r="N271" s="17"/>
      <c r="O271" s="9">
        <f t="shared" si="35"/>
        <v>26</v>
      </c>
      <c r="P271" s="8">
        <f>D266/B266*10^(O271/10)</f>
        <v>15526.179651586406</v>
      </c>
      <c r="Q271" s="26"/>
      <c r="R271" s="17"/>
      <c r="S271" s="20"/>
      <c r="T271" s="17"/>
      <c r="U271" s="23"/>
    </row>
    <row r="272" spans="1:21" x14ac:dyDescent="0.25">
      <c r="A272" s="24">
        <v>2000</v>
      </c>
      <c r="B272" s="24">
        <v>3</v>
      </c>
      <c r="C272" s="17">
        <v>0.5</v>
      </c>
      <c r="D272" s="24">
        <v>234</v>
      </c>
      <c r="E272" s="24">
        <v>6</v>
      </c>
      <c r="F272" s="25">
        <v>68</v>
      </c>
      <c r="G272" s="1">
        <v>1425</v>
      </c>
      <c r="H272" s="2">
        <v>102.8</v>
      </c>
      <c r="I272" s="2">
        <v>34.9</v>
      </c>
      <c r="J272" s="2">
        <v>30.9</v>
      </c>
      <c r="K272" s="2">
        <f t="shared" si="33"/>
        <v>34.9</v>
      </c>
      <c r="L272" s="8">
        <f t="shared" si="37"/>
        <v>1.6218100973589227E-7</v>
      </c>
      <c r="M272" s="26">
        <f>SUM(L272:L277)</f>
        <v>1.2805739754649722E-6</v>
      </c>
      <c r="N272" s="17">
        <f>10*LOG10(M272/E272)</f>
        <v>-66.707465787792998</v>
      </c>
      <c r="O272" s="9">
        <f t="shared" si="35"/>
        <v>30.9</v>
      </c>
      <c r="P272" s="8">
        <f>D272/B272*10^(O272/10)</f>
        <v>95960.964123365833</v>
      </c>
      <c r="Q272" s="26">
        <f>SUM(P272:P277)</f>
        <v>439537.94652155181</v>
      </c>
      <c r="R272" s="17">
        <f>10*LOG10(Q272)</f>
        <v>56.429963748671661</v>
      </c>
      <c r="S272" s="18">
        <f>F272+N272-Kzt-H</f>
        <v>1.292534212207002</v>
      </c>
      <c r="T272" s="17">
        <v>1</v>
      </c>
      <c r="U272" s="21">
        <f>T272*10^((S272-R272)/10)</f>
        <v>3.0637762577881946E-6</v>
      </c>
    </row>
    <row r="273" spans="1:21" x14ac:dyDescent="0.25">
      <c r="A273" s="24"/>
      <c r="B273" s="24"/>
      <c r="C273" s="17"/>
      <c r="D273" s="24"/>
      <c r="E273" s="24"/>
      <c r="F273" s="25"/>
      <c r="G273" s="1">
        <v>1625</v>
      </c>
      <c r="H273" s="2">
        <v>104.1</v>
      </c>
      <c r="I273" s="2">
        <v>38.1</v>
      </c>
      <c r="J273" s="2">
        <v>29.1</v>
      </c>
      <c r="K273" s="2">
        <f t="shared" si="33"/>
        <v>38.1</v>
      </c>
      <c r="L273" s="8">
        <f t="shared" si="37"/>
        <v>2.511886431509578E-7</v>
      </c>
      <c r="M273" s="26"/>
      <c r="N273" s="17"/>
      <c r="O273" s="9">
        <f t="shared" si="35"/>
        <v>29.1</v>
      </c>
      <c r="P273" s="8">
        <f>D272/B272*10^(O273/10)</f>
        <v>63400.78026079978</v>
      </c>
      <c r="Q273" s="26"/>
      <c r="R273" s="17"/>
      <c r="S273" s="19"/>
      <c r="T273" s="17"/>
      <c r="U273" s="22"/>
    </row>
    <row r="274" spans="1:21" x14ac:dyDescent="0.25">
      <c r="A274" s="24"/>
      <c r="B274" s="24"/>
      <c r="C274" s="17"/>
      <c r="D274" s="24"/>
      <c r="E274" s="24"/>
      <c r="F274" s="25"/>
      <c r="G274" s="1">
        <v>1825</v>
      </c>
      <c r="H274" s="2">
        <v>107.6</v>
      </c>
      <c r="I274" s="2">
        <v>31.9</v>
      </c>
      <c r="J274" s="2">
        <v>31</v>
      </c>
      <c r="K274" s="2">
        <f t="shared" si="33"/>
        <v>31.9</v>
      </c>
      <c r="L274" s="8">
        <f t="shared" si="37"/>
        <v>2.691534803926919E-8</v>
      </c>
      <c r="M274" s="26"/>
      <c r="N274" s="17"/>
      <c r="O274" s="9">
        <f t="shared" si="35"/>
        <v>31</v>
      </c>
      <c r="P274" s="8">
        <f>D272/B272*10^(O274/10)</f>
        <v>98196.182119945108</v>
      </c>
      <c r="Q274" s="26"/>
      <c r="R274" s="17"/>
      <c r="S274" s="19"/>
      <c r="T274" s="17"/>
      <c r="U274" s="22"/>
    </row>
    <row r="275" spans="1:21" x14ac:dyDescent="0.25">
      <c r="A275" s="24"/>
      <c r="B275" s="24"/>
      <c r="C275" s="17"/>
      <c r="D275" s="24"/>
      <c r="E275" s="24"/>
      <c r="F275" s="25"/>
      <c r="G275" s="1">
        <v>2125</v>
      </c>
      <c r="H275" s="2">
        <v>104.2</v>
      </c>
      <c r="I275" s="2">
        <v>32.799999999999997</v>
      </c>
      <c r="J275" s="2">
        <v>28.7</v>
      </c>
      <c r="K275" s="2">
        <f t="shared" si="33"/>
        <v>32.799999999999997</v>
      </c>
      <c r="L275" s="8">
        <f t="shared" si="37"/>
        <v>7.2443596007498796E-8</v>
      </c>
      <c r="M275" s="26"/>
      <c r="N275" s="17"/>
      <c r="O275" s="9">
        <f t="shared" si="35"/>
        <v>28.7</v>
      </c>
      <c r="P275" s="8">
        <f>D272/B272*10^(O275/10)</f>
        <v>57822.198821471626</v>
      </c>
      <c r="Q275" s="26"/>
      <c r="R275" s="17"/>
      <c r="S275" s="19"/>
      <c r="T275" s="17"/>
      <c r="U275" s="22"/>
    </row>
    <row r="276" spans="1:21" x14ac:dyDescent="0.25">
      <c r="A276" s="24"/>
      <c r="B276" s="24"/>
      <c r="C276" s="17"/>
      <c r="D276" s="24"/>
      <c r="E276" s="24"/>
      <c r="F276" s="25"/>
      <c r="G276" s="1">
        <v>2425</v>
      </c>
      <c r="H276" s="2">
        <v>93.7</v>
      </c>
      <c r="I276" s="2">
        <v>31.9</v>
      </c>
      <c r="J276" s="2">
        <v>30.7</v>
      </c>
      <c r="K276" s="2">
        <f t="shared" si="33"/>
        <v>31.9</v>
      </c>
      <c r="L276" s="8">
        <f t="shared" si="37"/>
        <v>6.606934480075939E-7</v>
      </c>
      <c r="M276" s="26"/>
      <c r="N276" s="17"/>
      <c r="O276" s="9">
        <f t="shared" si="35"/>
        <v>30.7</v>
      </c>
      <c r="P276" s="8">
        <f>D272/B272*10^(O276/10)</f>
        <v>91642.009285283304</v>
      </c>
      <c r="Q276" s="26"/>
      <c r="R276" s="17"/>
      <c r="S276" s="19"/>
      <c r="T276" s="17"/>
      <c r="U276" s="22"/>
    </row>
    <row r="277" spans="1:21" x14ac:dyDescent="0.25">
      <c r="A277" s="24"/>
      <c r="B277" s="24"/>
      <c r="C277" s="17"/>
      <c r="D277" s="24"/>
      <c r="E277" s="24"/>
      <c r="F277" s="25"/>
      <c r="G277" s="1">
        <v>2775</v>
      </c>
      <c r="H277" s="2">
        <v>100.2</v>
      </c>
      <c r="I277" s="2">
        <v>30.5</v>
      </c>
      <c r="J277" s="2">
        <v>26.2</v>
      </c>
      <c r="K277" s="2">
        <f t="shared" si="33"/>
        <v>30.5</v>
      </c>
      <c r="L277" s="8">
        <f t="shared" si="37"/>
        <v>1.0715193052376018E-7</v>
      </c>
      <c r="M277" s="26"/>
      <c r="N277" s="17"/>
      <c r="O277" s="9">
        <f t="shared" si="35"/>
        <v>26.2</v>
      </c>
      <c r="P277" s="8">
        <f>D272/B272*10^(O277/10)</f>
        <v>32515.811910686185</v>
      </c>
      <c r="Q277" s="26"/>
      <c r="R277" s="17"/>
      <c r="S277" s="20"/>
      <c r="T277" s="17"/>
      <c r="U277" s="23"/>
    </row>
    <row r="278" spans="1:21" x14ac:dyDescent="0.25">
      <c r="A278" s="24">
        <v>4000</v>
      </c>
      <c r="B278" s="24">
        <v>3</v>
      </c>
      <c r="C278" s="17">
        <v>0.5</v>
      </c>
      <c r="D278" s="24">
        <v>470</v>
      </c>
      <c r="E278" s="24">
        <v>6</v>
      </c>
      <c r="F278" s="25">
        <v>62</v>
      </c>
      <c r="G278" s="1">
        <v>2825</v>
      </c>
      <c r="H278" s="2">
        <v>99.4</v>
      </c>
      <c r="I278" s="2">
        <v>30.9</v>
      </c>
      <c r="J278" s="2">
        <v>28.4</v>
      </c>
      <c r="K278" s="2">
        <f t="shared" si="33"/>
        <v>30.9</v>
      </c>
      <c r="L278" s="8">
        <f t="shared" si="37"/>
        <v>1.4125375446227539E-7</v>
      </c>
      <c r="M278" s="26">
        <f>SUM(L278:L283)</f>
        <v>8.345732622640492E-7</v>
      </c>
      <c r="N278" s="17">
        <f>10*LOG10(M278/E278)</f>
        <v>-68.566867835440078</v>
      </c>
      <c r="O278" s="9">
        <f t="shared" si="35"/>
        <v>28.4</v>
      </c>
      <c r="P278" s="8">
        <f>D278/B278*10^(O278/10)</f>
        <v>108386.85211063341</v>
      </c>
      <c r="Q278" s="26">
        <f>SUM(P278:P283)</f>
        <v>637746.52348079882</v>
      </c>
      <c r="R278" s="17">
        <f>10*LOG10(Q278)</f>
        <v>58.046480998381263</v>
      </c>
      <c r="S278" s="18">
        <f>F278+N278-Kzt-H</f>
        <v>-6.5668678354400782</v>
      </c>
      <c r="T278" s="17">
        <v>0.9</v>
      </c>
      <c r="U278" s="21">
        <f>T278*10^((S278-R278)/10)</f>
        <v>3.1110545489602646E-7</v>
      </c>
    </row>
    <row r="279" spans="1:21" x14ac:dyDescent="0.25">
      <c r="A279" s="24"/>
      <c r="B279" s="24"/>
      <c r="C279" s="17"/>
      <c r="D279" s="24"/>
      <c r="E279" s="24"/>
      <c r="F279" s="25"/>
      <c r="G279" s="1">
        <v>3425</v>
      </c>
      <c r="H279" s="2">
        <v>103.5</v>
      </c>
      <c r="I279" s="2">
        <v>32.5</v>
      </c>
      <c r="J279" s="2">
        <v>28.9</v>
      </c>
      <c r="K279" s="2">
        <f t="shared" si="33"/>
        <v>32.5</v>
      </c>
      <c r="L279" s="8">
        <f t="shared" si="37"/>
        <v>7.943282347242818E-8</v>
      </c>
      <c r="M279" s="26"/>
      <c r="N279" s="17"/>
      <c r="O279" s="9">
        <f t="shared" si="35"/>
        <v>28.9</v>
      </c>
      <c r="P279" s="8">
        <f>D278/B278*10^(O279/10)</f>
        <v>121612.04827182835</v>
      </c>
      <c r="Q279" s="26"/>
      <c r="R279" s="17"/>
      <c r="S279" s="19"/>
      <c r="T279" s="17"/>
      <c r="U279" s="22"/>
    </row>
    <row r="280" spans="1:21" x14ac:dyDescent="0.25">
      <c r="A280" s="24"/>
      <c r="B280" s="24"/>
      <c r="C280" s="17"/>
      <c r="D280" s="24"/>
      <c r="E280" s="24"/>
      <c r="F280" s="25"/>
      <c r="G280" s="1">
        <v>4025</v>
      </c>
      <c r="H280" s="2">
        <v>103.6</v>
      </c>
      <c r="I280" s="2">
        <v>30.9</v>
      </c>
      <c r="J280" s="2">
        <v>25.9</v>
      </c>
      <c r="K280" s="2">
        <f t="shared" si="33"/>
        <v>30.9</v>
      </c>
      <c r="L280" s="8">
        <f t="shared" si="37"/>
        <v>5.3703179637025377E-8</v>
      </c>
      <c r="M280" s="26"/>
      <c r="N280" s="17"/>
      <c r="O280" s="9">
        <f t="shared" si="35"/>
        <v>25.9</v>
      </c>
      <c r="P280" s="8">
        <f>D278/B278*10^(O280/10)</f>
        <v>60950.406049103964</v>
      </c>
      <c r="Q280" s="26"/>
      <c r="R280" s="17"/>
      <c r="S280" s="19"/>
      <c r="T280" s="17"/>
      <c r="U280" s="22"/>
    </row>
    <row r="281" spans="1:21" x14ac:dyDescent="0.25">
      <c r="A281" s="24"/>
      <c r="B281" s="24"/>
      <c r="C281" s="17"/>
      <c r="D281" s="24"/>
      <c r="E281" s="24"/>
      <c r="F281" s="25"/>
      <c r="G281" s="1">
        <v>4625</v>
      </c>
      <c r="H281" s="2">
        <v>105.6</v>
      </c>
      <c r="I281" s="2">
        <v>34.299999999999997</v>
      </c>
      <c r="J281" s="2">
        <v>28.2</v>
      </c>
      <c r="K281" s="2">
        <f t="shared" si="33"/>
        <v>34.299999999999997</v>
      </c>
      <c r="L281" s="8">
        <f t="shared" si="37"/>
        <v>7.413102413009154E-8</v>
      </c>
      <c r="M281" s="26"/>
      <c r="N281" s="17"/>
      <c r="O281" s="9">
        <f t="shared" si="35"/>
        <v>28.2</v>
      </c>
      <c r="P281" s="8">
        <f>D278/B278*10^(O281/10)</f>
        <v>103508.64018785677</v>
      </c>
      <c r="Q281" s="26"/>
      <c r="R281" s="17"/>
      <c r="S281" s="19"/>
      <c r="T281" s="17"/>
      <c r="U281" s="22"/>
    </row>
    <row r="282" spans="1:21" x14ac:dyDescent="0.25">
      <c r="A282" s="24"/>
      <c r="B282" s="24"/>
      <c r="C282" s="17"/>
      <c r="D282" s="24"/>
      <c r="E282" s="24"/>
      <c r="F282" s="25"/>
      <c r="G282" s="1">
        <v>5225</v>
      </c>
      <c r="H282" s="2">
        <v>103.5</v>
      </c>
      <c r="I282" s="2">
        <v>31.9</v>
      </c>
      <c r="J282" s="2">
        <v>28.8</v>
      </c>
      <c r="K282" s="2">
        <f t="shared" si="33"/>
        <v>31.9</v>
      </c>
      <c r="L282" s="8">
        <f t="shared" si="37"/>
        <v>6.9183097091893717E-8</v>
      </c>
      <c r="M282" s="26"/>
      <c r="N282" s="17"/>
      <c r="O282" s="9">
        <f t="shared" si="35"/>
        <v>28.8</v>
      </c>
      <c r="P282" s="8">
        <f>D278/B278*10^(O282/10)</f>
        <v>118843.82008790545</v>
      </c>
      <c r="Q282" s="26"/>
      <c r="R282" s="17"/>
      <c r="S282" s="19"/>
      <c r="T282" s="17"/>
      <c r="U282" s="22"/>
    </row>
    <row r="283" spans="1:21" x14ac:dyDescent="0.25">
      <c r="A283" s="24"/>
      <c r="B283" s="24"/>
      <c r="C283" s="17"/>
      <c r="D283" s="24"/>
      <c r="E283" s="24"/>
      <c r="F283" s="25"/>
      <c r="G283" s="1">
        <v>5625</v>
      </c>
      <c r="H283" s="2">
        <v>99.5</v>
      </c>
      <c r="I283" s="2">
        <v>35.700000000000003</v>
      </c>
      <c r="J283" s="2">
        <v>29</v>
      </c>
      <c r="K283" s="2">
        <f t="shared" si="33"/>
        <v>35.700000000000003</v>
      </c>
      <c r="L283" s="8">
        <f t="shared" si="37"/>
        <v>4.1686938347033493E-7</v>
      </c>
      <c r="M283" s="26"/>
      <c r="N283" s="17"/>
      <c r="O283" s="9">
        <f t="shared" si="35"/>
        <v>29</v>
      </c>
      <c r="P283" s="8">
        <f>D278/B278*10^(O283/10)</f>
        <v>124444.75677347086</v>
      </c>
      <c r="Q283" s="26"/>
      <c r="R283" s="17"/>
      <c r="S283" s="20"/>
      <c r="T283" s="17"/>
      <c r="U283" s="23"/>
    </row>
    <row r="284" spans="1:21" x14ac:dyDescent="0.25">
      <c r="A284" s="24">
        <v>8000</v>
      </c>
      <c r="B284" s="24">
        <v>3</v>
      </c>
      <c r="C284" s="17">
        <v>0.5</v>
      </c>
      <c r="D284" s="24">
        <v>943</v>
      </c>
      <c r="E284" s="24">
        <v>6</v>
      </c>
      <c r="F284" s="25">
        <v>54</v>
      </c>
      <c r="G284" s="1">
        <v>6025</v>
      </c>
      <c r="H284" s="2">
        <v>95</v>
      </c>
      <c r="I284" s="2">
        <v>32.799999999999997</v>
      </c>
      <c r="J284" s="2">
        <v>27.7</v>
      </c>
      <c r="K284" s="2">
        <f t="shared" si="33"/>
        <v>32.799999999999997</v>
      </c>
      <c r="L284" s="8">
        <f t="shared" si="37"/>
        <v>6.0255958607435604E-7</v>
      </c>
      <c r="M284" s="26">
        <f>SUM(L284:L289)</f>
        <v>5.3019865836711673E-6</v>
      </c>
      <c r="N284" s="17">
        <f>10*LOG10(M284/E284)</f>
        <v>-60.537126259388423</v>
      </c>
      <c r="O284" s="9">
        <f t="shared" si="35"/>
        <v>27.7</v>
      </c>
      <c r="P284" s="8">
        <f>D284/B284*10^(O284/10)</f>
        <v>185093.18900010697</v>
      </c>
      <c r="Q284" s="26">
        <f>SUM(P284:P289)</f>
        <v>734273.91831895942</v>
      </c>
      <c r="R284" s="17">
        <f>10*LOG10(Q284)</f>
        <v>58.658581021812253</v>
      </c>
      <c r="S284" s="18">
        <f>F284+N284-Kzt-H</f>
        <v>-6.5371262593884225</v>
      </c>
      <c r="T284" s="17">
        <v>0.7</v>
      </c>
      <c r="U284" s="21">
        <f>T284*10^((S284-R284)/10)</f>
        <v>2.1160567555501326E-7</v>
      </c>
    </row>
    <row r="285" spans="1:21" x14ac:dyDescent="0.25">
      <c r="A285" s="24"/>
      <c r="B285" s="24"/>
      <c r="C285" s="17"/>
      <c r="D285" s="24"/>
      <c r="E285" s="24"/>
      <c r="F285" s="25"/>
      <c r="G285" s="1">
        <v>7025</v>
      </c>
      <c r="H285" s="2">
        <v>94.8</v>
      </c>
      <c r="I285" s="2">
        <v>28.8</v>
      </c>
      <c r="J285" s="2">
        <v>22.9</v>
      </c>
      <c r="K285" s="2">
        <f t="shared" si="33"/>
        <v>28.8</v>
      </c>
      <c r="L285" s="8">
        <f t="shared" si="37"/>
        <v>2.511886431509578E-7</v>
      </c>
      <c r="M285" s="26"/>
      <c r="N285" s="17"/>
      <c r="O285" s="9">
        <f t="shared" si="35"/>
        <v>22.9</v>
      </c>
      <c r="P285" s="8">
        <f>D284/B284*10^(O285/10)</f>
        <v>61290.115252394571</v>
      </c>
      <c r="Q285" s="26"/>
      <c r="R285" s="17"/>
      <c r="S285" s="19"/>
      <c r="T285" s="17"/>
      <c r="U285" s="22"/>
    </row>
    <row r="286" spans="1:21" x14ac:dyDescent="0.25">
      <c r="A286" s="24"/>
      <c r="B286" s="24"/>
      <c r="C286" s="17"/>
      <c r="D286" s="24"/>
      <c r="E286" s="24"/>
      <c r="F286" s="25"/>
      <c r="G286" s="1">
        <v>8025</v>
      </c>
      <c r="H286" s="2">
        <v>101.9</v>
      </c>
      <c r="I286" s="2">
        <v>28.6</v>
      </c>
      <c r="J286" s="2">
        <v>28.1</v>
      </c>
      <c r="K286" s="2">
        <f t="shared" si="33"/>
        <v>28.6</v>
      </c>
      <c r="L286" s="8">
        <f t="shared" si="37"/>
        <v>4.6773514128719603E-8</v>
      </c>
      <c r="M286" s="26"/>
      <c r="N286" s="17"/>
      <c r="O286" s="9">
        <f t="shared" si="35"/>
        <v>28.1</v>
      </c>
      <c r="P286" s="8">
        <f>D284/B284*10^(O286/10)</f>
        <v>202950.64599322685</v>
      </c>
      <c r="Q286" s="26"/>
      <c r="R286" s="17"/>
      <c r="S286" s="19"/>
      <c r="T286" s="17"/>
      <c r="U286" s="22"/>
    </row>
    <row r="287" spans="1:21" x14ac:dyDescent="0.25">
      <c r="A287" s="24"/>
      <c r="B287" s="24"/>
      <c r="C287" s="17"/>
      <c r="D287" s="24"/>
      <c r="E287" s="24"/>
      <c r="F287" s="25"/>
      <c r="G287" s="1">
        <v>9025</v>
      </c>
      <c r="H287" s="2">
        <v>93.2</v>
      </c>
      <c r="I287" s="2">
        <v>32.700000000000003</v>
      </c>
      <c r="J287" s="2">
        <v>22</v>
      </c>
      <c r="K287" s="2">
        <f t="shared" si="33"/>
        <v>32.700000000000003</v>
      </c>
      <c r="L287" s="8">
        <f t="shared" si="37"/>
        <v>8.9125093813374487E-7</v>
      </c>
      <c r="M287" s="26"/>
      <c r="N287" s="17"/>
      <c r="O287" s="9">
        <f t="shared" si="35"/>
        <v>22</v>
      </c>
      <c r="P287" s="8">
        <f>D284/B284*10^(O287/10)</f>
        <v>49818.476016361055</v>
      </c>
      <c r="Q287" s="26"/>
      <c r="R287" s="17"/>
      <c r="S287" s="19"/>
      <c r="T287" s="17"/>
      <c r="U287" s="22"/>
    </row>
    <row r="288" spans="1:21" x14ac:dyDescent="0.25">
      <c r="A288" s="24"/>
      <c r="B288" s="24"/>
      <c r="C288" s="17"/>
      <c r="D288" s="24"/>
      <c r="E288" s="24"/>
      <c r="F288" s="25"/>
      <c r="G288" s="1">
        <v>10025</v>
      </c>
      <c r="H288" s="2">
        <v>88.3</v>
      </c>
      <c r="I288" s="2">
        <v>26.7</v>
      </c>
      <c r="J288" s="2">
        <v>26.2</v>
      </c>
      <c r="K288" s="2">
        <f t="shared" si="33"/>
        <v>26.7</v>
      </c>
      <c r="L288" s="8">
        <f t="shared" si="37"/>
        <v>6.9183097091893661E-7</v>
      </c>
      <c r="M288" s="26"/>
      <c r="N288" s="17"/>
      <c r="O288" s="9">
        <f t="shared" si="35"/>
        <v>26.2</v>
      </c>
      <c r="P288" s="8">
        <f>D284/B284*10^(O288/10)</f>
        <v>131035.94287084219</v>
      </c>
      <c r="Q288" s="26"/>
      <c r="R288" s="17"/>
      <c r="S288" s="19"/>
      <c r="T288" s="17"/>
      <c r="U288" s="22"/>
    </row>
    <row r="289" spans="1:21" x14ac:dyDescent="0.25">
      <c r="A289" s="24"/>
      <c r="B289" s="24"/>
      <c r="C289" s="17"/>
      <c r="D289" s="24"/>
      <c r="E289" s="24"/>
      <c r="F289" s="25"/>
      <c r="G289" s="1">
        <v>11025</v>
      </c>
      <c r="H289" s="2">
        <v>86</v>
      </c>
      <c r="I289" s="2">
        <v>30.5</v>
      </c>
      <c r="J289" s="2">
        <v>25.2</v>
      </c>
      <c r="K289" s="2">
        <f t="shared" si="33"/>
        <v>30.5</v>
      </c>
      <c r="L289" s="8">
        <f t="shared" si="37"/>
        <v>2.818382931264453E-6</v>
      </c>
      <c r="M289" s="26"/>
      <c r="N289" s="17"/>
      <c r="O289" s="9">
        <f t="shared" si="35"/>
        <v>25.2</v>
      </c>
      <c r="P289" s="8">
        <f>D284/B284*10^(O289/10)</f>
        <v>104085.54918602789</v>
      </c>
      <c r="Q289" s="26"/>
      <c r="R289" s="17"/>
      <c r="S289" s="20"/>
      <c r="T289" s="17"/>
      <c r="U289" s="23"/>
    </row>
    <row r="290" spans="1:21" x14ac:dyDescent="0.25">
      <c r="A290" s="24" t="s">
        <v>20</v>
      </c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12">
        <f>U290</f>
        <v>4.8592177791127351E-2</v>
      </c>
      <c r="T290" s="2"/>
      <c r="U290" s="8">
        <f>0.8*SQRT(SUM(U256:U289))</f>
        <v>4.8592177791127351E-2</v>
      </c>
    </row>
    <row r="291" spans="1:21" x14ac:dyDescent="0.25">
      <c r="A291" s="27" t="s">
        <v>120</v>
      </c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9"/>
    </row>
    <row r="292" spans="1:21" x14ac:dyDescent="0.25">
      <c r="A292" s="24">
        <v>250</v>
      </c>
      <c r="B292" s="24">
        <v>3</v>
      </c>
      <c r="C292" s="17">
        <v>0.5</v>
      </c>
      <c r="D292" s="24">
        <v>38</v>
      </c>
      <c r="E292" s="24">
        <v>4</v>
      </c>
      <c r="F292" s="25">
        <v>84</v>
      </c>
      <c r="G292" s="1">
        <v>175</v>
      </c>
      <c r="H292" s="2">
        <v>84.8</v>
      </c>
      <c r="I292" s="2">
        <v>39</v>
      </c>
      <c r="J292" s="2">
        <v>32.299999999999997</v>
      </c>
      <c r="K292" s="2">
        <f>I292</f>
        <v>39</v>
      </c>
      <c r="L292" s="8">
        <f>10^((K292-H292)/10)</f>
        <v>2.6302679918953804E-5</v>
      </c>
      <c r="M292" s="26">
        <f>SUM(L292:L295)</f>
        <v>3.7637090202633563E-5</v>
      </c>
      <c r="N292" s="17">
        <f>10*LOG10(M292/E292)</f>
        <v>-50.264439514342826</v>
      </c>
      <c r="O292" s="9">
        <f>J292</f>
        <v>32.299999999999997</v>
      </c>
      <c r="P292" s="8">
        <f>D292/B292*10^(O292/10)</f>
        <v>21511.086264515416</v>
      </c>
      <c r="Q292" s="26">
        <f>SUM(P292:P295)</f>
        <v>137014.76866411374</v>
      </c>
      <c r="R292" s="17">
        <f>10*LOG10(Q292)</f>
        <v>51.367673817815245</v>
      </c>
      <c r="S292" s="18">
        <f>F292+N292-Kzt-H</f>
        <v>33.735560485657174</v>
      </c>
      <c r="T292" s="17">
        <v>0.2</v>
      </c>
      <c r="U292" s="21">
        <f>T292*10^((S292-R292)/10)</f>
        <v>3.4499965632631443E-3</v>
      </c>
    </row>
    <row r="293" spans="1:21" x14ac:dyDescent="0.25">
      <c r="A293" s="24"/>
      <c r="B293" s="24"/>
      <c r="C293" s="17"/>
      <c r="D293" s="24"/>
      <c r="E293" s="24"/>
      <c r="F293" s="25"/>
      <c r="G293" s="1">
        <v>225</v>
      </c>
      <c r="H293" s="2">
        <v>90</v>
      </c>
      <c r="I293" s="2">
        <v>37.4</v>
      </c>
      <c r="J293" s="2">
        <v>35.9</v>
      </c>
      <c r="K293" s="2">
        <f t="shared" ref="K293:K325" si="38">I293</f>
        <v>37.4</v>
      </c>
      <c r="L293" s="8">
        <f t="shared" ref="L293:L294" si="39">10^((K293-H293)/10)</f>
        <v>5.4954087385762383E-6</v>
      </c>
      <c r="M293" s="26"/>
      <c r="N293" s="17"/>
      <c r="O293" s="9">
        <f t="shared" ref="O293:O325" si="40">J293</f>
        <v>35.9</v>
      </c>
      <c r="P293" s="8">
        <f>D292/B292*10^(O293/10)</f>
        <v>49279.051699275602</v>
      </c>
      <c r="Q293" s="26"/>
      <c r="R293" s="17"/>
      <c r="S293" s="19"/>
      <c r="T293" s="17"/>
      <c r="U293" s="22"/>
    </row>
    <row r="294" spans="1:21" x14ac:dyDescent="0.25">
      <c r="A294" s="24"/>
      <c r="B294" s="24"/>
      <c r="C294" s="17"/>
      <c r="D294" s="24"/>
      <c r="E294" s="24"/>
      <c r="F294" s="25"/>
      <c r="G294" s="1">
        <v>275</v>
      </c>
      <c r="H294" s="2">
        <v>92.2</v>
      </c>
      <c r="I294" s="2">
        <v>37.700000000000003</v>
      </c>
      <c r="J294" s="2">
        <v>33.700000000000003</v>
      </c>
      <c r="K294" s="2">
        <f t="shared" si="38"/>
        <v>37.700000000000003</v>
      </c>
      <c r="L294" s="8">
        <f t="shared" si="39"/>
        <v>3.5481338923357504E-6</v>
      </c>
      <c r="M294" s="26"/>
      <c r="N294" s="17"/>
      <c r="O294" s="9">
        <f t="shared" si="40"/>
        <v>33.700000000000003</v>
      </c>
      <c r="P294" s="8">
        <f>D292/B292*10^(O294/10)</f>
        <v>29693.564994052365</v>
      </c>
      <c r="Q294" s="26"/>
      <c r="R294" s="17"/>
      <c r="S294" s="19"/>
      <c r="T294" s="17"/>
      <c r="U294" s="22"/>
    </row>
    <row r="295" spans="1:21" x14ac:dyDescent="0.25">
      <c r="A295" s="24"/>
      <c r="B295" s="24"/>
      <c r="C295" s="17"/>
      <c r="D295" s="24"/>
      <c r="E295" s="24"/>
      <c r="F295" s="25"/>
      <c r="G295" s="1">
        <v>325</v>
      </c>
      <c r="H295" s="2">
        <v>93.3</v>
      </c>
      <c r="I295" s="2">
        <v>36.9</v>
      </c>
      <c r="J295" s="2">
        <v>34.6</v>
      </c>
      <c r="K295" s="2">
        <f t="shared" si="38"/>
        <v>36.9</v>
      </c>
      <c r="L295" s="8">
        <f>10^((K295-H295)/10)</f>
        <v>2.2908676527677705E-6</v>
      </c>
      <c r="M295" s="26"/>
      <c r="N295" s="17"/>
      <c r="O295" s="9">
        <f t="shared" si="40"/>
        <v>34.6</v>
      </c>
      <c r="P295" s="8">
        <f>D292/B292*10^(O295/10)</f>
        <v>36531.065706270361</v>
      </c>
      <c r="Q295" s="26"/>
      <c r="R295" s="17"/>
      <c r="S295" s="20"/>
      <c r="T295" s="17"/>
      <c r="U295" s="23"/>
    </row>
    <row r="296" spans="1:21" x14ac:dyDescent="0.25">
      <c r="A296" s="24">
        <v>500</v>
      </c>
      <c r="B296" s="24">
        <v>3</v>
      </c>
      <c r="C296" s="17">
        <v>0.5</v>
      </c>
      <c r="D296" s="24">
        <v>59</v>
      </c>
      <c r="E296" s="24">
        <v>6</v>
      </c>
      <c r="F296" s="25">
        <v>84</v>
      </c>
      <c r="G296" s="1">
        <v>375</v>
      </c>
      <c r="H296" s="2">
        <v>91.9</v>
      </c>
      <c r="I296" s="2">
        <v>41</v>
      </c>
      <c r="J296" s="2">
        <v>30</v>
      </c>
      <c r="K296" s="2">
        <f t="shared" si="38"/>
        <v>41</v>
      </c>
      <c r="L296" s="8">
        <f t="shared" ref="L296:L297" si="41">10^((K296-H296)/10)</f>
        <v>8.1283051616409695E-6</v>
      </c>
      <c r="M296" s="26">
        <f>SUM(L296:L301)</f>
        <v>3.2446666773059665E-5</v>
      </c>
      <c r="N296" s="17">
        <f>10*LOG10(M296/E296)</f>
        <v>-52.669811617717613</v>
      </c>
      <c r="O296" s="9">
        <f t="shared" si="40"/>
        <v>30</v>
      </c>
      <c r="P296" s="8">
        <f>D296/B296*10^(O296/10)</f>
        <v>19666.666666666668</v>
      </c>
      <c r="Q296" s="26">
        <f>SUM(P296:P301)</f>
        <v>210703.3778825952</v>
      </c>
      <c r="R296" s="17">
        <f>10*LOG10(Q296)</f>
        <v>53.236714980381549</v>
      </c>
      <c r="S296" s="18">
        <f>F296+N296-Kzt-H</f>
        <v>31.330188382282387</v>
      </c>
      <c r="T296" s="17">
        <v>0.5</v>
      </c>
      <c r="U296" s="21">
        <f>T296*10^((S296-R296)/10)</f>
        <v>3.2234233275389469E-3</v>
      </c>
    </row>
    <row r="297" spans="1:21" x14ac:dyDescent="0.25">
      <c r="A297" s="24"/>
      <c r="B297" s="24"/>
      <c r="C297" s="17"/>
      <c r="D297" s="24"/>
      <c r="E297" s="24"/>
      <c r="F297" s="25"/>
      <c r="G297" s="1">
        <v>425</v>
      </c>
      <c r="H297" s="2">
        <v>88.1</v>
      </c>
      <c r="I297" s="2">
        <v>39.799999999999997</v>
      </c>
      <c r="J297" s="2">
        <v>32.700000000000003</v>
      </c>
      <c r="K297" s="2">
        <f t="shared" si="38"/>
        <v>39.799999999999997</v>
      </c>
      <c r="L297" s="8">
        <f t="shared" si="41"/>
        <v>1.4791083881682046E-5</v>
      </c>
      <c r="M297" s="26"/>
      <c r="N297" s="17"/>
      <c r="O297" s="9">
        <f t="shared" si="40"/>
        <v>32.700000000000003</v>
      </c>
      <c r="P297" s="8">
        <f>D296/B296*10^(O297/10)</f>
        <v>36621.047021036458</v>
      </c>
      <c r="Q297" s="26"/>
      <c r="R297" s="17"/>
      <c r="S297" s="19"/>
      <c r="T297" s="17"/>
      <c r="U297" s="22"/>
    </row>
    <row r="298" spans="1:21" x14ac:dyDescent="0.25">
      <c r="A298" s="24"/>
      <c r="B298" s="24"/>
      <c r="C298" s="17"/>
      <c r="D298" s="24"/>
      <c r="E298" s="24"/>
      <c r="F298" s="25"/>
      <c r="G298" s="1">
        <v>475</v>
      </c>
      <c r="H298" s="2">
        <v>90</v>
      </c>
      <c r="I298" s="2">
        <v>36.5</v>
      </c>
      <c r="J298" s="2">
        <v>31.1</v>
      </c>
      <c r="K298" s="2">
        <f t="shared" si="38"/>
        <v>36.5</v>
      </c>
      <c r="L298" s="8">
        <f>10^((K298-H298)/10)</f>
        <v>4.4668359215096296E-6</v>
      </c>
      <c r="M298" s="26"/>
      <c r="N298" s="17"/>
      <c r="O298" s="9">
        <f t="shared" si="40"/>
        <v>31.1</v>
      </c>
      <c r="P298" s="8">
        <f>D296/B296*10^(O298/10)</f>
        <v>25335.574516631674</v>
      </c>
      <c r="Q298" s="26"/>
      <c r="R298" s="17"/>
      <c r="S298" s="19"/>
      <c r="T298" s="17"/>
      <c r="U298" s="22"/>
    </row>
    <row r="299" spans="1:21" x14ac:dyDescent="0.25">
      <c r="A299" s="24"/>
      <c r="B299" s="24"/>
      <c r="C299" s="17"/>
      <c r="D299" s="24"/>
      <c r="E299" s="24"/>
      <c r="F299" s="25"/>
      <c r="G299" s="1">
        <v>575</v>
      </c>
      <c r="H299" s="2">
        <v>97</v>
      </c>
      <c r="I299" s="2">
        <v>36.700000000000003</v>
      </c>
      <c r="J299" s="2">
        <v>31.5</v>
      </c>
      <c r="K299" s="2">
        <f t="shared" si="38"/>
        <v>36.700000000000003</v>
      </c>
      <c r="L299" s="8">
        <f t="shared" ref="L299:L325" si="42">10^((K299-H299)/10)</f>
        <v>9.3325430079699167E-7</v>
      </c>
      <c r="M299" s="26"/>
      <c r="N299" s="17"/>
      <c r="O299" s="9">
        <f t="shared" si="40"/>
        <v>31.5</v>
      </c>
      <c r="P299" s="8">
        <f>D296/B296*10^(O299/10)</f>
        <v>27779.905044247505</v>
      </c>
      <c r="Q299" s="26"/>
      <c r="R299" s="17"/>
      <c r="S299" s="19"/>
      <c r="T299" s="17"/>
      <c r="U299" s="22"/>
    </row>
    <row r="300" spans="1:21" x14ac:dyDescent="0.25">
      <c r="A300" s="24"/>
      <c r="B300" s="24"/>
      <c r="C300" s="17"/>
      <c r="D300" s="24"/>
      <c r="E300" s="24"/>
      <c r="F300" s="25"/>
      <c r="G300" s="1">
        <v>625</v>
      </c>
      <c r="H300" s="2">
        <v>92</v>
      </c>
      <c r="I300" s="2">
        <v>37.1</v>
      </c>
      <c r="J300" s="2">
        <v>35.799999999999997</v>
      </c>
      <c r="K300" s="2">
        <f t="shared" si="38"/>
        <v>37.1</v>
      </c>
      <c r="L300" s="8">
        <f t="shared" si="42"/>
        <v>3.2359365692962801E-6</v>
      </c>
      <c r="M300" s="26"/>
      <c r="N300" s="17"/>
      <c r="O300" s="9">
        <f t="shared" si="40"/>
        <v>35.799999999999997</v>
      </c>
      <c r="P300" s="8">
        <f>D296/B296*10^(O300/10)</f>
        <v>74770.581276377008</v>
      </c>
      <c r="Q300" s="26"/>
      <c r="R300" s="17"/>
      <c r="S300" s="19"/>
      <c r="T300" s="17"/>
      <c r="U300" s="22"/>
    </row>
    <row r="301" spans="1:21" x14ac:dyDescent="0.25">
      <c r="A301" s="24"/>
      <c r="B301" s="24"/>
      <c r="C301" s="17"/>
      <c r="D301" s="24"/>
      <c r="E301" s="24"/>
      <c r="F301" s="25"/>
      <c r="G301" s="1">
        <v>675</v>
      </c>
      <c r="H301" s="2">
        <v>94.5</v>
      </c>
      <c r="I301" s="2">
        <v>34</v>
      </c>
      <c r="J301" s="2">
        <v>31.3</v>
      </c>
      <c r="K301" s="2">
        <f t="shared" si="38"/>
        <v>34</v>
      </c>
      <c r="L301" s="8">
        <f t="shared" si="42"/>
        <v>8.9125093813374487E-7</v>
      </c>
      <c r="M301" s="26"/>
      <c r="N301" s="17"/>
      <c r="O301" s="9">
        <f t="shared" si="40"/>
        <v>31.3</v>
      </c>
      <c r="P301" s="8">
        <f>D296/B296*10^(O301/10)</f>
        <v>26529.603357635864</v>
      </c>
      <c r="Q301" s="26"/>
      <c r="R301" s="17"/>
      <c r="S301" s="20"/>
      <c r="T301" s="17"/>
      <c r="U301" s="23"/>
    </row>
    <row r="302" spans="1:21" x14ac:dyDescent="0.25">
      <c r="A302" s="24">
        <v>1000</v>
      </c>
      <c r="B302" s="24">
        <v>3</v>
      </c>
      <c r="C302" s="17">
        <v>0.5</v>
      </c>
      <c r="D302" s="24">
        <v>117</v>
      </c>
      <c r="E302" s="24">
        <v>6</v>
      </c>
      <c r="F302" s="25">
        <v>76</v>
      </c>
      <c r="G302" s="1">
        <v>875</v>
      </c>
      <c r="H302" s="2">
        <v>91.1</v>
      </c>
      <c r="I302" s="2">
        <v>35.6</v>
      </c>
      <c r="J302" s="2">
        <v>31</v>
      </c>
      <c r="K302" s="2">
        <f t="shared" si="38"/>
        <v>35.6</v>
      </c>
      <c r="L302" s="8">
        <f t="shared" si="42"/>
        <v>2.8183829312644581E-6</v>
      </c>
      <c r="M302" s="26">
        <f>SUM(L302:L307)</f>
        <v>5.4767448784255883E-6</v>
      </c>
      <c r="N302" s="17">
        <f>10*LOG10(M302/E302)</f>
        <v>-60.396287395940902</v>
      </c>
      <c r="O302" s="9">
        <f t="shared" si="40"/>
        <v>31</v>
      </c>
      <c r="P302" s="8">
        <f>D302/B302*10^(O302/10)</f>
        <v>49098.091059972554</v>
      </c>
      <c r="Q302" s="26">
        <f>SUM(P302:P307)</f>
        <v>288596.03605265851</v>
      </c>
      <c r="R302" s="17">
        <f>10*LOG10(Q302)</f>
        <v>54.602903616421614</v>
      </c>
      <c r="S302" s="18">
        <f>F302+N302-Kzt-H</f>
        <v>15.603712604059098</v>
      </c>
      <c r="T302" s="17">
        <v>0.8</v>
      </c>
      <c r="U302" s="21">
        <f>T302*10^((S302-R302)/10)</f>
        <v>1.0073279532712328E-4</v>
      </c>
    </row>
    <row r="303" spans="1:21" x14ac:dyDescent="0.25">
      <c r="A303" s="24"/>
      <c r="B303" s="24"/>
      <c r="C303" s="17"/>
      <c r="D303" s="24"/>
      <c r="E303" s="24"/>
      <c r="F303" s="25"/>
      <c r="G303" s="1">
        <v>975</v>
      </c>
      <c r="H303" s="2">
        <v>96.5</v>
      </c>
      <c r="I303" s="2">
        <v>34.5</v>
      </c>
      <c r="J303" s="2">
        <v>32.1</v>
      </c>
      <c r="K303" s="2">
        <f t="shared" si="38"/>
        <v>34.5</v>
      </c>
      <c r="L303" s="8">
        <f t="shared" si="42"/>
        <v>6.3095734448019254E-7</v>
      </c>
      <c r="M303" s="26"/>
      <c r="N303" s="17"/>
      <c r="O303" s="9">
        <f t="shared" si="40"/>
        <v>32.1</v>
      </c>
      <c r="P303" s="8">
        <f>D302/B302*10^(O303/10)</f>
        <v>63250.593796998299</v>
      </c>
      <c r="Q303" s="26"/>
      <c r="R303" s="17"/>
      <c r="S303" s="19"/>
      <c r="T303" s="17"/>
      <c r="U303" s="22"/>
    </row>
    <row r="304" spans="1:21" x14ac:dyDescent="0.25">
      <c r="A304" s="24"/>
      <c r="B304" s="24"/>
      <c r="C304" s="17"/>
      <c r="D304" s="24"/>
      <c r="E304" s="24"/>
      <c r="F304" s="25"/>
      <c r="G304" s="1">
        <v>1075</v>
      </c>
      <c r="H304" s="2">
        <v>94.6</v>
      </c>
      <c r="I304" s="2">
        <v>34.200000000000003</v>
      </c>
      <c r="J304" s="2">
        <v>27.9</v>
      </c>
      <c r="K304" s="2">
        <f t="shared" si="38"/>
        <v>34.200000000000003</v>
      </c>
      <c r="L304" s="8">
        <f t="shared" si="42"/>
        <v>9.1201083935591048E-7</v>
      </c>
      <c r="M304" s="26"/>
      <c r="N304" s="17"/>
      <c r="O304" s="9">
        <f t="shared" si="40"/>
        <v>27.9</v>
      </c>
      <c r="P304" s="8">
        <f>D302/B302*10^(O304/10)</f>
        <v>24047.205072597826</v>
      </c>
      <c r="Q304" s="26"/>
      <c r="R304" s="17"/>
      <c r="S304" s="19"/>
      <c r="T304" s="17"/>
      <c r="U304" s="22"/>
    </row>
    <row r="305" spans="1:21" x14ac:dyDescent="0.25">
      <c r="A305" s="24"/>
      <c r="B305" s="24"/>
      <c r="C305" s="17"/>
      <c r="D305" s="24"/>
      <c r="E305" s="24"/>
      <c r="F305" s="25"/>
      <c r="G305" s="1">
        <v>1175</v>
      </c>
      <c r="H305" s="2">
        <v>97.8</v>
      </c>
      <c r="I305" s="2">
        <v>33.5</v>
      </c>
      <c r="J305" s="2">
        <v>33.299999999999997</v>
      </c>
      <c r="K305" s="2">
        <f t="shared" si="38"/>
        <v>33.5</v>
      </c>
      <c r="L305" s="8">
        <f t="shared" si="42"/>
        <v>3.7153522909717226E-7</v>
      </c>
      <c r="M305" s="26"/>
      <c r="N305" s="17"/>
      <c r="O305" s="9">
        <f t="shared" si="40"/>
        <v>33.299999999999997</v>
      </c>
      <c r="P305" s="8">
        <f>D302/B302*10^(O305/10)</f>
        <v>83380.521490587067</v>
      </c>
      <c r="Q305" s="26"/>
      <c r="R305" s="17"/>
      <c r="S305" s="19"/>
      <c r="T305" s="17"/>
      <c r="U305" s="22"/>
    </row>
    <row r="306" spans="1:21" x14ac:dyDescent="0.25">
      <c r="A306" s="24"/>
      <c r="B306" s="24"/>
      <c r="C306" s="17"/>
      <c r="D306" s="24"/>
      <c r="E306" s="24"/>
      <c r="F306" s="25"/>
      <c r="G306" s="1">
        <v>1275</v>
      </c>
      <c r="H306" s="2">
        <v>100.1</v>
      </c>
      <c r="I306" s="2">
        <v>36</v>
      </c>
      <c r="J306" s="2">
        <v>27.5</v>
      </c>
      <c r="K306" s="2">
        <f t="shared" si="38"/>
        <v>36</v>
      </c>
      <c r="L306" s="8">
        <f t="shared" si="42"/>
        <v>3.8904514499428091E-7</v>
      </c>
      <c r="M306" s="26"/>
      <c r="N306" s="17"/>
      <c r="O306" s="9">
        <f t="shared" si="40"/>
        <v>27.5</v>
      </c>
      <c r="P306" s="8">
        <f>D302/B302*10^(O306/10)</f>
        <v>21931.31168242362</v>
      </c>
      <c r="Q306" s="26"/>
      <c r="R306" s="17"/>
      <c r="S306" s="19"/>
      <c r="T306" s="17"/>
      <c r="U306" s="22"/>
    </row>
    <row r="307" spans="1:21" x14ac:dyDescent="0.25">
      <c r="A307" s="24"/>
      <c r="B307" s="24"/>
      <c r="C307" s="17"/>
      <c r="D307" s="24"/>
      <c r="E307" s="24"/>
      <c r="F307" s="25"/>
      <c r="G307" s="1">
        <v>1375</v>
      </c>
      <c r="H307" s="2">
        <v>103</v>
      </c>
      <c r="I307" s="2">
        <v>38.5</v>
      </c>
      <c r="J307" s="2">
        <v>30.8</v>
      </c>
      <c r="K307" s="2">
        <f t="shared" si="38"/>
        <v>38.5</v>
      </c>
      <c r="L307" s="8">
        <f t="shared" si="42"/>
        <v>3.5481338923357463E-7</v>
      </c>
      <c r="M307" s="26"/>
      <c r="N307" s="17"/>
      <c r="O307" s="9">
        <f t="shared" si="40"/>
        <v>30.8</v>
      </c>
      <c r="P307" s="8">
        <f>D302/B302*10^(O307/10)</f>
        <v>46888.31295007914</v>
      </c>
      <c r="Q307" s="26"/>
      <c r="R307" s="17"/>
      <c r="S307" s="20"/>
      <c r="T307" s="17"/>
      <c r="U307" s="23"/>
    </row>
    <row r="308" spans="1:21" x14ac:dyDescent="0.25">
      <c r="A308" s="24">
        <v>2000</v>
      </c>
      <c r="B308" s="24">
        <v>3</v>
      </c>
      <c r="C308" s="17">
        <v>0.5</v>
      </c>
      <c r="D308" s="24">
        <v>234</v>
      </c>
      <c r="E308" s="24">
        <v>6</v>
      </c>
      <c r="F308" s="25">
        <v>68</v>
      </c>
      <c r="G308" s="1">
        <v>1425</v>
      </c>
      <c r="H308" s="2">
        <v>102.8</v>
      </c>
      <c r="I308" s="2">
        <v>34</v>
      </c>
      <c r="J308" s="2">
        <v>30</v>
      </c>
      <c r="K308" s="2">
        <f t="shared" si="38"/>
        <v>34</v>
      </c>
      <c r="L308" s="8">
        <f t="shared" si="42"/>
        <v>1.3182567385564048E-7</v>
      </c>
      <c r="M308" s="26">
        <f>SUM(L308:L313)</f>
        <v>1.3281589990490484E-6</v>
      </c>
      <c r="N308" s="17">
        <f>10*LOG10(M308/E308)</f>
        <v>-66.549011811677602</v>
      </c>
      <c r="O308" s="9">
        <f t="shared" si="40"/>
        <v>30</v>
      </c>
      <c r="P308" s="8">
        <f>D308/B308*10^(O308/10)</f>
        <v>78000</v>
      </c>
      <c r="Q308" s="26">
        <f>SUM(P308:P313)</f>
        <v>478284.11211364018</v>
      </c>
      <c r="R308" s="17">
        <f>10*LOG10(Q308)</f>
        <v>56.796859544952589</v>
      </c>
      <c r="S308" s="18">
        <f>F308+N308-Kzt-H</f>
        <v>1.4509881883223983</v>
      </c>
      <c r="T308" s="17">
        <v>1</v>
      </c>
      <c r="U308" s="21">
        <f>T308*10^((S308-R308)/10)</f>
        <v>2.9202018000838632E-6</v>
      </c>
    </row>
    <row r="309" spans="1:21" x14ac:dyDescent="0.25">
      <c r="A309" s="24"/>
      <c r="B309" s="24"/>
      <c r="C309" s="17"/>
      <c r="D309" s="24"/>
      <c r="E309" s="24"/>
      <c r="F309" s="25"/>
      <c r="G309" s="1">
        <v>1625</v>
      </c>
      <c r="H309" s="2">
        <v>104.1</v>
      </c>
      <c r="I309" s="2">
        <v>33.9</v>
      </c>
      <c r="J309" s="2">
        <v>30</v>
      </c>
      <c r="K309" s="2">
        <f t="shared" si="38"/>
        <v>33.9</v>
      </c>
      <c r="L309" s="8">
        <f t="shared" si="42"/>
        <v>9.5499258602143887E-8</v>
      </c>
      <c r="M309" s="26"/>
      <c r="N309" s="17"/>
      <c r="O309" s="9">
        <f t="shared" si="40"/>
        <v>30</v>
      </c>
      <c r="P309" s="8">
        <f>D308/B308*10^(O309/10)</f>
        <v>78000</v>
      </c>
      <c r="Q309" s="26"/>
      <c r="R309" s="17"/>
      <c r="S309" s="19"/>
      <c r="T309" s="17"/>
      <c r="U309" s="22"/>
    </row>
    <row r="310" spans="1:21" x14ac:dyDescent="0.25">
      <c r="A310" s="24"/>
      <c r="B310" s="24"/>
      <c r="C310" s="17"/>
      <c r="D310" s="24"/>
      <c r="E310" s="24"/>
      <c r="F310" s="25"/>
      <c r="G310" s="1">
        <v>1825</v>
      </c>
      <c r="H310" s="2">
        <v>107.6</v>
      </c>
      <c r="I310" s="2">
        <v>35.6</v>
      </c>
      <c r="J310" s="2">
        <v>33.4</v>
      </c>
      <c r="K310" s="2">
        <f t="shared" si="38"/>
        <v>35.6</v>
      </c>
      <c r="L310" s="8">
        <f t="shared" si="42"/>
        <v>6.3095734448019177E-8</v>
      </c>
      <c r="M310" s="26"/>
      <c r="N310" s="17"/>
      <c r="O310" s="9">
        <f t="shared" si="40"/>
        <v>33.4</v>
      </c>
      <c r="P310" s="8">
        <f>D308/B308*10^(O310/10)</f>
        <v>170645.40666806512</v>
      </c>
      <c r="Q310" s="26"/>
      <c r="R310" s="17"/>
      <c r="S310" s="19"/>
      <c r="T310" s="17"/>
      <c r="U310" s="22"/>
    </row>
    <row r="311" spans="1:21" x14ac:dyDescent="0.25">
      <c r="A311" s="24"/>
      <c r="B311" s="24"/>
      <c r="C311" s="17"/>
      <c r="D311" s="24"/>
      <c r="E311" s="24"/>
      <c r="F311" s="25"/>
      <c r="G311" s="1">
        <v>2125</v>
      </c>
      <c r="H311" s="2">
        <v>104.2</v>
      </c>
      <c r="I311" s="2">
        <v>34</v>
      </c>
      <c r="J311" s="2">
        <v>26.6</v>
      </c>
      <c r="K311" s="2">
        <f t="shared" si="38"/>
        <v>34</v>
      </c>
      <c r="L311" s="8">
        <f t="shared" si="42"/>
        <v>9.5499258602143212E-8</v>
      </c>
      <c r="M311" s="26"/>
      <c r="N311" s="17"/>
      <c r="O311" s="9">
        <f t="shared" si="40"/>
        <v>26.6</v>
      </c>
      <c r="P311" s="8">
        <f>D308/B308*10^(O311/10)</f>
        <v>35652.878789960298</v>
      </c>
      <c r="Q311" s="26"/>
      <c r="R311" s="17"/>
      <c r="S311" s="19"/>
      <c r="T311" s="17"/>
      <c r="U311" s="22"/>
    </row>
    <row r="312" spans="1:21" x14ac:dyDescent="0.25">
      <c r="A312" s="24"/>
      <c r="B312" s="24"/>
      <c r="C312" s="17"/>
      <c r="D312" s="24"/>
      <c r="E312" s="24"/>
      <c r="F312" s="25"/>
      <c r="G312" s="1">
        <v>2425</v>
      </c>
      <c r="H312" s="2">
        <v>93.7</v>
      </c>
      <c r="I312" s="2">
        <v>32.700000000000003</v>
      </c>
      <c r="J312" s="2">
        <v>25.3</v>
      </c>
      <c r="K312" s="2">
        <f t="shared" si="38"/>
        <v>32.700000000000003</v>
      </c>
      <c r="L312" s="8">
        <f t="shared" si="42"/>
        <v>7.9432823472428114E-7</v>
      </c>
      <c r="M312" s="26"/>
      <c r="N312" s="17"/>
      <c r="O312" s="9">
        <f t="shared" si="40"/>
        <v>25.3</v>
      </c>
      <c r="P312" s="8">
        <f>D308/B308*10^(O312/10)</f>
        <v>26429.844178857817</v>
      </c>
      <c r="Q312" s="26"/>
      <c r="R312" s="17"/>
      <c r="S312" s="19"/>
      <c r="T312" s="17"/>
      <c r="U312" s="22"/>
    </row>
    <row r="313" spans="1:21" x14ac:dyDescent="0.25">
      <c r="A313" s="24"/>
      <c r="B313" s="24"/>
      <c r="C313" s="17"/>
      <c r="D313" s="24"/>
      <c r="E313" s="24"/>
      <c r="F313" s="25"/>
      <c r="G313" s="1">
        <v>2775</v>
      </c>
      <c r="H313" s="2">
        <v>100.2</v>
      </c>
      <c r="I313" s="2">
        <v>31.900000000000002</v>
      </c>
      <c r="J313" s="2">
        <v>30.6</v>
      </c>
      <c r="K313" s="2">
        <f t="shared" si="38"/>
        <v>31.900000000000002</v>
      </c>
      <c r="L313" s="8">
        <f t="shared" si="42"/>
        <v>1.479108388168204E-7</v>
      </c>
      <c r="M313" s="26"/>
      <c r="N313" s="17"/>
      <c r="O313" s="9">
        <f t="shared" si="40"/>
        <v>30.6</v>
      </c>
      <c r="P313" s="8">
        <f>D308/B308*10^(O313/10)</f>
        <v>89555.982476756952</v>
      </c>
      <c r="Q313" s="26"/>
      <c r="R313" s="17"/>
      <c r="S313" s="20"/>
      <c r="T313" s="17"/>
      <c r="U313" s="23"/>
    </row>
    <row r="314" spans="1:21" x14ac:dyDescent="0.25">
      <c r="A314" s="24">
        <v>4000</v>
      </c>
      <c r="B314" s="24">
        <v>3</v>
      </c>
      <c r="C314" s="17">
        <v>0.5</v>
      </c>
      <c r="D314" s="24">
        <v>470</v>
      </c>
      <c r="E314" s="24">
        <v>6</v>
      </c>
      <c r="F314" s="25">
        <v>62</v>
      </c>
      <c r="G314" s="1">
        <v>2825</v>
      </c>
      <c r="H314" s="2">
        <v>99.4</v>
      </c>
      <c r="I314" s="2">
        <v>32.4</v>
      </c>
      <c r="J314" s="2">
        <v>28.2</v>
      </c>
      <c r="K314" s="2">
        <f t="shared" si="38"/>
        <v>32.4</v>
      </c>
      <c r="L314" s="8">
        <f t="shared" si="42"/>
        <v>1.9952623149688761E-7</v>
      </c>
      <c r="M314" s="26">
        <f>SUM(L314:L319)</f>
        <v>4.984119171993996E-7</v>
      </c>
      <c r="N314" s="17">
        <f>10*LOG10(M314/E314)</f>
        <v>-70.805628324787918</v>
      </c>
      <c r="O314" s="9">
        <f t="shared" si="40"/>
        <v>28.2</v>
      </c>
      <c r="P314" s="8">
        <f>D314/B314*10^(O314/10)</f>
        <v>103508.64018785677</v>
      </c>
      <c r="Q314" s="26">
        <f>SUM(P314:P319)</f>
        <v>526347.65800307132</v>
      </c>
      <c r="R314" s="17">
        <f>10*LOG10(Q314)</f>
        <v>57.212726948713424</v>
      </c>
      <c r="S314" s="18">
        <f>F314+N314-Kzt-H</f>
        <v>-8.8056283247879179</v>
      </c>
      <c r="T314" s="17">
        <v>0.9</v>
      </c>
      <c r="U314" s="21">
        <f>T314*10^((S314-R314)/10)</f>
        <v>2.2511632072452637E-7</v>
      </c>
    </row>
    <row r="315" spans="1:21" x14ac:dyDescent="0.25">
      <c r="A315" s="24"/>
      <c r="B315" s="24"/>
      <c r="C315" s="17"/>
      <c r="D315" s="24"/>
      <c r="E315" s="24"/>
      <c r="F315" s="25"/>
      <c r="G315" s="1">
        <v>3425</v>
      </c>
      <c r="H315" s="2">
        <v>103.5</v>
      </c>
      <c r="I315" s="2">
        <v>31.1</v>
      </c>
      <c r="J315" s="2">
        <v>26.9</v>
      </c>
      <c r="K315" s="2">
        <f t="shared" si="38"/>
        <v>31.1</v>
      </c>
      <c r="L315" s="8">
        <f t="shared" si="42"/>
        <v>5.7543993733715586E-8</v>
      </c>
      <c r="M315" s="26"/>
      <c r="N315" s="17"/>
      <c r="O315" s="9">
        <f t="shared" si="40"/>
        <v>26.9</v>
      </c>
      <c r="P315" s="8">
        <f>D314/B314*10^(O315/10)</f>
        <v>76732.015034389915</v>
      </c>
      <c r="Q315" s="26"/>
      <c r="R315" s="17"/>
      <c r="S315" s="19"/>
      <c r="T315" s="17"/>
      <c r="U315" s="22"/>
    </row>
    <row r="316" spans="1:21" x14ac:dyDescent="0.25">
      <c r="A316" s="24"/>
      <c r="B316" s="24"/>
      <c r="C316" s="17"/>
      <c r="D316" s="24"/>
      <c r="E316" s="24"/>
      <c r="F316" s="25"/>
      <c r="G316" s="1">
        <v>4025</v>
      </c>
      <c r="H316" s="2">
        <v>103.6</v>
      </c>
      <c r="I316" s="2">
        <v>29.3</v>
      </c>
      <c r="J316" s="2">
        <v>28.2</v>
      </c>
      <c r="K316" s="2">
        <f t="shared" si="38"/>
        <v>29.3</v>
      </c>
      <c r="L316" s="8">
        <f t="shared" si="42"/>
        <v>3.7153522909717246E-8</v>
      </c>
      <c r="M316" s="26"/>
      <c r="N316" s="17"/>
      <c r="O316" s="9">
        <f t="shared" si="40"/>
        <v>28.2</v>
      </c>
      <c r="P316" s="8">
        <f>D314/B314*10^(O316/10)</f>
        <v>103508.64018785677</v>
      </c>
      <c r="Q316" s="26"/>
      <c r="R316" s="17"/>
      <c r="S316" s="19"/>
      <c r="T316" s="17"/>
      <c r="U316" s="22"/>
    </row>
    <row r="317" spans="1:21" x14ac:dyDescent="0.25">
      <c r="A317" s="24"/>
      <c r="B317" s="24"/>
      <c r="C317" s="17"/>
      <c r="D317" s="24"/>
      <c r="E317" s="24"/>
      <c r="F317" s="25"/>
      <c r="G317" s="1">
        <v>4625</v>
      </c>
      <c r="H317" s="2">
        <v>105.6</v>
      </c>
      <c r="I317" s="2">
        <v>27.8</v>
      </c>
      <c r="J317" s="2">
        <v>24.1</v>
      </c>
      <c r="K317" s="2">
        <f t="shared" si="38"/>
        <v>27.8</v>
      </c>
      <c r="L317" s="8">
        <f t="shared" si="42"/>
        <v>1.65958690743756E-8</v>
      </c>
      <c r="M317" s="26"/>
      <c r="N317" s="17"/>
      <c r="O317" s="9">
        <f t="shared" si="40"/>
        <v>24.1</v>
      </c>
      <c r="P317" s="8">
        <f>D314/B314*10^(O317/10)</f>
        <v>40269.533930045567</v>
      </c>
      <c r="Q317" s="26"/>
      <c r="R317" s="17"/>
      <c r="S317" s="19"/>
      <c r="T317" s="17"/>
      <c r="U317" s="22"/>
    </row>
    <row r="318" spans="1:21" x14ac:dyDescent="0.25">
      <c r="A318" s="24"/>
      <c r="B318" s="24"/>
      <c r="C318" s="17"/>
      <c r="D318" s="24"/>
      <c r="E318" s="24"/>
      <c r="F318" s="25"/>
      <c r="G318" s="1">
        <v>5225</v>
      </c>
      <c r="H318" s="2">
        <v>103.5</v>
      </c>
      <c r="I318" s="2">
        <v>31.6</v>
      </c>
      <c r="J318" s="2">
        <v>26.8</v>
      </c>
      <c r="K318" s="2">
        <f t="shared" si="38"/>
        <v>31.6</v>
      </c>
      <c r="L318" s="8">
        <f t="shared" si="42"/>
        <v>6.4565422903465397E-8</v>
      </c>
      <c r="M318" s="26"/>
      <c r="N318" s="17"/>
      <c r="O318" s="9">
        <f t="shared" si="40"/>
        <v>26.8</v>
      </c>
      <c r="P318" s="8">
        <f>D314/B314*10^(O318/10)</f>
        <v>74985.381130546753</v>
      </c>
      <c r="Q318" s="26"/>
      <c r="R318" s="17"/>
      <c r="S318" s="19"/>
      <c r="T318" s="17"/>
      <c r="U318" s="22"/>
    </row>
    <row r="319" spans="1:21" x14ac:dyDescent="0.25">
      <c r="A319" s="24"/>
      <c r="B319" s="24"/>
      <c r="C319" s="17"/>
      <c r="D319" s="24"/>
      <c r="E319" s="24"/>
      <c r="F319" s="25"/>
      <c r="G319" s="1">
        <v>5625</v>
      </c>
      <c r="H319" s="2">
        <v>99.5</v>
      </c>
      <c r="I319" s="2">
        <v>30.4</v>
      </c>
      <c r="J319" s="2">
        <v>29.1</v>
      </c>
      <c r="K319" s="2">
        <f t="shared" si="38"/>
        <v>30.4</v>
      </c>
      <c r="L319" s="8">
        <f t="shared" si="42"/>
        <v>1.2302687708123817E-7</v>
      </c>
      <c r="M319" s="26"/>
      <c r="N319" s="17"/>
      <c r="O319" s="9">
        <f t="shared" si="40"/>
        <v>29.1</v>
      </c>
      <c r="P319" s="8">
        <f>D314/B314*10^(O319/10)</f>
        <v>127343.44753237562</v>
      </c>
      <c r="Q319" s="26"/>
      <c r="R319" s="17"/>
      <c r="S319" s="20"/>
      <c r="T319" s="17"/>
      <c r="U319" s="23"/>
    </row>
    <row r="320" spans="1:21" x14ac:dyDescent="0.25">
      <c r="A320" s="24">
        <v>8000</v>
      </c>
      <c r="B320" s="24">
        <v>3</v>
      </c>
      <c r="C320" s="17">
        <v>0.5</v>
      </c>
      <c r="D320" s="24">
        <v>943</v>
      </c>
      <c r="E320" s="24">
        <v>6</v>
      </c>
      <c r="F320" s="25">
        <v>54</v>
      </c>
      <c r="G320" s="1">
        <v>6025</v>
      </c>
      <c r="H320" s="2">
        <v>95</v>
      </c>
      <c r="I320" s="2">
        <v>35.4</v>
      </c>
      <c r="J320" s="2">
        <v>26.9</v>
      </c>
      <c r="K320" s="2">
        <f t="shared" si="38"/>
        <v>35.4</v>
      </c>
      <c r="L320" s="8">
        <f t="shared" si="42"/>
        <v>1.0964781961431832E-6</v>
      </c>
      <c r="M320" s="26">
        <f>SUM(L320:L325)</f>
        <v>5.9271258752475228E-6</v>
      </c>
      <c r="N320" s="17">
        <f>10*LOG10(M320/E320)</f>
        <v>-60.053070998706389</v>
      </c>
      <c r="O320" s="9">
        <f t="shared" si="40"/>
        <v>26.9</v>
      </c>
      <c r="P320" s="8">
        <f>D320/B320*10^(O320/10)</f>
        <v>153953.80888814825</v>
      </c>
      <c r="Q320" s="26">
        <f>SUM(P320:P325)</f>
        <v>819447.34295241092</v>
      </c>
      <c r="R320" s="17">
        <f>10*LOG10(Q320)</f>
        <v>59.13521051378212</v>
      </c>
      <c r="S320" s="18">
        <f>F320+N320-Kzt-H</f>
        <v>-6.0530709987063887</v>
      </c>
      <c r="T320" s="17">
        <v>0.7</v>
      </c>
      <c r="U320" s="21">
        <f>T320*10^((S320-R320)/10)</f>
        <v>2.1196779826367502E-7</v>
      </c>
    </row>
    <row r="321" spans="1:21" x14ac:dyDescent="0.25">
      <c r="A321" s="24"/>
      <c r="B321" s="24"/>
      <c r="C321" s="17"/>
      <c r="D321" s="24"/>
      <c r="E321" s="24"/>
      <c r="F321" s="25"/>
      <c r="G321" s="1">
        <v>7025</v>
      </c>
      <c r="H321" s="2">
        <v>94.8</v>
      </c>
      <c r="I321" s="2">
        <v>30.8</v>
      </c>
      <c r="J321" s="2">
        <v>26.9</v>
      </c>
      <c r="K321" s="2">
        <f t="shared" si="38"/>
        <v>30.8</v>
      </c>
      <c r="L321" s="8">
        <f t="shared" si="42"/>
        <v>3.9810717055349618E-7</v>
      </c>
      <c r="M321" s="26"/>
      <c r="N321" s="17"/>
      <c r="O321" s="9">
        <f t="shared" si="40"/>
        <v>26.9</v>
      </c>
      <c r="P321" s="8">
        <f>D320/B320*10^(O321/10)</f>
        <v>153953.80888814825</v>
      </c>
      <c r="Q321" s="26"/>
      <c r="R321" s="17"/>
      <c r="S321" s="19"/>
      <c r="T321" s="17"/>
      <c r="U321" s="22"/>
    </row>
    <row r="322" spans="1:21" x14ac:dyDescent="0.25">
      <c r="A322" s="24"/>
      <c r="B322" s="24"/>
      <c r="C322" s="17"/>
      <c r="D322" s="24"/>
      <c r="E322" s="24"/>
      <c r="F322" s="25"/>
      <c r="G322" s="1">
        <v>8025</v>
      </c>
      <c r="H322" s="2">
        <v>101.9</v>
      </c>
      <c r="I322" s="2">
        <v>30.9</v>
      </c>
      <c r="J322" s="2">
        <v>25</v>
      </c>
      <c r="K322" s="2">
        <f t="shared" si="38"/>
        <v>30.9</v>
      </c>
      <c r="L322" s="8">
        <f t="shared" si="42"/>
        <v>7.943282347242818E-8</v>
      </c>
      <c r="M322" s="26"/>
      <c r="N322" s="17"/>
      <c r="O322" s="9">
        <f t="shared" si="40"/>
        <v>25</v>
      </c>
      <c r="P322" s="8">
        <f>D320/B320*10^(O322/10)</f>
        <v>99400.927784626154</v>
      </c>
      <c r="Q322" s="26"/>
      <c r="R322" s="17"/>
      <c r="S322" s="19"/>
      <c r="T322" s="17"/>
      <c r="U322" s="22"/>
    </row>
    <row r="323" spans="1:21" x14ac:dyDescent="0.25">
      <c r="A323" s="24"/>
      <c r="B323" s="24"/>
      <c r="C323" s="17"/>
      <c r="D323" s="24"/>
      <c r="E323" s="24"/>
      <c r="F323" s="25"/>
      <c r="G323" s="1">
        <v>9025</v>
      </c>
      <c r="H323" s="2">
        <v>93.2</v>
      </c>
      <c r="I323" s="2">
        <v>31.4</v>
      </c>
      <c r="J323" s="2">
        <v>26.5</v>
      </c>
      <c r="K323" s="2">
        <f t="shared" si="38"/>
        <v>31.4</v>
      </c>
      <c r="L323" s="8">
        <f t="shared" si="42"/>
        <v>6.606934480075939E-7</v>
      </c>
      <c r="M323" s="26"/>
      <c r="N323" s="17"/>
      <c r="O323" s="9">
        <f t="shared" si="40"/>
        <v>26.5</v>
      </c>
      <c r="P323" s="8">
        <f>D320/B320*10^(O323/10)</f>
        <v>140407.54246611946</v>
      </c>
      <c r="Q323" s="26"/>
      <c r="R323" s="17"/>
      <c r="S323" s="19"/>
      <c r="T323" s="17"/>
      <c r="U323" s="22"/>
    </row>
    <row r="324" spans="1:21" x14ac:dyDescent="0.25">
      <c r="A324" s="24"/>
      <c r="B324" s="24"/>
      <c r="C324" s="17"/>
      <c r="D324" s="24"/>
      <c r="E324" s="24"/>
      <c r="F324" s="25"/>
      <c r="G324" s="1">
        <v>10025</v>
      </c>
      <c r="H324" s="2">
        <v>88.3</v>
      </c>
      <c r="I324" s="2">
        <v>28.8</v>
      </c>
      <c r="J324" s="2">
        <v>26.6</v>
      </c>
      <c r="K324" s="2">
        <f t="shared" si="38"/>
        <v>28.8</v>
      </c>
      <c r="L324" s="8">
        <f t="shared" si="42"/>
        <v>1.1220184543019616E-6</v>
      </c>
      <c r="M324" s="26"/>
      <c r="N324" s="17"/>
      <c r="O324" s="9">
        <f t="shared" si="40"/>
        <v>26.6</v>
      </c>
      <c r="P324" s="8">
        <f>D320/B320*10^(O324/10)</f>
        <v>143678.05426894256</v>
      </c>
      <c r="Q324" s="26"/>
      <c r="R324" s="17"/>
      <c r="S324" s="19"/>
      <c r="T324" s="17"/>
      <c r="U324" s="22"/>
    </row>
    <row r="325" spans="1:21" x14ac:dyDescent="0.25">
      <c r="A325" s="24"/>
      <c r="B325" s="24"/>
      <c r="C325" s="17"/>
      <c r="D325" s="24"/>
      <c r="E325" s="24"/>
      <c r="F325" s="25"/>
      <c r="G325" s="1">
        <v>11025</v>
      </c>
      <c r="H325" s="2">
        <v>86</v>
      </c>
      <c r="I325" s="2">
        <v>30.1</v>
      </c>
      <c r="J325" s="2">
        <v>26.1</v>
      </c>
      <c r="K325" s="2">
        <f t="shared" si="38"/>
        <v>30.1</v>
      </c>
      <c r="L325" s="8">
        <f t="shared" si="42"/>
        <v>2.5703957827688596E-6</v>
      </c>
      <c r="M325" s="26"/>
      <c r="N325" s="17"/>
      <c r="O325" s="9">
        <f t="shared" si="40"/>
        <v>26.1</v>
      </c>
      <c r="P325" s="8">
        <f>D320/B320*10^(O325/10)</f>
        <v>128053.2006564263</v>
      </c>
      <c r="Q325" s="26"/>
      <c r="R325" s="17"/>
      <c r="S325" s="20"/>
      <c r="T325" s="17"/>
      <c r="U325" s="23"/>
    </row>
    <row r="326" spans="1:21" x14ac:dyDescent="0.25">
      <c r="A326" s="24" t="s">
        <v>20</v>
      </c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12">
        <f>U326</f>
        <v>6.5860506998586824E-2</v>
      </c>
      <c r="T326" s="2"/>
      <c r="U326" s="8">
        <f>0.8*SQRT(SUM(U292:U325))</f>
        <v>6.5860506998586824E-2</v>
      </c>
    </row>
    <row r="327" spans="1:21" x14ac:dyDescent="0.25">
      <c r="A327" s="27" t="s">
        <v>121</v>
      </c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9"/>
    </row>
    <row r="328" spans="1:21" x14ac:dyDescent="0.25">
      <c r="A328" s="24">
        <v>250</v>
      </c>
      <c r="B328" s="24">
        <v>3</v>
      </c>
      <c r="C328" s="17">
        <v>0.5</v>
      </c>
      <c r="D328" s="24">
        <v>38</v>
      </c>
      <c r="E328" s="24">
        <v>4</v>
      </c>
      <c r="F328" s="25">
        <v>84</v>
      </c>
      <c r="G328" s="1">
        <v>175</v>
      </c>
      <c r="H328" s="2">
        <v>84.8</v>
      </c>
      <c r="I328" s="2">
        <v>37.4</v>
      </c>
      <c r="J328" s="2">
        <v>30.4</v>
      </c>
      <c r="K328" s="2">
        <f>I328</f>
        <v>37.4</v>
      </c>
      <c r="L328" s="8">
        <f>10^((K328-H328)/10)</f>
        <v>1.8197008586099817E-5</v>
      </c>
      <c r="M328" s="26">
        <f>SUM(L328:L331)</f>
        <v>3.5050231713908645E-5</v>
      </c>
      <c r="N328" s="17">
        <f>10*LOG10(M328/E328)</f>
        <v>-50.573690979342928</v>
      </c>
      <c r="O328" s="9">
        <f>J328</f>
        <v>30.4</v>
      </c>
      <c r="P328" s="8">
        <f>D328/B328*10^(O328/10)</f>
        <v>13888.723817813692</v>
      </c>
      <c r="Q328" s="26">
        <f>SUM(P328:P331)</f>
        <v>86142.22146606131</v>
      </c>
      <c r="R328" s="17">
        <f>10*LOG10(Q328)</f>
        <v>49.352160673106326</v>
      </c>
      <c r="S328" s="18">
        <f>F328+N328-Kzt-H</f>
        <v>33.426309020657072</v>
      </c>
      <c r="T328" s="17">
        <v>0.2</v>
      </c>
      <c r="U328" s="21">
        <f>T328*10^((S328-R328)/10)</f>
        <v>5.1102815765043316E-3</v>
      </c>
    </row>
    <row r="329" spans="1:21" x14ac:dyDescent="0.25">
      <c r="A329" s="24"/>
      <c r="B329" s="24"/>
      <c r="C329" s="17"/>
      <c r="D329" s="24"/>
      <c r="E329" s="24"/>
      <c r="F329" s="25"/>
      <c r="G329" s="1">
        <v>225</v>
      </c>
      <c r="H329" s="2">
        <v>90</v>
      </c>
      <c r="I329" s="2">
        <v>39.5</v>
      </c>
      <c r="J329" s="2">
        <v>33.1</v>
      </c>
      <c r="K329" s="2">
        <f t="shared" ref="K329:K361" si="43">I329</f>
        <v>39.5</v>
      </c>
      <c r="L329" s="8">
        <f t="shared" ref="L329:L330" si="44">10^((K329-H329)/10)</f>
        <v>8.9125093813374425E-6</v>
      </c>
      <c r="M329" s="26"/>
      <c r="N329" s="17"/>
      <c r="O329" s="9">
        <f t="shared" ref="O329:O361" si="45">J329</f>
        <v>33.1</v>
      </c>
      <c r="P329" s="8">
        <f>D328/B328*10^(O329/10)</f>
        <v>25862.013965814069</v>
      </c>
      <c r="Q329" s="26"/>
      <c r="R329" s="17"/>
      <c r="S329" s="19"/>
      <c r="T329" s="17"/>
      <c r="U329" s="22"/>
    </row>
    <row r="330" spans="1:21" x14ac:dyDescent="0.25">
      <c r="A330" s="24"/>
      <c r="B330" s="24"/>
      <c r="C330" s="17"/>
      <c r="D330" s="24"/>
      <c r="E330" s="24"/>
      <c r="F330" s="25"/>
      <c r="G330" s="1">
        <v>275</v>
      </c>
      <c r="H330" s="2">
        <v>92.2</v>
      </c>
      <c r="I330" s="2">
        <v>36.299999999999997</v>
      </c>
      <c r="J330" s="2">
        <v>31.2</v>
      </c>
      <c r="K330" s="2">
        <f t="shared" si="43"/>
        <v>36.299999999999997</v>
      </c>
      <c r="L330" s="8">
        <f t="shared" si="44"/>
        <v>2.5703957827688549E-6</v>
      </c>
      <c r="M330" s="26"/>
      <c r="N330" s="17"/>
      <c r="O330" s="9">
        <f t="shared" si="45"/>
        <v>31.2</v>
      </c>
      <c r="P330" s="8">
        <f>D328/B328*10^(O330/10)</f>
        <v>16697.918688381178</v>
      </c>
      <c r="Q330" s="26"/>
      <c r="R330" s="17"/>
      <c r="S330" s="19"/>
      <c r="T330" s="17"/>
      <c r="U330" s="22"/>
    </row>
    <row r="331" spans="1:21" x14ac:dyDescent="0.25">
      <c r="A331" s="24"/>
      <c r="B331" s="24"/>
      <c r="C331" s="17"/>
      <c r="D331" s="24"/>
      <c r="E331" s="24"/>
      <c r="F331" s="25"/>
      <c r="G331" s="1">
        <v>325</v>
      </c>
      <c r="H331" s="2">
        <v>93.3</v>
      </c>
      <c r="I331" s="2">
        <v>40.6</v>
      </c>
      <c r="J331" s="2">
        <v>33.700000000000003</v>
      </c>
      <c r="K331" s="2">
        <f t="shared" si="43"/>
        <v>40.6</v>
      </c>
      <c r="L331" s="8">
        <f>10^((K331-H331)/10)</f>
        <v>5.3703179637025301E-6</v>
      </c>
      <c r="M331" s="26"/>
      <c r="N331" s="17"/>
      <c r="O331" s="9">
        <f t="shared" si="45"/>
        <v>33.700000000000003</v>
      </c>
      <c r="P331" s="8">
        <f>D328/B328*10^(O331/10)</f>
        <v>29693.564994052365</v>
      </c>
      <c r="Q331" s="26"/>
      <c r="R331" s="17"/>
      <c r="S331" s="20"/>
      <c r="T331" s="17"/>
      <c r="U331" s="23"/>
    </row>
    <row r="332" spans="1:21" x14ac:dyDescent="0.25">
      <c r="A332" s="24">
        <v>500</v>
      </c>
      <c r="B332" s="24">
        <v>3</v>
      </c>
      <c r="C332" s="17">
        <v>0.5</v>
      </c>
      <c r="D332" s="24">
        <v>59</v>
      </c>
      <c r="E332" s="24">
        <v>6</v>
      </c>
      <c r="F332" s="25">
        <v>84</v>
      </c>
      <c r="G332" s="1">
        <v>375</v>
      </c>
      <c r="H332" s="2">
        <v>91.9</v>
      </c>
      <c r="I332" s="2">
        <v>38.5</v>
      </c>
      <c r="J332" s="2">
        <v>32.1</v>
      </c>
      <c r="K332" s="2">
        <f t="shared" si="43"/>
        <v>38.5</v>
      </c>
      <c r="L332" s="8">
        <f t="shared" ref="L332:L333" si="46">10^((K332-H332)/10)</f>
        <v>4.57088189614874E-6</v>
      </c>
      <c r="M332" s="26">
        <f>SUM(L332:L337)</f>
        <v>4.0048239976320628E-5</v>
      </c>
      <c r="N332" s="17">
        <f>10*LOG10(M332/E332)</f>
        <v>-51.755678157403608</v>
      </c>
      <c r="O332" s="9">
        <f t="shared" si="45"/>
        <v>32.1</v>
      </c>
      <c r="P332" s="8">
        <f>D332/B332*10^(O332/10)</f>
        <v>31895.598581392307</v>
      </c>
      <c r="Q332" s="26">
        <f>SUM(P332:P337)</f>
        <v>170640.99877762538</v>
      </c>
      <c r="R332" s="17">
        <f>10*LOG10(Q332)</f>
        <v>52.320833844147778</v>
      </c>
      <c r="S332" s="18">
        <f>F332+N332-Kzt-H</f>
        <v>32.244321842596392</v>
      </c>
      <c r="T332" s="17">
        <v>0.5</v>
      </c>
      <c r="U332" s="21">
        <f>T332*10^((S332-R332)/10)</f>
        <v>4.9126837103908262E-3</v>
      </c>
    </row>
    <row r="333" spans="1:21" x14ac:dyDescent="0.25">
      <c r="A333" s="24"/>
      <c r="B333" s="24"/>
      <c r="C333" s="17"/>
      <c r="D333" s="24"/>
      <c r="E333" s="24"/>
      <c r="F333" s="25"/>
      <c r="G333" s="1">
        <v>425</v>
      </c>
      <c r="H333" s="2">
        <v>88.1</v>
      </c>
      <c r="I333" s="2">
        <v>40.1</v>
      </c>
      <c r="J333" s="2">
        <v>28.8</v>
      </c>
      <c r="K333" s="2">
        <f t="shared" si="43"/>
        <v>40.1</v>
      </c>
      <c r="L333" s="8">
        <f t="shared" si="46"/>
        <v>1.5848931924611158E-5</v>
      </c>
      <c r="M333" s="26"/>
      <c r="N333" s="17"/>
      <c r="O333" s="9">
        <f t="shared" si="45"/>
        <v>28.8</v>
      </c>
      <c r="P333" s="8">
        <f>D332/B332*10^(O333/10)</f>
        <v>14918.692308907282</v>
      </c>
      <c r="Q333" s="26"/>
      <c r="R333" s="17"/>
      <c r="S333" s="19"/>
      <c r="T333" s="17"/>
      <c r="U333" s="22"/>
    </row>
    <row r="334" spans="1:21" x14ac:dyDescent="0.25">
      <c r="A334" s="24"/>
      <c r="B334" s="24"/>
      <c r="C334" s="17"/>
      <c r="D334" s="24"/>
      <c r="E334" s="24"/>
      <c r="F334" s="25"/>
      <c r="G334" s="1">
        <v>475</v>
      </c>
      <c r="H334" s="2">
        <v>90</v>
      </c>
      <c r="I334" s="2">
        <v>41.4</v>
      </c>
      <c r="J334" s="2">
        <v>33.4</v>
      </c>
      <c r="K334" s="2">
        <f t="shared" si="43"/>
        <v>41.4</v>
      </c>
      <c r="L334" s="8">
        <f>10^((K334-H334)/10)</f>
        <v>1.3803842646028827E-5</v>
      </c>
      <c r="M334" s="26"/>
      <c r="N334" s="17"/>
      <c r="O334" s="9">
        <f t="shared" si="45"/>
        <v>33.4</v>
      </c>
      <c r="P334" s="8">
        <f>D332/B332*10^(O334/10)</f>
        <v>43025.97860434121</v>
      </c>
      <c r="Q334" s="26"/>
      <c r="R334" s="17"/>
      <c r="S334" s="19"/>
      <c r="T334" s="17"/>
      <c r="U334" s="22"/>
    </row>
    <row r="335" spans="1:21" x14ac:dyDescent="0.25">
      <c r="A335" s="24"/>
      <c r="B335" s="24"/>
      <c r="C335" s="17"/>
      <c r="D335" s="24"/>
      <c r="E335" s="24"/>
      <c r="F335" s="25"/>
      <c r="G335" s="1">
        <v>575</v>
      </c>
      <c r="H335" s="2">
        <v>97</v>
      </c>
      <c r="I335" s="2">
        <v>38</v>
      </c>
      <c r="J335" s="2">
        <v>30.5</v>
      </c>
      <c r="K335" s="2">
        <f t="shared" si="43"/>
        <v>38</v>
      </c>
      <c r="L335" s="8">
        <f t="shared" ref="L335:L361" si="47">10^((K335-H335)/10)</f>
        <v>1.2589254117941642E-6</v>
      </c>
      <c r="M335" s="26"/>
      <c r="N335" s="17"/>
      <c r="O335" s="9">
        <f t="shared" si="45"/>
        <v>30.5</v>
      </c>
      <c r="P335" s="8">
        <f>D332/B332*10^(O335/10)</f>
        <v>22066.362934605288</v>
      </c>
      <c r="Q335" s="26"/>
      <c r="R335" s="17"/>
      <c r="S335" s="19"/>
      <c r="T335" s="17"/>
      <c r="U335" s="22"/>
    </row>
    <row r="336" spans="1:21" x14ac:dyDescent="0.25">
      <c r="A336" s="24"/>
      <c r="B336" s="24"/>
      <c r="C336" s="17"/>
      <c r="D336" s="24"/>
      <c r="E336" s="24"/>
      <c r="F336" s="25"/>
      <c r="G336" s="1">
        <v>625</v>
      </c>
      <c r="H336" s="2">
        <v>92</v>
      </c>
      <c r="I336" s="2">
        <v>35</v>
      </c>
      <c r="J336" s="2">
        <v>32.299999999999997</v>
      </c>
      <c r="K336" s="2">
        <f t="shared" si="43"/>
        <v>35</v>
      </c>
      <c r="L336" s="8">
        <f t="shared" si="47"/>
        <v>1.9952623149688749E-6</v>
      </c>
      <c r="M336" s="26"/>
      <c r="N336" s="17"/>
      <c r="O336" s="9">
        <f t="shared" si="45"/>
        <v>32.299999999999997</v>
      </c>
      <c r="P336" s="8">
        <f>D332/B332*10^(O336/10)</f>
        <v>33398.791831747621</v>
      </c>
      <c r="Q336" s="26"/>
      <c r="R336" s="17"/>
      <c r="S336" s="19"/>
      <c r="T336" s="17"/>
      <c r="U336" s="22"/>
    </row>
    <row r="337" spans="1:21" x14ac:dyDescent="0.25">
      <c r="A337" s="24"/>
      <c r="B337" s="24"/>
      <c r="C337" s="17"/>
      <c r="D337" s="24"/>
      <c r="E337" s="24"/>
      <c r="F337" s="25"/>
      <c r="G337" s="1">
        <v>675</v>
      </c>
      <c r="H337" s="2">
        <v>94.5</v>
      </c>
      <c r="I337" s="2">
        <v>38.6</v>
      </c>
      <c r="J337" s="2">
        <v>31.1</v>
      </c>
      <c r="K337" s="2">
        <f t="shared" si="43"/>
        <v>38.6</v>
      </c>
      <c r="L337" s="8">
        <f t="shared" si="47"/>
        <v>2.5703957827688596E-6</v>
      </c>
      <c r="M337" s="26"/>
      <c r="N337" s="17"/>
      <c r="O337" s="9">
        <f t="shared" si="45"/>
        <v>31.1</v>
      </c>
      <c r="P337" s="8">
        <f>D332/B332*10^(O337/10)</f>
        <v>25335.574516631674</v>
      </c>
      <c r="Q337" s="26"/>
      <c r="R337" s="17"/>
      <c r="S337" s="20"/>
      <c r="T337" s="17"/>
      <c r="U337" s="23"/>
    </row>
    <row r="338" spans="1:21" x14ac:dyDescent="0.25">
      <c r="A338" s="24">
        <v>1000</v>
      </c>
      <c r="B338" s="24">
        <v>3</v>
      </c>
      <c r="C338" s="17">
        <v>0.5</v>
      </c>
      <c r="D338" s="24">
        <v>117</v>
      </c>
      <c r="E338" s="24">
        <v>6</v>
      </c>
      <c r="F338" s="25">
        <v>76</v>
      </c>
      <c r="G338" s="1">
        <v>875</v>
      </c>
      <c r="H338" s="2">
        <v>91.1</v>
      </c>
      <c r="I338" s="2">
        <v>34.6</v>
      </c>
      <c r="J338" s="2">
        <v>31.3</v>
      </c>
      <c r="K338" s="2">
        <f t="shared" si="43"/>
        <v>34.6</v>
      </c>
      <c r="L338" s="8">
        <f t="shared" si="47"/>
        <v>2.2387211385683414E-6</v>
      </c>
      <c r="M338" s="26">
        <f>SUM(L338:L343)</f>
        <v>4.4199893647330587E-6</v>
      </c>
      <c r="N338" s="17">
        <f>10*LOG10(M338/E338)</f>
        <v>-61.32730026021725</v>
      </c>
      <c r="O338" s="9">
        <f t="shared" si="45"/>
        <v>31.3</v>
      </c>
      <c r="P338" s="8">
        <f>D338/B338*10^(O338/10)</f>
        <v>52609.552421074506</v>
      </c>
      <c r="Q338" s="26">
        <f>SUM(P338:P343)</f>
        <v>223533.33403333093</v>
      </c>
      <c r="R338" s="17">
        <f>10*LOG10(Q338)</f>
        <v>53.493422957331376</v>
      </c>
      <c r="S338" s="18">
        <f>F338+N338-Kzt-H</f>
        <v>14.67269973978275</v>
      </c>
      <c r="T338" s="17">
        <v>0.8</v>
      </c>
      <c r="U338" s="21">
        <f>T338*10^((S338-R338)/10)</f>
        <v>1.049585120405679E-4</v>
      </c>
    </row>
    <row r="339" spans="1:21" x14ac:dyDescent="0.25">
      <c r="A339" s="24"/>
      <c r="B339" s="24"/>
      <c r="C339" s="17"/>
      <c r="D339" s="24"/>
      <c r="E339" s="24"/>
      <c r="F339" s="25"/>
      <c r="G339" s="1">
        <v>975</v>
      </c>
      <c r="H339" s="2">
        <v>96.5</v>
      </c>
      <c r="I339" s="2">
        <v>33.700000000000003</v>
      </c>
      <c r="J339" s="2">
        <v>30.3</v>
      </c>
      <c r="K339" s="2">
        <f t="shared" si="43"/>
        <v>33.700000000000003</v>
      </c>
      <c r="L339" s="8">
        <f t="shared" si="47"/>
        <v>5.2480746024977233E-7</v>
      </c>
      <c r="M339" s="26"/>
      <c r="N339" s="17"/>
      <c r="O339" s="9">
        <f t="shared" si="45"/>
        <v>30.3</v>
      </c>
      <c r="P339" s="8">
        <f>D338/B338*10^(O339/10)</f>
        <v>41789.252904266701</v>
      </c>
      <c r="Q339" s="26"/>
      <c r="R339" s="17"/>
      <c r="S339" s="19"/>
      <c r="T339" s="17"/>
      <c r="U339" s="22"/>
    </row>
    <row r="340" spans="1:21" x14ac:dyDescent="0.25">
      <c r="A340" s="24"/>
      <c r="B340" s="24"/>
      <c r="C340" s="17"/>
      <c r="D340" s="24"/>
      <c r="E340" s="24"/>
      <c r="F340" s="25"/>
      <c r="G340" s="1">
        <v>1075</v>
      </c>
      <c r="H340" s="2">
        <v>94.6</v>
      </c>
      <c r="I340" s="2">
        <v>32.4</v>
      </c>
      <c r="J340" s="2">
        <v>27.5</v>
      </c>
      <c r="K340" s="2">
        <f t="shared" si="43"/>
        <v>32.4</v>
      </c>
      <c r="L340" s="8">
        <f t="shared" si="47"/>
        <v>6.0255958607435721E-7</v>
      </c>
      <c r="M340" s="26"/>
      <c r="N340" s="17"/>
      <c r="O340" s="9">
        <f t="shared" si="45"/>
        <v>27.5</v>
      </c>
      <c r="P340" s="8">
        <f>D338/B338*10^(O340/10)</f>
        <v>21931.31168242362</v>
      </c>
      <c r="Q340" s="26"/>
      <c r="R340" s="17"/>
      <c r="S340" s="19"/>
      <c r="T340" s="17"/>
      <c r="U340" s="22"/>
    </row>
    <row r="341" spans="1:21" x14ac:dyDescent="0.25">
      <c r="A341" s="24"/>
      <c r="B341" s="24"/>
      <c r="C341" s="17"/>
      <c r="D341" s="24"/>
      <c r="E341" s="24"/>
      <c r="F341" s="25"/>
      <c r="G341" s="1">
        <v>1175</v>
      </c>
      <c r="H341" s="2">
        <v>97.8</v>
      </c>
      <c r="I341" s="2">
        <v>35.1</v>
      </c>
      <c r="J341" s="2">
        <v>30.6</v>
      </c>
      <c r="K341" s="2">
        <f t="shared" si="43"/>
        <v>35.1</v>
      </c>
      <c r="L341" s="8">
        <f t="shared" si="47"/>
        <v>5.3703179637025244E-7</v>
      </c>
      <c r="M341" s="26"/>
      <c r="N341" s="17"/>
      <c r="O341" s="9">
        <f t="shared" si="45"/>
        <v>30.6</v>
      </c>
      <c r="P341" s="8">
        <f>D338/B338*10^(O341/10)</f>
        <v>44777.991238378476</v>
      </c>
      <c r="Q341" s="26"/>
      <c r="R341" s="17"/>
      <c r="S341" s="19"/>
      <c r="T341" s="17"/>
      <c r="U341" s="22"/>
    </row>
    <row r="342" spans="1:21" x14ac:dyDescent="0.25">
      <c r="A342" s="24"/>
      <c r="B342" s="24"/>
      <c r="C342" s="17"/>
      <c r="D342" s="24"/>
      <c r="E342" s="24"/>
      <c r="F342" s="25"/>
      <c r="G342" s="1">
        <v>1275</v>
      </c>
      <c r="H342" s="2">
        <v>100.1</v>
      </c>
      <c r="I342" s="2">
        <v>36.299999999999997</v>
      </c>
      <c r="J342" s="2">
        <v>29.8</v>
      </c>
      <c r="K342" s="2">
        <f t="shared" si="43"/>
        <v>36.299999999999997</v>
      </c>
      <c r="L342" s="8">
        <f t="shared" si="47"/>
        <v>4.1686938347033493E-7</v>
      </c>
      <c r="M342" s="26"/>
      <c r="N342" s="17"/>
      <c r="O342" s="9">
        <f t="shared" si="45"/>
        <v>29.8</v>
      </c>
      <c r="P342" s="8">
        <f>D338/B338*10^(O342/10)</f>
        <v>37244.710854836034</v>
      </c>
      <c r="Q342" s="26"/>
      <c r="R342" s="17"/>
      <c r="S342" s="19"/>
      <c r="T342" s="17"/>
      <c r="U342" s="22"/>
    </row>
    <row r="343" spans="1:21" x14ac:dyDescent="0.25">
      <c r="A343" s="24"/>
      <c r="B343" s="24"/>
      <c r="C343" s="17"/>
      <c r="D343" s="24"/>
      <c r="E343" s="24"/>
      <c r="F343" s="25"/>
      <c r="G343" s="1">
        <v>1375</v>
      </c>
      <c r="H343" s="2">
        <v>103</v>
      </c>
      <c r="I343" s="2">
        <v>33</v>
      </c>
      <c r="J343" s="2">
        <v>28.1</v>
      </c>
      <c r="K343" s="2">
        <f t="shared" si="43"/>
        <v>33</v>
      </c>
      <c r="L343" s="8">
        <f t="shared" si="47"/>
        <v>9.9999999999999995E-8</v>
      </c>
      <c r="M343" s="26"/>
      <c r="N343" s="17"/>
      <c r="O343" s="9">
        <f t="shared" si="45"/>
        <v>28.1</v>
      </c>
      <c r="P343" s="8">
        <f>D338/B338*10^(O343/10)</f>
        <v>25180.514932351583</v>
      </c>
      <c r="Q343" s="26"/>
      <c r="R343" s="17"/>
      <c r="S343" s="20"/>
      <c r="T343" s="17"/>
      <c r="U343" s="23"/>
    </row>
    <row r="344" spans="1:21" x14ac:dyDescent="0.25">
      <c r="A344" s="24">
        <v>2000</v>
      </c>
      <c r="B344" s="24">
        <v>3</v>
      </c>
      <c r="C344" s="17">
        <v>0.5</v>
      </c>
      <c r="D344" s="24">
        <v>234</v>
      </c>
      <c r="E344" s="24">
        <v>6</v>
      </c>
      <c r="F344" s="25">
        <v>68</v>
      </c>
      <c r="G344" s="1">
        <v>1425</v>
      </c>
      <c r="H344" s="2">
        <v>102.8</v>
      </c>
      <c r="I344" s="2">
        <v>34</v>
      </c>
      <c r="J344" s="2">
        <v>30.7</v>
      </c>
      <c r="K344" s="2">
        <f t="shared" si="43"/>
        <v>34</v>
      </c>
      <c r="L344" s="8">
        <f t="shared" si="47"/>
        <v>1.3182567385564048E-7</v>
      </c>
      <c r="M344" s="26">
        <f>SUM(L344:L349)</f>
        <v>1.4075095591952918E-6</v>
      </c>
      <c r="N344" s="17">
        <f>10*LOG10(M344/E344)</f>
        <v>-66.296998973102291</v>
      </c>
      <c r="O344" s="9">
        <f t="shared" si="45"/>
        <v>30.7</v>
      </c>
      <c r="P344" s="8">
        <f>D344/B344*10^(O344/10)</f>
        <v>91642.009285283304</v>
      </c>
      <c r="Q344" s="26">
        <f>SUM(P344:P349)</f>
        <v>473817.92298378807</v>
      </c>
      <c r="R344" s="17">
        <f>10*LOG10(Q344)</f>
        <v>56.756114846386197</v>
      </c>
      <c r="S344" s="18">
        <f>F344+N344-Kzt-H</f>
        <v>1.7030010268977094</v>
      </c>
      <c r="T344" s="17">
        <v>1</v>
      </c>
      <c r="U344" s="21">
        <f>T344*10^((S344-R344)/10)</f>
        <v>3.1238388233178398E-6</v>
      </c>
    </row>
    <row r="345" spans="1:21" x14ac:dyDescent="0.25">
      <c r="A345" s="24"/>
      <c r="B345" s="24"/>
      <c r="C345" s="17"/>
      <c r="D345" s="24"/>
      <c r="E345" s="24"/>
      <c r="F345" s="25"/>
      <c r="G345" s="1">
        <v>1625</v>
      </c>
      <c r="H345" s="2">
        <v>104.1</v>
      </c>
      <c r="I345" s="2">
        <v>33.4</v>
      </c>
      <c r="J345" s="2">
        <v>30.7</v>
      </c>
      <c r="K345" s="2">
        <f t="shared" si="43"/>
        <v>33.4</v>
      </c>
      <c r="L345" s="8">
        <f t="shared" si="47"/>
        <v>8.511380382023795E-8</v>
      </c>
      <c r="M345" s="26"/>
      <c r="N345" s="17"/>
      <c r="O345" s="9">
        <f t="shared" si="45"/>
        <v>30.7</v>
      </c>
      <c r="P345" s="8">
        <f>D344/B344*10^(O345/10)</f>
        <v>91642.009285283304</v>
      </c>
      <c r="Q345" s="26"/>
      <c r="R345" s="17"/>
      <c r="S345" s="19"/>
      <c r="T345" s="17"/>
      <c r="U345" s="22"/>
    </row>
    <row r="346" spans="1:21" x14ac:dyDescent="0.25">
      <c r="A346" s="24"/>
      <c r="B346" s="24"/>
      <c r="C346" s="17"/>
      <c r="D346" s="24"/>
      <c r="E346" s="24"/>
      <c r="F346" s="25"/>
      <c r="G346" s="1">
        <v>1825</v>
      </c>
      <c r="H346" s="2">
        <v>107.6</v>
      </c>
      <c r="I346" s="2">
        <v>35</v>
      </c>
      <c r="J346" s="2">
        <v>28.5</v>
      </c>
      <c r="K346" s="2">
        <f t="shared" si="43"/>
        <v>35</v>
      </c>
      <c r="L346" s="8">
        <f t="shared" si="47"/>
        <v>5.4954087385762357E-8</v>
      </c>
      <c r="M346" s="26"/>
      <c r="N346" s="17"/>
      <c r="O346" s="9">
        <f t="shared" si="45"/>
        <v>28.5</v>
      </c>
      <c r="P346" s="8">
        <f>D344/B344*10^(O346/10)</f>
        <v>55219.771181962824</v>
      </c>
      <c r="Q346" s="26"/>
      <c r="R346" s="17"/>
      <c r="S346" s="19"/>
      <c r="T346" s="17"/>
      <c r="U346" s="22"/>
    </row>
    <row r="347" spans="1:21" x14ac:dyDescent="0.25">
      <c r="A347" s="24"/>
      <c r="B347" s="24"/>
      <c r="C347" s="17"/>
      <c r="D347" s="24"/>
      <c r="E347" s="24"/>
      <c r="F347" s="25"/>
      <c r="G347" s="1">
        <v>2125</v>
      </c>
      <c r="H347" s="2">
        <v>104.2</v>
      </c>
      <c r="I347" s="2">
        <v>34.299999999999997</v>
      </c>
      <c r="J347" s="2">
        <v>28.8</v>
      </c>
      <c r="K347" s="2">
        <f t="shared" si="43"/>
        <v>34.299999999999997</v>
      </c>
      <c r="L347" s="8">
        <f t="shared" si="47"/>
        <v>1.0232929922807534E-7</v>
      </c>
      <c r="M347" s="26"/>
      <c r="N347" s="17"/>
      <c r="O347" s="9">
        <f t="shared" si="45"/>
        <v>28.8</v>
      </c>
      <c r="P347" s="8">
        <f>D344/B344*10^(O347/10)</f>
        <v>59169.050852276334</v>
      </c>
      <c r="Q347" s="26"/>
      <c r="R347" s="17"/>
      <c r="S347" s="19"/>
      <c r="T347" s="17"/>
      <c r="U347" s="22"/>
    </row>
    <row r="348" spans="1:21" x14ac:dyDescent="0.25">
      <c r="A348" s="24"/>
      <c r="B348" s="24"/>
      <c r="C348" s="17"/>
      <c r="D348" s="24"/>
      <c r="E348" s="24"/>
      <c r="F348" s="25"/>
      <c r="G348" s="1">
        <v>2425</v>
      </c>
      <c r="H348" s="2">
        <v>93.7</v>
      </c>
      <c r="I348" s="2">
        <v>32.6</v>
      </c>
      <c r="J348" s="2">
        <v>31.6</v>
      </c>
      <c r="K348" s="2">
        <f t="shared" si="43"/>
        <v>32.6</v>
      </c>
      <c r="L348" s="8">
        <f t="shared" si="47"/>
        <v>7.7624711662869019E-7</v>
      </c>
      <c r="M348" s="26"/>
      <c r="N348" s="17"/>
      <c r="O348" s="9">
        <f t="shared" si="45"/>
        <v>31.6</v>
      </c>
      <c r="P348" s="8">
        <f>D344/B344*10^(O348/10)</f>
        <v>112744.30211818244</v>
      </c>
      <c r="Q348" s="26"/>
      <c r="R348" s="17"/>
      <c r="S348" s="19"/>
      <c r="T348" s="17"/>
      <c r="U348" s="22"/>
    </row>
    <row r="349" spans="1:21" x14ac:dyDescent="0.25">
      <c r="A349" s="24"/>
      <c r="B349" s="24"/>
      <c r="C349" s="17"/>
      <c r="D349" s="24"/>
      <c r="E349" s="24"/>
      <c r="F349" s="25"/>
      <c r="G349" s="1">
        <v>2775</v>
      </c>
      <c r="H349" s="2">
        <v>100.2</v>
      </c>
      <c r="I349" s="2">
        <v>34.299999999999997</v>
      </c>
      <c r="J349" s="2">
        <v>29.1</v>
      </c>
      <c r="K349" s="2">
        <f t="shared" si="43"/>
        <v>34.299999999999997</v>
      </c>
      <c r="L349" s="8">
        <f t="shared" si="47"/>
        <v>2.5703957827688563E-7</v>
      </c>
      <c r="M349" s="26"/>
      <c r="N349" s="17"/>
      <c r="O349" s="9">
        <f t="shared" si="45"/>
        <v>29.1</v>
      </c>
      <c r="P349" s="8">
        <f>D344/B344*10^(O349/10)</f>
        <v>63400.78026079978</v>
      </c>
      <c r="Q349" s="26"/>
      <c r="R349" s="17"/>
      <c r="S349" s="20"/>
      <c r="T349" s="17"/>
      <c r="U349" s="23"/>
    </row>
    <row r="350" spans="1:21" x14ac:dyDescent="0.25">
      <c r="A350" s="24">
        <v>4000</v>
      </c>
      <c r="B350" s="24">
        <v>3</v>
      </c>
      <c r="C350" s="17">
        <v>0.5</v>
      </c>
      <c r="D350" s="24">
        <v>470</v>
      </c>
      <c r="E350" s="24">
        <v>6</v>
      </c>
      <c r="F350" s="25">
        <v>62</v>
      </c>
      <c r="G350" s="1">
        <v>2825</v>
      </c>
      <c r="H350" s="2">
        <v>99.4</v>
      </c>
      <c r="I350" s="2">
        <v>35.4</v>
      </c>
      <c r="J350" s="2">
        <v>23.2</v>
      </c>
      <c r="K350" s="2">
        <f t="shared" si="43"/>
        <v>35.4</v>
      </c>
      <c r="L350" s="8">
        <f t="shared" si="47"/>
        <v>3.9810717055349618E-7</v>
      </c>
      <c r="M350" s="26">
        <f>SUM(L350:L355)</f>
        <v>8.5655768547547454E-7</v>
      </c>
      <c r="N350" s="17">
        <f>10*LOG10(M350/E350)</f>
        <v>-68.453946342320535</v>
      </c>
      <c r="O350" s="9">
        <f t="shared" si="45"/>
        <v>23.2</v>
      </c>
      <c r="P350" s="8">
        <f>D350/B350*10^(O350/10)</f>
        <v>32732.306050046616</v>
      </c>
      <c r="Q350" s="26">
        <f>SUM(P350:P355)</f>
        <v>397622.0321314683</v>
      </c>
      <c r="R350" s="17">
        <f>10*LOG10(Q350)</f>
        <v>55.994704405341899</v>
      </c>
      <c r="S350" s="18">
        <f>F350+N350-Kzt-H</f>
        <v>-6.4539463423205348</v>
      </c>
      <c r="T350" s="17">
        <v>0.9</v>
      </c>
      <c r="U350" s="21">
        <f>T350*10^((S350-R350)/10)</f>
        <v>5.1212671895334053E-7</v>
      </c>
    </row>
    <row r="351" spans="1:21" x14ac:dyDescent="0.25">
      <c r="A351" s="24"/>
      <c r="B351" s="24"/>
      <c r="C351" s="17"/>
      <c r="D351" s="24"/>
      <c r="E351" s="24"/>
      <c r="F351" s="25"/>
      <c r="G351" s="1">
        <v>3425</v>
      </c>
      <c r="H351" s="2">
        <v>103.5</v>
      </c>
      <c r="I351" s="2">
        <v>31.9</v>
      </c>
      <c r="J351" s="2">
        <v>26.8</v>
      </c>
      <c r="K351" s="2">
        <f t="shared" si="43"/>
        <v>31.9</v>
      </c>
      <c r="L351" s="8">
        <f t="shared" si="47"/>
        <v>6.9183097091893717E-8</v>
      </c>
      <c r="M351" s="26"/>
      <c r="N351" s="17"/>
      <c r="O351" s="9">
        <f t="shared" si="45"/>
        <v>26.8</v>
      </c>
      <c r="P351" s="8">
        <f>D350/B350*10^(O351/10)</f>
        <v>74985.381130546753</v>
      </c>
      <c r="Q351" s="26"/>
      <c r="R351" s="17"/>
      <c r="S351" s="19"/>
      <c r="T351" s="17"/>
      <c r="U351" s="22"/>
    </row>
    <row r="352" spans="1:21" x14ac:dyDescent="0.25">
      <c r="A352" s="24"/>
      <c r="B352" s="24"/>
      <c r="C352" s="17"/>
      <c r="D352" s="24"/>
      <c r="E352" s="24"/>
      <c r="F352" s="25"/>
      <c r="G352" s="1">
        <v>4025</v>
      </c>
      <c r="H352" s="2">
        <v>103.6</v>
      </c>
      <c r="I352" s="2">
        <v>29</v>
      </c>
      <c r="J352" s="2">
        <v>28.4</v>
      </c>
      <c r="K352" s="2">
        <f t="shared" si="43"/>
        <v>29</v>
      </c>
      <c r="L352" s="8">
        <f t="shared" si="47"/>
        <v>3.4673685045253171E-8</v>
      </c>
      <c r="M352" s="26"/>
      <c r="N352" s="17"/>
      <c r="O352" s="9">
        <f t="shared" si="45"/>
        <v>28.4</v>
      </c>
      <c r="P352" s="8">
        <f>D350/B350*10^(O352/10)</f>
        <v>108386.85211063341</v>
      </c>
      <c r="Q352" s="26"/>
      <c r="R352" s="17"/>
      <c r="S352" s="19"/>
      <c r="T352" s="17"/>
      <c r="U352" s="22"/>
    </row>
    <row r="353" spans="1:21" x14ac:dyDescent="0.25">
      <c r="A353" s="24"/>
      <c r="B353" s="24"/>
      <c r="C353" s="17"/>
      <c r="D353" s="24"/>
      <c r="E353" s="24"/>
      <c r="F353" s="25"/>
      <c r="G353" s="1">
        <v>4625</v>
      </c>
      <c r="H353" s="2">
        <v>105.6</v>
      </c>
      <c r="I353" s="2">
        <v>31.7</v>
      </c>
      <c r="J353" s="2">
        <v>26.5</v>
      </c>
      <c r="K353" s="2">
        <f t="shared" si="43"/>
        <v>31.7</v>
      </c>
      <c r="L353" s="8">
        <f t="shared" si="47"/>
        <v>4.0738027780411254E-8</v>
      </c>
      <c r="M353" s="26"/>
      <c r="N353" s="17"/>
      <c r="O353" s="9">
        <f t="shared" si="45"/>
        <v>26.5</v>
      </c>
      <c r="P353" s="8">
        <f>D350/B350*10^(O353/10)</f>
        <v>69980.429436984254</v>
      </c>
      <c r="Q353" s="26"/>
      <c r="R353" s="17"/>
      <c r="S353" s="19"/>
      <c r="T353" s="17"/>
      <c r="U353" s="22"/>
    </row>
    <row r="354" spans="1:21" x14ac:dyDescent="0.25">
      <c r="A354" s="24"/>
      <c r="B354" s="24"/>
      <c r="C354" s="17"/>
      <c r="D354" s="24"/>
      <c r="E354" s="24"/>
      <c r="F354" s="25"/>
      <c r="G354" s="1">
        <v>5225</v>
      </c>
      <c r="H354" s="2">
        <v>103.5</v>
      </c>
      <c r="I354" s="2">
        <v>32.5</v>
      </c>
      <c r="J354" s="2">
        <v>24.4</v>
      </c>
      <c r="K354" s="2">
        <f t="shared" si="43"/>
        <v>32.5</v>
      </c>
      <c r="L354" s="8">
        <f t="shared" si="47"/>
        <v>7.943282347242818E-8</v>
      </c>
      <c r="M354" s="26"/>
      <c r="N354" s="17"/>
      <c r="O354" s="9">
        <f t="shared" si="45"/>
        <v>24.4</v>
      </c>
      <c r="P354" s="8">
        <f>D350/B350*10^(O354/10)</f>
        <v>43149.583018964637</v>
      </c>
      <c r="Q354" s="26"/>
      <c r="R354" s="17"/>
      <c r="S354" s="19"/>
      <c r="T354" s="17"/>
      <c r="U354" s="22"/>
    </row>
    <row r="355" spans="1:21" x14ac:dyDescent="0.25">
      <c r="A355" s="24"/>
      <c r="B355" s="24"/>
      <c r="C355" s="17"/>
      <c r="D355" s="24"/>
      <c r="E355" s="24"/>
      <c r="F355" s="25"/>
      <c r="G355" s="1">
        <v>5625</v>
      </c>
      <c r="H355" s="2">
        <v>99.5</v>
      </c>
      <c r="I355" s="2">
        <v>33.200000000000003</v>
      </c>
      <c r="J355" s="2">
        <v>26.4</v>
      </c>
      <c r="K355" s="2">
        <f t="shared" si="43"/>
        <v>33.200000000000003</v>
      </c>
      <c r="L355" s="8">
        <f t="shared" si="47"/>
        <v>2.3442288153199206E-7</v>
      </c>
      <c r="M355" s="26"/>
      <c r="N355" s="17"/>
      <c r="O355" s="9">
        <f t="shared" si="45"/>
        <v>26.4</v>
      </c>
      <c r="P355" s="8">
        <f>D350/B350*10^(O355/10)</f>
        <v>68387.480384292634</v>
      </c>
      <c r="Q355" s="26"/>
      <c r="R355" s="17"/>
      <c r="S355" s="20"/>
      <c r="T355" s="17"/>
      <c r="U355" s="23"/>
    </row>
    <row r="356" spans="1:21" x14ac:dyDescent="0.25">
      <c r="A356" s="24">
        <v>8000</v>
      </c>
      <c r="B356" s="24">
        <v>3</v>
      </c>
      <c r="C356" s="17">
        <v>0.5</v>
      </c>
      <c r="D356" s="24">
        <v>943</v>
      </c>
      <c r="E356" s="24">
        <v>6</v>
      </c>
      <c r="F356" s="25">
        <v>54</v>
      </c>
      <c r="G356" s="1">
        <v>6025</v>
      </c>
      <c r="H356" s="2">
        <v>95</v>
      </c>
      <c r="I356" s="2">
        <v>32.200000000000003</v>
      </c>
      <c r="J356" s="2">
        <v>26</v>
      </c>
      <c r="K356" s="2">
        <f t="shared" si="43"/>
        <v>32.200000000000003</v>
      </c>
      <c r="L356" s="8">
        <f t="shared" si="47"/>
        <v>5.2480746024977233E-7</v>
      </c>
      <c r="M356" s="26">
        <f>SUM(L356:L361)</f>
        <v>5.5550957809303013E-6</v>
      </c>
      <c r="N356" s="17">
        <f>10*LOG10(M356/E356)</f>
        <v>-60.334596989391798</v>
      </c>
      <c r="O356" s="9">
        <f t="shared" si="45"/>
        <v>26</v>
      </c>
      <c r="P356" s="8">
        <f>D356/B356*10^(O356/10)</f>
        <v>125138.35394398274</v>
      </c>
      <c r="Q356" s="26">
        <f>SUM(P356:P361)</f>
        <v>829781.65219054848</v>
      </c>
      <c r="R356" s="17">
        <f>10*LOG10(Q356)</f>
        <v>59.189638276482981</v>
      </c>
      <c r="S356" s="18">
        <f>F356+N356-Kzt-H</f>
        <v>-6.3345969893917982</v>
      </c>
      <c r="T356" s="17">
        <v>0.7</v>
      </c>
      <c r="U356" s="21">
        <f>T356*10^((S356-R356)/10)</f>
        <v>1.9618893670627618E-7</v>
      </c>
    </row>
    <row r="357" spans="1:21" x14ac:dyDescent="0.25">
      <c r="A357" s="24"/>
      <c r="B357" s="24"/>
      <c r="C357" s="17"/>
      <c r="D357" s="24"/>
      <c r="E357" s="24"/>
      <c r="F357" s="25"/>
      <c r="G357" s="1">
        <v>7025</v>
      </c>
      <c r="H357" s="2">
        <v>94.8</v>
      </c>
      <c r="I357" s="2">
        <v>31.9</v>
      </c>
      <c r="J357" s="2">
        <v>26.3</v>
      </c>
      <c r="K357" s="2">
        <f t="shared" si="43"/>
        <v>31.9</v>
      </c>
      <c r="L357" s="8">
        <f t="shared" si="47"/>
        <v>5.1286138399136375E-7</v>
      </c>
      <c r="M357" s="26"/>
      <c r="N357" s="17"/>
      <c r="O357" s="9">
        <f t="shared" si="45"/>
        <v>26.3</v>
      </c>
      <c r="P357" s="8">
        <f>D356/B356*10^(O357/10)</f>
        <v>134088.16207663403</v>
      </c>
      <c r="Q357" s="26"/>
      <c r="R357" s="17"/>
      <c r="S357" s="19"/>
      <c r="T357" s="17"/>
      <c r="U357" s="22"/>
    </row>
    <row r="358" spans="1:21" x14ac:dyDescent="0.25">
      <c r="A358" s="24"/>
      <c r="B358" s="24"/>
      <c r="C358" s="17"/>
      <c r="D358" s="24"/>
      <c r="E358" s="24"/>
      <c r="F358" s="25"/>
      <c r="G358" s="1">
        <v>8025</v>
      </c>
      <c r="H358" s="2">
        <v>101.9</v>
      </c>
      <c r="I358" s="2">
        <v>30</v>
      </c>
      <c r="J358" s="2">
        <v>26.1</v>
      </c>
      <c r="K358" s="2">
        <f t="shared" si="43"/>
        <v>30</v>
      </c>
      <c r="L358" s="8">
        <f t="shared" si="47"/>
        <v>6.4565422903465397E-8</v>
      </c>
      <c r="M358" s="26"/>
      <c r="N358" s="17"/>
      <c r="O358" s="9">
        <f t="shared" si="45"/>
        <v>26.1</v>
      </c>
      <c r="P358" s="8">
        <f>D356/B356*10^(O358/10)</f>
        <v>128053.2006564263</v>
      </c>
      <c r="Q358" s="26"/>
      <c r="R358" s="17"/>
      <c r="S358" s="19"/>
      <c r="T358" s="17"/>
      <c r="U358" s="22"/>
    </row>
    <row r="359" spans="1:21" x14ac:dyDescent="0.25">
      <c r="A359" s="24"/>
      <c r="B359" s="24"/>
      <c r="C359" s="17"/>
      <c r="D359" s="24"/>
      <c r="E359" s="24"/>
      <c r="F359" s="25"/>
      <c r="G359" s="1">
        <v>9025</v>
      </c>
      <c r="H359" s="2">
        <v>93.2</v>
      </c>
      <c r="I359" s="2">
        <v>28.2</v>
      </c>
      <c r="J359" s="2">
        <v>22.9</v>
      </c>
      <c r="K359" s="2">
        <f t="shared" si="43"/>
        <v>28.2</v>
      </c>
      <c r="L359" s="8">
        <f t="shared" si="47"/>
        <v>3.1622776601683734E-7</v>
      </c>
      <c r="M359" s="26"/>
      <c r="N359" s="17"/>
      <c r="O359" s="9">
        <f t="shared" si="45"/>
        <v>22.9</v>
      </c>
      <c r="P359" s="8">
        <f>D356/B356*10^(O359/10)</f>
        <v>61290.115252394571</v>
      </c>
      <c r="Q359" s="26"/>
      <c r="R359" s="17"/>
      <c r="S359" s="19"/>
      <c r="T359" s="17"/>
      <c r="U359" s="22"/>
    </row>
    <row r="360" spans="1:21" x14ac:dyDescent="0.25">
      <c r="A360" s="24"/>
      <c r="B360" s="24"/>
      <c r="C360" s="17"/>
      <c r="D360" s="24"/>
      <c r="E360" s="24"/>
      <c r="F360" s="25"/>
      <c r="G360" s="1">
        <v>10025</v>
      </c>
      <c r="H360" s="2">
        <v>88.3</v>
      </c>
      <c r="I360" s="2">
        <v>30.7</v>
      </c>
      <c r="J360" s="2">
        <v>26.4</v>
      </c>
      <c r="K360" s="2">
        <f t="shared" si="43"/>
        <v>30.7</v>
      </c>
      <c r="L360" s="8">
        <f t="shared" si="47"/>
        <v>1.7378008287493753E-6</v>
      </c>
      <c r="M360" s="26"/>
      <c r="N360" s="17"/>
      <c r="O360" s="9">
        <f t="shared" si="45"/>
        <v>26.4</v>
      </c>
      <c r="P360" s="8">
        <f>D356/B356*10^(O360/10)</f>
        <v>137211.47660082544</v>
      </c>
      <c r="Q360" s="26"/>
      <c r="R360" s="17"/>
      <c r="S360" s="19"/>
      <c r="T360" s="17"/>
      <c r="U360" s="22"/>
    </row>
    <row r="361" spans="1:21" x14ac:dyDescent="0.25">
      <c r="A361" s="24"/>
      <c r="B361" s="24"/>
      <c r="C361" s="17"/>
      <c r="D361" s="24"/>
      <c r="E361" s="24"/>
      <c r="F361" s="25"/>
      <c r="G361" s="1">
        <v>11025</v>
      </c>
      <c r="H361" s="2">
        <v>86</v>
      </c>
      <c r="I361" s="2">
        <v>29.8</v>
      </c>
      <c r="J361" s="2">
        <v>28.9</v>
      </c>
      <c r="K361" s="2">
        <f t="shared" si="43"/>
        <v>29.8</v>
      </c>
      <c r="L361" s="8">
        <f t="shared" si="47"/>
        <v>2.3988329190194872E-6</v>
      </c>
      <c r="M361" s="26"/>
      <c r="N361" s="17"/>
      <c r="O361" s="9">
        <f t="shared" si="45"/>
        <v>28.9</v>
      </c>
      <c r="P361" s="8">
        <f>D356/B356*10^(O361/10)</f>
        <v>244000.34366028538</v>
      </c>
      <c r="Q361" s="26"/>
      <c r="R361" s="17"/>
      <c r="S361" s="20"/>
      <c r="T361" s="17"/>
      <c r="U361" s="23"/>
    </row>
    <row r="362" spans="1:21" x14ac:dyDescent="0.25">
      <c r="A362" s="24" t="s">
        <v>20</v>
      </c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12">
        <f>U362</f>
        <v>8.0525299193392699E-2</v>
      </c>
      <c r="T362" s="2"/>
      <c r="U362" s="8">
        <f>0.8*SQRT(SUM(U328:U361))</f>
        <v>8.0525299193392699E-2</v>
      </c>
    </row>
    <row r="363" spans="1:21" x14ac:dyDescent="0.25">
      <c r="A363" s="27" t="s">
        <v>122</v>
      </c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9"/>
    </row>
    <row r="364" spans="1:21" x14ac:dyDescent="0.25">
      <c r="A364" s="24">
        <v>250</v>
      </c>
      <c r="B364" s="24">
        <v>3</v>
      </c>
      <c r="C364" s="17">
        <v>0.5</v>
      </c>
      <c r="D364" s="24">
        <v>38</v>
      </c>
      <c r="E364" s="24">
        <v>4</v>
      </c>
      <c r="F364" s="25">
        <v>84</v>
      </c>
      <c r="G364" s="1">
        <v>175</v>
      </c>
      <c r="H364" s="2">
        <v>84.8</v>
      </c>
      <c r="I364" s="2">
        <v>39.799999999999997</v>
      </c>
      <c r="J364" s="2">
        <v>37.1</v>
      </c>
      <c r="K364" s="2">
        <f>I364</f>
        <v>39.799999999999997</v>
      </c>
      <c r="L364" s="8">
        <f>10^((K364-H364)/10)</f>
        <v>3.1622776601683748E-5</v>
      </c>
      <c r="M364" s="26">
        <f>SUM(L364:L367)</f>
        <v>5.2409001348924091E-5</v>
      </c>
      <c r="N364" s="17">
        <f>10*LOG10(M364/E364)</f>
        <v>-48.826541070076189</v>
      </c>
      <c r="O364" s="9">
        <f>J364</f>
        <v>37.1</v>
      </c>
      <c r="P364" s="8">
        <f>D364/B364*10^(O364/10)</f>
        <v>64962.441972239547</v>
      </c>
      <c r="Q364" s="26">
        <f>SUM(P364:P367)</f>
        <v>171291.09040288956</v>
      </c>
      <c r="R364" s="17">
        <f>10*LOG10(Q364)</f>
        <v>52.337347740017549</v>
      </c>
      <c r="S364" s="18">
        <f>F364+N364-Kzt-H</f>
        <v>35.173458929923811</v>
      </c>
      <c r="T364" s="17">
        <v>0.2</v>
      </c>
      <c r="U364" s="21">
        <f>T364*10^((S364-R364)/10)</f>
        <v>3.8427410050251298E-3</v>
      </c>
    </row>
    <row r="365" spans="1:21" x14ac:dyDescent="0.25">
      <c r="A365" s="24"/>
      <c r="B365" s="24"/>
      <c r="C365" s="17"/>
      <c r="D365" s="24"/>
      <c r="E365" s="24"/>
      <c r="F365" s="25"/>
      <c r="G365" s="1">
        <v>225</v>
      </c>
      <c r="H365" s="2">
        <v>90</v>
      </c>
      <c r="I365" s="2">
        <v>36.9</v>
      </c>
      <c r="J365" s="2">
        <v>36.1</v>
      </c>
      <c r="K365" s="2">
        <f t="shared" ref="K365:K397" si="48">I365</f>
        <v>36.9</v>
      </c>
      <c r="L365" s="8">
        <f t="shared" ref="L365:L366" si="49">10^((K365-H365)/10)</f>
        <v>4.897788193684449E-6</v>
      </c>
      <c r="M365" s="26"/>
      <c r="N365" s="17"/>
      <c r="O365" s="9">
        <f t="shared" ref="O365:O397" si="50">J365</f>
        <v>36.1</v>
      </c>
      <c r="P365" s="8">
        <f>D364/B364*10^(O365/10)</f>
        <v>51601.501855187664</v>
      </c>
      <c r="Q365" s="26"/>
      <c r="R365" s="17"/>
      <c r="S365" s="19"/>
      <c r="T365" s="17"/>
      <c r="U365" s="22"/>
    </row>
    <row r="366" spans="1:21" x14ac:dyDescent="0.25">
      <c r="A366" s="24"/>
      <c r="B366" s="24"/>
      <c r="C366" s="17"/>
      <c r="D366" s="24"/>
      <c r="E366" s="24"/>
      <c r="F366" s="25"/>
      <c r="G366" s="1">
        <v>275</v>
      </c>
      <c r="H366" s="2">
        <v>92.2</v>
      </c>
      <c r="I366" s="2">
        <v>42.2</v>
      </c>
      <c r="J366" s="2">
        <v>34.9</v>
      </c>
      <c r="K366" s="2">
        <f t="shared" si="48"/>
        <v>42.2</v>
      </c>
      <c r="L366" s="8">
        <f t="shared" si="49"/>
        <v>1.0000000000000001E-5</v>
      </c>
      <c r="M366" s="26"/>
      <c r="N366" s="17"/>
      <c r="O366" s="9">
        <f t="shared" si="50"/>
        <v>34.9</v>
      </c>
      <c r="P366" s="8">
        <f>D364/B364*10^(O366/10)</f>
        <v>39143.74214517216</v>
      </c>
      <c r="Q366" s="26"/>
      <c r="R366" s="17"/>
      <c r="S366" s="19"/>
      <c r="T366" s="17"/>
      <c r="U366" s="22"/>
    </row>
    <row r="367" spans="1:21" x14ac:dyDescent="0.25">
      <c r="A367" s="24"/>
      <c r="B367" s="24"/>
      <c r="C367" s="17"/>
      <c r="D367" s="24"/>
      <c r="E367" s="24"/>
      <c r="F367" s="25"/>
      <c r="G367" s="1">
        <v>325</v>
      </c>
      <c r="H367" s="2">
        <v>93.3</v>
      </c>
      <c r="I367" s="2">
        <v>41</v>
      </c>
      <c r="J367" s="2">
        <v>30.9</v>
      </c>
      <c r="K367" s="2">
        <f t="shared" si="48"/>
        <v>41</v>
      </c>
      <c r="L367" s="8">
        <f>10^((K367-H367)/10)</f>
        <v>5.8884365535558909E-6</v>
      </c>
      <c r="M367" s="26"/>
      <c r="N367" s="17"/>
      <c r="O367" s="9">
        <f t="shared" si="50"/>
        <v>30.9</v>
      </c>
      <c r="P367" s="8">
        <f>D364/B364*10^(O367/10)</f>
        <v>15583.404430290177</v>
      </c>
      <c r="Q367" s="26"/>
      <c r="R367" s="17"/>
      <c r="S367" s="20"/>
      <c r="T367" s="17"/>
      <c r="U367" s="23"/>
    </row>
    <row r="368" spans="1:21" x14ac:dyDescent="0.25">
      <c r="A368" s="24">
        <v>500</v>
      </c>
      <c r="B368" s="24">
        <v>3</v>
      </c>
      <c r="C368" s="17">
        <v>0.5</v>
      </c>
      <c r="D368" s="24">
        <v>59</v>
      </c>
      <c r="E368" s="24">
        <v>6</v>
      </c>
      <c r="F368" s="25">
        <v>84</v>
      </c>
      <c r="G368" s="1">
        <v>375</v>
      </c>
      <c r="H368" s="2">
        <v>91.9</v>
      </c>
      <c r="I368" s="2">
        <v>34.6</v>
      </c>
      <c r="J368" s="2">
        <v>34</v>
      </c>
      <c r="K368" s="2">
        <f t="shared" si="48"/>
        <v>34.6</v>
      </c>
      <c r="L368" s="8">
        <f t="shared" ref="L368:L369" si="51">10^((K368-H368)/10)</f>
        <v>1.8620871366628635E-6</v>
      </c>
      <c r="M368" s="26">
        <f>SUM(L368:L373)</f>
        <v>3.1502165018212363E-5</v>
      </c>
      <c r="N368" s="17">
        <f>10*LOG10(M368/E368)</f>
        <v>-52.798108482400082</v>
      </c>
      <c r="O368" s="9">
        <f t="shared" si="50"/>
        <v>34</v>
      </c>
      <c r="P368" s="8">
        <f>D368/B368*10^(O368/10)</f>
        <v>49400.433153021768</v>
      </c>
      <c r="Q368" s="26">
        <f>SUM(P368:P373)</f>
        <v>257628.01523891825</v>
      </c>
      <c r="R368" s="17">
        <f>10*LOG10(Q368)</f>
        <v>54.109930877332594</v>
      </c>
      <c r="S368" s="18">
        <f>F368+N368-Kzt-H</f>
        <v>31.201891517599918</v>
      </c>
      <c r="T368" s="17">
        <v>0.5</v>
      </c>
      <c r="U368" s="21">
        <f>T368*10^((S368-R368)/10)</f>
        <v>2.5595644427826186E-3</v>
      </c>
    </row>
    <row r="369" spans="1:21" x14ac:dyDescent="0.25">
      <c r="A369" s="24"/>
      <c r="B369" s="24"/>
      <c r="C369" s="17"/>
      <c r="D369" s="24"/>
      <c r="E369" s="24"/>
      <c r="F369" s="25"/>
      <c r="G369" s="1">
        <v>425</v>
      </c>
      <c r="H369" s="2">
        <v>88.1</v>
      </c>
      <c r="I369" s="2">
        <v>41.1</v>
      </c>
      <c r="J369" s="2">
        <v>34.4</v>
      </c>
      <c r="K369" s="2">
        <f t="shared" si="48"/>
        <v>41.1</v>
      </c>
      <c r="L369" s="8">
        <f t="shared" si="51"/>
        <v>1.9952623149688803E-5</v>
      </c>
      <c r="M369" s="26"/>
      <c r="N369" s="17"/>
      <c r="O369" s="9">
        <f t="shared" si="50"/>
        <v>34.4</v>
      </c>
      <c r="P369" s="8">
        <f>D368/B368*10^(O369/10)</f>
        <v>54166.497832317327</v>
      </c>
      <c r="Q369" s="26"/>
      <c r="R369" s="17"/>
      <c r="S369" s="19"/>
      <c r="T369" s="17"/>
      <c r="U369" s="22"/>
    </row>
    <row r="370" spans="1:21" x14ac:dyDescent="0.25">
      <c r="A370" s="24"/>
      <c r="B370" s="24"/>
      <c r="C370" s="17"/>
      <c r="D370" s="24"/>
      <c r="E370" s="24"/>
      <c r="F370" s="25"/>
      <c r="G370" s="1">
        <v>475</v>
      </c>
      <c r="H370" s="2">
        <v>90</v>
      </c>
      <c r="I370" s="2">
        <v>33.6</v>
      </c>
      <c r="J370" s="2">
        <v>33.200000000000003</v>
      </c>
      <c r="K370" s="2">
        <f t="shared" si="48"/>
        <v>33.6</v>
      </c>
      <c r="L370" s="8">
        <f>10^((K370-H370)/10)</f>
        <v>2.2908676527677705E-6</v>
      </c>
      <c r="M370" s="26"/>
      <c r="N370" s="17"/>
      <c r="O370" s="9">
        <f t="shared" si="50"/>
        <v>33.200000000000003</v>
      </c>
      <c r="P370" s="8">
        <f>D368/B368*10^(O370/10)</f>
        <v>41089.490573462826</v>
      </c>
      <c r="Q370" s="26"/>
      <c r="R370" s="17"/>
      <c r="S370" s="19"/>
      <c r="T370" s="17"/>
      <c r="U370" s="22"/>
    </row>
    <row r="371" spans="1:21" x14ac:dyDescent="0.25">
      <c r="A371" s="24"/>
      <c r="B371" s="24"/>
      <c r="C371" s="17"/>
      <c r="D371" s="24"/>
      <c r="E371" s="24"/>
      <c r="F371" s="25"/>
      <c r="G371" s="1">
        <v>575</v>
      </c>
      <c r="H371" s="2">
        <v>97</v>
      </c>
      <c r="I371" s="2">
        <v>40.9</v>
      </c>
      <c r="J371" s="2">
        <v>33.700000000000003</v>
      </c>
      <c r="K371" s="2">
        <f t="shared" si="48"/>
        <v>40.9</v>
      </c>
      <c r="L371" s="8">
        <f t="shared" ref="L371:L397" si="52">10^((K371-H371)/10)</f>
        <v>2.4547089156850267E-6</v>
      </c>
      <c r="M371" s="26"/>
      <c r="N371" s="17"/>
      <c r="O371" s="9">
        <f t="shared" si="50"/>
        <v>33.700000000000003</v>
      </c>
      <c r="P371" s="8">
        <f>D368/B368*10^(O371/10)</f>
        <v>46103.166701291841</v>
      </c>
      <c r="Q371" s="26"/>
      <c r="R371" s="17"/>
      <c r="S371" s="19"/>
      <c r="T371" s="17"/>
      <c r="U371" s="22"/>
    </row>
    <row r="372" spans="1:21" x14ac:dyDescent="0.25">
      <c r="A372" s="24"/>
      <c r="B372" s="24"/>
      <c r="C372" s="17"/>
      <c r="D372" s="24"/>
      <c r="E372" s="24"/>
      <c r="F372" s="25"/>
      <c r="G372" s="1">
        <v>625</v>
      </c>
      <c r="H372" s="2">
        <v>92</v>
      </c>
      <c r="I372" s="2">
        <v>38.299999999999997</v>
      </c>
      <c r="J372" s="2">
        <v>32.5</v>
      </c>
      <c r="K372" s="2">
        <f t="shared" si="48"/>
        <v>38.299999999999997</v>
      </c>
      <c r="L372" s="8">
        <f t="shared" si="52"/>
        <v>4.2657951880159181E-6</v>
      </c>
      <c r="M372" s="26"/>
      <c r="N372" s="17"/>
      <c r="O372" s="9">
        <f t="shared" si="50"/>
        <v>32.5</v>
      </c>
      <c r="P372" s="8">
        <f>D368/B368*10^(O372/10)</f>
        <v>34972.828397432182</v>
      </c>
      <c r="Q372" s="26"/>
      <c r="R372" s="17"/>
      <c r="S372" s="19"/>
      <c r="T372" s="17"/>
      <c r="U372" s="22"/>
    </row>
    <row r="373" spans="1:21" x14ac:dyDescent="0.25">
      <c r="A373" s="24"/>
      <c r="B373" s="24"/>
      <c r="C373" s="17"/>
      <c r="D373" s="24"/>
      <c r="E373" s="24"/>
      <c r="F373" s="25"/>
      <c r="G373" s="1">
        <v>675</v>
      </c>
      <c r="H373" s="2">
        <v>94.5</v>
      </c>
      <c r="I373" s="2">
        <v>32.799999999999997</v>
      </c>
      <c r="J373" s="2">
        <v>32.1</v>
      </c>
      <c r="K373" s="2">
        <f t="shared" si="48"/>
        <v>32.799999999999997</v>
      </c>
      <c r="L373" s="8">
        <f t="shared" si="52"/>
        <v>6.7608297539198085E-7</v>
      </c>
      <c r="M373" s="26"/>
      <c r="N373" s="17"/>
      <c r="O373" s="9">
        <f t="shared" si="50"/>
        <v>32.1</v>
      </c>
      <c r="P373" s="8">
        <f>D368/B368*10^(O373/10)</f>
        <v>31895.598581392307</v>
      </c>
      <c r="Q373" s="26"/>
      <c r="R373" s="17"/>
      <c r="S373" s="20"/>
      <c r="T373" s="17"/>
      <c r="U373" s="23"/>
    </row>
    <row r="374" spans="1:21" x14ac:dyDescent="0.25">
      <c r="A374" s="24">
        <v>1000</v>
      </c>
      <c r="B374" s="24">
        <v>3</v>
      </c>
      <c r="C374" s="17">
        <v>0.5</v>
      </c>
      <c r="D374" s="24">
        <v>117</v>
      </c>
      <c r="E374" s="24">
        <v>6</v>
      </c>
      <c r="F374" s="25">
        <v>76</v>
      </c>
      <c r="G374" s="1">
        <v>875</v>
      </c>
      <c r="H374" s="2">
        <v>91.1</v>
      </c>
      <c r="I374" s="2">
        <v>33.5</v>
      </c>
      <c r="J374" s="2">
        <v>27.3</v>
      </c>
      <c r="K374" s="2">
        <f t="shared" si="48"/>
        <v>33.5</v>
      </c>
      <c r="L374" s="8">
        <f t="shared" si="52"/>
        <v>1.7378008287493753E-6</v>
      </c>
      <c r="M374" s="26">
        <f>SUM(L374:L379)</f>
        <v>3.9013041753899018E-6</v>
      </c>
      <c r="N374" s="17">
        <f>10*LOG10(M374/E374)</f>
        <v>-61.869414378459091</v>
      </c>
      <c r="O374" s="9">
        <f t="shared" si="50"/>
        <v>27.3</v>
      </c>
      <c r="P374" s="8">
        <f>D374/B374*10^(O374/10)</f>
        <v>20944.240058439867</v>
      </c>
      <c r="Q374" s="26">
        <f>SUM(P374:P379)</f>
        <v>221236.69020517252</v>
      </c>
      <c r="R374" s="17">
        <f>10*LOG10(Q374)</f>
        <v>53.448571526158673</v>
      </c>
      <c r="S374" s="18">
        <f>F374+N374-Kzt-H</f>
        <v>14.130585621540909</v>
      </c>
      <c r="T374" s="17">
        <v>0.8</v>
      </c>
      <c r="U374" s="21">
        <f>T374*10^((S374-R374)/10)</f>
        <v>9.36033509506738E-5</v>
      </c>
    </row>
    <row r="375" spans="1:21" x14ac:dyDescent="0.25">
      <c r="A375" s="24"/>
      <c r="B375" s="24"/>
      <c r="C375" s="17"/>
      <c r="D375" s="24"/>
      <c r="E375" s="24"/>
      <c r="F375" s="25"/>
      <c r="G375" s="1">
        <v>975</v>
      </c>
      <c r="H375" s="2">
        <v>96.5</v>
      </c>
      <c r="I375" s="2">
        <v>34.5</v>
      </c>
      <c r="J375" s="2">
        <v>32.200000000000003</v>
      </c>
      <c r="K375" s="2">
        <f t="shared" si="48"/>
        <v>34.5</v>
      </c>
      <c r="L375" s="8">
        <f t="shared" si="52"/>
        <v>6.3095734448019254E-7</v>
      </c>
      <c r="M375" s="26"/>
      <c r="N375" s="17"/>
      <c r="O375" s="9">
        <f t="shared" si="50"/>
        <v>32.200000000000003</v>
      </c>
      <c r="P375" s="8">
        <f>D374/B374*10^(O375/10)</f>
        <v>64723.889390064942</v>
      </c>
      <c r="Q375" s="26"/>
      <c r="R375" s="17"/>
      <c r="S375" s="19"/>
      <c r="T375" s="17"/>
      <c r="U375" s="22"/>
    </row>
    <row r="376" spans="1:21" x14ac:dyDescent="0.25">
      <c r="A376" s="24"/>
      <c r="B376" s="24"/>
      <c r="C376" s="17"/>
      <c r="D376" s="24"/>
      <c r="E376" s="24"/>
      <c r="F376" s="25"/>
      <c r="G376" s="1">
        <v>1075</v>
      </c>
      <c r="H376" s="2">
        <v>94.6</v>
      </c>
      <c r="I376" s="2">
        <v>33.1</v>
      </c>
      <c r="J376" s="2">
        <v>29.2</v>
      </c>
      <c r="K376" s="2">
        <f t="shared" si="48"/>
        <v>33.1</v>
      </c>
      <c r="L376" s="8">
        <f t="shared" si="52"/>
        <v>7.0794578438413801E-7</v>
      </c>
      <c r="M376" s="26"/>
      <c r="N376" s="17"/>
      <c r="O376" s="9">
        <f t="shared" si="50"/>
        <v>29.2</v>
      </c>
      <c r="P376" s="8">
        <f>D374/B374*10^(O376/10)</f>
        <v>32438.787073004183</v>
      </c>
      <c r="Q376" s="26"/>
      <c r="R376" s="17"/>
      <c r="S376" s="19"/>
      <c r="T376" s="17"/>
      <c r="U376" s="22"/>
    </row>
    <row r="377" spans="1:21" x14ac:dyDescent="0.25">
      <c r="A377" s="24"/>
      <c r="B377" s="24"/>
      <c r="C377" s="17"/>
      <c r="D377" s="24"/>
      <c r="E377" s="24"/>
      <c r="F377" s="25"/>
      <c r="G377" s="1">
        <v>1175</v>
      </c>
      <c r="H377" s="2">
        <v>97.8</v>
      </c>
      <c r="I377" s="2">
        <v>34</v>
      </c>
      <c r="J377" s="2">
        <v>27.4</v>
      </c>
      <c r="K377" s="2">
        <f t="shared" si="48"/>
        <v>34</v>
      </c>
      <c r="L377" s="8">
        <f t="shared" si="52"/>
        <v>4.1686938347033493E-7</v>
      </c>
      <c r="M377" s="26"/>
      <c r="N377" s="17"/>
      <c r="O377" s="9">
        <f t="shared" si="50"/>
        <v>27.4</v>
      </c>
      <c r="P377" s="8">
        <f>D374/B374*10^(O377/10)</f>
        <v>21432.094080447365</v>
      </c>
      <c r="Q377" s="26"/>
      <c r="R377" s="17"/>
      <c r="S377" s="19"/>
      <c r="T377" s="17"/>
      <c r="U377" s="22"/>
    </row>
    <row r="378" spans="1:21" x14ac:dyDescent="0.25">
      <c r="A378" s="24"/>
      <c r="B378" s="24"/>
      <c r="C378" s="17"/>
      <c r="D378" s="24"/>
      <c r="E378" s="24"/>
      <c r="F378" s="25"/>
      <c r="G378" s="1">
        <v>1275</v>
      </c>
      <c r="H378" s="2">
        <v>100.1</v>
      </c>
      <c r="I378" s="2">
        <v>34.6</v>
      </c>
      <c r="J378" s="2">
        <v>30.1</v>
      </c>
      <c r="K378" s="2">
        <f t="shared" si="48"/>
        <v>34.6</v>
      </c>
      <c r="L378" s="8">
        <f t="shared" si="52"/>
        <v>2.8183829312644502E-7</v>
      </c>
      <c r="M378" s="26"/>
      <c r="N378" s="17"/>
      <c r="O378" s="9">
        <f t="shared" si="50"/>
        <v>30.1</v>
      </c>
      <c r="P378" s="8">
        <f>D374/B374*10^(O378/10)</f>
        <v>39908.426698949464</v>
      </c>
      <c r="Q378" s="26"/>
      <c r="R378" s="17"/>
      <c r="S378" s="19"/>
      <c r="T378" s="17"/>
      <c r="U378" s="22"/>
    </row>
    <row r="379" spans="1:21" x14ac:dyDescent="0.25">
      <c r="A379" s="24"/>
      <c r="B379" s="24"/>
      <c r="C379" s="17"/>
      <c r="D379" s="24"/>
      <c r="E379" s="24"/>
      <c r="F379" s="25"/>
      <c r="G379" s="1">
        <v>1375</v>
      </c>
      <c r="H379" s="2">
        <v>103</v>
      </c>
      <c r="I379" s="2">
        <v>34</v>
      </c>
      <c r="J379" s="2">
        <v>30.3</v>
      </c>
      <c r="K379" s="2">
        <f t="shared" si="48"/>
        <v>34</v>
      </c>
      <c r="L379" s="8">
        <f t="shared" si="52"/>
        <v>1.2589254117941651E-7</v>
      </c>
      <c r="M379" s="26"/>
      <c r="N379" s="17"/>
      <c r="O379" s="9">
        <f t="shared" si="50"/>
        <v>30.3</v>
      </c>
      <c r="P379" s="8">
        <f>D374/B374*10^(O379/10)</f>
        <v>41789.252904266701</v>
      </c>
      <c r="Q379" s="26"/>
      <c r="R379" s="17"/>
      <c r="S379" s="20"/>
      <c r="T379" s="17"/>
      <c r="U379" s="23"/>
    </row>
    <row r="380" spans="1:21" x14ac:dyDescent="0.25">
      <c r="A380" s="24">
        <v>2000</v>
      </c>
      <c r="B380" s="24">
        <v>3</v>
      </c>
      <c r="C380" s="17">
        <v>0.5</v>
      </c>
      <c r="D380" s="24">
        <v>234</v>
      </c>
      <c r="E380" s="24">
        <v>6</v>
      </c>
      <c r="F380" s="25">
        <v>68</v>
      </c>
      <c r="G380" s="1">
        <v>1425</v>
      </c>
      <c r="H380" s="2">
        <v>102.8</v>
      </c>
      <c r="I380" s="2">
        <v>33.6</v>
      </c>
      <c r="J380" s="2">
        <v>29.9</v>
      </c>
      <c r="K380" s="2">
        <f t="shared" si="48"/>
        <v>33.6</v>
      </c>
      <c r="L380" s="8">
        <f t="shared" si="52"/>
        <v>1.2022644346174135E-7</v>
      </c>
      <c r="M380" s="26">
        <f>SUM(L380:L385)</f>
        <v>1.3664148605140286E-6</v>
      </c>
      <c r="N380" s="17">
        <f>10*LOG10(M380/E380)</f>
        <v>-66.42568673821394</v>
      </c>
      <c r="O380" s="9">
        <f t="shared" si="50"/>
        <v>29.9</v>
      </c>
      <c r="P380" s="8">
        <f>D380/B380*10^(O380/10)</f>
        <v>76224.503234553224</v>
      </c>
      <c r="Q380" s="26">
        <f>SUM(P380:P385)</f>
        <v>456507.63162391068</v>
      </c>
      <c r="R380" s="17">
        <f>10*LOG10(Q380)</f>
        <v>56.594480422086491</v>
      </c>
      <c r="S380" s="18">
        <f>F380+N380-Kzt-H</f>
        <v>1.5743132617860596</v>
      </c>
      <c r="T380" s="17">
        <v>1</v>
      </c>
      <c r="U380" s="21">
        <f>T380*10^((S380-R380)/10)</f>
        <v>3.1476271593435139E-6</v>
      </c>
    </row>
    <row r="381" spans="1:21" x14ac:dyDescent="0.25">
      <c r="A381" s="24"/>
      <c r="B381" s="24"/>
      <c r="C381" s="17"/>
      <c r="D381" s="24"/>
      <c r="E381" s="24"/>
      <c r="F381" s="25"/>
      <c r="G381" s="1">
        <v>1625</v>
      </c>
      <c r="H381" s="2">
        <v>104.1</v>
      </c>
      <c r="I381" s="2">
        <v>32.9</v>
      </c>
      <c r="J381" s="2">
        <v>31.4</v>
      </c>
      <c r="K381" s="2">
        <f t="shared" si="48"/>
        <v>32.9</v>
      </c>
      <c r="L381" s="8">
        <f t="shared" si="52"/>
        <v>7.585775750291841E-8</v>
      </c>
      <c r="M381" s="26"/>
      <c r="N381" s="17"/>
      <c r="O381" s="9">
        <f t="shared" si="50"/>
        <v>31.4</v>
      </c>
      <c r="P381" s="8">
        <f>D380/B380*10^(O381/10)</f>
        <v>107669.97263902504</v>
      </c>
      <c r="Q381" s="26"/>
      <c r="R381" s="17"/>
      <c r="S381" s="19"/>
      <c r="T381" s="17"/>
      <c r="U381" s="22"/>
    </row>
    <row r="382" spans="1:21" x14ac:dyDescent="0.25">
      <c r="A382" s="24"/>
      <c r="B382" s="24"/>
      <c r="C382" s="17"/>
      <c r="D382" s="24"/>
      <c r="E382" s="24"/>
      <c r="F382" s="25"/>
      <c r="G382" s="1">
        <v>1825</v>
      </c>
      <c r="H382" s="2">
        <v>107.6</v>
      </c>
      <c r="I382" s="2">
        <v>32.799999999999997</v>
      </c>
      <c r="J382" s="2">
        <v>30.7</v>
      </c>
      <c r="K382" s="2">
        <f t="shared" si="48"/>
        <v>32.799999999999997</v>
      </c>
      <c r="L382" s="8">
        <f t="shared" si="52"/>
        <v>3.3113112148259124E-8</v>
      </c>
      <c r="M382" s="26"/>
      <c r="N382" s="17"/>
      <c r="O382" s="9">
        <f t="shared" si="50"/>
        <v>30.7</v>
      </c>
      <c r="P382" s="8">
        <f>D380/B380*10^(O382/10)</f>
        <v>91642.009285283304</v>
      </c>
      <c r="Q382" s="26"/>
      <c r="R382" s="17"/>
      <c r="S382" s="19"/>
      <c r="T382" s="17"/>
      <c r="U382" s="22"/>
    </row>
    <row r="383" spans="1:21" x14ac:dyDescent="0.25">
      <c r="A383" s="24"/>
      <c r="B383" s="24"/>
      <c r="C383" s="17"/>
      <c r="D383" s="24"/>
      <c r="E383" s="24"/>
      <c r="F383" s="25"/>
      <c r="G383" s="1">
        <v>2125</v>
      </c>
      <c r="H383" s="2">
        <v>104.2</v>
      </c>
      <c r="I383" s="2">
        <v>35.700000000000003</v>
      </c>
      <c r="J383" s="2">
        <v>32</v>
      </c>
      <c r="K383" s="2">
        <f t="shared" si="48"/>
        <v>35.700000000000003</v>
      </c>
      <c r="L383" s="8">
        <f t="shared" si="52"/>
        <v>1.4125375446227539E-7</v>
      </c>
      <c r="M383" s="26"/>
      <c r="N383" s="17"/>
      <c r="O383" s="9">
        <f t="shared" si="50"/>
        <v>32</v>
      </c>
      <c r="P383" s="8">
        <f>D380/B380*10^(O383/10)</f>
        <v>123621.66901196702</v>
      </c>
      <c r="Q383" s="26"/>
      <c r="R383" s="17"/>
      <c r="S383" s="19"/>
      <c r="T383" s="17"/>
      <c r="U383" s="22"/>
    </row>
    <row r="384" spans="1:21" x14ac:dyDescent="0.25">
      <c r="A384" s="24"/>
      <c r="B384" s="24"/>
      <c r="C384" s="17"/>
      <c r="D384" s="24"/>
      <c r="E384" s="24"/>
      <c r="F384" s="25"/>
      <c r="G384" s="1">
        <v>2425</v>
      </c>
      <c r="H384" s="2">
        <v>93.7</v>
      </c>
      <c r="I384" s="2">
        <v>33.200000000000003</v>
      </c>
      <c r="J384" s="2">
        <v>23.9</v>
      </c>
      <c r="K384" s="2">
        <f t="shared" si="48"/>
        <v>33.200000000000003</v>
      </c>
      <c r="L384" s="8">
        <f t="shared" si="52"/>
        <v>8.9125093813374487E-7</v>
      </c>
      <c r="M384" s="26"/>
      <c r="N384" s="17"/>
      <c r="O384" s="9">
        <f t="shared" si="50"/>
        <v>23.9</v>
      </c>
      <c r="P384" s="8">
        <f>D380/B380*10^(O384/10)</f>
        <v>19146.729542343226</v>
      </c>
      <c r="Q384" s="26"/>
      <c r="R384" s="17"/>
      <c r="S384" s="19"/>
      <c r="T384" s="17"/>
      <c r="U384" s="22"/>
    </row>
    <row r="385" spans="1:21" x14ac:dyDescent="0.25">
      <c r="A385" s="24"/>
      <c r="B385" s="24"/>
      <c r="C385" s="17"/>
      <c r="D385" s="24"/>
      <c r="E385" s="24"/>
      <c r="F385" s="25"/>
      <c r="G385" s="1">
        <v>2775</v>
      </c>
      <c r="H385" s="2">
        <v>100.2</v>
      </c>
      <c r="I385" s="2">
        <v>30.4</v>
      </c>
      <c r="J385" s="2">
        <v>26.9</v>
      </c>
      <c r="K385" s="2">
        <f t="shared" si="48"/>
        <v>30.4</v>
      </c>
      <c r="L385" s="8">
        <f t="shared" si="52"/>
        <v>1.047128548050895E-7</v>
      </c>
      <c r="M385" s="26"/>
      <c r="N385" s="17"/>
      <c r="O385" s="9">
        <f t="shared" si="50"/>
        <v>26.9</v>
      </c>
      <c r="P385" s="8">
        <f>D380/B380*10^(O385/10)</f>
        <v>38202.747910738806</v>
      </c>
      <c r="Q385" s="26"/>
      <c r="R385" s="17"/>
      <c r="S385" s="20"/>
      <c r="T385" s="17"/>
      <c r="U385" s="23"/>
    </row>
    <row r="386" spans="1:21" x14ac:dyDescent="0.25">
      <c r="A386" s="24">
        <v>4000</v>
      </c>
      <c r="B386" s="24">
        <v>3</v>
      </c>
      <c r="C386" s="17">
        <v>0.5</v>
      </c>
      <c r="D386" s="24">
        <v>470</v>
      </c>
      <c r="E386" s="24">
        <v>6</v>
      </c>
      <c r="F386" s="25">
        <v>62</v>
      </c>
      <c r="G386" s="1">
        <v>2825</v>
      </c>
      <c r="H386" s="2">
        <v>99.4</v>
      </c>
      <c r="I386" s="2">
        <v>32.4</v>
      </c>
      <c r="J386" s="2">
        <v>29.3</v>
      </c>
      <c r="K386" s="2">
        <f t="shared" si="48"/>
        <v>32.4</v>
      </c>
      <c r="L386" s="8">
        <f t="shared" si="52"/>
        <v>1.9952623149688761E-7</v>
      </c>
      <c r="M386" s="26">
        <f>SUM(L386:L391)</f>
        <v>5.9721724445665055E-7</v>
      </c>
      <c r="N386" s="17">
        <f>10*LOG10(M386/E386)</f>
        <v>-70.020189110355417</v>
      </c>
      <c r="O386" s="9">
        <f t="shared" si="50"/>
        <v>29.3</v>
      </c>
      <c r="P386" s="8">
        <f>D386/B386*10^(O386/10)</f>
        <v>133344.95931837248</v>
      </c>
      <c r="Q386" s="26">
        <f>SUM(P386:P391)</f>
        <v>536932.85773359088</v>
      </c>
      <c r="R386" s="17">
        <f>10*LOG10(Q386)</f>
        <v>57.299199815302927</v>
      </c>
      <c r="S386" s="18">
        <f>F386+N386-Kzt-H</f>
        <v>-8.0201891103554175</v>
      </c>
      <c r="T386" s="17">
        <v>0.9</v>
      </c>
      <c r="U386" s="21">
        <f>T386*10^((S386-R386)/10)</f>
        <v>2.6442567209102414E-7</v>
      </c>
    </row>
    <row r="387" spans="1:21" x14ac:dyDescent="0.25">
      <c r="A387" s="24"/>
      <c r="B387" s="24"/>
      <c r="C387" s="17"/>
      <c r="D387" s="24"/>
      <c r="E387" s="24"/>
      <c r="F387" s="25"/>
      <c r="G387" s="1">
        <v>3425</v>
      </c>
      <c r="H387" s="2">
        <v>103.5</v>
      </c>
      <c r="I387" s="2">
        <v>30</v>
      </c>
      <c r="J387" s="2">
        <v>29.1</v>
      </c>
      <c r="K387" s="2">
        <f t="shared" si="48"/>
        <v>30</v>
      </c>
      <c r="L387" s="8">
        <f t="shared" si="52"/>
        <v>4.466835921509628E-8</v>
      </c>
      <c r="M387" s="26"/>
      <c r="N387" s="17"/>
      <c r="O387" s="9">
        <f t="shared" si="50"/>
        <v>29.1</v>
      </c>
      <c r="P387" s="8">
        <f>D386/B386*10^(O387/10)</f>
        <v>127343.44753237562</v>
      </c>
      <c r="Q387" s="26"/>
      <c r="R387" s="17"/>
      <c r="S387" s="19"/>
      <c r="T387" s="17"/>
      <c r="U387" s="22"/>
    </row>
    <row r="388" spans="1:21" x14ac:dyDescent="0.25">
      <c r="A388" s="24"/>
      <c r="B388" s="24"/>
      <c r="C388" s="17"/>
      <c r="D388" s="24"/>
      <c r="E388" s="24"/>
      <c r="F388" s="25"/>
      <c r="G388" s="1">
        <v>4025</v>
      </c>
      <c r="H388" s="2">
        <v>103.6</v>
      </c>
      <c r="I388" s="2">
        <v>31.8</v>
      </c>
      <c r="J388" s="2">
        <v>29</v>
      </c>
      <c r="K388" s="2">
        <f t="shared" si="48"/>
        <v>31.8</v>
      </c>
      <c r="L388" s="8">
        <f t="shared" si="52"/>
        <v>6.606934480075943E-8</v>
      </c>
      <c r="M388" s="26"/>
      <c r="N388" s="17"/>
      <c r="O388" s="9">
        <f t="shared" si="50"/>
        <v>29</v>
      </c>
      <c r="P388" s="8">
        <f>D386/B386*10^(O388/10)</f>
        <v>124444.75677347086</v>
      </c>
      <c r="Q388" s="26"/>
      <c r="R388" s="17"/>
      <c r="S388" s="19"/>
      <c r="T388" s="17"/>
      <c r="U388" s="22"/>
    </row>
    <row r="389" spans="1:21" x14ac:dyDescent="0.25">
      <c r="A389" s="24"/>
      <c r="B389" s="24"/>
      <c r="C389" s="17"/>
      <c r="D389" s="24"/>
      <c r="E389" s="24"/>
      <c r="F389" s="25"/>
      <c r="G389" s="1">
        <v>4625</v>
      </c>
      <c r="H389" s="2">
        <v>105.6</v>
      </c>
      <c r="I389" s="2">
        <v>29.8</v>
      </c>
      <c r="J389" s="2">
        <v>20.9</v>
      </c>
      <c r="K389" s="2">
        <f t="shared" si="48"/>
        <v>29.8</v>
      </c>
      <c r="L389" s="8">
        <f t="shared" si="52"/>
        <v>2.6302679918953758E-8</v>
      </c>
      <c r="M389" s="26"/>
      <c r="N389" s="17"/>
      <c r="O389" s="9">
        <f t="shared" si="50"/>
        <v>20.9</v>
      </c>
      <c r="P389" s="8">
        <f>D386/B386*10^(O389/10)</f>
        <v>19274.210742727319</v>
      </c>
      <c r="Q389" s="26"/>
      <c r="R389" s="17"/>
      <c r="S389" s="19"/>
      <c r="T389" s="17"/>
      <c r="U389" s="22"/>
    </row>
    <row r="390" spans="1:21" x14ac:dyDescent="0.25">
      <c r="A390" s="24"/>
      <c r="B390" s="24"/>
      <c r="C390" s="17"/>
      <c r="D390" s="24"/>
      <c r="E390" s="24"/>
      <c r="F390" s="25"/>
      <c r="G390" s="1">
        <v>5225</v>
      </c>
      <c r="H390" s="2">
        <v>103.5</v>
      </c>
      <c r="I390" s="2">
        <v>34.6</v>
      </c>
      <c r="J390" s="2">
        <v>22.3</v>
      </c>
      <c r="K390" s="2">
        <f t="shared" si="48"/>
        <v>34.6</v>
      </c>
      <c r="L390" s="8">
        <f t="shared" si="52"/>
        <v>1.2882495516931295E-7</v>
      </c>
      <c r="M390" s="26"/>
      <c r="N390" s="17"/>
      <c r="O390" s="9">
        <f t="shared" si="50"/>
        <v>22.3</v>
      </c>
      <c r="P390" s="8">
        <f>D386/B386*10^(O390/10)</f>
        <v>26605.817221900659</v>
      </c>
      <c r="Q390" s="26"/>
      <c r="R390" s="17"/>
      <c r="S390" s="19"/>
      <c r="T390" s="17"/>
      <c r="U390" s="22"/>
    </row>
    <row r="391" spans="1:21" x14ac:dyDescent="0.25">
      <c r="A391" s="24"/>
      <c r="B391" s="24"/>
      <c r="C391" s="17"/>
      <c r="D391" s="24"/>
      <c r="E391" s="24"/>
      <c r="F391" s="25"/>
      <c r="G391" s="1">
        <v>5625</v>
      </c>
      <c r="H391" s="2">
        <v>99.5</v>
      </c>
      <c r="I391" s="2">
        <v>30.7</v>
      </c>
      <c r="J391" s="2">
        <v>28.3</v>
      </c>
      <c r="K391" s="2">
        <f t="shared" si="48"/>
        <v>30.7</v>
      </c>
      <c r="L391" s="8">
        <f t="shared" si="52"/>
        <v>1.3182567385564048E-7</v>
      </c>
      <c r="M391" s="26"/>
      <c r="N391" s="17"/>
      <c r="O391" s="9">
        <f t="shared" si="50"/>
        <v>28.3</v>
      </c>
      <c r="P391" s="8">
        <f>D386/B386*10^(O391/10)</f>
        <v>105919.66614474387</v>
      </c>
      <c r="Q391" s="26"/>
      <c r="R391" s="17"/>
      <c r="S391" s="20"/>
      <c r="T391" s="17"/>
      <c r="U391" s="23"/>
    </row>
    <row r="392" spans="1:21" x14ac:dyDescent="0.25">
      <c r="A392" s="24">
        <v>8000</v>
      </c>
      <c r="B392" s="24">
        <v>3</v>
      </c>
      <c r="C392" s="17">
        <v>0.5</v>
      </c>
      <c r="D392" s="24">
        <v>943</v>
      </c>
      <c r="E392" s="24">
        <v>6</v>
      </c>
      <c r="F392" s="25">
        <v>54</v>
      </c>
      <c r="G392" s="1">
        <v>6025</v>
      </c>
      <c r="H392" s="2">
        <v>95</v>
      </c>
      <c r="I392" s="2">
        <v>31.8</v>
      </c>
      <c r="J392" s="2">
        <v>28.6</v>
      </c>
      <c r="K392" s="2">
        <f t="shared" si="48"/>
        <v>31.8</v>
      </c>
      <c r="L392" s="8">
        <f t="shared" si="52"/>
        <v>4.7863009232263745E-7</v>
      </c>
      <c r="M392" s="26">
        <f>SUM(L392:L397)</f>
        <v>6.1299596866958793E-6</v>
      </c>
      <c r="N392" s="17">
        <f>10*LOG10(M392/E392)</f>
        <v>-59.906936319668759</v>
      </c>
      <c r="O392" s="9">
        <f t="shared" si="50"/>
        <v>28.6</v>
      </c>
      <c r="P392" s="8">
        <f>D392/B392*10^(O392/10)</f>
        <v>227714.37011690543</v>
      </c>
      <c r="Q392" s="26">
        <f>SUM(P392:P397)</f>
        <v>922147.29832565575</v>
      </c>
      <c r="R392" s="17">
        <f>10*LOG10(Q392)</f>
        <v>59.648002982126229</v>
      </c>
      <c r="S392" s="18">
        <f>F392+N392-Kzt-H</f>
        <v>-5.906936319668759</v>
      </c>
      <c r="T392" s="17">
        <v>0.7</v>
      </c>
      <c r="U392" s="21">
        <f>T392*10^((S392-R392)/10)</f>
        <v>1.9480679882467179E-7</v>
      </c>
    </row>
    <row r="393" spans="1:21" x14ac:dyDescent="0.25">
      <c r="A393" s="24"/>
      <c r="B393" s="24"/>
      <c r="C393" s="17"/>
      <c r="D393" s="24"/>
      <c r="E393" s="24"/>
      <c r="F393" s="25"/>
      <c r="G393" s="1">
        <v>7025</v>
      </c>
      <c r="H393" s="2">
        <v>94.8</v>
      </c>
      <c r="I393" s="2">
        <v>33.5</v>
      </c>
      <c r="J393" s="2">
        <v>28.9</v>
      </c>
      <c r="K393" s="2">
        <f t="shared" si="48"/>
        <v>33.5</v>
      </c>
      <c r="L393" s="8">
        <f t="shared" si="52"/>
        <v>7.4131024130091606E-7</v>
      </c>
      <c r="M393" s="26"/>
      <c r="N393" s="17"/>
      <c r="O393" s="9">
        <f t="shared" si="50"/>
        <v>28.9</v>
      </c>
      <c r="P393" s="8">
        <f>D392/B392*10^(O393/10)</f>
        <v>244000.34366028538</v>
      </c>
      <c r="Q393" s="26"/>
      <c r="R393" s="17"/>
      <c r="S393" s="19"/>
      <c r="T393" s="17"/>
      <c r="U393" s="22"/>
    </row>
    <row r="394" spans="1:21" x14ac:dyDescent="0.25">
      <c r="A394" s="24"/>
      <c r="B394" s="24"/>
      <c r="C394" s="17"/>
      <c r="D394" s="24"/>
      <c r="E394" s="24"/>
      <c r="F394" s="25"/>
      <c r="G394" s="1">
        <v>8025</v>
      </c>
      <c r="H394" s="2">
        <v>101.9</v>
      </c>
      <c r="I394" s="2">
        <v>28.3</v>
      </c>
      <c r="J394" s="2">
        <v>27.7</v>
      </c>
      <c r="K394" s="2">
        <f t="shared" si="48"/>
        <v>28.3</v>
      </c>
      <c r="L394" s="8">
        <f t="shared" si="52"/>
        <v>4.3651583224016407E-8</v>
      </c>
      <c r="M394" s="26"/>
      <c r="N394" s="17"/>
      <c r="O394" s="9">
        <f t="shared" si="50"/>
        <v>27.7</v>
      </c>
      <c r="P394" s="8">
        <f>D392/B392*10^(O394/10)</f>
        <v>185093.18900010697</v>
      </c>
      <c r="Q394" s="26"/>
      <c r="R394" s="17"/>
      <c r="S394" s="19"/>
      <c r="T394" s="17"/>
      <c r="U394" s="22"/>
    </row>
    <row r="395" spans="1:21" x14ac:dyDescent="0.25">
      <c r="A395" s="24"/>
      <c r="B395" s="24"/>
      <c r="C395" s="17"/>
      <c r="D395" s="24"/>
      <c r="E395" s="24"/>
      <c r="F395" s="25"/>
      <c r="G395" s="1">
        <v>9025</v>
      </c>
      <c r="H395" s="2">
        <v>93.2</v>
      </c>
      <c r="I395" s="2">
        <v>29.5</v>
      </c>
      <c r="J395" s="2">
        <v>20.100000000000001</v>
      </c>
      <c r="K395" s="2">
        <f t="shared" si="48"/>
        <v>29.5</v>
      </c>
      <c r="L395" s="8">
        <f t="shared" si="52"/>
        <v>4.2657951880159212E-7</v>
      </c>
      <c r="M395" s="26"/>
      <c r="N395" s="17"/>
      <c r="O395" s="9">
        <f t="shared" si="50"/>
        <v>20.100000000000001</v>
      </c>
      <c r="P395" s="8">
        <f>D392/B392*10^(O395/10)</f>
        <v>32165.509724025076</v>
      </c>
      <c r="Q395" s="26"/>
      <c r="R395" s="17"/>
      <c r="S395" s="19"/>
      <c r="T395" s="17"/>
      <c r="U395" s="22"/>
    </row>
    <row r="396" spans="1:21" x14ac:dyDescent="0.25">
      <c r="A396" s="24"/>
      <c r="B396" s="24"/>
      <c r="C396" s="17"/>
      <c r="D396" s="24"/>
      <c r="E396" s="24"/>
      <c r="F396" s="25"/>
      <c r="G396" s="1">
        <v>10025</v>
      </c>
      <c r="H396" s="2">
        <v>88.3</v>
      </c>
      <c r="I396" s="2">
        <v>26.9</v>
      </c>
      <c r="J396" s="2">
        <v>24.7</v>
      </c>
      <c r="K396" s="2">
        <f t="shared" si="48"/>
        <v>26.9</v>
      </c>
      <c r="L396" s="8">
        <f t="shared" si="52"/>
        <v>7.2443596007499005E-7</v>
      </c>
      <c r="M396" s="26"/>
      <c r="N396" s="17"/>
      <c r="O396" s="9">
        <f t="shared" si="50"/>
        <v>24.7</v>
      </c>
      <c r="P396" s="8">
        <f>D392/B392*10^(O396/10)</f>
        <v>92766.343358213431</v>
      </c>
      <c r="Q396" s="26"/>
      <c r="R396" s="17"/>
      <c r="S396" s="19"/>
      <c r="T396" s="17"/>
      <c r="U396" s="22"/>
    </row>
    <row r="397" spans="1:21" x14ac:dyDescent="0.25">
      <c r="A397" s="24"/>
      <c r="B397" s="24"/>
      <c r="C397" s="17"/>
      <c r="D397" s="24"/>
      <c r="E397" s="24"/>
      <c r="F397" s="25"/>
      <c r="G397" s="1">
        <v>11025</v>
      </c>
      <c r="H397" s="2">
        <v>86</v>
      </c>
      <c r="I397" s="2">
        <v>31.7</v>
      </c>
      <c r="J397" s="2">
        <v>26.5</v>
      </c>
      <c r="K397" s="2">
        <f t="shared" si="48"/>
        <v>31.7</v>
      </c>
      <c r="L397" s="8">
        <f t="shared" si="52"/>
        <v>3.7153522909717272E-6</v>
      </c>
      <c r="M397" s="26"/>
      <c r="N397" s="17"/>
      <c r="O397" s="9">
        <f t="shared" si="50"/>
        <v>26.5</v>
      </c>
      <c r="P397" s="8">
        <f>D392/B392*10^(O397/10)</f>
        <v>140407.54246611946</v>
      </c>
      <c r="Q397" s="26"/>
      <c r="R397" s="17"/>
      <c r="S397" s="20"/>
      <c r="T397" s="17"/>
      <c r="U397" s="23"/>
    </row>
    <row r="398" spans="1:21" x14ac:dyDescent="0.25">
      <c r="A398" s="24" t="s">
        <v>20</v>
      </c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12">
        <f>U398</f>
        <v>6.4495658934293848E-2</v>
      </c>
      <c r="T398" s="2"/>
      <c r="U398" s="8">
        <f>0.8*SQRT(SUM(U364:U397))</f>
        <v>6.4495658934293848E-2</v>
      </c>
    </row>
    <row r="399" spans="1:21" x14ac:dyDescent="0.25">
      <c r="A399" s="27" t="s">
        <v>123</v>
      </c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9"/>
    </row>
    <row r="400" spans="1:21" x14ac:dyDescent="0.25">
      <c r="A400" s="24">
        <v>250</v>
      </c>
      <c r="B400" s="24">
        <v>3</v>
      </c>
      <c r="C400" s="17">
        <v>0.5</v>
      </c>
      <c r="D400" s="24">
        <v>38</v>
      </c>
      <c r="E400" s="24">
        <v>4</v>
      </c>
      <c r="F400" s="25">
        <v>84</v>
      </c>
      <c r="G400" s="1">
        <v>175</v>
      </c>
      <c r="H400" s="2">
        <v>84.8</v>
      </c>
      <c r="I400" s="2">
        <v>35.799999999999997</v>
      </c>
      <c r="J400" s="2">
        <v>34.5</v>
      </c>
      <c r="K400" s="2">
        <f>I400</f>
        <v>35.799999999999997</v>
      </c>
      <c r="L400" s="8">
        <f>10^((K400-H400)/10)</f>
        <v>1.2589254117941658E-5</v>
      </c>
      <c r="M400" s="26">
        <f>SUM(L400:L403)</f>
        <v>2.6011084797381013E-5</v>
      </c>
      <c r="N400" s="17">
        <f>10*LOG10(M400/E400)</f>
        <v>-51.869015264180447</v>
      </c>
      <c r="O400" s="9">
        <f>J400</f>
        <v>34.5</v>
      </c>
      <c r="P400" s="8">
        <f>D400/B400*10^(O400/10)</f>
        <v>35699.517129349777</v>
      </c>
      <c r="Q400" s="26">
        <f>SUM(P400:P403)</f>
        <v>181772.67759464937</v>
      </c>
      <c r="R400" s="17">
        <f>10*LOG10(Q400)</f>
        <v>52.59528604619593</v>
      </c>
      <c r="S400" s="18">
        <f>F400+N400-Kzt-H</f>
        <v>32.130984735819553</v>
      </c>
      <c r="T400" s="17">
        <v>0.2</v>
      </c>
      <c r="U400" s="21">
        <f>T400*10^((S400-R400)/10)</f>
        <v>1.797214296339048E-3</v>
      </c>
    </row>
    <row r="401" spans="1:21" x14ac:dyDescent="0.25">
      <c r="A401" s="24"/>
      <c r="B401" s="24"/>
      <c r="C401" s="17"/>
      <c r="D401" s="24"/>
      <c r="E401" s="24"/>
      <c r="F401" s="25"/>
      <c r="G401" s="1">
        <v>225</v>
      </c>
      <c r="H401" s="2">
        <v>90</v>
      </c>
      <c r="I401" s="2">
        <v>36.200000000000003</v>
      </c>
      <c r="J401" s="2">
        <v>34.5</v>
      </c>
      <c r="K401" s="2">
        <f t="shared" ref="K401:K433" si="53">I401</f>
        <v>36.200000000000003</v>
      </c>
      <c r="L401" s="8">
        <f t="shared" ref="L401:L402" si="54">10^((K401-H401)/10)</f>
        <v>4.168693834703354E-6</v>
      </c>
      <c r="M401" s="26"/>
      <c r="N401" s="17"/>
      <c r="O401" s="9">
        <f t="shared" ref="O401:O433" si="55">J401</f>
        <v>34.5</v>
      </c>
      <c r="P401" s="8">
        <f>D400/B400*10^(O401/10)</f>
        <v>35699.517129349777</v>
      </c>
      <c r="Q401" s="26"/>
      <c r="R401" s="17"/>
      <c r="S401" s="19"/>
      <c r="T401" s="17"/>
      <c r="U401" s="22"/>
    </row>
    <row r="402" spans="1:21" x14ac:dyDescent="0.25">
      <c r="A402" s="24"/>
      <c r="B402" s="24"/>
      <c r="C402" s="17"/>
      <c r="D402" s="24"/>
      <c r="E402" s="24"/>
      <c r="F402" s="25"/>
      <c r="G402" s="1">
        <v>275</v>
      </c>
      <c r="H402" s="2">
        <v>92.2</v>
      </c>
      <c r="I402" s="2">
        <v>39</v>
      </c>
      <c r="J402" s="2">
        <v>37.5</v>
      </c>
      <c r="K402" s="2">
        <f t="shared" si="53"/>
        <v>39</v>
      </c>
      <c r="L402" s="8">
        <f t="shared" si="54"/>
        <v>4.7863009232263716E-6</v>
      </c>
      <c r="M402" s="26"/>
      <c r="N402" s="17"/>
      <c r="O402" s="9">
        <f t="shared" si="55"/>
        <v>37.5</v>
      </c>
      <c r="P402" s="8">
        <f>D400/B400*10^(O402/10)</f>
        <v>71229.901190777658</v>
      </c>
      <c r="Q402" s="26"/>
      <c r="R402" s="17"/>
      <c r="S402" s="19"/>
      <c r="T402" s="17"/>
      <c r="U402" s="22"/>
    </row>
    <row r="403" spans="1:21" x14ac:dyDescent="0.25">
      <c r="A403" s="24"/>
      <c r="B403" s="24"/>
      <c r="C403" s="17"/>
      <c r="D403" s="24"/>
      <c r="E403" s="24"/>
      <c r="F403" s="25"/>
      <c r="G403" s="1">
        <v>325</v>
      </c>
      <c r="H403" s="2">
        <v>93.3</v>
      </c>
      <c r="I403" s="2">
        <v>39.799999999999997</v>
      </c>
      <c r="J403" s="2">
        <v>34.9</v>
      </c>
      <c r="K403" s="2">
        <f t="shared" si="53"/>
        <v>39.799999999999997</v>
      </c>
      <c r="L403" s="8">
        <f>10^((K403-H403)/10)</f>
        <v>4.4668359215096296E-6</v>
      </c>
      <c r="M403" s="26"/>
      <c r="N403" s="17"/>
      <c r="O403" s="9">
        <f t="shared" si="55"/>
        <v>34.9</v>
      </c>
      <c r="P403" s="8">
        <f>D400/B400*10^(O403/10)</f>
        <v>39143.74214517216</v>
      </c>
      <c r="Q403" s="26"/>
      <c r="R403" s="17"/>
      <c r="S403" s="20"/>
      <c r="T403" s="17"/>
      <c r="U403" s="23"/>
    </row>
    <row r="404" spans="1:21" x14ac:dyDescent="0.25">
      <c r="A404" s="24">
        <v>500</v>
      </c>
      <c r="B404" s="24">
        <v>3</v>
      </c>
      <c r="C404" s="17">
        <v>0.5</v>
      </c>
      <c r="D404" s="24">
        <v>59</v>
      </c>
      <c r="E404" s="24">
        <v>6</v>
      </c>
      <c r="F404" s="25">
        <v>84</v>
      </c>
      <c r="G404" s="1">
        <v>375</v>
      </c>
      <c r="H404" s="2">
        <v>91.9</v>
      </c>
      <c r="I404" s="2">
        <v>39.299999999999997</v>
      </c>
      <c r="J404" s="2">
        <v>34.700000000000003</v>
      </c>
      <c r="K404" s="2">
        <f t="shared" si="53"/>
        <v>39.299999999999997</v>
      </c>
      <c r="L404" s="8">
        <f t="shared" ref="L404:L405" si="56">10^((K404-H404)/10)</f>
        <v>5.495408738576229E-6</v>
      </c>
      <c r="M404" s="26">
        <f>SUM(L404:L409)</f>
        <v>2.7804968840979462E-5</v>
      </c>
      <c r="N404" s="17">
        <f>10*LOG10(M404/E404)</f>
        <v>-53.340288376529131</v>
      </c>
      <c r="O404" s="9">
        <f t="shared" si="55"/>
        <v>34.700000000000003</v>
      </c>
      <c r="P404" s="8">
        <f>D404/B404*10^(O404/10)</f>
        <v>58040.448124439004</v>
      </c>
      <c r="Q404" s="26">
        <f>SUM(P404:P409)</f>
        <v>223014.62469419953</v>
      </c>
      <c r="R404" s="17">
        <f>10*LOG10(Q404)</f>
        <v>53.483333438361939</v>
      </c>
      <c r="S404" s="18">
        <f>F404+N404-Kzt-H</f>
        <v>30.659711623470869</v>
      </c>
      <c r="T404" s="17">
        <v>0.5</v>
      </c>
      <c r="U404" s="21">
        <f>T404*10^((S404-R404)/10)</f>
        <v>2.6098035818642095E-3</v>
      </c>
    </row>
    <row r="405" spans="1:21" x14ac:dyDescent="0.25">
      <c r="A405" s="24"/>
      <c r="B405" s="24"/>
      <c r="C405" s="17"/>
      <c r="D405" s="24"/>
      <c r="E405" s="24"/>
      <c r="F405" s="25"/>
      <c r="G405" s="1">
        <v>425</v>
      </c>
      <c r="H405" s="2">
        <v>88.1</v>
      </c>
      <c r="I405" s="2">
        <v>38.700000000000003</v>
      </c>
      <c r="J405" s="2">
        <v>32.700000000000003</v>
      </c>
      <c r="K405" s="2">
        <f t="shared" si="53"/>
        <v>38.700000000000003</v>
      </c>
      <c r="L405" s="8">
        <f t="shared" si="56"/>
        <v>1.1481536214968819E-5</v>
      </c>
      <c r="M405" s="26"/>
      <c r="N405" s="17"/>
      <c r="O405" s="9">
        <f t="shared" si="55"/>
        <v>32.700000000000003</v>
      </c>
      <c r="P405" s="8">
        <f>D404/B404*10^(O405/10)</f>
        <v>36621.047021036458</v>
      </c>
      <c r="Q405" s="26"/>
      <c r="R405" s="17"/>
      <c r="S405" s="19"/>
      <c r="T405" s="17"/>
      <c r="U405" s="22"/>
    </row>
    <row r="406" spans="1:21" x14ac:dyDescent="0.25">
      <c r="A406" s="24"/>
      <c r="B406" s="24"/>
      <c r="C406" s="17"/>
      <c r="D406" s="24"/>
      <c r="E406" s="24"/>
      <c r="F406" s="25"/>
      <c r="G406" s="1">
        <v>475</v>
      </c>
      <c r="H406" s="2">
        <v>90</v>
      </c>
      <c r="I406" s="2">
        <v>37.9</v>
      </c>
      <c r="J406" s="2">
        <v>30.9</v>
      </c>
      <c r="K406" s="2">
        <f t="shared" si="53"/>
        <v>37.9</v>
      </c>
      <c r="L406" s="8">
        <f>10^((K406-H406)/10)</f>
        <v>6.1659500186148109E-6</v>
      </c>
      <c r="M406" s="26"/>
      <c r="N406" s="17"/>
      <c r="O406" s="9">
        <f t="shared" si="55"/>
        <v>30.9</v>
      </c>
      <c r="P406" s="8">
        <f>D404/B404*10^(O406/10)</f>
        <v>24195.285825976855</v>
      </c>
      <c r="Q406" s="26"/>
      <c r="R406" s="17"/>
      <c r="S406" s="19"/>
      <c r="T406" s="17"/>
      <c r="U406" s="22"/>
    </row>
    <row r="407" spans="1:21" x14ac:dyDescent="0.25">
      <c r="A407" s="24"/>
      <c r="B407" s="24"/>
      <c r="C407" s="17"/>
      <c r="D407" s="24"/>
      <c r="E407" s="24"/>
      <c r="F407" s="25"/>
      <c r="G407" s="1">
        <v>575</v>
      </c>
      <c r="H407" s="2">
        <v>97</v>
      </c>
      <c r="I407" s="2">
        <v>37.299999999999997</v>
      </c>
      <c r="J407" s="2">
        <v>31.3</v>
      </c>
      <c r="K407" s="2">
        <f t="shared" si="53"/>
        <v>37.299999999999997</v>
      </c>
      <c r="L407" s="8">
        <f t="shared" ref="L407:L433" si="57">10^((K407-H407)/10)</f>
        <v>1.0715193052376028E-6</v>
      </c>
      <c r="M407" s="26"/>
      <c r="N407" s="17"/>
      <c r="O407" s="9">
        <f t="shared" si="55"/>
        <v>31.3</v>
      </c>
      <c r="P407" s="8">
        <f>D404/B404*10^(O407/10)</f>
        <v>26529.603357635864</v>
      </c>
      <c r="Q407" s="26"/>
      <c r="R407" s="17"/>
      <c r="S407" s="19"/>
      <c r="T407" s="17"/>
      <c r="U407" s="22"/>
    </row>
    <row r="408" spans="1:21" x14ac:dyDescent="0.25">
      <c r="A408" s="24"/>
      <c r="B408" s="24"/>
      <c r="C408" s="17"/>
      <c r="D408" s="24"/>
      <c r="E408" s="24"/>
      <c r="F408" s="25"/>
      <c r="G408" s="1">
        <v>625</v>
      </c>
      <c r="H408" s="2">
        <v>92</v>
      </c>
      <c r="I408" s="2">
        <v>33.9</v>
      </c>
      <c r="J408" s="2">
        <v>33.1</v>
      </c>
      <c r="K408" s="2">
        <f t="shared" si="53"/>
        <v>33.9</v>
      </c>
      <c r="L408" s="8">
        <f t="shared" si="57"/>
        <v>1.5488166189124767E-6</v>
      </c>
      <c r="M408" s="26"/>
      <c r="N408" s="17"/>
      <c r="O408" s="9">
        <f t="shared" si="55"/>
        <v>33.1</v>
      </c>
      <c r="P408" s="8">
        <f>D404/B404*10^(O408/10)</f>
        <v>40154.179578500793</v>
      </c>
      <c r="Q408" s="26"/>
      <c r="R408" s="17"/>
      <c r="S408" s="19"/>
      <c r="T408" s="17"/>
      <c r="U408" s="22"/>
    </row>
    <row r="409" spans="1:21" x14ac:dyDescent="0.25">
      <c r="A409" s="24"/>
      <c r="B409" s="24"/>
      <c r="C409" s="17"/>
      <c r="D409" s="24"/>
      <c r="E409" s="24"/>
      <c r="F409" s="25"/>
      <c r="G409" s="1">
        <v>675</v>
      </c>
      <c r="H409" s="2">
        <v>94.5</v>
      </c>
      <c r="I409" s="2">
        <v>37.6</v>
      </c>
      <c r="J409" s="2">
        <v>32.799999999999997</v>
      </c>
      <c r="K409" s="2">
        <f t="shared" si="53"/>
        <v>37.6</v>
      </c>
      <c r="L409" s="8">
        <f t="shared" si="57"/>
        <v>2.0417379446695277E-6</v>
      </c>
      <c r="M409" s="26"/>
      <c r="N409" s="17"/>
      <c r="O409" s="9">
        <f t="shared" si="55"/>
        <v>32.799999999999997</v>
      </c>
      <c r="P409" s="8">
        <f>D404/B404*10^(O409/10)</f>
        <v>37474.060786610557</v>
      </c>
      <c r="Q409" s="26"/>
      <c r="R409" s="17"/>
      <c r="S409" s="20"/>
      <c r="T409" s="17"/>
      <c r="U409" s="23"/>
    </row>
    <row r="410" spans="1:21" x14ac:dyDescent="0.25">
      <c r="A410" s="24">
        <v>1000</v>
      </c>
      <c r="B410" s="24">
        <v>3</v>
      </c>
      <c r="C410" s="17">
        <v>0.5</v>
      </c>
      <c r="D410" s="24">
        <v>117</v>
      </c>
      <c r="E410" s="24">
        <v>6</v>
      </c>
      <c r="F410" s="25">
        <v>76</v>
      </c>
      <c r="G410" s="1">
        <v>875</v>
      </c>
      <c r="H410" s="2">
        <v>91.1</v>
      </c>
      <c r="I410" s="2">
        <v>34.6</v>
      </c>
      <c r="J410" s="2">
        <v>29.9</v>
      </c>
      <c r="K410" s="2">
        <f t="shared" si="53"/>
        <v>34.6</v>
      </c>
      <c r="L410" s="8">
        <f t="shared" si="57"/>
        <v>2.2387211385683414E-6</v>
      </c>
      <c r="M410" s="26">
        <f>SUM(L410:L415)</f>
        <v>5.1894918497655505E-6</v>
      </c>
      <c r="N410" s="17">
        <f>10*LOG10(M410/E410)</f>
        <v>-60.630264161666254</v>
      </c>
      <c r="O410" s="9">
        <f t="shared" si="55"/>
        <v>29.9</v>
      </c>
      <c r="P410" s="8">
        <f>D410/B410*10^(O410/10)</f>
        <v>38112.251617276612</v>
      </c>
      <c r="Q410" s="26">
        <f>SUM(P410:P415)</f>
        <v>242532.42614277784</v>
      </c>
      <c r="R410" s="17">
        <f>10*LOG10(Q410)</f>
        <v>53.84769811199866</v>
      </c>
      <c r="S410" s="18">
        <f>F410+N410-Kzt-H</f>
        <v>15.369735838333746</v>
      </c>
      <c r="T410" s="17">
        <v>0.8</v>
      </c>
      <c r="U410" s="21">
        <f>T410*10^((S410-R410)/10)</f>
        <v>1.1357788041116682E-4</v>
      </c>
    </row>
    <row r="411" spans="1:21" x14ac:dyDescent="0.25">
      <c r="A411" s="24"/>
      <c r="B411" s="24"/>
      <c r="C411" s="17"/>
      <c r="D411" s="24"/>
      <c r="E411" s="24"/>
      <c r="F411" s="25"/>
      <c r="G411" s="1">
        <v>975</v>
      </c>
      <c r="H411" s="2">
        <v>96.5</v>
      </c>
      <c r="I411" s="2">
        <v>36.1</v>
      </c>
      <c r="J411" s="2">
        <v>28.7</v>
      </c>
      <c r="K411" s="2">
        <f t="shared" si="53"/>
        <v>36.1</v>
      </c>
      <c r="L411" s="8">
        <f t="shared" si="57"/>
        <v>9.12010839355909E-7</v>
      </c>
      <c r="M411" s="26"/>
      <c r="N411" s="17"/>
      <c r="O411" s="9">
        <f t="shared" si="55"/>
        <v>28.7</v>
      </c>
      <c r="P411" s="8">
        <f>D410/B410*10^(O411/10)</f>
        <v>28911.099410735813</v>
      </c>
      <c r="Q411" s="26"/>
      <c r="R411" s="17"/>
      <c r="S411" s="19"/>
      <c r="T411" s="17"/>
      <c r="U411" s="22"/>
    </row>
    <row r="412" spans="1:21" x14ac:dyDescent="0.25">
      <c r="A412" s="24"/>
      <c r="B412" s="24"/>
      <c r="C412" s="17"/>
      <c r="D412" s="24"/>
      <c r="E412" s="24"/>
      <c r="F412" s="25"/>
      <c r="G412" s="1">
        <v>1075</v>
      </c>
      <c r="H412" s="2">
        <v>94.6</v>
      </c>
      <c r="I412" s="2">
        <v>35.799999999999997</v>
      </c>
      <c r="J412" s="2">
        <v>30.8</v>
      </c>
      <c r="K412" s="2">
        <f t="shared" si="53"/>
        <v>35.799999999999997</v>
      </c>
      <c r="L412" s="8">
        <f t="shared" si="57"/>
        <v>1.3182567385564063E-6</v>
      </c>
      <c r="M412" s="26"/>
      <c r="N412" s="17"/>
      <c r="O412" s="9">
        <f t="shared" si="55"/>
        <v>30.8</v>
      </c>
      <c r="P412" s="8">
        <f>D410/B410*10^(O412/10)</f>
        <v>46888.31295007914</v>
      </c>
      <c r="Q412" s="26"/>
      <c r="R412" s="17"/>
      <c r="S412" s="19"/>
      <c r="T412" s="17"/>
      <c r="U412" s="22"/>
    </row>
    <row r="413" spans="1:21" x14ac:dyDescent="0.25">
      <c r="A413" s="24"/>
      <c r="B413" s="24"/>
      <c r="C413" s="17"/>
      <c r="D413" s="24"/>
      <c r="E413" s="24"/>
      <c r="F413" s="25"/>
      <c r="G413" s="1">
        <v>1175</v>
      </c>
      <c r="H413" s="2">
        <v>97.8</v>
      </c>
      <c r="I413" s="2">
        <v>33.6</v>
      </c>
      <c r="J413" s="2">
        <v>30.6</v>
      </c>
      <c r="K413" s="2">
        <f t="shared" si="53"/>
        <v>33.6</v>
      </c>
      <c r="L413" s="8">
        <f t="shared" si="57"/>
        <v>3.8018939632056152E-7</v>
      </c>
      <c r="M413" s="26"/>
      <c r="N413" s="17"/>
      <c r="O413" s="9">
        <f t="shared" si="55"/>
        <v>30.6</v>
      </c>
      <c r="P413" s="8">
        <f>D410/B410*10^(O413/10)</f>
        <v>44777.991238378476</v>
      </c>
      <c r="Q413" s="26"/>
      <c r="R413" s="17"/>
      <c r="S413" s="19"/>
      <c r="T413" s="17"/>
      <c r="U413" s="22"/>
    </row>
    <row r="414" spans="1:21" x14ac:dyDescent="0.25">
      <c r="A414" s="24"/>
      <c r="B414" s="24"/>
      <c r="C414" s="17"/>
      <c r="D414" s="24"/>
      <c r="E414" s="24"/>
      <c r="F414" s="25"/>
      <c r="G414" s="1">
        <v>1275</v>
      </c>
      <c r="H414" s="2">
        <v>100.1</v>
      </c>
      <c r="I414" s="2">
        <v>34.1</v>
      </c>
      <c r="J414" s="2">
        <v>32.5</v>
      </c>
      <c r="K414" s="2">
        <f t="shared" si="53"/>
        <v>34.1</v>
      </c>
      <c r="L414" s="8">
        <f t="shared" si="57"/>
        <v>2.511886431509578E-7</v>
      </c>
      <c r="M414" s="26"/>
      <c r="N414" s="17"/>
      <c r="O414" s="9">
        <f t="shared" si="55"/>
        <v>32.5</v>
      </c>
      <c r="P414" s="8">
        <f>D410/B410*10^(O414/10)</f>
        <v>69352.89699151805</v>
      </c>
      <c r="Q414" s="26"/>
      <c r="R414" s="17"/>
      <c r="S414" s="19"/>
      <c r="T414" s="17"/>
      <c r="U414" s="22"/>
    </row>
    <row r="415" spans="1:21" x14ac:dyDescent="0.25">
      <c r="A415" s="24"/>
      <c r="B415" s="24"/>
      <c r="C415" s="17"/>
      <c r="D415" s="24"/>
      <c r="E415" s="24"/>
      <c r="F415" s="25"/>
      <c r="G415" s="1">
        <v>1375</v>
      </c>
      <c r="H415" s="2">
        <v>103</v>
      </c>
      <c r="I415" s="2">
        <v>32.5</v>
      </c>
      <c r="J415" s="2">
        <v>25.7</v>
      </c>
      <c r="K415" s="2">
        <f t="shared" si="53"/>
        <v>32.5</v>
      </c>
      <c r="L415" s="8">
        <f t="shared" si="57"/>
        <v>8.9125093813374537E-8</v>
      </c>
      <c r="M415" s="26"/>
      <c r="N415" s="17"/>
      <c r="O415" s="9">
        <f t="shared" si="55"/>
        <v>25.7</v>
      </c>
      <c r="P415" s="8">
        <f>D410/B410*10^(O415/10)</f>
        <v>14489.873934789734</v>
      </c>
      <c r="Q415" s="26"/>
      <c r="R415" s="17"/>
      <c r="S415" s="20"/>
      <c r="T415" s="17"/>
      <c r="U415" s="23"/>
    </row>
    <row r="416" spans="1:21" x14ac:dyDescent="0.25">
      <c r="A416" s="24">
        <v>2000</v>
      </c>
      <c r="B416" s="24">
        <v>3</v>
      </c>
      <c r="C416" s="17">
        <v>0.5</v>
      </c>
      <c r="D416" s="24">
        <v>234</v>
      </c>
      <c r="E416" s="24">
        <v>6</v>
      </c>
      <c r="F416" s="25">
        <v>68</v>
      </c>
      <c r="G416" s="1">
        <v>1425</v>
      </c>
      <c r="H416" s="2">
        <v>102.8</v>
      </c>
      <c r="I416" s="2">
        <v>32.900000000000006</v>
      </c>
      <c r="J416" s="2">
        <v>32.200000000000003</v>
      </c>
      <c r="K416" s="2">
        <f t="shared" si="53"/>
        <v>32.900000000000006</v>
      </c>
      <c r="L416" s="8">
        <f t="shared" si="57"/>
        <v>1.0232929922807534E-7</v>
      </c>
      <c r="M416" s="26">
        <f>SUM(L416:L421)</f>
        <v>7.8400887967605781E-7</v>
      </c>
      <c r="N416" s="17">
        <f>10*LOG10(M416/E416)</f>
        <v>-68.838302688567637</v>
      </c>
      <c r="O416" s="9">
        <f t="shared" si="55"/>
        <v>32.200000000000003</v>
      </c>
      <c r="P416" s="8">
        <f>D416/B416*10^(O416/10)</f>
        <v>129447.77878012988</v>
      </c>
      <c r="Q416" s="26">
        <f>SUM(P416:P421)</f>
        <v>541496.80809559627</v>
      </c>
      <c r="R416" s="17">
        <f>10*LOG10(Q416)</f>
        <v>57.335959009787814</v>
      </c>
      <c r="S416" s="18">
        <f>F416+N416-Kzt-H</f>
        <v>-0.83830268856763723</v>
      </c>
      <c r="T416" s="17">
        <v>1</v>
      </c>
      <c r="U416" s="21">
        <f>T416*10^((S416-R416)/10)</f>
        <v>1.5225579460909334E-6</v>
      </c>
    </row>
    <row r="417" spans="1:21" x14ac:dyDescent="0.25">
      <c r="A417" s="24"/>
      <c r="B417" s="24"/>
      <c r="C417" s="17"/>
      <c r="D417" s="24"/>
      <c r="E417" s="24"/>
      <c r="F417" s="25"/>
      <c r="G417" s="1">
        <v>1625</v>
      </c>
      <c r="H417" s="2">
        <v>104.1</v>
      </c>
      <c r="I417" s="2">
        <v>33.4</v>
      </c>
      <c r="J417" s="2">
        <v>32.5</v>
      </c>
      <c r="K417" s="2">
        <f t="shared" si="53"/>
        <v>33.4</v>
      </c>
      <c r="L417" s="8">
        <f t="shared" si="57"/>
        <v>8.511380382023795E-8</v>
      </c>
      <c r="M417" s="26"/>
      <c r="N417" s="17"/>
      <c r="O417" s="9">
        <f t="shared" si="55"/>
        <v>32.5</v>
      </c>
      <c r="P417" s="8">
        <f>D416/B416*10^(O417/10)</f>
        <v>138705.7939830361</v>
      </c>
      <c r="Q417" s="26"/>
      <c r="R417" s="17"/>
      <c r="S417" s="19"/>
      <c r="T417" s="17"/>
      <c r="U417" s="22"/>
    </row>
    <row r="418" spans="1:21" x14ac:dyDescent="0.25">
      <c r="A418" s="24"/>
      <c r="B418" s="24"/>
      <c r="C418" s="17"/>
      <c r="D418" s="24"/>
      <c r="E418" s="24"/>
      <c r="F418" s="25"/>
      <c r="G418" s="1">
        <v>1825</v>
      </c>
      <c r="H418" s="2">
        <v>107.6</v>
      </c>
      <c r="I418" s="2">
        <v>31.8</v>
      </c>
      <c r="J418" s="2">
        <v>30.1</v>
      </c>
      <c r="K418" s="2">
        <f t="shared" si="53"/>
        <v>31.8</v>
      </c>
      <c r="L418" s="8">
        <f t="shared" si="57"/>
        <v>2.6302679918953758E-8</v>
      </c>
      <c r="M418" s="26"/>
      <c r="N418" s="17"/>
      <c r="O418" s="9">
        <f t="shared" si="55"/>
        <v>30.1</v>
      </c>
      <c r="P418" s="8">
        <f>D416/B416*10^(O418/10)</f>
        <v>79816.853397898929</v>
      </c>
      <c r="Q418" s="26"/>
      <c r="R418" s="17"/>
      <c r="S418" s="19"/>
      <c r="T418" s="17"/>
      <c r="U418" s="22"/>
    </row>
    <row r="419" spans="1:21" x14ac:dyDescent="0.25">
      <c r="A419" s="24"/>
      <c r="B419" s="24"/>
      <c r="C419" s="17"/>
      <c r="D419" s="24"/>
      <c r="E419" s="24"/>
      <c r="F419" s="25"/>
      <c r="G419" s="1">
        <v>2125</v>
      </c>
      <c r="H419" s="2">
        <v>104.2</v>
      </c>
      <c r="I419" s="2">
        <v>30.6</v>
      </c>
      <c r="J419" s="2">
        <v>27</v>
      </c>
      <c r="K419" s="2">
        <f t="shared" si="53"/>
        <v>30.6</v>
      </c>
      <c r="L419" s="8">
        <f t="shared" si="57"/>
        <v>4.3651583224016566E-8</v>
      </c>
      <c r="M419" s="26"/>
      <c r="N419" s="17"/>
      <c r="O419" s="9">
        <f t="shared" si="55"/>
        <v>27</v>
      </c>
      <c r="P419" s="8">
        <f>D416/B416*10^(O419/10)</f>
        <v>39092.604222927272</v>
      </c>
      <c r="Q419" s="26"/>
      <c r="R419" s="17"/>
      <c r="S419" s="19"/>
      <c r="T419" s="17"/>
      <c r="U419" s="22"/>
    </row>
    <row r="420" spans="1:21" x14ac:dyDescent="0.25">
      <c r="A420" s="24"/>
      <c r="B420" s="24"/>
      <c r="C420" s="17"/>
      <c r="D420" s="24"/>
      <c r="E420" s="24"/>
      <c r="F420" s="25"/>
      <c r="G420" s="1">
        <v>2425</v>
      </c>
      <c r="H420" s="2">
        <v>93.7</v>
      </c>
      <c r="I420" s="2">
        <v>28.1</v>
      </c>
      <c r="J420" s="2">
        <v>28</v>
      </c>
      <c r="K420" s="2">
        <f t="shared" si="53"/>
        <v>28.1</v>
      </c>
      <c r="L420" s="8">
        <f t="shared" si="57"/>
        <v>2.7542287033381632E-7</v>
      </c>
      <c r="M420" s="26"/>
      <c r="N420" s="17"/>
      <c r="O420" s="9">
        <f t="shared" si="55"/>
        <v>28</v>
      </c>
      <c r="P420" s="8">
        <f>D416/B416*10^(O420/10)</f>
        <v>49214.672869455069</v>
      </c>
      <c r="Q420" s="26"/>
      <c r="R420" s="17"/>
      <c r="S420" s="19"/>
      <c r="T420" s="17"/>
      <c r="U420" s="22"/>
    </row>
    <row r="421" spans="1:21" x14ac:dyDescent="0.25">
      <c r="A421" s="24"/>
      <c r="B421" s="24"/>
      <c r="C421" s="17"/>
      <c r="D421" s="24"/>
      <c r="E421" s="24"/>
      <c r="F421" s="25"/>
      <c r="G421" s="1">
        <v>2775</v>
      </c>
      <c r="H421" s="2">
        <v>100.2</v>
      </c>
      <c r="I421" s="2">
        <v>34.200000000000003</v>
      </c>
      <c r="J421" s="2">
        <v>31.3</v>
      </c>
      <c r="K421" s="2">
        <f t="shared" si="53"/>
        <v>34.200000000000003</v>
      </c>
      <c r="L421" s="8">
        <f t="shared" si="57"/>
        <v>2.511886431509578E-7</v>
      </c>
      <c r="M421" s="26"/>
      <c r="N421" s="17"/>
      <c r="O421" s="9">
        <f t="shared" si="55"/>
        <v>31.3</v>
      </c>
      <c r="P421" s="8">
        <f>D416/B416*10^(O421/10)</f>
        <v>105219.10484214901</v>
      </c>
      <c r="Q421" s="26"/>
      <c r="R421" s="17"/>
      <c r="S421" s="20"/>
      <c r="T421" s="17"/>
      <c r="U421" s="23"/>
    </row>
    <row r="422" spans="1:21" x14ac:dyDescent="0.25">
      <c r="A422" s="24">
        <v>4000</v>
      </c>
      <c r="B422" s="24">
        <v>3</v>
      </c>
      <c r="C422" s="17">
        <v>0.5</v>
      </c>
      <c r="D422" s="24">
        <v>470</v>
      </c>
      <c r="E422" s="24">
        <v>6</v>
      </c>
      <c r="F422" s="25">
        <v>62</v>
      </c>
      <c r="G422" s="1">
        <v>2825</v>
      </c>
      <c r="H422" s="2">
        <v>99.4</v>
      </c>
      <c r="I422" s="2">
        <v>31.8</v>
      </c>
      <c r="J422" s="2">
        <v>31.1</v>
      </c>
      <c r="K422" s="2">
        <f t="shared" si="53"/>
        <v>31.8</v>
      </c>
      <c r="L422" s="8">
        <f t="shared" si="57"/>
        <v>1.7378008287493704E-7</v>
      </c>
      <c r="M422" s="26">
        <f>SUM(L422:L427)</f>
        <v>5.8200736357326229E-7</v>
      </c>
      <c r="N422" s="17">
        <f>10*LOG10(M422/E422)</f>
        <v>-70.132227709931982</v>
      </c>
      <c r="O422" s="9">
        <f t="shared" si="55"/>
        <v>31.1</v>
      </c>
      <c r="P422" s="8">
        <f>D422/B422*10^(O422/10)</f>
        <v>201825.76309859127</v>
      </c>
      <c r="Q422" s="26">
        <f>SUM(P422:P427)</f>
        <v>515871.47621230735</v>
      </c>
      <c r="R422" s="17">
        <f>10*LOG10(Q422)</f>
        <v>57.125415153397448</v>
      </c>
      <c r="S422" s="18">
        <f>F422+N422-Kzt-H</f>
        <v>-8.132227709931982</v>
      </c>
      <c r="T422" s="17">
        <v>0.9</v>
      </c>
      <c r="U422" s="21">
        <f>T422*10^((S422-R422)/10)</f>
        <v>2.6821201142836905E-7</v>
      </c>
    </row>
    <row r="423" spans="1:21" x14ac:dyDescent="0.25">
      <c r="A423" s="24"/>
      <c r="B423" s="24"/>
      <c r="C423" s="17"/>
      <c r="D423" s="24"/>
      <c r="E423" s="24"/>
      <c r="F423" s="25"/>
      <c r="G423" s="1">
        <v>3425</v>
      </c>
      <c r="H423" s="2">
        <v>103.5</v>
      </c>
      <c r="I423" s="2">
        <v>32.9</v>
      </c>
      <c r="J423" s="2">
        <v>26</v>
      </c>
      <c r="K423" s="2">
        <f t="shared" si="53"/>
        <v>32.9</v>
      </c>
      <c r="L423" s="8">
        <f t="shared" si="57"/>
        <v>8.7096358995608061E-8</v>
      </c>
      <c r="M423" s="26"/>
      <c r="N423" s="17"/>
      <c r="O423" s="9">
        <f t="shared" si="55"/>
        <v>26</v>
      </c>
      <c r="P423" s="8">
        <f>D422/B422*10^(O423/10)</f>
        <v>62370.123386714622</v>
      </c>
      <c r="Q423" s="26"/>
      <c r="R423" s="17"/>
      <c r="S423" s="19"/>
      <c r="T423" s="17"/>
      <c r="U423" s="22"/>
    </row>
    <row r="424" spans="1:21" x14ac:dyDescent="0.25">
      <c r="A424" s="24"/>
      <c r="B424" s="24"/>
      <c r="C424" s="17"/>
      <c r="D424" s="24"/>
      <c r="E424" s="24"/>
      <c r="F424" s="25"/>
      <c r="G424" s="1">
        <v>4025</v>
      </c>
      <c r="H424" s="2">
        <v>103.6</v>
      </c>
      <c r="I424" s="2">
        <v>34.4</v>
      </c>
      <c r="J424" s="2">
        <v>22.7</v>
      </c>
      <c r="K424" s="2">
        <f t="shared" si="53"/>
        <v>34.4</v>
      </c>
      <c r="L424" s="8">
        <f t="shared" si="57"/>
        <v>1.2022644346174135E-7</v>
      </c>
      <c r="M424" s="26"/>
      <c r="N424" s="17"/>
      <c r="O424" s="9">
        <f t="shared" si="55"/>
        <v>22.7</v>
      </c>
      <c r="P424" s="8">
        <f>D422/B422*10^(O424/10)</f>
        <v>29172.698474384939</v>
      </c>
      <c r="Q424" s="26"/>
      <c r="R424" s="17"/>
      <c r="S424" s="19"/>
      <c r="T424" s="17"/>
      <c r="U424" s="22"/>
    </row>
    <row r="425" spans="1:21" x14ac:dyDescent="0.25">
      <c r="A425" s="24"/>
      <c r="B425" s="24"/>
      <c r="C425" s="17"/>
      <c r="D425" s="24"/>
      <c r="E425" s="24"/>
      <c r="F425" s="25"/>
      <c r="G425" s="1">
        <v>4625</v>
      </c>
      <c r="H425" s="2">
        <v>105.6</v>
      </c>
      <c r="I425" s="2">
        <v>27.7</v>
      </c>
      <c r="J425" s="2">
        <v>26.5</v>
      </c>
      <c r="K425" s="2">
        <f t="shared" si="53"/>
        <v>27.7</v>
      </c>
      <c r="L425" s="8">
        <f t="shared" si="57"/>
        <v>1.6218100973589297E-8</v>
      </c>
      <c r="M425" s="26"/>
      <c r="N425" s="17"/>
      <c r="O425" s="9">
        <f t="shared" si="55"/>
        <v>26.5</v>
      </c>
      <c r="P425" s="8">
        <f>D422/B422*10^(O425/10)</f>
        <v>69980.429436984254</v>
      </c>
      <c r="Q425" s="26"/>
      <c r="R425" s="17"/>
      <c r="S425" s="19"/>
      <c r="T425" s="17"/>
      <c r="U425" s="22"/>
    </row>
    <row r="426" spans="1:21" x14ac:dyDescent="0.25">
      <c r="A426" s="24"/>
      <c r="B426" s="24"/>
      <c r="C426" s="17"/>
      <c r="D426" s="24"/>
      <c r="E426" s="24"/>
      <c r="F426" s="25"/>
      <c r="G426" s="1">
        <v>5225</v>
      </c>
      <c r="H426" s="2">
        <v>103.5</v>
      </c>
      <c r="I426" s="2">
        <v>31.4</v>
      </c>
      <c r="J426" s="2">
        <v>27.3</v>
      </c>
      <c r="K426" s="2">
        <f t="shared" si="53"/>
        <v>31.4</v>
      </c>
      <c r="L426" s="8">
        <f t="shared" si="57"/>
        <v>6.1659500186148299E-8</v>
      </c>
      <c r="M426" s="26"/>
      <c r="N426" s="17"/>
      <c r="O426" s="9">
        <f t="shared" si="55"/>
        <v>27.3</v>
      </c>
      <c r="P426" s="8">
        <f>D422/B422*10^(O426/10)</f>
        <v>84134.981431339635</v>
      </c>
      <c r="Q426" s="26"/>
      <c r="R426" s="17"/>
      <c r="S426" s="19"/>
      <c r="T426" s="17"/>
      <c r="U426" s="22"/>
    </row>
    <row r="427" spans="1:21" x14ac:dyDescent="0.25">
      <c r="A427" s="24"/>
      <c r="B427" s="24"/>
      <c r="C427" s="17"/>
      <c r="D427" s="24"/>
      <c r="E427" s="24"/>
      <c r="F427" s="25"/>
      <c r="G427" s="1">
        <v>5625</v>
      </c>
      <c r="H427" s="2">
        <v>99.5</v>
      </c>
      <c r="I427" s="2">
        <v>30.4</v>
      </c>
      <c r="J427" s="2">
        <v>26.4</v>
      </c>
      <c r="K427" s="2">
        <f t="shared" si="53"/>
        <v>30.4</v>
      </c>
      <c r="L427" s="8">
        <f t="shared" si="57"/>
        <v>1.2302687708123817E-7</v>
      </c>
      <c r="M427" s="26"/>
      <c r="N427" s="17"/>
      <c r="O427" s="9">
        <f t="shared" si="55"/>
        <v>26.4</v>
      </c>
      <c r="P427" s="8">
        <f>D422/B422*10^(O427/10)</f>
        <v>68387.480384292634</v>
      </c>
      <c r="Q427" s="26"/>
      <c r="R427" s="17"/>
      <c r="S427" s="20"/>
      <c r="T427" s="17"/>
      <c r="U427" s="23"/>
    </row>
    <row r="428" spans="1:21" x14ac:dyDescent="0.25">
      <c r="A428" s="24">
        <v>8000</v>
      </c>
      <c r="B428" s="24">
        <v>3</v>
      </c>
      <c r="C428" s="17">
        <v>0.5</v>
      </c>
      <c r="D428" s="24">
        <v>943</v>
      </c>
      <c r="E428" s="24">
        <v>6</v>
      </c>
      <c r="F428" s="25">
        <v>54</v>
      </c>
      <c r="G428" s="1">
        <v>6025</v>
      </c>
      <c r="H428" s="2">
        <v>95</v>
      </c>
      <c r="I428" s="2">
        <v>31.3</v>
      </c>
      <c r="J428" s="2">
        <v>24.7</v>
      </c>
      <c r="K428" s="2">
        <f t="shared" si="53"/>
        <v>31.3</v>
      </c>
      <c r="L428" s="8">
        <f t="shared" si="57"/>
        <v>4.2657951880159212E-7</v>
      </c>
      <c r="M428" s="26">
        <f>SUM(L428:L433)</f>
        <v>6.0926188565509794E-6</v>
      </c>
      <c r="N428" s="17">
        <f>10*LOG10(M428/E428)</f>
        <v>-59.933472401032908</v>
      </c>
      <c r="O428" s="9">
        <f t="shared" si="55"/>
        <v>24.7</v>
      </c>
      <c r="P428" s="8">
        <f>D428/B428*10^(O428/10)</f>
        <v>92766.343358213431</v>
      </c>
      <c r="Q428" s="26">
        <f>SUM(P428:P433)</f>
        <v>736773.40311945858</v>
      </c>
      <c r="R428" s="17">
        <f>10*LOG10(Q428)</f>
        <v>58.673339398178086</v>
      </c>
      <c r="S428" s="18">
        <f>F428+N428-Kzt-H</f>
        <v>-5.9334724010329083</v>
      </c>
      <c r="T428" s="17">
        <v>0.7</v>
      </c>
      <c r="U428" s="21">
        <f>T428*10^((S428-R428)/10)</f>
        <v>2.4233540012287714E-7</v>
      </c>
    </row>
    <row r="429" spans="1:21" x14ac:dyDescent="0.25">
      <c r="A429" s="24"/>
      <c r="B429" s="24"/>
      <c r="C429" s="17"/>
      <c r="D429" s="24"/>
      <c r="E429" s="24"/>
      <c r="F429" s="25"/>
      <c r="G429" s="1">
        <v>7025</v>
      </c>
      <c r="H429" s="2">
        <v>94.8</v>
      </c>
      <c r="I429" s="2">
        <v>33.799999999999997</v>
      </c>
      <c r="J429" s="2">
        <v>25</v>
      </c>
      <c r="K429" s="2">
        <f t="shared" si="53"/>
        <v>33.799999999999997</v>
      </c>
      <c r="L429" s="8">
        <f t="shared" si="57"/>
        <v>7.9432823472428114E-7</v>
      </c>
      <c r="M429" s="26"/>
      <c r="N429" s="17"/>
      <c r="O429" s="9">
        <f t="shared" si="55"/>
        <v>25</v>
      </c>
      <c r="P429" s="8">
        <f>D428/B428*10^(O429/10)</f>
        <v>99400.927784626154</v>
      </c>
      <c r="Q429" s="26"/>
      <c r="R429" s="17"/>
      <c r="S429" s="19"/>
      <c r="T429" s="17"/>
      <c r="U429" s="22"/>
    </row>
    <row r="430" spans="1:21" x14ac:dyDescent="0.25">
      <c r="A430" s="24"/>
      <c r="B430" s="24"/>
      <c r="C430" s="17"/>
      <c r="D430" s="24"/>
      <c r="E430" s="24"/>
      <c r="F430" s="25"/>
      <c r="G430" s="1">
        <v>8025</v>
      </c>
      <c r="H430" s="2">
        <v>101.9</v>
      </c>
      <c r="I430" s="2">
        <v>29.5</v>
      </c>
      <c r="J430" s="2">
        <v>20.6</v>
      </c>
      <c r="K430" s="2">
        <f t="shared" si="53"/>
        <v>29.5</v>
      </c>
      <c r="L430" s="8">
        <f t="shared" si="57"/>
        <v>5.7543993733715586E-8</v>
      </c>
      <c r="M430" s="26"/>
      <c r="N430" s="17"/>
      <c r="O430" s="9">
        <f t="shared" si="55"/>
        <v>20.6</v>
      </c>
      <c r="P430" s="8">
        <f>D428/B428*10^(O430/10)</f>
        <v>36090.295502385372</v>
      </c>
      <c r="Q430" s="26"/>
      <c r="R430" s="17"/>
      <c r="S430" s="19"/>
      <c r="T430" s="17"/>
      <c r="U430" s="22"/>
    </row>
    <row r="431" spans="1:21" x14ac:dyDescent="0.25">
      <c r="A431" s="24"/>
      <c r="B431" s="24"/>
      <c r="C431" s="17"/>
      <c r="D431" s="24"/>
      <c r="E431" s="24"/>
      <c r="F431" s="25"/>
      <c r="G431" s="1">
        <v>9025</v>
      </c>
      <c r="H431" s="2">
        <v>93.2</v>
      </c>
      <c r="I431" s="2">
        <v>31.4</v>
      </c>
      <c r="J431" s="2">
        <v>26.2</v>
      </c>
      <c r="K431" s="2">
        <f t="shared" si="53"/>
        <v>31.4</v>
      </c>
      <c r="L431" s="8">
        <f t="shared" si="57"/>
        <v>6.606934480075939E-7</v>
      </c>
      <c r="M431" s="26"/>
      <c r="N431" s="17"/>
      <c r="O431" s="9">
        <f t="shared" si="55"/>
        <v>26.2</v>
      </c>
      <c r="P431" s="8">
        <f>D428/B428*10^(O431/10)</f>
        <v>131035.94287084219</v>
      </c>
      <c r="Q431" s="26"/>
      <c r="R431" s="17"/>
      <c r="S431" s="19"/>
      <c r="T431" s="17"/>
      <c r="U431" s="22"/>
    </row>
    <row r="432" spans="1:21" x14ac:dyDescent="0.25">
      <c r="A432" s="24"/>
      <c r="B432" s="24"/>
      <c r="C432" s="17"/>
      <c r="D432" s="24"/>
      <c r="E432" s="24"/>
      <c r="F432" s="25"/>
      <c r="G432" s="1">
        <v>10025</v>
      </c>
      <c r="H432" s="2">
        <v>88.3</v>
      </c>
      <c r="I432" s="2">
        <v>29.1</v>
      </c>
      <c r="J432" s="2">
        <v>27.2</v>
      </c>
      <c r="K432" s="2">
        <f t="shared" si="53"/>
        <v>29.1</v>
      </c>
      <c r="L432" s="8">
        <f t="shared" si="57"/>
        <v>1.2022644346174125E-6</v>
      </c>
      <c r="M432" s="26"/>
      <c r="N432" s="17"/>
      <c r="O432" s="9">
        <f t="shared" si="55"/>
        <v>27.2</v>
      </c>
      <c r="P432" s="8">
        <f>D428/B428*10^(O432/10)</f>
        <v>164964.47833851181</v>
      </c>
      <c r="Q432" s="26"/>
      <c r="R432" s="17"/>
      <c r="S432" s="19"/>
      <c r="T432" s="17"/>
      <c r="U432" s="22"/>
    </row>
    <row r="433" spans="1:21" x14ac:dyDescent="0.25">
      <c r="A433" s="24"/>
      <c r="B433" s="24"/>
      <c r="C433" s="17"/>
      <c r="D433" s="24"/>
      <c r="E433" s="24"/>
      <c r="F433" s="25"/>
      <c r="G433" s="1">
        <v>11025</v>
      </c>
      <c r="H433" s="2">
        <v>86</v>
      </c>
      <c r="I433" s="2">
        <v>30.7</v>
      </c>
      <c r="J433" s="2">
        <v>28.3</v>
      </c>
      <c r="K433" s="2">
        <f t="shared" si="53"/>
        <v>30.7</v>
      </c>
      <c r="L433" s="8">
        <f t="shared" si="57"/>
        <v>2.9512092266663841E-6</v>
      </c>
      <c r="M433" s="26"/>
      <c r="N433" s="17"/>
      <c r="O433" s="9">
        <f t="shared" si="55"/>
        <v>28.3</v>
      </c>
      <c r="P433" s="8">
        <f>D428/B428*10^(O433/10)</f>
        <v>212515.4152648797</v>
      </c>
      <c r="Q433" s="26"/>
      <c r="R433" s="17"/>
      <c r="S433" s="20"/>
      <c r="T433" s="17"/>
      <c r="U433" s="23"/>
    </row>
    <row r="434" spans="1:21" x14ac:dyDescent="0.25">
      <c r="A434" s="24" t="s">
        <v>20</v>
      </c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12">
        <f>U434</f>
        <v>5.3800394728497326E-2</v>
      </c>
      <c r="T434" s="2"/>
      <c r="U434" s="8">
        <f>0.8*SQRT(SUM(U400:U433))</f>
        <v>5.3800394728497326E-2</v>
      </c>
    </row>
    <row r="435" spans="1:21" x14ac:dyDescent="0.25">
      <c r="A435" s="27" t="s">
        <v>124</v>
      </c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9"/>
    </row>
    <row r="436" spans="1:21" x14ac:dyDescent="0.25">
      <c r="A436" s="24">
        <v>250</v>
      </c>
      <c r="B436" s="24">
        <v>3</v>
      </c>
      <c r="C436" s="17">
        <v>0.5</v>
      </c>
      <c r="D436" s="24">
        <v>38</v>
      </c>
      <c r="E436" s="24">
        <v>4</v>
      </c>
      <c r="F436" s="25">
        <v>84</v>
      </c>
      <c r="G436" s="1">
        <v>175</v>
      </c>
      <c r="H436" s="2">
        <v>84.8</v>
      </c>
      <c r="I436" s="2">
        <v>35.200000000000003</v>
      </c>
      <c r="J436" s="2">
        <v>33.700000000000003</v>
      </c>
      <c r="K436" s="2">
        <f>I436</f>
        <v>35.200000000000003</v>
      </c>
      <c r="L436" s="8">
        <f>10^((K436-H436)/10)</f>
        <v>1.0964781961431864E-5</v>
      </c>
      <c r="M436" s="26">
        <f>SUM(L436:L439)</f>
        <v>3.2823499091036783E-5</v>
      </c>
      <c r="N436" s="17">
        <f>10*LOG10(M436/E436)</f>
        <v>-50.858751149482728</v>
      </c>
      <c r="O436" s="9">
        <f>J436</f>
        <v>33.700000000000003</v>
      </c>
      <c r="P436" s="8">
        <f>D436/B436*10^(O436/10)</f>
        <v>29693.564994052365</v>
      </c>
      <c r="Q436" s="26">
        <f>SUM(P436:P439)</f>
        <v>172490.430345389</v>
      </c>
      <c r="R436" s="17">
        <f>10*LOG10(Q436)</f>
        <v>52.3676500570798</v>
      </c>
      <c r="S436" s="18">
        <f>F436+N436-Kzt-H</f>
        <v>33.141248850517272</v>
      </c>
      <c r="T436" s="17">
        <v>0.2</v>
      </c>
      <c r="U436" s="21">
        <f>T436*10^((S436-R436)/10)</f>
        <v>2.3899558322264414E-3</v>
      </c>
    </row>
    <row r="437" spans="1:21" x14ac:dyDescent="0.25">
      <c r="A437" s="24"/>
      <c r="B437" s="24"/>
      <c r="C437" s="17"/>
      <c r="D437" s="24"/>
      <c r="E437" s="24"/>
      <c r="F437" s="25"/>
      <c r="G437" s="1">
        <v>225</v>
      </c>
      <c r="H437" s="2">
        <v>90</v>
      </c>
      <c r="I437" s="2">
        <v>41.4</v>
      </c>
      <c r="J437" s="2">
        <v>36.1</v>
      </c>
      <c r="K437" s="2">
        <f t="shared" ref="K437:K469" si="58">I437</f>
        <v>41.4</v>
      </c>
      <c r="L437" s="8">
        <f t="shared" ref="L437:L438" si="59">10^((K437-H437)/10)</f>
        <v>1.3803842646028827E-5</v>
      </c>
      <c r="M437" s="26"/>
      <c r="N437" s="17"/>
      <c r="O437" s="9">
        <f t="shared" ref="O437:O469" si="60">J437</f>
        <v>36.1</v>
      </c>
      <c r="P437" s="8">
        <f>D436/B436*10^(O437/10)</f>
        <v>51601.501855187664</v>
      </c>
      <c r="Q437" s="26"/>
      <c r="R437" s="17"/>
      <c r="S437" s="19"/>
      <c r="T437" s="17"/>
      <c r="U437" s="22"/>
    </row>
    <row r="438" spans="1:21" x14ac:dyDescent="0.25">
      <c r="A438" s="24"/>
      <c r="B438" s="24"/>
      <c r="C438" s="17"/>
      <c r="D438" s="24"/>
      <c r="E438" s="24"/>
      <c r="F438" s="25"/>
      <c r="G438" s="1">
        <v>275</v>
      </c>
      <c r="H438" s="2">
        <v>92.2</v>
      </c>
      <c r="I438" s="2">
        <v>38.200000000000003</v>
      </c>
      <c r="J438" s="2">
        <v>37</v>
      </c>
      <c r="K438" s="2">
        <f t="shared" si="58"/>
        <v>38.200000000000003</v>
      </c>
      <c r="L438" s="8">
        <f t="shared" si="59"/>
        <v>3.9810717055349657E-6</v>
      </c>
      <c r="M438" s="26"/>
      <c r="N438" s="17"/>
      <c r="O438" s="9">
        <f t="shared" si="60"/>
        <v>37</v>
      </c>
      <c r="P438" s="8">
        <f>D436/B436*10^(O438/10)</f>
        <v>63483.71625945461</v>
      </c>
      <c r="Q438" s="26"/>
      <c r="R438" s="17"/>
      <c r="S438" s="19"/>
      <c r="T438" s="17"/>
      <c r="U438" s="22"/>
    </row>
    <row r="439" spans="1:21" x14ac:dyDescent="0.25">
      <c r="A439" s="24"/>
      <c r="B439" s="24"/>
      <c r="C439" s="17"/>
      <c r="D439" s="24"/>
      <c r="E439" s="24"/>
      <c r="F439" s="25"/>
      <c r="G439" s="1">
        <v>325</v>
      </c>
      <c r="H439" s="2">
        <v>93.3</v>
      </c>
      <c r="I439" s="2">
        <v>39.4</v>
      </c>
      <c r="J439" s="2">
        <v>33.4</v>
      </c>
      <c r="K439" s="2">
        <f t="shared" si="58"/>
        <v>39.4</v>
      </c>
      <c r="L439" s="8">
        <f>10^((K439-H439)/10)</f>
        <v>4.0738027780411272E-6</v>
      </c>
      <c r="M439" s="26"/>
      <c r="N439" s="17"/>
      <c r="O439" s="9">
        <f t="shared" si="60"/>
        <v>33.4</v>
      </c>
      <c r="P439" s="8">
        <f>D436/B436*10^(O439/10)</f>
        <v>27711.647236694334</v>
      </c>
      <c r="Q439" s="26"/>
      <c r="R439" s="17"/>
      <c r="S439" s="20"/>
      <c r="T439" s="17"/>
      <c r="U439" s="23"/>
    </row>
    <row r="440" spans="1:21" x14ac:dyDescent="0.25">
      <c r="A440" s="24">
        <v>500</v>
      </c>
      <c r="B440" s="24">
        <v>3</v>
      </c>
      <c r="C440" s="17">
        <v>0.5</v>
      </c>
      <c r="D440" s="24">
        <v>59</v>
      </c>
      <c r="E440" s="24">
        <v>6</v>
      </c>
      <c r="F440" s="25">
        <v>84</v>
      </c>
      <c r="G440" s="1">
        <v>375</v>
      </c>
      <c r="H440" s="2">
        <v>91.9</v>
      </c>
      <c r="I440" s="2">
        <v>36.6</v>
      </c>
      <c r="J440" s="2">
        <v>33.700000000000003</v>
      </c>
      <c r="K440" s="2">
        <f t="shared" si="58"/>
        <v>36.6</v>
      </c>
      <c r="L440" s="8">
        <f t="shared" ref="L440:L441" si="61">10^((K440-H440)/10)</f>
        <v>2.951209226666379E-6</v>
      </c>
      <c r="M440" s="26">
        <f>SUM(L440:L445)</f>
        <v>1.8153143822762995E-5</v>
      </c>
      <c r="N440" s="17">
        <f>10*LOG10(M440/E440)</f>
        <v>-55.191994019126859</v>
      </c>
      <c r="O440" s="9">
        <f t="shared" si="60"/>
        <v>33.700000000000003</v>
      </c>
      <c r="P440" s="8">
        <f>D440/B440*10^(O440/10)</f>
        <v>46103.166701291841</v>
      </c>
      <c r="Q440" s="26">
        <f>SUM(P440:P445)</f>
        <v>200875.69366607527</v>
      </c>
      <c r="R440" s="17">
        <f>10*LOG10(Q440)</f>
        <v>53.029273894843001</v>
      </c>
      <c r="S440" s="18">
        <f>F440+N440-Kzt-H</f>
        <v>28.808005980873141</v>
      </c>
      <c r="T440" s="17">
        <v>0.5</v>
      </c>
      <c r="U440" s="21">
        <f>T440*10^((S440-R440)/10)</f>
        <v>1.8916605764757565E-3</v>
      </c>
    </row>
    <row r="441" spans="1:21" x14ac:dyDescent="0.25">
      <c r="A441" s="24"/>
      <c r="B441" s="24"/>
      <c r="C441" s="17"/>
      <c r="D441" s="24"/>
      <c r="E441" s="24"/>
      <c r="F441" s="25"/>
      <c r="G441" s="1">
        <v>425</v>
      </c>
      <c r="H441" s="2">
        <v>88.1</v>
      </c>
      <c r="I441" s="2">
        <v>36.299999999999997</v>
      </c>
      <c r="J441" s="2">
        <v>32.200000000000003</v>
      </c>
      <c r="K441" s="2">
        <f t="shared" si="58"/>
        <v>36.299999999999997</v>
      </c>
      <c r="L441" s="8">
        <f t="shared" si="61"/>
        <v>6.6069344800759593E-6</v>
      </c>
      <c r="M441" s="26"/>
      <c r="N441" s="17"/>
      <c r="O441" s="9">
        <f t="shared" si="60"/>
        <v>32.200000000000003</v>
      </c>
      <c r="P441" s="8">
        <f>D440/B440*10^(O441/10)</f>
        <v>32638.542512938733</v>
      </c>
      <c r="Q441" s="26"/>
      <c r="R441" s="17"/>
      <c r="S441" s="19"/>
      <c r="T441" s="17"/>
      <c r="U441" s="22"/>
    </row>
    <row r="442" spans="1:21" x14ac:dyDescent="0.25">
      <c r="A442" s="24"/>
      <c r="B442" s="24"/>
      <c r="C442" s="17"/>
      <c r="D442" s="24"/>
      <c r="E442" s="24"/>
      <c r="F442" s="25"/>
      <c r="G442" s="1">
        <v>475</v>
      </c>
      <c r="H442" s="2">
        <v>90</v>
      </c>
      <c r="I442" s="2">
        <v>34.5</v>
      </c>
      <c r="J442" s="2">
        <v>34.299999999999997</v>
      </c>
      <c r="K442" s="2">
        <f t="shared" si="58"/>
        <v>34.5</v>
      </c>
      <c r="L442" s="8">
        <f>10^((K442-H442)/10)</f>
        <v>2.818382931264453E-6</v>
      </c>
      <c r="M442" s="26"/>
      <c r="N442" s="17"/>
      <c r="O442" s="9">
        <f t="shared" si="60"/>
        <v>34.299999999999997</v>
      </c>
      <c r="P442" s="8">
        <f>D440/B440*10^(O442/10)</f>
        <v>52933.517810562684</v>
      </c>
      <c r="Q442" s="26"/>
      <c r="R442" s="17"/>
      <c r="S442" s="19"/>
      <c r="T442" s="17"/>
      <c r="U442" s="22"/>
    </row>
    <row r="443" spans="1:21" x14ac:dyDescent="0.25">
      <c r="A443" s="24"/>
      <c r="B443" s="24"/>
      <c r="C443" s="17"/>
      <c r="D443" s="24"/>
      <c r="E443" s="24"/>
      <c r="F443" s="25"/>
      <c r="G443" s="1">
        <v>575</v>
      </c>
      <c r="H443" s="2">
        <v>97</v>
      </c>
      <c r="I443" s="2">
        <v>37.200000000000003</v>
      </c>
      <c r="J443" s="2">
        <v>31.6</v>
      </c>
      <c r="K443" s="2">
        <f t="shared" si="58"/>
        <v>37.200000000000003</v>
      </c>
      <c r="L443" s="8">
        <f t="shared" ref="L443:L469" si="62">10^((K443-H443)/10)</f>
        <v>1.0471285480508998E-6</v>
      </c>
      <c r="M443" s="26"/>
      <c r="N443" s="17"/>
      <c r="O443" s="9">
        <f t="shared" si="60"/>
        <v>31.6</v>
      </c>
      <c r="P443" s="8">
        <f>D440/B440*10^(O443/10)</f>
        <v>28426.982158003269</v>
      </c>
      <c r="Q443" s="26"/>
      <c r="R443" s="17"/>
      <c r="S443" s="19"/>
      <c r="T443" s="17"/>
      <c r="U443" s="22"/>
    </row>
    <row r="444" spans="1:21" x14ac:dyDescent="0.25">
      <c r="A444" s="24"/>
      <c r="B444" s="24"/>
      <c r="C444" s="17"/>
      <c r="D444" s="24"/>
      <c r="E444" s="24"/>
      <c r="F444" s="25"/>
      <c r="G444" s="1">
        <v>625</v>
      </c>
      <c r="H444" s="2">
        <v>92</v>
      </c>
      <c r="I444" s="2">
        <v>36.700000000000003</v>
      </c>
      <c r="J444" s="2">
        <v>29.4</v>
      </c>
      <c r="K444" s="2">
        <f t="shared" si="58"/>
        <v>36.700000000000003</v>
      </c>
      <c r="L444" s="8">
        <f t="shared" si="62"/>
        <v>2.9512092266663841E-6</v>
      </c>
      <c r="M444" s="26"/>
      <c r="N444" s="17"/>
      <c r="O444" s="9">
        <f t="shared" si="60"/>
        <v>29.4</v>
      </c>
      <c r="P444" s="8">
        <f>D440/B440*10^(O444/10)</f>
        <v>17128.950602469591</v>
      </c>
      <c r="Q444" s="26"/>
      <c r="R444" s="17"/>
      <c r="S444" s="19"/>
      <c r="T444" s="17"/>
      <c r="U444" s="22"/>
    </row>
    <row r="445" spans="1:21" x14ac:dyDescent="0.25">
      <c r="A445" s="24"/>
      <c r="B445" s="24"/>
      <c r="C445" s="17"/>
      <c r="D445" s="24"/>
      <c r="E445" s="24"/>
      <c r="F445" s="25"/>
      <c r="G445" s="1">
        <v>675</v>
      </c>
      <c r="H445" s="2">
        <v>94.5</v>
      </c>
      <c r="I445" s="2">
        <v>37</v>
      </c>
      <c r="J445" s="2">
        <v>30.8</v>
      </c>
      <c r="K445" s="2">
        <f t="shared" si="58"/>
        <v>37</v>
      </c>
      <c r="L445" s="8">
        <f t="shared" si="62"/>
        <v>1.7782794100389193E-6</v>
      </c>
      <c r="M445" s="26"/>
      <c r="N445" s="17"/>
      <c r="O445" s="9">
        <f t="shared" si="60"/>
        <v>30.8</v>
      </c>
      <c r="P445" s="8">
        <f>D440/B440*10^(O445/10)</f>
        <v>23644.53388080914</v>
      </c>
      <c r="Q445" s="26"/>
      <c r="R445" s="17"/>
      <c r="S445" s="20"/>
      <c r="T445" s="17"/>
      <c r="U445" s="23"/>
    </row>
    <row r="446" spans="1:21" x14ac:dyDescent="0.25">
      <c r="A446" s="24">
        <v>1000</v>
      </c>
      <c r="B446" s="24">
        <v>3</v>
      </c>
      <c r="C446" s="17">
        <v>0.5</v>
      </c>
      <c r="D446" s="24">
        <v>117</v>
      </c>
      <c r="E446" s="24">
        <v>6</v>
      </c>
      <c r="F446" s="25">
        <v>76</v>
      </c>
      <c r="G446" s="1">
        <v>875</v>
      </c>
      <c r="H446" s="2">
        <v>91.1</v>
      </c>
      <c r="I446" s="2">
        <v>36</v>
      </c>
      <c r="J446" s="2">
        <v>28.9</v>
      </c>
      <c r="K446" s="2">
        <f t="shared" si="58"/>
        <v>36</v>
      </c>
      <c r="L446" s="8">
        <f t="shared" si="62"/>
        <v>3.0902954325135885E-6</v>
      </c>
      <c r="M446" s="26">
        <f>SUM(L446:L451)</f>
        <v>5.0936742876558039E-6</v>
      </c>
      <c r="N446" s="17">
        <f>10*LOG10(M446/E446)</f>
        <v>-60.71120079602202</v>
      </c>
      <c r="O446" s="9">
        <f t="shared" si="60"/>
        <v>28.9</v>
      </c>
      <c r="P446" s="8">
        <f>D446/B446*10^(O446/10)</f>
        <v>30273.637548518975</v>
      </c>
      <c r="Q446" s="26">
        <f>SUM(P446:P451)</f>
        <v>219236.71802981436</v>
      </c>
      <c r="R446" s="17">
        <f>10*LOG10(Q446)</f>
        <v>53.409132920673308</v>
      </c>
      <c r="S446" s="18">
        <f>F446+N446-Kzt-H</f>
        <v>15.28879920397798</v>
      </c>
      <c r="T446" s="17">
        <v>0.8</v>
      </c>
      <c r="U446" s="21">
        <f>T446*10^((S446-R446)/10)</f>
        <v>1.2332655932229889E-4</v>
      </c>
    </row>
    <row r="447" spans="1:21" x14ac:dyDescent="0.25">
      <c r="A447" s="24"/>
      <c r="B447" s="24"/>
      <c r="C447" s="17"/>
      <c r="D447" s="24"/>
      <c r="E447" s="24"/>
      <c r="F447" s="25"/>
      <c r="G447" s="1">
        <v>975</v>
      </c>
      <c r="H447" s="2">
        <v>96.5</v>
      </c>
      <c r="I447" s="2">
        <v>35.6</v>
      </c>
      <c r="J447" s="2">
        <v>28.9</v>
      </c>
      <c r="K447" s="2">
        <f t="shared" si="58"/>
        <v>35.6</v>
      </c>
      <c r="L447" s="8">
        <f t="shared" si="62"/>
        <v>8.1283051616409889E-7</v>
      </c>
      <c r="M447" s="26"/>
      <c r="N447" s="17"/>
      <c r="O447" s="9">
        <f t="shared" si="60"/>
        <v>28.9</v>
      </c>
      <c r="P447" s="8">
        <f>D446/B446*10^(O447/10)</f>
        <v>30273.637548518975</v>
      </c>
      <c r="Q447" s="26"/>
      <c r="R447" s="17"/>
      <c r="S447" s="19"/>
      <c r="T447" s="17"/>
      <c r="U447" s="22"/>
    </row>
    <row r="448" spans="1:21" x14ac:dyDescent="0.25">
      <c r="A448" s="24"/>
      <c r="B448" s="24"/>
      <c r="C448" s="17"/>
      <c r="D448" s="24"/>
      <c r="E448" s="24"/>
      <c r="F448" s="25"/>
      <c r="G448" s="1">
        <v>1075</v>
      </c>
      <c r="H448" s="2">
        <v>94.6</v>
      </c>
      <c r="I448" s="2">
        <v>31.3</v>
      </c>
      <c r="J448" s="2">
        <v>28.4</v>
      </c>
      <c r="K448" s="2">
        <f t="shared" si="58"/>
        <v>31.3</v>
      </c>
      <c r="L448" s="8">
        <f t="shared" si="62"/>
        <v>4.6773514128719735E-7</v>
      </c>
      <c r="M448" s="26"/>
      <c r="N448" s="17"/>
      <c r="O448" s="9">
        <f t="shared" si="60"/>
        <v>28.4</v>
      </c>
      <c r="P448" s="8">
        <f>D446/B446*10^(O448/10)</f>
        <v>26981.407865838533</v>
      </c>
      <c r="Q448" s="26"/>
      <c r="R448" s="17"/>
      <c r="S448" s="19"/>
      <c r="T448" s="17"/>
      <c r="U448" s="22"/>
    </row>
    <row r="449" spans="1:21" x14ac:dyDescent="0.25">
      <c r="A449" s="24"/>
      <c r="B449" s="24"/>
      <c r="C449" s="17"/>
      <c r="D449" s="24"/>
      <c r="E449" s="24"/>
      <c r="F449" s="25"/>
      <c r="G449" s="1">
        <v>1175</v>
      </c>
      <c r="H449" s="2">
        <v>97.8</v>
      </c>
      <c r="I449" s="2">
        <v>33.799999999999997</v>
      </c>
      <c r="J449" s="2">
        <v>29.4</v>
      </c>
      <c r="K449" s="2">
        <f t="shared" si="58"/>
        <v>33.799999999999997</v>
      </c>
      <c r="L449" s="8">
        <f t="shared" si="62"/>
        <v>3.9810717055349618E-7</v>
      </c>
      <c r="M449" s="26"/>
      <c r="N449" s="17"/>
      <c r="O449" s="9">
        <f t="shared" si="60"/>
        <v>29.4</v>
      </c>
      <c r="P449" s="8">
        <f>D446/B446*10^(O449/10)</f>
        <v>33967.580008287157</v>
      </c>
      <c r="Q449" s="26"/>
      <c r="R449" s="17"/>
      <c r="S449" s="19"/>
      <c r="T449" s="17"/>
      <c r="U449" s="22"/>
    </row>
    <row r="450" spans="1:21" x14ac:dyDescent="0.25">
      <c r="A450" s="24"/>
      <c r="B450" s="24"/>
      <c r="C450" s="17"/>
      <c r="D450" s="24"/>
      <c r="E450" s="24"/>
      <c r="F450" s="25"/>
      <c r="G450" s="1">
        <v>1275</v>
      </c>
      <c r="H450" s="2">
        <v>100.1</v>
      </c>
      <c r="I450" s="2">
        <v>32.4</v>
      </c>
      <c r="J450" s="2">
        <v>26.2</v>
      </c>
      <c r="K450" s="2">
        <f t="shared" si="58"/>
        <v>32.4</v>
      </c>
      <c r="L450" s="8">
        <f t="shared" si="62"/>
        <v>1.6982436524617456E-7</v>
      </c>
      <c r="M450" s="26"/>
      <c r="N450" s="17"/>
      <c r="O450" s="9">
        <f t="shared" si="60"/>
        <v>26.2</v>
      </c>
      <c r="P450" s="8">
        <f>D446/B446*10^(O450/10)</f>
        <v>16257.905955343093</v>
      </c>
      <c r="Q450" s="26"/>
      <c r="R450" s="17"/>
      <c r="S450" s="19"/>
      <c r="T450" s="17"/>
      <c r="U450" s="22"/>
    </row>
    <row r="451" spans="1:21" x14ac:dyDescent="0.25">
      <c r="A451" s="24"/>
      <c r="B451" s="24"/>
      <c r="C451" s="17"/>
      <c r="D451" s="24"/>
      <c r="E451" s="24"/>
      <c r="F451" s="25"/>
      <c r="G451" s="1">
        <v>1375</v>
      </c>
      <c r="H451" s="2">
        <v>103</v>
      </c>
      <c r="I451" s="2">
        <v>34.9</v>
      </c>
      <c r="J451" s="2">
        <v>33.200000000000003</v>
      </c>
      <c r="K451" s="2">
        <f t="shared" si="58"/>
        <v>34.9</v>
      </c>
      <c r="L451" s="8">
        <f t="shared" si="62"/>
        <v>1.5488166189124805E-7</v>
      </c>
      <c r="M451" s="26"/>
      <c r="N451" s="17"/>
      <c r="O451" s="9">
        <f t="shared" si="60"/>
        <v>33.200000000000003</v>
      </c>
      <c r="P451" s="8">
        <f>D446/B446*10^(O451/10)</f>
        <v>81482.54910330764</v>
      </c>
      <c r="Q451" s="26"/>
      <c r="R451" s="17"/>
      <c r="S451" s="20"/>
      <c r="T451" s="17"/>
      <c r="U451" s="23"/>
    </row>
    <row r="452" spans="1:21" x14ac:dyDescent="0.25">
      <c r="A452" s="24">
        <v>2000</v>
      </c>
      <c r="B452" s="24">
        <v>3</v>
      </c>
      <c r="C452" s="17">
        <v>0.5</v>
      </c>
      <c r="D452" s="24">
        <v>234</v>
      </c>
      <c r="E452" s="24">
        <v>6</v>
      </c>
      <c r="F452" s="25">
        <v>68</v>
      </c>
      <c r="G452" s="1">
        <v>1425</v>
      </c>
      <c r="H452" s="2">
        <v>102.8</v>
      </c>
      <c r="I452" s="2">
        <v>35</v>
      </c>
      <c r="J452" s="2">
        <v>27.8</v>
      </c>
      <c r="K452" s="2">
        <f t="shared" si="58"/>
        <v>35</v>
      </c>
      <c r="L452" s="8">
        <f t="shared" si="62"/>
        <v>1.6595869074375618E-7</v>
      </c>
      <c r="M452" s="26">
        <f>SUM(L452:L457)</f>
        <v>1.054155851132025E-6</v>
      </c>
      <c r="N452" s="17">
        <f>10*LOG10(M452/E452)</f>
        <v>-67.552464267149503</v>
      </c>
      <c r="O452" s="9">
        <f t="shared" si="60"/>
        <v>27.8</v>
      </c>
      <c r="P452" s="8">
        <f>D452/B452*10^(O452/10)</f>
        <v>46999.647713799946</v>
      </c>
      <c r="Q452" s="26">
        <f>SUM(P452:P457)</f>
        <v>238116.69084851825</v>
      </c>
      <c r="R452" s="17">
        <f>10*LOG10(Q452)</f>
        <v>53.767898384513003</v>
      </c>
      <c r="S452" s="18">
        <f>F452+N452-Kzt-H</f>
        <v>0.44753573285049697</v>
      </c>
      <c r="T452" s="17">
        <v>1</v>
      </c>
      <c r="U452" s="21">
        <f>T452*10^((S452-R452)/10)</f>
        <v>4.6554721701669877E-6</v>
      </c>
    </row>
    <row r="453" spans="1:21" x14ac:dyDescent="0.25">
      <c r="A453" s="24"/>
      <c r="B453" s="24"/>
      <c r="C453" s="17"/>
      <c r="D453" s="24"/>
      <c r="E453" s="24"/>
      <c r="F453" s="25"/>
      <c r="G453" s="1">
        <v>1625</v>
      </c>
      <c r="H453" s="2">
        <v>104.1</v>
      </c>
      <c r="I453" s="2">
        <v>33.799999999999997</v>
      </c>
      <c r="J453" s="2">
        <v>27.8</v>
      </c>
      <c r="K453" s="2">
        <f t="shared" si="58"/>
        <v>33.799999999999997</v>
      </c>
      <c r="L453" s="8">
        <f t="shared" si="62"/>
        <v>9.3325430079699072E-8</v>
      </c>
      <c r="M453" s="26"/>
      <c r="N453" s="17"/>
      <c r="O453" s="9">
        <f t="shared" si="60"/>
        <v>27.8</v>
      </c>
      <c r="P453" s="8">
        <f>D452/B452*10^(O453/10)</f>
        <v>46999.647713799946</v>
      </c>
      <c r="Q453" s="26"/>
      <c r="R453" s="17"/>
      <c r="S453" s="19"/>
      <c r="T453" s="17"/>
      <c r="U453" s="22"/>
    </row>
    <row r="454" spans="1:21" x14ac:dyDescent="0.25">
      <c r="A454" s="24"/>
      <c r="B454" s="24"/>
      <c r="C454" s="17"/>
      <c r="D454" s="24"/>
      <c r="E454" s="24"/>
      <c r="F454" s="25"/>
      <c r="G454" s="1">
        <v>1825</v>
      </c>
      <c r="H454" s="2">
        <v>107.6</v>
      </c>
      <c r="I454" s="2">
        <v>35.9</v>
      </c>
      <c r="J454" s="2">
        <v>26.9</v>
      </c>
      <c r="K454" s="2">
        <f t="shared" si="58"/>
        <v>35.9</v>
      </c>
      <c r="L454" s="8">
        <f t="shared" si="62"/>
        <v>6.7608297539198249E-8</v>
      </c>
      <c r="M454" s="26"/>
      <c r="N454" s="17"/>
      <c r="O454" s="9">
        <f t="shared" si="60"/>
        <v>26.9</v>
      </c>
      <c r="P454" s="8">
        <f>D452/B452*10^(O454/10)</f>
        <v>38202.747910738806</v>
      </c>
      <c r="Q454" s="26"/>
      <c r="R454" s="17"/>
      <c r="S454" s="19"/>
      <c r="T454" s="17"/>
      <c r="U454" s="22"/>
    </row>
    <row r="455" spans="1:21" x14ac:dyDescent="0.25">
      <c r="A455" s="24"/>
      <c r="B455" s="24"/>
      <c r="C455" s="17"/>
      <c r="D455" s="24"/>
      <c r="E455" s="24"/>
      <c r="F455" s="25"/>
      <c r="G455" s="1">
        <v>2125</v>
      </c>
      <c r="H455" s="2">
        <v>104.2</v>
      </c>
      <c r="I455" s="2">
        <v>31.1</v>
      </c>
      <c r="J455" s="2">
        <v>24.7</v>
      </c>
      <c r="K455" s="2">
        <f t="shared" si="58"/>
        <v>31.1</v>
      </c>
      <c r="L455" s="8">
        <f t="shared" si="62"/>
        <v>4.8977881936844561E-8</v>
      </c>
      <c r="M455" s="26"/>
      <c r="N455" s="17"/>
      <c r="O455" s="9">
        <f t="shared" si="60"/>
        <v>24.7</v>
      </c>
      <c r="P455" s="8">
        <f>D452/B452*10^(O455/10)</f>
        <v>23019.431967997818</v>
      </c>
      <c r="Q455" s="26"/>
      <c r="R455" s="17"/>
      <c r="S455" s="19"/>
      <c r="T455" s="17"/>
      <c r="U455" s="22"/>
    </row>
    <row r="456" spans="1:21" x14ac:dyDescent="0.25">
      <c r="A456" s="24"/>
      <c r="B456" s="24"/>
      <c r="C456" s="17"/>
      <c r="D456" s="24"/>
      <c r="E456" s="24"/>
      <c r="F456" s="25"/>
      <c r="G456" s="1">
        <v>2425</v>
      </c>
      <c r="H456" s="2">
        <v>93.7</v>
      </c>
      <c r="I456" s="2">
        <v>31</v>
      </c>
      <c r="J456" s="2">
        <v>25.5</v>
      </c>
      <c r="K456" s="2">
        <f t="shared" si="58"/>
        <v>31</v>
      </c>
      <c r="L456" s="8">
        <f t="shared" si="62"/>
        <v>5.3703179637025159E-7</v>
      </c>
      <c r="M456" s="26"/>
      <c r="N456" s="17"/>
      <c r="O456" s="9">
        <f t="shared" si="60"/>
        <v>25.5</v>
      </c>
      <c r="P456" s="8">
        <f>D452/B452*10^(O456/10)</f>
        <v>27675.444360218902</v>
      </c>
      <c r="Q456" s="26"/>
      <c r="R456" s="17"/>
      <c r="S456" s="19"/>
      <c r="T456" s="17"/>
      <c r="U456" s="22"/>
    </row>
    <row r="457" spans="1:21" x14ac:dyDescent="0.25">
      <c r="A457" s="24"/>
      <c r="B457" s="24"/>
      <c r="C457" s="17"/>
      <c r="D457" s="24"/>
      <c r="E457" s="24"/>
      <c r="F457" s="25"/>
      <c r="G457" s="1">
        <v>2775</v>
      </c>
      <c r="H457" s="2">
        <v>100.2</v>
      </c>
      <c r="I457" s="2">
        <v>31.7</v>
      </c>
      <c r="J457" s="2">
        <v>28.5</v>
      </c>
      <c r="K457" s="2">
        <f t="shared" si="58"/>
        <v>31.7</v>
      </c>
      <c r="L457" s="8">
        <f t="shared" si="62"/>
        <v>1.4125375446227539E-7</v>
      </c>
      <c r="M457" s="26"/>
      <c r="N457" s="17"/>
      <c r="O457" s="9">
        <f t="shared" si="60"/>
        <v>28.5</v>
      </c>
      <c r="P457" s="8">
        <f>D452/B452*10^(O457/10)</f>
        <v>55219.771181962824</v>
      </c>
      <c r="Q457" s="26"/>
      <c r="R457" s="17"/>
      <c r="S457" s="20"/>
      <c r="T457" s="17"/>
      <c r="U457" s="23"/>
    </row>
    <row r="458" spans="1:21" x14ac:dyDescent="0.25">
      <c r="A458" s="24">
        <v>4000</v>
      </c>
      <c r="B458" s="24">
        <v>3</v>
      </c>
      <c r="C458" s="17">
        <v>0.5</v>
      </c>
      <c r="D458" s="24">
        <v>470</v>
      </c>
      <c r="E458" s="24">
        <v>6</v>
      </c>
      <c r="F458" s="25">
        <v>62</v>
      </c>
      <c r="G458" s="1">
        <v>2825</v>
      </c>
      <c r="H458" s="2">
        <v>99.4</v>
      </c>
      <c r="I458" s="2">
        <v>30.700000000000003</v>
      </c>
      <c r="J458" s="2">
        <v>30.6</v>
      </c>
      <c r="K458" s="2">
        <f t="shared" si="58"/>
        <v>30.700000000000003</v>
      </c>
      <c r="L458" s="8">
        <f t="shared" si="62"/>
        <v>1.3489628825916511E-7</v>
      </c>
      <c r="M458" s="26">
        <f>SUM(L458:L463)</f>
        <v>4.3360740323186037E-7</v>
      </c>
      <c r="N458" s="17">
        <f>10*LOG10(M458/E458)</f>
        <v>-71.410545618272579</v>
      </c>
      <c r="O458" s="9">
        <f t="shared" si="60"/>
        <v>30.6</v>
      </c>
      <c r="P458" s="8">
        <f>D458/B458*10^(O458/10)</f>
        <v>179877.40070117847</v>
      </c>
      <c r="Q458" s="26">
        <f>SUM(P458:P463)</f>
        <v>491291.28395107272</v>
      </c>
      <c r="R458" s="17">
        <f>10*LOG10(Q458)</f>
        <v>56.913390593403363</v>
      </c>
      <c r="S458" s="18">
        <f>F458+N458-Kzt-H</f>
        <v>-9.4105456182725788</v>
      </c>
      <c r="T458" s="17">
        <v>0.9</v>
      </c>
      <c r="U458" s="21">
        <f>T458*10^((S458-R458)/10)</f>
        <v>2.0982096895434262E-7</v>
      </c>
    </row>
    <row r="459" spans="1:21" x14ac:dyDescent="0.25">
      <c r="A459" s="24"/>
      <c r="B459" s="24"/>
      <c r="C459" s="17"/>
      <c r="D459" s="24"/>
      <c r="E459" s="24"/>
      <c r="F459" s="25"/>
      <c r="G459" s="1">
        <v>3425</v>
      </c>
      <c r="H459" s="2">
        <v>103.5</v>
      </c>
      <c r="I459" s="2">
        <v>32.4</v>
      </c>
      <c r="J459" s="2">
        <v>28.1</v>
      </c>
      <c r="K459" s="2">
        <f t="shared" si="58"/>
        <v>32.4</v>
      </c>
      <c r="L459" s="8">
        <f t="shared" si="62"/>
        <v>7.762471166286921E-8</v>
      </c>
      <c r="M459" s="26"/>
      <c r="N459" s="17"/>
      <c r="O459" s="9">
        <f t="shared" si="60"/>
        <v>28.1</v>
      </c>
      <c r="P459" s="8">
        <f>D458/B458*10^(O459/10)</f>
        <v>101152.49588209609</v>
      </c>
      <c r="Q459" s="26"/>
      <c r="R459" s="17"/>
      <c r="S459" s="19"/>
      <c r="T459" s="17"/>
      <c r="U459" s="22"/>
    </row>
    <row r="460" spans="1:21" x14ac:dyDescent="0.25">
      <c r="A460" s="24"/>
      <c r="B460" s="24"/>
      <c r="C460" s="17"/>
      <c r="D460" s="24"/>
      <c r="E460" s="24"/>
      <c r="F460" s="25"/>
      <c r="G460" s="1">
        <v>4025</v>
      </c>
      <c r="H460" s="2">
        <v>103.6</v>
      </c>
      <c r="I460" s="2">
        <v>28.2</v>
      </c>
      <c r="J460" s="2">
        <v>26.4</v>
      </c>
      <c r="K460" s="2">
        <f t="shared" si="58"/>
        <v>28.2</v>
      </c>
      <c r="L460" s="8">
        <f t="shared" si="62"/>
        <v>2.884031503126609E-8</v>
      </c>
      <c r="M460" s="26"/>
      <c r="N460" s="17"/>
      <c r="O460" s="9">
        <f t="shared" si="60"/>
        <v>26.4</v>
      </c>
      <c r="P460" s="8">
        <f>D458/B458*10^(O460/10)</f>
        <v>68387.480384292634</v>
      </c>
      <c r="Q460" s="26"/>
      <c r="R460" s="17"/>
      <c r="S460" s="19"/>
      <c r="T460" s="17"/>
      <c r="U460" s="22"/>
    </row>
    <row r="461" spans="1:21" x14ac:dyDescent="0.25">
      <c r="A461" s="24"/>
      <c r="B461" s="24"/>
      <c r="C461" s="17"/>
      <c r="D461" s="24"/>
      <c r="E461" s="24"/>
      <c r="F461" s="25"/>
      <c r="G461" s="1">
        <v>4625</v>
      </c>
      <c r="H461" s="2">
        <v>105.6</v>
      </c>
      <c r="I461" s="2">
        <v>28.8</v>
      </c>
      <c r="J461" s="2">
        <v>26.1</v>
      </c>
      <c r="K461" s="2">
        <f t="shared" si="58"/>
        <v>28.8</v>
      </c>
      <c r="L461" s="8">
        <f t="shared" si="62"/>
        <v>2.0892961308540368E-8</v>
      </c>
      <c r="M461" s="26"/>
      <c r="N461" s="17"/>
      <c r="O461" s="9">
        <f t="shared" si="60"/>
        <v>26.1</v>
      </c>
      <c r="P461" s="8">
        <f>D458/B458*10^(O461/10)</f>
        <v>63822.910189311093</v>
      </c>
      <c r="Q461" s="26"/>
      <c r="R461" s="17"/>
      <c r="S461" s="19"/>
      <c r="T461" s="17"/>
      <c r="U461" s="22"/>
    </row>
    <row r="462" spans="1:21" x14ac:dyDescent="0.25">
      <c r="A462" s="24"/>
      <c r="B462" s="24"/>
      <c r="C462" s="17"/>
      <c r="D462" s="24"/>
      <c r="E462" s="24"/>
      <c r="F462" s="25"/>
      <c r="G462" s="1">
        <v>5225</v>
      </c>
      <c r="H462" s="2">
        <v>103.5</v>
      </c>
      <c r="I462" s="2">
        <v>27.2</v>
      </c>
      <c r="J462" s="2">
        <v>22.6</v>
      </c>
      <c r="K462" s="2">
        <f t="shared" si="58"/>
        <v>27.2</v>
      </c>
      <c r="L462" s="8">
        <f t="shared" si="62"/>
        <v>2.3442288153199181E-8</v>
      </c>
      <c r="M462" s="26"/>
      <c r="N462" s="17"/>
      <c r="O462" s="9">
        <f t="shared" si="60"/>
        <v>22.6</v>
      </c>
      <c r="P462" s="8">
        <f>D458/B458*10^(O462/10)</f>
        <v>28508.646784889759</v>
      </c>
      <c r="Q462" s="26"/>
      <c r="R462" s="17"/>
      <c r="S462" s="19"/>
      <c r="T462" s="17"/>
      <c r="U462" s="22"/>
    </row>
    <row r="463" spans="1:21" x14ac:dyDescent="0.25">
      <c r="A463" s="24"/>
      <c r="B463" s="24"/>
      <c r="C463" s="17"/>
      <c r="D463" s="24"/>
      <c r="E463" s="24"/>
      <c r="F463" s="25"/>
      <c r="G463" s="1">
        <v>5625</v>
      </c>
      <c r="H463" s="2">
        <v>99.5</v>
      </c>
      <c r="I463" s="2">
        <v>31.2</v>
      </c>
      <c r="J463" s="2">
        <v>25</v>
      </c>
      <c r="K463" s="2">
        <f t="shared" si="58"/>
        <v>31.2</v>
      </c>
      <c r="L463" s="8">
        <f t="shared" si="62"/>
        <v>1.479108388168204E-7</v>
      </c>
      <c r="M463" s="26"/>
      <c r="N463" s="17"/>
      <c r="O463" s="9">
        <f t="shared" si="60"/>
        <v>25</v>
      </c>
      <c r="P463" s="8">
        <f>D458/B458*10^(O463/10)</f>
        <v>49542.350009304653</v>
      </c>
      <c r="Q463" s="26"/>
      <c r="R463" s="17"/>
      <c r="S463" s="20"/>
      <c r="T463" s="17"/>
      <c r="U463" s="23"/>
    </row>
    <row r="464" spans="1:21" x14ac:dyDescent="0.25">
      <c r="A464" s="24">
        <v>8000</v>
      </c>
      <c r="B464" s="24">
        <v>3</v>
      </c>
      <c r="C464" s="17">
        <v>0.5</v>
      </c>
      <c r="D464" s="24">
        <v>943</v>
      </c>
      <c r="E464" s="24">
        <v>6</v>
      </c>
      <c r="F464" s="25">
        <v>54</v>
      </c>
      <c r="G464" s="1">
        <v>6025</v>
      </c>
      <c r="H464" s="2">
        <v>95</v>
      </c>
      <c r="I464" s="2">
        <v>35.200000000000003</v>
      </c>
      <c r="J464" s="2">
        <v>22.9</v>
      </c>
      <c r="K464" s="2">
        <f t="shared" si="58"/>
        <v>35.200000000000003</v>
      </c>
      <c r="L464" s="8">
        <f t="shared" si="62"/>
        <v>1.0471285480508998E-6</v>
      </c>
      <c r="M464" s="26">
        <f>SUM(L464:L469)</f>
        <v>7.5009728997641329E-6</v>
      </c>
      <c r="N464" s="17">
        <f>10*LOG10(M464/E464)</f>
        <v>-59.030336539790881</v>
      </c>
      <c r="O464" s="9">
        <f t="shared" si="60"/>
        <v>22.9</v>
      </c>
      <c r="P464" s="8">
        <f>D464/B464*10^(O464/10)</f>
        <v>61290.115252394571</v>
      </c>
      <c r="Q464" s="26">
        <f>SUM(P464:P469)</f>
        <v>671669.51206558628</v>
      </c>
      <c r="R464" s="17">
        <f>10*LOG10(Q464)</f>
        <v>58.271556355665453</v>
      </c>
      <c r="S464" s="18">
        <f>F464+N464-Kzt-H</f>
        <v>-5.0303365397908806</v>
      </c>
      <c r="T464" s="17">
        <v>0.7</v>
      </c>
      <c r="U464" s="21">
        <f>T464*10^((S464-R464)/10)</f>
        <v>3.2727192461231211E-7</v>
      </c>
    </row>
    <row r="465" spans="1:21" x14ac:dyDescent="0.25">
      <c r="A465" s="24"/>
      <c r="B465" s="24"/>
      <c r="C465" s="17"/>
      <c r="D465" s="24"/>
      <c r="E465" s="24"/>
      <c r="F465" s="25"/>
      <c r="G465" s="1">
        <v>7025</v>
      </c>
      <c r="H465" s="2">
        <v>94.8</v>
      </c>
      <c r="I465" s="2">
        <v>30.3</v>
      </c>
      <c r="J465" s="2">
        <v>25.7</v>
      </c>
      <c r="K465" s="2">
        <f t="shared" si="58"/>
        <v>30.3</v>
      </c>
      <c r="L465" s="8">
        <f t="shared" si="62"/>
        <v>3.5481338923357463E-7</v>
      </c>
      <c r="M465" s="26"/>
      <c r="N465" s="17"/>
      <c r="O465" s="9">
        <f t="shared" si="60"/>
        <v>25.7</v>
      </c>
      <c r="P465" s="8">
        <f>D464/B464*10^(O465/10)</f>
        <v>116785.90701287793</v>
      </c>
      <c r="Q465" s="26"/>
      <c r="R465" s="17"/>
      <c r="S465" s="19"/>
      <c r="T465" s="17"/>
      <c r="U465" s="22"/>
    </row>
    <row r="466" spans="1:21" x14ac:dyDescent="0.25">
      <c r="A466" s="24"/>
      <c r="B466" s="24"/>
      <c r="C466" s="17"/>
      <c r="D466" s="24"/>
      <c r="E466" s="24"/>
      <c r="F466" s="25"/>
      <c r="G466" s="1">
        <v>8025</v>
      </c>
      <c r="H466" s="2">
        <v>101.9</v>
      </c>
      <c r="I466" s="2">
        <v>30.8</v>
      </c>
      <c r="J466" s="2">
        <v>27.7</v>
      </c>
      <c r="K466" s="2">
        <f t="shared" si="58"/>
        <v>30.8</v>
      </c>
      <c r="L466" s="8">
        <f t="shared" si="62"/>
        <v>7.7624711662868932E-8</v>
      </c>
      <c r="M466" s="26"/>
      <c r="N466" s="17"/>
      <c r="O466" s="9">
        <f t="shared" si="60"/>
        <v>27.7</v>
      </c>
      <c r="P466" s="8">
        <f>D464/B464*10^(O466/10)</f>
        <v>185093.18900010697</v>
      </c>
      <c r="Q466" s="26"/>
      <c r="R466" s="17"/>
      <c r="S466" s="19"/>
      <c r="T466" s="17"/>
      <c r="U466" s="22"/>
    </row>
    <row r="467" spans="1:21" x14ac:dyDescent="0.25">
      <c r="A467" s="24"/>
      <c r="B467" s="24"/>
      <c r="C467" s="17"/>
      <c r="D467" s="24"/>
      <c r="E467" s="24"/>
      <c r="F467" s="25"/>
      <c r="G467" s="1">
        <v>9025</v>
      </c>
      <c r="H467" s="2">
        <v>93.2</v>
      </c>
      <c r="I467" s="2">
        <v>33.4</v>
      </c>
      <c r="J467" s="2">
        <v>23.3</v>
      </c>
      <c r="K467" s="2">
        <f t="shared" si="58"/>
        <v>33.4</v>
      </c>
      <c r="L467" s="8">
        <f t="shared" si="62"/>
        <v>1.0471285480508979E-6</v>
      </c>
      <c r="M467" s="26"/>
      <c r="N467" s="17"/>
      <c r="O467" s="9">
        <f t="shared" si="60"/>
        <v>23.3</v>
      </c>
      <c r="P467" s="8">
        <f>D464/B464*10^(O467/10)</f>
        <v>67203.275013353545</v>
      </c>
      <c r="Q467" s="26"/>
      <c r="R467" s="17"/>
      <c r="S467" s="19"/>
      <c r="T467" s="17"/>
      <c r="U467" s="22"/>
    </row>
    <row r="468" spans="1:21" x14ac:dyDescent="0.25">
      <c r="A468" s="24"/>
      <c r="B468" s="24"/>
      <c r="C468" s="17"/>
      <c r="D468" s="24"/>
      <c r="E468" s="24"/>
      <c r="F468" s="25"/>
      <c r="G468" s="1">
        <v>10025</v>
      </c>
      <c r="H468" s="2">
        <v>88.3</v>
      </c>
      <c r="I468" s="2">
        <v>34</v>
      </c>
      <c r="J468" s="2">
        <v>25.2</v>
      </c>
      <c r="K468" s="2">
        <f t="shared" si="58"/>
        <v>34</v>
      </c>
      <c r="L468" s="8">
        <f t="shared" si="62"/>
        <v>3.7153522909717272E-6</v>
      </c>
      <c r="M468" s="26"/>
      <c r="N468" s="17"/>
      <c r="O468" s="9">
        <f t="shared" si="60"/>
        <v>25.2</v>
      </c>
      <c r="P468" s="8">
        <f>D464/B464*10^(O468/10)</f>
        <v>104085.54918602789</v>
      </c>
      <c r="Q468" s="26"/>
      <c r="R468" s="17"/>
      <c r="S468" s="19"/>
      <c r="T468" s="17"/>
      <c r="U468" s="22"/>
    </row>
    <row r="469" spans="1:21" x14ac:dyDescent="0.25">
      <c r="A469" s="24"/>
      <c r="B469" s="24"/>
      <c r="C469" s="17"/>
      <c r="D469" s="24"/>
      <c r="E469" s="24"/>
      <c r="F469" s="25"/>
      <c r="G469" s="1">
        <v>11025</v>
      </c>
      <c r="H469" s="2">
        <v>86</v>
      </c>
      <c r="I469" s="2">
        <v>27</v>
      </c>
      <c r="J469" s="2">
        <v>26.4</v>
      </c>
      <c r="K469" s="2">
        <f t="shared" si="58"/>
        <v>27</v>
      </c>
      <c r="L469" s="8">
        <f t="shared" si="62"/>
        <v>1.2589254117941642E-6</v>
      </c>
      <c r="M469" s="26"/>
      <c r="N469" s="17"/>
      <c r="O469" s="9">
        <f t="shared" si="60"/>
        <v>26.4</v>
      </c>
      <c r="P469" s="8">
        <f>D464/B464*10^(O469/10)</f>
        <v>137211.47660082544</v>
      </c>
      <c r="Q469" s="26"/>
      <c r="R469" s="17"/>
      <c r="S469" s="20"/>
      <c r="T469" s="17"/>
      <c r="U469" s="23"/>
    </row>
    <row r="470" spans="1:21" x14ac:dyDescent="0.25">
      <c r="A470" s="24" t="s">
        <v>20</v>
      </c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12">
        <f>U470</f>
        <v>5.3127081052665295E-2</v>
      </c>
      <c r="T470" s="2"/>
      <c r="U470" s="8">
        <f>0.8*SQRT(SUM(U436:U469))</f>
        <v>5.3127081052665295E-2</v>
      </c>
    </row>
    <row r="471" spans="1:21" x14ac:dyDescent="0.25">
      <c r="A471" s="27" t="s">
        <v>125</v>
      </c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9"/>
    </row>
    <row r="472" spans="1:21" x14ac:dyDescent="0.25">
      <c r="A472" s="24">
        <v>250</v>
      </c>
      <c r="B472" s="24">
        <v>3</v>
      </c>
      <c r="C472" s="17">
        <v>0.5</v>
      </c>
      <c r="D472" s="24">
        <v>38</v>
      </c>
      <c r="E472" s="24">
        <v>4</v>
      </c>
      <c r="F472" s="25">
        <v>84</v>
      </c>
      <c r="G472" s="1">
        <v>175</v>
      </c>
      <c r="H472" s="2">
        <v>84.8</v>
      </c>
      <c r="I472" s="2">
        <v>40.4</v>
      </c>
      <c r="J472" s="2">
        <v>34.6</v>
      </c>
      <c r="K472" s="2">
        <f>I472</f>
        <v>40.4</v>
      </c>
      <c r="L472" s="8">
        <f>10^((K472-H472)/10)</f>
        <v>3.6307805477010126E-5</v>
      </c>
      <c r="M472" s="26">
        <f>SUM(L472:L475)</f>
        <v>5.0921051294558908E-5</v>
      </c>
      <c r="N472" s="17">
        <f>10*LOG10(M472/E472)</f>
        <v>-48.951626299929927</v>
      </c>
      <c r="O472" s="9">
        <f>J472</f>
        <v>34.6</v>
      </c>
      <c r="P472" s="8">
        <f>D472/B472*10^(O472/10)</f>
        <v>36531.065706270361</v>
      </c>
      <c r="Q472" s="26">
        <f>SUM(P472:P475)</f>
        <v>119140.38200256687</v>
      </c>
      <c r="R472" s="17">
        <f>10*LOG10(Q472)</f>
        <v>50.760589882535172</v>
      </c>
      <c r="S472" s="18">
        <f>F472+N472-Kzt-H</f>
        <v>35.048373700070073</v>
      </c>
      <c r="T472" s="17">
        <v>0.2</v>
      </c>
      <c r="U472" s="21">
        <f>T472*10^((S472-R472)/10)</f>
        <v>5.3679489554704449E-3</v>
      </c>
    </row>
    <row r="473" spans="1:21" x14ac:dyDescent="0.25">
      <c r="A473" s="24"/>
      <c r="B473" s="24"/>
      <c r="C473" s="17"/>
      <c r="D473" s="24"/>
      <c r="E473" s="24"/>
      <c r="F473" s="25"/>
      <c r="G473" s="1">
        <v>225</v>
      </c>
      <c r="H473" s="2">
        <v>90</v>
      </c>
      <c r="I473" s="2">
        <v>38.6</v>
      </c>
      <c r="J473" s="2">
        <v>34.5</v>
      </c>
      <c r="K473" s="2">
        <f t="shared" ref="K473:K505" si="63">I473</f>
        <v>38.6</v>
      </c>
      <c r="L473" s="8">
        <f t="shared" ref="L473:L474" si="64">10^((K473-H473)/10)</f>
        <v>7.2443596007498957E-6</v>
      </c>
      <c r="M473" s="26"/>
      <c r="N473" s="17"/>
      <c r="O473" s="9">
        <f t="shared" ref="O473:O505" si="65">J473</f>
        <v>34.5</v>
      </c>
      <c r="P473" s="8">
        <f>D472/B472*10^(O473/10)</f>
        <v>35699.517129349777</v>
      </c>
      <c r="Q473" s="26"/>
      <c r="R473" s="17"/>
      <c r="S473" s="19"/>
      <c r="T473" s="17"/>
      <c r="U473" s="22"/>
    </row>
    <row r="474" spans="1:21" x14ac:dyDescent="0.25">
      <c r="A474" s="24"/>
      <c r="B474" s="24"/>
      <c r="C474" s="17"/>
      <c r="D474" s="24"/>
      <c r="E474" s="24"/>
      <c r="F474" s="25"/>
      <c r="G474" s="1">
        <v>275</v>
      </c>
      <c r="H474" s="2">
        <v>92.2</v>
      </c>
      <c r="I474" s="2">
        <v>36.5</v>
      </c>
      <c r="J474" s="2">
        <v>31.5</v>
      </c>
      <c r="K474" s="2">
        <f t="shared" si="63"/>
        <v>36.5</v>
      </c>
      <c r="L474" s="8">
        <f t="shared" si="64"/>
        <v>2.6915348039269108E-6</v>
      </c>
      <c r="M474" s="26"/>
      <c r="N474" s="17"/>
      <c r="O474" s="9">
        <f t="shared" si="65"/>
        <v>31.5</v>
      </c>
      <c r="P474" s="8">
        <f>D472/B472*10^(O474/10)</f>
        <v>17892.142231888221</v>
      </c>
      <c r="Q474" s="26"/>
      <c r="R474" s="17"/>
      <c r="S474" s="19"/>
      <c r="T474" s="17"/>
      <c r="U474" s="22"/>
    </row>
    <row r="475" spans="1:21" x14ac:dyDescent="0.25">
      <c r="A475" s="24"/>
      <c r="B475" s="24"/>
      <c r="C475" s="17"/>
      <c r="D475" s="24"/>
      <c r="E475" s="24"/>
      <c r="F475" s="25"/>
      <c r="G475" s="1">
        <v>325</v>
      </c>
      <c r="H475" s="2">
        <v>93.3</v>
      </c>
      <c r="I475" s="2">
        <v>40</v>
      </c>
      <c r="J475" s="2">
        <v>33.6</v>
      </c>
      <c r="K475" s="2">
        <f t="shared" si="63"/>
        <v>40</v>
      </c>
      <c r="L475" s="8">
        <f>10^((K475-H475)/10)</f>
        <v>4.6773514128719787E-6</v>
      </c>
      <c r="M475" s="26"/>
      <c r="N475" s="17"/>
      <c r="O475" s="9">
        <f t="shared" si="65"/>
        <v>33.6</v>
      </c>
      <c r="P475" s="8">
        <f>D472/B472*10^(O475/10)</f>
        <v>29017.656935058505</v>
      </c>
      <c r="Q475" s="26"/>
      <c r="R475" s="17"/>
      <c r="S475" s="20"/>
      <c r="T475" s="17"/>
      <c r="U475" s="23"/>
    </row>
    <row r="476" spans="1:21" x14ac:dyDescent="0.25">
      <c r="A476" s="24">
        <v>500</v>
      </c>
      <c r="B476" s="24">
        <v>3</v>
      </c>
      <c r="C476" s="17">
        <v>0.5</v>
      </c>
      <c r="D476" s="24">
        <v>59</v>
      </c>
      <c r="E476" s="24">
        <v>6</v>
      </c>
      <c r="F476" s="25">
        <v>84</v>
      </c>
      <c r="G476" s="1">
        <v>375</v>
      </c>
      <c r="H476" s="2">
        <v>91.9</v>
      </c>
      <c r="I476" s="2">
        <v>35.6</v>
      </c>
      <c r="J476" s="2">
        <v>35.1</v>
      </c>
      <c r="K476" s="2">
        <f t="shared" si="63"/>
        <v>35.6</v>
      </c>
      <c r="L476" s="8">
        <f t="shared" ref="L476:L477" si="66">10^((K476-H476)/10)</f>
        <v>2.344228815319915E-6</v>
      </c>
      <c r="M476" s="26">
        <f>SUM(L476:L481)</f>
        <v>4.3700922896348968E-5</v>
      </c>
      <c r="N476" s="17">
        <f>10*LOG10(M476/E476)</f>
        <v>-51.376606416841717</v>
      </c>
      <c r="O476" s="9">
        <f t="shared" si="65"/>
        <v>35.1</v>
      </c>
      <c r="P476" s="8">
        <f>D476/B476*10^(O476/10)</f>
        <v>63640.085862827029</v>
      </c>
      <c r="Q476" s="26">
        <f>SUM(P476:P481)</f>
        <v>299741.17340022244</v>
      </c>
      <c r="R476" s="17">
        <f>10*LOG10(Q476)</f>
        <v>54.767464031136122</v>
      </c>
      <c r="S476" s="18">
        <f>F476+N476-Kzt-H</f>
        <v>32.623393583158283</v>
      </c>
      <c r="T476" s="17">
        <v>0.5</v>
      </c>
      <c r="U476" s="21">
        <f>T476*10^((S476-R476)/10)</f>
        <v>3.0518484226060199E-3</v>
      </c>
    </row>
    <row r="477" spans="1:21" x14ac:dyDescent="0.25">
      <c r="A477" s="24"/>
      <c r="B477" s="24"/>
      <c r="C477" s="17"/>
      <c r="D477" s="24"/>
      <c r="E477" s="24"/>
      <c r="F477" s="25"/>
      <c r="G477" s="1">
        <v>425</v>
      </c>
      <c r="H477" s="2">
        <v>88.1</v>
      </c>
      <c r="I477" s="2">
        <v>42.5</v>
      </c>
      <c r="J477" s="2">
        <v>29.7</v>
      </c>
      <c r="K477" s="2">
        <f t="shared" si="63"/>
        <v>42.5</v>
      </c>
      <c r="L477" s="8">
        <f t="shared" si="66"/>
        <v>2.754228703338164E-5</v>
      </c>
      <c r="M477" s="26"/>
      <c r="N477" s="17"/>
      <c r="O477" s="9">
        <f t="shared" si="65"/>
        <v>29.7</v>
      </c>
      <c r="P477" s="8">
        <f>D476/B476*10^(O477/10)</f>
        <v>18354.001249007491</v>
      </c>
      <c r="Q477" s="26"/>
      <c r="R477" s="17"/>
      <c r="S477" s="19"/>
      <c r="T477" s="17"/>
      <c r="U477" s="22"/>
    </row>
    <row r="478" spans="1:21" x14ac:dyDescent="0.25">
      <c r="A478" s="24"/>
      <c r="B478" s="24"/>
      <c r="C478" s="17"/>
      <c r="D478" s="24"/>
      <c r="E478" s="24"/>
      <c r="F478" s="25"/>
      <c r="G478" s="1">
        <v>475</v>
      </c>
      <c r="H478" s="2">
        <v>90</v>
      </c>
      <c r="I478" s="2">
        <v>38</v>
      </c>
      <c r="J478" s="2">
        <v>36.1</v>
      </c>
      <c r="K478" s="2">
        <f t="shared" si="63"/>
        <v>38</v>
      </c>
      <c r="L478" s="8">
        <f>10^((K478-H478)/10)</f>
        <v>6.3095734448019212E-6</v>
      </c>
      <c r="M478" s="26"/>
      <c r="N478" s="17"/>
      <c r="O478" s="9">
        <f t="shared" si="65"/>
        <v>36.1</v>
      </c>
      <c r="P478" s="8">
        <f>D476/B476*10^(O478/10)</f>
        <v>80118.121301475592</v>
      </c>
      <c r="Q478" s="26"/>
      <c r="R478" s="17"/>
      <c r="S478" s="19"/>
      <c r="T478" s="17"/>
      <c r="U478" s="22"/>
    </row>
    <row r="479" spans="1:21" x14ac:dyDescent="0.25">
      <c r="A479" s="24"/>
      <c r="B479" s="24"/>
      <c r="C479" s="17"/>
      <c r="D479" s="24"/>
      <c r="E479" s="24"/>
      <c r="F479" s="25"/>
      <c r="G479" s="1">
        <v>575</v>
      </c>
      <c r="H479" s="2">
        <v>97</v>
      </c>
      <c r="I479" s="2">
        <v>40.1</v>
      </c>
      <c r="J479" s="2">
        <v>34.5</v>
      </c>
      <c r="K479" s="2">
        <f t="shared" si="63"/>
        <v>40.1</v>
      </c>
      <c r="L479" s="8">
        <f t="shared" ref="L479:L505" si="67">10^((K479-H479)/10)</f>
        <v>2.0417379446695277E-6</v>
      </c>
      <c r="M479" s="26"/>
      <c r="N479" s="17"/>
      <c r="O479" s="9">
        <f t="shared" si="65"/>
        <v>34.5</v>
      </c>
      <c r="P479" s="8">
        <f>D476/B476*10^(O479/10)</f>
        <v>55428.197648200978</v>
      </c>
      <c r="Q479" s="26"/>
      <c r="R479" s="17"/>
      <c r="S479" s="19"/>
      <c r="T479" s="17"/>
      <c r="U479" s="22"/>
    </row>
    <row r="480" spans="1:21" x14ac:dyDescent="0.25">
      <c r="A480" s="24"/>
      <c r="B480" s="24"/>
      <c r="C480" s="17"/>
      <c r="D480" s="24"/>
      <c r="E480" s="24"/>
      <c r="F480" s="25"/>
      <c r="G480" s="1">
        <v>625</v>
      </c>
      <c r="H480" s="2">
        <v>92</v>
      </c>
      <c r="I480" s="2">
        <v>36</v>
      </c>
      <c r="J480" s="2">
        <v>33.299999999999997</v>
      </c>
      <c r="K480" s="2">
        <f t="shared" si="63"/>
        <v>36</v>
      </c>
      <c r="L480" s="8">
        <f t="shared" si="67"/>
        <v>2.5118864315095806E-6</v>
      </c>
      <c r="M480" s="26"/>
      <c r="N480" s="17"/>
      <c r="O480" s="9">
        <f t="shared" si="65"/>
        <v>33.299999999999997</v>
      </c>
      <c r="P480" s="8">
        <f>D476/B476*10^(O480/10)</f>
        <v>42046.587760210576</v>
      </c>
      <c r="Q480" s="26"/>
      <c r="R480" s="17"/>
      <c r="S480" s="19"/>
      <c r="T480" s="17"/>
      <c r="U480" s="22"/>
    </row>
    <row r="481" spans="1:21" x14ac:dyDescent="0.25">
      <c r="A481" s="24"/>
      <c r="B481" s="24"/>
      <c r="C481" s="17"/>
      <c r="D481" s="24"/>
      <c r="E481" s="24"/>
      <c r="F481" s="25"/>
      <c r="G481" s="1">
        <v>675</v>
      </c>
      <c r="H481" s="2">
        <v>94.5</v>
      </c>
      <c r="I481" s="2">
        <v>39.200000000000003</v>
      </c>
      <c r="J481" s="2">
        <v>33.1</v>
      </c>
      <c r="K481" s="2">
        <f t="shared" si="63"/>
        <v>39.200000000000003</v>
      </c>
      <c r="L481" s="8">
        <f t="shared" si="67"/>
        <v>2.9512092266663841E-6</v>
      </c>
      <c r="M481" s="26"/>
      <c r="N481" s="17"/>
      <c r="O481" s="9">
        <f t="shared" si="65"/>
        <v>33.1</v>
      </c>
      <c r="P481" s="8">
        <f>D476/B476*10^(O481/10)</f>
        <v>40154.179578500793</v>
      </c>
      <c r="Q481" s="26"/>
      <c r="R481" s="17"/>
      <c r="S481" s="20"/>
      <c r="T481" s="17"/>
      <c r="U481" s="23"/>
    </row>
    <row r="482" spans="1:21" x14ac:dyDescent="0.25">
      <c r="A482" s="24">
        <v>1000</v>
      </c>
      <c r="B482" s="24">
        <v>3</v>
      </c>
      <c r="C482" s="17">
        <v>0.5</v>
      </c>
      <c r="D482" s="24">
        <v>117</v>
      </c>
      <c r="E482" s="24">
        <v>6</v>
      </c>
      <c r="F482" s="25">
        <v>76</v>
      </c>
      <c r="G482" s="1">
        <v>875</v>
      </c>
      <c r="H482" s="2">
        <v>91.1</v>
      </c>
      <c r="I482" s="2">
        <v>37.4</v>
      </c>
      <c r="J482" s="2">
        <v>30.1</v>
      </c>
      <c r="K482" s="2">
        <f t="shared" si="63"/>
        <v>37.4</v>
      </c>
      <c r="L482" s="8">
        <f t="shared" si="67"/>
        <v>4.2657951880159257E-6</v>
      </c>
      <c r="M482" s="26">
        <f>SUM(L482:L487)</f>
        <v>7.18641887377958E-6</v>
      </c>
      <c r="N482" s="17">
        <f>10*LOG10(M482/E482)</f>
        <v>-59.216387231162699</v>
      </c>
      <c r="O482" s="9">
        <f t="shared" si="65"/>
        <v>30.1</v>
      </c>
      <c r="P482" s="8">
        <f>D482/B482*10^(O482/10)</f>
        <v>39908.426698949464</v>
      </c>
      <c r="Q482" s="26">
        <f>SUM(P482:P487)</f>
        <v>206228.95704985026</v>
      </c>
      <c r="R482" s="17">
        <f>10*LOG10(Q482)</f>
        <v>53.143496454480669</v>
      </c>
      <c r="S482" s="18">
        <f>F482+N482-Kzt-H</f>
        <v>16.783612768837301</v>
      </c>
      <c r="T482" s="17">
        <v>0.8</v>
      </c>
      <c r="U482" s="21">
        <f>T482*10^((S482-R482)/10)</f>
        <v>1.8497013708642754E-4</v>
      </c>
    </row>
    <row r="483" spans="1:21" x14ac:dyDescent="0.25">
      <c r="A483" s="24"/>
      <c r="B483" s="24"/>
      <c r="C483" s="17"/>
      <c r="D483" s="24"/>
      <c r="E483" s="24"/>
      <c r="F483" s="25"/>
      <c r="G483" s="1">
        <v>975</v>
      </c>
      <c r="H483" s="2">
        <v>96.5</v>
      </c>
      <c r="I483" s="2">
        <v>35.299999999999997</v>
      </c>
      <c r="J483" s="2">
        <v>28.7</v>
      </c>
      <c r="K483" s="2">
        <f t="shared" si="63"/>
        <v>35.299999999999997</v>
      </c>
      <c r="L483" s="8">
        <f t="shared" si="67"/>
        <v>7.585775750291823E-7</v>
      </c>
      <c r="M483" s="26"/>
      <c r="N483" s="17"/>
      <c r="O483" s="9">
        <f t="shared" si="65"/>
        <v>28.7</v>
      </c>
      <c r="P483" s="8">
        <f>D482/B482*10^(O483/10)</f>
        <v>28911.099410735813</v>
      </c>
      <c r="Q483" s="26"/>
      <c r="R483" s="17"/>
      <c r="S483" s="19"/>
      <c r="T483" s="17"/>
      <c r="U483" s="22"/>
    </row>
    <row r="484" spans="1:21" x14ac:dyDescent="0.25">
      <c r="A484" s="24"/>
      <c r="B484" s="24"/>
      <c r="C484" s="17"/>
      <c r="D484" s="24"/>
      <c r="E484" s="24"/>
      <c r="F484" s="25"/>
      <c r="G484" s="1">
        <v>1075</v>
      </c>
      <c r="H484" s="2">
        <v>94.6</v>
      </c>
      <c r="I484" s="2">
        <v>36.1</v>
      </c>
      <c r="J484" s="2">
        <v>32.6</v>
      </c>
      <c r="K484" s="2">
        <f t="shared" si="63"/>
        <v>36.1</v>
      </c>
      <c r="L484" s="8">
        <f t="shared" si="67"/>
        <v>1.4125375446227531E-6</v>
      </c>
      <c r="M484" s="26"/>
      <c r="N484" s="17"/>
      <c r="O484" s="9">
        <f t="shared" si="65"/>
        <v>32.6</v>
      </c>
      <c r="P484" s="8">
        <f>D482/B482*10^(O484/10)</f>
        <v>70968.333485789422</v>
      </c>
      <c r="Q484" s="26"/>
      <c r="R484" s="17"/>
      <c r="S484" s="19"/>
      <c r="T484" s="17"/>
      <c r="U484" s="22"/>
    </row>
    <row r="485" spans="1:21" x14ac:dyDescent="0.25">
      <c r="A485" s="24"/>
      <c r="B485" s="24"/>
      <c r="C485" s="17"/>
      <c r="D485" s="24"/>
      <c r="E485" s="24"/>
      <c r="F485" s="25"/>
      <c r="G485" s="1">
        <v>1175</v>
      </c>
      <c r="H485" s="2">
        <v>97.8</v>
      </c>
      <c r="I485" s="2">
        <v>31.5</v>
      </c>
      <c r="J485" s="2">
        <v>26.9</v>
      </c>
      <c r="K485" s="2">
        <f t="shared" si="63"/>
        <v>31.5</v>
      </c>
      <c r="L485" s="8">
        <f t="shared" si="67"/>
        <v>2.3442288153199206E-7</v>
      </c>
      <c r="M485" s="26"/>
      <c r="N485" s="17"/>
      <c r="O485" s="9">
        <f t="shared" si="65"/>
        <v>26.9</v>
      </c>
      <c r="P485" s="8">
        <f>D482/B482*10^(O485/10)</f>
        <v>19101.373955369403</v>
      </c>
      <c r="Q485" s="26"/>
      <c r="R485" s="17"/>
      <c r="S485" s="19"/>
      <c r="T485" s="17"/>
      <c r="U485" s="22"/>
    </row>
    <row r="486" spans="1:21" x14ac:dyDescent="0.25">
      <c r="A486" s="24"/>
      <c r="B486" s="24"/>
      <c r="C486" s="17"/>
      <c r="D486" s="24"/>
      <c r="E486" s="24"/>
      <c r="F486" s="25"/>
      <c r="G486" s="1">
        <v>1275</v>
      </c>
      <c r="H486" s="2">
        <v>100.1</v>
      </c>
      <c r="I486" s="2">
        <v>35.9</v>
      </c>
      <c r="J486" s="2">
        <v>22.8</v>
      </c>
      <c r="K486" s="2">
        <f t="shared" si="63"/>
        <v>35.9</v>
      </c>
      <c r="L486" s="8">
        <f t="shared" si="67"/>
        <v>3.8018939632056152E-7</v>
      </c>
      <c r="M486" s="26"/>
      <c r="N486" s="17"/>
      <c r="O486" s="9">
        <f t="shared" si="65"/>
        <v>22.8</v>
      </c>
      <c r="P486" s="8">
        <f>D482/B482*10^(O486/10)</f>
        <v>7431.2968000566743</v>
      </c>
      <c r="Q486" s="26"/>
      <c r="R486" s="17"/>
      <c r="S486" s="19"/>
      <c r="T486" s="17"/>
      <c r="U486" s="22"/>
    </row>
    <row r="487" spans="1:21" x14ac:dyDescent="0.25">
      <c r="A487" s="24"/>
      <c r="B487" s="24"/>
      <c r="C487" s="17"/>
      <c r="D487" s="24"/>
      <c r="E487" s="24"/>
      <c r="F487" s="25"/>
      <c r="G487" s="1">
        <v>1375</v>
      </c>
      <c r="H487" s="2">
        <v>103</v>
      </c>
      <c r="I487" s="2">
        <v>34.299999999999997</v>
      </c>
      <c r="J487" s="2">
        <v>30.1</v>
      </c>
      <c r="K487" s="2">
        <f t="shared" si="63"/>
        <v>34.299999999999997</v>
      </c>
      <c r="L487" s="8">
        <f t="shared" si="67"/>
        <v>1.3489628825916511E-7</v>
      </c>
      <c r="M487" s="26"/>
      <c r="N487" s="17"/>
      <c r="O487" s="9">
        <f t="shared" si="65"/>
        <v>30.1</v>
      </c>
      <c r="P487" s="8">
        <f>D482/B482*10^(O487/10)</f>
        <v>39908.426698949464</v>
      </c>
      <c r="Q487" s="26"/>
      <c r="R487" s="17"/>
      <c r="S487" s="20"/>
      <c r="T487" s="17"/>
      <c r="U487" s="23"/>
    </row>
    <row r="488" spans="1:21" x14ac:dyDescent="0.25">
      <c r="A488" s="24">
        <v>2000</v>
      </c>
      <c r="B488" s="24">
        <v>3</v>
      </c>
      <c r="C488" s="17">
        <v>0.5</v>
      </c>
      <c r="D488" s="24">
        <v>234</v>
      </c>
      <c r="E488" s="24">
        <v>6</v>
      </c>
      <c r="F488" s="25">
        <v>68</v>
      </c>
      <c r="G488" s="1">
        <v>1425</v>
      </c>
      <c r="H488" s="2">
        <v>102.8</v>
      </c>
      <c r="I488" s="2">
        <v>31</v>
      </c>
      <c r="J488" s="2">
        <v>29.6</v>
      </c>
      <c r="K488" s="2">
        <f t="shared" si="63"/>
        <v>31</v>
      </c>
      <c r="L488" s="8">
        <f t="shared" si="67"/>
        <v>6.606934480075943E-8</v>
      </c>
      <c r="M488" s="26">
        <f>SUM(L488:L493)</f>
        <v>7.6469930761495046E-7</v>
      </c>
      <c r="N488" s="17">
        <f>10*LOG10(M488/E488)</f>
        <v>-68.946605534196948</v>
      </c>
      <c r="O488" s="9">
        <f t="shared" si="65"/>
        <v>29.6</v>
      </c>
      <c r="P488" s="8">
        <f>D488/B488*10^(O488/10)</f>
        <v>71136.84546976097</v>
      </c>
      <c r="Q488" s="26">
        <f>SUM(P488:P493)</f>
        <v>309878.1796773817</v>
      </c>
      <c r="R488" s="17">
        <f>10*LOG10(Q488)</f>
        <v>54.911909961187781</v>
      </c>
      <c r="S488" s="18">
        <f>F488+N488-Kzt-H</f>
        <v>-0.94660553419694793</v>
      </c>
      <c r="T488" s="17">
        <v>1</v>
      </c>
      <c r="U488" s="21">
        <f>T488*10^((S488-R488)/10)</f>
        <v>2.5950662556110466E-6</v>
      </c>
    </row>
    <row r="489" spans="1:21" x14ac:dyDescent="0.25">
      <c r="A489" s="24"/>
      <c r="B489" s="24"/>
      <c r="C489" s="17"/>
      <c r="D489" s="24"/>
      <c r="E489" s="24"/>
      <c r="F489" s="25"/>
      <c r="G489" s="1">
        <v>1625</v>
      </c>
      <c r="H489" s="2">
        <v>104.1</v>
      </c>
      <c r="I489" s="2">
        <v>30.8</v>
      </c>
      <c r="J489" s="2">
        <v>29.8</v>
      </c>
      <c r="K489" s="2">
        <f t="shared" si="63"/>
        <v>30.8</v>
      </c>
      <c r="L489" s="8">
        <f t="shared" si="67"/>
        <v>4.6773514128719769E-8</v>
      </c>
      <c r="M489" s="26"/>
      <c r="N489" s="17"/>
      <c r="O489" s="9">
        <f t="shared" si="65"/>
        <v>29.8</v>
      </c>
      <c r="P489" s="8">
        <f>D488/B488*10^(O489/10)</f>
        <v>74489.421709672068</v>
      </c>
      <c r="Q489" s="26"/>
      <c r="R489" s="17"/>
      <c r="S489" s="19"/>
      <c r="T489" s="17"/>
      <c r="U489" s="22"/>
    </row>
    <row r="490" spans="1:21" x14ac:dyDescent="0.25">
      <c r="A490" s="24"/>
      <c r="B490" s="24"/>
      <c r="C490" s="17"/>
      <c r="D490" s="24"/>
      <c r="E490" s="24"/>
      <c r="F490" s="25"/>
      <c r="G490" s="1">
        <v>1825</v>
      </c>
      <c r="H490" s="2">
        <v>107.6</v>
      </c>
      <c r="I490" s="2">
        <v>37.5</v>
      </c>
      <c r="J490" s="2">
        <v>24.9</v>
      </c>
      <c r="K490" s="2">
        <f t="shared" si="63"/>
        <v>37.5</v>
      </c>
      <c r="L490" s="8">
        <f t="shared" si="67"/>
        <v>9.7723722095581017E-8</v>
      </c>
      <c r="M490" s="26"/>
      <c r="N490" s="17"/>
      <c r="O490" s="9">
        <f t="shared" si="65"/>
        <v>24.9</v>
      </c>
      <c r="P490" s="8">
        <f>D488/B488*10^(O490/10)</f>
        <v>24104.30437360601</v>
      </c>
      <c r="Q490" s="26"/>
      <c r="R490" s="17"/>
      <c r="S490" s="19"/>
      <c r="T490" s="17"/>
      <c r="U490" s="22"/>
    </row>
    <row r="491" spans="1:21" x14ac:dyDescent="0.25">
      <c r="A491" s="24"/>
      <c r="B491" s="24"/>
      <c r="C491" s="17"/>
      <c r="D491" s="24"/>
      <c r="E491" s="24"/>
      <c r="F491" s="25"/>
      <c r="G491" s="1">
        <v>2125</v>
      </c>
      <c r="H491" s="2">
        <v>104.2</v>
      </c>
      <c r="I491" s="2">
        <v>31.2</v>
      </c>
      <c r="J491" s="2">
        <v>30</v>
      </c>
      <c r="K491" s="2">
        <f t="shared" si="63"/>
        <v>31.2</v>
      </c>
      <c r="L491" s="8">
        <f t="shared" si="67"/>
        <v>5.0118723362727164E-8</v>
      </c>
      <c r="M491" s="26"/>
      <c r="N491" s="17"/>
      <c r="O491" s="9">
        <f t="shared" si="65"/>
        <v>30</v>
      </c>
      <c r="P491" s="8">
        <f>D488/B488*10^(O491/10)</f>
        <v>78000</v>
      </c>
      <c r="Q491" s="26"/>
      <c r="R491" s="17"/>
      <c r="S491" s="19"/>
      <c r="T491" s="17"/>
      <c r="U491" s="22"/>
    </row>
    <row r="492" spans="1:21" x14ac:dyDescent="0.25">
      <c r="A492" s="24"/>
      <c r="B492" s="24"/>
      <c r="C492" s="17"/>
      <c r="D492" s="24"/>
      <c r="E492" s="24"/>
      <c r="F492" s="25"/>
      <c r="G492" s="1">
        <v>2425</v>
      </c>
      <c r="H492" s="2">
        <v>93.7</v>
      </c>
      <c r="I492" s="2">
        <v>28.6</v>
      </c>
      <c r="J492" s="2">
        <v>27.5</v>
      </c>
      <c r="K492" s="2">
        <f t="shared" si="63"/>
        <v>28.6</v>
      </c>
      <c r="L492" s="8">
        <f t="shared" si="67"/>
        <v>3.090295432513585E-7</v>
      </c>
      <c r="M492" s="26"/>
      <c r="N492" s="17"/>
      <c r="O492" s="9">
        <f t="shared" si="65"/>
        <v>27.5</v>
      </c>
      <c r="P492" s="8">
        <f>D488/B488*10^(O492/10)</f>
        <v>43862.623364847241</v>
      </c>
      <c r="Q492" s="26"/>
      <c r="R492" s="17"/>
      <c r="S492" s="19"/>
      <c r="T492" s="17"/>
      <c r="U492" s="22"/>
    </row>
    <row r="493" spans="1:21" x14ac:dyDescent="0.25">
      <c r="A493" s="24"/>
      <c r="B493" s="24"/>
      <c r="C493" s="17"/>
      <c r="D493" s="24"/>
      <c r="E493" s="24"/>
      <c r="F493" s="25"/>
      <c r="G493" s="1">
        <v>2775</v>
      </c>
      <c r="H493" s="2">
        <v>100.2</v>
      </c>
      <c r="I493" s="2">
        <v>33.1</v>
      </c>
      <c r="J493" s="2">
        <v>23.7</v>
      </c>
      <c r="K493" s="2">
        <f t="shared" si="63"/>
        <v>33.1</v>
      </c>
      <c r="L493" s="8">
        <f t="shared" si="67"/>
        <v>1.9498445997580458E-7</v>
      </c>
      <c r="M493" s="26"/>
      <c r="N493" s="17"/>
      <c r="O493" s="9">
        <f t="shared" si="65"/>
        <v>23.7</v>
      </c>
      <c r="P493" s="8">
        <f>D488/B488*10^(O493/10)</f>
        <v>18284.984759495401</v>
      </c>
      <c r="Q493" s="26"/>
      <c r="R493" s="17"/>
      <c r="S493" s="20"/>
      <c r="T493" s="17"/>
      <c r="U493" s="23"/>
    </row>
    <row r="494" spans="1:21" x14ac:dyDescent="0.25">
      <c r="A494" s="24">
        <v>4000</v>
      </c>
      <c r="B494" s="24">
        <v>3</v>
      </c>
      <c r="C494" s="17">
        <v>0.5</v>
      </c>
      <c r="D494" s="24">
        <v>470</v>
      </c>
      <c r="E494" s="24">
        <v>6</v>
      </c>
      <c r="F494" s="25">
        <v>62</v>
      </c>
      <c r="G494" s="1">
        <v>2825</v>
      </c>
      <c r="H494" s="2">
        <v>99.4</v>
      </c>
      <c r="I494" s="2">
        <v>29.900000000000002</v>
      </c>
      <c r="J494" s="2">
        <v>29.1</v>
      </c>
      <c r="K494" s="2">
        <f t="shared" si="63"/>
        <v>29.900000000000002</v>
      </c>
      <c r="L494" s="8">
        <f t="shared" si="67"/>
        <v>1.1220184543019621E-7</v>
      </c>
      <c r="M494" s="26">
        <f>SUM(L494:L499)</f>
        <v>5.4441631759315E-7</v>
      </c>
      <c r="N494" s="17">
        <f>10*LOG10(M494/E494)</f>
        <v>-70.422201167060209</v>
      </c>
      <c r="O494" s="9">
        <f t="shared" si="65"/>
        <v>29.1</v>
      </c>
      <c r="P494" s="8">
        <f>D494/B494*10^(O494/10)</f>
        <v>127343.44753237562</v>
      </c>
      <c r="Q494" s="26">
        <f>SUM(P494:P499)</f>
        <v>462053.81505969248</v>
      </c>
      <c r="R494" s="17">
        <f>10*LOG10(Q494)</f>
        <v>56.646925604530509</v>
      </c>
      <c r="S494" s="18">
        <f>F494+N494-Kzt-H</f>
        <v>-8.4222011670602086</v>
      </c>
      <c r="T494" s="17">
        <v>0.9</v>
      </c>
      <c r="U494" s="21">
        <f>T494*10^((S494-R494)/10)</f>
        <v>2.8011078606936557E-7</v>
      </c>
    </row>
    <row r="495" spans="1:21" x14ac:dyDescent="0.25">
      <c r="A495" s="24"/>
      <c r="B495" s="24"/>
      <c r="C495" s="17"/>
      <c r="D495" s="24"/>
      <c r="E495" s="24"/>
      <c r="F495" s="25"/>
      <c r="G495" s="1">
        <v>3425</v>
      </c>
      <c r="H495" s="2">
        <v>103.5</v>
      </c>
      <c r="I495" s="2">
        <v>26.9</v>
      </c>
      <c r="J495" s="2">
        <v>24.1</v>
      </c>
      <c r="K495" s="2">
        <f t="shared" si="63"/>
        <v>26.9</v>
      </c>
      <c r="L495" s="8">
        <f t="shared" si="67"/>
        <v>2.1877616239495494E-8</v>
      </c>
      <c r="M495" s="26"/>
      <c r="N495" s="17"/>
      <c r="O495" s="9">
        <f t="shared" si="65"/>
        <v>24.1</v>
      </c>
      <c r="P495" s="8">
        <f>D494/B494*10^(O495/10)</f>
        <v>40269.533930045567</v>
      </c>
      <c r="Q495" s="26"/>
      <c r="R495" s="17"/>
      <c r="S495" s="19"/>
      <c r="T495" s="17"/>
      <c r="U495" s="22"/>
    </row>
    <row r="496" spans="1:21" x14ac:dyDescent="0.25">
      <c r="A496" s="24"/>
      <c r="B496" s="24"/>
      <c r="C496" s="17"/>
      <c r="D496" s="24"/>
      <c r="E496" s="24"/>
      <c r="F496" s="25"/>
      <c r="G496" s="1">
        <v>4025</v>
      </c>
      <c r="H496" s="2">
        <v>103.6</v>
      </c>
      <c r="I496" s="2">
        <v>31.6</v>
      </c>
      <c r="J496" s="2">
        <v>28.6</v>
      </c>
      <c r="K496" s="2">
        <f t="shared" si="63"/>
        <v>31.6</v>
      </c>
      <c r="L496" s="8">
        <f t="shared" si="67"/>
        <v>6.3095734448019177E-8</v>
      </c>
      <c r="M496" s="26"/>
      <c r="N496" s="17"/>
      <c r="O496" s="9">
        <f t="shared" si="65"/>
        <v>28.6</v>
      </c>
      <c r="P496" s="8">
        <f>D494/B494*10^(O496/10)</f>
        <v>113494.96707841523</v>
      </c>
      <c r="Q496" s="26"/>
      <c r="R496" s="17"/>
      <c r="S496" s="19"/>
      <c r="T496" s="17"/>
      <c r="U496" s="22"/>
    </row>
    <row r="497" spans="1:21" x14ac:dyDescent="0.25">
      <c r="A497" s="24"/>
      <c r="B497" s="24"/>
      <c r="C497" s="17"/>
      <c r="D497" s="24"/>
      <c r="E497" s="24"/>
      <c r="F497" s="25"/>
      <c r="G497" s="1">
        <v>4625</v>
      </c>
      <c r="H497" s="2">
        <v>105.6</v>
      </c>
      <c r="I497" s="2">
        <v>31.7</v>
      </c>
      <c r="J497" s="2">
        <v>28.7</v>
      </c>
      <c r="K497" s="2">
        <f t="shared" si="63"/>
        <v>31.7</v>
      </c>
      <c r="L497" s="8">
        <f t="shared" si="67"/>
        <v>4.0738027780411254E-8</v>
      </c>
      <c r="M497" s="26"/>
      <c r="N497" s="17"/>
      <c r="O497" s="9">
        <f t="shared" si="65"/>
        <v>28.7</v>
      </c>
      <c r="P497" s="8">
        <f>D494/B494*10^(O497/10)</f>
        <v>116138.60447047719</v>
      </c>
      <c r="Q497" s="26"/>
      <c r="R497" s="17"/>
      <c r="S497" s="19"/>
      <c r="T497" s="17"/>
      <c r="U497" s="22"/>
    </row>
    <row r="498" spans="1:21" x14ac:dyDescent="0.25">
      <c r="A498" s="24"/>
      <c r="B498" s="24"/>
      <c r="C498" s="17"/>
      <c r="D498" s="24"/>
      <c r="E498" s="24"/>
      <c r="F498" s="25"/>
      <c r="G498" s="1">
        <v>5225</v>
      </c>
      <c r="H498" s="2">
        <v>103.5</v>
      </c>
      <c r="I498" s="2">
        <v>33.6</v>
      </c>
      <c r="J498" s="2">
        <v>23.8</v>
      </c>
      <c r="K498" s="2">
        <f t="shared" si="63"/>
        <v>33.6</v>
      </c>
      <c r="L498" s="8">
        <f t="shared" si="67"/>
        <v>1.0232929922807534E-7</v>
      </c>
      <c r="M498" s="26"/>
      <c r="N498" s="17"/>
      <c r="O498" s="9">
        <f t="shared" si="65"/>
        <v>23.8</v>
      </c>
      <c r="P498" s="8">
        <f>D494/B494*10^(O498/10)</f>
        <v>37581.715731305361</v>
      </c>
      <c r="Q498" s="26"/>
      <c r="R498" s="17"/>
      <c r="S498" s="19"/>
      <c r="T498" s="17"/>
      <c r="U498" s="22"/>
    </row>
    <row r="499" spans="1:21" x14ac:dyDescent="0.25">
      <c r="A499" s="24"/>
      <c r="B499" s="24"/>
      <c r="C499" s="17"/>
      <c r="D499" s="24"/>
      <c r="E499" s="24"/>
      <c r="F499" s="25"/>
      <c r="G499" s="1">
        <v>5625</v>
      </c>
      <c r="H499" s="2">
        <v>99.5</v>
      </c>
      <c r="I499" s="2">
        <v>32.6</v>
      </c>
      <c r="J499" s="2">
        <v>22.4</v>
      </c>
      <c r="K499" s="2">
        <f t="shared" si="63"/>
        <v>32.6</v>
      </c>
      <c r="L499" s="8">
        <f t="shared" si="67"/>
        <v>2.0417379446695257E-7</v>
      </c>
      <c r="M499" s="26"/>
      <c r="N499" s="17"/>
      <c r="O499" s="9">
        <f t="shared" si="65"/>
        <v>22.4</v>
      </c>
      <c r="P499" s="8">
        <f>D494/B494*10^(O499/10)</f>
        <v>27225.546317073546</v>
      </c>
      <c r="Q499" s="26"/>
      <c r="R499" s="17"/>
      <c r="S499" s="20"/>
      <c r="T499" s="17"/>
      <c r="U499" s="23"/>
    </row>
    <row r="500" spans="1:21" x14ac:dyDescent="0.25">
      <c r="A500" s="24">
        <v>8000</v>
      </c>
      <c r="B500" s="24">
        <v>3</v>
      </c>
      <c r="C500" s="17">
        <v>0.5</v>
      </c>
      <c r="D500" s="24">
        <v>943</v>
      </c>
      <c r="E500" s="24">
        <v>6</v>
      </c>
      <c r="F500" s="25">
        <v>54</v>
      </c>
      <c r="G500" s="1">
        <v>6025</v>
      </c>
      <c r="H500" s="2">
        <v>95</v>
      </c>
      <c r="I500" s="2">
        <v>30.9</v>
      </c>
      <c r="J500" s="2">
        <v>26.9</v>
      </c>
      <c r="K500" s="2">
        <f t="shared" si="63"/>
        <v>30.9</v>
      </c>
      <c r="L500" s="8">
        <f t="shared" si="67"/>
        <v>3.8904514499428091E-7</v>
      </c>
      <c r="M500" s="26">
        <f>SUM(L500:L505)</f>
        <v>5.3849708095385186E-6</v>
      </c>
      <c r="N500" s="17">
        <f>10*LOG10(M500/E500)</f>
        <v>-60.46967896935476</v>
      </c>
      <c r="O500" s="9">
        <f t="shared" si="65"/>
        <v>26.9</v>
      </c>
      <c r="P500" s="8">
        <f>D500/B500*10^(O500/10)</f>
        <v>153953.80888814825</v>
      </c>
      <c r="Q500" s="26">
        <f>SUM(P500:P505)</f>
        <v>699510.63122301246</v>
      </c>
      <c r="R500" s="17">
        <f>10*LOG10(Q500)</f>
        <v>58.447943193230643</v>
      </c>
      <c r="S500" s="18">
        <f>F500+N500-Kzt-H</f>
        <v>-6.4696789693547601</v>
      </c>
      <c r="T500" s="17">
        <v>0.7</v>
      </c>
      <c r="U500" s="21">
        <f>T500*10^((S500-R500)/10)</f>
        <v>2.2559830055367575E-7</v>
      </c>
    </row>
    <row r="501" spans="1:21" x14ac:dyDescent="0.25">
      <c r="A501" s="24"/>
      <c r="B501" s="24"/>
      <c r="C501" s="17"/>
      <c r="D501" s="24"/>
      <c r="E501" s="24"/>
      <c r="F501" s="25"/>
      <c r="G501" s="1">
        <v>7025</v>
      </c>
      <c r="H501" s="2">
        <v>94.8</v>
      </c>
      <c r="I501" s="2">
        <v>29.5</v>
      </c>
      <c r="J501" s="2">
        <v>25.8</v>
      </c>
      <c r="K501" s="2">
        <f t="shared" si="63"/>
        <v>29.5</v>
      </c>
      <c r="L501" s="8">
        <f t="shared" si="67"/>
        <v>2.9512092266663867E-7</v>
      </c>
      <c r="M501" s="26"/>
      <c r="N501" s="17"/>
      <c r="O501" s="9">
        <f t="shared" si="65"/>
        <v>25.8</v>
      </c>
      <c r="P501" s="8">
        <f>D500/B500*10^(O501/10)</f>
        <v>119506.20024342986</v>
      </c>
      <c r="Q501" s="26"/>
      <c r="R501" s="17"/>
      <c r="S501" s="19"/>
      <c r="T501" s="17"/>
      <c r="U501" s="22"/>
    </row>
    <row r="502" spans="1:21" x14ac:dyDescent="0.25">
      <c r="A502" s="24"/>
      <c r="B502" s="24"/>
      <c r="C502" s="17"/>
      <c r="D502" s="24"/>
      <c r="E502" s="24"/>
      <c r="F502" s="25"/>
      <c r="G502" s="1">
        <v>8025</v>
      </c>
      <c r="H502" s="2">
        <v>101.9</v>
      </c>
      <c r="I502" s="2">
        <v>31.6</v>
      </c>
      <c r="J502" s="2">
        <v>23.9</v>
      </c>
      <c r="K502" s="2">
        <f t="shared" si="63"/>
        <v>31.6</v>
      </c>
      <c r="L502" s="8">
        <f t="shared" si="67"/>
        <v>9.3325430079698741E-8</v>
      </c>
      <c r="M502" s="26"/>
      <c r="N502" s="17"/>
      <c r="O502" s="9">
        <f t="shared" si="65"/>
        <v>23.9</v>
      </c>
      <c r="P502" s="8">
        <f>D500/B500*10^(O502/10)</f>
        <v>77159.683583032733</v>
      </c>
      <c r="Q502" s="26"/>
      <c r="R502" s="17"/>
      <c r="S502" s="19"/>
      <c r="T502" s="17"/>
      <c r="U502" s="22"/>
    </row>
    <row r="503" spans="1:21" x14ac:dyDescent="0.25">
      <c r="A503" s="24"/>
      <c r="B503" s="24"/>
      <c r="C503" s="17"/>
      <c r="D503" s="24"/>
      <c r="E503" s="24"/>
      <c r="F503" s="25"/>
      <c r="G503" s="1">
        <v>9025</v>
      </c>
      <c r="H503" s="2">
        <v>93.2</v>
      </c>
      <c r="I503" s="2">
        <v>31.2</v>
      </c>
      <c r="J503" s="2">
        <v>26.6</v>
      </c>
      <c r="K503" s="2">
        <f t="shared" si="63"/>
        <v>31.2</v>
      </c>
      <c r="L503" s="8">
        <f t="shared" si="67"/>
        <v>6.3095734448019254E-7</v>
      </c>
      <c r="M503" s="26"/>
      <c r="N503" s="17"/>
      <c r="O503" s="9">
        <f t="shared" si="65"/>
        <v>26.6</v>
      </c>
      <c r="P503" s="8">
        <f>D500/B500*10^(O503/10)</f>
        <v>143678.05426894256</v>
      </c>
      <c r="Q503" s="26"/>
      <c r="R503" s="17"/>
      <c r="S503" s="19"/>
      <c r="T503" s="17"/>
      <c r="U503" s="22"/>
    </row>
    <row r="504" spans="1:21" x14ac:dyDescent="0.25">
      <c r="A504" s="24"/>
      <c r="B504" s="24"/>
      <c r="C504" s="17"/>
      <c r="D504" s="24"/>
      <c r="E504" s="24"/>
      <c r="F504" s="25"/>
      <c r="G504" s="1">
        <v>10025</v>
      </c>
      <c r="H504" s="2">
        <v>88.3</v>
      </c>
      <c r="I504" s="2">
        <v>31.8</v>
      </c>
      <c r="J504" s="2">
        <v>26.1</v>
      </c>
      <c r="K504" s="2">
        <f t="shared" si="63"/>
        <v>31.8</v>
      </c>
      <c r="L504" s="8">
        <f t="shared" si="67"/>
        <v>2.2387211385683329E-6</v>
      </c>
      <c r="M504" s="26"/>
      <c r="N504" s="17"/>
      <c r="O504" s="9">
        <f t="shared" si="65"/>
        <v>26.1</v>
      </c>
      <c r="P504" s="8">
        <f>D500/B500*10^(O504/10)</f>
        <v>128053.2006564263</v>
      </c>
      <c r="Q504" s="26"/>
      <c r="R504" s="17"/>
      <c r="S504" s="19"/>
      <c r="T504" s="17"/>
      <c r="U504" s="22"/>
    </row>
    <row r="505" spans="1:21" x14ac:dyDescent="0.25">
      <c r="A505" s="24"/>
      <c r="B505" s="24"/>
      <c r="C505" s="17"/>
      <c r="D505" s="24"/>
      <c r="E505" s="24"/>
      <c r="F505" s="25"/>
      <c r="G505" s="1">
        <v>11025</v>
      </c>
      <c r="H505" s="2">
        <v>86</v>
      </c>
      <c r="I505" s="2">
        <v>28.4</v>
      </c>
      <c r="J505" s="2">
        <v>23.9</v>
      </c>
      <c r="K505" s="2">
        <f t="shared" si="63"/>
        <v>28.4</v>
      </c>
      <c r="L505" s="8">
        <f t="shared" si="67"/>
        <v>1.7378008287493753E-6</v>
      </c>
      <c r="M505" s="26"/>
      <c r="N505" s="17"/>
      <c r="O505" s="9">
        <f t="shared" si="65"/>
        <v>23.9</v>
      </c>
      <c r="P505" s="8">
        <f>D500/B500*10^(O505/10)</f>
        <v>77159.683583032733</v>
      </c>
      <c r="Q505" s="26"/>
      <c r="R505" s="17"/>
      <c r="S505" s="20"/>
      <c r="T505" s="17"/>
      <c r="U505" s="23"/>
    </row>
    <row r="506" spans="1:21" x14ac:dyDescent="0.25">
      <c r="A506" s="24" t="s">
        <v>20</v>
      </c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12">
        <f>U506</f>
        <v>7.4222878588231012E-2</v>
      </c>
      <c r="T506" s="2"/>
      <c r="U506" s="8">
        <f>0.8*SQRT(SUM(U472:U505))</f>
        <v>7.4222878588231012E-2</v>
      </c>
    </row>
    <row r="507" spans="1:21" x14ac:dyDescent="0.25">
      <c r="A507" s="27" t="s">
        <v>126</v>
      </c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9"/>
    </row>
    <row r="508" spans="1:21" x14ac:dyDescent="0.25">
      <c r="A508" s="24">
        <v>250</v>
      </c>
      <c r="B508" s="24">
        <v>3</v>
      </c>
      <c r="C508" s="17">
        <v>0.5</v>
      </c>
      <c r="D508" s="24">
        <v>38</v>
      </c>
      <c r="E508" s="24">
        <v>4</v>
      </c>
      <c r="F508" s="25">
        <v>84</v>
      </c>
      <c r="G508" s="1">
        <v>175</v>
      </c>
      <c r="H508" s="2">
        <v>84.8</v>
      </c>
      <c r="I508" s="2">
        <v>35.9</v>
      </c>
      <c r="J508" s="2">
        <v>34</v>
      </c>
      <c r="K508" s="2">
        <f>I508</f>
        <v>35.9</v>
      </c>
      <c r="L508" s="8">
        <f>10^((K508-H508)/10)</f>
        <v>1.2882495516931347E-5</v>
      </c>
      <c r="M508" s="26">
        <f>SUM(L508:L511)</f>
        <v>2.5999192983043031E-5</v>
      </c>
      <c r="N508" s="17">
        <f>10*LOG10(M508/E508)</f>
        <v>-51.871001236821705</v>
      </c>
      <c r="O508" s="9">
        <f>J508</f>
        <v>34</v>
      </c>
      <c r="P508" s="8">
        <f>D508/B508*10^(O508/10)</f>
        <v>31817.228132454693</v>
      </c>
      <c r="Q508" s="26">
        <f>SUM(P508:P511)</f>
        <v>126980.64444600069</v>
      </c>
      <c r="R508" s="17">
        <f>10*LOG10(Q508)</f>
        <v>51.037375268541922</v>
      </c>
      <c r="S508" s="18">
        <f>F508+N508-Kzt-H</f>
        <v>32.128998763178295</v>
      </c>
      <c r="T508" s="17">
        <v>0.2</v>
      </c>
      <c r="U508" s="21">
        <f>T508*10^((S508-R508)/10)</f>
        <v>2.5715344401200063E-3</v>
      </c>
    </row>
    <row r="509" spans="1:21" x14ac:dyDescent="0.25">
      <c r="A509" s="24"/>
      <c r="B509" s="24"/>
      <c r="C509" s="17"/>
      <c r="D509" s="24"/>
      <c r="E509" s="24"/>
      <c r="F509" s="25"/>
      <c r="G509" s="1">
        <v>225</v>
      </c>
      <c r="H509" s="2">
        <v>90</v>
      </c>
      <c r="I509" s="2">
        <v>37.1</v>
      </c>
      <c r="J509" s="2">
        <v>35.700000000000003</v>
      </c>
      <c r="K509" s="2">
        <f t="shared" ref="K509:K541" si="68">I509</f>
        <v>37.1</v>
      </c>
      <c r="L509" s="8">
        <f t="shared" ref="L509:L510" si="69">10^((K509-H509)/10)</f>
        <v>5.1286138399136439E-6</v>
      </c>
      <c r="M509" s="26"/>
      <c r="N509" s="17"/>
      <c r="O509" s="9">
        <f t="shared" ref="O509:O541" si="70">J509</f>
        <v>35.700000000000003</v>
      </c>
      <c r="P509" s="8">
        <f>D508/B508*10^(O509/10)</f>
        <v>47061.129018975254</v>
      </c>
      <c r="Q509" s="26"/>
      <c r="R509" s="17"/>
      <c r="S509" s="19"/>
      <c r="T509" s="17"/>
      <c r="U509" s="22"/>
    </row>
    <row r="510" spans="1:21" x14ac:dyDescent="0.25">
      <c r="A510" s="24"/>
      <c r="B510" s="24"/>
      <c r="C510" s="17"/>
      <c r="D510" s="24"/>
      <c r="E510" s="24"/>
      <c r="F510" s="25"/>
      <c r="G510" s="1">
        <v>275</v>
      </c>
      <c r="H510" s="2">
        <v>92.2</v>
      </c>
      <c r="I510" s="2">
        <v>39.1</v>
      </c>
      <c r="J510" s="2">
        <v>32.200000000000003</v>
      </c>
      <c r="K510" s="2">
        <f t="shared" si="68"/>
        <v>39.1</v>
      </c>
      <c r="L510" s="8">
        <f t="shared" si="69"/>
        <v>4.897788193684449E-6</v>
      </c>
      <c r="M510" s="26"/>
      <c r="N510" s="17"/>
      <c r="O510" s="9">
        <f t="shared" si="70"/>
        <v>32.200000000000003</v>
      </c>
      <c r="P510" s="8">
        <f>D508/B508*10^(O510/10)</f>
        <v>21021.434160875793</v>
      </c>
      <c r="Q510" s="26"/>
      <c r="R510" s="17"/>
      <c r="S510" s="19"/>
      <c r="T510" s="17"/>
      <c r="U510" s="22"/>
    </row>
    <row r="511" spans="1:21" x14ac:dyDescent="0.25">
      <c r="A511" s="24"/>
      <c r="B511" s="24"/>
      <c r="C511" s="17"/>
      <c r="D511" s="24"/>
      <c r="E511" s="24"/>
      <c r="F511" s="25"/>
      <c r="G511" s="1">
        <v>325</v>
      </c>
      <c r="H511" s="2">
        <v>93.3</v>
      </c>
      <c r="I511" s="2">
        <v>38.200000000000003</v>
      </c>
      <c r="J511" s="2">
        <v>33.299999999999997</v>
      </c>
      <c r="K511" s="2">
        <f t="shared" si="68"/>
        <v>38.200000000000003</v>
      </c>
      <c r="L511" s="8">
        <f>10^((K511-H511)/10)</f>
        <v>3.0902954325135885E-6</v>
      </c>
      <c r="M511" s="26"/>
      <c r="N511" s="17"/>
      <c r="O511" s="9">
        <f t="shared" si="70"/>
        <v>33.299999999999997</v>
      </c>
      <c r="P511" s="8">
        <f>D508/B508*10^(O511/10)</f>
        <v>27080.853133694945</v>
      </c>
      <c r="Q511" s="26"/>
      <c r="R511" s="17"/>
      <c r="S511" s="20"/>
      <c r="T511" s="17"/>
      <c r="U511" s="23"/>
    </row>
    <row r="512" spans="1:21" x14ac:dyDescent="0.25">
      <c r="A512" s="24">
        <v>500</v>
      </c>
      <c r="B512" s="24">
        <v>3</v>
      </c>
      <c r="C512" s="17">
        <v>0.5</v>
      </c>
      <c r="D512" s="24">
        <v>59</v>
      </c>
      <c r="E512" s="24">
        <v>6</v>
      </c>
      <c r="F512" s="25">
        <v>84</v>
      </c>
      <c r="G512" s="1">
        <v>375</v>
      </c>
      <c r="H512" s="2">
        <v>91.9</v>
      </c>
      <c r="I512" s="2">
        <v>37.5</v>
      </c>
      <c r="J512" s="2">
        <v>32.5</v>
      </c>
      <c r="K512" s="2">
        <f t="shared" si="68"/>
        <v>37.5</v>
      </c>
      <c r="L512" s="8">
        <f t="shared" ref="L512:L513" si="71">10^((K512-H512)/10)</f>
        <v>3.6307805477010082E-6</v>
      </c>
      <c r="M512" s="26">
        <f>SUM(L512:L517)</f>
        <v>1.9850939880417392E-5</v>
      </c>
      <c r="N512" s="17">
        <f>10*LOG10(M512/E512)</f>
        <v>-54.803701763013549</v>
      </c>
      <c r="O512" s="9">
        <f t="shared" si="70"/>
        <v>32.5</v>
      </c>
      <c r="P512" s="8">
        <f>D512/B512*10^(O512/10)</f>
        <v>34972.828397432182</v>
      </c>
      <c r="Q512" s="26">
        <f>SUM(P512:P517)</f>
        <v>137913.08112992288</v>
      </c>
      <c r="R512" s="17">
        <f>10*LOG10(Q512)</f>
        <v>51.396054611947626</v>
      </c>
      <c r="S512" s="18">
        <f>F512+N512-Kzt-H</f>
        <v>29.196298236986451</v>
      </c>
      <c r="T512" s="17">
        <v>0.5</v>
      </c>
      <c r="U512" s="21">
        <f>T512*10^((S512-R512)/10)</f>
        <v>3.0129669432492337E-3</v>
      </c>
    </row>
    <row r="513" spans="1:21" x14ac:dyDescent="0.25">
      <c r="A513" s="24"/>
      <c r="B513" s="24"/>
      <c r="C513" s="17"/>
      <c r="D513" s="24"/>
      <c r="E513" s="24"/>
      <c r="F513" s="25"/>
      <c r="G513" s="1">
        <v>425</v>
      </c>
      <c r="H513" s="2">
        <v>88.1</v>
      </c>
      <c r="I513" s="2">
        <v>36.799999999999997</v>
      </c>
      <c r="J513" s="2">
        <v>28.5</v>
      </c>
      <c r="K513" s="2">
        <f t="shared" si="68"/>
        <v>36.799999999999997</v>
      </c>
      <c r="L513" s="8">
        <f t="shared" si="71"/>
        <v>7.4131024130091704E-6</v>
      </c>
      <c r="M513" s="26"/>
      <c r="N513" s="17"/>
      <c r="O513" s="9">
        <f t="shared" si="70"/>
        <v>28.5</v>
      </c>
      <c r="P513" s="8">
        <f>D512/B512*10^(O513/10)</f>
        <v>13922.933759554729</v>
      </c>
      <c r="Q513" s="26"/>
      <c r="R513" s="17"/>
      <c r="S513" s="19"/>
      <c r="T513" s="17"/>
      <c r="U513" s="22"/>
    </row>
    <row r="514" spans="1:21" x14ac:dyDescent="0.25">
      <c r="A514" s="24"/>
      <c r="B514" s="24"/>
      <c r="C514" s="17"/>
      <c r="D514" s="24"/>
      <c r="E514" s="24"/>
      <c r="F514" s="25"/>
      <c r="G514" s="1">
        <v>475</v>
      </c>
      <c r="H514" s="2">
        <v>90</v>
      </c>
      <c r="I514" s="2">
        <v>34.9</v>
      </c>
      <c r="J514" s="2">
        <v>28.7</v>
      </c>
      <c r="K514" s="2">
        <f t="shared" si="68"/>
        <v>34.9</v>
      </c>
      <c r="L514" s="8">
        <f>10^((K514-H514)/10)</f>
        <v>3.0902954325135885E-6</v>
      </c>
      <c r="M514" s="26"/>
      <c r="N514" s="17"/>
      <c r="O514" s="9">
        <f t="shared" si="70"/>
        <v>28.7</v>
      </c>
      <c r="P514" s="8">
        <f>D512/B512*10^(O514/10)</f>
        <v>14579.101412251393</v>
      </c>
      <c r="Q514" s="26"/>
      <c r="R514" s="17"/>
      <c r="S514" s="19"/>
      <c r="T514" s="17"/>
      <c r="U514" s="22"/>
    </row>
    <row r="515" spans="1:21" x14ac:dyDescent="0.25">
      <c r="A515" s="24"/>
      <c r="B515" s="24"/>
      <c r="C515" s="17"/>
      <c r="D515" s="24"/>
      <c r="E515" s="24"/>
      <c r="F515" s="25"/>
      <c r="G515" s="1">
        <v>575</v>
      </c>
      <c r="H515" s="2">
        <v>97</v>
      </c>
      <c r="I515" s="2">
        <v>37.200000000000003</v>
      </c>
      <c r="J515" s="2">
        <v>32</v>
      </c>
      <c r="K515" s="2">
        <f t="shared" si="68"/>
        <v>37.200000000000003</v>
      </c>
      <c r="L515" s="8">
        <f t="shared" ref="L515:L541" si="72">10^((K515-H515)/10)</f>
        <v>1.0471285480508998E-6</v>
      </c>
      <c r="M515" s="26"/>
      <c r="N515" s="17"/>
      <c r="O515" s="9">
        <f t="shared" si="70"/>
        <v>32</v>
      </c>
      <c r="P515" s="8">
        <f>D512/B512*10^(O515/10)</f>
        <v>31169.566118401941</v>
      </c>
      <c r="Q515" s="26"/>
      <c r="R515" s="17"/>
      <c r="S515" s="19"/>
      <c r="T515" s="17"/>
      <c r="U515" s="22"/>
    </row>
    <row r="516" spans="1:21" x14ac:dyDescent="0.25">
      <c r="A516" s="24"/>
      <c r="B516" s="24"/>
      <c r="C516" s="17"/>
      <c r="D516" s="24"/>
      <c r="E516" s="24"/>
      <c r="F516" s="25"/>
      <c r="G516" s="1">
        <v>625</v>
      </c>
      <c r="H516" s="2">
        <v>92</v>
      </c>
      <c r="I516" s="2">
        <v>32.799999999999997</v>
      </c>
      <c r="J516" s="2">
        <v>29.3</v>
      </c>
      <c r="K516" s="2">
        <f t="shared" si="68"/>
        <v>32.799999999999997</v>
      </c>
      <c r="L516" s="8">
        <f t="shared" si="72"/>
        <v>1.2022644346174125E-6</v>
      </c>
      <c r="M516" s="26"/>
      <c r="N516" s="17"/>
      <c r="O516" s="9">
        <f t="shared" si="70"/>
        <v>29.3</v>
      </c>
      <c r="P516" s="8">
        <f>D512/B512*10^(O516/10)</f>
        <v>16739.048084646762</v>
      </c>
      <c r="Q516" s="26"/>
      <c r="R516" s="17"/>
      <c r="S516" s="19"/>
      <c r="T516" s="17"/>
      <c r="U516" s="22"/>
    </row>
    <row r="517" spans="1:21" x14ac:dyDescent="0.25">
      <c r="A517" s="24"/>
      <c r="B517" s="24"/>
      <c r="C517" s="17"/>
      <c r="D517" s="24"/>
      <c r="E517" s="24"/>
      <c r="F517" s="25"/>
      <c r="G517" s="1">
        <v>675</v>
      </c>
      <c r="H517" s="2">
        <v>94.5</v>
      </c>
      <c r="I517" s="2">
        <v>39.9</v>
      </c>
      <c r="J517" s="2">
        <v>31.3</v>
      </c>
      <c r="K517" s="2">
        <f t="shared" si="68"/>
        <v>39.9</v>
      </c>
      <c r="L517" s="8">
        <f t="shared" si="72"/>
        <v>3.4673685045253126E-6</v>
      </c>
      <c r="M517" s="26"/>
      <c r="N517" s="17"/>
      <c r="O517" s="9">
        <f t="shared" si="70"/>
        <v>31.3</v>
      </c>
      <c r="P517" s="8">
        <f>D512/B512*10^(O517/10)</f>
        <v>26529.603357635864</v>
      </c>
      <c r="Q517" s="26"/>
      <c r="R517" s="17"/>
      <c r="S517" s="20"/>
      <c r="T517" s="17"/>
      <c r="U517" s="23"/>
    </row>
    <row r="518" spans="1:21" x14ac:dyDescent="0.25">
      <c r="A518" s="24">
        <v>1000</v>
      </c>
      <c r="B518" s="24">
        <v>3</v>
      </c>
      <c r="C518" s="17">
        <v>0.5</v>
      </c>
      <c r="D518" s="24">
        <v>117</v>
      </c>
      <c r="E518" s="24">
        <v>6</v>
      </c>
      <c r="F518" s="25">
        <v>76</v>
      </c>
      <c r="G518" s="1">
        <v>875</v>
      </c>
      <c r="H518" s="2">
        <v>91.1</v>
      </c>
      <c r="I518" s="2">
        <v>33.5</v>
      </c>
      <c r="J518" s="2">
        <v>27.5</v>
      </c>
      <c r="K518" s="2">
        <f t="shared" si="68"/>
        <v>33.5</v>
      </c>
      <c r="L518" s="8">
        <f t="shared" si="72"/>
        <v>1.7378008287493753E-6</v>
      </c>
      <c r="M518" s="26">
        <f>SUM(L518:L523)</f>
        <v>5.2815712302285316E-6</v>
      </c>
      <c r="N518" s="17">
        <f>10*LOG10(M518/E518)</f>
        <v>-60.553881090795912</v>
      </c>
      <c r="O518" s="9">
        <f t="shared" si="70"/>
        <v>27.5</v>
      </c>
      <c r="P518" s="8">
        <f>D518/B518*10^(O518/10)</f>
        <v>21931.31168242362</v>
      </c>
      <c r="Q518" s="26">
        <f>SUM(P518:P523)</f>
        <v>237663.96187041866</v>
      </c>
      <c r="R518" s="17">
        <f>10*LOG10(Q518)</f>
        <v>53.759633325595402</v>
      </c>
      <c r="S518" s="18">
        <f>F518+N518-Kzt-H</f>
        <v>15.446118909204088</v>
      </c>
      <c r="T518" s="17">
        <v>0.8</v>
      </c>
      <c r="U518" s="21">
        <f>T518*10^((S518-R518)/10)</f>
        <v>1.1796102710147541E-4</v>
      </c>
    </row>
    <row r="519" spans="1:21" x14ac:dyDescent="0.25">
      <c r="A519" s="24"/>
      <c r="B519" s="24"/>
      <c r="C519" s="17"/>
      <c r="D519" s="24"/>
      <c r="E519" s="24"/>
      <c r="F519" s="25"/>
      <c r="G519" s="1">
        <v>975</v>
      </c>
      <c r="H519" s="2">
        <v>96.5</v>
      </c>
      <c r="I519" s="2">
        <v>37.6</v>
      </c>
      <c r="J519" s="2">
        <v>33</v>
      </c>
      <c r="K519" s="2">
        <f t="shared" si="68"/>
        <v>37.6</v>
      </c>
      <c r="L519" s="8">
        <f t="shared" si="72"/>
        <v>1.2882495516931333E-6</v>
      </c>
      <c r="M519" s="26"/>
      <c r="N519" s="17"/>
      <c r="O519" s="9">
        <f t="shared" si="70"/>
        <v>33</v>
      </c>
      <c r="P519" s="8">
        <f>D518/B518*10^(O519/10)</f>
        <v>77815.230283786339</v>
      </c>
      <c r="Q519" s="26"/>
      <c r="R519" s="17"/>
      <c r="S519" s="19"/>
      <c r="T519" s="17"/>
      <c r="U519" s="22"/>
    </row>
    <row r="520" spans="1:21" x14ac:dyDescent="0.25">
      <c r="A520" s="24"/>
      <c r="B520" s="24"/>
      <c r="C520" s="17"/>
      <c r="D520" s="24"/>
      <c r="E520" s="24"/>
      <c r="F520" s="25"/>
      <c r="G520" s="1">
        <v>1075</v>
      </c>
      <c r="H520" s="2">
        <v>94.6</v>
      </c>
      <c r="I520" s="2">
        <v>35.4</v>
      </c>
      <c r="J520" s="2">
        <v>30.1</v>
      </c>
      <c r="K520" s="2">
        <f t="shared" si="68"/>
        <v>35.4</v>
      </c>
      <c r="L520" s="8">
        <f t="shared" si="72"/>
        <v>1.2022644346174125E-6</v>
      </c>
      <c r="M520" s="26"/>
      <c r="N520" s="17"/>
      <c r="O520" s="9">
        <f t="shared" si="70"/>
        <v>30.1</v>
      </c>
      <c r="P520" s="8">
        <f>D518/B518*10^(O520/10)</f>
        <v>39908.426698949464</v>
      </c>
      <c r="Q520" s="26"/>
      <c r="R520" s="17"/>
      <c r="S520" s="19"/>
      <c r="T520" s="17"/>
      <c r="U520" s="22"/>
    </row>
    <row r="521" spans="1:21" x14ac:dyDescent="0.25">
      <c r="A521" s="24"/>
      <c r="B521" s="24"/>
      <c r="C521" s="17"/>
      <c r="D521" s="24"/>
      <c r="E521" s="24"/>
      <c r="F521" s="25"/>
      <c r="G521" s="1">
        <v>1175</v>
      </c>
      <c r="H521" s="2">
        <v>97.8</v>
      </c>
      <c r="I521" s="2">
        <v>36.6</v>
      </c>
      <c r="J521" s="2">
        <v>29.9</v>
      </c>
      <c r="K521" s="2">
        <f t="shared" si="68"/>
        <v>36.6</v>
      </c>
      <c r="L521" s="8">
        <f t="shared" si="72"/>
        <v>7.5857757502918357E-7</v>
      </c>
      <c r="M521" s="26"/>
      <c r="N521" s="17"/>
      <c r="O521" s="9">
        <f t="shared" si="70"/>
        <v>29.9</v>
      </c>
      <c r="P521" s="8">
        <f>D518/B518*10^(O521/10)</f>
        <v>38112.251617276612</v>
      </c>
      <c r="Q521" s="26"/>
      <c r="R521" s="17"/>
      <c r="S521" s="19"/>
      <c r="T521" s="17"/>
      <c r="U521" s="22"/>
    </row>
    <row r="522" spans="1:21" x14ac:dyDescent="0.25">
      <c r="A522" s="24"/>
      <c r="B522" s="24"/>
      <c r="C522" s="17"/>
      <c r="D522" s="24"/>
      <c r="E522" s="24"/>
      <c r="F522" s="25"/>
      <c r="G522" s="1">
        <v>1275</v>
      </c>
      <c r="H522" s="2">
        <v>100.1</v>
      </c>
      <c r="I522" s="2">
        <v>33.799999999999997</v>
      </c>
      <c r="J522" s="2">
        <v>29.7</v>
      </c>
      <c r="K522" s="2">
        <f t="shared" si="68"/>
        <v>33.799999999999997</v>
      </c>
      <c r="L522" s="8">
        <f t="shared" si="72"/>
        <v>2.3442288153199206E-7</v>
      </c>
      <c r="M522" s="26"/>
      <c r="N522" s="17"/>
      <c r="O522" s="9">
        <f t="shared" si="70"/>
        <v>29.7</v>
      </c>
      <c r="P522" s="8">
        <f>D518/B518*10^(O522/10)</f>
        <v>36396.917731082649</v>
      </c>
      <c r="Q522" s="26"/>
      <c r="R522" s="17"/>
      <c r="S522" s="19"/>
      <c r="T522" s="17"/>
      <c r="U522" s="22"/>
    </row>
    <row r="523" spans="1:21" x14ac:dyDescent="0.25">
      <c r="A523" s="24"/>
      <c r="B523" s="24"/>
      <c r="C523" s="17"/>
      <c r="D523" s="24"/>
      <c r="E523" s="24"/>
      <c r="F523" s="25"/>
      <c r="G523" s="1">
        <v>1375</v>
      </c>
      <c r="H523" s="2">
        <v>103</v>
      </c>
      <c r="I523" s="2">
        <v>30.8</v>
      </c>
      <c r="J523" s="2">
        <v>27.8</v>
      </c>
      <c r="K523" s="2">
        <f t="shared" si="68"/>
        <v>30.8</v>
      </c>
      <c r="L523" s="8">
        <f t="shared" si="72"/>
        <v>6.0255958607435649E-8</v>
      </c>
      <c r="M523" s="26"/>
      <c r="N523" s="17"/>
      <c r="O523" s="9">
        <f t="shared" si="70"/>
        <v>27.8</v>
      </c>
      <c r="P523" s="8">
        <f>D518/B518*10^(O523/10)</f>
        <v>23499.823856899973</v>
      </c>
      <c r="Q523" s="26"/>
      <c r="R523" s="17"/>
      <c r="S523" s="20"/>
      <c r="T523" s="17"/>
      <c r="U523" s="23"/>
    </row>
    <row r="524" spans="1:21" x14ac:dyDescent="0.25">
      <c r="A524" s="24">
        <v>2000</v>
      </c>
      <c r="B524" s="24">
        <v>3</v>
      </c>
      <c r="C524" s="17">
        <v>0.5</v>
      </c>
      <c r="D524" s="24">
        <v>234</v>
      </c>
      <c r="E524" s="24">
        <v>6</v>
      </c>
      <c r="F524" s="25">
        <v>68</v>
      </c>
      <c r="G524" s="1">
        <v>1425</v>
      </c>
      <c r="H524" s="2">
        <v>102.8</v>
      </c>
      <c r="I524" s="2">
        <v>34</v>
      </c>
      <c r="J524" s="2">
        <v>24.6</v>
      </c>
      <c r="K524" s="2">
        <f t="shared" si="68"/>
        <v>34</v>
      </c>
      <c r="L524" s="8">
        <f t="shared" si="72"/>
        <v>1.3182567385564048E-7</v>
      </c>
      <c r="M524" s="26">
        <f>SUM(L524:L529)</f>
        <v>1.1669664368044901E-6</v>
      </c>
      <c r="N524" s="17">
        <f>10*LOG10(M524/E524)</f>
        <v>-67.110928849297196</v>
      </c>
      <c r="O524" s="9">
        <f t="shared" si="70"/>
        <v>24.6</v>
      </c>
      <c r="P524" s="8">
        <f>D524/B524*10^(O524/10)</f>
        <v>22495.445724387537</v>
      </c>
      <c r="Q524" s="26">
        <f>SUM(P524:P529)</f>
        <v>400717.20477525954</v>
      </c>
      <c r="R524" s="17">
        <f>10*LOG10(Q524)</f>
        <v>56.028379892471534</v>
      </c>
      <c r="S524" s="18">
        <f>F524+N524-Kzt-H</f>
        <v>0.8890711507028044</v>
      </c>
      <c r="T524" s="17">
        <v>1</v>
      </c>
      <c r="U524" s="21">
        <f>T524*10^((S524-R524)/10)</f>
        <v>3.0624508393503574E-6</v>
      </c>
    </row>
    <row r="525" spans="1:21" x14ac:dyDescent="0.25">
      <c r="A525" s="24"/>
      <c r="B525" s="24"/>
      <c r="C525" s="17"/>
      <c r="D525" s="24"/>
      <c r="E525" s="24"/>
      <c r="F525" s="25"/>
      <c r="G525" s="1">
        <v>1625</v>
      </c>
      <c r="H525" s="2">
        <v>104.1</v>
      </c>
      <c r="I525" s="2">
        <v>32.700000000000003</v>
      </c>
      <c r="J525" s="2">
        <v>30.6</v>
      </c>
      <c r="K525" s="2">
        <f t="shared" si="68"/>
        <v>32.700000000000003</v>
      </c>
      <c r="L525" s="8">
        <f t="shared" si="72"/>
        <v>7.2443596007499061E-8</v>
      </c>
      <c r="M525" s="26"/>
      <c r="N525" s="17"/>
      <c r="O525" s="9">
        <f t="shared" si="70"/>
        <v>30.6</v>
      </c>
      <c r="P525" s="8">
        <f>D524/B524*10^(O525/10)</f>
        <v>89555.982476756952</v>
      </c>
      <c r="Q525" s="26"/>
      <c r="R525" s="17"/>
      <c r="S525" s="19"/>
      <c r="T525" s="17"/>
      <c r="U525" s="22"/>
    </row>
    <row r="526" spans="1:21" x14ac:dyDescent="0.25">
      <c r="A526" s="24"/>
      <c r="B526" s="24"/>
      <c r="C526" s="17"/>
      <c r="D526" s="24"/>
      <c r="E526" s="24"/>
      <c r="F526" s="25"/>
      <c r="G526" s="1">
        <v>1825</v>
      </c>
      <c r="H526" s="2">
        <v>107.6</v>
      </c>
      <c r="I526" s="2">
        <v>32</v>
      </c>
      <c r="J526" s="2">
        <v>29.8</v>
      </c>
      <c r="K526" s="2">
        <f t="shared" si="68"/>
        <v>32</v>
      </c>
      <c r="L526" s="8">
        <f t="shared" si="72"/>
        <v>2.75422870333816E-8</v>
      </c>
      <c r="M526" s="26"/>
      <c r="N526" s="17"/>
      <c r="O526" s="9">
        <f t="shared" si="70"/>
        <v>29.8</v>
      </c>
      <c r="P526" s="8">
        <f>D524/B524*10^(O526/10)</f>
        <v>74489.421709672068</v>
      </c>
      <c r="Q526" s="26"/>
      <c r="R526" s="17"/>
      <c r="S526" s="19"/>
      <c r="T526" s="17"/>
      <c r="U526" s="22"/>
    </row>
    <row r="527" spans="1:21" x14ac:dyDescent="0.25">
      <c r="A527" s="24"/>
      <c r="B527" s="24"/>
      <c r="C527" s="17"/>
      <c r="D527" s="24"/>
      <c r="E527" s="24"/>
      <c r="F527" s="25"/>
      <c r="G527" s="1">
        <v>2125</v>
      </c>
      <c r="H527" s="2">
        <v>104.2</v>
      </c>
      <c r="I527" s="2">
        <v>33.1</v>
      </c>
      <c r="J527" s="2">
        <v>31.3</v>
      </c>
      <c r="K527" s="2">
        <f t="shared" si="68"/>
        <v>33.1</v>
      </c>
      <c r="L527" s="8">
        <f t="shared" si="72"/>
        <v>7.762471166286921E-8</v>
      </c>
      <c r="M527" s="26"/>
      <c r="N527" s="17"/>
      <c r="O527" s="9">
        <f t="shared" si="70"/>
        <v>31.3</v>
      </c>
      <c r="P527" s="8">
        <f>D524/B524*10^(O527/10)</f>
        <v>105219.10484214901</v>
      </c>
      <c r="Q527" s="26"/>
      <c r="R527" s="17"/>
      <c r="S527" s="19"/>
      <c r="T527" s="17"/>
      <c r="U527" s="22"/>
    </row>
    <row r="528" spans="1:21" x14ac:dyDescent="0.25">
      <c r="A528" s="24"/>
      <c r="B528" s="24"/>
      <c r="C528" s="17"/>
      <c r="D528" s="24"/>
      <c r="E528" s="24"/>
      <c r="F528" s="25"/>
      <c r="G528" s="1">
        <v>2425</v>
      </c>
      <c r="H528" s="2">
        <v>93.7</v>
      </c>
      <c r="I528" s="2">
        <v>32.6</v>
      </c>
      <c r="J528" s="2">
        <v>29</v>
      </c>
      <c r="K528" s="2">
        <f t="shared" si="68"/>
        <v>32.6</v>
      </c>
      <c r="L528" s="8">
        <f t="shared" si="72"/>
        <v>7.7624711662869019E-7</v>
      </c>
      <c r="M528" s="26"/>
      <c r="N528" s="17"/>
      <c r="O528" s="9">
        <f t="shared" si="70"/>
        <v>29</v>
      </c>
      <c r="P528" s="8">
        <f>D524/B524*10^(O528/10)</f>
        <v>61957.602308494003</v>
      </c>
      <c r="Q528" s="26"/>
      <c r="R528" s="17"/>
      <c r="S528" s="19"/>
      <c r="T528" s="17"/>
      <c r="U528" s="22"/>
    </row>
    <row r="529" spans="1:21" x14ac:dyDescent="0.25">
      <c r="A529" s="24"/>
      <c r="B529" s="24"/>
      <c r="C529" s="17"/>
      <c r="D529" s="24"/>
      <c r="E529" s="24"/>
      <c r="F529" s="25"/>
      <c r="G529" s="1">
        <v>2775</v>
      </c>
      <c r="H529" s="2">
        <v>100.2</v>
      </c>
      <c r="I529" s="2">
        <v>29.3</v>
      </c>
      <c r="J529" s="2">
        <v>27.8</v>
      </c>
      <c r="K529" s="2">
        <f t="shared" si="68"/>
        <v>29.3</v>
      </c>
      <c r="L529" s="8">
        <f t="shared" si="72"/>
        <v>8.1283051616409646E-8</v>
      </c>
      <c r="M529" s="26"/>
      <c r="N529" s="17"/>
      <c r="O529" s="9">
        <f t="shared" si="70"/>
        <v>27.8</v>
      </c>
      <c r="P529" s="8">
        <f>D524/B524*10^(O529/10)</f>
        <v>46999.647713799946</v>
      </c>
      <c r="Q529" s="26"/>
      <c r="R529" s="17"/>
      <c r="S529" s="20"/>
      <c r="T529" s="17"/>
      <c r="U529" s="23"/>
    </row>
    <row r="530" spans="1:21" x14ac:dyDescent="0.25">
      <c r="A530" s="24">
        <v>4000</v>
      </c>
      <c r="B530" s="24">
        <v>3</v>
      </c>
      <c r="C530" s="17">
        <v>0.5</v>
      </c>
      <c r="D530" s="24">
        <v>470</v>
      </c>
      <c r="E530" s="24">
        <v>6</v>
      </c>
      <c r="F530" s="25">
        <v>62</v>
      </c>
      <c r="G530" s="1">
        <v>2825</v>
      </c>
      <c r="H530" s="2">
        <v>99.4</v>
      </c>
      <c r="I530" s="2">
        <v>35</v>
      </c>
      <c r="J530" s="2">
        <v>26.3</v>
      </c>
      <c r="K530" s="2">
        <f t="shared" si="68"/>
        <v>35</v>
      </c>
      <c r="L530" s="8">
        <f t="shared" si="72"/>
        <v>3.6307805477010047E-7</v>
      </c>
      <c r="M530" s="26">
        <f>SUM(L530:L535)</f>
        <v>6.3390338280454479E-7</v>
      </c>
      <c r="N530" s="17">
        <f>10*LOG10(M530/E530)</f>
        <v>-69.761281810072703</v>
      </c>
      <c r="O530" s="9">
        <f t="shared" si="70"/>
        <v>26.3</v>
      </c>
      <c r="P530" s="8">
        <f>D530/B530*10^(O530/10)</f>
        <v>66830.791278916222</v>
      </c>
      <c r="Q530" s="26">
        <f>SUM(P530:P535)</f>
        <v>623326.1424873505</v>
      </c>
      <c r="R530" s="17">
        <f>10*LOG10(Q530)</f>
        <v>57.947153417161779</v>
      </c>
      <c r="S530" s="18">
        <f>F530+N530-Kzt-H</f>
        <v>-7.7612818100727026</v>
      </c>
      <c r="T530" s="17">
        <v>0.9</v>
      </c>
      <c r="U530" s="21">
        <f>T530*10^((S530-R530)/10)</f>
        <v>2.4176809400515017E-7</v>
      </c>
    </row>
    <row r="531" spans="1:21" x14ac:dyDescent="0.25">
      <c r="A531" s="24"/>
      <c r="B531" s="24"/>
      <c r="C531" s="17"/>
      <c r="D531" s="24"/>
      <c r="E531" s="24"/>
      <c r="F531" s="25"/>
      <c r="G531" s="1">
        <v>3425</v>
      </c>
      <c r="H531" s="2">
        <v>103.5</v>
      </c>
      <c r="I531" s="2">
        <v>30.8</v>
      </c>
      <c r="J531" s="2">
        <v>28.2</v>
      </c>
      <c r="K531" s="2">
        <f t="shared" si="68"/>
        <v>30.8</v>
      </c>
      <c r="L531" s="8">
        <f t="shared" si="72"/>
        <v>5.3703179637025192E-8</v>
      </c>
      <c r="M531" s="26"/>
      <c r="N531" s="17"/>
      <c r="O531" s="9">
        <f t="shared" si="70"/>
        <v>28.2</v>
      </c>
      <c r="P531" s="8">
        <f>D530/B530*10^(O531/10)</f>
        <v>103508.64018785677</v>
      </c>
      <c r="Q531" s="26"/>
      <c r="R531" s="17"/>
      <c r="S531" s="19"/>
      <c r="T531" s="17"/>
      <c r="U531" s="22"/>
    </row>
    <row r="532" spans="1:21" x14ac:dyDescent="0.25">
      <c r="A532" s="24"/>
      <c r="B532" s="24"/>
      <c r="C532" s="17"/>
      <c r="D532" s="24"/>
      <c r="E532" s="24"/>
      <c r="F532" s="25"/>
      <c r="G532" s="1">
        <v>4025</v>
      </c>
      <c r="H532" s="2">
        <v>103.6</v>
      </c>
      <c r="I532" s="2">
        <v>30.6</v>
      </c>
      <c r="J532" s="2">
        <v>26.4</v>
      </c>
      <c r="K532" s="2">
        <f t="shared" si="68"/>
        <v>30.6</v>
      </c>
      <c r="L532" s="8">
        <f t="shared" si="72"/>
        <v>5.0118723362727164E-8</v>
      </c>
      <c r="M532" s="26"/>
      <c r="N532" s="17"/>
      <c r="O532" s="9">
        <f t="shared" si="70"/>
        <v>26.4</v>
      </c>
      <c r="P532" s="8">
        <f>D530/B530*10^(O532/10)</f>
        <v>68387.480384292634</v>
      </c>
      <c r="Q532" s="26"/>
      <c r="R532" s="17"/>
      <c r="S532" s="19"/>
      <c r="T532" s="17"/>
      <c r="U532" s="22"/>
    </row>
    <row r="533" spans="1:21" x14ac:dyDescent="0.25">
      <c r="A533" s="24"/>
      <c r="B533" s="24"/>
      <c r="C533" s="17"/>
      <c r="D533" s="24"/>
      <c r="E533" s="24"/>
      <c r="F533" s="25"/>
      <c r="G533" s="1">
        <v>4625</v>
      </c>
      <c r="H533" s="2">
        <v>105.6</v>
      </c>
      <c r="I533" s="2">
        <v>30.8</v>
      </c>
      <c r="J533" s="2">
        <v>30.7</v>
      </c>
      <c r="K533" s="2">
        <f t="shared" si="68"/>
        <v>30.8</v>
      </c>
      <c r="L533" s="8">
        <f t="shared" si="72"/>
        <v>3.3113112148259124E-8</v>
      </c>
      <c r="M533" s="26"/>
      <c r="N533" s="17"/>
      <c r="O533" s="9">
        <f t="shared" si="70"/>
        <v>30.7</v>
      </c>
      <c r="P533" s="8">
        <f>D530/B530*10^(O533/10)</f>
        <v>184067.28360719295</v>
      </c>
      <c r="Q533" s="26"/>
      <c r="R533" s="17"/>
      <c r="S533" s="19"/>
      <c r="T533" s="17"/>
      <c r="U533" s="22"/>
    </row>
    <row r="534" spans="1:21" x14ac:dyDescent="0.25">
      <c r="A534" s="24"/>
      <c r="B534" s="24"/>
      <c r="C534" s="17"/>
      <c r="D534" s="24"/>
      <c r="E534" s="24"/>
      <c r="F534" s="25"/>
      <c r="G534" s="1">
        <v>5225</v>
      </c>
      <c r="H534" s="2">
        <v>103.5</v>
      </c>
      <c r="I534" s="2">
        <v>31.5</v>
      </c>
      <c r="J534" s="2">
        <v>29.7</v>
      </c>
      <c r="K534" s="2">
        <f t="shared" si="68"/>
        <v>31.5</v>
      </c>
      <c r="L534" s="8">
        <f t="shared" si="72"/>
        <v>6.3095734448019177E-8</v>
      </c>
      <c r="M534" s="26"/>
      <c r="N534" s="17"/>
      <c r="O534" s="9">
        <f t="shared" si="70"/>
        <v>29.7</v>
      </c>
      <c r="P534" s="8">
        <f>D530/B530*10^(O534/10)</f>
        <v>146209.84045819525</v>
      </c>
      <c r="Q534" s="26"/>
      <c r="R534" s="17"/>
      <c r="S534" s="19"/>
      <c r="T534" s="17"/>
      <c r="U534" s="22"/>
    </row>
    <row r="535" spans="1:21" x14ac:dyDescent="0.25">
      <c r="A535" s="24"/>
      <c r="B535" s="24"/>
      <c r="C535" s="17"/>
      <c r="D535" s="24"/>
      <c r="E535" s="24"/>
      <c r="F535" s="25"/>
      <c r="G535" s="1">
        <v>5625</v>
      </c>
      <c r="H535" s="2">
        <v>99.5</v>
      </c>
      <c r="I535" s="2">
        <v>28</v>
      </c>
      <c r="J535" s="2">
        <v>25.4</v>
      </c>
      <c r="K535" s="2">
        <f t="shared" si="68"/>
        <v>28</v>
      </c>
      <c r="L535" s="8">
        <f t="shared" si="72"/>
        <v>7.0794578438413597E-8</v>
      </c>
      <c r="M535" s="26"/>
      <c r="N535" s="17"/>
      <c r="O535" s="9">
        <f t="shared" si="70"/>
        <v>25.4</v>
      </c>
      <c r="P535" s="8">
        <f>D530/B530*10^(O535/10)</f>
        <v>54322.106570896649</v>
      </c>
      <c r="Q535" s="26"/>
      <c r="R535" s="17"/>
      <c r="S535" s="20"/>
      <c r="T535" s="17"/>
      <c r="U535" s="23"/>
    </row>
    <row r="536" spans="1:21" x14ac:dyDescent="0.25">
      <c r="A536" s="24">
        <v>8000</v>
      </c>
      <c r="B536" s="24">
        <v>3</v>
      </c>
      <c r="C536" s="17">
        <v>0.5</v>
      </c>
      <c r="D536" s="24">
        <v>943</v>
      </c>
      <c r="E536" s="24">
        <v>6</v>
      </c>
      <c r="F536" s="25">
        <v>54</v>
      </c>
      <c r="G536" s="1">
        <v>6025</v>
      </c>
      <c r="H536" s="2">
        <v>95</v>
      </c>
      <c r="I536" s="2">
        <v>32.9</v>
      </c>
      <c r="J536" s="2">
        <v>29.6</v>
      </c>
      <c r="K536" s="2">
        <f t="shared" si="68"/>
        <v>32.9</v>
      </c>
      <c r="L536" s="8">
        <f t="shared" si="72"/>
        <v>6.1659500186148145E-7</v>
      </c>
      <c r="M536" s="26">
        <f>SUM(L536:L541)</f>
        <v>4.8014890651466554E-6</v>
      </c>
      <c r="N536" s="17">
        <f>10*LOG10(M536/E536)</f>
        <v>-60.967753062397243</v>
      </c>
      <c r="O536" s="9">
        <f t="shared" si="70"/>
        <v>29.6</v>
      </c>
      <c r="P536" s="8">
        <f>D536/B536*10^(O536/10)</f>
        <v>286675.4071708743</v>
      </c>
      <c r="Q536" s="26">
        <f>SUM(P536:P541)</f>
        <v>899376.79130462976</v>
      </c>
      <c r="R536" s="17">
        <f>10*LOG10(Q536)</f>
        <v>59.539416762735272</v>
      </c>
      <c r="S536" s="18">
        <f>F536+N536-Kzt-H</f>
        <v>-6.967753062397243</v>
      </c>
      <c r="T536" s="17">
        <v>0.7</v>
      </c>
      <c r="U536" s="21">
        <f>T536*10^((S536-R536)/10)</f>
        <v>1.5645197773378435E-7</v>
      </c>
    </row>
    <row r="537" spans="1:21" x14ac:dyDescent="0.25">
      <c r="A537" s="24"/>
      <c r="B537" s="24"/>
      <c r="C537" s="17"/>
      <c r="D537" s="24"/>
      <c r="E537" s="24"/>
      <c r="F537" s="25"/>
      <c r="G537" s="1">
        <v>7025</v>
      </c>
      <c r="H537" s="2">
        <v>94.8</v>
      </c>
      <c r="I537" s="2">
        <v>27.799999999999997</v>
      </c>
      <c r="J537" s="2">
        <v>25.9</v>
      </c>
      <c r="K537" s="2">
        <f t="shared" si="68"/>
        <v>27.799999999999997</v>
      </c>
      <c r="L537" s="8">
        <f t="shared" si="72"/>
        <v>1.9952623149688761E-7</v>
      </c>
      <c r="M537" s="26"/>
      <c r="N537" s="17"/>
      <c r="O537" s="9">
        <f t="shared" si="70"/>
        <v>25.9</v>
      </c>
      <c r="P537" s="8">
        <f>D536/B536*10^(O537/10)</f>
        <v>122289.8572432022</v>
      </c>
      <c r="Q537" s="26"/>
      <c r="R537" s="17"/>
      <c r="S537" s="19"/>
      <c r="T537" s="17"/>
      <c r="U537" s="22"/>
    </row>
    <row r="538" spans="1:21" x14ac:dyDescent="0.25">
      <c r="A538" s="24"/>
      <c r="B538" s="24"/>
      <c r="C538" s="17"/>
      <c r="D538" s="24"/>
      <c r="E538" s="24"/>
      <c r="F538" s="25"/>
      <c r="G538" s="1">
        <v>8025</v>
      </c>
      <c r="H538" s="2">
        <v>101.9</v>
      </c>
      <c r="I538" s="2">
        <v>34.6</v>
      </c>
      <c r="J538" s="2">
        <v>28.3</v>
      </c>
      <c r="K538" s="2">
        <f t="shared" si="68"/>
        <v>34.6</v>
      </c>
      <c r="L538" s="8">
        <f t="shared" si="72"/>
        <v>1.8620871366628582E-7</v>
      </c>
      <c r="M538" s="26"/>
      <c r="N538" s="17"/>
      <c r="O538" s="9">
        <f t="shared" si="70"/>
        <v>28.3</v>
      </c>
      <c r="P538" s="8">
        <f>D536/B536*10^(O538/10)</f>
        <v>212515.4152648797</v>
      </c>
      <c r="Q538" s="26"/>
      <c r="R538" s="17"/>
      <c r="S538" s="19"/>
      <c r="T538" s="17"/>
      <c r="U538" s="22"/>
    </row>
    <row r="539" spans="1:21" x14ac:dyDescent="0.25">
      <c r="A539" s="24"/>
      <c r="B539" s="24"/>
      <c r="C539" s="17"/>
      <c r="D539" s="24"/>
      <c r="E539" s="24"/>
      <c r="F539" s="25"/>
      <c r="G539" s="1">
        <v>9025</v>
      </c>
      <c r="H539" s="2">
        <v>93.2</v>
      </c>
      <c r="I539" s="2">
        <v>30.8</v>
      </c>
      <c r="J539" s="2">
        <v>26.5</v>
      </c>
      <c r="K539" s="2">
        <f t="shared" si="68"/>
        <v>30.8</v>
      </c>
      <c r="L539" s="8">
        <f t="shared" si="72"/>
        <v>5.7543993733715549E-7</v>
      </c>
      <c r="M539" s="26"/>
      <c r="N539" s="17"/>
      <c r="O539" s="9">
        <f t="shared" si="70"/>
        <v>26.5</v>
      </c>
      <c r="P539" s="8">
        <f>D536/B536*10^(O539/10)</f>
        <v>140407.54246611946</v>
      </c>
      <c r="Q539" s="26"/>
      <c r="R539" s="17"/>
      <c r="S539" s="19"/>
      <c r="T539" s="17"/>
      <c r="U539" s="22"/>
    </row>
    <row r="540" spans="1:21" x14ac:dyDescent="0.25">
      <c r="A540" s="24"/>
      <c r="B540" s="24"/>
      <c r="C540" s="17"/>
      <c r="D540" s="24"/>
      <c r="E540" s="24"/>
      <c r="F540" s="25"/>
      <c r="G540" s="1">
        <v>10025</v>
      </c>
      <c r="H540" s="2">
        <v>88.3</v>
      </c>
      <c r="I540" s="2">
        <v>29.9</v>
      </c>
      <c r="J540" s="2">
        <v>24</v>
      </c>
      <c r="K540" s="2">
        <f t="shared" si="68"/>
        <v>29.9</v>
      </c>
      <c r="L540" s="8">
        <f t="shared" si="72"/>
        <v>1.445439770745926E-6</v>
      </c>
      <c r="M540" s="26"/>
      <c r="N540" s="17"/>
      <c r="O540" s="9">
        <f t="shared" si="70"/>
        <v>24</v>
      </c>
      <c r="P540" s="8">
        <f>D536/B536*10^(O540/10)</f>
        <v>78956.963497117817</v>
      </c>
      <c r="Q540" s="26"/>
      <c r="R540" s="17"/>
      <c r="S540" s="19"/>
      <c r="T540" s="17"/>
      <c r="U540" s="22"/>
    </row>
    <row r="541" spans="1:21" x14ac:dyDescent="0.25">
      <c r="A541" s="24"/>
      <c r="B541" s="24"/>
      <c r="C541" s="17"/>
      <c r="D541" s="24"/>
      <c r="E541" s="24"/>
      <c r="F541" s="25"/>
      <c r="G541" s="1">
        <v>11025</v>
      </c>
      <c r="H541" s="2">
        <v>86</v>
      </c>
      <c r="I541" s="2">
        <v>28.5</v>
      </c>
      <c r="J541" s="2">
        <v>22.7</v>
      </c>
      <c r="K541" s="2">
        <f t="shared" si="68"/>
        <v>28.5</v>
      </c>
      <c r="L541" s="8">
        <f t="shared" si="72"/>
        <v>1.7782794100389193E-6</v>
      </c>
      <c r="M541" s="26"/>
      <c r="N541" s="17"/>
      <c r="O541" s="9">
        <f t="shared" si="70"/>
        <v>22.7</v>
      </c>
      <c r="P541" s="8">
        <f>D536/B536*10^(O541/10)</f>
        <v>58531.605662436166</v>
      </c>
      <c r="Q541" s="26"/>
      <c r="R541" s="17"/>
      <c r="S541" s="20"/>
      <c r="T541" s="17"/>
      <c r="U541" s="23"/>
    </row>
    <row r="542" spans="1:21" x14ac:dyDescent="0.25">
      <c r="A542" s="24" t="s">
        <v>20</v>
      </c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12">
        <f>U542</f>
        <v>6.0430048585818255E-2</v>
      </c>
      <c r="T542" s="2"/>
      <c r="U542" s="8">
        <f>0.8*SQRT(SUM(U508:U541))</f>
        <v>6.0430048585818255E-2</v>
      </c>
    </row>
    <row r="543" spans="1:21" x14ac:dyDescent="0.25">
      <c r="A543" s="27" t="s">
        <v>127</v>
      </c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9"/>
    </row>
    <row r="544" spans="1:21" x14ac:dyDescent="0.25">
      <c r="A544" s="24">
        <v>250</v>
      </c>
      <c r="B544" s="24">
        <v>3</v>
      </c>
      <c r="C544" s="17">
        <v>0.5</v>
      </c>
      <c r="D544" s="24">
        <v>38</v>
      </c>
      <c r="E544" s="24">
        <v>4</v>
      </c>
      <c r="F544" s="25">
        <v>84</v>
      </c>
      <c r="G544" s="1">
        <v>175</v>
      </c>
      <c r="H544" s="2">
        <v>84.8</v>
      </c>
      <c r="I544" s="2">
        <v>36.9</v>
      </c>
      <c r="J544" s="2">
        <v>35.4</v>
      </c>
      <c r="K544" s="2">
        <f>I544</f>
        <v>36.9</v>
      </c>
      <c r="L544" s="8">
        <f>10^((K544-H544)/10)</f>
        <v>1.6218100973589292E-5</v>
      </c>
      <c r="M544" s="26">
        <f>SUM(L544:L547)</f>
        <v>3.5851120927578104E-5</v>
      </c>
      <c r="N544" s="17">
        <f>10*LOG10(M544/E544)</f>
        <v>-50.475572523826841</v>
      </c>
      <c r="O544" s="9">
        <f>J544</f>
        <v>35.4</v>
      </c>
      <c r="P544" s="8">
        <f>D544/B544*10^(O544/10)</f>
        <v>43920.001057320747</v>
      </c>
      <c r="Q544" s="26">
        <f>SUM(P544:P547)</f>
        <v>137036.28904998934</v>
      </c>
      <c r="R544" s="17">
        <f>10*LOG10(Q544)</f>
        <v>51.368355893989765</v>
      </c>
      <c r="S544" s="18">
        <f>F544+N544-Kzt-H</f>
        <v>33.524427476173159</v>
      </c>
      <c r="T544" s="17">
        <v>0.2</v>
      </c>
      <c r="U544" s="21">
        <f>T544*10^((S544-R544)/10)</f>
        <v>3.2857699532253763E-3</v>
      </c>
    </row>
    <row r="545" spans="1:21" x14ac:dyDescent="0.25">
      <c r="A545" s="24"/>
      <c r="B545" s="24"/>
      <c r="C545" s="17"/>
      <c r="D545" s="24"/>
      <c r="E545" s="24"/>
      <c r="F545" s="25"/>
      <c r="G545" s="1">
        <v>225</v>
      </c>
      <c r="H545" s="2">
        <v>90</v>
      </c>
      <c r="I545" s="2">
        <v>39.4</v>
      </c>
      <c r="J545" s="2">
        <v>29.7</v>
      </c>
      <c r="K545" s="2">
        <f t="shared" ref="K545:K577" si="73">I545</f>
        <v>39.4</v>
      </c>
      <c r="L545" s="8">
        <f t="shared" ref="L545:L546" si="74">10^((K545-H545)/10)</f>
        <v>8.7096358995607954E-6</v>
      </c>
      <c r="M545" s="26"/>
      <c r="N545" s="17"/>
      <c r="O545" s="9">
        <f t="shared" ref="O545:O577" si="75">J545</f>
        <v>29.7</v>
      </c>
      <c r="P545" s="8">
        <f>D544/B544*10^(O545/10)</f>
        <v>11821.221143428553</v>
      </c>
      <c r="Q545" s="26"/>
      <c r="R545" s="17"/>
      <c r="S545" s="19"/>
      <c r="T545" s="17"/>
      <c r="U545" s="22"/>
    </row>
    <row r="546" spans="1:21" x14ac:dyDescent="0.25">
      <c r="A546" s="24"/>
      <c r="B546" s="24"/>
      <c r="C546" s="17"/>
      <c r="D546" s="24"/>
      <c r="E546" s="24"/>
      <c r="F546" s="25"/>
      <c r="G546" s="1">
        <v>275</v>
      </c>
      <c r="H546" s="2">
        <v>92.2</v>
      </c>
      <c r="I546" s="2">
        <v>40</v>
      </c>
      <c r="J546" s="2">
        <v>33.700000000000003</v>
      </c>
      <c r="K546" s="2">
        <f t="shared" si="73"/>
        <v>40</v>
      </c>
      <c r="L546" s="8">
        <f t="shared" si="74"/>
        <v>6.025595860743557E-6</v>
      </c>
      <c r="M546" s="26"/>
      <c r="N546" s="17"/>
      <c r="O546" s="9">
        <f t="shared" si="75"/>
        <v>33.700000000000003</v>
      </c>
      <c r="P546" s="8">
        <f>D544/B544*10^(O546/10)</f>
        <v>29693.564994052365</v>
      </c>
      <c r="Q546" s="26"/>
      <c r="R546" s="17"/>
      <c r="S546" s="19"/>
      <c r="T546" s="17"/>
      <c r="U546" s="22"/>
    </row>
    <row r="547" spans="1:21" x14ac:dyDescent="0.25">
      <c r="A547" s="24"/>
      <c r="B547" s="24"/>
      <c r="C547" s="17"/>
      <c r="D547" s="24"/>
      <c r="E547" s="24"/>
      <c r="F547" s="25"/>
      <c r="G547" s="1">
        <v>325</v>
      </c>
      <c r="H547" s="2">
        <v>93.3</v>
      </c>
      <c r="I547" s="2">
        <v>40.200000000000003</v>
      </c>
      <c r="J547" s="2">
        <v>36.1</v>
      </c>
      <c r="K547" s="2">
        <f t="shared" si="73"/>
        <v>40.200000000000003</v>
      </c>
      <c r="L547" s="8">
        <f>10^((K547-H547)/10)</f>
        <v>4.8977881936844583E-6</v>
      </c>
      <c r="M547" s="26"/>
      <c r="N547" s="17"/>
      <c r="O547" s="9">
        <f t="shared" si="75"/>
        <v>36.1</v>
      </c>
      <c r="P547" s="8">
        <f>D544/B544*10^(O547/10)</f>
        <v>51601.501855187664</v>
      </c>
      <c r="Q547" s="26"/>
      <c r="R547" s="17"/>
      <c r="S547" s="20"/>
      <c r="T547" s="17"/>
      <c r="U547" s="23"/>
    </row>
    <row r="548" spans="1:21" x14ac:dyDescent="0.25">
      <c r="A548" s="24">
        <v>500</v>
      </c>
      <c r="B548" s="24">
        <v>3</v>
      </c>
      <c r="C548" s="17">
        <v>0.5</v>
      </c>
      <c r="D548" s="24">
        <v>59</v>
      </c>
      <c r="E548" s="24">
        <v>6</v>
      </c>
      <c r="F548" s="25">
        <v>84</v>
      </c>
      <c r="G548" s="1">
        <v>375</v>
      </c>
      <c r="H548" s="2">
        <v>91.9</v>
      </c>
      <c r="I548" s="2">
        <v>40.299999999999997</v>
      </c>
      <c r="J548" s="2">
        <v>36</v>
      </c>
      <c r="K548" s="2">
        <f t="shared" si="73"/>
        <v>40.299999999999997</v>
      </c>
      <c r="L548" s="8">
        <f t="shared" ref="L548:L549" si="76">10^((K548-H548)/10)</f>
        <v>6.9183097091893371E-6</v>
      </c>
      <c r="M548" s="26">
        <f>SUM(L548:L553)</f>
        <v>2.9630879392457649E-5</v>
      </c>
      <c r="N548" s="17">
        <f>10*LOG10(M548/E548)</f>
        <v>-53.06406709614884</v>
      </c>
      <c r="O548" s="9">
        <f t="shared" si="75"/>
        <v>36</v>
      </c>
      <c r="P548" s="8">
        <f>D548/B548*10^(O548/10)</f>
        <v>78294.410208854548</v>
      </c>
      <c r="Q548" s="26">
        <f>SUM(P548:P553)</f>
        <v>257434.32289426393</v>
      </c>
      <c r="R548" s="17">
        <f>10*LOG10(Q548)</f>
        <v>54.106664495218908</v>
      </c>
      <c r="S548" s="18">
        <f>F548+N548-Kzt-H</f>
        <v>30.93593290385116</v>
      </c>
      <c r="T548" s="17">
        <v>0.5</v>
      </c>
      <c r="U548" s="21">
        <f>T548*10^((S548-R548)/10)</f>
        <v>2.4093330894012629E-3</v>
      </c>
    </row>
    <row r="549" spans="1:21" x14ac:dyDescent="0.25">
      <c r="A549" s="24"/>
      <c r="B549" s="24"/>
      <c r="C549" s="17"/>
      <c r="D549" s="24"/>
      <c r="E549" s="24"/>
      <c r="F549" s="25"/>
      <c r="G549" s="1">
        <v>425</v>
      </c>
      <c r="H549" s="2">
        <v>88.1</v>
      </c>
      <c r="I549" s="2">
        <v>38.6</v>
      </c>
      <c r="J549" s="2">
        <v>32.5</v>
      </c>
      <c r="K549" s="2">
        <f t="shared" si="73"/>
        <v>38.6</v>
      </c>
      <c r="L549" s="8">
        <f t="shared" si="76"/>
        <v>1.1220184543019647E-5</v>
      </c>
      <c r="M549" s="26"/>
      <c r="N549" s="17"/>
      <c r="O549" s="9">
        <f t="shared" si="75"/>
        <v>32.5</v>
      </c>
      <c r="P549" s="8">
        <f>D548/B548*10^(O549/10)</f>
        <v>34972.828397432182</v>
      </c>
      <c r="Q549" s="26"/>
      <c r="R549" s="17"/>
      <c r="S549" s="19"/>
      <c r="T549" s="17"/>
      <c r="U549" s="22"/>
    </row>
    <row r="550" spans="1:21" x14ac:dyDescent="0.25">
      <c r="A550" s="24"/>
      <c r="B550" s="24"/>
      <c r="C550" s="17"/>
      <c r="D550" s="24"/>
      <c r="E550" s="24"/>
      <c r="F550" s="25"/>
      <c r="G550" s="1">
        <v>475</v>
      </c>
      <c r="H550" s="2">
        <v>90</v>
      </c>
      <c r="I550" s="2">
        <v>38.6</v>
      </c>
      <c r="J550" s="2">
        <v>31.3</v>
      </c>
      <c r="K550" s="2">
        <f t="shared" si="73"/>
        <v>38.6</v>
      </c>
      <c r="L550" s="8">
        <f>10^((K550-H550)/10)</f>
        <v>7.2443596007498957E-6</v>
      </c>
      <c r="M550" s="26"/>
      <c r="N550" s="17"/>
      <c r="O550" s="9">
        <f t="shared" si="75"/>
        <v>31.3</v>
      </c>
      <c r="P550" s="8">
        <f>D548/B548*10^(O550/10)</f>
        <v>26529.603357635864</v>
      </c>
      <c r="Q550" s="26"/>
      <c r="R550" s="17"/>
      <c r="S550" s="19"/>
      <c r="T550" s="17"/>
      <c r="U550" s="22"/>
    </row>
    <row r="551" spans="1:21" x14ac:dyDescent="0.25">
      <c r="A551" s="24"/>
      <c r="B551" s="24"/>
      <c r="C551" s="17"/>
      <c r="D551" s="24"/>
      <c r="E551" s="24"/>
      <c r="F551" s="25"/>
      <c r="G551" s="1">
        <v>575</v>
      </c>
      <c r="H551" s="2">
        <v>97</v>
      </c>
      <c r="I551" s="2">
        <v>36.299999999999997</v>
      </c>
      <c r="J551" s="2">
        <v>31.4</v>
      </c>
      <c r="K551" s="2">
        <f t="shared" si="73"/>
        <v>36.299999999999997</v>
      </c>
      <c r="L551" s="8">
        <f t="shared" ref="L551:L577" si="77">10^((K551-H551)/10)</f>
        <v>8.511380382023744E-7</v>
      </c>
      <c r="M551" s="26"/>
      <c r="N551" s="17"/>
      <c r="O551" s="9">
        <f t="shared" si="75"/>
        <v>31.4</v>
      </c>
      <c r="P551" s="8">
        <f>D548/B548*10^(O551/10)</f>
        <v>27147.557203856744</v>
      </c>
      <c r="Q551" s="26"/>
      <c r="R551" s="17"/>
      <c r="S551" s="19"/>
      <c r="T551" s="17"/>
      <c r="U551" s="22"/>
    </row>
    <row r="552" spans="1:21" x14ac:dyDescent="0.25">
      <c r="A552" s="24"/>
      <c r="B552" s="24"/>
      <c r="C552" s="17"/>
      <c r="D552" s="24"/>
      <c r="E552" s="24"/>
      <c r="F552" s="25"/>
      <c r="G552" s="1">
        <v>625</v>
      </c>
      <c r="H552" s="2">
        <v>92</v>
      </c>
      <c r="I552" s="2">
        <v>35.299999999999997</v>
      </c>
      <c r="J552" s="2">
        <v>34</v>
      </c>
      <c r="K552" s="2">
        <f t="shared" si="73"/>
        <v>35.299999999999997</v>
      </c>
      <c r="L552" s="8">
        <f t="shared" si="77"/>
        <v>2.1379620895022301E-6</v>
      </c>
      <c r="M552" s="26"/>
      <c r="N552" s="17"/>
      <c r="O552" s="9">
        <f t="shared" si="75"/>
        <v>34</v>
      </c>
      <c r="P552" s="8">
        <f>D548/B548*10^(O552/10)</f>
        <v>49400.433153021768</v>
      </c>
      <c r="Q552" s="26"/>
      <c r="R552" s="17"/>
      <c r="S552" s="19"/>
      <c r="T552" s="17"/>
      <c r="U552" s="22"/>
    </row>
    <row r="553" spans="1:21" x14ac:dyDescent="0.25">
      <c r="A553" s="24"/>
      <c r="B553" s="24"/>
      <c r="C553" s="17"/>
      <c r="D553" s="24"/>
      <c r="E553" s="24"/>
      <c r="F553" s="25"/>
      <c r="G553" s="1">
        <v>675</v>
      </c>
      <c r="H553" s="2">
        <v>94.5</v>
      </c>
      <c r="I553" s="2">
        <v>35.5</v>
      </c>
      <c r="J553" s="2">
        <v>33.200000000000003</v>
      </c>
      <c r="K553" s="2">
        <f t="shared" si="73"/>
        <v>35.5</v>
      </c>
      <c r="L553" s="8">
        <f t="shared" si="77"/>
        <v>1.2589254117941642E-6</v>
      </c>
      <c r="M553" s="26"/>
      <c r="N553" s="17"/>
      <c r="O553" s="9">
        <f t="shared" si="75"/>
        <v>33.200000000000003</v>
      </c>
      <c r="P553" s="8">
        <f>D548/B548*10^(O553/10)</f>
        <v>41089.490573462826</v>
      </c>
      <c r="Q553" s="26"/>
      <c r="R553" s="17"/>
      <c r="S553" s="20"/>
      <c r="T553" s="17"/>
      <c r="U553" s="23"/>
    </row>
    <row r="554" spans="1:21" x14ac:dyDescent="0.25">
      <c r="A554" s="24">
        <v>1000</v>
      </c>
      <c r="B554" s="24">
        <v>3</v>
      </c>
      <c r="C554" s="17">
        <v>0.5</v>
      </c>
      <c r="D554" s="24">
        <v>117</v>
      </c>
      <c r="E554" s="24">
        <v>6</v>
      </c>
      <c r="F554" s="25">
        <v>76</v>
      </c>
      <c r="G554" s="1">
        <v>875</v>
      </c>
      <c r="H554" s="2">
        <v>91.1</v>
      </c>
      <c r="I554" s="2">
        <v>33.5</v>
      </c>
      <c r="J554" s="2">
        <v>32.6</v>
      </c>
      <c r="K554" s="2">
        <f t="shared" si="73"/>
        <v>33.5</v>
      </c>
      <c r="L554" s="8">
        <f t="shared" si="77"/>
        <v>1.7378008287493753E-6</v>
      </c>
      <c r="M554" s="26">
        <f>SUM(L554:L559)</f>
        <v>4.2228263274837388E-6</v>
      </c>
      <c r="N554" s="17">
        <f>10*LOG10(M554/E554)</f>
        <v>-61.525480298553632</v>
      </c>
      <c r="O554" s="9">
        <f t="shared" si="75"/>
        <v>32.6</v>
      </c>
      <c r="P554" s="8">
        <f>D554/B554*10^(O554/10)</f>
        <v>70968.333485789422</v>
      </c>
      <c r="Q554" s="26">
        <f>SUM(P554:P559)</f>
        <v>311895.92178039718</v>
      </c>
      <c r="R554" s="17">
        <f>10*LOG10(Q554)</f>
        <v>54.940096961426875</v>
      </c>
      <c r="S554" s="18">
        <f>F554+N554-Kzt-H</f>
        <v>14.474519701446368</v>
      </c>
      <c r="T554" s="17">
        <v>0.8</v>
      </c>
      <c r="U554" s="21">
        <f>T554*10^((S554-R554)/10)</f>
        <v>7.1867454218997872E-5</v>
      </c>
    </row>
    <row r="555" spans="1:21" x14ac:dyDescent="0.25">
      <c r="A555" s="24"/>
      <c r="B555" s="24"/>
      <c r="C555" s="17"/>
      <c r="D555" s="24"/>
      <c r="E555" s="24"/>
      <c r="F555" s="25"/>
      <c r="G555" s="1">
        <v>975</v>
      </c>
      <c r="H555" s="2">
        <v>96.5</v>
      </c>
      <c r="I555" s="2">
        <v>34.6</v>
      </c>
      <c r="J555" s="2">
        <v>30.7</v>
      </c>
      <c r="K555" s="2">
        <f t="shared" si="73"/>
        <v>34.6</v>
      </c>
      <c r="L555" s="8">
        <f t="shared" si="77"/>
        <v>6.4565422903465583E-7</v>
      </c>
      <c r="M555" s="26"/>
      <c r="N555" s="17"/>
      <c r="O555" s="9">
        <f t="shared" si="75"/>
        <v>30.7</v>
      </c>
      <c r="P555" s="8">
        <f>D554/B554*10^(O555/10)</f>
        <v>45821.004642641652</v>
      </c>
      <c r="Q555" s="26"/>
      <c r="R555" s="17"/>
      <c r="S555" s="19"/>
      <c r="T555" s="17"/>
      <c r="U555" s="22"/>
    </row>
    <row r="556" spans="1:21" x14ac:dyDescent="0.25">
      <c r="A556" s="24"/>
      <c r="B556" s="24"/>
      <c r="C556" s="17"/>
      <c r="D556" s="24"/>
      <c r="E556" s="24"/>
      <c r="F556" s="25"/>
      <c r="G556" s="1">
        <v>1075</v>
      </c>
      <c r="H556" s="2">
        <v>94.6</v>
      </c>
      <c r="I556" s="2">
        <v>34.1</v>
      </c>
      <c r="J556" s="2">
        <v>32.799999999999997</v>
      </c>
      <c r="K556" s="2">
        <f t="shared" si="73"/>
        <v>34.1</v>
      </c>
      <c r="L556" s="8">
        <f t="shared" si="77"/>
        <v>8.9125093813374635E-7</v>
      </c>
      <c r="M556" s="26"/>
      <c r="N556" s="17"/>
      <c r="O556" s="9">
        <f t="shared" si="75"/>
        <v>32.799999999999997</v>
      </c>
      <c r="P556" s="8">
        <f>D554/B554*10^(O556/10)</f>
        <v>74312.968000566689</v>
      </c>
      <c r="Q556" s="26"/>
      <c r="R556" s="17"/>
      <c r="S556" s="19"/>
      <c r="T556" s="17"/>
      <c r="U556" s="22"/>
    </row>
    <row r="557" spans="1:21" x14ac:dyDescent="0.25">
      <c r="A557" s="24"/>
      <c r="B557" s="24"/>
      <c r="C557" s="17"/>
      <c r="D557" s="24"/>
      <c r="E557" s="24"/>
      <c r="F557" s="25"/>
      <c r="G557" s="1">
        <v>1175</v>
      </c>
      <c r="H557" s="2">
        <v>97.8</v>
      </c>
      <c r="I557" s="2">
        <v>35.299999999999997</v>
      </c>
      <c r="J557" s="2">
        <v>29.8</v>
      </c>
      <c r="K557" s="2">
        <f t="shared" si="73"/>
        <v>35.299999999999997</v>
      </c>
      <c r="L557" s="8">
        <f t="shared" si="77"/>
        <v>5.6234132519034872E-7</v>
      </c>
      <c r="M557" s="26"/>
      <c r="N557" s="17"/>
      <c r="O557" s="9">
        <f t="shared" si="75"/>
        <v>29.8</v>
      </c>
      <c r="P557" s="8">
        <f>D554/B554*10^(O557/10)</f>
        <v>37244.710854836034</v>
      </c>
      <c r="Q557" s="26"/>
      <c r="R557" s="17"/>
      <c r="S557" s="19"/>
      <c r="T557" s="17"/>
      <c r="U557" s="22"/>
    </row>
    <row r="558" spans="1:21" x14ac:dyDescent="0.25">
      <c r="A558" s="24"/>
      <c r="B558" s="24"/>
      <c r="C558" s="17"/>
      <c r="D558" s="24"/>
      <c r="E558" s="24"/>
      <c r="F558" s="25"/>
      <c r="G558" s="1">
        <v>1275</v>
      </c>
      <c r="H558" s="2">
        <v>100.1</v>
      </c>
      <c r="I558" s="2">
        <v>33.799999999999997</v>
      </c>
      <c r="J558" s="2">
        <v>29.6</v>
      </c>
      <c r="K558" s="2">
        <f t="shared" si="73"/>
        <v>33.799999999999997</v>
      </c>
      <c r="L558" s="8">
        <f t="shared" si="77"/>
        <v>2.3442288153199206E-7</v>
      </c>
      <c r="M558" s="26"/>
      <c r="N558" s="17"/>
      <c r="O558" s="9">
        <f t="shared" si="75"/>
        <v>29.6</v>
      </c>
      <c r="P558" s="8">
        <f>D554/B554*10^(O558/10)</f>
        <v>35568.422734880485</v>
      </c>
      <c r="Q558" s="26"/>
      <c r="R558" s="17"/>
      <c r="S558" s="19"/>
      <c r="T558" s="17"/>
      <c r="U558" s="22"/>
    </row>
    <row r="559" spans="1:21" x14ac:dyDescent="0.25">
      <c r="A559" s="24"/>
      <c r="B559" s="24"/>
      <c r="C559" s="17"/>
      <c r="D559" s="24"/>
      <c r="E559" s="24"/>
      <c r="F559" s="25"/>
      <c r="G559" s="1">
        <v>1375</v>
      </c>
      <c r="H559" s="2">
        <v>103</v>
      </c>
      <c r="I559" s="2">
        <v>34.799999999999997</v>
      </c>
      <c r="J559" s="2">
        <v>30.9</v>
      </c>
      <c r="K559" s="2">
        <f t="shared" si="73"/>
        <v>34.799999999999997</v>
      </c>
      <c r="L559" s="8">
        <f t="shared" si="77"/>
        <v>1.5135612484362046E-7</v>
      </c>
      <c r="M559" s="26"/>
      <c r="N559" s="17"/>
      <c r="O559" s="9">
        <f t="shared" si="75"/>
        <v>30.9</v>
      </c>
      <c r="P559" s="8">
        <f>D554/B554*10^(O559/10)</f>
        <v>47980.482061682917</v>
      </c>
      <c r="Q559" s="26"/>
      <c r="R559" s="17"/>
      <c r="S559" s="20"/>
      <c r="T559" s="17"/>
      <c r="U559" s="23"/>
    </row>
    <row r="560" spans="1:21" x14ac:dyDescent="0.25">
      <c r="A560" s="24">
        <v>2000</v>
      </c>
      <c r="B560" s="24">
        <v>3</v>
      </c>
      <c r="C560" s="17">
        <v>0.5</v>
      </c>
      <c r="D560" s="24">
        <v>234</v>
      </c>
      <c r="E560" s="24">
        <v>6</v>
      </c>
      <c r="F560" s="25">
        <v>68</v>
      </c>
      <c r="G560" s="1">
        <v>1425</v>
      </c>
      <c r="H560" s="2">
        <v>102.8</v>
      </c>
      <c r="I560" s="2">
        <v>31.9</v>
      </c>
      <c r="J560" s="2">
        <v>30.1</v>
      </c>
      <c r="K560" s="2">
        <f t="shared" si="73"/>
        <v>31.9</v>
      </c>
      <c r="L560" s="8">
        <f t="shared" si="77"/>
        <v>8.1283051616409646E-8</v>
      </c>
      <c r="M560" s="26">
        <f>SUM(L560:L565)</f>
        <v>1.8614437594760102E-6</v>
      </c>
      <c r="N560" s="17">
        <f>10*LOG10(M560/E560)</f>
        <v>-65.083013311390388</v>
      </c>
      <c r="O560" s="9">
        <f t="shared" si="75"/>
        <v>30.1</v>
      </c>
      <c r="P560" s="8">
        <f>D560/B560*10^(O560/10)</f>
        <v>79816.853397898929</v>
      </c>
      <c r="Q560" s="26">
        <f>SUM(P560:P565)</f>
        <v>414322.65683916496</v>
      </c>
      <c r="R560" s="17">
        <f>10*LOG10(Q560)</f>
        <v>56.173386829270257</v>
      </c>
      <c r="S560" s="18">
        <f>F560+N560-Kzt-H</f>
        <v>2.9169866886096116</v>
      </c>
      <c r="T560" s="17">
        <v>1</v>
      </c>
      <c r="U560" s="21">
        <f>T560*10^((S560-R560)/10)</f>
        <v>4.7245449570563859E-6</v>
      </c>
    </row>
    <row r="561" spans="1:21" x14ac:dyDescent="0.25">
      <c r="A561" s="24"/>
      <c r="B561" s="24"/>
      <c r="C561" s="17"/>
      <c r="D561" s="24"/>
      <c r="E561" s="24"/>
      <c r="F561" s="25"/>
      <c r="G561" s="1">
        <v>1625</v>
      </c>
      <c r="H561" s="2">
        <v>104.1</v>
      </c>
      <c r="I561" s="2">
        <v>33.4</v>
      </c>
      <c r="J561" s="2">
        <v>31.4</v>
      </c>
      <c r="K561" s="2">
        <f t="shared" si="73"/>
        <v>33.4</v>
      </c>
      <c r="L561" s="8">
        <f t="shared" si="77"/>
        <v>8.511380382023795E-8</v>
      </c>
      <c r="M561" s="26"/>
      <c r="N561" s="17"/>
      <c r="O561" s="9">
        <f t="shared" si="75"/>
        <v>31.4</v>
      </c>
      <c r="P561" s="8">
        <f>D560/B560*10^(O561/10)</f>
        <v>107669.97263902504</v>
      </c>
      <c r="Q561" s="26"/>
      <c r="R561" s="17"/>
      <c r="S561" s="19"/>
      <c r="T561" s="17"/>
      <c r="U561" s="22"/>
    </row>
    <row r="562" spans="1:21" x14ac:dyDescent="0.25">
      <c r="A562" s="24"/>
      <c r="B562" s="24"/>
      <c r="C562" s="17"/>
      <c r="D562" s="24"/>
      <c r="E562" s="24"/>
      <c r="F562" s="25"/>
      <c r="G562" s="1">
        <v>1825</v>
      </c>
      <c r="H562" s="2">
        <v>107.6</v>
      </c>
      <c r="I562" s="2">
        <v>32.4</v>
      </c>
      <c r="J562" s="2">
        <v>30.9</v>
      </c>
      <c r="K562" s="2">
        <f t="shared" si="73"/>
        <v>32.4</v>
      </c>
      <c r="L562" s="8">
        <f t="shared" si="77"/>
        <v>3.0199517204020188E-8</v>
      </c>
      <c r="M562" s="26"/>
      <c r="N562" s="17"/>
      <c r="O562" s="9">
        <f t="shared" si="75"/>
        <v>30.9</v>
      </c>
      <c r="P562" s="8">
        <f>D560/B560*10^(O562/10)</f>
        <v>95960.964123365833</v>
      </c>
      <c r="Q562" s="26"/>
      <c r="R562" s="17"/>
      <c r="S562" s="19"/>
      <c r="T562" s="17"/>
      <c r="U562" s="22"/>
    </row>
    <row r="563" spans="1:21" x14ac:dyDescent="0.25">
      <c r="A563" s="24"/>
      <c r="B563" s="24"/>
      <c r="C563" s="17"/>
      <c r="D563" s="24"/>
      <c r="E563" s="24"/>
      <c r="F563" s="25"/>
      <c r="G563" s="1">
        <v>2125</v>
      </c>
      <c r="H563" s="2">
        <v>104.2</v>
      </c>
      <c r="I563" s="2">
        <v>31.3</v>
      </c>
      <c r="J563" s="2">
        <v>28.1</v>
      </c>
      <c r="K563" s="2">
        <f t="shared" si="73"/>
        <v>31.3</v>
      </c>
      <c r="L563" s="8">
        <f t="shared" si="77"/>
        <v>5.1286138399136229E-8</v>
      </c>
      <c r="M563" s="26"/>
      <c r="N563" s="17"/>
      <c r="O563" s="9">
        <f t="shared" si="75"/>
        <v>28.1</v>
      </c>
      <c r="P563" s="8">
        <f>D560/B560*10^(O563/10)</f>
        <v>50361.029864703167</v>
      </c>
      <c r="Q563" s="26"/>
      <c r="R563" s="17"/>
      <c r="S563" s="19"/>
      <c r="T563" s="17"/>
      <c r="U563" s="22"/>
    </row>
    <row r="564" spans="1:21" x14ac:dyDescent="0.25">
      <c r="A564" s="24"/>
      <c r="B564" s="24"/>
      <c r="C564" s="17"/>
      <c r="D564" s="24"/>
      <c r="E564" s="24"/>
      <c r="F564" s="25"/>
      <c r="G564" s="1">
        <v>2425</v>
      </c>
      <c r="H564" s="2">
        <v>93.7</v>
      </c>
      <c r="I564" s="2">
        <v>35.5</v>
      </c>
      <c r="J564" s="2">
        <v>28.2</v>
      </c>
      <c r="K564" s="2">
        <f t="shared" si="73"/>
        <v>35.5</v>
      </c>
      <c r="L564" s="8">
        <f t="shared" si="77"/>
        <v>1.5135612484362063E-6</v>
      </c>
      <c r="M564" s="26"/>
      <c r="N564" s="17"/>
      <c r="O564" s="9">
        <f t="shared" si="75"/>
        <v>28.2</v>
      </c>
      <c r="P564" s="8">
        <f>D560/B560*10^(O564/10)</f>
        <v>51534.08894459252</v>
      </c>
      <c r="Q564" s="26"/>
      <c r="R564" s="17"/>
      <c r="S564" s="19"/>
      <c r="T564" s="17"/>
      <c r="U564" s="22"/>
    </row>
    <row r="565" spans="1:21" x14ac:dyDescent="0.25">
      <c r="A565" s="24"/>
      <c r="B565" s="24"/>
      <c r="C565" s="17"/>
      <c r="D565" s="24"/>
      <c r="E565" s="24"/>
      <c r="F565" s="25"/>
      <c r="G565" s="1">
        <v>2775</v>
      </c>
      <c r="H565" s="2">
        <v>100.2</v>
      </c>
      <c r="I565" s="2">
        <v>30.2</v>
      </c>
      <c r="J565" s="2">
        <v>25.7</v>
      </c>
      <c r="K565" s="2">
        <f t="shared" si="73"/>
        <v>30.2</v>
      </c>
      <c r="L565" s="8">
        <f t="shared" si="77"/>
        <v>9.9999999999999995E-8</v>
      </c>
      <c r="M565" s="26"/>
      <c r="N565" s="17"/>
      <c r="O565" s="9">
        <f t="shared" si="75"/>
        <v>25.7</v>
      </c>
      <c r="P565" s="8">
        <f>D560/B560*10^(O565/10)</f>
        <v>28979.747869579467</v>
      </c>
      <c r="Q565" s="26"/>
      <c r="R565" s="17"/>
      <c r="S565" s="20"/>
      <c r="T565" s="17"/>
      <c r="U565" s="23"/>
    </row>
    <row r="566" spans="1:21" x14ac:dyDescent="0.25">
      <c r="A566" s="24">
        <v>4000</v>
      </c>
      <c r="B566" s="24">
        <v>3</v>
      </c>
      <c r="C566" s="17">
        <v>0.5</v>
      </c>
      <c r="D566" s="24">
        <v>470</v>
      </c>
      <c r="E566" s="24">
        <v>6</v>
      </c>
      <c r="F566" s="25">
        <v>62</v>
      </c>
      <c r="G566" s="1">
        <v>2825</v>
      </c>
      <c r="H566" s="2">
        <v>99.4</v>
      </c>
      <c r="I566" s="2">
        <v>35.299999999999997</v>
      </c>
      <c r="J566" s="2">
        <v>23.8</v>
      </c>
      <c r="K566" s="2">
        <f t="shared" si="73"/>
        <v>35.299999999999997</v>
      </c>
      <c r="L566" s="8">
        <f t="shared" si="77"/>
        <v>3.8904514499427885E-7</v>
      </c>
      <c r="M566" s="26">
        <f>SUM(L566:L571)</f>
        <v>9.205441115048771E-7</v>
      </c>
      <c r="N566" s="17">
        <f>10*LOG10(M566/E566)</f>
        <v>-68.141066461105325</v>
      </c>
      <c r="O566" s="9">
        <f t="shared" si="75"/>
        <v>23.8</v>
      </c>
      <c r="P566" s="8">
        <f>D566/B566*10^(O566/10)</f>
        <v>37581.715731305361</v>
      </c>
      <c r="Q566" s="26">
        <f>SUM(P566:P571)</f>
        <v>450508.34579266992</v>
      </c>
      <c r="R566" s="17">
        <f>10*LOG10(Q566)</f>
        <v>56.537028408159273</v>
      </c>
      <c r="S566" s="18">
        <f>F566+N566-Kzt-H</f>
        <v>-6.1410664611053249</v>
      </c>
      <c r="T566" s="17">
        <v>0.9</v>
      </c>
      <c r="U566" s="21">
        <f>T566*10^((S566-R566)/10)</f>
        <v>4.85772608646303E-7</v>
      </c>
    </row>
    <row r="567" spans="1:21" x14ac:dyDescent="0.25">
      <c r="A567" s="24"/>
      <c r="B567" s="24"/>
      <c r="C567" s="17"/>
      <c r="D567" s="24"/>
      <c r="E567" s="24"/>
      <c r="F567" s="25"/>
      <c r="G567" s="1">
        <v>3425</v>
      </c>
      <c r="H567" s="2">
        <v>103.5</v>
      </c>
      <c r="I567" s="2">
        <v>31.9</v>
      </c>
      <c r="J567" s="2">
        <v>25.8</v>
      </c>
      <c r="K567" s="2">
        <f t="shared" si="73"/>
        <v>31.9</v>
      </c>
      <c r="L567" s="8">
        <f t="shared" si="77"/>
        <v>6.9183097091893717E-8</v>
      </c>
      <c r="M567" s="26"/>
      <c r="N567" s="17"/>
      <c r="O567" s="9">
        <f t="shared" si="75"/>
        <v>25.8</v>
      </c>
      <c r="P567" s="8">
        <f>D566/B566*10^(O567/10)</f>
        <v>59563.005423554649</v>
      </c>
      <c r="Q567" s="26"/>
      <c r="R567" s="17"/>
      <c r="S567" s="19"/>
      <c r="T567" s="17"/>
      <c r="U567" s="22"/>
    </row>
    <row r="568" spans="1:21" x14ac:dyDescent="0.25">
      <c r="A568" s="24"/>
      <c r="B568" s="24"/>
      <c r="C568" s="17"/>
      <c r="D568" s="24"/>
      <c r="E568" s="24"/>
      <c r="F568" s="25"/>
      <c r="G568" s="1">
        <v>4025</v>
      </c>
      <c r="H568" s="2">
        <v>103.6</v>
      </c>
      <c r="I568" s="2">
        <v>31.9</v>
      </c>
      <c r="J568" s="2">
        <v>28.9</v>
      </c>
      <c r="K568" s="2">
        <f t="shared" si="73"/>
        <v>31.9</v>
      </c>
      <c r="L568" s="8">
        <f t="shared" si="77"/>
        <v>6.7608297539198249E-8</v>
      </c>
      <c r="M568" s="26"/>
      <c r="N568" s="17"/>
      <c r="O568" s="9">
        <f t="shared" si="75"/>
        <v>28.9</v>
      </c>
      <c r="P568" s="8">
        <f>D566/B566*10^(O568/10)</f>
        <v>121612.04827182835</v>
      </c>
      <c r="Q568" s="26"/>
      <c r="R568" s="17"/>
      <c r="S568" s="19"/>
      <c r="T568" s="17"/>
      <c r="U568" s="22"/>
    </row>
    <row r="569" spans="1:21" x14ac:dyDescent="0.25">
      <c r="A569" s="24"/>
      <c r="B569" s="24"/>
      <c r="C569" s="17"/>
      <c r="D569" s="24"/>
      <c r="E569" s="24"/>
      <c r="F569" s="25"/>
      <c r="G569" s="1">
        <v>4625</v>
      </c>
      <c r="H569" s="2">
        <v>105.6</v>
      </c>
      <c r="I569" s="2">
        <v>31.5</v>
      </c>
      <c r="J569" s="2">
        <v>27</v>
      </c>
      <c r="K569" s="2">
        <f t="shared" si="73"/>
        <v>31.5</v>
      </c>
      <c r="L569" s="8">
        <f t="shared" si="77"/>
        <v>3.890451449942805E-8</v>
      </c>
      <c r="M569" s="26"/>
      <c r="N569" s="17"/>
      <c r="O569" s="9">
        <f t="shared" si="75"/>
        <v>27</v>
      </c>
      <c r="P569" s="8">
        <f>D566/B566*10^(O569/10)</f>
        <v>78519.33326827272</v>
      </c>
      <c r="Q569" s="26"/>
      <c r="R569" s="17"/>
      <c r="S569" s="19"/>
      <c r="T569" s="17"/>
      <c r="U569" s="22"/>
    </row>
    <row r="570" spans="1:21" x14ac:dyDescent="0.25">
      <c r="A570" s="24"/>
      <c r="B570" s="24"/>
      <c r="C570" s="17"/>
      <c r="D570" s="24"/>
      <c r="E570" s="24"/>
      <c r="F570" s="25"/>
      <c r="G570" s="1">
        <v>5225</v>
      </c>
      <c r="H570" s="2">
        <v>103.5</v>
      </c>
      <c r="I570" s="2">
        <v>30.2</v>
      </c>
      <c r="J570" s="2">
        <v>28.3</v>
      </c>
      <c r="K570" s="2">
        <f t="shared" si="73"/>
        <v>30.2</v>
      </c>
      <c r="L570" s="8">
        <f t="shared" si="77"/>
        <v>4.6773514128719769E-8</v>
      </c>
      <c r="M570" s="26"/>
      <c r="N570" s="17"/>
      <c r="O570" s="9">
        <f t="shared" si="75"/>
        <v>28.3</v>
      </c>
      <c r="P570" s="8">
        <f>D566/B566*10^(O570/10)</f>
        <v>105919.66614474387</v>
      </c>
      <c r="Q570" s="26"/>
      <c r="R570" s="17"/>
      <c r="S570" s="19"/>
      <c r="T570" s="17"/>
      <c r="U570" s="22"/>
    </row>
    <row r="571" spans="1:21" x14ac:dyDescent="0.25">
      <c r="A571" s="24"/>
      <c r="B571" s="24"/>
      <c r="C571" s="17"/>
      <c r="D571" s="24"/>
      <c r="E571" s="24"/>
      <c r="F571" s="25"/>
      <c r="G571" s="1">
        <v>5625</v>
      </c>
      <c r="H571" s="2">
        <v>99.5</v>
      </c>
      <c r="I571" s="2">
        <v>34.4</v>
      </c>
      <c r="J571" s="2">
        <v>24.8</v>
      </c>
      <c r="K571" s="2">
        <f t="shared" si="73"/>
        <v>34.4</v>
      </c>
      <c r="L571" s="8">
        <f t="shared" si="77"/>
        <v>3.090295432513585E-7</v>
      </c>
      <c r="M571" s="26"/>
      <c r="N571" s="17"/>
      <c r="O571" s="9">
        <f t="shared" si="75"/>
        <v>24.8</v>
      </c>
      <c r="P571" s="8">
        <f>D566/B566*10^(O571/10)</f>
        <v>47312.576952964926</v>
      </c>
      <c r="Q571" s="26"/>
      <c r="R571" s="17"/>
      <c r="S571" s="20"/>
      <c r="T571" s="17"/>
      <c r="U571" s="23"/>
    </row>
    <row r="572" spans="1:21" x14ac:dyDescent="0.25">
      <c r="A572" s="24">
        <v>8000</v>
      </c>
      <c r="B572" s="24">
        <v>3</v>
      </c>
      <c r="C572" s="17">
        <v>0.5</v>
      </c>
      <c r="D572" s="24">
        <v>943</v>
      </c>
      <c r="E572" s="24">
        <v>6</v>
      </c>
      <c r="F572" s="25">
        <v>54</v>
      </c>
      <c r="G572" s="1">
        <v>6025</v>
      </c>
      <c r="H572" s="2">
        <v>95</v>
      </c>
      <c r="I572" s="2">
        <v>29.4</v>
      </c>
      <c r="J572" s="2">
        <v>27.4</v>
      </c>
      <c r="K572" s="2">
        <f t="shared" si="73"/>
        <v>29.4</v>
      </c>
      <c r="L572" s="8">
        <f t="shared" si="77"/>
        <v>2.7542287033381632E-7</v>
      </c>
      <c r="M572" s="26">
        <f>SUM(L572:L577)</f>
        <v>4.7821879925501828E-6</v>
      </c>
      <c r="N572" s="17">
        <f>10*LOG10(M572/E572)</f>
        <v>-60.985246057217452</v>
      </c>
      <c r="O572" s="9">
        <f t="shared" si="75"/>
        <v>27.4</v>
      </c>
      <c r="P572" s="8">
        <f>D572/B572*10^(O572/10)</f>
        <v>172739.01468258005</v>
      </c>
      <c r="Q572" s="26">
        <f>SUM(P572:P577)</f>
        <v>712996.67133730906</v>
      </c>
      <c r="R572" s="17">
        <f>10*LOG10(Q572)</f>
        <v>58.530875023298272</v>
      </c>
      <c r="S572" s="18">
        <f>F572+N572-Kzt-H</f>
        <v>-6.9852460572174522</v>
      </c>
      <c r="T572" s="17">
        <v>0.7</v>
      </c>
      <c r="U572" s="21">
        <f>T572*10^((S572-R572)/10)</f>
        <v>1.9655583095077285E-7</v>
      </c>
    </row>
    <row r="573" spans="1:21" x14ac:dyDescent="0.25">
      <c r="A573" s="24"/>
      <c r="B573" s="24"/>
      <c r="C573" s="17"/>
      <c r="D573" s="24"/>
      <c r="E573" s="24"/>
      <c r="F573" s="25"/>
      <c r="G573" s="1">
        <v>7025</v>
      </c>
      <c r="H573" s="2">
        <v>94.8</v>
      </c>
      <c r="I573" s="2">
        <v>32.9</v>
      </c>
      <c r="J573" s="2">
        <v>27.3</v>
      </c>
      <c r="K573" s="2">
        <f t="shared" si="73"/>
        <v>32.9</v>
      </c>
      <c r="L573" s="8">
        <f t="shared" si="77"/>
        <v>6.4565422903465583E-7</v>
      </c>
      <c r="M573" s="26"/>
      <c r="N573" s="17"/>
      <c r="O573" s="9">
        <f t="shared" si="75"/>
        <v>27.3</v>
      </c>
      <c r="P573" s="8">
        <f>D572/B572*10^(O573/10)</f>
        <v>168806.99465904952</v>
      </c>
      <c r="Q573" s="26"/>
      <c r="R573" s="17"/>
      <c r="S573" s="19"/>
      <c r="T573" s="17"/>
      <c r="U573" s="22"/>
    </row>
    <row r="574" spans="1:21" x14ac:dyDescent="0.25">
      <c r="A574" s="24"/>
      <c r="B574" s="24"/>
      <c r="C574" s="17"/>
      <c r="D574" s="24"/>
      <c r="E574" s="24"/>
      <c r="F574" s="25"/>
      <c r="G574" s="1">
        <v>8025</v>
      </c>
      <c r="H574" s="2">
        <v>101.9</v>
      </c>
      <c r="I574" s="2">
        <v>27.9</v>
      </c>
      <c r="J574" s="2">
        <v>26</v>
      </c>
      <c r="K574" s="2">
        <f t="shared" si="73"/>
        <v>27.9</v>
      </c>
      <c r="L574" s="8">
        <f t="shared" si="77"/>
        <v>3.981071705534957E-8</v>
      </c>
      <c r="M574" s="26"/>
      <c r="N574" s="17"/>
      <c r="O574" s="9">
        <f t="shared" si="75"/>
        <v>26</v>
      </c>
      <c r="P574" s="8">
        <f>D572/B572*10^(O574/10)</f>
        <v>125138.35394398274</v>
      </c>
      <c r="Q574" s="26"/>
      <c r="R574" s="17"/>
      <c r="S574" s="19"/>
      <c r="T574" s="17"/>
      <c r="U574" s="22"/>
    </row>
    <row r="575" spans="1:21" x14ac:dyDescent="0.25">
      <c r="A575" s="24"/>
      <c r="B575" s="24"/>
      <c r="C575" s="17"/>
      <c r="D575" s="24"/>
      <c r="E575" s="24"/>
      <c r="F575" s="25"/>
      <c r="G575" s="1">
        <v>9025</v>
      </c>
      <c r="H575" s="2">
        <v>93.2</v>
      </c>
      <c r="I575" s="2">
        <v>30.8</v>
      </c>
      <c r="J575" s="2">
        <v>22.6</v>
      </c>
      <c r="K575" s="2">
        <f t="shared" si="73"/>
        <v>30.8</v>
      </c>
      <c r="L575" s="8">
        <f t="shared" si="77"/>
        <v>5.7543993733715549E-7</v>
      </c>
      <c r="M575" s="26"/>
      <c r="N575" s="17"/>
      <c r="O575" s="9">
        <f t="shared" si="75"/>
        <v>22.6</v>
      </c>
      <c r="P575" s="8">
        <f>D572/B572*10^(O575/10)</f>
        <v>57199.263655640512</v>
      </c>
      <c r="Q575" s="26"/>
      <c r="R575" s="17"/>
      <c r="S575" s="19"/>
      <c r="T575" s="17"/>
      <c r="U575" s="22"/>
    </row>
    <row r="576" spans="1:21" x14ac:dyDescent="0.25">
      <c r="A576" s="24"/>
      <c r="B576" s="24"/>
      <c r="C576" s="17"/>
      <c r="D576" s="24"/>
      <c r="E576" s="24"/>
      <c r="F576" s="25"/>
      <c r="G576" s="1">
        <v>10025</v>
      </c>
      <c r="H576" s="2">
        <v>88.3</v>
      </c>
      <c r="I576" s="2">
        <v>28.1</v>
      </c>
      <c r="J576" s="2">
        <v>21.6</v>
      </c>
      <c r="K576" s="2">
        <f t="shared" si="73"/>
        <v>28.1</v>
      </c>
      <c r="L576" s="8">
        <f t="shared" si="77"/>
        <v>9.5499258602143498E-7</v>
      </c>
      <c r="M576" s="26"/>
      <c r="N576" s="17"/>
      <c r="O576" s="9">
        <f t="shared" si="75"/>
        <v>21.6</v>
      </c>
      <c r="P576" s="8">
        <f>D572/B572*10^(O576/10)</f>
        <v>45434.990127113684</v>
      </c>
      <c r="Q576" s="26"/>
      <c r="R576" s="17"/>
      <c r="S576" s="19"/>
      <c r="T576" s="17"/>
      <c r="U576" s="22"/>
    </row>
    <row r="577" spans="1:21" x14ac:dyDescent="0.25">
      <c r="A577" s="24"/>
      <c r="B577" s="24"/>
      <c r="C577" s="17"/>
      <c r="D577" s="24"/>
      <c r="E577" s="24"/>
      <c r="F577" s="25"/>
      <c r="G577" s="1">
        <v>11025</v>
      </c>
      <c r="H577" s="2">
        <v>86</v>
      </c>
      <c r="I577" s="2">
        <v>29.6</v>
      </c>
      <c r="J577" s="2">
        <v>26.6</v>
      </c>
      <c r="K577" s="2">
        <f t="shared" si="73"/>
        <v>29.6</v>
      </c>
      <c r="L577" s="8">
        <f t="shared" si="77"/>
        <v>2.2908676527677705E-6</v>
      </c>
      <c r="M577" s="26"/>
      <c r="N577" s="17"/>
      <c r="O577" s="9">
        <f t="shared" si="75"/>
        <v>26.6</v>
      </c>
      <c r="P577" s="8">
        <f>D572/B572*10^(O577/10)</f>
        <v>143678.05426894256</v>
      </c>
      <c r="Q577" s="26"/>
      <c r="R577" s="17"/>
      <c r="S577" s="20"/>
      <c r="T577" s="17"/>
      <c r="U577" s="23"/>
    </row>
    <row r="578" spans="1:21" x14ac:dyDescent="0.25">
      <c r="A578" s="24" t="s">
        <v>20</v>
      </c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12">
        <f>U578</f>
        <v>6.0780930537094172E-2</v>
      </c>
      <c r="T578" s="2"/>
      <c r="U578" s="8">
        <f>0.8*SQRT(SUM(U544:U577))</f>
        <v>6.0780930537094172E-2</v>
      </c>
    </row>
    <row r="579" spans="1:21" x14ac:dyDescent="0.25">
      <c r="A579" s="27" t="s">
        <v>128</v>
      </c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9"/>
    </row>
    <row r="580" spans="1:21" x14ac:dyDescent="0.25">
      <c r="A580" s="24">
        <v>250</v>
      </c>
      <c r="B580" s="24">
        <v>3</v>
      </c>
      <c r="C580" s="17">
        <v>0.5</v>
      </c>
      <c r="D580" s="24">
        <v>38</v>
      </c>
      <c r="E580" s="24">
        <v>4</v>
      </c>
      <c r="F580" s="25">
        <v>84</v>
      </c>
      <c r="G580" s="1">
        <v>175</v>
      </c>
      <c r="H580" s="2">
        <v>84.8</v>
      </c>
      <c r="I580" s="2">
        <v>36.6</v>
      </c>
      <c r="J580" s="2">
        <v>35.799999999999997</v>
      </c>
      <c r="K580" s="2">
        <f>I580</f>
        <v>36.6</v>
      </c>
      <c r="L580" s="8">
        <f>10^((K580-H580)/10)</f>
        <v>1.5135612484362078E-5</v>
      </c>
      <c r="M580" s="26">
        <f>SUM(L580:L583)</f>
        <v>3.2764152111667026E-5</v>
      </c>
      <c r="N580" s="17">
        <f>10*LOG10(M580/E580)</f>
        <v>-50.866610577963399</v>
      </c>
      <c r="O580" s="9">
        <f>J580</f>
        <v>35.799999999999997</v>
      </c>
      <c r="P580" s="8">
        <f>D580/B580*10^(O580/10)</f>
        <v>48157.323533937728</v>
      </c>
      <c r="Q580" s="26">
        <f>SUM(P580:P583)</f>
        <v>163337.07458070648</v>
      </c>
      <c r="R580" s="17">
        <f>10*LOG10(Q580)</f>
        <v>52.130847729689407</v>
      </c>
      <c r="S580" s="18">
        <f>F580+N580-Kzt-H</f>
        <v>33.133389422036601</v>
      </c>
      <c r="T580" s="17">
        <v>0.2</v>
      </c>
      <c r="U580" s="21">
        <f>T580*10^((S580-R580)/10)</f>
        <v>2.5193248177267655E-3</v>
      </c>
    </row>
    <row r="581" spans="1:21" x14ac:dyDescent="0.25">
      <c r="A581" s="24"/>
      <c r="B581" s="24"/>
      <c r="C581" s="17"/>
      <c r="D581" s="24"/>
      <c r="E581" s="24"/>
      <c r="F581" s="25"/>
      <c r="G581" s="1">
        <v>225</v>
      </c>
      <c r="H581" s="2">
        <v>90</v>
      </c>
      <c r="I581" s="2">
        <v>39.299999999999997</v>
      </c>
      <c r="J581" s="2">
        <v>34.9</v>
      </c>
      <c r="K581" s="2">
        <f t="shared" ref="K581:K613" si="78">I581</f>
        <v>39.299999999999997</v>
      </c>
      <c r="L581" s="8">
        <f t="shared" ref="L581:L582" si="79">10^((K581-H581)/10)</f>
        <v>8.5113803820237531E-6</v>
      </c>
      <c r="M581" s="26"/>
      <c r="N581" s="17"/>
      <c r="O581" s="9">
        <f t="shared" ref="O581:O613" si="80">J581</f>
        <v>34.9</v>
      </c>
      <c r="P581" s="8">
        <f>D580/B580*10^(O581/10)</f>
        <v>39143.74214517216</v>
      </c>
      <c r="Q581" s="26"/>
      <c r="R581" s="17"/>
      <c r="S581" s="19"/>
      <c r="T581" s="17"/>
      <c r="U581" s="22"/>
    </row>
    <row r="582" spans="1:21" x14ac:dyDescent="0.25">
      <c r="A582" s="24"/>
      <c r="B582" s="24"/>
      <c r="C582" s="17"/>
      <c r="D582" s="24"/>
      <c r="E582" s="24"/>
      <c r="F582" s="25"/>
      <c r="G582" s="1">
        <v>275</v>
      </c>
      <c r="H582" s="2">
        <v>92.2</v>
      </c>
      <c r="I582" s="2">
        <v>40.1</v>
      </c>
      <c r="J582" s="2">
        <v>35.5</v>
      </c>
      <c r="K582" s="2">
        <f t="shared" si="78"/>
        <v>40.1</v>
      </c>
      <c r="L582" s="8">
        <f t="shared" si="79"/>
        <v>6.1659500186148109E-6</v>
      </c>
      <c r="M582" s="26"/>
      <c r="N582" s="17"/>
      <c r="O582" s="9">
        <f t="shared" si="80"/>
        <v>35.5</v>
      </c>
      <c r="P582" s="8">
        <f>D580/B580*10^(O582/10)</f>
        <v>44943.029302919545</v>
      </c>
      <c r="Q582" s="26"/>
      <c r="R582" s="17"/>
      <c r="S582" s="19"/>
      <c r="T582" s="17"/>
      <c r="U582" s="22"/>
    </row>
    <row r="583" spans="1:21" x14ac:dyDescent="0.25">
      <c r="A583" s="24"/>
      <c r="B583" s="24"/>
      <c r="C583" s="17"/>
      <c r="D583" s="24"/>
      <c r="E583" s="24"/>
      <c r="F583" s="25"/>
      <c r="G583" s="1">
        <v>325</v>
      </c>
      <c r="H583" s="2">
        <v>93.3</v>
      </c>
      <c r="I583" s="2">
        <v>38</v>
      </c>
      <c r="J583" s="2">
        <v>33.9</v>
      </c>
      <c r="K583" s="2">
        <f t="shared" si="78"/>
        <v>38</v>
      </c>
      <c r="L583" s="8">
        <f>10^((K583-H583)/10)</f>
        <v>2.9512092266663841E-6</v>
      </c>
      <c r="M583" s="26"/>
      <c r="N583" s="17"/>
      <c r="O583" s="9">
        <f t="shared" si="80"/>
        <v>33.9</v>
      </c>
      <c r="P583" s="8">
        <f>D580/B580*10^(O583/10)</f>
        <v>31092.979598677037</v>
      </c>
      <c r="Q583" s="26"/>
      <c r="R583" s="17"/>
      <c r="S583" s="20"/>
      <c r="T583" s="17"/>
      <c r="U583" s="23"/>
    </row>
    <row r="584" spans="1:21" x14ac:dyDescent="0.25">
      <c r="A584" s="24">
        <v>500</v>
      </c>
      <c r="B584" s="24">
        <v>3</v>
      </c>
      <c r="C584" s="17">
        <v>0.5</v>
      </c>
      <c r="D584" s="24">
        <v>59</v>
      </c>
      <c r="E584" s="24">
        <v>6</v>
      </c>
      <c r="F584" s="25">
        <v>84</v>
      </c>
      <c r="G584" s="1">
        <v>375</v>
      </c>
      <c r="H584" s="2">
        <v>91.9</v>
      </c>
      <c r="I584" s="2">
        <v>40</v>
      </c>
      <c r="J584" s="2">
        <v>32.4</v>
      </c>
      <c r="K584" s="2">
        <f t="shared" si="78"/>
        <v>40</v>
      </c>
      <c r="L584" s="8">
        <f t="shared" ref="L584:L585" si="81">10^((K584-H584)/10)</f>
        <v>6.456542290346543E-6</v>
      </c>
      <c r="M584" s="26">
        <f>SUM(L584:L589)</f>
        <v>3.2590535768156556E-5</v>
      </c>
      <c r="N584" s="17">
        <f>10*LOG10(M584/E584)</f>
        <v>-52.650597503283983</v>
      </c>
      <c r="O584" s="9">
        <f t="shared" si="80"/>
        <v>32.4</v>
      </c>
      <c r="P584" s="8">
        <f>D584/B584*10^(O584/10)</f>
        <v>34176.749632071056</v>
      </c>
      <c r="Q584" s="26">
        <f>SUM(P584:P589)</f>
        <v>185642.11692184143</v>
      </c>
      <c r="R584" s="17">
        <f>10*LOG10(Q584)</f>
        <v>52.686765121399702</v>
      </c>
      <c r="S584" s="18">
        <f>F584+N584-Kzt-H</f>
        <v>31.349402496716017</v>
      </c>
      <c r="T584" s="17">
        <v>0.5</v>
      </c>
      <c r="U584" s="21">
        <f>T584*10^((S584-R584)/10)</f>
        <v>3.6748002890837411E-3</v>
      </c>
    </row>
    <row r="585" spans="1:21" x14ac:dyDescent="0.25">
      <c r="A585" s="24"/>
      <c r="B585" s="24"/>
      <c r="C585" s="17"/>
      <c r="D585" s="24"/>
      <c r="E585" s="24"/>
      <c r="F585" s="25"/>
      <c r="G585" s="1">
        <v>425</v>
      </c>
      <c r="H585" s="2">
        <v>88.1</v>
      </c>
      <c r="I585" s="2">
        <v>40.299999999999997</v>
      </c>
      <c r="J585" s="2">
        <v>30.6</v>
      </c>
      <c r="K585" s="2">
        <f t="shared" si="78"/>
        <v>40.299999999999997</v>
      </c>
      <c r="L585" s="8">
        <f t="shared" si="81"/>
        <v>1.6595869074375629E-5</v>
      </c>
      <c r="M585" s="26"/>
      <c r="N585" s="17"/>
      <c r="O585" s="9">
        <f t="shared" si="80"/>
        <v>30.6</v>
      </c>
      <c r="P585" s="8">
        <f>D584/B584*10^(O585/10)</f>
        <v>22580.354556105387</v>
      </c>
      <c r="Q585" s="26"/>
      <c r="R585" s="17"/>
      <c r="S585" s="19"/>
      <c r="T585" s="17"/>
      <c r="U585" s="22"/>
    </row>
    <row r="586" spans="1:21" x14ac:dyDescent="0.25">
      <c r="A586" s="24"/>
      <c r="B586" s="24"/>
      <c r="C586" s="17"/>
      <c r="D586" s="24"/>
      <c r="E586" s="24"/>
      <c r="F586" s="25"/>
      <c r="G586" s="1">
        <v>475</v>
      </c>
      <c r="H586" s="2">
        <v>90</v>
      </c>
      <c r="I586" s="2">
        <v>35.4</v>
      </c>
      <c r="J586" s="2">
        <v>29.9</v>
      </c>
      <c r="K586" s="2">
        <f t="shared" si="78"/>
        <v>35.4</v>
      </c>
      <c r="L586" s="8">
        <f>10^((K586-H586)/10)</f>
        <v>3.4673685045253126E-6</v>
      </c>
      <c r="M586" s="26"/>
      <c r="N586" s="17"/>
      <c r="O586" s="9">
        <f t="shared" si="80"/>
        <v>29.9</v>
      </c>
      <c r="P586" s="8">
        <f>D584/B584*10^(O586/10)</f>
        <v>19218.998678797609</v>
      </c>
      <c r="Q586" s="26"/>
      <c r="R586" s="17"/>
      <c r="S586" s="19"/>
      <c r="T586" s="17"/>
      <c r="U586" s="22"/>
    </row>
    <row r="587" spans="1:21" x14ac:dyDescent="0.25">
      <c r="A587" s="24"/>
      <c r="B587" s="24"/>
      <c r="C587" s="17"/>
      <c r="D587" s="24"/>
      <c r="E587" s="24"/>
      <c r="F587" s="25"/>
      <c r="G587" s="1">
        <v>575</v>
      </c>
      <c r="H587" s="2">
        <v>97</v>
      </c>
      <c r="I587" s="2">
        <v>37.4</v>
      </c>
      <c r="J587" s="2">
        <v>32.700000000000003</v>
      </c>
      <c r="K587" s="2">
        <f t="shared" si="78"/>
        <v>37.4</v>
      </c>
      <c r="L587" s="8">
        <f t="shared" ref="L587:L613" si="82">10^((K587-H587)/10)</f>
        <v>1.0964781961431832E-6</v>
      </c>
      <c r="M587" s="26"/>
      <c r="N587" s="17"/>
      <c r="O587" s="9">
        <f t="shared" si="80"/>
        <v>32.700000000000003</v>
      </c>
      <c r="P587" s="8">
        <f>D584/B584*10^(O587/10)</f>
        <v>36621.047021036458</v>
      </c>
      <c r="Q587" s="26"/>
      <c r="R587" s="17"/>
      <c r="S587" s="19"/>
      <c r="T587" s="17"/>
      <c r="U587" s="22"/>
    </row>
    <row r="588" spans="1:21" x14ac:dyDescent="0.25">
      <c r="A588" s="24"/>
      <c r="B588" s="24"/>
      <c r="C588" s="17"/>
      <c r="D588" s="24"/>
      <c r="E588" s="24"/>
      <c r="F588" s="25"/>
      <c r="G588" s="1">
        <v>625</v>
      </c>
      <c r="H588" s="2">
        <v>92</v>
      </c>
      <c r="I588" s="2">
        <v>37.700000000000003</v>
      </c>
      <c r="J588" s="2">
        <v>34</v>
      </c>
      <c r="K588" s="2">
        <f t="shared" si="78"/>
        <v>37.700000000000003</v>
      </c>
      <c r="L588" s="8">
        <f t="shared" si="82"/>
        <v>3.7153522909717272E-6</v>
      </c>
      <c r="M588" s="26"/>
      <c r="N588" s="17"/>
      <c r="O588" s="9">
        <f t="shared" si="80"/>
        <v>34</v>
      </c>
      <c r="P588" s="8">
        <f>D584/B584*10^(O588/10)</f>
        <v>49400.433153021768</v>
      </c>
      <c r="Q588" s="26"/>
      <c r="R588" s="17"/>
      <c r="S588" s="19"/>
      <c r="T588" s="17"/>
      <c r="U588" s="22"/>
    </row>
    <row r="589" spans="1:21" x14ac:dyDescent="0.25">
      <c r="A589" s="24"/>
      <c r="B589" s="24"/>
      <c r="C589" s="17"/>
      <c r="D589" s="24"/>
      <c r="E589" s="24"/>
      <c r="F589" s="25"/>
      <c r="G589" s="1">
        <v>675</v>
      </c>
      <c r="H589" s="2">
        <v>94.5</v>
      </c>
      <c r="I589" s="2">
        <v>35.5</v>
      </c>
      <c r="J589" s="2">
        <v>30.8</v>
      </c>
      <c r="K589" s="2">
        <f t="shared" si="78"/>
        <v>35.5</v>
      </c>
      <c r="L589" s="8">
        <f t="shared" si="82"/>
        <v>1.2589254117941642E-6</v>
      </c>
      <c r="M589" s="26"/>
      <c r="N589" s="17"/>
      <c r="O589" s="9">
        <f t="shared" si="80"/>
        <v>30.8</v>
      </c>
      <c r="P589" s="8">
        <f>D584/B584*10^(O589/10)</f>
        <v>23644.53388080914</v>
      </c>
      <c r="Q589" s="26"/>
      <c r="R589" s="17"/>
      <c r="S589" s="20"/>
      <c r="T589" s="17"/>
      <c r="U589" s="23"/>
    </row>
    <row r="590" spans="1:21" x14ac:dyDescent="0.25">
      <c r="A590" s="24">
        <v>1000</v>
      </c>
      <c r="B590" s="24">
        <v>3</v>
      </c>
      <c r="C590" s="17">
        <v>0.5</v>
      </c>
      <c r="D590" s="24">
        <v>117</v>
      </c>
      <c r="E590" s="24">
        <v>6</v>
      </c>
      <c r="F590" s="25">
        <v>76</v>
      </c>
      <c r="G590" s="1">
        <v>875</v>
      </c>
      <c r="H590" s="2">
        <v>91.1</v>
      </c>
      <c r="I590" s="2">
        <v>37</v>
      </c>
      <c r="J590" s="2">
        <v>27.6</v>
      </c>
      <c r="K590" s="2">
        <f t="shared" si="78"/>
        <v>37</v>
      </c>
      <c r="L590" s="8">
        <f t="shared" si="82"/>
        <v>3.8904514499428068E-6</v>
      </c>
      <c r="M590" s="26">
        <f>SUM(L590:L595)</f>
        <v>8.3677739031354283E-6</v>
      </c>
      <c r="N590" s="17">
        <f>10*LOG10(M590/E590)</f>
        <v>-58.555413133187656</v>
      </c>
      <c r="O590" s="9">
        <f t="shared" si="80"/>
        <v>27.6</v>
      </c>
      <c r="P590" s="8">
        <f>D590/B590*10^(O590/10)</f>
        <v>22442.157556149148</v>
      </c>
      <c r="Q590" s="26">
        <f>SUM(P590:P595)</f>
        <v>176716.28991934072</v>
      </c>
      <c r="R590" s="17">
        <f>10*LOG10(Q590)</f>
        <v>52.472765851377588</v>
      </c>
      <c r="S590" s="18">
        <f>F590+N590-Kzt-H</f>
        <v>17.444586866812344</v>
      </c>
      <c r="T590" s="17">
        <v>0.8</v>
      </c>
      <c r="U590" s="21">
        <f>T590*10^((S590-R590)/10)</f>
        <v>2.5134606390307939E-4</v>
      </c>
    </row>
    <row r="591" spans="1:21" x14ac:dyDescent="0.25">
      <c r="A591" s="24"/>
      <c r="B591" s="24"/>
      <c r="C591" s="17"/>
      <c r="D591" s="24"/>
      <c r="E591" s="24"/>
      <c r="F591" s="25"/>
      <c r="G591" s="1">
        <v>975</v>
      </c>
      <c r="H591" s="2">
        <v>96.5</v>
      </c>
      <c r="I591" s="2">
        <v>34.9</v>
      </c>
      <c r="J591" s="2">
        <v>31.5</v>
      </c>
      <c r="K591" s="2">
        <f t="shared" si="78"/>
        <v>34.9</v>
      </c>
      <c r="L591" s="8">
        <f t="shared" si="82"/>
        <v>6.9183097091893534E-7</v>
      </c>
      <c r="M591" s="26"/>
      <c r="N591" s="17"/>
      <c r="O591" s="9">
        <f t="shared" si="80"/>
        <v>31.5</v>
      </c>
      <c r="P591" s="8">
        <f>D590/B590*10^(O591/10)</f>
        <v>55088.964240287423</v>
      </c>
      <c r="Q591" s="26"/>
      <c r="R591" s="17"/>
      <c r="S591" s="19"/>
      <c r="T591" s="17"/>
      <c r="U591" s="22"/>
    </row>
    <row r="592" spans="1:21" x14ac:dyDescent="0.25">
      <c r="A592" s="24"/>
      <c r="B592" s="24"/>
      <c r="C592" s="17"/>
      <c r="D592" s="24"/>
      <c r="E592" s="24"/>
      <c r="F592" s="25"/>
      <c r="G592" s="1">
        <v>1075</v>
      </c>
      <c r="H592" s="2">
        <v>94.6</v>
      </c>
      <c r="I592" s="2">
        <v>38.700000000000003</v>
      </c>
      <c r="J592" s="2">
        <v>27.1</v>
      </c>
      <c r="K592" s="2">
        <f t="shared" si="78"/>
        <v>38.700000000000003</v>
      </c>
      <c r="L592" s="8">
        <f t="shared" si="82"/>
        <v>2.5703957827688685E-6</v>
      </c>
      <c r="M592" s="26"/>
      <c r="N592" s="17"/>
      <c r="O592" s="9">
        <f t="shared" si="80"/>
        <v>27.1</v>
      </c>
      <c r="P592" s="8">
        <f>D590/B590*10^(O592/10)</f>
        <v>20001.593975663243</v>
      </c>
      <c r="Q592" s="26"/>
      <c r="R592" s="17"/>
      <c r="S592" s="19"/>
      <c r="T592" s="17"/>
      <c r="U592" s="22"/>
    </row>
    <row r="593" spans="1:21" x14ac:dyDescent="0.25">
      <c r="A593" s="24"/>
      <c r="B593" s="24"/>
      <c r="C593" s="17"/>
      <c r="D593" s="24"/>
      <c r="E593" s="24"/>
      <c r="F593" s="25"/>
      <c r="G593" s="1">
        <v>1175</v>
      </c>
      <c r="H593" s="2">
        <v>97.8</v>
      </c>
      <c r="I593" s="2">
        <v>35.5</v>
      </c>
      <c r="J593" s="2">
        <v>29.9</v>
      </c>
      <c r="K593" s="2">
        <f t="shared" si="78"/>
        <v>35.5</v>
      </c>
      <c r="L593" s="8">
        <f t="shared" si="82"/>
        <v>5.888436553555885E-7</v>
      </c>
      <c r="M593" s="26"/>
      <c r="N593" s="17"/>
      <c r="O593" s="9">
        <f t="shared" si="80"/>
        <v>29.9</v>
      </c>
      <c r="P593" s="8">
        <f>D590/B590*10^(O593/10)</f>
        <v>38112.251617276612</v>
      </c>
      <c r="Q593" s="26"/>
      <c r="R593" s="17"/>
      <c r="S593" s="19"/>
      <c r="T593" s="17"/>
      <c r="U593" s="22"/>
    </row>
    <row r="594" spans="1:21" x14ac:dyDescent="0.25">
      <c r="A594" s="24"/>
      <c r="B594" s="24"/>
      <c r="C594" s="17"/>
      <c r="D594" s="24"/>
      <c r="E594" s="24"/>
      <c r="F594" s="25"/>
      <c r="G594" s="1">
        <v>1275</v>
      </c>
      <c r="H594" s="2">
        <v>100.1</v>
      </c>
      <c r="I594" s="2">
        <v>34.799999999999997</v>
      </c>
      <c r="J594" s="2">
        <v>27.9</v>
      </c>
      <c r="K594" s="2">
        <f t="shared" si="78"/>
        <v>34.799999999999997</v>
      </c>
      <c r="L594" s="8">
        <f t="shared" si="82"/>
        <v>2.9512092266663867E-7</v>
      </c>
      <c r="M594" s="26"/>
      <c r="N594" s="17"/>
      <c r="O594" s="9">
        <f t="shared" si="80"/>
        <v>27.9</v>
      </c>
      <c r="P594" s="8">
        <f>D590/B590*10^(O594/10)</f>
        <v>24047.205072597826</v>
      </c>
      <c r="Q594" s="26"/>
      <c r="R594" s="17"/>
      <c r="S594" s="19"/>
      <c r="T594" s="17"/>
      <c r="U594" s="22"/>
    </row>
    <row r="595" spans="1:21" x14ac:dyDescent="0.25">
      <c r="A595" s="24"/>
      <c r="B595" s="24"/>
      <c r="C595" s="17"/>
      <c r="D595" s="24"/>
      <c r="E595" s="24"/>
      <c r="F595" s="25"/>
      <c r="G595" s="1">
        <v>1375</v>
      </c>
      <c r="H595" s="2">
        <v>103</v>
      </c>
      <c r="I595" s="2">
        <v>38.200000000000003</v>
      </c>
      <c r="J595" s="2">
        <v>26.4</v>
      </c>
      <c r="K595" s="2">
        <f t="shared" si="78"/>
        <v>38.200000000000003</v>
      </c>
      <c r="L595" s="8">
        <f t="shared" si="82"/>
        <v>3.31131121482591E-7</v>
      </c>
      <c r="M595" s="26"/>
      <c r="N595" s="17"/>
      <c r="O595" s="9">
        <f t="shared" si="80"/>
        <v>26.4</v>
      </c>
      <c r="P595" s="8">
        <f>D590/B590*10^(O595/10)</f>
        <v>17024.117457366468</v>
      </c>
      <c r="Q595" s="26"/>
      <c r="R595" s="17"/>
      <c r="S595" s="20"/>
      <c r="T595" s="17"/>
      <c r="U595" s="23"/>
    </row>
    <row r="596" spans="1:21" x14ac:dyDescent="0.25">
      <c r="A596" s="24">
        <v>2000</v>
      </c>
      <c r="B596" s="24">
        <v>3</v>
      </c>
      <c r="C596" s="17">
        <v>0.5</v>
      </c>
      <c r="D596" s="24">
        <v>234</v>
      </c>
      <c r="E596" s="24">
        <v>6</v>
      </c>
      <c r="F596" s="25">
        <v>68</v>
      </c>
      <c r="G596" s="1">
        <v>1425</v>
      </c>
      <c r="H596" s="2">
        <v>102.8</v>
      </c>
      <c r="I596" s="2">
        <v>32.1</v>
      </c>
      <c r="J596" s="2">
        <v>29</v>
      </c>
      <c r="K596" s="2">
        <f t="shared" si="78"/>
        <v>32.1</v>
      </c>
      <c r="L596" s="8">
        <f t="shared" si="82"/>
        <v>8.511380382023795E-8</v>
      </c>
      <c r="M596" s="26">
        <f>SUM(L596:L601)</f>
        <v>1.8479929076273885E-6</v>
      </c>
      <c r="N596" s="17">
        <f>10*LOG10(M596/E596)</f>
        <v>-65.114509502658976</v>
      </c>
      <c r="O596" s="9">
        <f t="shared" si="80"/>
        <v>29</v>
      </c>
      <c r="P596" s="8">
        <f>D596/B596*10^(O596/10)</f>
        <v>61957.602308494003</v>
      </c>
      <c r="Q596" s="26">
        <f>SUM(P596:P601)</f>
        <v>301085.25632690242</v>
      </c>
      <c r="R596" s="17">
        <f>10*LOG10(Q596)</f>
        <v>54.786894893133521</v>
      </c>
      <c r="S596" s="18">
        <f>F596+N596-Kzt-H</f>
        <v>2.8854904973410243</v>
      </c>
      <c r="T596" s="17">
        <v>1</v>
      </c>
      <c r="U596" s="21">
        <f>T596*10^((S596-R596)/10)</f>
        <v>6.4544547494592967E-6</v>
      </c>
    </row>
    <row r="597" spans="1:21" x14ac:dyDescent="0.25">
      <c r="A597" s="24"/>
      <c r="B597" s="24"/>
      <c r="C597" s="17"/>
      <c r="D597" s="24"/>
      <c r="E597" s="24"/>
      <c r="F597" s="25"/>
      <c r="G597" s="1">
        <v>1625</v>
      </c>
      <c r="H597" s="2">
        <v>104.1</v>
      </c>
      <c r="I597" s="2">
        <v>29.700000000000003</v>
      </c>
      <c r="J597" s="2">
        <v>29.6</v>
      </c>
      <c r="K597" s="2">
        <f t="shared" si="78"/>
        <v>29.700000000000003</v>
      </c>
      <c r="L597" s="8">
        <f t="shared" si="82"/>
        <v>3.6307805477010135E-8</v>
      </c>
      <c r="M597" s="26"/>
      <c r="N597" s="17"/>
      <c r="O597" s="9">
        <f t="shared" si="80"/>
        <v>29.6</v>
      </c>
      <c r="P597" s="8">
        <f>D596/B596*10^(O597/10)</f>
        <v>71136.84546976097</v>
      </c>
      <c r="Q597" s="26"/>
      <c r="R597" s="17"/>
      <c r="S597" s="19"/>
      <c r="T597" s="17"/>
      <c r="U597" s="22"/>
    </row>
    <row r="598" spans="1:21" x14ac:dyDescent="0.25">
      <c r="A598" s="24"/>
      <c r="B598" s="24"/>
      <c r="C598" s="17"/>
      <c r="D598" s="24"/>
      <c r="E598" s="24"/>
      <c r="F598" s="25"/>
      <c r="G598" s="1">
        <v>1825</v>
      </c>
      <c r="H598" s="2">
        <v>107.6</v>
      </c>
      <c r="I598" s="2">
        <v>35.5</v>
      </c>
      <c r="J598" s="2">
        <v>25.7</v>
      </c>
      <c r="K598" s="2">
        <f t="shared" si="78"/>
        <v>35.5</v>
      </c>
      <c r="L598" s="8">
        <f t="shared" si="82"/>
        <v>6.1659500186148299E-8</v>
      </c>
      <c r="M598" s="26"/>
      <c r="N598" s="17"/>
      <c r="O598" s="9">
        <f t="shared" si="80"/>
        <v>25.7</v>
      </c>
      <c r="P598" s="8">
        <f>D596/B596*10^(O598/10)</f>
        <v>28979.747869579467</v>
      </c>
      <c r="Q598" s="26"/>
      <c r="R598" s="17"/>
      <c r="S598" s="19"/>
      <c r="T598" s="17"/>
      <c r="U598" s="22"/>
    </row>
    <row r="599" spans="1:21" x14ac:dyDescent="0.25">
      <c r="A599" s="24"/>
      <c r="B599" s="24"/>
      <c r="C599" s="17"/>
      <c r="D599" s="24"/>
      <c r="E599" s="24"/>
      <c r="F599" s="25"/>
      <c r="G599" s="1">
        <v>2125</v>
      </c>
      <c r="H599" s="2">
        <v>104.2</v>
      </c>
      <c r="I599" s="2">
        <v>30.6</v>
      </c>
      <c r="J599" s="2">
        <v>28.7</v>
      </c>
      <c r="K599" s="2">
        <f t="shared" si="78"/>
        <v>30.6</v>
      </c>
      <c r="L599" s="8">
        <f t="shared" si="82"/>
        <v>4.3651583224016566E-8</v>
      </c>
      <c r="M599" s="26"/>
      <c r="N599" s="17"/>
      <c r="O599" s="9">
        <f t="shared" si="80"/>
        <v>28.7</v>
      </c>
      <c r="P599" s="8">
        <f>D596/B596*10^(O599/10)</f>
        <v>57822.198821471626</v>
      </c>
      <c r="Q599" s="26"/>
      <c r="R599" s="17"/>
      <c r="S599" s="19"/>
      <c r="T599" s="17"/>
      <c r="U599" s="22"/>
    </row>
    <row r="600" spans="1:21" x14ac:dyDescent="0.25">
      <c r="A600" s="24"/>
      <c r="B600" s="24"/>
      <c r="C600" s="17"/>
      <c r="D600" s="24"/>
      <c r="E600" s="24"/>
      <c r="F600" s="25"/>
      <c r="G600" s="1">
        <v>2425</v>
      </c>
      <c r="H600" s="2">
        <v>93.7</v>
      </c>
      <c r="I600" s="2">
        <v>35.6</v>
      </c>
      <c r="J600" s="2">
        <v>25.8</v>
      </c>
      <c r="K600" s="2">
        <f t="shared" si="78"/>
        <v>35.6</v>
      </c>
      <c r="L600" s="8">
        <f t="shared" si="82"/>
        <v>1.5488166189124767E-6</v>
      </c>
      <c r="M600" s="26"/>
      <c r="N600" s="17"/>
      <c r="O600" s="9">
        <f t="shared" si="80"/>
        <v>25.8</v>
      </c>
      <c r="P600" s="8">
        <f>D596/B596*10^(O600/10)</f>
        <v>29654.772913003806</v>
      </c>
      <c r="Q600" s="26"/>
      <c r="R600" s="17"/>
      <c r="S600" s="19"/>
      <c r="T600" s="17"/>
      <c r="U600" s="22"/>
    </row>
    <row r="601" spans="1:21" x14ac:dyDescent="0.25">
      <c r="A601" s="24"/>
      <c r="B601" s="24"/>
      <c r="C601" s="17"/>
      <c r="D601" s="24"/>
      <c r="E601" s="24"/>
      <c r="F601" s="25"/>
      <c r="G601" s="1">
        <v>2775</v>
      </c>
      <c r="H601" s="2">
        <v>100.2</v>
      </c>
      <c r="I601" s="2">
        <v>28.8</v>
      </c>
      <c r="J601" s="2">
        <v>28.2</v>
      </c>
      <c r="K601" s="2">
        <f t="shared" si="78"/>
        <v>28.8</v>
      </c>
      <c r="L601" s="8">
        <f t="shared" si="82"/>
        <v>7.2443596007498796E-8</v>
      </c>
      <c r="M601" s="26"/>
      <c r="N601" s="17"/>
      <c r="O601" s="9">
        <f t="shared" si="80"/>
        <v>28.2</v>
      </c>
      <c r="P601" s="8">
        <f>D596/B596*10^(O601/10)</f>
        <v>51534.08894459252</v>
      </c>
      <c r="Q601" s="26"/>
      <c r="R601" s="17"/>
      <c r="S601" s="20"/>
      <c r="T601" s="17"/>
      <c r="U601" s="23"/>
    </row>
    <row r="602" spans="1:21" x14ac:dyDescent="0.25">
      <c r="A602" s="24">
        <v>4000</v>
      </c>
      <c r="B602" s="24">
        <v>3</v>
      </c>
      <c r="C602" s="17">
        <v>0.5</v>
      </c>
      <c r="D602" s="24">
        <v>470</v>
      </c>
      <c r="E602" s="24">
        <v>6</v>
      </c>
      <c r="F602" s="25">
        <v>62</v>
      </c>
      <c r="G602" s="1">
        <v>2825</v>
      </c>
      <c r="H602" s="2">
        <v>99.4</v>
      </c>
      <c r="I602" s="2">
        <v>30.5</v>
      </c>
      <c r="J602" s="2">
        <v>29.6</v>
      </c>
      <c r="K602" s="2">
        <f t="shared" si="78"/>
        <v>30.5</v>
      </c>
      <c r="L602" s="8">
        <f t="shared" si="82"/>
        <v>1.2882495516931295E-7</v>
      </c>
      <c r="M602" s="26">
        <f>SUM(L602:L607)</f>
        <v>5.2598880282568005E-7</v>
      </c>
      <c r="N602" s="17">
        <f>10*LOG10(M602/E602)</f>
        <v>-70.571747513302455</v>
      </c>
      <c r="O602" s="9">
        <f t="shared" si="80"/>
        <v>29.6</v>
      </c>
      <c r="P602" s="8">
        <f>D602/B602*10^(O602/10)</f>
        <v>142881.69816575921</v>
      </c>
      <c r="Q602" s="26">
        <f>SUM(P602:P607)</f>
        <v>648573.6442815573</v>
      </c>
      <c r="R602" s="17">
        <f>10*LOG10(Q602)</f>
        <v>58.119592965175769</v>
      </c>
      <c r="S602" s="18">
        <f>F602+N602-Kzt-H</f>
        <v>-8.571747513302455</v>
      </c>
      <c r="T602" s="17">
        <v>0.9</v>
      </c>
      <c r="U602" s="21">
        <f>T602*10^((S602-R602)/10)</f>
        <v>1.9280063573180632E-7</v>
      </c>
    </row>
    <row r="603" spans="1:21" x14ac:dyDescent="0.25">
      <c r="A603" s="24"/>
      <c r="B603" s="24"/>
      <c r="C603" s="17"/>
      <c r="D603" s="24"/>
      <c r="E603" s="24"/>
      <c r="F603" s="25"/>
      <c r="G603" s="1">
        <v>3425</v>
      </c>
      <c r="H603" s="2">
        <v>103.5</v>
      </c>
      <c r="I603" s="2">
        <v>30.4</v>
      </c>
      <c r="J603" s="2">
        <v>27.8</v>
      </c>
      <c r="K603" s="2">
        <f t="shared" si="78"/>
        <v>30.4</v>
      </c>
      <c r="L603" s="8">
        <f t="shared" si="82"/>
        <v>4.8977881936844561E-8</v>
      </c>
      <c r="M603" s="26"/>
      <c r="N603" s="17"/>
      <c r="O603" s="9">
        <f t="shared" si="80"/>
        <v>27.8</v>
      </c>
      <c r="P603" s="8">
        <f>D602/B602*10^(O603/10)</f>
        <v>94401.00181831613</v>
      </c>
      <c r="Q603" s="26"/>
      <c r="R603" s="17"/>
      <c r="S603" s="19"/>
      <c r="T603" s="17"/>
      <c r="U603" s="22"/>
    </row>
    <row r="604" spans="1:21" x14ac:dyDescent="0.25">
      <c r="A604" s="24"/>
      <c r="B604" s="24"/>
      <c r="C604" s="17"/>
      <c r="D604" s="24"/>
      <c r="E604" s="24"/>
      <c r="F604" s="25"/>
      <c r="G604" s="1">
        <v>4025</v>
      </c>
      <c r="H604" s="2">
        <v>103.6</v>
      </c>
      <c r="I604" s="2">
        <v>30.2</v>
      </c>
      <c r="J604" s="2">
        <v>28.4</v>
      </c>
      <c r="K604" s="2">
        <f t="shared" si="78"/>
        <v>30.2</v>
      </c>
      <c r="L604" s="8">
        <f t="shared" si="82"/>
        <v>4.5708818961487464E-8</v>
      </c>
      <c r="M604" s="26"/>
      <c r="N604" s="17"/>
      <c r="O604" s="9">
        <f t="shared" si="80"/>
        <v>28.4</v>
      </c>
      <c r="P604" s="8">
        <f>D602/B602*10^(O604/10)</f>
        <v>108386.85211063341</v>
      </c>
      <c r="Q604" s="26"/>
      <c r="R604" s="17"/>
      <c r="S604" s="19"/>
      <c r="T604" s="17"/>
      <c r="U604" s="22"/>
    </row>
    <row r="605" spans="1:21" x14ac:dyDescent="0.25">
      <c r="A605" s="24"/>
      <c r="B605" s="24"/>
      <c r="C605" s="17"/>
      <c r="D605" s="24"/>
      <c r="E605" s="24"/>
      <c r="F605" s="25"/>
      <c r="G605" s="1">
        <v>4625</v>
      </c>
      <c r="H605" s="2">
        <v>105.6</v>
      </c>
      <c r="I605" s="2">
        <v>31.3</v>
      </c>
      <c r="J605" s="2">
        <v>25.4</v>
      </c>
      <c r="K605" s="2">
        <f t="shared" si="78"/>
        <v>31.3</v>
      </c>
      <c r="L605" s="8">
        <f t="shared" si="82"/>
        <v>3.7153522909717246E-8</v>
      </c>
      <c r="M605" s="26"/>
      <c r="N605" s="17"/>
      <c r="O605" s="9">
        <f t="shared" si="80"/>
        <v>25.4</v>
      </c>
      <c r="P605" s="8">
        <f>D602/B602*10^(O605/10)</f>
        <v>54322.106570896649</v>
      </c>
      <c r="Q605" s="26"/>
      <c r="R605" s="17"/>
      <c r="S605" s="19"/>
      <c r="T605" s="17"/>
      <c r="U605" s="22"/>
    </row>
    <row r="606" spans="1:21" x14ac:dyDescent="0.25">
      <c r="A606" s="24"/>
      <c r="B606" s="24"/>
      <c r="C606" s="17"/>
      <c r="D606" s="24"/>
      <c r="E606" s="24"/>
      <c r="F606" s="25"/>
      <c r="G606" s="1">
        <v>5225</v>
      </c>
      <c r="H606" s="2">
        <v>103.5</v>
      </c>
      <c r="I606" s="2">
        <v>33.300000000000004</v>
      </c>
      <c r="J606" s="2">
        <v>31.6</v>
      </c>
      <c r="K606" s="2">
        <f t="shared" si="78"/>
        <v>33.300000000000004</v>
      </c>
      <c r="L606" s="8">
        <f t="shared" si="82"/>
        <v>9.5499258602143887E-8</v>
      </c>
      <c r="M606" s="26"/>
      <c r="N606" s="17"/>
      <c r="O606" s="9">
        <f t="shared" si="80"/>
        <v>31.6</v>
      </c>
      <c r="P606" s="8">
        <f>D602/B602*10^(O606/10)</f>
        <v>226452.23075019551</v>
      </c>
      <c r="Q606" s="26"/>
      <c r="R606" s="17"/>
      <c r="S606" s="19"/>
      <c r="T606" s="17"/>
      <c r="U606" s="22"/>
    </row>
    <row r="607" spans="1:21" x14ac:dyDescent="0.25">
      <c r="A607" s="24"/>
      <c r="B607" s="24"/>
      <c r="C607" s="17"/>
      <c r="D607" s="24"/>
      <c r="E607" s="24"/>
      <c r="F607" s="25"/>
      <c r="G607" s="1">
        <v>5625</v>
      </c>
      <c r="H607" s="2">
        <v>99.5</v>
      </c>
      <c r="I607" s="2">
        <v>31.8</v>
      </c>
      <c r="J607" s="2">
        <v>21.5</v>
      </c>
      <c r="K607" s="2">
        <f t="shared" si="78"/>
        <v>31.8</v>
      </c>
      <c r="L607" s="8">
        <f t="shared" si="82"/>
        <v>1.6982436524617395E-7</v>
      </c>
      <c r="M607" s="26"/>
      <c r="N607" s="17"/>
      <c r="O607" s="9">
        <f t="shared" si="80"/>
        <v>21.5</v>
      </c>
      <c r="P607" s="8">
        <f>D602/B602*10^(O607/10)</f>
        <v>22129.75486575648</v>
      </c>
      <c r="Q607" s="26"/>
      <c r="R607" s="17"/>
      <c r="S607" s="20"/>
      <c r="T607" s="17"/>
      <c r="U607" s="23"/>
    </row>
    <row r="608" spans="1:21" x14ac:dyDescent="0.25">
      <c r="A608" s="24">
        <v>8000</v>
      </c>
      <c r="B608" s="24">
        <v>3</v>
      </c>
      <c r="C608" s="17">
        <v>0.5</v>
      </c>
      <c r="D608" s="24">
        <v>943</v>
      </c>
      <c r="E608" s="24">
        <v>6</v>
      </c>
      <c r="F608" s="25">
        <v>54</v>
      </c>
      <c r="G608" s="1">
        <v>6025</v>
      </c>
      <c r="H608" s="2">
        <v>95</v>
      </c>
      <c r="I608" s="2">
        <v>28.2</v>
      </c>
      <c r="J608" s="2">
        <v>25.4</v>
      </c>
      <c r="K608" s="2">
        <f t="shared" si="78"/>
        <v>28.2</v>
      </c>
      <c r="L608" s="8">
        <f t="shared" si="82"/>
        <v>2.089296130854039E-7</v>
      </c>
      <c r="M608" s="26">
        <f>SUM(L608:L613)</f>
        <v>5.4334283705870681E-6</v>
      </c>
      <c r="N608" s="17">
        <f>10*LOG10(M608/E608)</f>
        <v>-60.430773042955622</v>
      </c>
      <c r="O608" s="9">
        <f t="shared" si="80"/>
        <v>25.4</v>
      </c>
      <c r="P608" s="8">
        <f>D608/B608*10^(O608/10)</f>
        <v>108990.94999224583</v>
      </c>
      <c r="Q608" s="26">
        <f>SUM(P608:P613)</f>
        <v>728636.38539405202</v>
      </c>
      <c r="R608" s="17">
        <f>10*LOG10(Q608)</f>
        <v>58.625108545003329</v>
      </c>
      <c r="S608" s="18">
        <f>F608+N608-Kzt-H</f>
        <v>-6.4307730429556216</v>
      </c>
      <c r="T608" s="17">
        <v>0.7</v>
      </c>
      <c r="U608" s="21">
        <f>T608*10^((S608-R608)/10)</f>
        <v>2.1852940396539703E-7</v>
      </c>
    </row>
    <row r="609" spans="1:21" x14ac:dyDescent="0.25">
      <c r="A609" s="24"/>
      <c r="B609" s="24"/>
      <c r="C609" s="17"/>
      <c r="D609" s="24"/>
      <c r="E609" s="24"/>
      <c r="F609" s="25"/>
      <c r="G609" s="1">
        <v>7025</v>
      </c>
      <c r="H609" s="2">
        <v>94.8</v>
      </c>
      <c r="I609" s="2">
        <v>27.8</v>
      </c>
      <c r="J609" s="2">
        <v>25.6</v>
      </c>
      <c r="K609" s="2">
        <f t="shared" si="78"/>
        <v>27.8</v>
      </c>
      <c r="L609" s="8">
        <f t="shared" si="82"/>
        <v>1.9952623149688761E-7</v>
      </c>
      <c r="M609" s="26"/>
      <c r="N609" s="17"/>
      <c r="O609" s="9">
        <f t="shared" si="80"/>
        <v>25.6</v>
      </c>
      <c r="P609" s="8">
        <f>D608/B608*10^(O609/10)</f>
        <v>114127.53521606857</v>
      </c>
      <c r="Q609" s="26"/>
      <c r="R609" s="17"/>
      <c r="S609" s="19"/>
      <c r="T609" s="17"/>
      <c r="U609" s="22"/>
    </row>
    <row r="610" spans="1:21" x14ac:dyDescent="0.25">
      <c r="A610" s="24"/>
      <c r="B610" s="24"/>
      <c r="C610" s="17"/>
      <c r="D610" s="24"/>
      <c r="E610" s="24"/>
      <c r="F610" s="25"/>
      <c r="G610" s="1">
        <v>8025</v>
      </c>
      <c r="H610" s="2">
        <v>101.9</v>
      </c>
      <c r="I610" s="2">
        <v>32.1</v>
      </c>
      <c r="J610" s="2">
        <v>24.6</v>
      </c>
      <c r="K610" s="2">
        <f t="shared" si="78"/>
        <v>32.1</v>
      </c>
      <c r="L610" s="8">
        <f t="shared" si="82"/>
        <v>1.047128548050895E-7</v>
      </c>
      <c r="M610" s="26"/>
      <c r="N610" s="17"/>
      <c r="O610" s="9">
        <f t="shared" si="80"/>
        <v>24.6</v>
      </c>
      <c r="P610" s="8">
        <f>D608/B608*10^(O610/10)</f>
        <v>90654.723581613012</v>
      </c>
      <c r="Q610" s="26"/>
      <c r="R610" s="17"/>
      <c r="S610" s="19"/>
      <c r="T610" s="17"/>
      <c r="U610" s="22"/>
    </row>
    <row r="611" spans="1:21" x14ac:dyDescent="0.25">
      <c r="A611" s="24"/>
      <c r="B611" s="24"/>
      <c r="C611" s="17"/>
      <c r="D611" s="24"/>
      <c r="E611" s="24"/>
      <c r="F611" s="25"/>
      <c r="G611" s="1">
        <v>9025</v>
      </c>
      <c r="H611" s="2">
        <v>93.2</v>
      </c>
      <c r="I611" s="2">
        <v>31.7</v>
      </c>
      <c r="J611" s="2">
        <v>23.9</v>
      </c>
      <c r="K611" s="2">
        <f t="shared" si="78"/>
        <v>31.7</v>
      </c>
      <c r="L611" s="8">
        <f t="shared" si="82"/>
        <v>7.0794578438413674E-7</v>
      </c>
      <c r="M611" s="26"/>
      <c r="N611" s="17"/>
      <c r="O611" s="9">
        <f t="shared" si="80"/>
        <v>23.9</v>
      </c>
      <c r="P611" s="8">
        <f>D608/B608*10^(O611/10)</f>
        <v>77159.683583032733</v>
      </c>
      <c r="Q611" s="26"/>
      <c r="R611" s="17"/>
      <c r="S611" s="19"/>
      <c r="T611" s="17"/>
      <c r="U611" s="22"/>
    </row>
    <row r="612" spans="1:21" x14ac:dyDescent="0.25">
      <c r="A612" s="24"/>
      <c r="B612" s="24"/>
      <c r="C612" s="17"/>
      <c r="D612" s="24"/>
      <c r="E612" s="24"/>
      <c r="F612" s="25"/>
      <c r="G612" s="1">
        <v>10025</v>
      </c>
      <c r="H612" s="2">
        <v>88.3</v>
      </c>
      <c r="I612" s="2">
        <v>28.8</v>
      </c>
      <c r="J612" s="2">
        <v>27.4</v>
      </c>
      <c r="K612" s="2">
        <f t="shared" si="78"/>
        <v>28.8</v>
      </c>
      <c r="L612" s="8">
        <f t="shared" si="82"/>
        <v>1.1220184543019616E-6</v>
      </c>
      <c r="M612" s="26"/>
      <c r="N612" s="17"/>
      <c r="O612" s="9">
        <f t="shared" si="80"/>
        <v>27.4</v>
      </c>
      <c r="P612" s="8">
        <f>D608/B608*10^(O612/10)</f>
        <v>172739.01468258005</v>
      </c>
      <c r="Q612" s="26"/>
      <c r="R612" s="17"/>
      <c r="S612" s="19"/>
      <c r="T612" s="17"/>
      <c r="U612" s="22"/>
    </row>
    <row r="613" spans="1:21" x14ac:dyDescent="0.25">
      <c r="A613" s="24"/>
      <c r="B613" s="24"/>
      <c r="C613" s="17"/>
      <c r="D613" s="24"/>
      <c r="E613" s="24"/>
      <c r="F613" s="25"/>
      <c r="G613" s="1">
        <v>11025</v>
      </c>
      <c r="H613" s="2">
        <v>86</v>
      </c>
      <c r="I613" s="2">
        <v>30.9</v>
      </c>
      <c r="J613" s="2">
        <v>27.2</v>
      </c>
      <c r="K613" s="2">
        <f t="shared" si="78"/>
        <v>30.9</v>
      </c>
      <c r="L613" s="8">
        <f t="shared" si="82"/>
        <v>3.0902954325135885E-6</v>
      </c>
      <c r="M613" s="26"/>
      <c r="N613" s="17"/>
      <c r="O613" s="9">
        <f t="shared" si="80"/>
        <v>27.2</v>
      </c>
      <c r="P613" s="8">
        <f>D608/B608*10^(O613/10)</f>
        <v>164964.47833851181</v>
      </c>
      <c r="Q613" s="26"/>
      <c r="R613" s="17"/>
      <c r="S613" s="20"/>
      <c r="T613" s="17"/>
      <c r="U613" s="23"/>
    </row>
    <row r="614" spans="1:21" x14ac:dyDescent="0.25">
      <c r="A614" s="24" t="s">
        <v>20</v>
      </c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12">
        <f>U614</f>
        <v>6.4261151962299548E-2</v>
      </c>
      <c r="T614" s="2"/>
      <c r="U614" s="8">
        <f>0.8*SQRT(SUM(U580:U613))</f>
        <v>6.4261151962299548E-2</v>
      </c>
    </row>
    <row r="615" spans="1:21" x14ac:dyDescent="0.25">
      <c r="A615" s="27" t="s">
        <v>129</v>
      </c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9"/>
    </row>
    <row r="616" spans="1:21" x14ac:dyDescent="0.25">
      <c r="A616" s="24">
        <v>250</v>
      </c>
      <c r="B616" s="24">
        <v>3</v>
      </c>
      <c r="C616" s="17">
        <v>0.5</v>
      </c>
      <c r="D616" s="24">
        <v>38</v>
      </c>
      <c r="E616" s="24">
        <v>4</v>
      </c>
      <c r="F616" s="25">
        <v>84</v>
      </c>
      <c r="G616" s="1">
        <v>175</v>
      </c>
      <c r="H616" s="2">
        <v>84.8</v>
      </c>
      <c r="I616" s="2">
        <v>37.299999999999997</v>
      </c>
      <c r="J616" s="2">
        <v>35.5</v>
      </c>
      <c r="K616" s="2">
        <f>I616</f>
        <v>37.299999999999997</v>
      </c>
      <c r="L616" s="8">
        <f>10^((K616-H616)/10)</f>
        <v>1.7782794100389215E-5</v>
      </c>
      <c r="M616" s="26">
        <f>SUM(L616:L619)</f>
        <v>2.4724018437599293E-5</v>
      </c>
      <c r="N616" s="17">
        <f>10*LOG10(M616/E616)</f>
        <v>-52.089409325388722</v>
      </c>
      <c r="O616" s="9">
        <f>J616</f>
        <v>35.5</v>
      </c>
      <c r="P616" s="8">
        <f>D616/B616*10^(O616/10)</f>
        <v>44943.029302919545</v>
      </c>
      <c r="Q616" s="26">
        <f>SUM(P616:P619)</f>
        <v>126345.49595651636</v>
      </c>
      <c r="R616" s="17">
        <f>10*LOG10(Q616)</f>
        <v>51.01559764529803</v>
      </c>
      <c r="S616" s="18">
        <f>F616+N616-Kzt-H</f>
        <v>31.910590674611278</v>
      </c>
      <c r="T616" s="17">
        <v>0.2</v>
      </c>
      <c r="U616" s="21">
        <f>T616*10^((S616-R616)/10)</f>
        <v>2.4577024283941318E-3</v>
      </c>
    </row>
    <row r="617" spans="1:21" x14ac:dyDescent="0.25">
      <c r="A617" s="24"/>
      <c r="B617" s="24"/>
      <c r="C617" s="17"/>
      <c r="D617" s="24"/>
      <c r="E617" s="24"/>
      <c r="F617" s="25"/>
      <c r="G617" s="1">
        <v>225</v>
      </c>
      <c r="H617" s="2">
        <v>90</v>
      </c>
      <c r="I617" s="2">
        <v>33.700000000000003</v>
      </c>
      <c r="J617" s="2">
        <v>33.299999999999997</v>
      </c>
      <c r="K617" s="2">
        <f t="shared" ref="K617:K649" si="83">I617</f>
        <v>33.700000000000003</v>
      </c>
      <c r="L617" s="8">
        <f t="shared" ref="L617:L618" si="84">10^((K617-H617)/10)</f>
        <v>2.3442288153199192E-6</v>
      </c>
      <c r="M617" s="26"/>
      <c r="N617" s="17"/>
      <c r="O617" s="9">
        <f t="shared" ref="O617:O649" si="85">J617</f>
        <v>33.299999999999997</v>
      </c>
      <c r="P617" s="8">
        <f>D616/B616*10^(O617/10)</f>
        <v>27080.853133694945</v>
      </c>
      <c r="Q617" s="26"/>
      <c r="R617" s="17"/>
      <c r="S617" s="19"/>
      <c r="T617" s="17"/>
      <c r="U617" s="22"/>
    </row>
    <row r="618" spans="1:21" x14ac:dyDescent="0.25">
      <c r="A618" s="24"/>
      <c r="B618" s="24"/>
      <c r="C618" s="17"/>
      <c r="D618" s="24"/>
      <c r="E618" s="24"/>
      <c r="F618" s="25"/>
      <c r="G618" s="1">
        <v>275</v>
      </c>
      <c r="H618" s="2">
        <v>92.2</v>
      </c>
      <c r="I618" s="2">
        <v>36.5</v>
      </c>
      <c r="J618" s="2">
        <v>29.9</v>
      </c>
      <c r="K618" s="2">
        <f t="shared" si="83"/>
        <v>36.5</v>
      </c>
      <c r="L618" s="8">
        <f t="shared" si="84"/>
        <v>2.6915348039269108E-6</v>
      </c>
      <c r="M618" s="26"/>
      <c r="N618" s="17"/>
      <c r="O618" s="9">
        <f t="shared" si="85"/>
        <v>29.9</v>
      </c>
      <c r="P618" s="8">
        <f>D616/B616*10^(O618/10)</f>
        <v>12378.338132106934</v>
      </c>
      <c r="Q618" s="26"/>
      <c r="R618" s="17"/>
      <c r="S618" s="19"/>
      <c r="T618" s="17"/>
      <c r="U618" s="22"/>
    </row>
    <row r="619" spans="1:21" x14ac:dyDescent="0.25">
      <c r="A619" s="24"/>
      <c r="B619" s="24"/>
      <c r="C619" s="17"/>
      <c r="D619" s="24"/>
      <c r="E619" s="24"/>
      <c r="F619" s="25"/>
      <c r="G619" s="1">
        <v>325</v>
      </c>
      <c r="H619" s="2">
        <v>93.3</v>
      </c>
      <c r="I619" s="2">
        <v>36.1</v>
      </c>
      <c r="J619" s="2">
        <v>35.200000000000003</v>
      </c>
      <c r="K619" s="2">
        <f t="shared" si="83"/>
        <v>36.1</v>
      </c>
      <c r="L619" s="8">
        <f>10^((K619-H619)/10)</f>
        <v>1.9054607179632462E-6</v>
      </c>
      <c r="M619" s="26"/>
      <c r="N619" s="17"/>
      <c r="O619" s="9">
        <f t="shared" si="85"/>
        <v>35.200000000000003</v>
      </c>
      <c r="P619" s="8">
        <f>D616/B616*10^(O619/10)</f>
        <v>41943.275387794951</v>
      </c>
      <c r="Q619" s="26"/>
      <c r="R619" s="17"/>
      <c r="S619" s="20"/>
      <c r="T619" s="17"/>
      <c r="U619" s="23"/>
    </row>
    <row r="620" spans="1:21" x14ac:dyDescent="0.25">
      <c r="A620" s="24">
        <v>500</v>
      </c>
      <c r="B620" s="24">
        <v>3</v>
      </c>
      <c r="C620" s="17">
        <v>0.5</v>
      </c>
      <c r="D620" s="24">
        <v>59</v>
      </c>
      <c r="E620" s="24">
        <v>6</v>
      </c>
      <c r="F620" s="25">
        <v>84</v>
      </c>
      <c r="G620" s="1">
        <v>375</v>
      </c>
      <c r="H620" s="2">
        <v>91.9</v>
      </c>
      <c r="I620" s="2">
        <v>36.4</v>
      </c>
      <c r="J620" s="2">
        <v>34.200000000000003</v>
      </c>
      <c r="K620" s="2">
        <f t="shared" si="83"/>
        <v>36.4</v>
      </c>
      <c r="L620" s="8">
        <f t="shared" ref="L620:L621" si="86">10^((K620-H620)/10)</f>
        <v>2.8183829312644479E-6</v>
      </c>
      <c r="M620" s="26">
        <f>SUM(L620:L625)</f>
        <v>1.8409084569601006E-5</v>
      </c>
      <c r="N620" s="17">
        <f>10*LOG10(M620/E620)</f>
        <v>-55.131190575480474</v>
      </c>
      <c r="O620" s="9">
        <f t="shared" si="85"/>
        <v>34.200000000000003</v>
      </c>
      <c r="P620" s="8">
        <f>D620/B620*10^(O620/10)</f>
        <v>51728.603840609285</v>
      </c>
      <c r="Q620" s="26">
        <f>SUM(P620:P625)</f>
        <v>224817.5385287136</v>
      </c>
      <c r="R620" s="17">
        <f>10*LOG10(Q620)</f>
        <v>53.51830188521258</v>
      </c>
      <c r="S620" s="18">
        <f>F620+N620-Kzt-H</f>
        <v>28.868809424519526</v>
      </c>
      <c r="T620" s="17">
        <v>0.5</v>
      </c>
      <c r="U620" s="21">
        <f>T620*10^((S620-R620)/10)</f>
        <v>1.7140392326415142E-3</v>
      </c>
    </row>
    <row r="621" spans="1:21" x14ac:dyDescent="0.25">
      <c r="A621" s="24"/>
      <c r="B621" s="24"/>
      <c r="C621" s="17"/>
      <c r="D621" s="24"/>
      <c r="E621" s="24"/>
      <c r="F621" s="25"/>
      <c r="G621" s="1">
        <v>425</v>
      </c>
      <c r="H621" s="2">
        <v>88.1</v>
      </c>
      <c r="I621" s="2">
        <v>36.6</v>
      </c>
      <c r="J621" s="2">
        <v>29.7</v>
      </c>
      <c r="K621" s="2">
        <f t="shared" si="83"/>
        <v>36.6</v>
      </c>
      <c r="L621" s="8">
        <f t="shared" si="86"/>
        <v>7.079457843841375E-6</v>
      </c>
      <c r="M621" s="26"/>
      <c r="N621" s="17"/>
      <c r="O621" s="9">
        <f t="shared" si="85"/>
        <v>29.7</v>
      </c>
      <c r="P621" s="8">
        <f>D620/B620*10^(O621/10)</f>
        <v>18354.001249007491</v>
      </c>
      <c r="Q621" s="26"/>
      <c r="R621" s="17"/>
      <c r="S621" s="19"/>
      <c r="T621" s="17"/>
      <c r="U621" s="22"/>
    </row>
    <row r="622" spans="1:21" x14ac:dyDescent="0.25">
      <c r="A622" s="24"/>
      <c r="B622" s="24"/>
      <c r="C622" s="17"/>
      <c r="D622" s="24"/>
      <c r="E622" s="24"/>
      <c r="F622" s="25"/>
      <c r="G622" s="1">
        <v>475</v>
      </c>
      <c r="H622" s="2">
        <v>90</v>
      </c>
      <c r="I622" s="2">
        <v>35.1</v>
      </c>
      <c r="J622" s="2">
        <v>31.3</v>
      </c>
      <c r="K622" s="2">
        <f t="shared" si="83"/>
        <v>35.1</v>
      </c>
      <c r="L622" s="8">
        <f>10^((K622-H622)/10)</f>
        <v>3.2359365692962801E-6</v>
      </c>
      <c r="M622" s="26"/>
      <c r="N622" s="17"/>
      <c r="O622" s="9">
        <f t="shared" si="85"/>
        <v>31.3</v>
      </c>
      <c r="P622" s="8">
        <f>D620/B620*10^(O622/10)</f>
        <v>26529.603357635864</v>
      </c>
      <c r="Q622" s="26"/>
      <c r="R622" s="17"/>
      <c r="S622" s="19"/>
      <c r="T622" s="17"/>
      <c r="U622" s="22"/>
    </row>
    <row r="623" spans="1:21" x14ac:dyDescent="0.25">
      <c r="A623" s="24"/>
      <c r="B623" s="24"/>
      <c r="C623" s="17"/>
      <c r="D623" s="24"/>
      <c r="E623" s="24"/>
      <c r="F623" s="25"/>
      <c r="G623" s="1">
        <v>575</v>
      </c>
      <c r="H623" s="2">
        <v>97</v>
      </c>
      <c r="I623" s="2">
        <v>35.9</v>
      </c>
      <c r="J623" s="2">
        <v>34.799999999999997</v>
      </c>
      <c r="K623" s="2">
        <f t="shared" si="83"/>
        <v>35.9</v>
      </c>
      <c r="L623" s="8">
        <f t="shared" ref="L623:L649" si="87">10^((K623-H623)/10)</f>
        <v>7.7624711662869019E-7</v>
      </c>
      <c r="M623" s="26"/>
      <c r="N623" s="17"/>
      <c r="O623" s="9">
        <f t="shared" si="85"/>
        <v>34.799999999999997</v>
      </c>
      <c r="P623" s="8">
        <f>D620/B620*10^(O623/10)</f>
        <v>59392.383834573018</v>
      </c>
      <c r="Q623" s="26"/>
      <c r="R623" s="17"/>
      <c r="S623" s="19"/>
      <c r="T623" s="17"/>
      <c r="U623" s="22"/>
    </row>
    <row r="624" spans="1:21" x14ac:dyDescent="0.25">
      <c r="A624" s="24"/>
      <c r="B624" s="24"/>
      <c r="C624" s="17"/>
      <c r="D624" s="24"/>
      <c r="E624" s="24"/>
      <c r="F624" s="25"/>
      <c r="G624" s="1">
        <v>625</v>
      </c>
      <c r="H624" s="2">
        <v>92</v>
      </c>
      <c r="I624" s="2">
        <v>36.799999999999997</v>
      </c>
      <c r="J624" s="2">
        <v>35.1</v>
      </c>
      <c r="K624" s="2">
        <f t="shared" si="83"/>
        <v>36.799999999999997</v>
      </c>
      <c r="L624" s="8">
        <f t="shared" si="87"/>
        <v>3.0199517204020095E-6</v>
      </c>
      <c r="M624" s="26"/>
      <c r="N624" s="17"/>
      <c r="O624" s="9">
        <f t="shared" si="85"/>
        <v>35.1</v>
      </c>
      <c r="P624" s="8">
        <f>D620/B620*10^(O624/10)</f>
        <v>63640.085862827029</v>
      </c>
      <c r="Q624" s="26"/>
      <c r="R624" s="17"/>
      <c r="S624" s="19"/>
      <c r="T624" s="17"/>
      <c r="U624" s="22"/>
    </row>
    <row r="625" spans="1:21" x14ac:dyDescent="0.25">
      <c r="A625" s="24"/>
      <c r="B625" s="24"/>
      <c r="C625" s="17"/>
      <c r="D625" s="24"/>
      <c r="E625" s="24"/>
      <c r="F625" s="25"/>
      <c r="G625" s="1">
        <v>675</v>
      </c>
      <c r="H625" s="2">
        <v>94.5</v>
      </c>
      <c r="I625" s="2">
        <v>36.200000000000003</v>
      </c>
      <c r="J625" s="2">
        <v>24.2</v>
      </c>
      <c r="K625" s="2">
        <f t="shared" si="83"/>
        <v>36.200000000000003</v>
      </c>
      <c r="L625" s="8">
        <f t="shared" si="87"/>
        <v>1.4791083881682056E-6</v>
      </c>
      <c r="M625" s="26"/>
      <c r="N625" s="17"/>
      <c r="O625" s="9">
        <f t="shared" si="85"/>
        <v>24.2</v>
      </c>
      <c r="P625" s="8">
        <f>D620/B620*10^(O625/10)</f>
        <v>5172.8603840609176</v>
      </c>
      <c r="Q625" s="26"/>
      <c r="R625" s="17"/>
      <c r="S625" s="20"/>
      <c r="T625" s="17"/>
      <c r="U625" s="23"/>
    </row>
    <row r="626" spans="1:21" x14ac:dyDescent="0.25">
      <c r="A626" s="24">
        <v>1000</v>
      </c>
      <c r="B626" s="24">
        <v>3</v>
      </c>
      <c r="C626" s="17">
        <v>0.5</v>
      </c>
      <c r="D626" s="24">
        <v>117</v>
      </c>
      <c r="E626" s="24">
        <v>6</v>
      </c>
      <c r="F626" s="25">
        <v>76</v>
      </c>
      <c r="G626" s="1">
        <v>875</v>
      </c>
      <c r="H626" s="2">
        <v>91.1</v>
      </c>
      <c r="I626" s="2">
        <v>36.799999999999997</v>
      </c>
      <c r="J626" s="2">
        <v>27.9</v>
      </c>
      <c r="K626" s="2">
        <f t="shared" si="83"/>
        <v>36.799999999999997</v>
      </c>
      <c r="L626" s="8">
        <f t="shared" si="87"/>
        <v>3.7153522909717272E-6</v>
      </c>
      <c r="M626" s="26">
        <f>SUM(L626:L631)</f>
        <v>5.556767599699704E-6</v>
      </c>
      <c r="N626" s="17">
        <f>10*LOG10(M626/E626)</f>
        <v>-60.333290166860053</v>
      </c>
      <c r="O626" s="9">
        <f t="shared" si="85"/>
        <v>27.9</v>
      </c>
      <c r="P626" s="8">
        <f>D626/B626*10^(O626/10)</f>
        <v>24047.205072597826</v>
      </c>
      <c r="Q626" s="26">
        <f>SUM(P626:P631)</f>
        <v>327204.87217583676</v>
      </c>
      <c r="R626" s="17">
        <f>10*LOG10(Q626)</f>
        <v>55.148197618187439</v>
      </c>
      <c r="S626" s="18">
        <f>F626+N626-Kzt-H</f>
        <v>15.666709833139947</v>
      </c>
      <c r="T626" s="17">
        <v>0.8</v>
      </c>
      <c r="U626" s="21">
        <f>T626*10^((S626-R626)/10)</f>
        <v>9.0144909796289802E-5</v>
      </c>
    </row>
    <row r="627" spans="1:21" x14ac:dyDescent="0.25">
      <c r="A627" s="24"/>
      <c r="B627" s="24"/>
      <c r="C627" s="17"/>
      <c r="D627" s="24"/>
      <c r="E627" s="24"/>
      <c r="F627" s="25"/>
      <c r="G627" s="1">
        <v>975</v>
      </c>
      <c r="H627" s="2">
        <v>96.5</v>
      </c>
      <c r="I627" s="2">
        <v>32.200000000000003</v>
      </c>
      <c r="J627" s="2">
        <v>31.8</v>
      </c>
      <c r="K627" s="2">
        <f t="shared" si="83"/>
        <v>32.200000000000003</v>
      </c>
      <c r="L627" s="8">
        <f t="shared" si="87"/>
        <v>3.7153522909717226E-7</v>
      </c>
      <c r="M627" s="26"/>
      <c r="N627" s="17"/>
      <c r="O627" s="9">
        <f t="shared" si="85"/>
        <v>31.8</v>
      </c>
      <c r="P627" s="8">
        <f>D626/B626*10^(O627/10)</f>
        <v>59028.888689012165</v>
      </c>
      <c r="Q627" s="26"/>
      <c r="R627" s="17"/>
      <c r="S627" s="19"/>
      <c r="T627" s="17"/>
      <c r="U627" s="22"/>
    </row>
    <row r="628" spans="1:21" x14ac:dyDescent="0.25">
      <c r="A628" s="24"/>
      <c r="B628" s="24"/>
      <c r="C628" s="17"/>
      <c r="D628" s="24"/>
      <c r="E628" s="24"/>
      <c r="F628" s="25"/>
      <c r="G628" s="1">
        <v>1075</v>
      </c>
      <c r="H628" s="2">
        <v>94.6</v>
      </c>
      <c r="I628" s="2">
        <v>33.799999999999997</v>
      </c>
      <c r="J628" s="2">
        <v>32</v>
      </c>
      <c r="K628" s="2">
        <f t="shared" si="83"/>
        <v>33.799999999999997</v>
      </c>
      <c r="L628" s="8">
        <f t="shared" si="87"/>
        <v>8.3176377110266907E-7</v>
      </c>
      <c r="M628" s="26"/>
      <c r="N628" s="17"/>
      <c r="O628" s="9">
        <f t="shared" si="85"/>
        <v>32</v>
      </c>
      <c r="P628" s="8">
        <f>D626/B626*10^(O628/10)</f>
        <v>61810.834505983512</v>
      </c>
      <c r="Q628" s="26"/>
      <c r="R628" s="17"/>
      <c r="S628" s="19"/>
      <c r="T628" s="17"/>
      <c r="U628" s="22"/>
    </row>
    <row r="629" spans="1:21" x14ac:dyDescent="0.25">
      <c r="A629" s="24"/>
      <c r="B629" s="24"/>
      <c r="C629" s="17"/>
      <c r="D629" s="24"/>
      <c r="E629" s="24"/>
      <c r="F629" s="25"/>
      <c r="G629" s="1">
        <v>1175</v>
      </c>
      <c r="H629" s="2">
        <v>97.8</v>
      </c>
      <c r="I629" s="2">
        <v>32.700000000000003</v>
      </c>
      <c r="J629" s="2">
        <v>32.5</v>
      </c>
      <c r="K629" s="2">
        <f t="shared" si="83"/>
        <v>32.700000000000003</v>
      </c>
      <c r="L629" s="8">
        <f t="shared" si="87"/>
        <v>3.090295432513585E-7</v>
      </c>
      <c r="M629" s="26"/>
      <c r="N629" s="17"/>
      <c r="O629" s="9">
        <f t="shared" si="85"/>
        <v>32.5</v>
      </c>
      <c r="P629" s="8">
        <f>D626/B626*10^(O629/10)</f>
        <v>69352.89699151805</v>
      </c>
      <c r="Q629" s="26"/>
      <c r="R629" s="17"/>
      <c r="S629" s="19"/>
      <c r="T629" s="17"/>
      <c r="U629" s="22"/>
    </row>
    <row r="630" spans="1:21" x14ac:dyDescent="0.25">
      <c r="A630" s="24"/>
      <c r="B630" s="24"/>
      <c r="C630" s="17"/>
      <c r="D630" s="24"/>
      <c r="E630" s="24"/>
      <c r="F630" s="25"/>
      <c r="G630" s="1">
        <v>1275</v>
      </c>
      <c r="H630" s="2">
        <v>100.1</v>
      </c>
      <c r="I630" s="2">
        <v>30.1</v>
      </c>
      <c r="J630" s="2">
        <v>28.8</v>
      </c>
      <c r="K630" s="2">
        <f t="shared" si="83"/>
        <v>30.1</v>
      </c>
      <c r="L630" s="8">
        <f t="shared" si="87"/>
        <v>9.9999999999999995E-8</v>
      </c>
      <c r="M630" s="26"/>
      <c r="N630" s="17"/>
      <c r="O630" s="9">
        <f t="shared" si="85"/>
        <v>28.8</v>
      </c>
      <c r="P630" s="8">
        <f>D626/B626*10^(O630/10)</f>
        <v>29584.525426138167</v>
      </c>
      <c r="Q630" s="26"/>
      <c r="R630" s="17"/>
      <c r="S630" s="19"/>
      <c r="T630" s="17"/>
      <c r="U630" s="22"/>
    </row>
    <row r="631" spans="1:21" x14ac:dyDescent="0.25">
      <c r="A631" s="24"/>
      <c r="B631" s="24"/>
      <c r="C631" s="17"/>
      <c r="D631" s="24"/>
      <c r="E631" s="24"/>
      <c r="F631" s="25"/>
      <c r="G631" s="1">
        <v>1375</v>
      </c>
      <c r="H631" s="2">
        <v>103</v>
      </c>
      <c r="I631" s="2">
        <v>36.6</v>
      </c>
      <c r="J631" s="2">
        <v>33.299999999999997</v>
      </c>
      <c r="K631" s="2">
        <f t="shared" si="83"/>
        <v>36.6</v>
      </c>
      <c r="L631" s="8">
        <f t="shared" si="87"/>
        <v>2.2908676527677676E-7</v>
      </c>
      <c r="M631" s="26"/>
      <c r="N631" s="17"/>
      <c r="O631" s="9">
        <f t="shared" si="85"/>
        <v>33.299999999999997</v>
      </c>
      <c r="P631" s="8">
        <f>D626/B626*10^(O631/10)</f>
        <v>83380.521490587067</v>
      </c>
      <c r="Q631" s="26"/>
      <c r="R631" s="17"/>
      <c r="S631" s="20"/>
      <c r="T631" s="17"/>
      <c r="U631" s="23"/>
    </row>
    <row r="632" spans="1:21" x14ac:dyDescent="0.25">
      <c r="A632" s="24">
        <v>2000</v>
      </c>
      <c r="B632" s="24">
        <v>3</v>
      </c>
      <c r="C632" s="17">
        <v>0.5</v>
      </c>
      <c r="D632" s="24">
        <v>234</v>
      </c>
      <c r="E632" s="24">
        <v>6</v>
      </c>
      <c r="F632" s="25">
        <v>68</v>
      </c>
      <c r="G632" s="1">
        <v>1425</v>
      </c>
      <c r="H632" s="2">
        <v>102.8</v>
      </c>
      <c r="I632" s="2">
        <v>32.9</v>
      </c>
      <c r="J632" s="2">
        <v>29.1</v>
      </c>
      <c r="K632" s="2">
        <f t="shared" si="83"/>
        <v>32.9</v>
      </c>
      <c r="L632" s="8">
        <f t="shared" si="87"/>
        <v>1.0232929922807534E-7</v>
      </c>
      <c r="M632" s="26">
        <f>SUM(L632:L637)</f>
        <v>9.6830439879963021E-7</v>
      </c>
      <c r="N632" s="17">
        <f>10*LOG10(M632/E632)</f>
        <v>-67.921393456190259</v>
      </c>
      <c r="O632" s="9">
        <f t="shared" si="85"/>
        <v>29.1</v>
      </c>
      <c r="P632" s="8">
        <f>D632/B632*10^(O632/10)</f>
        <v>63400.78026079978</v>
      </c>
      <c r="Q632" s="26">
        <f>SUM(P632:P637)</f>
        <v>321839.03372277343</v>
      </c>
      <c r="R632" s="17">
        <f>10*LOG10(Q632)</f>
        <v>55.076387156559925</v>
      </c>
      <c r="S632" s="18">
        <f>F632+N632-Kzt-H</f>
        <v>7.860654380974097E-2</v>
      </c>
      <c r="T632" s="17">
        <v>1</v>
      </c>
      <c r="U632" s="21">
        <f>T632*10^((S632-R632)/10)</f>
        <v>3.1638941007663921E-6</v>
      </c>
    </row>
    <row r="633" spans="1:21" x14ac:dyDescent="0.25">
      <c r="A633" s="24"/>
      <c r="B633" s="24"/>
      <c r="C633" s="17"/>
      <c r="D633" s="24"/>
      <c r="E633" s="24"/>
      <c r="F633" s="25"/>
      <c r="G633" s="1">
        <v>1625</v>
      </c>
      <c r="H633" s="2">
        <v>104.1</v>
      </c>
      <c r="I633" s="2">
        <v>34</v>
      </c>
      <c r="J633" s="2">
        <v>26.9</v>
      </c>
      <c r="K633" s="2">
        <f t="shared" si="83"/>
        <v>34</v>
      </c>
      <c r="L633" s="8">
        <f t="shared" si="87"/>
        <v>9.7723722095581017E-8</v>
      </c>
      <c r="M633" s="26"/>
      <c r="N633" s="17"/>
      <c r="O633" s="9">
        <f t="shared" si="85"/>
        <v>26.9</v>
      </c>
      <c r="P633" s="8">
        <f>D632/B632*10^(O633/10)</f>
        <v>38202.747910738806</v>
      </c>
      <c r="Q633" s="26"/>
      <c r="R633" s="17"/>
      <c r="S633" s="19"/>
      <c r="T633" s="17"/>
      <c r="U633" s="22"/>
    </row>
    <row r="634" spans="1:21" x14ac:dyDescent="0.25">
      <c r="A634" s="24"/>
      <c r="B634" s="24"/>
      <c r="C634" s="17"/>
      <c r="D634" s="24"/>
      <c r="E634" s="24"/>
      <c r="F634" s="25"/>
      <c r="G634" s="1">
        <v>1825</v>
      </c>
      <c r="H634" s="2">
        <v>107.6</v>
      </c>
      <c r="I634" s="2">
        <v>35</v>
      </c>
      <c r="J634" s="2">
        <v>29.1</v>
      </c>
      <c r="K634" s="2">
        <f t="shared" si="83"/>
        <v>35</v>
      </c>
      <c r="L634" s="8">
        <f t="shared" si="87"/>
        <v>5.4954087385762357E-8</v>
      </c>
      <c r="M634" s="26"/>
      <c r="N634" s="17"/>
      <c r="O634" s="9">
        <f t="shared" si="85"/>
        <v>29.1</v>
      </c>
      <c r="P634" s="8">
        <f>D632/B632*10^(O634/10)</f>
        <v>63400.78026079978</v>
      </c>
      <c r="Q634" s="26"/>
      <c r="R634" s="17"/>
      <c r="S634" s="19"/>
      <c r="T634" s="17"/>
      <c r="U634" s="22"/>
    </row>
    <row r="635" spans="1:21" x14ac:dyDescent="0.25">
      <c r="A635" s="24"/>
      <c r="B635" s="24"/>
      <c r="C635" s="17"/>
      <c r="D635" s="24"/>
      <c r="E635" s="24"/>
      <c r="F635" s="25"/>
      <c r="G635" s="1">
        <v>2125</v>
      </c>
      <c r="H635" s="2">
        <v>104.2</v>
      </c>
      <c r="I635" s="2">
        <v>30.7</v>
      </c>
      <c r="J635" s="2">
        <v>29.9</v>
      </c>
      <c r="K635" s="2">
        <f t="shared" si="83"/>
        <v>30.7</v>
      </c>
      <c r="L635" s="8">
        <f t="shared" si="87"/>
        <v>4.466835921509628E-8</v>
      </c>
      <c r="M635" s="26"/>
      <c r="N635" s="17"/>
      <c r="O635" s="9">
        <f t="shared" si="85"/>
        <v>29.9</v>
      </c>
      <c r="P635" s="8">
        <f>D632/B632*10^(O635/10)</f>
        <v>76224.503234553224</v>
      </c>
      <c r="Q635" s="26"/>
      <c r="R635" s="17"/>
      <c r="S635" s="19"/>
      <c r="T635" s="17"/>
      <c r="U635" s="22"/>
    </row>
    <row r="636" spans="1:21" x14ac:dyDescent="0.25">
      <c r="A636" s="24"/>
      <c r="B636" s="24"/>
      <c r="C636" s="17"/>
      <c r="D636" s="24"/>
      <c r="E636" s="24"/>
      <c r="F636" s="25"/>
      <c r="G636" s="1">
        <v>2425</v>
      </c>
      <c r="H636" s="2">
        <v>93.7</v>
      </c>
      <c r="I636" s="2">
        <v>31.5</v>
      </c>
      <c r="J636" s="2">
        <v>27.9</v>
      </c>
      <c r="K636" s="2">
        <f t="shared" si="83"/>
        <v>31.5</v>
      </c>
      <c r="L636" s="8">
        <f t="shared" si="87"/>
        <v>6.0255958607435604E-7</v>
      </c>
      <c r="M636" s="26"/>
      <c r="N636" s="17"/>
      <c r="O636" s="9">
        <f t="shared" si="85"/>
        <v>27.9</v>
      </c>
      <c r="P636" s="8">
        <f>D632/B632*10^(O636/10)</f>
        <v>48094.410145195652</v>
      </c>
      <c r="Q636" s="26"/>
      <c r="R636" s="17"/>
      <c r="S636" s="19"/>
      <c r="T636" s="17"/>
      <c r="U636" s="22"/>
    </row>
    <row r="637" spans="1:21" x14ac:dyDescent="0.25">
      <c r="A637" s="24"/>
      <c r="B637" s="24"/>
      <c r="C637" s="17"/>
      <c r="D637" s="24"/>
      <c r="E637" s="24"/>
      <c r="F637" s="25"/>
      <c r="G637" s="1">
        <v>2775</v>
      </c>
      <c r="H637" s="2">
        <v>100.2</v>
      </c>
      <c r="I637" s="2">
        <v>28.4</v>
      </c>
      <c r="J637" s="2">
        <v>26.2</v>
      </c>
      <c r="K637" s="2">
        <f t="shared" si="83"/>
        <v>28.4</v>
      </c>
      <c r="L637" s="8">
        <f t="shared" si="87"/>
        <v>6.6069344800759205E-8</v>
      </c>
      <c r="M637" s="26"/>
      <c r="N637" s="17"/>
      <c r="O637" s="9">
        <f t="shared" si="85"/>
        <v>26.2</v>
      </c>
      <c r="P637" s="8">
        <f>D632/B632*10^(O637/10)</f>
        <v>32515.811910686185</v>
      </c>
      <c r="Q637" s="26"/>
      <c r="R637" s="17"/>
      <c r="S637" s="20"/>
      <c r="T637" s="17"/>
      <c r="U637" s="23"/>
    </row>
    <row r="638" spans="1:21" x14ac:dyDescent="0.25">
      <c r="A638" s="24">
        <v>4000</v>
      </c>
      <c r="B638" s="24">
        <v>3</v>
      </c>
      <c r="C638" s="17">
        <v>0.5</v>
      </c>
      <c r="D638" s="24">
        <v>470</v>
      </c>
      <c r="E638" s="24">
        <v>6</v>
      </c>
      <c r="F638" s="25">
        <v>62</v>
      </c>
      <c r="G638" s="1">
        <v>2825</v>
      </c>
      <c r="H638" s="2">
        <v>99.4</v>
      </c>
      <c r="I638" s="2">
        <v>35.700000000000003</v>
      </c>
      <c r="J638" s="2">
        <v>27.8</v>
      </c>
      <c r="K638" s="2">
        <f t="shared" si="83"/>
        <v>35.700000000000003</v>
      </c>
      <c r="L638" s="8">
        <f t="shared" si="87"/>
        <v>4.2657951880159212E-7</v>
      </c>
      <c r="M638" s="26">
        <f>SUM(L638:L643)</f>
        <v>9.1287771320347025E-7</v>
      </c>
      <c r="N638" s="17">
        <f>10*LOG10(M638/E638)</f>
        <v>-68.177386459467414</v>
      </c>
      <c r="O638" s="9">
        <f t="shared" si="85"/>
        <v>27.8</v>
      </c>
      <c r="P638" s="8">
        <f>D638/B638*10^(O638/10)</f>
        <v>94401.00181831613</v>
      </c>
      <c r="Q638" s="26">
        <f>SUM(P638:P643)</f>
        <v>460028.6150738718</v>
      </c>
      <c r="R638" s="17">
        <f>10*LOG10(Q638)</f>
        <v>56.62784846860194</v>
      </c>
      <c r="S638" s="18">
        <f>F638+N638-Kzt-H</f>
        <v>-6.1773864594674137</v>
      </c>
      <c r="T638" s="17">
        <v>0.9</v>
      </c>
      <c r="U638" s="21">
        <f>T638*10^((S638-R638)/10)</f>
        <v>4.7175772086698817E-7</v>
      </c>
    </row>
    <row r="639" spans="1:21" x14ac:dyDescent="0.25">
      <c r="A639" s="24"/>
      <c r="B639" s="24"/>
      <c r="C639" s="17"/>
      <c r="D639" s="24"/>
      <c r="E639" s="24"/>
      <c r="F639" s="25"/>
      <c r="G639" s="1">
        <v>3425</v>
      </c>
      <c r="H639" s="2">
        <v>103.5</v>
      </c>
      <c r="I639" s="2">
        <v>31.6</v>
      </c>
      <c r="J639" s="2">
        <v>24.9</v>
      </c>
      <c r="K639" s="2">
        <f t="shared" si="83"/>
        <v>31.6</v>
      </c>
      <c r="L639" s="8">
        <f t="shared" si="87"/>
        <v>6.4565422903465397E-8</v>
      </c>
      <c r="M639" s="26"/>
      <c r="N639" s="17"/>
      <c r="O639" s="9">
        <f t="shared" si="85"/>
        <v>24.9</v>
      </c>
      <c r="P639" s="8">
        <f>D638/B638*10^(O639/10)</f>
        <v>48414.628442712921</v>
      </c>
      <c r="Q639" s="26"/>
      <c r="R639" s="17"/>
      <c r="S639" s="19"/>
      <c r="T639" s="17"/>
      <c r="U639" s="22"/>
    </row>
    <row r="640" spans="1:21" x14ac:dyDescent="0.25">
      <c r="A640" s="24"/>
      <c r="B640" s="24"/>
      <c r="C640" s="17"/>
      <c r="D640" s="24"/>
      <c r="E640" s="24"/>
      <c r="F640" s="25"/>
      <c r="G640" s="1">
        <v>4025</v>
      </c>
      <c r="H640" s="2">
        <v>103.6</v>
      </c>
      <c r="I640" s="2">
        <v>30.5</v>
      </c>
      <c r="J640" s="2">
        <v>27.6</v>
      </c>
      <c r="K640" s="2">
        <f t="shared" si="83"/>
        <v>30.5</v>
      </c>
      <c r="L640" s="8">
        <f t="shared" si="87"/>
        <v>4.8977881936844561E-8</v>
      </c>
      <c r="M640" s="26"/>
      <c r="N640" s="17"/>
      <c r="O640" s="9">
        <f t="shared" si="85"/>
        <v>27.6</v>
      </c>
      <c r="P640" s="8">
        <f>D638/B638*10^(O640/10)</f>
        <v>90152.256849488025</v>
      </c>
      <c r="Q640" s="26"/>
      <c r="R640" s="17"/>
      <c r="S640" s="19"/>
      <c r="T640" s="17"/>
      <c r="U640" s="22"/>
    </row>
    <row r="641" spans="1:21" x14ac:dyDescent="0.25">
      <c r="A641" s="24"/>
      <c r="B641" s="24"/>
      <c r="C641" s="17"/>
      <c r="D641" s="24"/>
      <c r="E641" s="24"/>
      <c r="F641" s="25"/>
      <c r="G641" s="1">
        <v>4625</v>
      </c>
      <c r="H641" s="2">
        <v>105.6</v>
      </c>
      <c r="I641" s="2">
        <v>28</v>
      </c>
      <c r="J641" s="2">
        <v>27.1</v>
      </c>
      <c r="K641" s="2">
        <f t="shared" si="83"/>
        <v>28</v>
      </c>
      <c r="L641" s="8">
        <f t="shared" si="87"/>
        <v>1.7378008287493747E-8</v>
      </c>
      <c r="M641" s="26"/>
      <c r="N641" s="17"/>
      <c r="O641" s="9">
        <f t="shared" si="85"/>
        <v>27.1</v>
      </c>
      <c r="P641" s="8">
        <f>D638/B638*10^(O641/10)</f>
        <v>80348.283491980546</v>
      </c>
      <c r="Q641" s="26"/>
      <c r="R641" s="17"/>
      <c r="S641" s="19"/>
      <c r="T641" s="17"/>
      <c r="U641" s="22"/>
    </row>
    <row r="642" spans="1:21" x14ac:dyDescent="0.25">
      <c r="A642" s="24"/>
      <c r="B642" s="24"/>
      <c r="C642" s="17"/>
      <c r="D642" s="24"/>
      <c r="E642" s="24"/>
      <c r="F642" s="25"/>
      <c r="G642" s="1">
        <v>5225</v>
      </c>
      <c r="H642" s="2">
        <v>103.5</v>
      </c>
      <c r="I642" s="2">
        <v>31.3</v>
      </c>
      <c r="J642" s="2">
        <v>26.5</v>
      </c>
      <c r="K642" s="2">
        <f t="shared" si="83"/>
        <v>31.3</v>
      </c>
      <c r="L642" s="8">
        <f t="shared" si="87"/>
        <v>6.0255958607435649E-8</v>
      </c>
      <c r="M642" s="26"/>
      <c r="N642" s="17"/>
      <c r="O642" s="9">
        <f t="shared" si="85"/>
        <v>26.5</v>
      </c>
      <c r="P642" s="8">
        <f>D638/B638*10^(O642/10)</f>
        <v>69980.429436984254</v>
      </c>
      <c r="Q642" s="26"/>
      <c r="R642" s="17"/>
      <c r="S642" s="19"/>
      <c r="T642" s="17"/>
      <c r="U642" s="22"/>
    </row>
    <row r="643" spans="1:21" x14ac:dyDescent="0.25">
      <c r="A643" s="24"/>
      <c r="B643" s="24"/>
      <c r="C643" s="17"/>
      <c r="D643" s="24"/>
      <c r="E643" s="24"/>
      <c r="F643" s="25"/>
      <c r="G643" s="1">
        <v>5625</v>
      </c>
      <c r="H643" s="2">
        <v>99.5</v>
      </c>
      <c r="I643" s="2">
        <v>34.200000000000003</v>
      </c>
      <c r="J643" s="2">
        <v>26.9</v>
      </c>
      <c r="K643" s="2">
        <f t="shared" si="83"/>
        <v>34.200000000000003</v>
      </c>
      <c r="L643" s="8">
        <f t="shared" si="87"/>
        <v>2.9512092266663867E-7</v>
      </c>
      <c r="M643" s="26"/>
      <c r="N643" s="17"/>
      <c r="O643" s="9">
        <f t="shared" si="85"/>
        <v>26.9</v>
      </c>
      <c r="P643" s="8">
        <f>D638/B638*10^(O643/10)</f>
        <v>76732.015034389915</v>
      </c>
      <c r="Q643" s="26"/>
      <c r="R643" s="17"/>
      <c r="S643" s="20"/>
      <c r="T643" s="17"/>
      <c r="U643" s="23"/>
    </row>
    <row r="644" spans="1:21" x14ac:dyDescent="0.25">
      <c r="A644" s="24">
        <v>8000</v>
      </c>
      <c r="B644" s="24">
        <v>3</v>
      </c>
      <c r="C644" s="17">
        <v>0.5</v>
      </c>
      <c r="D644" s="24">
        <v>943</v>
      </c>
      <c r="E644" s="24">
        <v>6</v>
      </c>
      <c r="F644" s="25">
        <v>54</v>
      </c>
      <c r="G644" s="1">
        <v>6025</v>
      </c>
      <c r="H644" s="2">
        <v>95</v>
      </c>
      <c r="I644" s="2">
        <v>33.200000000000003</v>
      </c>
      <c r="J644" s="2">
        <v>26.1</v>
      </c>
      <c r="K644" s="2">
        <f t="shared" si="83"/>
        <v>33.200000000000003</v>
      </c>
      <c r="L644" s="8">
        <f t="shared" si="87"/>
        <v>6.6069344800759506E-7</v>
      </c>
      <c r="M644" s="26">
        <f>SUM(L644:L649)</f>
        <v>6.4865766135160858E-6</v>
      </c>
      <c r="N644" s="17">
        <f>10*LOG10(M644/E644)</f>
        <v>-59.661356984399127</v>
      </c>
      <c r="O644" s="9">
        <f t="shared" si="85"/>
        <v>26.1</v>
      </c>
      <c r="P644" s="8">
        <f>D644/B644*10^(O644/10)</f>
        <v>128053.2006564263</v>
      </c>
      <c r="Q644" s="26">
        <f>SUM(P644:P649)</f>
        <v>711748.51871105586</v>
      </c>
      <c r="R644" s="17">
        <f>10*LOG10(Q644)</f>
        <v>58.52326571967523</v>
      </c>
      <c r="S644" s="18">
        <f>F644+N644-Kzt-H</f>
        <v>-5.6613569843991272</v>
      </c>
      <c r="T644" s="17">
        <v>0.7</v>
      </c>
      <c r="U644" s="21">
        <f>T644*10^((S644-R644)/10)</f>
        <v>2.6707655742325112E-7</v>
      </c>
    </row>
    <row r="645" spans="1:21" x14ac:dyDescent="0.25">
      <c r="A645" s="24"/>
      <c r="B645" s="24"/>
      <c r="C645" s="17"/>
      <c r="D645" s="24"/>
      <c r="E645" s="24"/>
      <c r="F645" s="25"/>
      <c r="G645" s="1">
        <v>7025</v>
      </c>
      <c r="H645" s="2">
        <v>94.8</v>
      </c>
      <c r="I645" s="2">
        <v>27.6</v>
      </c>
      <c r="J645" s="2">
        <v>25.2</v>
      </c>
      <c r="K645" s="2">
        <f t="shared" si="83"/>
        <v>27.6</v>
      </c>
      <c r="L645" s="8">
        <f t="shared" si="87"/>
        <v>1.9054607179632509E-7</v>
      </c>
      <c r="M645" s="26"/>
      <c r="N645" s="17"/>
      <c r="O645" s="9">
        <f t="shared" si="85"/>
        <v>25.2</v>
      </c>
      <c r="P645" s="8">
        <f>D644/B644*10^(O645/10)</f>
        <v>104085.54918602789</v>
      </c>
      <c r="Q645" s="26"/>
      <c r="R645" s="17"/>
      <c r="S645" s="19"/>
      <c r="T645" s="17"/>
      <c r="U645" s="22"/>
    </row>
    <row r="646" spans="1:21" x14ac:dyDescent="0.25">
      <c r="A646" s="24"/>
      <c r="B646" s="24"/>
      <c r="C646" s="17"/>
      <c r="D646" s="24"/>
      <c r="E646" s="24"/>
      <c r="F646" s="25"/>
      <c r="G646" s="1">
        <v>8025</v>
      </c>
      <c r="H646" s="2">
        <v>101.9</v>
      </c>
      <c r="I646" s="2">
        <v>33.799999999999997</v>
      </c>
      <c r="J646" s="2">
        <v>25.4</v>
      </c>
      <c r="K646" s="2">
        <f t="shared" si="83"/>
        <v>33.799999999999997</v>
      </c>
      <c r="L646" s="8">
        <f t="shared" si="87"/>
        <v>1.5488166189124776E-7</v>
      </c>
      <c r="M646" s="26"/>
      <c r="N646" s="17"/>
      <c r="O646" s="9">
        <f t="shared" si="85"/>
        <v>25.4</v>
      </c>
      <c r="P646" s="8">
        <f>D644/B644*10^(O646/10)</f>
        <v>108990.94999224583</v>
      </c>
      <c r="Q646" s="26"/>
      <c r="R646" s="17"/>
      <c r="S646" s="19"/>
      <c r="T646" s="17"/>
      <c r="U646" s="22"/>
    </row>
    <row r="647" spans="1:21" x14ac:dyDescent="0.25">
      <c r="A647" s="24"/>
      <c r="B647" s="24"/>
      <c r="C647" s="17"/>
      <c r="D647" s="24"/>
      <c r="E647" s="24"/>
      <c r="F647" s="25"/>
      <c r="G647" s="1">
        <v>9025</v>
      </c>
      <c r="H647" s="2">
        <v>93.2</v>
      </c>
      <c r="I647" s="2">
        <v>34.299999999999997</v>
      </c>
      <c r="J647" s="2">
        <v>26.1</v>
      </c>
      <c r="K647" s="2">
        <f t="shared" si="83"/>
        <v>34.299999999999997</v>
      </c>
      <c r="L647" s="8">
        <f t="shared" si="87"/>
        <v>1.2882495516931309E-6</v>
      </c>
      <c r="M647" s="26"/>
      <c r="N647" s="17"/>
      <c r="O647" s="9">
        <f t="shared" si="85"/>
        <v>26.1</v>
      </c>
      <c r="P647" s="8">
        <f>D644/B644*10^(O647/10)</f>
        <v>128053.2006564263</v>
      </c>
      <c r="Q647" s="26"/>
      <c r="R647" s="17"/>
      <c r="S647" s="19"/>
      <c r="T647" s="17"/>
      <c r="U647" s="22"/>
    </row>
    <row r="648" spans="1:21" x14ac:dyDescent="0.25">
      <c r="A648" s="24"/>
      <c r="B648" s="24"/>
      <c r="C648" s="17"/>
      <c r="D648" s="24"/>
      <c r="E648" s="24"/>
      <c r="F648" s="25"/>
      <c r="G648" s="1">
        <v>10025</v>
      </c>
      <c r="H648" s="2">
        <v>88.3</v>
      </c>
      <c r="I648" s="2">
        <v>30.4</v>
      </c>
      <c r="J648" s="2">
        <v>26.2</v>
      </c>
      <c r="K648" s="2">
        <f t="shared" si="83"/>
        <v>30.4</v>
      </c>
      <c r="L648" s="8">
        <f t="shared" si="87"/>
        <v>1.6218100973589276E-6</v>
      </c>
      <c r="M648" s="26"/>
      <c r="N648" s="17"/>
      <c r="O648" s="9">
        <f t="shared" si="85"/>
        <v>26.2</v>
      </c>
      <c r="P648" s="8">
        <f>D644/B644*10^(O648/10)</f>
        <v>131035.94287084219</v>
      </c>
      <c r="Q648" s="26"/>
      <c r="R648" s="17"/>
      <c r="S648" s="19"/>
      <c r="T648" s="17"/>
      <c r="U648" s="22"/>
    </row>
    <row r="649" spans="1:21" x14ac:dyDescent="0.25">
      <c r="A649" s="24"/>
      <c r="B649" s="24"/>
      <c r="C649" s="17"/>
      <c r="D649" s="24"/>
      <c r="E649" s="24"/>
      <c r="F649" s="25"/>
      <c r="G649" s="1">
        <v>11025</v>
      </c>
      <c r="H649" s="2">
        <v>86</v>
      </c>
      <c r="I649" s="2">
        <v>30.1</v>
      </c>
      <c r="J649" s="2">
        <v>25.5</v>
      </c>
      <c r="K649" s="2">
        <f t="shared" si="83"/>
        <v>30.1</v>
      </c>
      <c r="L649" s="8">
        <f t="shared" si="87"/>
        <v>2.5703957827688596E-6</v>
      </c>
      <c r="M649" s="26"/>
      <c r="N649" s="17"/>
      <c r="O649" s="9">
        <f t="shared" si="85"/>
        <v>25.5</v>
      </c>
      <c r="P649" s="8">
        <f>D644/B644*10^(O649/10)</f>
        <v>111529.67534908728</v>
      </c>
      <c r="Q649" s="26"/>
      <c r="R649" s="17"/>
      <c r="S649" s="20"/>
      <c r="T649" s="17"/>
      <c r="U649" s="23"/>
    </row>
    <row r="650" spans="1:21" x14ac:dyDescent="0.25">
      <c r="A650" s="24" t="s">
        <v>20</v>
      </c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12">
        <f>U650</f>
        <v>5.2250408146683747E-2</v>
      </c>
      <c r="T650" s="2"/>
      <c r="U650" s="8">
        <f>0.8*SQRT(SUM(U616:U649))</f>
        <v>5.2250408146683747E-2</v>
      </c>
    </row>
    <row r="651" spans="1:21" x14ac:dyDescent="0.25">
      <c r="A651" s="27" t="s">
        <v>130</v>
      </c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9"/>
    </row>
    <row r="652" spans="1:21" x14ac:dyDescent="0.25">
      <c r="A652" s="24">
        <v>250</v>
      </c>
      <c r="B652" s="24">
        <v>3</v>
      </c>
      <c r="C652" s="17">
        <v>0.5</v>
      </c>
      <c r="D652" s="24">
        <v>38</v>
      </c>
      <c r="E652" s="24">
        <v>4</v>
      </c>
      <c r="F652" s="25">
        <v>84</v>
      </c>
      <c r="G652" s="1">
        <v>175</v>
      </c>
      <c r="H652" s="2">
        <v>84.8</v>
      </c>
      <c r="I652" s="2">
        <v>37.5</v>
      </c>
      <c r="J652" s="2">
        <v>34</v>
      </c>
      <c r="K652" s="2">
        <f>I652</f>
        <v>37.5</v>
      </c>
      <c r="L652" s="8">
        <f>10^((K652-H652)/10)</f>
        <v>1.8620871366628688E-5</v>
      </c>
      <c r="M652" s="26">
        <f>SUM(L652:L655)</f>
        <v>2.9896432859375151E-5</v>
      </c>
      <c r="N652" s="17">
        <f>10*LOG10(M652/E652)</f>
        <v>-51.264406184519572</v>
      </c>
      <c r="O652" s="9">
        <f>J652</f>
        <v>34</v>
      </c>
      <c r="P652" s="8">
        <f>D652/B652*10^(O652/10)</f>
        <v>31817.228132454693</v>
      </c>
      <c r="Q652" s="26">
        <f>SUM(P652:P655)</f>
        <v>173530.83008720912</v>
      </c>
      <c r="R652" s="17">
        <f>10*LOG10(Q652)</f>
        <v>52.393766442409166</v>
      </c>
      <c r="S652" s="18">
        <f>F652+N652-Kzt-H</f>
        <v>32.735593815480428</v>
      </c>
      <c r="T652" s="17">
        <v>0.2</v>
      </c>
      <c r="U652" s="21">
        <f>T652*10^((S652-R652)/10)</f>
        <v>2.1637781601189033E-3</v>
      </c>
    </row>
    <row r="653" spans="1:21" x14ac:dyDescent="0.25">
      <c r="A653" s="24"/>
      <c r="B653" s="24"/>
      <c r="C653" s="17"/>
      <c r="D653" s="24"/>
      <c r="E653" s="24"/>
      <c r="F653" s="25"/>
      <c r="G653" s="1">
        <v>225</v>
      </c>
      <c r="H653" s="2">
        <v>90</v>
      </c>
      <c r="I653" s="2">
        <v>36.4</v>
      </c>
      <c r="J653" s="2">
        <v>35.6</v>
      </c>
      <c r="K653" s="2">
        <f t="shared" ref="K653:K685" si="88">I653</f>
        <v>36.4</v>
      </c>
      <c r="L653" s="8">
        <f t="shared" ref="L653:L654" si="89">10^((K653-H653)/10)</f>
        <v>4.3651583224016507E-6</v>
      </c>
      <c r="M653" s="26"/>
      <c r="N653" s="17"/>
      <c r="O653" s="9">
        <f t="shared" ref="O653:O685" si="90">J653</f>
        <v>35.6</v>
      </c>
      <c r="P653" s="8">
        <f>D652/B652*10^(O653/10)</f>
        <v>45989.886937546238</v>
      </c>
      <c r="Q653" s="26"/>
      <c r="R653" s="17"/>
      <c r="S653" s="19"/>
      <c r="T653" s="17"/>
      <c r="U653" s="22"/>
    </row>
    <row r="654" spans="1:21" x14ac:dyDescent="0.25">
      <c r="A654" s="24"/>
      <c r="B654" s="24"/>
      <c r="C654" s="17"/>
      <c r="D654" s="24"/>
      <c r="E654" s="24"/>
      <c r="F654" s="25"/>
      <c r="G654" s="1">
        <v>275</v>
      </c>
      <c r="H654" s="2">
        <v>92.2</v>
      </c>
      <c r="I654" s="2">
        <v>38.1</v>
      </c>
      <c r="J654" s="2">
        <v>35.299999999999997</v>
      </c>
      <c r="K654" s="2">
        <f t="shared" si="88"/>
        <v>38.1</v>
      </c>
      <c r="L654" s="8">
        <f t="shared" si="89"/>
        <v>3.8904514499428E-6</v>
      </c>
      <c r="M654" s="26"/>
      <c r="N654" s="17"/>
      <c r="O654" s="9">
        <f t="shared" si="90"/>
        <v>35.299999999999997</v>
      </c>
      <c r="P654" s="8">
        <f>D652/B652*10^(O654/10)</f>
        <v>42920.259777632324</v>
      </c>
      <c r="Q654" s="26"/>
      <c r="R654" s="17"/>
      <c r="S654" s="19"/>
      <c r="T654" s="17"/>
      <c r="U654" s="22"/>
    </row>
    <row r="655" spans="1:21" x14ac:dyDescent="0.25">
      <c r="A655" s="24"/>
      <c r="B655" s="24"/>
      <c r="C655" s="17"/>
      <c r="D655" s="24"/>
      <c r="E655" s="24"/>
      <c r="F655" s="25"/>
      <c r="G655" s="1">
        <v>325</v>
      </c>
      <c r="H655" s="2">
        <v>93.3</v>
      </c>
      <c r="I655" s="2">
        <v>38.1</v>
      </c>
      <c r="J655" s="2">
        <v>36.200000000000003</v>
      </c>
      <c r="K655" s="2">
        <f t="shared" si="88"/>
        <v>38.1</v>
      </c>
      <c r="L655" s="8">
        <f>10^((K655-H655)/10)</f>
        <v>3.0199517204020146E-6</v>
      </c>
      <c r="M655" s="26"/>
      <c r="N655" s="17"/>
      <c r="O655" s="9">
        <f t="shared" si="90"/>
        <v>36.200000000000003</v>
      </c>
      <c r="P655" s="8">
        <f>D652/B652*10^(O655/10)</f>
        <v>52803.455239575873</v>
      </c>
      <c r="Q655" s="26"/>
      <c r="R655" s="17"/>
      <c r="S655" s="20"/>
      <c r="T655" s="17"/>
      <c r="U655" s="23"/>
    </row>
    <row r="656" spans="1:21" x14ac:dyDescent="0.25">
      <c r="A656" s="24">
        <v>500</v>
      </c>
      <c r="B656" s="24">
        <v>3</v>
      </c>
      <c r="C656" s="17">
        <v>0.5</v>
      </c>
      <c r="D656" s="24">
        <v>59</v>
      </c>
      <c r="E656" s="24">
        <v>6</v>
      </c>
      <c r="F656" s="25">
        <v>84</v>
      </c>
      <c r="G656" s="1">
        <v>375</v>
      </c>
      <c r="H656" s="2">
        <v>91.9</v>
      </c>
      <c r="I656" s="2">
        <v>35.299999999999997</v>
      </c>
      <c r="J656" s="2">
        <v>32.299999999999997</v>
      </c>
      <c r="K656" s="2">
        <f t="shared" si="88"/>
        <v>35.299999999999997</v>
      </c>
      <c r="L656" s="8">
        <f t="shared" ref="L656:L657" si="91">10^((K656-H656)/10)</f>
        <v>2.1877616239495467E-6</v>
      </c>
      <c r="M656" s="26">
        <f>SUM(L656:L661)</f>
        <v>3.1077729842656208E-5</v>
      </c>
      <c r="N656" s="17">
        <f>10*LOG10(M656/E656)</f>
        <v>-52.857019633183469</v>
      </c>
      <c r="O656" s="9">
        <f t="shared" si="90"/>
        <v>32.299999999999997</v>
      </c>
      <c r="P656" s="8">
        <f>D656/B656*10^(O656/10)</f>
        <v>33398.791831747621</v>
      </c>
      <c r="Q656" s="26">
        <f>SUM(P656:P661)</f>
        <v>240245.35863778618</v>
      </c>
      <c r="R656" s="17">
        <f>10*LOG10(Q656)</f>
        <v>53.806550061742193</v>
      </c>
      <c r="S656" s="18">
        <f>F656+N656-Kzt-H</f>
        <v>31.142980366816531</v>
      </c>
      <c r="T656" s="17">
        <v>0.5</v>
      </c>
      <c r="U656" s="21">
        <f>T656*10^((S656-R656)/10)</f>
        <v>2.7077778719124582E-3</v>
      </c>
    </row>
    <row r="657" spans="1:21" x14ac:dyDescent="0.25">
      <c r="A657" s="24"/>
      <c r="B657" s="24"/>
      <c r="C657" s="17"/>
      <c r="D657" s="24"/>
      <c r="E657" s="24"/>
      <c r="F657" s="25"/>
      <c r="G657" s="1">
        <v>425</v>
      </c>
      <c r="H657" s="2">
        <v>88.1</v>
      </c>
      <c r="I657" s="2">
        <v>39.4</v>
      </c>
      <c r="J657" s="2">
        <v>32.299999999999997</v>
      </c>
      <c r="K657" s="2">
        <f t="shared" si="88"/>
        <v>39.4</v>
      </c>
      <c r="L657" s="8">
        <f t="shared" si="91"/>
        <v>1.3489628825916542E-5</v>
      </c>
      <c r="M657" s="26"/>
      <c r="N657" s="17"/>
      <c r="O657" s="9">
        <f t="shared" si="90"/>
        <v>32.299999999999997</v>
      </c>
      <c r="P657" s="8">
        <f>D656/B656*10^(O657/10)</f>
        <v>33398.791831747621</v>
      </c>
      <c r="Q657" s="26"/>
      <c r="R657" s="17"/>
      <c r="S657" s="19"/>
      <c r="T657" s="17"/>
      <c r="U657" s="22"/>
    </row>
    <row r="658" spans="1:21" x14ac:dyDescent="0.25">
      <c r="A658" s="24"/>
      <c r="B658" s="24"/>
      <c r="C658" s="17"/>
      <c r="D658" s="24"/>
      <c r="E658" s="24"/>
      <c r="F658" s="25"/>
      <c r="G658" s="1">
        <v>475</v>
      </c>
      <c r="H658" s="2">
        <v>90</v>
      </c>
      <c r="I658" s="2">
        <v>40</v>
      </c>
      <c r="J658" s="2">
        <v>32.5</v>
      </c>
      <c r="K658" s="2">
        <f t="shared" si="88"/>
        <v>40</v>
      </c>
      <c r="L658" s="8">
        <f>10^((K658-H658)/10)</f>
        <v>1.0000000000000001E-5</v>
      </c>
      <c r="M658" s="26"/>
      <c r="N658" s="17"/>
      <c r="O658" s="9">
        <f t="shared" si="90"/>
        <v>32.5</v>
      </c>
      <c r="P658" s="8">
        <f>D656/B656*10^(O658/10)</f>
        <v>34972.828397432182</v>
      </c>
      <c r="Q658" s="26"/>
      <c r="R658" s="17"/>
      <c r="S658" s="19"/>
      <c r="T658" s="17"/>
      <c r="U658" s="22"/>
    </row>
    <row r="659" spans="1:21" x14ac:dyDescent="0.25">
      <c r="A659" s="24"/>
      <c r="B659" s="24"/>
      <c r="C659" s="17"/>
      <c r="D659" s="24"/>
      <c r="E659" s="24"/>
      <c r="F659" s="25"/>
      <c r="G659" s="1">
        <v>575</v>
      </c>
      <c r="H659" s="2">
        <v>97</v>
      </c>
      <c r="I659" s="2">
        <v>35.799999999999997</v>
      </c>
      <c r="J659" s="2">
        <v>35.4</v>
      </c>
      <c r="K659" s="2">
        <f t="shared" si="88"/>
        <v>35.799999999999997</v>
      </c>
      <c r="L659" s="8">
        <f t="shared" ref="L659:L685" si="92">10^((K659-H659)/10)</f>
        <v>7.585775750291823E-7</v>
      </c>
      <c r="M659" s="26"/>
      <c r="N659" s="17"/>
      <c r="O659" s="9">
        <f t="shared" si="90"/>
        <v>35.4</v>
      </c>
      <c r="P659" s="8">
        <f>D656/B656*10^(O659/10)</f>
        <v>68191.580588998011</v>
      </c>
      <c r="Q659" s="26"/>
      <c r="R659" s="17"/>
      <c r="S659" s="19"/>
      <c r="T659" s="17"/>
      <c r="U659" s="22"/>
    </row>
    <row r="660" spans="1:21" x14ac:dyDescent="0.25">
      <c r="A660" s="24"/>
      <c r="B660" s="24"/>
      <c r="C660" s="17"/>
      <c r="D660" s="24"/>
      <c r="E660" s="24"/>
      <c r="F660" s="25"/>
      <c r="G660" s="1">
        <v>625</v>
      </c>
      <c r="H660" s="2">
        <v>92</v>
      </c>
      <c r="I660" s="2">
        <v>34.1</v>
      </c>
      <c r="J660" s="2">
        <v>33.799999999999997</v>
      </c>
      <c r="K660" s="2">
        <f t="shared" si="88"/>
        <v>34.1</v>
      </c>
      <c r="L660" s="8">
        <f t="shared" si="92"/>
        <v>1.6218100973589276E-6</v>
      </c>
      <c r="M660" s="26"/>
      <c r="N660" s="17"/>
      <c r="O660" s="9">
        <f t="shared" si="90"/>
        <v>33.799999999999997</v>
      </c>
      <c r="P660" s="8">
        <f>D656/B656*10^(O660/10)</f>
        <v>47177.047407383339</v>
      </c>
      <c r="Q660" s="26"/>
      <c r="R660" s="17"/>
      <c r="S660" s="19"/>
      <c r="T660" s="17"/>
      <c r="U660" s="22"/>
    </row>
    <row r="661" spans="1:21" x14ac:dyDescent="0.25">
      <c r="A661" s="24"/>
      <c r="B661" s="24"/>
      <c r="C661" s="17"/>
      <c r="D661" s="24"/>
      <c r="E661" s="24"/>
      <c r="F661" s="25"/>
      <c r="G661" s="1">
        <v>675</v>
      </c>
      <c r="H661" s="2">
        <v>94.5</v>
      </c>
      <c r="I661" s="2">
        <v>39.299999999999997</v>
      </c>
      <c r="J661" s="2">
        <v>30.7</v>
      </c>
      <c r="K661" s="2">
        <f t="shared" si="88"/>
        <v>39.299999999999997</v>
      </c>
      <c r="L661" s="8">
        <f t="shared" si="92"/>
        <v>3.0199517204020095E-6</v>
      </c>
      <c r="M661" s="26"/>
      <c r="N661" s="17"/>
      <c r="O661" s="9">
        <f t="shared" si="90"/>
        <v>30.7</v>
      </c>
      <c r="P661" s="8">
        <f>D656/B656*10^(O661/10)</f>
        <v>23106.318580477415</v>
      </c>
      <c r="Q661" s="26"/>
      <c r="R661" s="17"/>
      <c r="S661" s="20"/>
      <c r="T661" s="17"/>
      <c r="U661" s="23"/>
    </row>
    <row r="662" spans="1:21" x14ac:dyDescent="0.25">
      <c r="A662" s="24">
        <v>1000</v>
      </c>
      <c r="B662" s="24">
        <v>3</v>
      </c>
      <c r="C662" s="17">
        <v>0.5</v>
      </c>
      <c r="D662" s="24">
        <v>117</v>
      </c>
      <c r="E662" s="24">
        <v>6</v>
      </c>
      <c r="F662" s="25">
        <v>76</v>
      </c>
      <c r="G662" s="1">
        <v>875</v>
      </c>
      <c r="H662" s="2">
        <v>91.1</v>
      </c>
      <c r="I662" s="2">
        <v>35.5</v>
      </c>
      <c r="J662" s="2">
        <v>30.4</v>
      </c>
      <c r="K662" s="2">
        <f t="shared" si="88"/>
        <v>35.5</v>
      </c>
      <c r="L662" s="8">
        <f t="shared" si="92"/>
        <v>2.7542287033381663E-6</v>
      </c>
      <c r="M662" s="26">
        <f>SUM(L662:L667)</f>
        <v>5.9844784054763463E-6</v>
      </c>
      <c r="N662" s="17">
        <f>10*LOG10(M662/E662)</f>
        <v>-60.01124946183382</v>
      </c>
      <c r="O662" s="9">
        <f t="shared" si="90"/>
        <v>30.4</v>
      </c>
      <c r="P662" s="8">
        <f>D662/B662*10^(O662/10)</f>
        <v>42762.649649584266</v>
      </c>
      <c r="Q662" s="26">
        <f>SUM(P662:P667)</f>
        <v>259570.49037980795</v>
      </c>
      <c r="R662" s="17">
        <f>10*LOG10(Q662)</f>
        <v>54.142553175825718</v>
      </c>
      <c r="S662" s="18">
        <f>F662+N662-Kzt-H</f>
        <v>15.98875053816618</v>
      </c>
      <c r="T662" s="17">
        <v>0.8</v>
      </c>
      <c r="U662" s="21">
        <f>T662*10^((S662-R662)/10)</f>
        <v>1.2237979552332155E-4</v>
      </c>
    </row>
    <row r="663" spans="1:21" x14ac:dyDescent="0.25">
      <c r="A663" s="24"/>
      <c r="B663" s="24"/>
      <c r="C663" s="17"/>
      <c r="D663" s="24"/>
      <c r="E663" s="24"/>
      <c r="F663" s="25"/>
      <c r="G663" s="1">
        <v>975</v>
      </c>
      <c r="H663" s="2">
        <v>96.5</v>
      </c>
      <c r="I663" s="2">
        <v>34.200000000000003</v>
      </c>
      <c r="J663" s="2">
        <v>32.200000000000003</v>
      </c>
      <c r="K663" s="2">
        <f t="shared" si="88"/>
        <v>34.200000000000003</v>
      </c>
      <c r="L663" s="8">
        <f t="shared" si="92"/>
        <v>5.888436553555885E-7</v>
      </c>
      <c r="M663" s="26"/>
      <c r="N663" s="17"/>
      <c r="O663" s="9">
        <f t="shared" si="90"/>
        <v>32.200000000000003</v>
      </c>
      <c r="P663" s="8">
        <f>D662/B662*10^(O663/10)</f>
        <v>64723.889390064942</v>
      </c>
      <c r="Q663" s="26"/>
      <c r="R663" s="17"/>
      <c r="S663" s="19"/>
      <c r="T663" s="17"/>
      <c r="U663" s="22"/>
    </row>
    <row r="664" spans="1:21" x14ac:dyDescent="0.25">
      <c r="A664" s="24"/>
      <c r="B664" s="24"/>
      <c r="C664" s="17"/>
      <c r="D664" s="24"/>
      <c r="E664" s="24"/>
      <c r="F664" s="25"/>
      <c r="G664" s="1">
        <v>1075</v>
      </c>
      <c r="H664" s="2">
        <v>94.6</v>
      </c>
      <c r="I664" s="2">
        <v>36.5</v>
      </c>
      <c r="J664" s="2">
        <v>31.4</v>
      </c>
      <c r="K664" s="2">
        <f t="shared" si="88"/>
        <v>36.5</v>
      </c>
      <c r="L664" s="8">
        <f t="shared" si="92"/>
        <v>1.5488166189124819E-6</v>
      </c>
      <c r="M664" s="26"/>
      <c r="N664" s="17"/>
      <c r="O664" s="9">
        <f t="shared" si="90"/>
        <v>31.4</v>
      </c>
      <c r="P664" s="8">
        <f>D662/B662*10^(O664/10)</f>
        <v>53834.986319512522</v>
      </c>
      <c r="Q664" s="26"/>
      <c r="R664" s="17"/>
      <c r="S664" s="19"/>
      <c r="T664" s="17"/>
      <c r="U664" s="22"/>
    </row>
    <row r="665" spans="1:21" x14ac:dyDescent="0.25">
      <c r="A665" s="24"/>
      <c r="B665" s="24"/>
      <c r="C665" s="17"/>
      <c r="D665" s="24"/>
      <c r="E665" s="24"/>
      <c r="F665" s="25"/>
      <c r="G665" s="1">
        <v>1175</v>
      </c>
      <c r="H665" s="2">
        <v>97.8</v>
      </c>
      <c r="I665" s="2">
        <v>35.799999999999997</v>
      </c>
      <c r="J665" s="2">
        <v>29.8</v>
      </c>
      <c r="K665" s="2">
        <f t="shared" si="88"/>
        <v>35.799999999999997</v>
      </c>
      <c r="L665" s="8">
        <f t="shared" si="92"/>
        <v>6.3095734448019254E-7</v>
      </c>
      <c r="M665" s="26"/>
      <c r="N665" s="17"/>
      <c r="O665" s="9">
        <f t="shared" si="90"/>
        <v>29.8</v>
      </c>
      <c r="P665" s="8">
        <f>D662/B662*10^(O665/10)</f>
        <v>37244.710854836034</v>
      </c>
      <c r="Q665" s="26"/>
      <c r="R665" s="17"/>
      <c r="S665" s="19"/>
      <c r="T665" s="17"/>
      <c r="U665" s="22"/>
    </row>
    <row r="666" spans="1:21" x14ac:dyDescent="0.25">
      <c r="A666" s="24"/>
      <c r="B666" s="24"/>
      <c r="C666" s="17"/>
      <c r="D666" s="24"/>
      <c r="E666" s="24"/>
      <c r="F666" s="25"/>
      <c r="G666" s="1">
        <v>1275</v>
      </c>
      <c r="H666" s="2">
        <v>100.1</v>
      </c>
      <c r="I666" s="2">
        <v>35.200000000000003</v>
      </c>
      <c r="J666" s="2">
        <v>28</v>
      </c>
      <c r="K666" s="2">
        <f t="shared" si="88"/>
        <v>35.200000000000003</v>
      </c>
      <c r="L666" s="8">
        <f t="shared" si="92"/>
        <v>3.2359365692962822E-7</v>
      </c>
      <c r="M666" s="26"/>
      <c r="N666" s="17"/>
      <c r="O666" s="9">
        <f t="shared" si="90"/>
        <v>28</v>
      </c>
      <c r="P666" s="8">
        <f>D662/B662*10^(O666/10)</f>
        <v>24607.336434727535</v>
      </c>
      <c r="Q666" s="26"/>
      <c r="R666" s="17"/>
      <c r="S666" s="19"/>
      <c r="T666" s="17"/>
      <c r="U666" s="22"/>
    </row>
    <row r="667" spans="1:21" x14ac:dyDescent="0.25">
      <c r="A667" s="24"/>
      <c r="B667" s="24"/>
      <c r="C667" s="17"/>
      <c r="D667" s="24"/>
      <c r="E667" s="24"/>
      <c r="F667" s="25"/>
      <c r="G667" s="1">
        <v>1375</v>
      </c>
      <c r="H667" s="2">
        <v>103</v>
      </c>
      <c r="I667" s="2">
        <v>34.4</v>
      </c>
      <c r="J667" s="2">
        <v>29.7</v>
      </c>
      <c r="K667" s="2">
        <f t="shared" si="88"/>
        <v>34.4</v>
      </c>
      <c r="L667" s="8">
        <f t="shared" si="92"/>
        <v>1.3803842646028844E-7</v>
      </c>
      <c r="M667" s="26"/>
      <c r="N667" s="17"/>
      <c r="O667" s="9">
        <f t="shared" si="90"/>
        <v>29.7</v>
      </c>
      <c r="P667" s="8">
        <f>D662/B662*10^(O667/10)</f>
        <v>36396.917731082649</v>
      </c>
      <c r="Q667" s="26"/>
      <c r="R667" s="17"/>
      <c r="S667" s="20"/>
      <c r="T667" s="17"/>
      <c r="U667" s="23"/>
    </row>
    <row r="668" spans="1:21" x14ac:dyDescent="0.25">
      <c r="A668" s="24">
        <v>2000</v>
      </c>
      <c r="B668" s="24">
        <v>3</v>
      </c>
      <c r="C668" s="17">
        <v>0.5</v>
      </c>
      <c r="D668" s="24">
        <v>234</v>
      </c>
      <c r="E668" s="24">
        <v>6</v>
      </c>
      <c r="F668" s="25">
        <v>68</v>
      </c>
      <c r="G668" s="1">
        <v>1425</v>
      </c>
      <c r="H668" s="2">
        <v>102.8</v>
      </c>
      <c r="I668" s="2">
        <v>36.6</v>
      </c>
      <c r="J668" s="2">
        <v>33.200000000000003</v>
      </c>
      <c r="K668" s="2">
        <f t="shared" si="88"/>
        <v>36.6</v>
      </c>
      <c r="L668" s="8">
        <f t="shared" si="92"/>
        <v>2.398832919019493E-7</v>
      </c>
      <c r="M668" s="26">
        <f>SUM(L668:L673)</f>
        <v>8.8346133112569896E-7</v>
      </c>
      <c r="N668" s="17">
        <f>10*LOG10(M668/E668)</f>
        <v>-68.319637050821768</v>
      </c>
      <c r="O668" s="9">
        <f t="shared" si="90"/>
        <v>33.200000000000003</v>
      </c>
      <c r="P668" s="8">
        <f>D668/B668*10^(O668/10)</f>
        <v>162965.09820661528</v>
      </c>
      <c r="Q668" s="26">
        <f>SUM(P668:P673)</f>
        <v>520011.3766860186</v>
      </c>
      <c r="R668" s="17">
        <f>10*LOG10(Q668)</f>
        <v>57.160128451307848</v>
      </c>
      <c r="S668" s="18">
        <f>F668+N668-Kzt-H</f>
        <v>-0.3196370508217683</v>
      </c>
      <c r="T668" s="17">
        <v>1</v>
      </c>
      <c r="U668" s="21">
        <f>T668*10^((S668-R668)/10)</f>
        <v>1.7865840390852922E-6</v>
      </c>
    </row>
    <row r="669" spans="1:21" x14ac:dyDescent="0.25">
      <c r="A669" s="24"/>
      <c r="B669" s="24"/>
      <c r="C669" s="17"/>
      <c r="D669" s="24"/>
      <c r="E669" s="24"/>
      <c r="F669" s="25"/>
      <c r="G669" s="1">
        <v>1625</v>
      </c>
      <c r="H669" s="2">
        <v>104.1</v>
      </c>
      <c r="I669" s="2">
        <v>31.8</v>
      </c>
      <c r="J669" s="2">
        <v>30.1</v>
      </c>
      <c r="K669" s="2">
        <f t="shared" si="88"/>
        <v>31.8</v>
      </c>
      <c r="L669" s="8">
        <f t="shared" si="92"/>
        <v>5.8884365535558776E-8</v>
      </c>
      <c r="M669" s="26"/>
      <c r="N669" s="17"/>
      <c r="O669" s="9">
        <f t="shared" si="90"/>
        <v>30.1</v>
      </c>
      <c r="P669" s="8">
        <f>D668/B668*10^(O669/10)</f>
        <v>79816.853397898929</v>
      </c>
      <c r="Q669" s="26"/>
      <c r="R669" s="17"/>
      <c r="S669" s="19"/>
      <c r="T669" s="17"/>
      <c r="U669" s="22"/>
    </row>
    <row r="670" spans="1:21" x14ac:dyDescent="0.25">
      <c r="A670" s="24"/>
      <c r="B670" s="24"/>
      <c r="C670" s="17"/>
      <c r="D670" s="24"/>
      <c r="E670" s="24"/>
      <c r="F670" s="25"/>
      <c r="G670" s="1">
        <v>1825</v>
      </c>
      <c r="H670" s="2">
        <v>107.6</v>
      </c>
      <c r="I670" s="2">
        <v>33</v>
      </c>
      <c r="J670" s="2">
        <v>32.6</v>
      </c>
      <c r="K670" s="2">
        <f t="shared" si="88"/>
        <v>33</v>
      </c>
      <c r="L670" s="8">
        <f t="shared" si="92"/>
        <v>3.4673685045253171E-8</v>
      </c>
      <c r="M670" s="26"/>
      <c r="N670" s="17"/>
      <c r="O670" s="9">
        <f t="shared" si="90"/>
        <v>32.6</v>
      </c>
      <c r="P670" s="8">
        <f>D668/B668*10^(O670/10)</f>
        <v>141936.66697157884</v>
      </c>
      <c r="Q670" s="26"/>
      <c r="R670" s="17"/>
      <c r="S670" s="19"/>
      <c r="T670" s="17"/>
      <c r="U670" s="22"/>
    </row>
    <row r="671" spans="1:21" x14ac:dyDescent="0.25">
      <c r="A671" s="24"/>
      <c r="B671" s="24"/>
      <c r="C671" s="17"/>
      <c r="D671" s="24"/>
      <c r="E671" s="24"/>
      <c r="F671" s="25"/>
      <c r="G671" s="1">
        <v>2125</v>
      </c>
      <c r="H671" s="2">
        <v>104.2</v>
      </c>
      <c r="I671" s="2">
        <v>36.1</v>
      </c>
      <c r="J671" s="2">
        <v>27</v>
      </c>
      <c r="K671" s="2">
        <f t="shared" si="88"/>
        <v>36.1</v>
      </c>
      <c r="L671" s="8">
        <f t="shared" si="92"/>
        <v>1.5488166189124805E-7</v>
      </c>
      <c r="M671" s="26"/>
      <c r="N671" s="17"/>
      <c r="O671" s="9">
        <f t="shared" si="90"/>
        <v>27</v>
      </c>
      <c r="P671" s="8">
        <f>D668/B668*10^(O671/10)</f>
        <v>39092.604222927272</v>
      </c>
      <c r="Q671" s="26"/>
      <c r="R671" s="17"/>
      <c r="S671" s="19"/>
      <c r="T671" s="17"/>
      <c r="U671" s="22"/>
    </row>
    <row r="672" spans="1:21" x14ac:dyDescent="0.25">
      <c r="A672" s="24"/>
      <c r="B672" s="24"/>
      <c r="C672" s="17"/>
      <c r="D672" s="24"/>
      <c r="E672" s="24"/>
      <c r="F672" s="25"/>
      <c r="G672" s="1">
        <v>2425</v>
      </c>
      <c r="H672" s="2">
        <v>93.7</v>
      </c>
      <c r="I672" s="2">
        <v>26.900000000000002</v>
      </c>
      <c r="J672" s="2">
        <v>26.6</v>
      </c>
      <c r="K672" s="2">
        <f t="shared" si="88"/>
        <v>26.900000000000002</v>
      </c>
      <c r="L672" s="8">
        <f t="shared" si="92"/>
        <v>2.089296130854039E-7</v>
      </c>
      <c r="M672" s="26"/>
      <c r="N672" s="17"/>
      <c r="O672" s="9">
        <f t="shared" si="90"/>
        <v>26.6</v>
      </c>
      <c r="P672" s="8">
        <f>D668/B668*10^(O672/10)</f>
        <v>35652.878789960298</v>
      </c>
      <c r="Q672" s="26"/>
      <c r="R672" s="17"/>
      <c r="S672" s="19"/>
      <c r="T672" s="17"/>
      <c r="U672" s="22"/>
    </row>
    <row r="673" spans="1:21" x14ac:dyDescent="0.25">
      <c r="A673" s="24"/>
      <c r="B673" s="24"/>
      <c r="C673" s="17"/>
      <c r="D673" s="24"/>
      <c r="E673" s="24"/>
      <c r="F673" s="25"/>
      <c r="G673" s="1">
        <v>2775</v>
      </c>
      <c r="H673" s="2">
        <v>100.2</v>
      </c>
      <c r="I673" s="2">
        <v>32.9</v>
      </c>
      <c r="J673" s="2">
        <v>28.9</v>
      </c>
      <c r="K673" s="2">
        <f t="shared" si="88"/>
        <v>32.9</v>
      </c>
      <c r="L673" s="8">
        <f t="shared" si="92"/>
        <v>1.8620871366628582E-7</v>
      </c>
      <c r="M673" s="26"/>
      <c r="N673" s="17"/>
      <c r="O673" s="9">
        <f t="shared" si="90"/>
        <v>28.9</v>
      </c>
      <c r="P673" s="8">
        <f>D668/B668*10^(O673/10)</f>
        <v>60547.275097037949</v>
      </c>
      <c r="Q673" s="26"/>
      <c r="R673" s="17"/>
      <c r="S673" s="20"/>
      <c r="T673" s="17"/>
      <c r="U673" s="23"/>
    </row>
    <row r="674" spans="1:21" x14ac:dyDescent="0.25">
      <c r="A674" s="24">
        <v>4000</v>
      </c>
      <c r="B674" s="24">
        <v>3</v>
      </c>
      <c r="C674" s="17">
        <v>0.5</v>
      </c>
      <c r="D674" s="24">
        <v>470</v>
      </c>
      <c r="E674" s="24">
        <v>6</v>
      </c>
      <c r="F674" s="25">
        <v>62</v>
      </c>
      <c r="G674" s="1">
        <v>2825</v>
      </c>
      <c r="H674" s="2">
        <v>99.4</v>
      </c>
      <c r="I674" s="2">
        <v>34.1</v>
      </c>
      <c r="J674" s="2">
        <v>25</v>
      </c>
      <c r="K674" s="2">
        <f t="shared" si="88"/>
        <v>34.1</v>
      </c>
      <c r="L674" s="8">
        <f t="shared" si="92"/>
        <v>2.9512092266663761E-7</v>
      </c>
      <c r="M674" s="26">
        <f>SUM(L674:L679)</f>
        <v>8.0061812178372856E-7</v>
      </c>
      <c r="N674" s="17">
        <f>10*LOG10(M674/E674)</f>
        <v>-68.747258343602425</v>
      </c>
      <c r="O674" s="9">
        <f t="shared" si="90"/>
        <v>25</v>
      </c>
      <c r="P674" s="8">
        <f>D674/B674*10^(O674/10)</f>
        <v>49542.350009304653</v>
      </c>
      <c r="Q674" s="26">
        <f>SUM(P674:P679)</f>
        <v>418935.88060117461</v>
      </c>
      <c r="R674" s="17">
        <f>10*LOG10(Q674)</f>
        <v>56.221475579734673</v>
      </c>
      <c r="S674" s="18">
        <f>F674+N674-Kzt-H</f>
        <v>-6.7472583436024252</v>
      </c>
      <c r="T674" s="17">
        <v>0.9</v>
      </c>
      <c r="U674" s="21">
        <f>T674*10^((S674-R674)/10)</f>
        <v>4.5432759632160034E-7</v>
      </c>
    </row>
    <row r="675" spans="1:21" x14ac:dyDescent="0.25">
      <c r="A675" s="24"/>
      <c r="B675" s="24"/>
      <c r="C675" s="17"/>
      <c r="D675" s="24"/>
      <c r="E675" s="24"/>
      <c r="F675" s="25"/>
      <c r="G675" s="1">
        <v>3425</v>
      </c>
      <c r="H675" s="2">
        <v>103.5</v>
      </c>
      <c r="I675" s="2">
        <v>34.200000000000003</v>
      </c>
      <c r="J675" s="2">
        <v>28.2</v>
      </c>
      <c r="K675" s="2">
        <f t="shared" si="88"/>
        <v>34.200000000000003</v>
      </c>
      <c r="L675" s="8">
        <f t="shared" si="92"/>
        <v>1.174897554939528E-7</v>
      </c>
      <c r="M675" s="26"/>
      <c r="N675" s="17"/>
      <c r="O675" s="9">
        <f t="shared" si="90"/>
        <v>28.2</v>
      </c>
      <c r="P675" s="8">
        <f>D674/B674*10^(O675/10)</f>
        <v>103508.64018785677</v>
      </c>
      <c r="Q675" s="26"/>
      <c r="R675" s="17"/>
      <c r="S675" s="19"/>
      <c r="T675" s="17"/>
      <c r="U675" s="22"/>
    </row>
    <row r="676" spans="1:21" x14ac:dyDescent="0.25">
      <c r="A676" s="24"/>
      <c r="B676" s="24"/>
      <c r="C676" s="17"/>
      <c r="D676" s="24"/>
      <c r="E676" s="24"/>
      <c r="F676" s="25"/>
      <c r="G676" s="1">
        <v>4025</v>
      </c>
      <c r="H676" s="2">
        <v>103.6</v>
      </c>
      <c r="I676" s="2">
        <v>30.9</v>
      </c>
      <c r="J676" s="2">
        <v>26.1</v>
      </c>
      <c r="K676" s="2">
        <f t="shared" si="88"/>
        <v>30.9</v>
      </c>
      <c r="L676" s="8">
        <f t="shared" si="92"/>
        <v>5.3703179637025377E-8</v>
      </c>
      <c r="M676" s="26"/>
      <c r="N676" s="17"/>
      <c r="O676" s="9">
        <f t="shared" si="90"/>
        <v>26.1</v>
      </c>
      <c r="P676" s="8">
        <f>D674/B674*10^(O676/10)</f>
        <v>63822.910189311093</v>
      </c>
      <c r="Q676" s="26"/>
      <c r="R676" s="17"/>
      <c r="S676" s="19"/>
      <c r="T676" s="17"/>
      <c r="U676" s="22"/>
    </row>
    <row r="677" spans="1:21" x14ac:dyDescent="0.25">
      <c r="A677" s="24"/>
      <c r="B677" s="24"/>
      <c r="C677" s="17"/>
      <c r="D677" s="24"/>
      <c r="E677" s="24"/>
      <c r="F677" s="25"/>
      <c r="G677" s="1">
        <v>4625</v>
      </c>
      <c r="H677" s="2">
        <v>105.6</v>
      </c>
      <c r="I677" s="2">
        <v>36.200000000000003</v>
      </c>
      <c r="J677" s="2">
        <v>22.8</v>
      </c>
      <c r="K677" s="2">
        <f t="shared" si="88"/>
        <v>36.200000000000003</v>
      </c>
      <c r="L677" s="8">
        <f t="shared" si="92"/>
        <v>1.1481536214968814E-7</v>
      </c>
      <c r="M677" s="26"/>
      <c r="N677" s="17"/>
      <c r="O677" s="9">
        <f t="shared" si="90"/>
        <v>22.8</v>
      </c>
      <c r="P677" s="8">
        <f>D674/B674*10^(O677/10)</f>
        <v>29852.217914757577</v>
      </c>
      <c r="Q677" s="26"/>
      <c r="R677" s="17"/>
      <c r="S677" s="19"/>
      <c r="T677" s="17"/>
      <c r="U677" s="22"/>
    </row>
    <row r="678" spans="1:21" x14ac:dyDescent="0.25">
      <c r="A678" s="24"/>
      <c r="B678" s="24"/>
      <c r="C678" s="17"/>
      <c r="D678" s="24"/>
      <c r="E678" s="24"/>
      <c r="F678" s="25"/>
      <c r="G678" s="1">
        <v>5225</v>
      </c>
      <c r="H678" s="2">
        <v>103.5</v>
      </c>
      <c r="I678" s="2">
        <v>30.1</v>
      </c>
      <c r="J678" s="2">
        <v>28.4</v>
      </c>
      <c r="K678" s="2">
        <f t="shared" si="88"/>
        <v>30.1</v>
      </c>
      <c r="L678" s="8">
        <f t="shared" si="92"/>
        <v>4.5708818961487299E-8</v>
      </c>
      <c r="M678" s="26"/>
      <c r="N678" s="17"/>
      <c r="O678" s="9">
        <f t="shared" si="90"/>
        <v>28.4</v>
      </c>
      <c r="P678" s="8">
        <f>D674/B674*10^(O678/10)</f>
        <v>108386.85211063341</v>
      </c>
      <c r="Q678" s="26"/>
      <c r="R678" s="17"/>
      <c r="S678" s="19"/>
      <c r="T678" s="17"/>
      <c r="U678" s="22"/>
    </row>
    <row r="679" spans="1:21" x14ac:dyDescent="0.25">
      <c r="A679" s="24"/>
      <c r="B679" s="24"/>
      <c r="C679" s="17"/>
      <c r="D679" s="24"/>
      <c r="E679" s="24"/>
      <c r="F679" s="25"/>
      <c r="G679" s="1">
        <v>5625</v>
      </c>
      <c r="H679" s="2">
        <v>99.5</v>
      </c>
      <c r="I679" s="2">
        <v>31.9</v>
      </c>
      <c r="J679" s="2">
        <v>26.1</v>
      </c>
      <c r="K679" s="2">
        <f t="shared" si="88"/>
        <v>31.9</v>
      </c>
      <c r="L679" s="8">
        <f t="shared" si="92"/>
        <v>1.7378008287493735E-7</v>
      </c>
      <c r="M679" s="26"/>
      <c r="N679" s="17"/>
      <c r="O679" s="9">
        <f t="shared" si="90"/>
        <v>26.1</v>
      </c>
      <c r="P679" s="8">
        <f>D674/B674*10^(O679/10)</f>
        <v>63822.910189311093</v>
      </c>
      <c r="Q679" s="26"/>
      <c r="R679" s="17"/>
      <c r="S679" s="20"/>
      <c r="T679" s="17"/>
      <c r="U679" s="23"/>
    </row>
    <row r="680" spans="1:21" x14ac:dyDescent="0.25">
      <c r="A680" s="24">
        <v>8000</v>
      </c>
      <c r="B680" s="24">
        <v>3</v>
      </c>
      <c r="C680" s="17">
        <v>0.5</v>
      </c>
      <c r="D680" s="24">
        <v>943</v>
      </c>
      <c r="E680" s="24">
        <v>6</v>
      </c>
      <c r="F680" s="25">
        <v>54</v>
      </c>
      <c r="G680" s="1">
        <v>6025</v>
      </c>
      <c r="H680" s="2">
        <v>95</v>
      </c>
      <c r="I680" s="2">
        <v>32.299999999999997</v>
      </c>
      <c r="J680" s="2">
        <v>28.8</v>
      </c>
      <c r="K680" s="2">
        <f t="shared" si="88"/>
        <v>32.299999999999997</v>
      </c>
      <c r="L680" s="8">
        <f t="shared" si="92"/>
        <v>5.3703179637025159E-7</v>
      </c>
      <c r="M680" s="26">
        <f>SUM(L680:L685)</f>
        <v>3.8284339632825305E-6</v>
      </c>
      <c r="N680" s="17">
        <f>10*LOG10(M680/E680)</f>
        <v>-61.95130090041409</v>
      </c>
      <c r="O680" s="9">
        <f t="shared" si="90"/>
        <v>28.8</v>
      </c>
      <c r="P680" s="8">
        <f>D680/B680*10^(O680/10)</f>
        <v>238446.21775084009</v>
      </c>
      <c r="Q680" s="26">
        <f>SUM(P680:P685)</f>
        <v>738861.63005854632</v>
      </c>
      <c r="R680" s="17">
        <f>10*LOG10(Q680)</f>
        <v>58.685631137281753</v>
      </c>
      <c r="S680" s="18">
        <f>F680+N680-Kzt-H</f>
        <v>-7.9513009004140898</v>
      </c>
      <c r="T680" s="17">
        <v>0.7</v>
      </c>
      <c r="U680" s="21">
        <f>T680*10^((S680-R680)/10)</f>
        <v>1.5184651754701032E-7</v>
      </c>
    </row>
    <row r="681" spans="1:21" x14ac:dyDescent="0.25">
      <c r="A681" s="24"/>
      <c r="B681" s="24"/>
      <c r="C681" s="17"/>
      <c r="D681" s="24"/>
      <c r="E681" s="24"/>
      <c r="F681" s="25"/>
      <c r="G681" s="1">
        <v>7025</v>
      </c>
      <c r="H681" s="2">
        <v>94.8</v>
      </c>
      <c r="I681" s="2">
        <v>30.9</v>
      </c>
      <c r="J681" s="2">
        <v>26.7</v>
      </c>
      <c r="K681" s="2">
        <f t="shared" si="88"/>
        <v>30.9</v>
      </c>
      <c r="L681" s="8">
        <f t="shared" si="92"/>
        <v>4.0738027780411229E-7</v>
      </c>
      <c r="M681" s="26"/>
      <c r="N681" s="17"/>
      <c r="O681" s="9">
        <f t="shared" si="90"/>
        <v>26.7</v>
      </c>
      <c r="P681" s="8">
        <f>D680/B680*10^(O681/10)</f>
        <v>147024.74607794266</v>
      </c>
      <c r="Q681" s="26"/>
      <c r="R681" s="17"/>
      <c r="S681" s="19"/>
      <c r="T681" s="17"/>
      <c r="U681" s="22"/>
    </row>
    <row r="682" spans="1:21" x14ac:dyDescent="0.25">
      <c r="A682" s="24"/>
      <c r="B682" s="24"/>
      <c r="C682" s="17"/>
      <c r="D682" s="24"/>
      <c r="E682" s="24"/>
      <c r="F682" s="25"/>
      <c r="G682" s="1">
        <v>8025</v>
      </c>
      <c r="H682" s="2">
        <v>101.9</v>
      </c>
      <c r="I682" s="2">
        <v>30.1</v>
      </c>
      <c r="J682" s="2">
        <v>24</v>
      </c>
      <c r="K682" s="2">
        <f t="shared" si="88"/>
        <v>30.1</v>
      </c>
      <c r="L682" s="8">
        <f t="shared" si="92"/>
        <v>6.6069344800759205E-8</v>
      </c>
      <c r="M682" s="26"/>
      <c r="N682" s="17"/>
      <c r="O682" s="9">
        <f t="shared" si="90"/>
        <v>24</v>
      </c>
      <c r="P682" s="8">
        <f>D680/B680*10^(O682/10)</f>
        <v>78956.963497117817</v>
      </c>
      <c r="Q682" s="26"/>
      <c r="R682" s="17"/>
      <c r="S682" s="19"/>
      <c r="T682" s="17"/>
      <c r="U682" s="22"/>
    </row>
    <row r="683" spans="1:21" x14ac:dyDescent="0.25">
      <c r="A683" s="24"/>
      <c r="B683" s="24"/>
      <c r="C683" s="17"/>
      <c r="D683" s="24"/>
      <c r="E683" s="24"/>
      <c r="F683" s="25"/>
      <c r="G683" s="1">
        <v>9025</v>
      </c>
      <c r="H683" s="2">
        <v>93.2</v>
      </c>
      <c r="I683" s="2">
        <v>28.5</v>
      </c>
      <c r="J683" s="2">
        <v>24.5</v>
      </c>
      <c r="K683" s="2">
        <f t="shared" si="88"/>
        <v>28.5</v>
      </c>
      <c r="L683" s="8">
        <f t="shared" si="92"/>
        <v>3.3884415613920184E-7</v>
      </c>
      <c r="M683" s="26"/>
      <c r="N683" s="17"/>
      <c r="O683" s="9">
        <f t="shared" si="90"/>
        <v>24.5</v>
      </c>
      <c r="P683" s="8">
        <f>D680/B680*10^(O683/10)</f>
        <v>88591.170139412701</v>
      </c>
      <c r="Q683" s="26"/>
      <c r="R683" s="17"/>
      <c r="S683" s="19"/>
      <c r="T683" s="17"/>
      <c r="U683" s="22"/>
    </row>
    <row r="684" spans="1:21" x14ac:dyDescent="0.25">
      <c r="A684" s="24"/>
      <c r="B684" s="24"/>
      <c r="C684" s="17"/>
      <c r="D684" s="24"/>
      <c r="E684" s="24"/>
      <c r="F684" s="25"/>
      <c r="G684" s="1">
        <v>10025</v>
      </c>
      <c r="H684" s="2">
        <v>88.3</v>
      </c>
      <c r="I684" s="2">
        <v>28.3</v>
      </c>
      <c r="J684" s="2">
        <v>26.5</v>
      </c>
      <c r="K684" s="2">
        <f t="shared" si="88"/>
        <v>28.3</v>
      </c>
      <c r="L684" s="8">
        <f t="shared" si="92"/>
        <v>9.9999999999999995E-7</v>
      </c>
      <c r="M684" s="26"/>
      <c r="N684" s="17"/>
      <c r="O684" s="9">
        <f t="shared" si="90"/>
        <v>26.5</v>
      </c>
      <c r="P684" s="8">
        <f>D680/B680*10^(O684/10)</f>
        <v>140407.54246611946</v>
      </c>
      <c r="Q684" s="26"/>
      <c r="R684" s="17"/>
      <c r="S684" s="19"/>
      <c r="T684" s="17"/>
      <c r="U684" s="22"/>
    </row>
    <row r="685" spans="1:21" x14ac:dyDescent="0.25">
      <c r="A685" s="24"/>
      <c r="B685" s="24"/>
      <c r="C685" s="17"/>
      <c r="D685" s="24"/>
      <c r="E685" s="24"/>
      <c r="F685" s="25"/>
      <c r="G685" s="1">
        <v>11025</v>
      </c>
      <c r="H685" s="2">
        <v>86</v>
      </c>
      <c r="I685" s="2">
        <v>27.7</v>
      </c>
      <c r="J685" s="2">
        <v>21.6</v>
      </c>
      <c r="K685" s="2">
        <f t="shared" si="88"/>
        <v>27.7</v>
      </c>
      <c r="L685" s="8">
        <f t="shared" si="92"/>
        <v>1.4791083881682056E-6</v>
      </c>
      <c r="M685" s="26"/>
      <c r="N685" s="17"/>
      <c r="O685" s="9">
        <f t="shared" si="90"/>
        <v>21.6</v>
      </c>
      <c r="P685" s="8">
        <f>D680/B680*10^(O685/10)</f>
        <v>45434.990127113684</v>
      </c>
      <c r="Q685" s="26"/>
      <c r="R685" s="17"/>
      <c r="S685" s="20"/>
      <c r="T685" s="17"/>
      <c r="U685" s="23"/>
    </row>
    <row r="686" spans="1:21" x14ac:dyDescent="0.25">
      <c r="A686" s="24" t="s">
        <v>20</v>
      </c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12">
        <f>U686</f>
        <v>5.6547770025465086E-2</v>
      </c>
      <c r="T686" s="2"/>
      <c r="U686" s="8">
        <f>0.8*SQRT(SUM(U652:U685))</f>
        <v>5.6547770025465086E-2</v>
      </c>
    </row>
    <row r="687" spans="1:21" x14ac:dyDescent="0.25">
      <c r="A687" s="27" t="s">
        <v>131</v>
      </c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9"/>
    </row>
    <row r="688" spans="1:21" x14ac:dyDescent="0.25">
      <c r="A688" s="24">
        <v>250</v>
      </c>
      <c r="B688" s="24">
        <v>3</v>
      </c>
      <c r="C688" s="17">
        <v>0.5</v>
      </c>
      <c r="D688" s="24">
        <v>38</v>
      </c>
      <c r="E688" s="24">
        <v>4</v>
      </c>
      <c r="F688" s="25">
        <v>84</v>
      </c>
      <c r="G688" s="1">
        <v>175</v>
      </c>
      <c r="H688" s="2">
        <v>84.8</v>
      </c>
      <c r="I688" s="2">
        <v>39.300000000000004</v>
      </c>
      <c r="J688" s="2">
        <v>38.200000000000003</v>
      </c>
      <c r="K688" s="2">
        <f>I688</f>
        <v>39.300000000000004</v>
      </c>
      <c r="L688" s="8">
        <f>10^((K688-H688)/10)</f>
        <v>2.8183829312644562E-5</v>
      </c>
      <c r="M688" s="26">
        <f>SUM(L688:L691)</f>
        <v>4.4435998034760654E-5</v>
      </c>
      <c r="N688" s="17">
        <f>10*LOG10(M688/E688)</f>
        <v>-49.543250524381286</v>
      </c>
      <c r="O688" s="9">
        <f>J688</f>
        <v>38.200000000000003</v>
      </c>
      <c r="P688" s="8">
        <f>D688/B688*10^(O688/10)</f>
        <v>83687.836747628899</v>
      </c>
      <c r="Q688" s="26">
        <f>SUM(P688:P691)</f>
        <v>204090.08932498703</v>
      </c>
      <c r="R688" s="17">
        <f>10*LOG10(Q688)</f>
        <v>53.098219157598052</v>
      </c>
      <c r="S688" s="18">
        <f>F688+N688-Kzt-H</f>
        <v>34.456749475618714</v>
      </c>
      <c r="T688" s="17">
        <v>0.2</v>
      </c>
      <c r="U688" s="21">
        <f>T688*10^((S688-R688)/10)</f>
        <v>2.7345321103849399E-3</v>
      </c>
    </row>
    <row r="689" spans="1:21" x14ac:dyDescent="0.25">
      <c r="A689" s="24"/>
      <c r="B689" s="24"/>
      <c r="C689" s="17"/>
      <c r="D689" s="24"/>
      <c r="E689" s="24"/>
      <c r="F689" s="25"/>
      <c r="G689" s="1">
        <v>225</v>
      </c>
      <c r="H689" s="2">
        <v>90</v>
      </c>
      <c r="I689" s="2">
        <v>39.6</v>
      </c>
      <c r="J689" s="2">
        <v>35.9</v>
      </c>
      <c r="K689" s="2">
        <f t="shared" ref="K689:K721" si="93">I689</f>
        <v>39.6</v>
      </c>
      <c r="L689" s="8">
        <f t="shared" ref="L689:L690" si="94">10^((K689-H689)/10)</f>
        <v>9.1201083935590828E-6</v>
      </c>
      <c r="M689" s="26"/>
      <c r="N689" s="17"/>
      <c r="O689" s="9">
        <f t="shared" ref="O689:O721" si="95">J689</f>
        <v>35.9</v>
      </c>
      <c r="P689" s="8">
        <f>D688/B688*10^(O689/10)</f>
        <v>49279.051699275602</v>
      </c>
      <c r="Q689" s="26"/>
      <c r="R689" s="17"/>
      <c r="S689" s="19"/>
      <c r="T689" s="17"/>
      <c r="U689" s="22"/>
    </row>
    <row r="690" spans="1:21" x14ac:dyDescent="0.25">
      <c r="A690" s="24"/>
      <c r="B690" s="24"/>
      <c r="C690" s="17"/>
      <c r="D690" s="24"/>
      <c r="E690" s="24"/>
      <c r="F690" s="25"/>
      <c r="G690" s="1">
        <v>275</v>
      </c>
      <c r="H690" s="2">
        <v>92.2</v>
      </c>
      <c r="I690" s="2">
        <v>38.9</v>
      </c>
      <c r="J690" s="2">
        <v>36.5</v>
      </c>
      <c r="K690" s="2">
        <f t="shared" si="93"/>
        <v>38.9</v>
      </c>
      <c r="L690" s="8">
        <f t="shared" si="94"/>
        <v>4.6773514128719787E-6</v>
      </c>
      <c r="M690" s="26"/>
      <c r="N690" s="17"/>
      <c r="O690" s="9">
        <f t="shared" si="95"/>
        <v>36.5</v>
      </c>
      <c r="P690" s="8">
        <f>D688/B688*10^(O690/10)</f>
        <v>56579.921672455363</v>
      </c>
      <c r="Q690" s="26"/>
      <c r="R690" s="17"/>
      <c r="S690" s="19"/>
      <c r="T690" s="17"/>
      <c r="U690" s="22"/>
    </row>
    <row r="691" spans="1:21" x14ac:dyDescent="0.25">
      <c r="A691" s="24"/>
      <c r="B691" s="24"/>
      <c r="C691" s="17"/>
      <c r="D691" s="24"/>
      <c r="E691" s="24"/>
      <c r="F691" s="25"/>
      <c r="G691" s="1">
        <v>325</v>
      </c>
      <c r="H691" s="2">
        <v>93.3</v>
      </c>
      <c r="I691" s="2">
        <v>37.200000000000003</v>
      </c>
      <c r="J691" s="2">
        <v>30.6</v>
      </c>
      <c r="K691" s="2">
        <f t="shared" si="93"/>
        <v>37.200000000000003</v>
      </c>
      <c r="L691" s="8">
        <f>10^((K691-H691)/10)</f>
        <v>2.4547089156850314E-6</v>
      </c>
      <c r="M691" s="26"/>
      <c r="N691" s="17"/>
      <c r="O691" s="9">
        <f t="shared" si="95"/>
        <v>30.6</v>
      </c>
      <c r="P691" s="8">
        <f>D688/B688*10^(O691/10)</f>
        <v>14543.279205627196</v>
      </c>
      <c r="Q691" s="26"/>
      <c r="R691" s="17"/>
      <c r="S691" s="20"/>
      <c r="T691" s="17"/>
      <c r="U691" s="23"/>
    </row>
    <row r="692" spans="1:21" x14ac:dyDescent="0.25">
      <c r="A692" s="24">
        <v>500</v>
      </c>
      <c r="B692" s="24">
        <v>3</v>
      </c>
      <c r="C692" s="17">
        <v>0.5</v>
      </c>
      <c r="D692" s="24">
        <v>59</v>
      </c>
      <c r="E692" s="24">
        <v>6</v>
      </c>
      <c r="F692" s="25">
        <v>84</v>
      </c>
      <c r="G692" s="1">
        <v>375</v>
      </c>
      <c r="H692" s="2">
        <v>91.9</v>
      </c>
      <c r="I692" s="2">
        <v>37.1</v>
      </c>
      <c r="J692" s="2">
        <v>31.8</v>
      </c>
      <c r="K692" s="2">
        <f t="shared" si="93"/>
        <v>37.1</v>
      </c>
      <c r="L692" s="8">
        <f t="shared" ref="L692:L693" si="96">10^((K692-H692)/10)</f>
        <v>3.3113112148259022E-6</v>
      </c>
      <c r="M692" s="26">
        <f>SUM(L692:L697)</f>
        <v>2.2044191737357014E-5</v>
      </c>
      <c r="N692" s="17">
        <f>10*LOG10(M692/E692)</f>
        <v>-54.348570705799297</v>
      </c>
      <c r="O692" s="9">
        <f t="shared" si="95"/>
        <v>31.8</v>
      </c>
      <c r="P692" s="8">
        <f>D692/B692*10^(O692/10)</f>
        <v>29766.704552578783</v>
      </c>
      <c r="Q692" s="26">
        <f>SUM(P692:P697)</f>
        <v>232046.28487747855</v>
      </c>
      <c r="R692" s="17">
        <f>10*LOG10(Q692)</f>
        <v>53.65574619640951</v>
      </c>
      <c r="S692" s="18">
        <f>F692+N692-Kzt-H</f>
        <v>29.651429294200703</v>
      </c>
      <c r="T692" s="17">
        <v>0.5</v>
      </c>
      <c r="U692" s="21">
        <f>T692*10^((S692-R692)/10)</f>
        <v>1.9885582362695275E-3</v>
      </c>
    </row>
    <row r="693" spans="1:21" x14ac:dyDescent="0.25">
      <c r="A693" s="24"/>
      <c r="B693" s="24"/>
      <c r="C693" s="17"/>
      <c r="D693" s="24"/>
      <c r="E693" s="24"/>
      <c r="F693" s="25"/>
      <c r="G693" s="1">
        <v>425</v>
      </c>
      <c r="H693" s="2">
        <v>88.1</v>
      </c>
      <c r="I693" s="2">
        <v>37.9</v>
      </c>
      <c r="J693" s="2">
        <v>29.6</v>
      </c>
      <c r="K693" s="2">
        <f t="shared" si="93"/>
        <v>37.9</v>
      </c>
      <c r="L693" s="8">
        <f t="shared" si="96"/>
        <v>9.5499258602143587E-6</v>
      </c>
      <c r="M693" s="26"/>
      <c r="N693" s="17"/>
      <c r="O693" s="9">
        <f t="shared" si="95"/>
        <v>29.6</v>
      </c>
      <c r="P693" s="8">
        <f>D692/B692*10^(O693/10)</f>
        <v>17936.21317399956</v>
      </c>
      <c r="Q693" s="26"/>
      <c r="R693" s="17"/>
      <c r="S693" s="19"/>
      <c r="T693" s="17"/>
      <c r="U693" s="22"/>
    </row>
    <row r="694" spans="1:21" x14ac:dyDescent="0.25">
      <c r="A694" s="24"/>
      <c r="B694" s="24"/>
      <c r="C694" s="17"/>
      <c r="D694" s="24"/>
      <c r="E694" s="24"/>
      <c r="F694" s="25"/>
      <c r="G694" s="1">
        <v>475</v>
      </c>
      <c r="H694" s="2">
        <v>90</v>
      </c>
      <c r="I694" s="2">
        <v>36.799999999999997</v>
      </c>
      <c r="J694" s="2">
        <v>32.1</v>
      </c>
      <c r="K694" s="2">
        <f t="shared" si="93"/>
        <v>36.799999999999997</v>
      </c>
      <c r="L694" s="8">
        <f>10^((K694-H694)/10)</f>
        <v>4.7863009232263716E-6</v>
      </c>
      <c r="M694" s="26"/>
      <c r="N694" s="17"/>
      <c r="O694" s="9">
        <f t="shared" si="95"/>
        <v>32.1</v>
      </c>
      <c r="P694" s="8">
        <f>D692/B692*10^(O694/10)</f>
        <v>31895.598581392307</v>
      </c>
      <c r="Q694" s="26"/>
      <c r="R694" s="17"/>
      <c r="S694" s="19"/>
      <c r="T694" s="17"/>
      <c r="U694" s="22"/>
    </row>
    <row r="695" spans="1:21" x14ac:dyDescent="0.25">
      <c r="A695" s="24"/>
      <c r="B695" s="24"/>
      <c r="C695" s="17"/>
      <c r="D695" s="24"/>
      <c r="E695" s="24"/>
      <c r="F695" s="25"/>
      <c r="G695" s="1">
        <v>575</v>
      </c>
      <c r="H695" s="2">
        <v>97</v>
      </c>
      <c r="I695" s="2">
        <v>33.200000000000003</v>
      </c>
      <c r="J695" s="2">
        <v>31.7</v>
      </c>
      <c r="K695" s="2">
        <f t="shared" si="93"/>
        <v>33.200000000000003</v>
      </c>
      <c r="L695" s="8">
        <f t="shared" ref="L695:L721" si="97">10^((K695-H695)/10)</f>
        <v>4.1686938347033493E-7</v>
      </c>
      <c r="M695" s="26"/>
      <c r="N695" s="17"/>
      <c r="O695" s="9">
        <f t="shared" si="95"/>
        <v>31.7</v>
      </c>
      <c r="P695" s="8">
        <f>D692/B692*10^(O695/10)</f>
        <v>29089.131633974772</v>
      </c>
      <c r="Q695" s="26"/>
      <c r="R695" s="17"/>
      <c r="S695" s="19"/>
      <c r="T695" s="17"/>
      <c r="U695" s="22"/>
    </row>
    <row r="696" spans="1:21" x14ac:dyDescent="0.25">
      <c r="A696" s="24"/>
      <c r="B696" s="24"/>
      <c r="C696" s="17"/>
      <c r="D696" s="24"/>
      <c r="E696" s="24"/>
      <c r="F696" s="25"/>
      <c r="G696" s="1">
        <v>625</v>
      </c>
      <c r="H696" s="2">
        <v>92</v>
      </c>
      <c r="I696" s="2">
        <v>36.299999999999997</v>
      </c>
      <c r="J696" s="2">
        <v>35.299999999999997</v>
      </c>
      <c r="K696" s="2">
        <f t="shared" si="93"/>
        <v>36.299999999999997</v>
      </c>
      <c r="L696" s="8">
        <f t="shared" si="97"/>
        <v>2.6915348039269108E-6</v>
      </c>
      <c r="M696" s="26"/>
      <c r="N696" s="17"/>
      <c r="O696" s="9">
        <f t="shared" si="95"/>
        <v>35.299999999999997</v>
      </c>
      <c r="P696" s="8">
        <f>D692/B692*10^(O696/10)</f>
        <v>66639.350707376507</v>
      </c>
      <c r="Q696" s="26"/>
      <c r="R696" s="17"/>
      <c r="S696" s="19"/>
      <c r="T696" s="17"/>
      <c r="U696" s="22"/>
    </row>
    <row r="697" spans="1:21" x14ac:dyDescent="0.25">
      <c r="A697" s="24"/>
      <c r="B697" s="24"/>
      <c r="C697" s="17"/>
      <c r="D697" s="24"/>
      <c r="E697" s="24"/>
      <c r="F697" s="25"/>
      <c r="G697" s="1">
        <v>675</v>
      </c>
      <c r="H697" s="2">
        <v>94.5</v>
      </c>
      <c r="I697" s="2">
        <v>35.6</v>
      </c>
      <c r="J697" s="2">
        <v>34.6</v>
      </c>
      <c r="K697" s="2">
        <f t="shared" si="93"/>
        <v>35.6</v>
      </c>
      <c r="L697" s="8">
        <f t="shared" si="97"/>
        <v>1.2882495516931333E-6</v>
      </c>
      <c r="M697" s="26"/>
      <c r="N697" s="17"/>
      <c r="O697" s="9">
        <f t="shared" si="95"/>
        <v>34.6</v>
      </c>
      <c r="P697" s="8">
        <f>D692/B692*10^(O697/10)</f>
        <v>56719.286228156619</v>
      </c>
      <c r="Q697" s="26"/>
      <c r="R697" s="17"/>
      <c r="S697" s="20"/>
      <c r="T697" s="17"/>
      <c r="U697" s="23"/>
    </row>
    <row r="698" spans="1:21" x14ac:dyDescent="0.25">
      <c r="A698" s="24">
        <v>1000</v>
      </c>
      <c r="B698" s="24">
        <v>3</v>
      </c>
      <c r="C698" s="17">
        <v>0.5</v>
      </c>
      <c r="D698" s="24">
        <v>117</v>
      </c>
      <c r="E698" s="24">
        <v>6</v>
      </c>
      <c r="F698" s="25">
        <v>76</v>
      </c>
      <c r="G698" s="1">
        <v>875</v>
      </c>
      <c r="H698" s="2">
        <v>91.1</v>
      </c>
      <c r="I698" s="2">
        <v>33.700000000000003</v>
      </c>
      <c r="J698" s="2">
        <v>31</v>
      </c>
      <c r="K698" s="2">
        <f t="shared" si="93"/>
        <v>33.700000000000003</v>
      </c>
      <c r="L698" s="8">
        <f t="shared" si="97"/>
        <v>1.819700858609983E-6</v>
      </c>
      <c r="M698" s="26">
        <f>SUM(L698:L703)</f>
        <v>5.9032302984519464E-6</v>
      </c>
      <c r="N698" s="17">
        <f>10*LOG10(M698/E698)</f>
        <v>-60.070615240155917</v>
      </c>
      <c r="O698" s="9">
        <f t="shared" si="95"/>
        <v>31</v>
      </c>
      <c r="P698" s="8">
        <f>D698/B698*10^(O698/10)</f>
        <v>49098.091059972554</v>
      </c>
      <c r="Q698" s="26">
        <f>SUM(P698:P703)</f>
        <v>242950.1909225531</v>
      </c>
      <c r="R698" s="17">
        <f>10*LOG10(Q698)</f>
        <v>53.855172446897377</v>
      </c>
      <c r="S698" s="18">
        <f>F698+N698-Kzt-H</f>
        <v>15.929384759844083</v>
      </c>
      <c r="T698" s="17">
        <v>0.8</v>
      </c>
      <c r="U698" s="21">
        <f>T698*10^((S698-R698)/10)</f>
        <v>1.2897668735133434E-4</v>
      </c>
    </row>
    <row r="699" spans="1:21" x14ac:dyDescent="0.25">
      <c r="A699" s="24"/>
      <c r="B699" s="24"/>
      <c r="C699" s="17"/>
      <c r="D699" s="24"/>
      <c r="E699" s="24"/>
      <c r="F699" s="25"/>
      <c r="G699" s="1">
        <v>975</v>
      </c>
      <c r="H699" s="2">
        <v>96.5</v>
      </c>
      <c r="I699" s="2">
        <v>36.1</v>
      </c>
      <c r="J699" s="2">
        <v>31.4</v>
      </c>
      <c r="K699" s="2">
        <f t="shared" si="93"/>
        <v>36.1</v>
      </c>
      <c r="L699" s="8">
        <f t="shared" si="97"/>
        <v>9.12010839355909E-7</v>
      </c>
      <c r="M699" s="26"/>
      <c r="N699" s="17"/>
      <c r="O699" s="9">
        <f t="shared" si="95"/>
        <v>31.4</v>
      </c>
      <c r="P699" s="8">
        <f>D698/B698*10^(O699/10)</f>
        <v>53834.986319512522</v>
      </c>
      <c r="Q699" s="26"/>
      <c r="R699" s="17"/>
      <c r="S699" s="19"/>
      <c r="T699" s="17"/>
      <c r="U699" s="22"/>
    </row>
    <row r="700" spans="1:21" x14ac:dyDescent="0.25">
      <c r="A700" s="24"/>
      <c r="B700" s="24"/>
      <c r="C700" s="17"/>
      <c r="D700" s="24"/>
      <c r="E700" s="24"/>
      <c r="F700" s="25"/>
      <c r="G700" s="1">
        <v>1075</v>
      </c>
      <c r="H700" s="2">
        <v>94.6</v>
      </c>
      <c r="I700" s="2">
        <v>33.6</v>
      </c>
      <c r="J700" s="2">
        <v>28.3</v>
      </c>
      <c r="K700" s="2">
        <f t="shared" si="93"/>
        <v>33.6</v>
      </c>
      <c r="L700" s="8">
        <f t="shared" si="97"/>
        <v>7.9432823472428114E-7</v>
      </c>
      <c r="M700" s="26"/>
      <c r="N700" s="17"/>
      <c r="O700" s="9">
        <f t="shared" si="95"/>
        <v>28.3</v>
      </c>
      <c r="P700" s="8">
        <f>D698/B698*10^(O700/10)</f>
        <v>26367.236040287302</v>
      </c>
      <c r="Q700" s="26"/>
      <c r="R700" s="17"/>
      <c r="S700" s="19"/>
      <c r="T700" s="17"/>
      <c r="U700" s="22"/>
    </row>
    <row r="701" spans="1:21" x14ac:dyDescent="0.25">
      <c r="A701" s="24"/>
      <c r="B701" s="24"/>
      <c r="C701" s="17"/>
      <c r="D701" s="24"/>
      <c r="E701" s="24"/>
      <c r="F701" s="25"/>
      <c r="G701" s="1">
        <v>1175</v>
      </c>
      <c r="H701" s="2">
        <v>97.8</v>
      </c>
      <c r="I701" s="2">
        <v>40.299999999999997</v>
      </c>
      <c r="J701" s="2">
        <v>30.1</v>
      </c>
      <c r="K701" s="2">
        <f t="shared" si="93"/>
        <v>40.299999999999997</v>
      </c>
      <c r="L701" s="8">
        <f t="shared" si="97"/>
        <v>1.7782794100389193E-6</v>
      </c>
      <c r="M701" s="26"/>
      <c r="N701" s="17"/>
      <c r="O701" s="9">
        <f t="shared" si="95"/>
        <v>30.1</v>
      </c>
      <c r="P701" s="8">
        <f>D698/B698*10^(O701/10)</f>
        <v>39908.426698949464</v>
      </c>
      <c r="Q701" s="26"/>
      <c r="R701" s="17"/>
      <c r="S701" s="19"/>
      <c r="T701" s="17"/>
      <c r="U701" s="22"/>
    </row>
    <row r="702" spans="1:21" x14ac:dyDescent="0.25">
      <c r="A702" s="24"/>
      <c r="B702" s="24"/>
      <c r="C702" s="17"/>
      <c r="D702" s="24"/>
      <c r="E702" s="24"/>
      <c r="F702" s="25"/>
      <c r="G702" s="1">
        <v>1275</v>
      </c>
      <c r="H702" s="2">
        <v>100.1</v>
      </c>
      <c r="I702" s="2">
        <v>37.1</v>
      </c>
      <c r="J702" s="2">
        <v>29</v>
      </c>
      <c r="K702" s="2">
        <f t="shared" si="93"/>
        <v>37.1</v>
      </c>
      <c r="L702" s="8">
        <f t="shared" si="97"/>
        <v>5.0118723362727303E-7</v>
      </c>
      <c r="M702" s="26"/>
      <c r="N702" s="17"/>
      <c r="O702" s="9">
        <f t="shared" si="95"/>
        <v>29</v>
      </c>
      <c r="P702" s="8">
        <f>D698/B698*10^(O702/10)</f>
        <v>30978.801154247001</v>
      </c>
      <c r="Q702" s="26"/>
      <c r="R702" s="17"/>
      <c r="S702" s="19"/>
      <c r="T702" s="17"/>
      <c r="U702" s="22"/>
    </row>
    <row r="703" spans="1:21" x14ac:dyDescent="0.25">
      <c r="A703" s="24"/>
      <c r="B703" s="24"/>
      <c r="C703" s="17"/>
      <c r="D703" s="24"/>
      <c r="E703" s="24"/>
      <c r="F703" s="25"/>
      <c r="G703" s="1">
        <v>1375</v>
      </c>
      <c r="H703" s="2">
        <v>103</v>
      </c>
      <c r="I703" s="2">
        <v>32.9</v>
      </c>
      <c r="J703" s="2">
        <v>30.4</v>
      </c>
      <c r="K703" s="2">
        <f t="shared" si="93"/>
        <v>32.9</v>
      </c>
      <c r="L703" s="8">
        <f t="shared" si="97"/>
        <v>9.7723722095581017E-8</v>
      </c>
      <c r="M703" s="26"/>
      <c r="N703" s="17"/>
      <c r="O703" s="9">
        <f t="shared" si="95"/>
        <v>30.4</v>
      </c>
      <c r="P703" s="8">
        <f>D698/B698*10^(O703/10)</f>
        <v>42762.649649584266</v>
      </c>
      <c r="Q703" s="26"/>
      <c r="R703" s="17"/>
      <c r="S703" s="20"/>
      <c r="T703" s="17"/>
      <c r="U703" s="23"/>
    </row>
    <row r="704" spans="1:21" x14ac:dyDescent="0.25">
      <c r="A704" s="24">
        <v>2000</v>
      </c>
      <c r="B704" s="24">
        <v>3</v>
      </c>
      <c r="C704" s="17">
        <v>0.5</v>
      </c>
      <c r="D704" s="24">
        <v>234</v>
      </c>
      <c r="E704" s="24">
        <v>6</v>
      </c>
      <c r="F704" s="25">
        <v>68</v>
      </c>
      <c r="G704" s="1">
        <v>1425</v>
      </c>
      <c r="H704" s="2">
        <v>102.8</v>
      </c>
      <c r="I704" s="2">
        <v>33.9</v>
      </c>
      <c r="J704" s="2">
        <v>28.3</v>
      </c>
      <c r="K704" s="2">
        <f t="shared" si="93"/>
        <v>33.9</v>
      </c>
      <c r="L704" s="8">
        <f t="shared" si="97"/>
        <v>1.2882495516931295E-7</v>
      </c>
      <c r="M704" s="26">
        <f>SUM(L704:L709)</f>
        <v>1.2421154698031128E-6</v>
      </c>
      <c r="N704" s="17">
        <f>10*LOG10(M704/E704)</f>
        <v>-66.839892796901708</v>
      </c>
      <c r="O704" s="9">
        <f t="shared" si="95"/>
        <v>28.3</v>
      </c>
      <c r="P704" s="8">
        <f>D704/B704*10^(O704/10)</f>
        <v>52734.472080574604</v>
      </c>
      <c r="Q704" s="26">
        <f>SUM(P704:P709)</f>
        <v>379979.3460676964</v>
      </c>
      <c r="R704" s="17">
        <f>10*LOG10(Q704)</f>
        <v>55.797599910046898</v>
      </c>
      <c r="S704" s="18">
        <f>F704+N704-Kzt-H</f>
        <v>1.160107203098292</v>
      </c>
      <c r="T704" s="17">
        <v>1</v>
      </c>
      <c r="U704" s="21">
        <f>T704*10^((S704-R704)/10)</f>
        <v>3.4375634995044938E-6</v>
      </c>
    </row>
    <row r="705" spans="1:21" x14ac:dyDescent="0.25">
      <c r="A705" s="24"/>
      <c r="B705" s="24"/>
      <c r="C705" s="17"/>
      <c r="D705" s="24"/>
      <c r="E705" s="24"/>
      <c r="F705" s="25"/>
      <c r="G705" s="1">
        <v>1625</v>
      </c>
      <c r="H705" s="2">
        <v>104.1</v>
      </c>
      <c r="I705" s="2">
        <v>35.5</v>
      </c>
      <c r="J705" s="2">
        <v>29.5</v>
      </c>
      <c r="K705" s="2">
        <f t="shared" si="93"/>
        <v>35.5</v>
      </c>
      <c r="L705" s="8">
        <f t="shared" si="97"/>
        <v>1.3803842646028844E-7</v>
      </c>
      <c r="M705" s="26"/>
      <c r="N705" s="17"/>
      <c r="O705" s="9">
        <f t="shared" si="95"/>
        <v>29.5</v>
      </c>
      <c r="P705" s="8">
        <f>D704/B704*10^(O705/10)</f>
        <v>69517.573174432226</v>
      </c>
      <c r="Q705" s="26"/>
      <c r="R705" s="17"/>
      <c r="S705" s="19"/>
      <c r="T705" s="17"/>
      <c r="U705" s="22"/>
    </row>
    <row r="706" spans="1:21" x14ac:dyDescent="0.25">
      <c r="A706" s="24"/>
      <c r="B706" s="24"/>
      <c r="C706" s="17"/>
      <c r="D706" s="24"/>
      <c r="E706" s="24"/>
      <c r="F706" s="25"/>
      <c r="G706" s="1">
        <v>1825</v>
      </c>
      <c r="H706" s="2">
        <v>107.6</v>
      </c>
      <c r="I706" s="2">
        <v>34.4</v>
      </c>
      <c r="J706" s="2">
        <v>30.2</v>
      </c>
      <c r="K706" s="2">
        <f t="shared" si="93"/>
        <v>34.4</v>
      </c>
      <c r="L706" s="8">
        <f t="shared" si="97"/>
        <v>4.7863009232263948E-8</v>
      </c>
      <c r="M706" s="26"/>
      <c r="N706" s="17"/>
      <c r="O706" s="9">
        <f t="shared" si="95"/>
        <v>30.2</v>
      </c>
      <c r="P706" s="8">
        <f>D704/B704*10^(O706/10)</f>
        <v>81676.026747970202</v>
      </c>
      <c r="Q706" s="26"/>
      <c r="R706" s="17"/>
      <c r="S706" s="19"/>
      <c r="T706" s="17"/>
      <c r="U706" s="22"/>
    </row>
    <row r="707" spans="1:21" x14ac:dyDescent="0.25">
      <c r="A707" s="24"/>
      <c r="B707" s="24"/>
      <c r="C707" s="17"/>
      <c r="D707" s="24"/>
      <c r="E707" s="24"/>
      <c r="F707" s="25"/>
      <c r="G707" s="1">
        <v>2125</v>
      </c>
      <c r="H707" s="2">
        <v>104.2</v>
      </c>
      <c r="I707" s="2">
        <v>33.700000000000003</v>
      </c>
      <c r="J707" s="2">
        <v>28.1</v>
      </c>
      <c r="K707" s="2">
        <f t="shared" si="93"/>
        <v>33.700000000000003</v>
      </c>
      <c r="L707" s="8">
        <f t="shared" si="97"/>
        <v>8.9125093813374537E-8</v>
      </c>
      <c r="M707" s="26"/>
      <c r="N707" s="17"/>
      <c r="O707" s="9">
        <f t="shared" si="95"/>
        <v>28.1</v>
      </c>
      <c r="P707" s="8">
        <f>D704/B704*10^(O707/10)</f>
        <v>50361.029864703167</v>
      </c>
      <c r="Q707" s="26"/>
      <c r="R707" s="17"/>
      <c r="S707" s="19"/>
      <c r="T707" s="17"/>
      <c r="U707" s="22"/>
    </row>
    <row r="708" spans="1:21" x14ac:dyDescent="0.25">
      <c r="A708" s="24"/>
      <c r="B708" s="24"/>
      <c r="C708" s="17"/>
      <c r="D708" s="24"/>
      <c r="E708" s="24"/>
      <c r="F708" s="25"/>
      <c r="G708" s="1">
        <v>2425</v>
      </c>
      <c r="H708" s="2">
        <v>93.7</v>
      </c>
      <c r="I708" s="2">
        <v>32</v>
      </c>
      <c r="J708" s="2">
        <v>30.7</v>
      </c>
      <c r="K708" s="2">
        <f t="shared" si="93"/>
        <v>32</v>
      </c>
      <c r="L708" s="8">
        <f t="shared" si="97"/>
        <v>6.7608297539198085E-7</v>
      </c>
      <c r="M708" s="26"/>
      <c r="N708" s="17"/>
      <c r="O708" s="9">
        <f t="shared" si="95"/>
        <v>30.7</v>
      </c>
      <c r="P708" s="8">
        <f>D704/B704*10^(O708/10)</f>
        <v>91642.009285283304</v>
      </c>
      <c r="Q708" s="26"/>
      <c r="R708" s="17"/>
      <c r="S708" s="19"/>
      <c r="T708" s="17"/>
      <c r="U708" s="22"/>
    </row>
    <row r="709" spans="1:21" x14ac:dyDescent="0.25">
      <c r="A709" s="24"/>
      <c r="B709" s="24"/>
      <c r="C709" s="17"/>
      <c r="D709" s="24"/>
      <c r="E709" s="24"/>
      <c r="F709" s="25"/>
      <c r="G709" s="1">
        <v>2775</v>
      </c>
      <c r="H709" s="2">
        <v>100.2</v>
      </c>
      <c r="I709" s="2">
        <v>32.299999999999997</v>
      </c>
      <c r="J709" s="2">
        <v>26.4</v>
      </c>
      <c r="K709" s="2">
        <f t="shared" si="93"/>
        <v>32.299999999999997</v>
      </c>
      <c r="L709" s="8">
        <f t="shared" si="97"/>
        <v>1.6218100973589227E-7</v>
      </c>
      <c r="M709" s="26"/>
      <c r="N709" s="17"/>
      <c r="O709" s="9">
        <f t="shared" si="95"/>
        <v>26.4</v>
      </c>
      <c r="P709" s="8">
        <f>D704/B704*10^(O709/10)</f>
        <v>34048.234914732937</v>
      </c>
      <c r="Q709" s="26"/>
      <c r="R709" s="17"/>
      <c r="S709" s="20"/>
      <c r="T709" s="17"/>
      <c r="U709" s="23"/>
    </row>
    <row r="710" spans="1:21" x14ac:dyDescent="0.25">
      <c r="A710" s="24">
        <v>4000</v>
      </c>
      <c r="B710" s="24">
        <v>3</v>
      </c>
      <c r="C710" s="17">
        <v>0.5</v>
      </c>
      <c r="D710" s="24">
        <v>470</v>
      </c>
      <c r="E710" s="24">
        <v>6</v>
      </c>
      <c r="F710" s="25">
        <v>62</v>
      </c>
      <c r="G710" s="1">
        <v>2825</v>
      </c>
      <c r="H710" s="2">
        <v>99.4</v>
      </c>
      <c r="I710" s="2">
        <v>31</v>
      </c>
      <c r="J710" s="2">
        <v>27.2</v>
      </c>
      <c r="K710" s="2">
        <f t="shared" si="93"/>
        <v>31</v>
      </c>
      <c r="L710" s="8">
        <f t="shared" si="97"/>
        <v>1.4454397707459218E-7</v>
      </c>
      <c r="M710" s="26">
        <f>SUM(L710:L715)</f>
        <v>5.1768053050024424E-7</v>
      </c>
      <c r="N710" s="17">
        <f>10*LOG10(M710/E710)</f>
        <v>-70.64089418520021</v>
      </c>
      <c r="O710" s="9">
        <f t="shared" si="95"/>
        <v>27.2</v>
      </c>
      <c r="P710" s="8">
        <f>D710/B710*10^(O710/10)</f>
        <v>82219.835439131013</v>
      </c>
      <c r="Q710" s="26">
        <f>SUM(P710:P715)</f>
        <v>429397.42103598593</v>
      </c>
      <c r="R710" s="17">
        <f>10*LOG10(Q710)</f>
        <v>56.328594317322654</v>
      </c>
      <c r="S710" s="18">
        <f>F710+N710-Kzt-H</f>
        <v>-8.6408941852002101</v>
      </c>
      <c r="T710" s="17">
        <v>0.9</v>
      </c>
      <c r="U710" s="21">
        <f>T710*10^((S710-R710)/10)</f>
        <v>2.8661153111259656E-7</v>
      </c>
    </row>
    <row r="711" spans="1:21" x14ac:dyDescent="0.25">
      <c r="A711" s="24"/>
      <c r="B711" s="24"/>
      <c r="C711" s="17"/>
      <c r="D711" s="24"/>
      <c r="E711" s="24"/>
      <c r="F711" s="25"/>
      <c r="G711" s="1">
        <v>3425</v>
      </c>
      <c r="H711" s="2">
        <v>103.5</v>
      </c>
      <c r="I711" s="2">
        <v>33.5</v>
      </c>
      <c r="J711" s="2">
        <v>28.1</v>
      </c>
      <c r="K711" s="2">
        <f t="shared" si="93"/>
        <v>33.5</v>
      </c>
      <c r="L711" s="8">
        <f t="shared" si="97"/>
        <v>9.9999999999999995E-8</v>
      </c>
      <c r="M711" s="26"/>
      <c r="N711" s="17"/>
      <c r="O711" s="9">
        <f t="shared" si="95"/>
        <v>28.1</v>
      </c>
      <c r="P711" s="8">
        <f>D710/B710*10^(O711/10)</f>
        <v>101152.49588209609</v>
      </c>
      <c r="Q711" s="26"/>
      <c r="R711" s="17"/>
      <c r="S711" s="19"/>
      <c r="T711" s="17"/>
      <c r="U711" s="22"/>
    </row>
    <row r="712" spans="1:21" x14ac:dyDescent="0.25">
      <c r="A712" s="24"/>
      <c r="B712" s="24"/>
      <c r="C712" s="17"/>
      <c r="D712" s="24"/>
      <c r="E712" s="24"/>
      <c r="F712" s="25"/>
      <c r="G712" s="1">
        <v>4025</v>
      </c>
      <c r="H712" s="2">
        <v>103.6</v>
      </c>
      <c r="I712" s="2">
        <v>29</v>
      </c>
      <c r="J712" s="2">
        <v>24.4</v>
      </c>
      <c r="K712" s="2">
        <f t="shared" si="93"/>
        <v>29</v>
      </c>
      <c r="L712" s="8">
        <f t="shared" si="97"/>
        <v>3.4673685045253171E-8</v>
      </c>
      <c r="M712" s="26"/>
      <c r="N712" s="17"/>
      <c r="O712" s="9">
        <f t="shared" si="95"/>
        <v>24.4</v>
      </c>
      <c r="P712" s="8">
        <f>D710/B710*10^(O712/10)</f>
        <v>43149.583018964637</v>
      </c>
      <c r="Q712" s="26"/>
      <c r="R712" s="17"/>
      <c r="S712" s="19"/>
      <c r="T712" s="17"/>
      <c r="U712" s="22"/>
    </row>
    <row r="713" spans="1:21" x14ac:dyDescent="0.25">
      <c r="A713" s="24"/>
      <c r="B713" s="24"/>
      <c r="C713" s="17"/>
      <c r="D713" s="24"/>
      <c r="E713" s="24"/>
      <c r="F713" s="25"/>
      <c r="G713" s="1">
        <v>4625</v>
      </c>
      <c r="H713" s="2">
        <v>105.6</v>
      </c>
      <c r="I713" s="2">
        <v>28.5</v>
      </c>
      <c r="J713" s="2">
        <v>26</v>
      </c>
      <c r="K713" s="2">
        <f t="shared" si="93"/>
        <v>28.5</v>
      </c>
      <c r="L713" s="8">
        <f t="shared" si="97"/>
        <v>1.9498445997580434E-8</v>
      </c>
      <c r="M713" s="26"/>
      <c r="N713" s="17"/>
      <c r="O713" s="9">
        <f t="shared" si="95"/>
        <v>26</v>
      </c>
      <c r="P713" s="8">
        <f>D710/B710*10^(O713/10)</f>
        <v>62370.123386714622</v>
      </c>
      <c r="Q713" s="26"/>
      <c r="R713" s="17"/>
      <c r="S713" s="19"/>
      <c r="T713" s="17"/>
      <c r="U713" s="22"/>
    </row>
    <row r="714" spans="1:21" x14ac:dyDescent="0.25">
      <c r="A714" s="24"/>
      <c r="B714" s="24"/>
      <c r="C714" s="17"/>
      <c r="D714" s="24"/>
      <c r="E714" s="24"/>
      <c r="F714" s="25"/>
      <c r="G714" s="1">
        <v>5225</v>
      </c>
      <c r="H714" s="2">
        <v>103.5</v>
      </c>
      <c r="I714" s="2">
        <v>31.8</v>
      </c>
      <c r="J714" s="2">
        <v>28.1</v>
      </c>
      <c r="K714" s="2">
        <f t="shared" si="93"/>
        <v>31.8</v>
      </c>
      <c r="L714" s="8">
        <f t="shared" si="97"/>
        <v>6.7608297539197998E-8</v>
      </c>
      <c r="M714" s="26"/>
      <c r="N714" s="17"/>
      <c r="O714" s="9">
        <f t="shared" si="95"/>
        <v>28.1</v>
      </c>
      <c r="P714" s="8">
        <f>D710/B710*10^(O714/10)</f>
        <v>101152.49588209609</v>
      </c>
      <c r="Q714" s="26"/>
      <c r="R714" s="17"/>
      <c r="S714" s="19"/>
      <c r="T714" s="17"/>
      <c r="U714" s="22"/>
    </row>
    <row r="715" spans="1:21" x14ac:dyDescent="0.25">
      <c r="A715" s="24"/>
      <c r="B715" s="24"/>
      <c r="C715" s="17"/>
      <c r="D715" s="24"/>
      <c r="E715" s="24"/>
      <c r="F715" s="25"/>
      <c r="G715" s="1">
        <v>5625</v>
      </c>
      <c r="H715" s="2">
        <v>99.5</v>
      </c>
      <c r="I715" s="2">
        <v>31.3</v>
      </c>
      <c r="J715" s="2">
        <v>24</v>
      </c>
      <c r="K715" s="2">
        <f t="shared" si="93"/>
        <v>31.3</v>
      </c>
      <c r="L715" s="8">
        <f t="shared" si="97"/>
        <v>1.5135612484362046E-7</v>
      </c>
      <c r="M715" s="26"/>
      <c r="N715" s="17"/>
      <c r="O715" s="9">
        <f t="shared" si="95"/>
        <v>24</v>
      </c>
      <c r="P715" s="8">
        <f>D710/B710*10^(O715/10)</f>
        <v>39352.887426983427</v>
      </c>
      <c r="Q715" s="26"/>
      <c r="R715" s="17"/>
      <c r="S715" s="20"/>
      <c r="T715" s="17"/>
      <c r="U715" s="23"/>
    </row>
    <row r="716" spans="1:21" x14ac:dyDescent="0.25">
      <c r="A716" s="24">
        <v>8000</v>
      </c>
      <c r="B716" s="24">
        <v>3</v>
      </c>
      <c r="C716" s="17">
        <v>0.5</v>
      </c>
      <c r="D716" s="24">
        <v>943</v>
      </c>
      <c r="E716" s="24">
        <v>6</v>
      </c>
      <c r="F716" s="25">
        <v>54</v>
      </c>
      <c r="G716" s="1">
        <v>6025</v>
      </c>
      <c r="H716" s="2">
        <v>95</v>
      </c>
      <c r="I716" s="2">
        <v>26.5</v>
      </c>
      <c r="J716" s="2">
        <v>24.5</v>
      </c>
      <c r="K716" s="2">
        <f t="shared" si="93"/>
        <v>26.5</v>
      </c>
      <c r="L716" s="8">
        <f t="shared" si="97"/>
        <v>1.4125375446227539E-7</v>
      </c>
      <c r="M716" s="26">
        <f>SUM(L716:L721)</f>
        <v>4.0381902946717372E-6</v>
      </c>
      <c r="N716" s="17">
        <f>10*LOG10(M716/E716)</f>
        <v>-61.719644697090111</v>
      </c>
      <c r="O716" s="9">
        <f t="shared" si="95"/>
        <v>24.5</v>
      </c>
      <c r="P716" s="8">
        <f>D716/B716*10^(O716/10)</f>
        <v>88591.170139412701</v>
      </c>
      <c r="Q716" s="26">
        <f>SUM(P716:P721)</f>
        <v>622896.53767602984</v>
      </c>
      <c r="R716" s="17">
        <f>10*LOG10(Q716)</f>
        <v>57.944159168873469</v>
      </c>
      <c r="S716" s="18">
        <f>F716+N716-Kzt-H</f>
        <v>-7.7196446970901107</v>
      </c>
      <c r="T716" s="17">
        <v>0.7</v>
      </c>
      <c r="U716" s="21">
        <f>T716*10^((S716-R716)/10)</f>
        <v>1.8998427392181836E-7</v>
      </c>
    </row>
    <row r="717" spans="1:21" x14ac:dyDescent="0.25">
      <c r="A717" s="24"/>
      <c r="B717" s="24"/>
      <c r="C717" s="17"/>
      <c r="D717" s="24"/>
      <c r="E717" s="24"/>
      <c r="F717" s="25"/>
      <c r="G717" s="1">
        <v>7025</v>
      </c>
      <c r="H717" s="2">
        <v>94.8</v>
      </c>
      <c r="I717" s="2">
        <v>32.700000000000003</v>
      </c>
      <c r="J717" s="2">
        <v>23</v>
      </c>
      <c r="K717" s="2">
        <f t="shared" si="93"/>
        <v>32.700000000000003</v>
      </c>
      <c r="L717" s="8">
        <f t="shared" si="97"/>
        <v>6.1659500186148261E-7</v>
      </c>
      <c r="M717" s="26"/>
      <c r="N717" s="17"/>
      <c r="O717" s="9">
        <f t="shared" si="95"/>
        <v>23</v>
      </c>
      <c r="P717" s="8">
        <f>D716/B716*10^(O717/10)</f>
        <v>62717.745433855132</v>
      </c>
      <c r="Q717" s="26"/>
      <c r="R717" s="17"/>
      <c r="S717" s="19"/>
      <c r="T717" s="17"/>
      <c r="U717" s="22"/>
    </row>
    <row r="718" spans="1:21" x14ac:dyDescent="0.25">
      <c r="A718" s="24"/>
      <c r="B718" s="24"/>
      <c r="C718" s="17"/>
      <c r="D718" s="24"/>
      <c r="E718" s="24"/>
      <c r="F718" s="25"/>
      <c r="G718" s="1">
        <v>8025</v>
      </c>
      <c r="H718" s="2">
        <v>101.9</v>
      </c>
      <c r="I718" s="2">
        <v>31.4</v>
      </c>
      <c r="J718" s="2">
        <v>26.4</v>
      </c>
      <c r="K718" s="2">
        <f t="shared" si="93"/>
        <v>31.4</v>
      </c>
      <c r="L718" s="8">
        <f t="shared" si="97"/>
        <v>8.9125093813374537E-8</v>
      </c>
      <c r="M718" s="26"/>
      <c r="N718" s="17"/>
      <c r="O718" s="9">
        <f t="shared" si="95"/>
        <v>26.4</v>
      </c>
      <c r="P718" s="8">
        <f>D716/B716*10^(O718/10)</f>
        <v>137211.47660082544</v>
      </c>
      <c r="Q718" s="26"/>
      <c r="R718" s="17"/>
      <c r="S718" s="19"/>
      <c r="T718" s="17"/>
      <c r="U718" s="22"/>
    </row>
    <row r="719" spans="1:21" x14ac:dyDescent="0.25">
      <c r="A719" s="24"/>
      <c r="B719" s="24"/>
      <c r="C719" s="17"/>
      <c r="D719" s="24"/>
      <c r="E719" s="24"/>
      <c r="F719" s="25"/>
      <c r="G719" s="1">
        <v>9025</v>
      </c>
      <c r="H719" s="2">
        <v>93.2</v>
      </c>
      <c r="I719" s="2">
        <v>30.6</v>
      </c>
      <c r="J719" s="2">
        <v>22.5</v>
      </c>
      <c r="K719" s="2">
        <f t="shared" si="93"/>
        <v>30.6</v>
      </c>
      <c r="L719" s="8">
        <f t="shared" si="97"/>
        <v>5.4954087385762417E-7</v>
      </c>
      <c r="M719" s="26"/>
      <c r="N719" s="17"/>
      <c r="O719" s="9">
        <f t="shared" si="95"/>
        <v>22.5</v>
      </c>
      <c r="P719" s="8">
        <f>D716/B716*10^(O719/10)</f>
        <v>55897.249455556848</v>
      </c>
      <c r="Q719" s="26"/>
      <c r="R719" s="17"/>
      <c r="S719" s="19"/>
      <c r="T719" s="17"/>
      <c r="U719" s="22"/>
    </row>
    <row r="720" spans="1:21" x14ac:dyDescent="0.25">
      <c r="A720" s="24"/>
      <c r="B720" s="24"/>
      <c r="C720" s="17"/>
      <c r="D720" s="24"/>
      <c r="E720" s="24"/>
      <c r="F720" s="25"/>
      <c r="G720" s="1">
        <v>10025</v>
      </c>
      <c r="H720" s="2">
        <v>88.3</v>
      </c>
      <c r="I720" s="2">
        <v>26.7</v>
      </c>
      <c r="J720" s="2">
        <v>25.1</v>
      </c>
      <c r="K720" s="2">
        <f t="shared" si="93"/>
        <v>26.7</v>
      </c>
      <c r="L720" s="8">
        <f t="shared" si="97"/>
        <v>6.9183097091893661E-7</v>
      </c>
      <c r="M720" s="26"/>
      <c r="N720" s="17"/>
      <c r="O720" s="9">
        <f t="shared" si="95"/>
        <v>25.1</v>
      </c>
      <c r="P720" s="8">
        <f>D716/B716*10^(O720/10)</f>
        <v>101716.27282821323</v>
      </c>
      <c r="Q720" s="26"/>
      <c r="R720" s="17"/>
      <c r="S720" s="19"/>
      <c r="T720" s="17"/>
      <c r="U720" s="22"/>
    </row>
    <row r="721" spans="1:21" x14ac:dyDescent="0.25">
      <c r="A721" s="24"/>
      <c r="B721" s="24"/>
      <c r="C721" s="17"/>
      <c r="D721" s="24"/>
      <c r="E721" s="24"/>
      <c r="F721" s="25"/>
      <c r="G721" s="1">
        <v>11025</v>
      </c>
      <c r="H721" s="2">
        <v>86</v>
      </c>
      <c r="I721" s="2">
        <v>28.9</v>
      </c>
      <c r="J721" s="2">
        <v>27.5</v>
      </c>
      <c r="K721" s="2">
        <f t="shared" si="93"/>
        <v>28.9</v>
      </c>
      <c r="L721" s="8">
        <f t="shared" si="97"/>
        <v>1.9498445997580441E-6</v>
      </c>
      <c r="M721" s="26"/>
      <c r="N721" s="17"/>
      <c r="O721" s="9">
        <f t="shared" si="95"/>
        <v>27.5</v>
      </c>
      <c r="P721" s="8">
        <f>D716/B716*10^(O721/10)</f>
        <v>176762.62321816644</v>
      </c>
      <c r="Q721" s="26"/>
      <c r="R721" s="17"/>
      <c r="S721" s="20"/>
      <c r="T721" s="17"/>
      <c r="U721" s="23"/>
    </row>
    <row r="722" spans="1:21" x14ac:dyDescent="0.25">
      <c r="A722" s="24" t="s">
        <v>20</v>
      </c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12">
        <f>U722</f>
        <v>5.5747896495909312E-2</v>
      </c>
      <c r="T722" s="2"/>
      <c r="U722" s="8">
        <f>0.8*SQRT(SUM(U688:U721))</f>
        <v>5.5747896495909312E-2</v>
      </c>
    </row>
  </sheetData>
  <mergeCells count="1600">
    <mergeCell ref="R4:R7"/>
    <mergeCell ref="S4:S7"/>
    <mergeCell ref="T4:T7"/>
    <mergeCell ref="U4:U7"/>
    <mergeCell ref="A8:A13"/>
    <mergeCell ref="B8:B13"/>
    <mergeCell ref="C8:C13"/>
    <mergeCell ref="D8:D13"/>
    <mergeCell ref="E8:E13"/>
    <mergeCell ref="F8:F13"/>
    <mergeCell ref="A3:U3"/>
    <mergeCell ref="A4:A7"/>
    <mergeCell ref="B4:B7"/>
    <mergeCell ref="C4:C7"/>
    <mergeCell ref="D4:D7"/>
    <mergeCell ref="E4:E7"/>
    <mergeCell ref="F4:F7"/>
    <mergeCell ref="M4:M7"/>
    <mergeCell ref="N4:N7"/>
    <mergeCell ref="Q4:Q7"/>
    <mergeCell ref="R14:R19"/>
    <mergeCell ref="S14:S19"/>
    <mergeCell ref="T14:T19"/>
    <mergeCell ref="U14:U19"/>
    <mergeCell ref="A20:A25"/>
    <mergeCell ref="B20:B25"/>
    <mergeCell ref="C20:C25"/>
    <mergeCell ref="D20:D25"/>
    <mergeCell ref="E20:E25"/>
    <mergeCell ref="F20:F25"/>
    <mergeCell ref="U8:U13"/>
    <mergeCell ref="A14:A19"/>
    <mergeCell ref="B14:B19"/>
    <mergeCell ref="C14:C19"/>
    <mergeCell ref="D14:D19"/>
    <mergeCell ref="E14:E19"/>
    <mergeCell ref="F14:F19"/>
    <mergeCell ref="M14:M19"/>
    <mergeCell ref="N14:N19"/>
    <mergeCell ref="Q14:Q19"/>
    <mergeCell ref="M8:M13"/>
    <mergeCell ref="N8:N13"/>
    <mergeCell ref="Q8:Q13"/>
    <mergeCell ref="R8:R13"/>
    <mergeCell ref="S8:S13"/>
    <mergeCell ref="T8:T13"/>
    <mergeCell ref="R26:R31"/>
    <mergeCell ref="S26:S31"/>
    <mergeCell ref="T26:T31"/>
    <mergeCell ref="U26:U31"/>
    <mergeCell ref="A32:A37"/>
    <mergeCell ref="B32:B37"/>
    <mergeCell ref="C32:C37"/>
    <mergeCell ref="D32:D37"/>
    <mergeCell ref="E32:E37"/>
    <mergeCell ref="F32:F37"/>
    <mergeCell ref="U20:U25"/>
    <mergeCell ref="A26:A31"/>
    <mergeCell ref="B26:B31"/>
    <mergeCell ref="C26:C31"/>
    <mergeCell ref="D26:D31"/>
    <mergeCell ref="E26:E31"/>
    <mergeCell ref="F26:F31"/>
    <mergeCell ref="M26:M31"/>
    <mergeCell ref="N26:N31"/>
    <mergeCell ref="Q26:Q31"/>
    <mergeCell ref="M20:M25"/>
    <mergeCell ref="N20:N25"/>
    <mergeCell ref="Q20:Q25"/>
    <mergeCell ref="R20:R25"/>
    <mergeCell ref="S20:S25"/>
    <mergeCell ref="T20:T25"/>
    <mergeCell ref="N40:N43"/>
    <mergeCell ref="Q40:Q43"/>
    <mergeCell ref="R40:R43"/>
    <mergeCell ref="S40:S43"/>
    <mergeCell ref="T40:T43"/>
    <mergeCell ref="U40:U43"/>
    <mergeCell ref="U32:U37"/>
    <mergeCell ref="A38:R38"/>
    <mergeCell ref="A39:U39"/>
    <mergeCell ref="A40:A43"/>
    <mergeCell ref="B40:B43"/>
    <mergeCell ref="C40:C43"/>
    <mergeCell ref="D40:D43"/>
    <mergeCell ref="E40:E43"/>
    <mergeCell ref="F40:F43"/>
    <mergeCell ref="M40:M43"/>
    <mergeCell ref="M32:M37"/>
    <mergeCell ref="N32:N37"/>
    <mergeCell ref="Q32:Q37"/>
    <mergeCell ref="R32:R37"/>
    <mergeCell ref="S32:S37"/>
    <mergeCell ref="T32:T37"/>
    <mergeCell ref="R50:R55"/>
    <mergeCell ref="S50:S55"/>
    <mergeCell ref="T50:T55"/>
    <mergeCell ref="U50:U55"/>
    <mergeCell ref="A56:A61"/>
    <mergeCell ref="B56:B61"/>
    <mergeCell ref="C56:C61"/>
    <mergeCell ref="D56:D61"/>
    <mergeCell ref="E56:E61"/>
    <mergeCell ref="F56:F61"/>
    <mergeCell ref="U44:U49"/>
    <mergeCell ref="A50:A55"/>
    <mergeCell ref="B50:B55"/>
    <mergeCell ref="C50:C55"/>
    <mergeCell ref="D50:D55"/>
    <mergeCell ref="E50:E55"/>
    <mergeCell ref="F50:F55"/>
    <mergeCell ref="M50:M55"/>
    <mergeCell ref="N50:N55"/>
    <mergeCell ref="Q50:Q55"/>
    <mergeCell ref="M44:M49"/>
    <mergeCell ref="N44:N49"/>
    <mergeCell ref="Q44:Q49"/>
    <mergeCell ref="R44:R49"/>
    <mergeCell ref="S44:S49"/>
    <mergeCell ref="T44:T49"/>
    <mergeCell ref="A44:A49"/>
    <mergeCell ref="B44:B49"/>
    <mergeCell ref="C44:C49"/>
    <mergeCell ref="D44:D49"/>
    <mergeCell ref="E44:E49"/>
    <mergeCell ref="F44:F49"/>
    <mergeCell ref="R62:R67"/>
    <mergeCell ref="S62:S67"/>
    <mergeCell ref="T62:T67"/>
    <mergeCell ref="U62:U67"/>
    <mergeCell ref="A68:A73"/>
    <mergeCell ref="B68:B73"/>
    <mergeCell ref="C68:C73"/>
    <mergeCell ref="D68:D73"/>
    <mergeCell ref="E68:E73"/>
    <mergeCell ref="F68:F73"/>
    <mergeCell ref="U56:U61"/>
    <mergeCell ref="A62:A67"/>
    <mergeCell ref="B62:B67"/>
    <mergeCell ref="C62:C67"/>
    <mergeCell ref="D62:D67"/>
    <mergeCell ref="E62:E67"/>
    <mergeCell ref="F62:F67"/>
    <mergeCell ref="M62:M67"/>
    <mergeCell ref="N62:N67"/>
    <mergeCell ref="Q62:Q67"/>
    <mergeCell ref="M56:M61"/>
    <mergeCell ref="N56:N61"/>
    <mergeCell ref="Q56:Q61"/>
    <mergeCell ref="R56:R61"/>
    <mergeCell ref="S56:S61"/>
    <mergeCell ref="T56:T61"/>
    <mergeCell ref="N76:N79"/>
    <mergeCell ref="Q76:Q79"/>
    <mergeCell ref="R76:R79"/>
    <mergeCell ref="S76:S79"/>
    <mergeCell ref="T76:T79"/>
    <mergeCell ref="U76:U79"/>
    <mergeCell ref="U68:U73"/>
    <mergeCell ref="A74:R74"/>
    <mergeCell ref="A75:U75"/>
    <mergeCell ref="A76:A79"/>
    <mergeCell ref="B76:B79"/>
    <mergeCell ref="C76:C79"/>
    <mergeCell ref="D76:D79"/>
    <mergeCell ref="E76:E79"/>
    <mergeCell ref="F76:F79"/>
    <mergeCell ref="M76:M79"/>
    <mergeCell ref="M68:M73"/>
    <mergeCell ref="N68:N73"/>
    <mergeCell ref="Q68:Q73"/>
    <mergeCell ref="R68:R73"/>
    <mergeCell ref="S68:S73"/>
    <mergeCell ref="T68:T73"/>
    <mergeCell ref="R86:R91"/>
    <mergeCell ref="S86:S91"/>
    <mergeCell ref="T86:T91"/>
    <mergeCell ref="U86:U91"/>
    <mergeCell ref="A92:A97"/>
    <mergeCell ref="B92:B97"/>
    <mergeCell ref="C92:C97"/>
    <mergeCell ref="D92:D97"/>
    <mergeCell ref="E92:E97"/>
    <mergeCell ref="F92:F97"/>
    <mergeCell ref="U80:U85"/>
    <mergeCell ref="A86:A91"/>
    <mergeCell ref="B86:B91"/>
    <mergeCell ref="C86:C91"/>
    <mergeCell ref="D86:D91"/>
    <mergeCell ref="E86:E91"/>
    <mergeCell ref="F86:F91"/>
    <mergeCell ref="M86:M91"/>
    <mergeCell ref="N86:N91"/>
    <mergeCell ref="Q86:Q91"/>
    <mergeCell ref="M80:M85"/>
    <mergeCell ref="N80:N85"/>
    <mergeCell ref="Q80:Q85"/>
    <mergeCell ref="R80:R85"/>
    <mergeCell ref="S80:S85"/>
    <mergeCell ref="T80:T85"/>
    <mergeCell ref="A80:A85"/>
    <mergeCell ref="B80:B85"/>
    <mergeCell ref="C80:C85"/>
    <mergeCell ref="D80:D85"/>
    <mergeCell ref="E80:E85"/>
    <mergeCell ref="F80:F85"/>
    <mergeCell ref="R98:R103"/>
    <mergeCell ref="S98:S103"/>
    <mergeCell ref="T98:T103"/>
    <mergeCell ref="U98:U103"/>
    <mergeCell ref="A104:A109"/>
    <mergeCell ref="B104:B109"/>
    <mergeCell ref="C104:C109"/>
    <mergeCell ref="D104:D109"/>
    <mergeCell ref="E104:E109"/>
    <mergeCell ref="F104:F109"/>
    <mergeCell ref="U92:U97"/>
    <mergeCell ref="A98:A103"/>
    <mergeCell ref="B98:B103"/>
    <mergeCell ref="C98:C103"/>
    <mergeCell ref="D98:D103"/>
    <mergeCell ref="E98:E103"/>
    <mergeCell ref="F98:F103"/>
    <mergeCell ref="M98:M103"/>
    <mergeCell ref="N98:N103"/>
    <mergeCell ref="Q98:Q103"/>
    <mergeCell ref="M92:M97"/>
    <mergeCell ref="N92:N97"/>
    <mergeCell ref="Q92:Q97"/>
    <mergeCell ref="R92:R97"/>
    <mergeCell ref="S92:S97"/>
    <mergeCell ref="T92:T97"/>
    <mergeCell ref="N112:N115"/>
    <mergeCell ref="Q112:Q115"/>
    <mergeCell ref="R112:R115"/>
    <mergeCell ref="S112:S115"/>
    <mergeCell ref="T112:T115"/>
    <mergeCell ref="U112:U115"/>
    <mergeCell ref="U104:U109"/>
    <mergeCell ref="A110:R110"/>
    <mergeCell ref="A111:U111"/>
    <mergeCell ref="A112:A115"/>
    <mergeCell ref="B112:B115"/>
    <mergeCell ref="C112:C115"/>
    <mergeCell ref="D112:D115"/>
    <mergeCell ref="E112:E115"/>
    <mergeCell ref="F112:F115"/>
    <mergeCell ref="M112:M115"/>
    <mergeCell ref="M104:M109"/>
    <mergeCell ref="N104:N109"/>
    <mergeCell ref="Q104:Q109"/>
    <mergeCell ref="R104:R109"/>
    <mergeCell ref="S104:S109"/>
    <mergeCell ref="T104:T109"/>
    <mergeCell ref="R122:R127"/>
    <mergeCell ref="S122:S127"/>
    <mergeCell ref="T122:T127"/>
    <mergeCell ref="U122:U127"/>
    <mergeCell ref="A128:A133"/>
    <mergeCell ref="B128:B133"/>
    <mergeCell ref="C128:C133"/>
    <mergeCell ref="D128:D133"/>
    <mergeCell ref="E128:E133"/>
    <mergeCell ref="F128:F133"/>
    <mergeCell ref="U116:U121"/>
    <mergeCell ref="A122:A127"/>
    <mergeCell ref="B122:B127"/>
    <mergeCell ref="C122:C127"/>
    <mergeCell ref="D122:D127"/>
    <mergeCell ref="E122:E127"/>
    <mergeCell ref="F122:F127"/>
    <mergeCell ref="M122:M127"/>
    <mergeCell ref="N122:N127"/>
    <mergeCell ref="Q122:Q127"/>
    <mergeCell ref="M116:M121"/>
    <mergeCell ref="N116:N121"/>
    <mergeCell ref="Q116:Q121"/>
    <mergeCell ref="R116:R121"/>
    <mergeCell ref="S116:S121"/>
    <mergeCell ref="T116:T121"/>
    <mergeCell ref="A116:A121"/>
    <mergeCell ref="B116:B121"/>
    <mergeCell ref="C116:C121"/>
    <mergeCell ref="D116:D121"/>
    <mergeCell ref="E116:E121"/>
    <mergeCell ref="F116:F121"/>
    <mergeCell ref="R134:R139"/>
    <mergeCell ref="S134:S139"/>
    <mergeCell ref="T134:T139"/>
    <mergeCell ref="U134:U139"/>
    <mergeCell ref="A140:A145"/>
    <mergeCell ref="B140:B145"/>
    <mergeCell ref="C140:C145"/>
    <mergeCell ref="D140:D145"/>
    <mergeCell ref="E140:E145"/>
    <mergeCell ref="F140:F145"/>
    <mergeCell ref="U128:U133"/>
    <mergeCell ref="A134:A139"/>
    <mergeCell ref="B134:B139"/>
    <mergeCell ref="C134:C139"/>
    <mergeCell ref="D134:D139"/>
    <mergeCell ref="E134:E139"/>
    <mergeCell ref="F134:F139"/>
    <mergeCell ref="M134:M139"/>
    <mergeCell ref="N134:N139"/>
    <mergeCell ref="Q134:Q139"/>
    <mergeCell ref="M128:M133"/>
    <mergeCell ref="N128:N133"/>
    <mergeCell ref="Q128:Q133"/>
    <mergeCell ref="R128:R133"/>
    <mergeCell ref="S128:S133"/>
    <mergeCell ref="T128:T133"/>
    <mergeCell ref="N148:N151"/>
    <mergeCell ref="Q148:Q151"/>
    <mergeCell ref="R148:R151"/>
    <mergeCell ref="S148:S151"/>
    <mergeCell ref="T148:T151"/>
    <mergeCell ref="U148:U151"/>
    <mergeCell ref="U140:U145"/>
    <mergeCell ref="A146:R146"/>
    <mergeCell ref="A147:U147"/>
    <mergeCell ref="A148:A151"/>
    <mergeCell ref="B148:B151"/>
    <mergeCell ref="C148:C151"/>
    <mergeCell ref="D148:D151"/>
    <mergeCell ref="E148:E151"/>
    <mergeCell ref="F148:F151"/>
    <mergeCell ref="M148:M151"/>
    <mergeCell ref="M140:M145"/>
    <mergeCell ref="N140:N145"/>
    <mergeCell ref="Q140:Q145"/>
    <mergeCell ref="R140:R145"/>
    <mergeCell ref="S140:S145"/>
    <mergeCell ref="T140:T145"/>
    <mergeCell ref="R158:R163"/>
    <mergeCell ref="S158:S163"/>
    <mergeCell ref="T158:T163"/>
    <mergeCell ref="U158:U163"/>
    <mergeCell ref="A164:A169"/>
    <mergeCell ref="B164:B169"/>
    <mergeCell ref="C164:C169"/>
    <mergeCell ref="D164:D169"/>
    <mergeCell ref="E164:E169"/>
    <mergeCell ref="F164:F169"/>
    <mergeCell ref="U152:U157"/>
    <mergeCell ref="A158:A163"/>
    <mergeCell ref="B158:B163"/>
    <mergeCell ref="C158:C163"/>
    <mergeCell ref="D158:D163"/>
    <mergeCell ref="E158:E163"/>
    <mergeCell ref="F158:F163"/>
    <mergeCell ref="M158:M163"/>
    <mergeCell ref="N158:N163"/>
    <mergeCell ref="Q158:Q163"/>
    <mergeCell ref="M152:M157"/>
    <mergeCell ref="N152:N157"/>
    <mergeCell ref="Q152:Q157"/>
    <mergeCell ref="R152:R157"/>
    <mergeCell ref="S152:S157"/>
    <mergeCell ref="T152:T157"/>
    <mergeCell ref="A152:A157"/>
    <mergeCell ref="B152:B157"/>
    <mergeCell ref="C152:C157"/>
    <mergeCell ref="D152:D157"/>
    <mergeCell ref="E152:E157"/>
    <mergeCell ref="F152:F157"/>
    <mergeCell ref="R170:R175"/>
    <mergeCell ref="S170:S175"/>
    <mergeCell ref="T170:T175"/>
    <mergeCell ref="U170:U175"/>
    <mergeCell ref="A176:A181"/>
    <mergeCell ref="B176:B181"/>
    <mergeCell ref="C176:C181"/>
    <mergeCell ref="D176:D181"/>
    <mergeCell ref="E176:E181"/>
    <mergeCell ref="F176:F181"/>
    <mergeCell ref="U164:U169"/>
    <mergeCell ref="A170:A175"/>
    <mergeCell ref="B170:B175"/>
    <mergeCell ref="C170:C175"/>
    <mergeCell ref="D170:D175"/>
    <mergeCell ref="E170:E175"/>
    <mergeCell ref="F170:F175"/>
    <mergeCell ref="M170:M175"/>
    <mergeCell ref="N170:N175"/>
    <mergeCell ref="Q170:Q175"/>
    <mergeCell ref="M164:M169"/>
    <mergeCell ref="N164:N169"/>
    <mergeCell ref="Q164:Q169"/>
    <mergeCell ref="R164:R169"/>
    <mergeCell ref="S164:S169"/>
    <mergeCell ref="T164:T169"/>
    <mergeCell ref="N184:N187"/>
    <mergeCell ref="Q184:Q187"/>
    <mergeCell ref="R184:R187"/>
    <mergeCell ref="S184:S187"/>
    <mergeCell ref="T184:T187"/>
    <mergeCell ref="U184:U187"/>
    <mergeCell ref="U176:U181"/>
    <mergeCell ref="A182:R182"/>
    <mergeCell ref="A183:U183"/>
    <mergeCell ref="A184:A187"/>
    <mergeCell ref="B184:B187"/>
    <mergeCell ref="C184:C187"/>
    <mergeCell ref="D184:D187"/>
    <mergeCell ref="E184:E187"/>
    <mergeCell ref="F184:F187"/>
    <mergeCell ref="M184:M187"/>
    <mergeCell ref="M176:M181"/>
    <mergeCell ref="N176:N181"/>
    <mergeCell ref="Q176:Q181"/>
    <mergeCell ref="R176:R181"/>
    <mergeCell ref="S176:S181"/>
    <mergeCell ref="T176:T181"/>
    <mergeCell ref="R194:R199"/>
    <mergeCell ref="S194:S199"/>
    <mergeCell ref="T194:T199"/>
    <mergeCell ref="U194:U199"/>
    <mergeCell ref="A200:A205"/>
    <mergeCell ref="B200:B205"/>
    <mergeCell ref="C200:C205"/>
    <mergeCell ref="D200:D205"/>
    <mergeCell ref="E200:E205"/>
    <mergeCell ref="F200:F205"/>
    <mergeCell ref="U188:U193"/>
    <mergeCell ref="A194:A199"/>
    <mergeCell ref="B194:B199"/>
    <mergeCell ref="C194:C199"/>
    <mergeCell ref="D194:D199"/>
    <mergeCell ref="E194:E199"/>
    <mergeCell ref="F194:F199"/>
    <mergeCell ref="M194:M199"/>
    <mergeCell ref="N194:N199"/>
    <mergeCell ref="Q194:Q199"/>
    <mergeCell ref="M188:M193"/>
    <mergeCell ref="N188:N193"/>
    <mergeCell ref="Q188:Q193"/>
    <mergeCell ref="R188:R193"/>
    <mergeCell ref="S188:S193"/>
    <mergeCell ref="T188:T193"/>
    <mergeCell ref="A188:A193"/>
    <mergeCell ref="B188:B193"/>
    <mergeCell ref="C188:C193"/>
    <mergeCell ref="D188:D193"/>
    <mergeCell ref="E188:E193"/>
    <mergeCell ref="F188:F193"/>
    <mergeCell ref="R206:R211"/>
    <mergeCell ref="S206:S211"/>
    <mergeCell ref="T206:T211"/>
    <mergeCell ref="U206:U211"/>
    <mergeCell ref="A212:A217"/>
    <mergeCell ref="B212:B217"/>
    <mergeCell ref="C212:C217"/>
    <mergeCell ref="D212:D217"/>
    <mergeCell ref="E212:E217"/>
    <mergeCell ref="F212:F217"/>
    <mergeCell ref="U200:U205"/>
    <mergeCell ref="A206:A211"/>
    <mergeCell ref="B206:B211"/>
    <mergeCell ref="C206:C211"/>
    <mergeCell ref="D206:D211"/>
    <mergeCell ref="E206:E211"/>
    <mergeCell ref="F206:F211"/>
    <mergeCell ref="M206:M211"/>
    <mergeCell ref="N206:N211"/>
    <mergeCell ref="Q206:Q211"/>
    <mergeCell ref="M200:M205"/>
    <mergeCell ref="N200:N205"/>
    <mergeCell ref="Q200:Q205"/>
    <mergeCell ref="R200:R205"/>
    <mergeCell ref="S200:S205"/>
    <mergeCell ref="T200:T205"/>
    <mergeCell ref="N220:N223"/>
    <mergeCell ref="Q220:Q223"/>
    <mergeCell ref="R220:R223"/>
    <mergeCell ref="S220:S223"/>
    <mergeCell ref="T220:T223"/>
    <mergeCell ref="U220:U223"/>
    <mergeCell ref="U212:U217"/>
    <mergeCell ref="A218:R218"/>
    <mergeCell ref="A219:U219"/>
    <mergeCell ref="A220:A223"/>
    <mergeCell ref="B220:B223"/>
    <mergeCell ref="C220:C223"/>
    <mergeCell ref="D220:D223"/>
    <mergeCell ref="E220:E223"/>
    <mergeCell ref="F220:F223"/>
    <mergeCell ref="M220:M223"/>
    <mergeCell ref="M212:M217"/>
    <mergeCell ref="N212:N217"/>
    <mergeCell ref="Q212:Q217"/>
    <mergeCell ref="R212:R217"/>
    <mergeCell ref="S212:S217"/>
    <mergeCell ref="T212:T217"/>
    <mergeCell ref="R230:R235"/>
    <mergeCell ref="S230:S235"/>
    <mergeCell ref="T230:T235"/>
    <mergeCell ref="U230:U235"/>
    <mergeCell ref="A236:A241"/>
    <mergeCell ref="B236:B241"/>
    <mergeCell ref="C236:C241"/>
    <mergeCell ref="D236:D241"/>
    <mergeCell ref="E236:E241"/>
    <mergeCell ref="F236:F241"/>
    <mergeCell ref="U224:U229"/>
    <mergeCell ref="A230:A235"/>
    <mergeCell ref="B230:B235"/>
    <mergeCell ref="C230:C235"/>
    <mergeCell ref="D230:D235"/>
    <mergeCell ref="E230:E235"/>
    <mergeCell ref="F230:F235"/>
    <mergeCell ref="M230:M235"/>
    <mergeCell ref="N230:N235"/>
    <mergeCell ref="Q230:Q235"/>
    <mergeCell ref="M224:M229"/>
    <mergeCell ref="N224:N229"/>
    <mergeCell ref="Q224:Q229"/>
    <mergeCell ref="R224:R229"/>
    <mergeCell ref="S224:S229"/>
    <mergeCell ref="T224:T229"/>
    <mergeCell ref="A224:A229"/>
    <mergeCell ref="B224:B229"/>
    <mergeCell ref="C224:C229"/>
    <mergeCell ref="D224:D229"/>
    <mergeCell ref="E224:E229"/>
    <mergeCell ref="F224:F229"/>
    <mergeCell ref="R242:R247"/>
    <mergeCell ref="S242:S247"/>
    <mergeCell ref="T242:T247"/>
    <mergeCell ref="U242:U247"/>
    <mergeCell ref="A248:A253"/>
    <mergeCell ref="B248:B253"/>
    <mergeCell ref="C248:C253"/>
    <mergeCell ref="D248:D253"/>
    <mergeCell ref="E248:E253"/>
    <mergeCell ref="F248:F253"/>
    <mergeCell ref="U236:U241"/>
    <mergeCell ref="A242:A247"/>
    <mergeCell ref="B242:B247"/>
    <mergeCell ref="C242:C247"/>
    <mergeCell ref="D242:D247"/>
    <mergeCell ref="E242:E247"/>
    <mergeCell ref="F242:F247"/>
    <mergeCell ref="M242:M247"/>
    <mergeCell ref="N242:N247"/>
    <mergeCell ref="Q242:Q247"/>
    <mergeCell ref="M236:M241"/>
    <mergeCell ref="N236:N241"/>
    <mergeCell ref="Q236:Q241"/>
    <mergeCell ref="R236:R241"/>
    <mergeCell ref="S236:S241"/>
    <mergeCell ref="T236:T241"/>
    <mergeCell ref="N256:N259"/>
    <mergeCell ref="Q256:Q259"/>
    <mergeCell ref="R256:R259"/>
    <mergeCell ref="S256:S259"/>
    <mergeCell ref="T256:T259"/>
    <mergeCell ref="U256:U259"/>
    <mergeCell ref="U248:U253"/>
    <mergeCell ref="A254:R254"/>
    <mergeCell ref="A255:U255"/>
    <mergeCell ref="A256:A259"/>
    <mergeCell ref="B256:B259"/>
    <mergeCell ref="C256:C259"/>
    <mergeCell ref="D256:D259"/>
    <mergeCell ref="E256:E259"/>
    <mergeCell ref="F256:F259"/>
    <mergeCell ref="M256:M259"/>
    <mergeCell ref="M248:M253"/>
    <mergeCell ref="N248:N253"/>
    <mergeCell ref="Q248:Q253"/>
    <mergeCell ref="R248:R253"/>
    <mergeCell ref="S248:S253"/>
    <mergeCell ref="T248:T253"/>
    <mergeCell ref="R266:R271"/>
    <mergeCell ref="S266:S271"/>
    <mergeCell ref="T266:T271"/>
    <mergeCell ref="U266:U271"/>
    <mergeCell ref="A272:A277"/>
    <mergeCell ref="B272:B277"/>
    <mergeCell ref="C272:C277"/>
    <mergeCell ref="D272:D277"/>
    <mergeCell ref="E272:E277"/>
    <mergeCell ref="F272:F277"/>
    <mergeCell ref="U260:U265"/>
    <mergeCell ref="A266:A271"/>
    <mergeCell ref="B266:B271"/>
    <mergeCell ref="C266:C271"/>
    <mergeCell ref="D266:D271"/>
    <mergeCell ref="E266:E271"/>
    <mergeCell ref="F266:F271"/>
    <mergeCell ref="M266:M271"/>
    <mergeCell ref="N266:N271"/>
    <mergeCell ref="Q266:Q271"/>
    <mergeCell ref="M260:M265"/>
    <mergeCell ref="N260:N265"/>
    <mergeCell ref="Q260:Q265"/>
    <mergeCell ref="R260:R265"/>
    <mergeCell ref="S260:S265"/>
    <mergeCell ref="T260:T265"/>
    <mergeCell ref="A260:A265"/>
    <mergeCell ref="B260:B265"/>
    <mergeCell ref="C260:C265"/>
    <mergeCell ref="D260:D265"/>
    <mergeCell ref="E260:E265"/>
    <mergeCell ref="F260:F265"/>
    <mergeCell ref="R278:R283"/>
    <mergeCell ref="S278:S283"/>
    <mergeCell ref="T278:T283"/>
    <mergeCell ref="U278:U283"/>
    <mergeCell ref="A284:A289"/>
    <mergeCell ref="B284:B289"/>
    <mergeCell ref="C284:C289"/>
    <mergeCell ref="D284:D289"/>
    <mergeCell ref="E284:E289"/>
    <mergeCell ref="F284:F289"/>
    <mergeCell ref="U272:U277"/>
    <mergeCell ref="A278:A283"/>
    <mergeCell ref="B278:B283"/>
    <mergeCell ref="C278:C283"/>
    <mergeCell ref="D278:D283"/>
    <mergeCell ref="E278:E283"/>
    <mergeCell ref="F278:F283"/>
    <mergeCell ref="M278:M283"/>
    <mergeCell ref="N278:N283"/>
    <mergeCell ref="Q278:Q283"/>
    <mergeCell ref="M272:M277"/>
    <mergeCell ref="N272:N277"/>
    <mergeCell ref="Q272:Q277"/>
    <mergeCell ref="R272:R277"/>
    <mergeCell ref="S272:S277"/>
    <mergeCell ref="T272:T277"/>
    <mergeCell ref="N292:N295"/>
    <mergeCell ref="Q292:Q295"/>
    <mergeCell ref="R292:R295"/>
    <mergeCell ref="S292:S295"/>
    <mergeCell ref="T292:T295"/>
    <mergeCell ref="U292:U295"/>
    <mergeCell ref="U284:U289"/>
    <mergeCell ref="A290:R290"/>
    <mergeCell ref="A291:U291"/>
    <mergeCell ref="A292:A295"/>
    <mergeCell ref="B292:B295"/>
    <mergeCell ref="C292:C295"/>
    <mergeCell ref="D292:D295"/>
    <mergeCell ref="E292:E295"/>
    <mergeCell ref="F292:F295"/>
    <mergeCell ref="M292:M295"/>
    <mergeCell ref="M284:M289"/>
    <mergeCell ref="N284:N289"/>
    <mergeCell ref="Q284:Q289"/>
    <mergeCell ref="R284:R289"/>
    <mergeCell ref="S284:S289"/>
    <mergeCell ref="T284:T289"/>
    <mergeCell ref="R302:R307"/>
    <mergeCell ref="S302:S307"/>
    <mergeCell ref="T302:T307"/>
    <mergeCell ref="U302:U307"/>
    <mergeCell ref="A308:A313"/>
    <mergeCell ref="B308:B313"/>
    <mergeCell ref="C308:C313"/>
    <mergeCell ref="D308:D313"/>
    <mergeCell ref="E308:E313"/>
    <mergeCell ref="F308:F313"/>
    <mergeCell ref="U296:U301"/>
    <mergeCell ref="A302:A307"/>
    <mergeCell ref="B302:B307"/>
    <mergeCell ref="C302:C307"/>
    <mergeCell ref="D302:D307"/>
    <mergeCell ref="E302:E307"/>
    <mergeCell ref="F302:F307"/>
    <mergeCell ref="M302:M307"/>
    <mergeCell ref="N302:N307"/>
    <mergeCell ref="Q302:Q307"/>
    <mergeCell ref="M296:M301"/>
    <mergeCell ref="N296:N301"/>
    <mergeCell ref="Q296:Q301"/>
    <mergeCell ref="R296:R301"/>
    <mergeCell ref="S296:S301"/>
    <mergeCell ref="T296:T301"/>
    <mergeCell ref="A296:A301"/>
    <mergeCell ref="B296:B301"/>
    <mergeCell ref="C296:C301"/>
    <mergeCell ref="D296:D301"/>
    <mergeCell ref="E296:E301"/>
    <mergeCell ref="F296:F301"/>
    <mergeCell ref="R314:R319"/>
    <mergeCell ref="S314:S319"/>
    <mergeCell ref="T314:T319"/>
    <mergeCell ref="U314:U319"/>
    <mergeCell ref="A320:A325"/>
    <mergeCell ref="B320:B325"/>
    <mergeCell ref="C320:C325"/>
    <mergeCell ref="D320:D325"/>
    <mergeCell ref="E320:E325"/>
    <mergeCell ref="F320:F325"/>
    <mergeCell ref="U308:U313"/>
    <mergeCell ref="A314:A319"/>
    <mergeCell ref="B314:B319"/>
    <mergeCell ref="C314:C319"/>
    <mergeCell ref="D314:D319"/>
    <mergeCell ref="E314:E319"/>
    <mergeCell ref="F314:F319"/>
    <mergeCell ref="M314:M319"/>
    <mergeCell ref="N314:N319"/>
    <mergeCell ref="Q314:Q319"/>
    <mergeCell ref="M308:M313"/>
    <mergeCell ref="N308:N313"/>
    <mergeCell ref="Q308:Q313"/>
    <mergeCell ref="R308:R313"/>
    <mergeCell ref="S308:S313"/>
    <mergeCell ref="T308:T313"/>
    <mergeCell ref="N328:N331"/>
    <mergeCell ref="Q328:Q331"/>
    <mergeCell ref="R328:R331"/>
    <mergeCell ref="S328:S331"/>
    <mergeCell ref="T328:T331"/>
    <mergeCell ref="U328:U331"/>
    <mergeCell ref="U320:U325"/>
    <mergeCell ref="A326:R326"/>
    <mergeCell ref="A327:U327"/>
    <mergeCell ref="A328:A331"/>
    <mergeCell ref="B328:B331"/>
    <mergeCell ref="C328:C331"/>
    <mergeCell ref="D328:D331"/>
    <mergeCell ref="E328:E331"/>
    <mergeCell ref="F328:F331"/>
    <mergeCell ref="M328:M331"/>
    <mergeCell ref="M320:M325"/>
    <mergeCell ref="N320:N325"/>
    <mergeCell ref="Q320:Q325"/>
    <mergeCell ref="R320:R325"/>
    <mergeCell ref="S320:S325"/>
    <mergeCell ref="T320:T325"/>
    <mergeCell ref="R338:R343"/>
    <mergeCell ref="S338:S343"/>
    <mergeCell ref="T338:T343"/>
    <mergeCell ref="U338:U343"/>
    <mergeCell ref="A344:A349"/>
    <mergeCell ref="B344:B349"/>
    <mergeCell ref="C344:C349"/>
    <mergeCell ref="D344:D349"/>
    <mergeCell ref="E344:E349"/>
    <mergeCell ref="F344:F349"/>
    <mergeCell ref="U332:U337"/>
    <mergeCell ref="A338:A343"/>
    <mergeCell ref="B338:B343"/>
    <mergeCell ref="C338:C343"/>
    <mergeCell ref="D338:D343"/>
    <mergeCell ref="E338:E343"/>
    <mergeCell ref="F338:F343"/>
    <mergeCell ref="M338:M343"/>
    <mergeCell ref="N338:N343"/>
    <mergeCell ref="Q338:Q343"/>
    <mergeCell ref="M332:M337"/>
    <mergeCell ref="N332:N337"/>
    <mergeCell ref="Q332:Q337"/>
    <mergeCell ref="R332:R337"/>
    <mergeCell ref="S332:S337"/>
    <mergeCell ref="T332:T337"/>
    <mergeCell ref="A332:A337"/>
    <mergeCell ref="B332:B337"/>
    <mergeCell ref="C332:C337"/>
    <mergeCell ref="D332:D337"/>
    <mergeCell ref="E332:E337"/>
    <mergeCell ref="F332:F337"/>
    <mergeCell ref="R350:R355"/>
    <mergeCell ref="S350:S355"/>
    <mergeCell ref="T350:T355"/>
    <mergeCell ref="U350:U355"/>
    <mergeCell ref="A356:A361"/>
    <mergeCell ref="B356:B361"/>
    <mergeCell ref="C356:C361"/>
    <mergeCell ref="D356:D361"/>
    <mergeCell ref="E356:E361"/>
    <mergeCell ref="F356:F361"/>
    <mergeCell ref="U344:U349"/>
    <mergeCell ref="A350:A355"/>
    <mergeCell ref="B350:B355"/>
    <mergeCell ref="C350:C355"/>
    <mergeCell ref="D350:D355"/>
    <mergeCell ref="E350:E355"/>
    <mergeCell ref="F350:F355"/>
    <mergeCell ref="M350:M355"/>
    <mergeCell ref="N350:N355"/>
    <mergeCell ref="Q350:Q355"/>
    <mergeCell ref="M344:M349"/>
    <mergeCell ref="N344:N349"/>
    <mergeCell ref="Q344:Q349"/>
    <mergeCell ref="R344:R349"/>
    <mergeCell ref="S344:S349"/>
    <mergeCell ref="T344:T349"/>
    <mergeCell ref="N364:N367"/>
    <mergeCell ref="Q364:Q367"/>
    <mergeCell ref="R364:R367"/>
    <mergeCell ref="S364:S367"/>
    <mergeCell ref="T364:T367"/>
    <mergeCell ref="U364:U367"/>
    <mergeCell ref="U356:U361"/>
    <mergeCell ref="A362:R362"/>
    <mergeCell ref="A363:U363"/>
    <mergeCell ref="A364:A367"/>
    <mergeCell ref="B364:B367"/>
    <mergeCell ref="C364:C367"/>
    <mergeCell ref="D364:D367"/>
    <mergeCell ref="E364:E367"/>
    <mergeCell ref="F364:F367"/>
    <mergeCell ref="M364:M367"/>
    <mergeCell ref="M356:M361"/>
    <mergeCell ref="N356:N361"/>
    <mergeCell ref="Q356:Q361"/>
    <mergeCell ref="R356:R361"/>
    <mergeCell ref="S356:S361"/>
    <mergeCell ref="T356:T361"/>
    <mergeCell ref="R374:R379"/>
    <mergeCell ref="S374:S379"/>
    <mergeCell ref="T374:T379"/>
    <mergeCell ref="U374:U379"/>
    <mergeCell ref="A380:A385"/>
    <mergeCell ref="B380:B385"/>
    <mergeCell ref="C380:C385"/>
    <mergeCell ref="D380:D385"/>
    <mergeCell ref="E380:E385"/>
    <mergeCell ref="F380:F385"/>
    <mergeCell ref="U368:U373"/>
    <mergeCell ref="A374:A379"/>
    <mergeCell ref="B374:B379"/>
    <mergeCell ref="C374:C379"/>
    <mergeCell ref="D374:D379"/>
    <mergeCell ref="E374:E379"/>
    <mergeCell ref="F374:F379"/>
    <mergeCell ref="M374:M379"/>
    <mergeCell ref="N374:N379"/>
    <mergeCell ref="Q374:Q379"/>
    <mergeCell ref="M368:M373"/>
    <mergeCell ref="N368:N373"/>
    <mergeCell ref="Q368:Q373"/>
    <mergeCell ref="R368:R373"/>
    <mergeCell ref="S368:S373"/>
    <mergeCell ref="T368:T373"/>
    <mergeCell ref="A368:A373"/>
    <mergeCell ref="B368:B373"/>
    <mergeCell ref="C368:C373"/>
    <mergeCell ref="D368:D373"/>
    <mergeCell ref="E368:E373"/>
    <mergeCell ref="F368:F373"/>
    <mergeCell ref="R386:R391"/>
    <mergeCell ref="S386:S391"/>
    <mergeCell ref="T386:T391"/>
    <mergeCell ref="U386:U391"/>
    <mergeCell ref="A392:A397"/>
    <mergeCell ref="B392:B397"/>
    <mergeCell ref="C392:C397"/>
    <mergeCell ref="D392:D397"/>
    <mergeCell ref="E392:E397"/>
    <mergeCell ref="F392:F397"/>
    <mergeCell ref="U380:U385"/>
    <mergeCell ref="A386:A391"/>
    <mergeCell ref="B386:B391"/>
    <mergeCell ref="C386:C391"/>
    <mergeCell ref="D386:D391"/>
    <mergeCell ref="E386:E391"/>
    <mergeCell ref="F386:F391"/>
    <mergeCell ref="M386:M391"/>
    <mergeCell ref="N386:N391"/>
    <mergeCell ref="Q386:Q391"/>
    <mergeCell ref="M380:M385"/>
    <mergeCell ref="N380:N385"/>
    <mergeCell ref="Q380:Q385"/>
    <mergeCell ref="R380:R385"/>
    <mergeCell ref="S380:S385"/>
    <mergeCell ref="T380:T385"/>
    <mergeCell ref="N400:N403"/>
    <mergeCell ref="Q400:Q403"/>
    <mergeCell ref="R400:R403"/>
    <mergeCell ref="S400:S403"/>
    <mergeCell ref="T400:T403"/>
    <mergeCell ref="U400:U403"/>
    <mergeCell ref="U392:U397"/>
    <mergeCell ref="A398:R398"/>
    <mergeCell ref="A399:U399"/>
    <mergeCell ref="A400:A403"/>
    <mergeCell ref="B400:B403"/>
    <mergeCell ref="C400:C403"/>
    <mergeCell ref="D400:D403"/>
    <mergeCell ref="E400:E403"/>
    <mergeCell ref="F400:F403"/>
    <mergeCell ref="M400:M403"/>
    <mergeCell ref="M392:M397"/>
    <mergeCell ref="N392:N397"/>
    <mergeCell ref="Q392:Q397"/>
    <mergeCell ref="R392:R397"/>
    <mergeCell ref="S392:S397"/>
    <mergeCell ref="T392:T397"/>
    <mergeCell ref="R410:R415"/>
    <mergeCell ref="S410:S415"/>
    <mergeCell ref="T410:T415"/>
    <mergeCell ref="U410:U415"/>
    <mergeCell ref="A416:A421"/>
    <mergeCell ref="B416:B421"/>
    <mergeCell ref="C416:C421"/>
    <mergeCell ref="D416:D421"/>
    <mergeCell ref="E416:E421"/>
    <mergeCell ref="F416:F421"/>
    <mergeCell ref="U404:U409"/>
    <mergeCell ref="A410:A415"/>
    <mergeCell ref="B410:B415"/>
    <mergeCell ref="C410:C415"/>
    <mergeCell ref="D410:D415"/>
    <mergeCell ref="E410:E415"/>
    <mergeCell ref="F410:F415"/>
    <mergeCell ref="M410:M415"/>
    <mergeCell ref="N410:N415"/>
    <mergeCell ref="Q410:Q415"/>
    <mergeCell ref="M404:M409"/>
    <mergeCell ref="N404:N409"/>
    <mergeCell ref="Q404:Q409"/>
    <mergeCell ref="R404:R409"/>
    <mergeCell ref="S404:S409"/>
    <mergeCell ref="T404:T409"/>
    <mergeCell ref="A404:A409"/>
    <mergeCell ref="B404:B409"/>
    <mergeCell ref="C404:C409"/>
    <mergeCell ref="D404:D409"/>
    <mergeCell ref="E404:E409"/>
    <mergeCell ref="F404:F409"/>
    <mergeCell ref="R422:R427"/>
    <mergeCell ref="S422:S427"/>
    <mergeCell ref="T422:T427"/>
    <mergeCell ref="U422:U427"/>
    <mergeCell ref="A428:A433"/>
    <mergeCell ref="B428:B433"/>
    <mergeCell ref="C428:C433"/>
    <mergeCell ref="D428:D433"/>
    <mergeCell ref="E428:E433"/>
    <mergeCell ref="F428:F433"/>
    <mergeCell ref="U416:U421"/>
    <mergeCell ref="A422:A427"/>
    <mergeCell ref="B422:B427"/>
    <mergeCell ref="C422:C427"/>
    <mergeCell ref="D422:D427"/>
    <mergeCell ref="E422:E427"/>
    <mergeCell ref="F422:F427"/>
    <mergeCell ref="M422:M427"/>
    <mergeCell ref="N422:N427"/>
    <mergeCell ref="Q422:Q427"/>
    <mergeCell ref="M416:M421"/>
    <mergeCell ref="N416:N421"/>
    <mergeCell ref="Q416:Q421"/>
    <mergeCell ref="R416:R421"/>
    <mergeCell ref="S416:S421"/>
    <mergeCell ref="T416:T421"/>
    <mergeCell ref="N436:N439"/>
    <mergeCell ref="Q436:Q439"/>
    <mergeCell ref="R436:R439"/>
    <mergeCell ref="S436:S439"/>
    <mergeCell ref="T436:T439"/>
    <mergeCell ref="U436:U439"/>
    <mergeCell ref="U428:U433"/>
    <mergeCell ref="A434:R434"/>
    <mergeCell ref="A435:U435"/>
    <mergeCell ref="A436:A439"/>
    <mergeCell ref="B436:B439"/>
    <mergeCell ref="C436:C439"/>
    <mergeCell ref="D436:D439"/>
    <mergeCell ref="E436:E439"/>
    <mergeCell ref="F436:F439"/>
    <mergeCell ref="M436:M439"/>
    <mergeCell ref="M428:M433"/>
    <mergeCell ref="N428:N433"/>
    <mergeCell ref="Q428:Q433"/>
    <mergeCell ref="R428:R433"/>
    <mergeCell ref="S428:S433"/>
    <mergeCell ref="T428:T433"/>
    <mergeCell ref="R446:R451"/>
    <mergeCell ref="S446:S451"/>
    <mergeCell ref="T446:T451"/>
    <mergeCell ref="U446:U451"/>
    <mergeCell ref="A452:A457"/>
    <mergeCell ref="B452:B457"/>
    <mergeCell ref="C452:C457"/>
    <mergeCell ref="D452:D457"/>
    <mergeCell ref="E452:E457"/>
    <mergeCell ref="F452:F457"/>
    <mergeCell ref="U440:U445"/>
    <mergeCell ref="A446:A451"/>
    <mergeCell ref="B446:B451"/>
    <mergeCell ref="C446:C451"/>
    <mergeCell ref="D446:D451"/>
    <mergeCell ref="E446:E451"/>
    <mergeCell ref="F446:F451"/>
    <mergeCell ref="M446:M451"/>
    <mergeCell ref="N446:N451"/>
    <mergeCell ref="Q446:Q451"/>
    <mergeCell ref="M440:M445"/>
    <mergeCell ref="N440:N445"/>
    <mergeCell ref="Q440:Q445"/>
    <mergeCell ref="R440:R445"/>
    <mergeCell ref="S440:S445"/>
    <mergeCell ref="T440:T445"/>
    <mergeCell ref="A440:A445"/>
    <mergeCell ref="B440:B445"/>
    <mergeCell ref="C440:C445"/>
    <mergeCell ref="D440:D445"/>
    <mergeCell ref="E440:E445"/>
    <mergeCell ref="F440:F445"/>
    <mergeCell ref="R458:R463"/>
    <mergeCell ref="S458:S463"/>
    <mergeCell ref="T458:T463"/>
    <mergeCell ref="U458:U463"/>
    <mergeCell ref="A464:A469"/>
    <mergeCell ref="B464:B469"/>
    <mergeCell ref="C464:C469"/>
    <mergeCell ref="D464:D469"/>
    <mergeCell ref="E464:E469"/>
    <mergeCell ref="F464:F469"/>
    <mergeCell ref="U452:U457"/>
    <mergeCell ref="A458:A463"/>
    <mergeCell ref="B458:B463"/>
    <mergeCell ref="C458:C463"/>
    <mergeCell ref="D458:D463"/>
    <mergeCell ref="E458:E463"/>
    <mergeCell ref="F458:F463"/>
    <mergeCell ref="M458:M463"/>
    <mergeCell ref="N458:N463"/>
    <mergeCell ref="Q458:Q463"/>
    <mergeCell ref="M452:M457"/>
    <mergeCell ref="N452:N457"/>
    <mergeCell ref="Q452:Q457"/>
    <mergeCell ref="R452:R457"/>
    <mergeCell ref="S452:S457"/>
    <mergeCell ref="T452:T457"/>
    <mergeCell ref="N472:N475"/>
    <mergeCell ref="Q472:Q475"/>
    <mergeCell ref="R472:R475"/>
    <mergeCell ref="S472:S475"/>
    <mergeCell ref="T472:T475"/>
    <mergeCell ref="U472:U475"/>
    <mergeCell ref="U464:U469"/>
    <mergeCell ref="A470:R470"/>
    <mergeCell ref="A471:U471"/>
    <mergeCell ref="A472:A475"/>
    <mergeCell ref="B472:B475"/>
    <mergeCell ref="C472:C475"/>
    <mergeCell ref="D472:D475"/>
    <mergeCell ref="E472:E475"/>
    <mergeCell ref="F472:F475"/>
    <mergeCell ref="M472:M475"/>
    <mergeCell ref="M464:M469"/>
    <mergeCell ref="N464:N469"/>
    <mergeCell ref="Q464:Q469"/>
    <mergeCell ref="R464:R469"/>
    <mergeCell ref="S464:S469"/>
    <mergeCell ref="T464:T469"/>
    <mergeCell ref="R482:R487"/>
    <mergeCell ref="S482:S487"/>
    <mergeCell ref="T482:T487"/>
    <mergeCell ref="U482:U487"/>
    <mergeCell ref="A488:A493"/>
    <mergeCell ref="B488:B493"/>
    <mergeCell ref="C488:C493"/>
    <mergeCell ref="D488:D493"/>
    <mergeCell ref="E488:E493"/>
    <mergeCell ref="F488:F493"/>
    <mergeCell ref="U476:U481"/>
    <mergeCell ref="A482:A487"/>
    <mergeCell ref="B482:B487"/>
    <mergeCell ref="C482:C487"/>
    <mergeCell ref="D482:D487"/>
    <mergeCell ref="E482:E487"/>
    <mergeCell ref="F482:F487"/>
    <mergeCell ref="M482:M487"/>
    <mergeCell ref="N482:N487"/>
    <mergeCell ref="Q482:Q487"/>
    <mergeCell ref="M476:M481"/>
    <mergeCell ref="N476:N481"/>
    <mergeCell ref="Q476:Q481"/>
    <mergeCell ref="R476:R481"/>
    <mergeCell ref="S476:S481"/>
    <mergeCell ref="T476:T481"/>
    <mergeCell ref="A476:A481"/>
    <mergeCell ref="B476:B481"/>
    <mergeCell ref="C476:C481"/>
    <mergeCell ref="D476:D481"/>
    <mergeCell ref="E476:E481"/>
    <mergeCell ref="F476:F481"/>
    <mergeCell ref="R494:R499"/>
    <mergeCell ref="S494:S499"/>
    <mergeCell ref="T494:T499"/>
    <mergeCell ref="U494:U499"/>
    <mergeCell ref="A500:A505"/>
    <mergeCell ref="B500:B505"/>
    <mergeCell ref="C500:C505"/>
    <mergeCell ref="D500:D505"/>
    <mergeCell ref="E500:E505"/>
    <mergeCell ref="F500:F505"/>
    <mergeCell ref="U488:U493"/>
    <mergeCell ref="A494:A499"/>
    <mergeCell ref="B494:B499"/>
    <mergeCell ref="C494:C499"/>
    <mergeCell ref="D494:D499"/>
    <mergeCell ref="E494:E499"/>
    <mergeCell ref="F494:F499"/>
    <mergeCell ref="M494:M499"/>
    <mergeCell ref="N494:N499"/>
    <mergeCell ref="Q494:Q499"/>
    <mergeCell ref="M488:M493"/>
    <mergeCell ref="N488:N493"/>
    <mergeCell ref="Q488:Q493"/>
    <mergeCell ref="R488:R493"/>
    <mergeCell ref="S488:S493"/>
    <mergeCell ref="T488:T493"/>
    <mergeCell ref="N508:N511"/>
    <mergeCell ref="Q508:Q511"/>
    <mergeCell ref="R508:R511"/>
    <mergeCell ref="S508:S511"/>
    <mergeCell ref="T508:T511"/>
    <mergeCell ref="U508:U511"/>
    <mergeCell ref="U500:U505"/>
    <mergeCell ref="A506:R506"/>
    <mergeCell ref="A507:U507"/>
    <mergeCell ref="A508:A511"/>
    <mergeCell ref="B508:B511"/>
    <mergeCell ref="C508:C511"/>
    <mergeCell ref="D508:D511"/>
    <mergeCell ref="E508:E511"/>
    <mergeCell ref="F508:F511"/>
    <mergeCell ref="M508:M511"/>
    <mergeCell ref="M500:M505"/>
    <mergeCell ref="N500:N505"/>
    <mergeCell ref="Q500:Q505"/>
    <mergeCell ref="R500:R505"/>
    <mergeCell ref="S500:S505"/>
    <mergeCell ref="T500:T505"/>
    <mergeCell ref="R518:R523"/>
    <mergeCell ref="S518:S523"/>
    <mergeCell ref="T518:T523"/>
    <mergeCell ref="U518:U523"/>
    <mergeCell ref="A524:A529"/>
    <mergeCell ref="B524:B529"/>
    <mergeCell ref="C524:C529"/>
    <mergeCell ref="D524:D529"/>
    <mergeCell ref="E524:E529"/>
    <mergeCell ref="F524:F529"/>
    <mergeCell ref="U512:U517"/>
    <mergeCell ref="A518:A523"/>
    <mergeCell ref="B518:B523"/>
    <mergeCell ref="C518:C523"/>
    <mergeCell ref="D518:D523"/>
    <mergeCell ref="E518:E523"/>
    <mergeCell ref="F518:F523"/>
    <mergeCell ref="M518:M523"/>
    <mergeCell ref="N518:N523"/>
    <mergeCell ref="Q518:Q523"/>
    <mergeCell ref="M512:M517"/>
    <mergeCell ref="N512:N517"/>
    <mergeCell ref="Q512:Q517"/>
    <mergeCell ref="R512:R517"/>
    <mergeCell ref="S512:S517"/>
    <mergeCell ref="T512:T517"/>
    <mergeCell ref="A512:A517"/>
    <mergeCell ref="B512:B517"/>
    <mergeCell ref="C512:C517"/>
    <mergeCell ref="D512:D517"/>
    <mergeCell ref="E512:E517"/>
    <mergeCell ref="F512:F517"/>
    <mergeCell ref="R530:R535"/>
    <mergeCell ref="S530:S535"/>
    <mergeCell ref="T530:T535"/>
    <mergeCell ref="U530:U535"/>
    <mergeCell ref="A536:A541"/>
    <mergeCell ref="B536:B541"/>
    <mergeCell ref="C536:C541"/>
    <mergeCell ref="D536:D541"/>
    <mergeCell ref="E536:E541"/>
    <mergeCell ref="F536:F541"/>
    <mergeCell ref="U524:U529"/>
    <mergeCell ref="A530:A535"/>
    <mergeCell ref="B530:B535"/>
    <mergeCell ref="C530:C535"/>
    <mergeCell ref="D530:D535"/>
    <mergeCell ref="E530:E535"/>
    <mergeCell ref="F530:F535"/>
    <mergeCell ref="M530:M535"/>
    <mergeCell ref="N530:N535"/>
    <mergeCell ref="Q530:Q535"/>
    <mergeCell ref="M524:M529"/>
    <mergeCell ref="N524:N529"/>
    <mergeCell ref="Q524:Q529"/>
    <mergeCell ref="R524:R529"/>
    <mergeCell ref="S524:S529"/>
    <mergeCell ref="T524:T529"/>
    <mergeCell ref="N544:N547"/>
    <mergeCell ref="Q544:Q547"/>
    <mergeCell ref="R544:R547"/>
    <mergeCell ref="S544:S547"/>
    <mergeCell ref="T544:T547"/>
    <mergeCell ref="U544:U547"/>
    <mergeCell ref="U536:U541"/>
    <mergeCell ref="A542:R542"/>
    <mergeCell ref="A543:U543"/>
    <mergeCell ref="A544:A547"/>
    <mergeCell ref="B544:B547"/>
    <mergeCell ref="C544:C547"/>
    <mergeCell ref="D544:D547"/>
    <mergeCell ref="E544:E547"/>
    <mergeCell ref="F544:F547"/>
    <mergeCell ref="M544:M547"/>
    <mergeCell ref="M536:M541"/>
    <mergeCell ref="N536:N541"/>
    <mergeCell ref="Q536:Q541"/>
    <mergeCell ref="R536:R541"/>
    <mergeCell ref="S536:S541"/>
    <mergeCell ref="T536:T541"/>
    <mergeCell ref="R554:R559"/>
    <mergeCell ref="S554:S559"/>
    <mergeCell ref="T554:T559"/>
    <mergeCell ref="U554:U559"/>
    <mergeCell ref="A560:A565"/>
    <mergeCell ref="B560:B565"/>
    <mergeCell ref="C560:C565"/>
    <mergeCell ref="D560:D565"/>
    <mergeCell ref="E560:E565"/>
    <mergeCell ref="F560:F565"/>
    <mergeCell ref="U548:U553"/>
    <mergeCell ref="A554:A559"/>
    <mergeCell ref="B554:B559"/>
    <mergeCell ref="C554:C559"/>
    <mergeCell ref="D554:D559"/>
    <mergeCell ref="E554:E559"/>
    <mergeCell ref="F554:F559"/>
    <mergeCell ref="M554:M559"/>
    <mergeCell ref="N554:N559"/>
    <mergeCell ref="Q554:Q559"/>
    <mergeCell ref="M548:M553"/>
    <mergeCell ref="N548:N553"/>
    <mergeCell ref="Q548:Q553"/>
    <mergeCell ref="R548:R553"/>
    <mergeCell ref="S548:S553"/>
    <mergeCell ref="T548:T553"/>
    <mergeCell ref="A548:A553"/>
    <mergeCell ref="B548:B553"/>
    <mergeCell ref="C548:C553"/>
    <mergeCell ref="D548:D553"/>
    <mergeCell ref="E548:E553"/>
    <mergeCell ref="F548:F553"/>
    <mergeCell ref="R566:R571"/>
    <mergeCell ref="S566:S571"/>
    <mergeCell ref="T566:T571"/>
    <mergeCell ref="U566:U571"/>
    <mergeCell ref="A572:A577"/>
    <mergeCell ref="B572:B577"/>
    <mergeCell ref="C572:C577"/>
    <mergeCell ref="D572:D577"/>
    <mergeCell ref="E572:E577"/>
    <mergeCell ref="F572:F577"/>
    <mergeCell ref="U560:U565"/>
    <mergeCell ref="A566:A571"/>
    <mergeCell ref="B566:B571"/>
    <mergeCell ref="C566:C571"/>
    <mergeCell ref="D566:D571"/>
    <mergeCell ref="E566:E571"/>
    <mergeCell ref="F566:F571"/>
    <mergeCell ref="M566:M571"/>
    <mergeCell ref="N566:N571"/>
    <mergeCell ref="Q566:Q571"/>
    <mergeCell ref="M560:M565"/>
    <mergeCell ref="N560:N565"/>
    <mergeCell ref="Q560:Q565"/>
    <mergeCell ref="R560:R565"/>
    <mergeCell ref="S560:S565"/>
    <mergeCell ref="T560:T565"/>
    <mergeCell ref="N580:N583"/>
    <mergeCell ref="Q580:Q583"/>
    <mergeCell ref="R580:R583"/>
    <mergeCell ref="S580:S583"/>
    <mergeCell ref="T580:T583"/>
    <mergeCell ref="U580:U583"/>
    <mergeCell ref="U572:U577"/>
    <mergeCell ref="A578:R578"/>
    <mergeCell ref="A579:U579"/>
    <mergeCell ref="A580:A583"/>
    <mergeCell ref="B580:B583"/>
    <mergeCell ref="C580:C583"/>
    <mergeCell ref="D580:D583"/>
    <mergeCell ref="E580:E583"/>
    <mergeCell ref="F580:F583"/>
    <mergeCell ref="M580:M583"/>
    <mergeCell ref="M572:M577"/>
    <mergeCell ref="N572:N577"/>
    <mergeCell ref="Q572:Q577"/>
    <mergeCell ref="R572:R577"/>
    <mergeCell ref="S572:S577"/>
    <mergeCell ref="T572:T577"/>
    <mergeCell ref="R590:R595"/>
    <mergeCell ref="S590:S595"/>
    <mergeCell ref="T590:T595"/>
    <mergeCell ref="U590:U595"/>
    <mergeCell ref="A596:A601"/>
    <mergeCell ref="B596:B601"/>
    <mergeCell ref="C596:C601"/>
    <mergeCell ref="D596:D601"/>
    <mergeCell ref="E596:E601"/>
    <mergeCell ref="F596:F601"/>
    <mergeCell ref="U584:U589"/>
    <mergeCell ref="A590:A595"/>
    <mergeCell ref="B590:B595"/>
    <mergeCell ref="C590:C595"/>
    <mergeCell ref="D590:D595"/>
    <mergeCell ref="E590:E595"/>
    <mergeCell ref="F590:F595"/>
    <mergeCell ref="M590:M595"/>
    <mergeCell ref="N590:N595"/>
    <mergeCell ref="Q590:Q595"/>
    <mergeCell ref="M584:M589"/>
    <mergeCell ref="N584:N589"/>
    <mergeCell ref="Q584:Q589"/>
    <mergeCell ref="R584:R589"/>
    <mergeCell ref="S584:S589"/>
    <mergeCell ref="T584:T589"/>
    <mergeCell ref="A584:A589"/>
    <mergeCell ref="B584:B589"/>
    <mergeCell ref="C584:C589"/>
    <mergeCell ref="D584:D589"/>
    <mergeCell ref="E584:E589"/>
    <mergeCell ref="F584:F589"/>
    <mergeCell ref="R602:R607"/>
    <mergeCell ref="S602:S607"/>
    <mergeCell ref="T602:T607"/>
    <mergeCell ref="U602:U607"/>
    <mergeCell ref="A608:A613"/>
    <mergeCell ref="B608:B613"/>
    <mergeCell ref="C608:C613"/>
    <mergeCell ref="D608:D613"/>
    <mergeCell ref="E608:E613"/>
    <mergeCell ref="F608:F613"/>
    <mergeCell ref="U596:U601"/>
    <mergeCell ref="A602:A607"/>
    <mergeCell ref="B602:B607"/>
    <mergeCell ref="C602:C607"/>
    <mergeCell ref="D602:D607"/>
    <mergeCell ref="E602:E607"/>
    <mergeCell ref="F602:F607"/>
    <mergeCell ref="M602:M607"/>
    <mergeCell ref="N602:N607"/>
    <mergeCell ref="Q602:Q607"/>
    <mergeCell ref="M596:M601"/>
    <mergeCell ref="N596:N601"/>
    <mergeCell ref="Q596:Q601"/>
    <mergeCell ref="R596:R601"/>
    <mergeCell ref="S596:S601"/>
    <mergeCell ref="T596:T601"/>
    <mergeCell ref="N616:N619"/>
    <mergeCell ref="Q616:Q619"/>
    <mergeCell ref="R616:R619"/>
    <mergeCell ref="S616:S619"/>
    <mergeCell ref="T616:T619"/>
    <mergeCell ref="U616:U619"/>
    <mergeCell ref="U608:U613"/>
    <mergeCell ref="A614:R614"/>
    <mergeCell ref="A615:U615"/>
    <mergeCell ref="A616:A619"/>
    <mergeCell ref="B616:B619"/>
    <mergeCell ref="C616:C619"/>
    <mergeCell ref="D616:D619"/>
    <mergeCell ref="E616:E619"/>
    <mergeCell ref="F616:F619"/>
    <mergeCell ref="M616:M619"/>
    <mergeCell ref="M608:M613"/>
    <mergeCell ref="N608:N613"/>
    <mergeCell ref="Q608:Q613"/>
    <mergeCell ref="R608:R613"/>
    <mergeCell ref="S608:S613"/>
    <mergeCell ref="T608:T613"/>
    <mergeCell ref="R626:R631"/>
    <mergeCell ref="S626:S631"/>
    <mergeCell ref="T626:T631"/>
    <mergeCell ref="U626:U631"/>
    <mergeCell ref="A632:A637"/>
    <mergeCell ref="B632:B637"/>
    <mergeCell ref="C632:C637"/>
    <mergeCell ref="D632:D637"/>
    <mergeCell ref="E632:E637"/>
    <mergeCell ref="F632:F637"/>
    <mergeCell ref="U620:U625"/>
    <mergeCell ref="A626:A631"/>
    <mergeCell ref="B626:B631"/>
    <mergeCell ref="C626:C631"/>
    <mergeCell ref="D626:D631"/>
    <mergeCell ref="E626:E631"/>
    <mergeCell ref="F626:F631"/>
    <mergeCell ref="M626:M631"/>
    <mergeCell ref="N626:N631"/>
    <mergeCell ref="Q626:Q631"/>
    <mergeCell ref="M620:M625"/>
    <mergeCell ref="N620:N625"/>
    <mergeCell ref="Q620:Q625"/>
    <mergeCell ref="R620:R625"/>
    <mergeCell ref="S620:S625"/>
    <mergeCell ref="T620:T625"/>
    <mergeCell ref="A620:A625"/>
    <mergeCell ref="B620:B625"/>
    <mergeCell ref="C620:C625"/>
    <mergeCell ref="D620:D625"/>
    <mergeCell ref="E620:E625"/>
    <mergeCell ref="F620:F625"/>
    <mergeCell ref="R638:R643"/>
    <mergeCell ref="S638:S643"/>
    <mergeCell ref="T638:T643"/>
    <mergeCell ref="U638:U643"/>
    <mergeCell ref="A644:A649"/>
    <mergeCell ref="B644:B649"/>
    <mergeCell ref="C644:C649"/>
    <mergeCell ref="D644:D649"/>
    <mergeCell ref="E644:E649"/>
    <mergeCell ref="F644:F649"/>
    <mergeCell ref="U632:U637"/>
    <mergeCell ref="A638:A643"/>
    <mergeCell ref="B638:B643"/>
    <mergeCell ref="C638:C643"/>
    <mergeCell ref="D638:D643"/>
    <mergeCell ref="E638:E643"/>
    <mergeCell ref="F638:F643"/>
    <mergeCell ref="M638:M643"/>
    <mergeCell ref="N638:N643"/>
    <mergeCell ref="Q638:Q643"/>
    <mergeCell ref="M632:M637"/>
    <mergeCell ref="N632:N637"/>
    <mergeCell ref="Q632:Q637"/>
    <mergeCell ref="R632:R637"/>
    <mergeCell ref="S632:S637"/>
    <mergeCell ref="T632:T637"/>
    <mergeCell ref="N652:N655"/>
    <mergeCell ref="Q652:Q655"/>
    <mergeCell ref="R652:R655"/>
    <mergeCell ref="S652:S655"/>
    <mergeCell ref="T652:T655"/>
    <mergeCell ref="U652:U655"/>
    <mergeCell ref="U644:U649"/>
    <mergeCell ref="A650:R650"/>
    <mergeCell ref="A651:U651"/>
    <mergeCell ref="A652:A655"/>
    <mergeCell ref="B652:B655"/>
    <mergeCell ref="C652:C655"/>
    <mergeCell ref="D652:D655"/>
    <mergeCell ref="E652:E655"/>
    <mergeCell ref="F652:F655"/>
    <mergeCell ref="M652:M655"/>
    <mergeCell ref="M644:M649"/>
    <mergeCell ref="N644:N649"/>
    <mergeCell ref="Q644:Q649"/>
    <mergeCell ref="R644:R649"/>
    <mergeCell ref="S644:S649"/>
    <mergeCell ref="T644:T649"/>
    <mergeCell ref="R662:R667"/>
    <mergeCell ref="S662:S667"/>
    <mergeCell ref="T662:T667"/>
    <mergeCell ref="U662:U667"/>
    <mergeCell ref="A668:A673"/>
    <mergeCell ref="B668:B673"/>
    <mergeCell ref="C668:C673"/>
    <mergeCell ref="D668:D673"/>
    <mergeCell ref="E668:E673"/>
    <mergeCell ref="F668:F673"/>
    <mergeCell ref="U656:U661"/>
    <mergeCell ref="A662:A667"/>
    <mergeCell ref="B662:B667"/>
    <mergeCell ref="C662:C667"/>
    <mergeCell ref="D662:D667"/>
    <mergeCell ref="E662:E667"/>
    <mergeCell ref="F662:F667"/>
    <mergeCell ref="M662:M667"/>
    <mergeCell ref="N662:N667"/>
    <mergeCell ref="Q662:Q667"/>
    <mergeCell ref="M656:M661"/>
    <mergeCell ref="N656:N661"/>
    <mergeCell ref="Q656:Q661"/>
    <mergeCell ref="R656:R661"/>
    <mergeCell ref="S656:S661"/>
    <mergeCell ref="T656:T661"/>
    <mergeCell ref="A656:A661"/>
    <mergeCell ref="B656:B661"/>
    <mergeCell ref="C656:C661"/>
    <mergeCell ref="D656:D661"/>
    <mergeCell ref="E656:E661"/>
    <mergeCell ref="F656:F661"/>
    <mergeCell ref="R674:R679"/>
    <mergeCell ref="S674:S679"/>
    <mergeCell ref="T674:T679"/>
    <mergeCell ref="U674:U679"/>
    <mergeCell ref="A680:A685"/>
    <mergeCell ref="B680:B685"/>
    <mergeCell ref="C680:C685"/>
    <mergeCell ref="D680:D685"/>
    <mergeCell ref="E680:E685"/>
    <mergeCell ref="F680:F685"/>
    <mergeCell ref="U668:U673"/>
    <mergeCell ref="A674:A679"/>
    <mergeCell ref="B674:B679"/>
    <mergeCell ref="C674:C679"/>
    <mergeCell ref="D674:D679"/>
    <mergeCell ref="E674:E679"/>
    <mergeCell ref="F674:F679"/>
    <mergeCell ref="M674:M679"/>
    <mergeCell ref="N674:N679"/>
    <mergeCell ref="Q674:Q679"/>
    <mergeCell ref="M668:M673"/>
    <mergeCell ref="N668:N673"/>
    <mergeCell ref="Q668:Q673"/>
    <mergeCell ref="R668:R673"/>
    <mergeCell ref="S668:S673"/>
    <mergeCell ref="T668:T673"/>
    <mergeCell ref="N688:N691"/>
    <mergeCell ref="Q688:Q691"/>
    <mergeCell ref="R688:R691"/>
    <mergeCell ref="S688:S691"/>
    <mergeCell ref="T688:T691"/>
    <mergeCell ref="U688:U691"/>
    <mergeCell ref="U680:U685"/>
    <mergeCell ref="A686:R686"/>
    <mergeCell ref="A687:U687"/>
    <mergeCell ref="A688:A691"/>
    <mergeCell ref="B688:B691"/>
    <mergeCell ref="C688:C691"/>
    <mergeCell ref="D688:D691"/>
    <mergeCell ref="E688:E691"/>
    <mergeCell ref="F688:F691"/>
    <mergeCell ref="M688:M691"/>
    <mergeCell ref="M680:M685"/>
    <mergeCell ref="N680:N685"/>
    <mergeCell ref="Q680:Q685"/>
    <mergeCell ref="R680:R685"/>
    <mergeCell ref="S680:S685"/>
    <mergeCell ref="T680:T685"/>
    <mergeCell ref="U692:U697"/>
    <mergeCell ref="A698:A703"/>
    <mergeCell ref="B698:B703"/>
    <mergeCell ref="C698:C703"/>
    <mergeCell ref="D698:D703"/>
    <mergeCell ref="E698:E703"/>
    <mergeCell ref="F698:F703"/>
    <mergeCell ref="M698:M703"/>
    <mergeCell ref="N698:N703"/>
    <mergeCell ref="Q698:Q703"/>
    <mergeCell ref="M692:M697"/>
    <mergeCell ref="N692:N697"/>
    <mergeCell ref="Q692:Q697"/>
    <mergeCell ref="R692:R697"/>
    <mergeCell ref="S692:S697"/>
    <mergeCell ref="T692:T697"/>
    <mergeCell ref="A692:A697"/>
    <mergeCell ref="B692:B697"/>
    <mergeCell ref="C692:C697"/>
    <mergeCell ref="D692:D697"/>
    <mergeCell ref="E692:E697"/>
    <mergeCell ref="F692:F697"/>
    <mergeCell ref="U704:U709"/>
    <mergeCell ref="A710:A715"/>
    <mergeCell ref="B710:B715"/>
    <mergeCell ref="C710:C715"/>
    <mergeCell ref="D710:D715"/>
    <mergeCell ref="E710:E715"/>
    <mergeCell ref="F710:F715"/>
    <mergeCell ref="M710:M715"/>
    <mergeCell ref="N710:N715"/>
    <mergeCell ref="Q710:Q715"/>
    <mergeCell ref="M704:M709"/>
    <mergeCell ref="N704:N709"/>
    <mergeCell ref="Q704:Q709"/>
    <mergeCell ref="R704:R709"/>
    <mergeCell ref="S704:S709"/>
    <mergeCell ref="T704:T709"/>
    <mergeCell ref="R698:R703"/>
    <mergeCell ref="S698:S703"/>
    <mergeCell ref="T698:T703"/>
    <mergeCell ref="U698:U703"/>
    <mergeCell ref="A704:A709"/>
    <mergeCell ref="B704:B709"/>
    <mergeCell ref="C704:C709"/>
    <mergeCell ref="D704:D709"/>
    <mergeCell ref="E704:E709"/>
    <mergeCell ref="F704:F709"/>
    <mergeCell ref="U716:U721"/>
    <mergeCell ref="A722:R722"/>
    <mergeCell ref="M716:M721"/>
    <mergeCell ref="N716:N721"/>
    <mergeCell ref="Q716:Q721"/>
    <mergeCell ref="R716:R721"/>
    <mergeCell ref="S716:S721"/>
    <mergeCell ref="T716:T721"/>
    <mergeCell ref="R710:R715"/>
    <mergeCell ref="S710:S715"/>
    <mergeCell ref="T710:T715"/>
    <mergeCell ref="U710:U715"/>
    <mergeCell ref="A716:A721"/>
    <mergeCell ref="B716:B721"/>
    <mergeCell ref="C716:C721"/>
    <mergeCell ref="D716:D721"/>
    <mergeCell ref="E716:E721"/>
    <mergeCell ref="F716:F72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C8"/>
  <sheetViews>
    <sheetView workbookViewId="0">
      <selection activeCell="B6" sqref="B6"/>
    </sheetView>
  </sheetViews>
  <sheetFormatPr defaultRowHeight="15" x14ac:dyDescent="0.25"/>
  <sheetData>
    <row r="1" spans="1:3" x14ac:dyDescent="0.25">
      <c r="A1" t="s">
        <v>24</v>
      </c>
      <c r="B1" t="s">
        <v>25</v>
      </c>
      <c r="C1" t="s">
        <v>26</v>
      </c>
    </row>
    <row r="2" spans="1:3" x14ac:dyDescent="0.25">
      <c r="A2" t="s">
        <v>27</v>
      </c>
      <c r="B2">
        <v>1</v>
      </c>
    </row>
    <row r="3" spans="1:3" x14ac:dyDescent="0.25">
      <c r="A3" t="s">
        <v>28</v>
      </c>
      <c r="B3">
        <v>0.125</v>
      </c>
    </row>
    <row r="4" spans="1:3" x14ac:dyDescent="0.25">
      <c r="A4" t="s">
        <v>29</v>
      </c>
      <c r="B4">
        <v>1</v>
      </c>
    </row>
    <row r="5" spans="1:3" x14ac:dyDescent="0.25">
      <c r="A5" t="s">
        <v>30</v>
      </c>
      <c r="B5">
        <v>0</v>
      </c>
    </row>
    <row r="6" spans="1:3" x14ac:dyDescent="0.25">
      <c r="A6" s="10" t="s">
        <v>21</v>
      </c>
      <c r="B6" s="10">
        <v>640</v>
      </c>
    </row>
    <row r="7" spans="1:3" x14ac:dyDescent="0.25">
      <c r="A7" s="11" t="s">
        <v>22</v>
      </c>
      <c r="B7" s="11">
        <v>0</v>
      </c>
    </row>
    <row r="8" spans="1:3" x14ac:dyDescent="0.25">
      <c r="A8" t="s">
        <v>23</v>
      </c>
      <c r="B8">
        <f>20*LOG10(B6/(B6+B7))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2</vt:i4>
      </vt:variant>
    </vt:vector>
  </HeadingPairs>
  <TitlesOfParts>
    <vt:vector size="8" baseType="lpstr">
      <vt:lpstr>зел</vt:lpstr>
      <vt:lpstr>кор</vt:lpstr>
      <vt:lpstr>оранж</vt:lpstr>
      <vt:lpstr>син</vt:lpstr>
      <vt:lpstr>Питание</vt:lpstr>
      <vt:lpstr>Params</vt:lpstr>
      <vt:lpstr>H</vt:lpstr>
      <vt:lpstr>Kzt</vt:lpstr>
    </vt:vector>
  </TitlesOfParts>
  <Company>InfoTeCS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Tereshchenko Vitaly</dc:creator>
  <cp:lastModifiedBy>Tereshchenko Vitaly</cp:lastModifiedBy>
  <dcterms:created xsi:type="dcterms:W3CDTF">2020-01-10T08:23:33Z</dcterms:created>
  <dcterms:modified xsi:type="dcterms:W3CDTF">2025-11-24T10:24:51Z</dcterms:modified>
</cp:coreProperties>
</file>