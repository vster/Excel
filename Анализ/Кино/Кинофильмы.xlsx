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1DDB145-9ED0-42F5-8BA5-92BC35D688B6}" xr6:coauthVersionLast="47" xr6:coauthVersionMax="47" xr10:uidLastSave="{00000000-0000-0000-0000-000000000000}"/>
  <bookViews>
    <workbookView xWindow="735" yWindow="2130" windowWidth="26580" windowHeight="16530" xr2:uid="{00000000-000D-0000-FFFF-FFFF00000000}"/>
  </bookViews>
  <sheets>
    <sheet name="Фильмы и сериалы" sheetId="1" r:id="rId1"/>
    <sheet name="Актер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2" l="1"/>
  <c r="C3" i="2"/>
  <c r="C10" i="2"/>
  <c r="C8" i="2"/>
  <c r="C7" i="2"/>
  <c r="C6" i="2"/>
  <c r="C2" i="2"/>
  <c r="I4" i="2"/>
  <c r="C4" i="2"/>
  <c r="I5" i="2"/>
  <c r="C5" i="2" l="1"/>
</calcChain>
</file>

<file path=xl/sharedStrings.xml><?xml version="1.0" encoding="utf-8"?>
<sst xmlns="http://schemas.openxmlformats.org/spreadsheetml/2006/main" count="488" uniqueCount="315">
  <si>
    <t>Фильм</t>
  </si>
  <si>
    <t>Жанр</t>
  </si>
  <si>
    <t>Режиссер</t>
  </si>
  <si>
    <t>Год</t>
  </si>
  <si>
    <t>Страна</t>
  </si>
  <si>
    <t>Горько!</t>
  </si>
  <si>
    <t>комедия</t>
  </si>
  <si>
    <t>Россия</t>
  </si>
  <si>
    <t>Жора Крыжовников</t>
  </si>
  <si>
    <t>Слово пацана. Кровь на асфальте</t>
  </si>
  <si>
    <t>драма, криминал</t>
  </si>
  <si>
    <t>Невероятные приключения Шурика</t>
  </si>
  <si>
    <t>Роман Ким, Миша Семичев</t>
  </si>
  <si>
    <t>The Телки</t>
  </si>
  <si>
    <t>драма, триллер</t>
  </si>
  <si>
    <t>Мария Агранович</t>
  </si>
  <si>
    <t>Яга на нашу голову</t>
  </si>
  <si>
    <t>фэнтези, комедия, семейный</t>
  </si>
  <si>
    <t>Александр Войтинский</t>
  </si>
  <si>
    <t>Маме снова 17</t>
  </si>
  <si>
    <t>комедия, фантастика</t>
  </si>
  <si>
    <t>Анна Курбатова</t>
  </si>
  <si>
    <t>Светлана Ходченкова</t>
  </si>
  <si>
    <t>Пророк. История Александра Пушкина</t>
  </si>
  <si>
    <t>драма, мюзикл</t>
  </si>
  <si>
    <t>Феликс Умаров</t>
  </si>
  <si>
    <t>Большой куш</t>
  </si>
  <si>
    <t>криминал, комедия, боевик</t>
  </si>
  <si>
    <t>Великобритания, США</t>
  </si>
  <si>
    <t>Гай Ричи</t>
  </si>
  <si>
    <t>Джейсон Стэйтем</t>
  </si>
  <si>
    <t>Операция «Фортуна»: Искусство побеждать</t>
  </si>
  <si>
    <t>боевик, комедия</t>
  </si>
  <si>
    <t>Мастер</t>
  </si>
  <si>
    <t>боевик, криминал</t>
  </si>
  <si>
    <t>Дэвид Эйр</t>
  </si>
  <si>
    <t>Тип</t>
  </si>
  <si>
    <t>сериал</t>
  </si>
  <si>
    <t>фильм</t>
  </si>
  <si>
    <t>Санкционер</t>
  </si>
  <si>
    <t>Артем Захарьян</t>
  </si>
  <si>
    <t>Челюскин. Первые</t>
  </si>
  <si>
    <t>драма, история</t>
  </si>
  <si>
    <t>Степан Коршунов</t>
  </si>
  <si>
    <t>Чемпион мира</t>
  </si>
  <si>
    <t>спорт, биография, драма</t>
  </si>
  <si>
    <t>Алексей Сидоров</t>
  </si>
  <si>
    <t>Константин Хабенский, Иван Янковски</t>
  </si>
  <si>
    <t>Кинозвезды</t>
  </si>
  <si>
    <t>Иван Васильевич меняет всё</t>
  </si>
  <si>
    <t>комедия, фантастика, приключения</t>
  </si>
  <si>
    <t>Миша Семичев, Роман Ким</t>
  </si>
  <si>
    <t>Тимур Батрутдинов, Максим Лагашкин, Марина Кравец</t>
  </si>
  <si>
    <t>Небриллиантовая рука</t>
  </si>
  <si>
    <t>Миша Семичев, Роман Ким</t>
  </si>
  <si>
    <t>Тимур Батрутдинов,Максим Лагашкин, Никита Кологривый</t>
  </si>
  <si>
    <t>Демис и Марина</t>
  </si>
  <si>
    <t>Саша Абдуллаев</t>
  </si>
  <si>
    <t>Демис Карибидис, Марина Кравец</t>
  </si>
  <si>
    <t>Тимур Батрутдинов, Марина Кравец, Павел Воля</t>
  </si>
  <si>
    <t>Иван Янковский, Никита Кологривый</t>
  </si>
  <si>
    <t>Светлана Ходченкова, Максим Лагашкин</t>
  </si>
  <si>
    <t>Юра Борисов, Аня Чиповская, Светлана Ходченкова</t>
  </si>
  <si>
    <t>Огниво</t>
  </si>
  <si>
    <t>фэнтези, приключения, семейный</t>
  </si>
  <si>
    <t>Роман Евдокимов, Ирина Старшенбаум, Ян Цапник</t>
  </si>
  <si>
    <t>Бесстыдники</t>
  </si>
  <si>
    <t>драма, комедия</t>
  </si>
  <si>
    <t>Антон Маслов, Артур Виденмеер</t>
  </si>
  <si>
    <t>Авиатор</t>
  </si>
  <si>
    <t>Егор Кончаловский</t>
  </si>
  <si>
    <t>Константин Хабенский</t>
  </si>
  <si>
    <t>Майор Гром: Чумной Доктор</t>
  </si>
  <si>
    <t>Олег Трофим</t>
  </si>
  <si>
    <t>Тихон Жизневский, Любовь Аксёнова</t>
  </si>
  <si>
    <t>Павел Пархоменко</t>
  </si>
  <si>
    <t>Ярослав Жалнин</t>
  </si>
  <si>
    <t>Повелитель ветра</t>
  </si>
  <si>
    <t>Игорь Волошин</t>
  </si>
  <si>
    <t>Фёдор Бондарчук, Евгений Ткачук</t>
  </si>
  <si>
    <t>Гагарин. Первый в космосе</t>
  </si>
  <si>
    <t>Хроники русской революции</t>
  </si>
  <si>
    <t>Андрей Кончаловский</t>
  </si>
  <si>
    <t>Звёздные войны: Пробуждение силы</t>
  </si>
  <si>
    <t>США, Великобритания</t>
  </si>
  <si>
    <t>Джей Джей Абрамс</t>
  </si>
  <si>
    <t>Звёздные войны: Последние джедаи</t>
  </si>
  <si>
    <t>фантастика, фэнтези, боевик, приключения</t>
  </si>
  <si>
    <t>фантастика, боевик, приключения</t>
  </si>
  <si>
    <t>драма, биография, история</t>
  </si>
  <si>
    <t>драма, приключения, биография</t>
  </si>
  <si>
    <t>история, драма</t>
  </si>
  <si>
    <t>США</t>
  </si>
  <si>
    <t>Райан Джонсон</t>
  </si>
  <si>
    <t>Адам Драйвер, Дейзи Ридли</t>
  </si>
  <si>
    <t>Звёздные войны: Скайуокер. Восход</t>
  </si>
  <si>
    <t>Харрисон Форд, Адам Драйвер, Дейзи Ридли</t>
  </si>
  <si>
    <t>фантастика, драма</t>
  </si>
  <si>
    <t>боевик, криминал, детектив, комедия</t>
  </si>
  <si>
    <t>Волчок</t>
  </si>
  <si>
    <t>приключения, комедия</t>
  </si>
  <si>
    <t>Константин Смирнов</t>
  </si>
  <si>
    <t>Евгений Ткачук, Юлия Хлынина</t>
  </si>
  <si>
    <t>Гуляй, Вася!</t>
  </si>
  <si>
    <t>Роман Каримов</t>
  </si>
  <si>
    <t>Сокровища гномов</t>
  </si>
  <si>
    <t>семейный, фэнтези, комедия, приключения</t>
  </si>
  <si>
    <t>Александр Бабаев</t>
  </si>
  <si>
    <t>Никита Кологривый, Анастасия Уколова</t>
  </si>
  <si>
    <t>Волшебный участок</t>
  </si>
  <si>
    <t>боевик, фэнтези, комедия, детектив</t>
  </si>
  <si>
    <t>Степан Гордеев</t>
  </si>
  <si>
    <t>СуперБобровы</t>
  </si>
  <si>
    <t>комедия, семейный, фантастика</t>
  </si>
  <si>
    <t>Дмитрий Дьяченко</t>
  </si>
  <si>
    <t>Павел Деревянко, Оксана Акиньшина, Роман Мадянов, Ирина Пегова</t>
  </si>
  <si>
    <t>Модный синдикат</t>
  </si>
  <si>
    <t>комедия, криминал</t>
  </si>
  <si>
    <t>Александр Карпиловский</t>
  </si>
  <si>
    <t>Ян Цапник, Мария Горбань, Ангелина Стречина</t>
  </si>
  <si>
    <t>СуперБобровы. Народные мстители</t>
  </si>
  <si>
    <t>комедия, семейный</t>
  </si>
  <si>
    <t>Павел Деревянко, Оксана Акиньшина, Роман Мадянов, Ирина Пегова, Роман Курцын</t>
  </si>
  <si>
    <t>Неожиданные связи</t>
  </si>
  <si>
    <t>Франция</t>
  </si>
  <si>
    <t>Жюльен Эрве</t>
  </si>
  <si>
    <t>Кристиан Клавье</t>
  </si>
  <si>
    <t>Неувольняемый</t>
  </si>
  <si>
    <t>Жером Коммандёр</t>
  </si>
  <si>
    <t>Поехавший</t>
  </si>
  <si>
    <t>Франция, Бельгия</t>
  </si>
  <si>
    <t>Филипп Мешлен</t>
  </si>
  <si>
    <t>Хаким Джемили, Кристиан Клавье</t>
  </si>
  <si>
    <t>Франция, Бельгия</t>
  </si>
  <si>
    <t>Ибица</t>
  </si>
  <si>
    <t>Арно Лемор</t>
  </si>
  <si>
    <t>Полярный</t>
  </si>
  <si>
    <t>комедия, криминал</t>
  </si>
  <si>
    <t>Михаил Старчак, Константин Статский, Илья Аксенов</t>
  </si>
  <si>
    <t>Беги</t>
  </si>
  <si>
    <t>Роман Артемьев</t>
  </si>
  <si>
    <t>Михаил Пореченков, Никита Кологривый</t>
  </si>
  <si>
    <t>Интерны</t>
  </si>
  <si>
    <t>Максим Пежемский, Заур Болотаев, Милан Килибарда</t>
  </si>
  <si>
    <t>Иван Охлобыстин, Илья Глинников, Кристина Асмус, Александр Ильин мл. Вадим Демчог</t>
  </si>
  <si>
    <t>Алдан</t>
  </si>
  <si>
    <t>драма, военный</t>
  </si>
  <si>
    <t>Дмитрий Кольцов</t>
  </si>
  <si>
    <t>Иван Охлобыстин, Дмитрий Дюжев, Джефф Монсон</t>
  </si>
  <si>
    <t>Оппенгеймер</t>
  </si>
  <si>
    <t>биография, драма, история</t>
  </si>
  <si>
    <t>Кристофер Нолан</t>
  </si>
  <si>
    <t>Киллиан Мерфи, Мэтт Дэймон, Роберт Дауни мл.</t>
  </si>
  <si>
    <t>Отступники</t>
  </si>
  <si>
    <t>криминал, драма, триллер</t>
  </si>
  <si>
    <t>США, Гонконг</t>
  </si>
  <si>
    <t>Мартин Скорсезе</t>
  </si>
  <si>
    <t>Леонардо ДиКаприо, Мэтт Дэймон, Джек Николсон, Марк Уолберг</t>
  </si>
  <si>
    <t>Зять</t>
  </si>
  <si>
    <t>комедия, мелодрама</t>
  </si>
  <si>
    <t>Анарио Мамедов</t>
  </si>
  <si>
    <t>Дмитрий Нагиев, Ян Цапник, Ирина Пегова</t>
  </si>
  <si>
    <t>Мой папа — вождь</t>
  </si>
  <si>
    <t>семейный, комедия, приключения</t>
  </si>
  <si>
    <t>Дмитрий Нагиев, Максим Лагашкин</t>
  </si>
  <si>
    <t>Отель Элеон</t>
  </si>
  <si>
    <t>Антон Федотов, Антон Маслов, Екатерина Забулонская</t>
  </si>
  <si>
    <t>Диана Пожарская, Милош Бикович, Виктор Хориняк</t>
  </si>
  <si>
    <t>Няня Оксана</t>
  </si>
  <si>
    <t>Евгения Абдель-Фаттах</t>
  </si>
  <si>
    <t>Олеся Иванченко, Виктор Хориняк</t>
  </si>
  <si>
    <t>Гранд</t>
  </si>
  <si>
    <t>Дмитрий Грибанов</t>
  </si>
  <si>
    <t>Мила Сивацкая, Ольга Смирнова, Милош Бикович</t>
  </si>
  <si>
    <t>Кухня</t>
  </si>
  <si>
    <t>Дмитрий Дьяченко, Жора Крыжовников, Антон Федотов</t>
  </si>
  <si>
    <t>Дмитрий Назаров, Елена Подкаминская, Виктор Хориняк, Дмитрий Нагиев, Сергей Лавыгин</t>
  </si>
  <si>
    <t>Химкинские ведьмы</t>
  </si>
  <si>
    <t>комедия, фэнтези, криминал</t>
  </si>
  <si>
    <t>Агата Муцениеце, Марк Богатырев, Анна Банщикова</t>
  </si>
  <si>
    <t>Милош Бикович, Паулина Андреева, Оксана Акиньшина, Алексей Кравченко, Любовь Аксёнова</t>
  </si>
  <si>
    <t>Баранкины и камни силы</t>
  </si>
  <si>
    <t>фантастика, приключения, комедия</t>
  </si>
  <si>
    <t>Миша Поляков</t>
  </si>
  <si>
    <t>Андрей Федорцов</t>
  </si>
  <si>
    <t>Телохранители</t>
  </si>
  <si>
    <t>Константин Смирнов, Владимир Битоков</t>
  </si>
  <si>
    <t>Дмитрий Лысенков, Сергей Маковецкий, Яна Кошкина, Кристина Кучеренко, Ольга Павловец, Инга Оболдина</t>
  </si>
  <si>
    <t>Про это самое</t>
  </si>
  <si>
    <t>Евгений Абызов</t>
  </si>
  <si>
    <t>Денис Власенко, Валерия Репина, Инга Оболдина</t>
  </si>
  <si>
    <t>Дмитрий Нагиев, Аглая Тарасова, Борис Дергачев, 
Марат Башаров, Анна Уколова</t>
  </si>
  <si>
    <t>Юра Борисов, Евгений Ткачук, Юлия Высоцкая</t>
  </si>
  <si>
    <t>Степан Коршунов, Стася Милославская, Кирилл Кяро</t>
  </si>
  <si>
    <t>Успешный</t>
  </si>
  <si>
    <t>Илья Куликов, Алексей Петрашевич, Владимир Боровой</t>
  </si>
  <si>
    <t>Артем Сучков, Владимир Сычев, Ольга Медынич, Александра Власова</t>
  </si>
  <si>
    <t>Кибердеревня</t>
  </si>
  <si>
    <t>приключения, фантастика, комедия</t>
  </si>
  <si>
    <t>Сергей Васильев</t>
  </si>
  <si>
    <t>Сергей Чихачёв, 
Сергей Бурунов</t>
  </si>
  <si>
    <t>Трудные подростки</t>
  </si>
  <si>
    <t>драма, комедия, спорт</t>
  </si>
  <si>
    <t>Рустам Ильясов, Александр Цой, Николай Рыбников</t>
  </si>
  <si>
    <t>Никита Волков, Виталий Андреев</t>
  </si>
  <si>
    <t>Шальная императрица</t>
  </si>
  <si>
    <t>комедия, фэнтези, приключения</t>
  </si>
  <si>
    <t>Андрей Таратухин, Елена Вернер</t>
  </si>
  <si>
    <t>Ирина Пегова, Ангелина Стречина</t>
  </si>
  <si>
    <t>Сергей Светлаков, Ян Цапник, Егор Корешков, Елена Валюшкина</t>
  </si>
  <si>
    <t>Два холма</t>
  </si>
  <si>
    <t>Ефим Петрунин, Роман Курцын, Любовь Аксёнова, Софья Райзман</t>
  </si>
  <si>
    <t>Физрук</t>
  </si>
  <si>
    <t>Сергей Сенцов, Фёдор Стуков, Дмитрий Губарев</t>
  </si>
  <si>
    <t>Дмитрий Нагиев, Анастасия Панина, 
Владимир Сычев, Карина Мишулина</t>
  </si>
  <si>
    <t>Алексей Шевченков, Виктория Заболотная, Андрей Чадов, Галина Петрова</t>
  </si>
  <si>
    <t xml:space="preserve">Пелагея Невзорова, Никита Кологривый, Светлана Камынина, Владимир Епифанцев, Анфиса Вистингаузен </t>
  </si>
  <si>
    <t xml:space="preserve">Дмитрий Грибанов, Аскар Бисембин, Сергей Малюгов </t>
  </si>
  <si>
    <t>Кол-во 
сезонов</t>
  </si>
  <si>
    <t>2018-2021</t>
  </si>
  <si>
    <t>2010-2016</t>
  </si>
  <si>
    <t xml:space="preserve">2012-2016 </t>
  </si>
  <si>
    <t xml:space="preserve">2016-2017 </t>
  </si>
  <si>
    <t>2014-2017</t>
  </si>
  <si>
    <t>Николай Наумов, Гоша Куценко, Филипп Янковский, 
Татьяна Догилева</t>
  </si>
  <si>
    <t>Наша Russia: Яйца судьбы</t>
  </si>
  <si>
    <t>Глеб Орлов</t>
  </si>
  <si>
    <t>Сергей Светлаков, Михаил Галустян, Роман Мадянов</t>
  </si>
  <si>
    <t>Комбинация</t>
  </si>
  <si>
    <r>
      <t>музыка</t>
    </r>
    <r>
      <rPr>
        <sz val="10"/>
        <color theme="1"/>
        <rFont val="Tahoma"/>
        <family val="2"/>
        <charset val="204"/>
      </rPr>
      <t>, </t>
    </r>
    <r>
      <rPr>
        <sz val="10"/>
        <color rgb="FF000000"/>
        <rFont val="Tahoma"/>
        <family val="2"/>
        <charset val="204"/>
      </rPr>
      <t>биография</t>
    </r>
    <r>
      <rPr>
        <sz val="10"/>
        <color theme="1"/>
        <rFont val="Tahoma"/>
        <family val="2"/>
        <charset val="204"/>
      </rPr>
      <t>, </t>
    </r>
    <r>
      <rPr>
        <sz val="10"/>
        <color rgb="FF000000"/>
        <rFont val="Tahoma"/>
        <family val="2"/>
        <charset val="204"/>
      </rPr>
      <t>драма</t>
    </r>
    <r>
      <rPr>
        <sz val="10"/>
        <color theme="1"/>
        <rFont val="Tahoma"/>
        <family val="2"/>
        <charset val="204"/>
      </rPr>
      <t>, </t>
    </r>
    <r>
      <rPr>
        <sz val="10"/>
        <color rgb="FF000000"/>
        <rFont val="Tahoma"/>
        <family val="2"/>
        <charset val="204"/>
      </rPr>
      <t>комедия</t>
    </r>
  </si>
  <si>
    <t>Никита Власов</t>
  </si>
  <si>
    <t>Никита Кологривый, Анастасия Уколова, 
Павел Прилучный</t>
  </si>
  <si>
    <t>Жизнь по вызову</t>
  </si>
  <si>
    <t>драма</t>
  </si>
  <si>
    <t>Сарик Андреасян</t>
  </si>
  <si>
    <t>Павел Прилучный, Наталья Рудова, Владимир Сычев, Кирилл Жандаров, Никита Кологривый</t>
  </si>
  <si>
    <t>Бес попутал</t>
  </si>
  <si>
    <t>комедия, фэнтези</t>
  </si>
  <si>
    <t>Дмитрий Фикс</t>
  </si>
  <si>
    <t>Иван Злобин, Павел Деревянко, Соня Присс, Алина Колесникова</t>
  </si>
  <si>
    <t>Открытый брак</t>
  </si>
  <si>
    <t>комедия, мелодрама, драма</t>
  </si>
  <si>
    <t>Иван Китаев, Анна Курбатова</t>
  </si>
  <si>
    <t>Марина Александрова, Юлия Александрова, Павел Деревянко, Равшана Куркова, Артём Ткаченко, Владимир Яглыч</t>
  </si>
  <si>
    <t>Беспринципные в Питере</t>
  </si>
  <si>
    <t>Заур Засеев</t>
  </si>
  <si>
    <t>Кристина Бабушкина, Николай Фоменко, Павел Деревянко, Анна Ковальчук, Владимир Яглыч, Стася Милославская, 
Александра Ребенок</t>
  </si>
  <si>
    <t>Беспринципные</t>
  </si>
  <si>
    <t>Роман Прыгунов</t>
  </si>
  <si>
    <t>Павел Деревянко, Оксана Акиньшина, Павел Табаков, Аглая Тарасова, Максим Виторган, Николай Фоменко, Кристина Бабушкина, Надежда Михалкова</t>
  </si>
  <si>
    <t>Первый номер</t>
  </si>
  <si>
    <t>Клим Козинский</t>
  </si>
  <si>
    <t>Евгений Цыганов, Надежда Михалкова, Павел Деревянко, Равшана Куркова, Ида Галич, Александра Ребенок, Леонид Ярмольник</t>
  </si>
  <si>
    <t>Неадекватные люди</t>
  </si>
  <si>
    <t>драма, мелодрама, комедия</t>
  </si>
  <si>
    <t>Илья Любимов, Ингрид Олеринская, Евгений Цыганов, Юлия Такшина, Анна Глаубэ</t>
  </si>
  <si>
    <t>Престиж</t>
  </si>
  <si>
    <t>детектив, драма, комедия</t>
  </si>
  <si>
    <t>Сергей Сенцов</t>
  </si>
  <si>
    <t>Ирина Розанова, Юлия Снигирь, Вера Кинчева, Любовь Толкалина, Анна Уколова, Илья Любимов, Настасья Самбурская, Ирина Дубцова</t>
  </si>
  <si>
    <t>Молодой человек</t>
  </si>
  <si>
    <t>Александр Фомин</t>
  </si>
  <si>
    <t>Павел Табаков, Данила Козловский, Ингрид Олеринская, Валентина Ляпина</t>
  </si>
  <si>
    <t>Надвое</t>
  </si>
  <si>
    <t>мелодрама, комедия</t>
  </si>
  <si>
    <t>Валерий Тодоровский</t>
  </si>
  <si>
    <t>Данила Козловский, Александр Петров, Ирина Старшенбаум, Елизавета Базыкина</t>
  </si>
  <si>
    <t>Примечания</t>
  </si>
  <si>
    <t>Михаил Пореченков, Иван Охлобыстин, Катерина Шпица, Карина Зверева, Ян Цапник, Владимир Епифанцев</t>
  </si>
  <si>
    <t>Милош Бикович</t>
  </si>
  <si>
    <t>Бикович</t>
  </si>
  <si>
    <t>Полное имя</t>
  </si>
  <si>
    <t>Имя</t>
  </si>
  <si>
    <t>Фамилия</t>
  </si>
  <si>
    <t>Милош</t>
  </si>
  <si>
    <t>Карьера</t>
  </si>
  <si>
    <t>Актер, Продюсер, Режиссер, Актер дубляжа</t>
  </si>
  <si>
    <t>Дата рождения</t>
  </si>
  <si>
    <t>Год рождения</t>
  </si>
  <si>
    <t>Возраст</t>
  </si>
  <si>
    <t>Паулина Андреева</t>
  </si>
  <si>
    <t>Андреева</t>
  </si>
  <si>
    <t>Паулина</t>
  </si>
  <si>
    <t>Актриса, Сценарист, Режиссер, Продюсер</t>
  </si>
  <si>
    <t>Место рождения</t>
  </si>
  <si>
    <t>Рост</t>
  </si>
  <si>
    <t>Ленинград, СССР</t>
  </si>
  <si>
    <t>Жанры</t>
  </si>
  <si>
    <t>драма, комедия, короткометражка</t>
  </si>
  <si>
    <t>Всего фильмов</t>
  </si>
  <si>
    <t>45, 2006 — 2025</t>
  </si>
  <si>
    <t>Лучшие фильмы</t>
  </si>
  <si>
    <t>Конёк-Горбунок</t>
  </si>
  <si>
    <t>Лучшие сериалы</t>
  </si>
  <si>
    <t>Вертинский, Метод; Спящие; Лучше, чем люди; 13 клиническая</t>
  </si>
  <si>
    <t>Оксана Акиньшина</t>
  </si>
  <si>
    <t>Оксана</t>
  </si>
  <si>
    <t>Акиньшина</t>
  </si>
  <si>
    <t>Алексей Кравченко</t>
  </si>
  <si>
    <t>Алексей</t>
  </si>
  <si>
    <t>Кравченко</t>
  </si>
  <si>
    <t>Илья Любимов</t>
  </si>
  <si>
    <t>Любимов</t>
  </si>
  <si>
    <t>Илья</t>
  </si>
  <si>
    <t>Ингрид</t>
  </si>
  <si>
    <t>Олеринская</t>
  </si>
  <si>
    <t>Ингрид Олеринская</t>
  </si>
  <si>
    <t>Евгений Цыганов</t>
  </si>
  <si>
    <t>Евгений</t>
  </si>
  <si>
    <t>Цыганов</t>
  </si>
  <si>
    <t>Любовь</t>
  </si>
  <si>
    <t>Аксёнова</t>
  </si>
  <si>
    <t>Любовь Аксёнова</t>
  </si>
  <si>
    <t>Константин</t>
  </si>
  <si>
    <t>Хабенский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</si>
</sst>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Tahoma"/>
      <family val="2"/>
      <charset val="204"/>
    </font>
    <font>
      <sz val="10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" fontId="0" fillId="0" borderId="1" xfId="0" applyNumberFormat="1" applyBorder="1" applyAlignment="1">
      <alignment horizontal="center" vertical="top"/>
    </xf>
    <xf numFmtId="4" fontId="0" fillId="0" borderId="0" xfId="0" applyNumberFormat="1" applyAlignment="1">
      <alignment horizontal="center" vertical="top"/>
    </xf>
    <xf numFmtId="1" fontId="0" fillId="0" borderId="1" xfId="0" applyNumberFormat="1" applyBorder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workbookViewId="0">
      <pane xSplit="1" ySplit="1" topLeftCell="B59" activePane="bottomRight" state="frozen"/>
      <selection pane="topRight" activeCell="B1" sqref="B1"/>
      <selection pane="bottomLeft" activeCell="A2" sqref="A2"/>
      <selection pane="bottomRight" activeCell="A70" sqref="A70"/>
    </sheetView>
  </sheetViews>
  <sheetFormatPr defaultRowHeight="15" x14ac:dyDescent="0.25"/>
  <cols>
    <col min="1" max="1" width="29.42578125" style="1" customWidth="1"/>
    <col min="2" max="2" width="25.7109375" style="1" customWidth="1"/>
    <col min="3" max="3" width="7.42578125" style="4" bestFit="1" customWidth="1"/>
    <col min="4" max="4" width="11.85546875" style="6" bestFit="1" customWidth="1"/>
    <col min="5" max="5" width="8.28515625" style="6" bestFit="1" customWidth="1"/>
    <col min="6" max="6" width="18" style="1" customWidth="1"/>
    <col min="7" max="7" width="29.28515625" style="1" customWidth="1"/>
    <col min="8" max="8" width="56.140625" style="1" customWidth="1"/>
    <col min="9" max="9" width="20.140625" style="13" customWidth="1"/>
  </cols>
  <sheetData>
    <row r="1" spans="1:9" s="10" customFormat="1" ht="30" x14ac:dyDescent="0.25">
      <c r="A1" s="7" t="s">
        <v>0</v>
      </c>
      <c r="B1" s="7" t="s">
        <v>1</v>
      </c>
      <c r="C1" s="8" t="s">
        <v>36</v>
      </c>
      <c r="D1" s="9" t="s">
        <v>3</v>
      </c>
      <c r="E1" s="9" t="s">
        <v>218</v>
      </c>
      <c r="F1" s="7" t="s">
        <v>4</v>
      </c>
      <c r="G1" s="7" t="s">
        <v>2</v>
      </c>
      <c r="H1" s="7" t="s">
        <v>48</v>
      </c>
      <c r="I1" s="7" t="s">
        <v>267</v>
      </c>
    </row>
    <row r="2" spans="1:9" ht="30" x14ac:dyDescent="0.25">
      <c r="A2" s="2" t="s">
        <v>13</v>
      </c>
      <c r="B2" s="2" t="s">
        <v>14</v>
      </c>
      <c r="C2" s="3" t="s">
        <v>37</v>
      </c>
      <c r="D2" s="5">
        <v>2022</v>
      </c>
      <c r="E2" s="5">
        <v>1</v>
      </c>
      <c r="F2" s="2" t="s">
        <v>7</v>
      </c>
      <c r="G2" s="2" t="s">
        <v>15</v>
      </c>
      <c r="H2" s="2" t="s">
        <v>180</v>
      </c>
      <c r="I2" s="12"/>
    </row>
    <row r="3" spans="1:9" x14ac:dyDescent="0.25">
      <c r="A3" s="2" t="s">
        <v>69</v>
      </c>
      <c r="B3" s="2" t="s">
        <v>97</v>
      </c>
      <c r="C3" s="3" t="s">
        <v>38</v>
      </c>
      <c r="D3" s="5">
        <v>2025</v>
      </c>
      <c r="E3" s="5"/>
      <c r="F3" s="2" t="s">
        <v>7</v>
      </c>
      <c r="G3" s="2" t="s">
        <v>70</v>
      </c>
      <c r="H3" s="2" t="s">
        <v>71</v>
      </c>
      <c r="I3" s="12"/>
    </row>
    <row r="4" spans="1:9" x14ac:dyDescent="0.25">
      <c r="A4" s="2" t="s">
        <v>145</v>
      </c>
      <c r="B4" s="2" t="s">
        <v>146</v>
      </c>
      <c r="C4" s="3" t="s">
        <v>38</v>
      </c>
      <c r="D4" s="5">
        <v>2025</v>
      </c>
      <c r="E4" s="5"/>
      <c r="F4" s="2" t="s">
        <v>7</v>
      </c>
      <c r="G4" s="2" t="s">
        <v>147</v>
      </c>
      <c r="H4" s="2" t="s">
        <v>148</v>
      </c>
      <c r="I4" s="12"/>
    </row>
    <row r="5" spans="1:9" ht="30" x14ac:dyDescent="0.25">
      <c r="A5" s="2" t="s">
        <v>181</v>
      </c>
      <c r="B5" s="2" t="s">
        <v>182</v>
      </c>
      <c r="C5" s="3" t="s">
        <v>37</v>
      </c>
      <c r="D5" s="5">
        <v>2025</v>
      </c>
      <c r="E5" s="5">
        <v>1</v>
      </c>
      <c r="F5" s="2" t="s">
        <v>7</v>
      </c>
      <c r="G5" s="2" t="s">
        <v>183</v>
      </c>
      <c r="H5" s="2" t="s">
        <v>184</v>
      </c>
      <c r="I5" s="12"/>
    </row>
    <row r="6" spans="1:9" x14ac:dyDescent="0.25">
      <c r="A6" s="2" t="s">
        <v>139</v>
      </c>
      <c r="B6" s="2" t="s">
        <v>117</v>
      </c>
      <c r="C6" s="3" t="s">
        <v>38</v>
      </c>
      <c r="D6" s="5">
        <v>2025</v>
      </c>
      <c r="E6" s="5"/>
      <c r="F6" s="2" t="s">
        <v>7</v>
      </c>
      <c r="G6" s="2" t="s">
        <v>140</v>
      </c>
      <c r="H6" s="2" t="s">
        <v>141</v>
      </c>
      <c r="I6" s="12"/>
    </row>
    <row r="7" spans="1:9" ht="30" x14ac:dyDescent="0.25">
      <c r="A7" s="2" t="s">
        <v>236</v>
      </c>
      <c r="B7" s="2" t="s">
        <v>237</v>
      </c>
      <c r="C7" s="3" t="s">
        <v>38</v>
      </c>
      <c r="D7" s="5">
        <v>2025</v>
      </c>
      <c r="E7" s="5"/>
      <c r="F7" s="2" t="s">
        <v>7</v>
      </c>
      <c r="G7" s="2" t="s">
        <v>238</v>
      </c>
      <c r="H7" s="2" t="s">
        <v>239</v>
      </c>
      <c r="I7" s="12"/>
    </row>
    <row r="8" spans="1:9" ht="45" x14ac:dyDescent="0.25">
      <c r="A8" s="2" t="s">
        <v>247</v>
      </c>
      <c r="B8" s="2" t="s">
        <v>6</v>
      </c>
      <c r="C8" s="3" t="s">
        <v>37</v>
      </c>
      <c r="D8" s="5">
        <v>2020</v>
      </c>
      <c r="E8" s="5">
        <v>4</v>
      </c>
      <c r="F8" s="2" t="s">
        <v>7</v>
      </c>
      <c r="G8" s="2" t="s">
        <v>248</v>
      </c>
      <c r="H8" s="2" t="s">
        <v>249</v>
      </c>
      <c r="I8" s="12"/>
    </row>
    <row r="9" spans="1:9" ht="60" x14ac:dyDescent="0.25">
      <c r="A9" s="2" t="s">
        <v>244</v>
      </c>
      <c r="B9" s="2" t="s">
        <v>159</v>
      </c>
      <c r="C9" s="3" t="s">
        <v>37</v>
      </c>
      <c r="D9" s="5">
        <v>2025</v>
      </c>
      <c r="E9" s="5">
        <v>1</v>
      </c>
      <c r="F9" s="2" t="s">
        <v>7</v>
      </c>
      <c r="G9" s="2" t="s">
        <v>245</v>
      </c>
      <c r="H9" s="2" t="s">
        <v>246</v>
      </c>
      <c r="I9" s="12"/>
    </row>
    <row r="10" spans="1:9" ht="30" x14ac:dyDescent="0.25">
      <c r="A10" s="2" t="s">
        <v>66</v>
      </c>
      <c r="B10" s="2" t="s">
        <v>67</v>
      </c>
      <c r="C10" s="3" t="s">
        <v>37</v>
      </c>
      <c r="D10" s="5">
        <v>2017</v>
      </c>
      <c r="E10" s="5">
        <v>1</v>
      </c>
      <c r="F10" s="2" t="s">
        <v>7</v>
      </c>
      <c r="G10" s="2" t="s">
        <v>68</v>
      </c>
      <c r="H10" s="2" t="s">
        <v>215</v>
      </c>
      <c r="I10" s="12"/>
    </row>
    <row r="11" spans="1:9" ht="30" x14ac:dyDescent="0.25">
      <c r="A11" s="2" t="s">
        <v>26</v>
      </c>
      <c r="B11" s="2" t="s">
        <v>27</v>
      </c>
      <c r="C11" s="3" t="s">
        <v>38</v>
      </c>
      <c r="D11" s="5">
        <v>2000</v>
      </c>
      <c r="E11" s="5"/>
      <c r="F11" s="2" t="s">
        <v>28</v>
      </c>
      <c r="G11" s="2" t="s">
        <v>29</v>
      </c>
      <c r="H11" s="2" t="s">
        <v>30</v>
      </c>
      <c r="I11" s="12"/>
    </row>
    <row r="12" spans="1:9" x14ac:dyDescent="0.25">
      <c r="A12" s="2" t="s">
        <v>99</v>
      </c>
      <c r="B12" s="2" t="s">
        <v>100</v>
      </c>
      <c r="C12" s="3" t="s">
        <v>38</v>
      </c>
      <c r="D12" s="5">
        <v>2025</v>
      </c>
      <c r="E12" s="5"/>
      <c r="F12" s="2" t="s">
        <v>7</v>
      </c>
      <c r="G12" s="2" t="s">
        <v>101</v>
      </c>
      <c r="H12" s="2" t="s">
        <v>102</v>
      </c>
      <c r="I12" s="12"/>
    </row>
    <row r="13" spans="1:9" ht="30" x14ac:dyDescent="0.25">
      <c r="A13" s="2" t="s">
        <v>109</v>
      </c>
      <c r="B13" s="2" t="s">
        <v>110</v>
      </c>
      <c r="C13" s="3" t="s">
        <v>37</v>
      </c>
      <c r="D13" s="5">
        <v>2023</v>
      </c>
      <c r="E13" s="5">
        <v>2</v>
      </c>
      <c r="F13" s="2" t="s">
        <v>7</v>
      </c>
      <c r="G13" s="2" t="s">
        <v>111</v>
      </c>
      <c r="H13" s="2" t="s">
        <v>224</v>
      </c>
      <c r="I13" s="12"/>
    </row>
    <row r="14" spans="1:9" ht="30" x14ac:dyDescent="0.25">
      <c r="A14" s="2" t="s">
        <v>80</v>
      </c>
      <c r="B14" s="2" t="s">
        <v>89</v>
      </c>
      <c r="C14" s="3" t="s">
        <v>38</v>
      </c>
      <c r="D14" s="5">
        <v>2013</v>
      </c>
      <c r="E14" s="5"/>
      <c r="F14" s="2" t="s">
        <v>7</v>
      </c>
      <c r="G14" s="2" t="s">
        <v>75</v>
      </c>
      <c r="H14" s="2" t="s">
        <v>76</v>
      </c>
      <c r="I14" s="12"/>
    </row>
    <row r="15" spans="1:9" ht="30" x14ac:dyDescent="0.25">
      <c r="A15" s="2" t="s">
        <v>5</v>
      </c>
      <c r="B15" s="2" t="s">
        <v>6</v>
      </c>
      <c r="C15" s="3" t="s">
        <v>38</v>
      </c>
      <c r="D15" s="5">
        <v>2013</v>
      </c>
      <c r="E15" s="5"/>
      <c r="F15" s="2" t="s">
        <v>7</v>
      </c>
      <c r="G15" s="2" t="s">
        <v>8</v>
      </c>
      <c r="H15" s="2" t="s">
        <v>209</v>
      </c>
      <c r="I15" s="12"/>
    </row>
    <row r="16" spans="1:9" x14ac:dyDescent="0.25">
      <c r="A16" s="2" t="s">
        <v>171</v>
      </c>
      <c r="B16" s="2" t="s">
        <v>6</v>
      </c>
      <c r="C16" s="3" t="s">
        <v>37</v>
      </c>
      <c r="D16" s="5" t="s">
        <v>219</v>
      </c>
      <c r="E16" s="5">
        <v>5</v>
      </c>
      <c r="F16" s="2" t="s">
        <v>7</v>
      </c>
      <c r="G16" s="2" t="s">
        <v>172</v>
      </c>
      <c r="H16" s="2" t="s">
        <v>173</v>
      </c>
      <c r="I16" s="12"/>
    </row>
    <row r="17" spans="1:9" ht="30" x14ac:dyDescent="0.25">
      <c r="A17" s="2" t="s">
        <v>103</v>
      </c>
      <c r="B17" s="2" t="s">
        <v>6</v>
      </c>
      <c r="C17" s="3" t="s">
        <v>38</v>
      </c>
      <c r="D17" s="5">
        <v>2016</v>
      </c>
      <c r="E17" s="5"/>
      <c r="F17" s="2" t="s">
        <v>7</v>
      </c>
      <c r="G17" s="2" t="s">
        <v>104</v>
      </c>
      <c r="H17" s="2" t="s">
        <v>211</v>
      </c>
      <c r="I17" s="12"/>
    </row>
    <row r="18" spans="1:9" ht="30" x14ac:dyDescent="0.25">
      <c r="A18" s="2" t="s">
        <v>210</v>
      </c>
      <c r="B18" s="2" t="s">
        <v>20</v>
      </c>
      <c r="C18" s="3" t="s">
        <v>37</v>
      </c>
      <c r="D18" s="5">
        <v>2022</v>
      </c>
      <c r="E18" s="5">
        <v>3</v>
      </c>
      <c r="F18" s="2" t="s">
        <v>7</v>
      </c>
      <c r="G18" s="2" t="s">
        <v>217</v>
      </c>
      <c r="H18" s="2" t="s">
        <v>216</v>
      </c>
      <c r="I18" s="12"/>
    </row>
    <row r="19" spans="1:9" x14ac:dyDescent="0.25">
      <c r="A19" s="2" t="s">
        <v>56</v>
      </c>
      <c r="B19" s="2" t="s">
        <v>6</v>
      </c>
      <c r="C19" s="3" t="s">
        <v>37</v>
      </c>
      <c r="D19" s="5">
        <v>2024</v>
      </c>
      <c r="E19" s="5">
        <v>1</v>
      </c>
      <c r="F19" s="2" t="s">
        <v>7</v>
      </c>
      <c r="G19" s="2" t="s">
        <v>57</v>
      </c>
      <c r="H19" s="2" t="s">
        <v>58</v>
      </c>
      <c r="I19" s="12"/>
    </row>
    <row r="20" spans="1:9" ht="30" x14ac:dyDescent="0.25">
      <c r="A20" s="2" t="s">
        <v>232</v>
      </c>
      <c r="B20" s="2" t="s">
        <v>233</v>
      </c>
      <c r="C20" s="3" t="s">
        <v>37</v>
      </c>
      <c r="D20" s="5">
        <v>2022</v>
      </c>
      <c r="E20" s="5">
        <v>3</v>
      </c>
      <c r="F20" s="2" t="s">
        <v>7</v>
      </c>
      <c r="G20" s="2" t="s">
        <v>234</v>
      </c>
      <c r="H20" s="2" t="s">
        <v>235</v>
      </c>
      <c r="I20" s="12"/>
    </row>
    <row r="21" spans="1:9" ht="30" x14ac:dyDescent="0.25">
      <c r="A21" s="2" t="s">
        <v>86</v>
      </c>
      <c r="B21" s="2" t="s">
        <v>87</v>
      </c>
      <c r="C21" s="3" t="s">
        <v>38</v>
      </c>
      <c r="D21" s="5">
        <v>2017</v>
      </c>
      <c r="E21" s="5"/>
      <c r="F21" s="2" t="s">
        <v>92</v>
      </c>
      <c r="G21" s="2" t="s">
        <v>93</v>
      </c>
      <c r="H21" s="2" t="s">
        <v>94</v>
      </c>
      <c r="I21" s="12"/>
    </row>
    <row r="22" spans="1:9" ht="30" x14ac:dyDescent="0.25">
      <c r="A22" s="2" t="s">
        <v>83</v>
      </c>
      <c r="B22" s="2" t="s">
        <v>88</v>
      </c>
      <c r="C22" s="3" t="s">
        <v>38</v>
      </c>
      <c r="D22" s="5">
        <v>2015</v>
      </c>
      <c r="E22" s="5"/>
      <c r="F22" s="2" t="s">
        <v>84</v>
      </c>
      <c r="G22" s="2" t="s">
        <v>85</v>
      </c>
      <c r="H22" s="2" t="s">
        <v>96</v>
      </c>
      <c r="I22" s="12"/>
    </row>
    <row r="23" spans="1:9" ht="30" x14ac:dyDescent="0.25">
      <c r="A23" s="2" t="s">
        <v>95</v>
      </c>
      <c r="B23" s="2" t="s">
        <v>87</v>
      </c>
      <c r="C23" s="3" t="s">
        <v>38</v>
      </c>
      <c r="D23" s="5">
        <v>2019</v>
      </c>
      <c r="E23" s="5"/>
      <c r="F23" s="2" t="s">
        <v>84</v>
      </c>
      <c r="G23" s="2" t="s">
        <v>85</v>
      </c>
      <c r="H23" s="2" t="s">
        <v>94</v>
      </c>
      <c r="I23" s="12"/>
    </row>
    <row r="24" spans="1:9" x14ac:dyDescent="0.25">
      <c r="A24" s="2" t="s">
        <v>158</v>
      </c>
      <c r="B24" s="2" t="s">
        <v>159</v>
      </c>
      <c r="C24" s="3" t="s">
        <v>38</v>
      </c>
      <c r="D24" s="5">
        <v>2024</v>
      </c>
      <c r="E24" s="5"/>
      <c r="F24" s="2" t="s">
        <v>7</v>
      </c>
      <c r="G24" s="2" t="s">
        <v>160</v>
      </c>
      <c r="H24" s="2" t="s">
        <v>161</v>
      </c>
      <c r="I24" s="12"/>
    </row>
    <row r="25" spans="1:9" x14ac:dyDescent="0.25">
      <c r="A25" s="2" t="s">
        <v>134</v>
      </c>
      <c r="B25" s="2" t="s">
        <v>6</v>
      </c>
      <c r="C25" s="3" t="s">
        <v>38</v>
      </c>
      <c r="D25" s="5">
        <v>2019</v>
      </c>
      <c r="E25" s="5"/>
      <c r="F25" s="2" t="s">
        <v>130</v>
      </c>
      <c r="G25" s="2" t="s">
        <v>135</v>
      </c>
      <c r="H25" s="2" t="s">
        <v>126</v>
      </c>
      <c r="I25" s="12"/>
    </row>
    <row r="26" spans="1:9" ht="30" x14ac:dyDescent="0.25">
      <c r="A26" s="2" t="s">
        <v>49</v>
      </c>
      <c r="B26" s="2" t="s">
        <v>50</v>
      </c>
      <c r="C26" s="3" t="s">
        <v>38</v>
      </c>
      <c r="D26" s="5">
        <v>2023</v>
      </c>
      <c r="E26" s="5"/>
      <c r="F26" s="2" t="s">
        <v>7</v>
      </c>
      <c r="G26" s="2" t="s">
        <v>51</v>
      </c>
      <c r="H26" s="2" t="s">
        <v>52</v>
      </c>
      <c r="I26" s="12"/>
    </row>
    <row r="27" spans="1:9" ht="30" x14ac:dyDescent="0.25">
      <c r="A27" s="2" t="s">
        <v>142</v>
      </c>
      <c r="B27" s="2" t="s">
        <v>6</v>
      </c>
      <c r="C27" s="3" t="s">
        <v>37</v>
      </c>
      <c r="D27" s="5" t="s">
        <v>220</v>
      </c>
      <c r="E27" s="5">
        <v>4</v>
      </c>
      <c r="F27" s="2" t="s">
        <v>7</v>
      </c>
      <c r="G27" s="2" t="s">
        <v>143</v>
      </c>
      <c r="H27" s="2" t="s">
        <v>144</v>
      </c>
      <c r="I27" s="12"/>
    </row>
    <row r="28" spans="1:9" ht="30" x14ac:dyDescent="0.25">
      <c r="A28" s="2" t="s">
        <v>197</v>
      </c>
      <c r="B28" s="2" t="s">
        <v>198</v>
      </c>
      <c r="C28" s="3" t="s">
        <v>37</v>
      </c>
      <c r="D28" s="5">
        <v>2023</v>
      </c>
      <c r="E28" s="5">
        <v>2</v>
      </c>
      <c r="F28" s="2" t="s">
        <v>7</v>
      </c>
      <c r="G28" s="2" t="s">
        <v>199</v>
      </c>
      <c r="H28" s="2" t="s">
        <v>200</v>
      </c>
      <c r="I28" s="12"/>
    </row>
    <row r="29" spans="1:9" ht="30" x14ac:dyDescent="0.25">
      <c r="A29" s="2" t="s">
        <v>228</v>
      </c>
      <c r="B29" s="2" t="s">
        <v>229</v>
      </c>
      <c r="C29" s="3" t="s">
        <v>37</v>
      </c>
      <c r="D29" s="5">
        <v>2024</v>
      </c>
      <c r="E29" s="5">
        <v>1</v>
      </c>
      <c r="F29" s="2" t="s">
        <v>7</v>
      </c>
      <c r="G29" s="2" t="s">
        <v>230</v>
      </c>
      <c r="H29" s="2" t="s">
        <v>231</v>
      </c>
      <c r="I29" s="12"/>
    </row>
    <row r="30" spans="1:9" ht="30" x14ac:dyDescent="0.25">
      <c r="A30" s="2" t="s">
        <v>174</v>
      </c>
      <c r="B30" s="2" t="s">
        <v>6</v>
      </c>
      <c r="C30" s="3" t="s">
        <v>37</v>
      </c>
      <c r="D30" s="5" t="s">
        <v>221</v>
      </c>
      <c r="E30" s="5">
        <v>6</v>
      </c>
      <c r="F30" s="2" t="s">
        <v>7</v>
      </c>
      <c r="G30" s="2" t="s">
        <v>175</v>
      </c>
      <c r="H30" s="2" t="s">
        <v>176</v>
      </c>
      <c r="I30" s="12"/>
    </row>
    <row r="31" spans="1:9" ht="30" x14ac:dyDescent="0.25">
      <c r="A31" s="2" t="s">
        <v>72</v>
      </c>
      <c r="B31" s="2" t="s">
        <v>98</v>
      </c>
      <c r="C31" s="3" t="s">
        <v>38</v>
      </c>
      <c r="D31" s="5">
        <v>2021</v>
      </c>
      <c r="E31" s="5"/>
      <c r="F31" s="2" t="s">
        <v>7</v>
      </c>
      <c r="G31" s="2" t="s">
        <v>73</v>
      </c>
      <c r="H31" s="2" t="s">
        <v>74</v>
      </c>
      <c r="I31" s="12"/>
    </row>
    <row r="32" spans="1:9" x14ac:dyDescent="0.25">
      <c r="A32" s="2" t="s">
        <v>19</v>
      </c>
      <c r="B32" s="2" t="s">
        <v>20</v>
      </c>
      <c r="C32" s="3" t="s">
        <v>38</v>
      </c>
      <c r="D32" s="5">
        <v>2024</v>
      </c>
      <c r="E32" s="5"/>
      <c r="F32" s="2" t="s">
        <v>7</v>
      </c>
      <c r="G32" s="2" t="s">
        <v>21</v>
      </c>
      <c r="H32" s="2" t="s">
        <v>22</v>
      </c>
      <c r="I32" s="12"/>
    </row>
    <row r="33" spans="1:9" ht="30" x14ac:dyDescent="0.25">
      <c r="A33" s="2" t="s">
        <v>33</v>
      </c>
      <c r="B33" s="2" t="s">
        <v>34</v>
      </c>
      <c r="C33" s="3" t="s">
        <v>38</v>
      </c>
      <c r="D33" s="5">
        <v>2025</v>
      </c>
      <c r="E33" s="5"/>
      <c r="F33" s="2" t="s">
        <v>28</v>
      </c>
      <c r="G33" s="2" t="s">
        <v>35</v>
      </c>
      <c r="H33" s="2" t="s">
        <v>30</v>
      </c>
      <c r="I33" s="12"/>
    </row>
    <row r="34" spans="1:9" x14ac:dyDescent="0.25">
      <c r="A34" s="2" t="s">
        <v>116</v>
      </c>
      <c r="B34" s="2" t="s">
        <v>117</v>
      </c>
      <c r="C34" s="3" t="s">
        <v>37</v>
      </c>
      <c r="D34" s="5">
        <v>2022</v>
      </c>
      <c r="E34" s="5">
        <v>1</v>
      </c>
      <c r="F34" s="2" t="s">
        <v>7</v>
      </c>
      <c r="G34" s="2" t="s">
        <v>118</v>
      </c>
      <c r="H34" s="2" t="s">
        <v>119</v>
      </c>
      <c r="I34" s="12"/>
    </row>
    <row r="35" spans="1:9" ht="30" x14ac:dyDescent="0.25">
      <c r="A35" s="2" t="s">
        <v>162</v>
      </c>
      <c r="B35" s="2" t="s">
        <v>163</v>
      </c>
      <c r="C35" s="3" t="s">
        <v>38</v>
      </c>
      <c r="D35" s="5">
        <v>2022</v>
      </c>
      <c r="E35" s="5"/>
      <c r="F35" s="2" t="s">
        <v>7</v>
      </c>
      <c r="G35" s="2" t="s">
        <v>70</v>
      </c>
      <c r="H35" s="2" t="s">
        <v>164</v>
      </c>
      <c r="I35" s="12"/>
    </row>
    <row r="36" spans="1:9" ht="30" x14ac:dyDescent="0.25">
      <c r="A36" s="2" t="s">
        <v>260</v>
      </c>
      <c r="B36" s="2" t="s">
        <v>6</v>
      </c>
      <c r="C36" s="3" t="s">
        <v>38</v>
      </c>
      <c r="D36" s="5">
        <v>2022</v>
      </c>
      <c r="E36" s="5"/>
      <c r="F36" s="2" t="s">
        <v>7</v>
      </c>
      <c r="G36" s="2" t="s">
        <v>261</v>
      </c>
      <c r="H36" s="2" t="s">
        <v>262</v>
      </c>
      <c r="I36" s="12"/>
    </row>
    <row r="37" spans="1:9" ht="30" x14ac:dyDescent="0.25">
      <c r="A37" s="2" t="s">
        <v>263</v>
      </c>
      <c r="B37" s="2" t="s">
        <v>264</v>
      </c>
      <c r="C37" s="3" t="s">
        <v>37</v>
      </c>
      <c r="D37" s="5">
        <v>2022</v>
      </c>
      <c r="E37" s="5">
        <v>1</v>
      </c>
      <c r="F37" s="2" t="s">
        <v>7</v>
      </c>
      <c r="G37" s="2" t="s">
        <v>265</v>
      </c>
      <c r="H37" s="2" t="s">
        <v>266</v>
      </c>
      <c r="I37" s="12"/>
    </row>
    <row r="38" spans="1:9" x14ac:dyDescent="0.25">
      <c r="A38" s="2" t="s">
        <v>225</v>
      </c>
      <c r="B38" s="2" t="s">
        <v>6</v>
      </c>
      <c r="C38" s="3" t="s">
        <v>38</v>
      </c>
      <c r="D38" s="5">
        <v>2010</v>
      </c>
      <c r="E38" s="5"/>
      <c r="F38" s="2" t="s">
        <v>7</v>
      </c>
      <c r="G38" s="2" t="s">
        <v>226</v>
      </c>
      <c r="H38" s="2" t="s">
        <v>227</v>
      </c>
      <c r="I38" s="12"/>
    </row>
    <row r="39" spans="1:9" ht="30" x14ac:dyDescent="0.25">
      <c r="A39" s="2" t="s">
        <v>253</v>
      </c>
      <c r="B39" s="2" t="s">
        <v>254</v>
      </c>
      <c r="C39" s="3" t="s">
        <v>38</v>
      </c>
      <c r="D39" s="5">
        <v>2010</v>
      </c>
      <c r="E39" s="5"/>
      <c r="F39" s="2" t="s">
        <v>7</v>
      </c>
      <c r="G39" s="2" t="s">
        <v>104</v>
      </c>
      <c r="H39" s="2" t="s">
        <v>255</v>
      </c>
      <c r="I39" s="12"/>
    </row>
    <row r="40" spans="1:9" ht="30" x14ac:dyDescent="0.25">
      <c r="A40" s="2" t="s">
        <v>53</v>
      </c>
      <c r="B40" s="2" t="s">
        <v>6</v>
      </c>
      <c r="C40" s="3" t="s">
        <v>38</v>
      </c>
      <c r="D40" s="5">
        <v>2024</v>
      </c>
      <c r="E40" s="5"/>
      <c r="F40" s="2" t="s">
        <v>7</v>
      </c>
      <c r="G40" s="2" t="s">
        <v>54</v>
      </c>
      <c r="H40" s="2" t="s">
        <v>55</v>
      </c>
      <c r="I40" s="12"/>
    </row>
    <row r="41" spans="1:9" ht="30" x14ac:dyDescent="0.25">
      <c r="A41" s="2" t="s">
        <v>11</v>
      </c>
      <c r="B41" s="2" t="s">
        <v>6</v>
      </c>
      <c r="C41" s="3" t="s">
        <v>38</v>
      </c>
      <c r="D41" s="5">
        <v>2025</v>
      </c>
      <c r="E41" s="5"/>
      <c r="F41" s="2" t="s">
        <v>7</v>
      </c>
      <c r="G41" s="2" t="s">
        <v>12</v>
      </c>
      <c r="H41" s="2" t="s">
        <v>59</v>
      </c>
      <c r="I41" s="12"/>
    </row>
    <row r="42" spans="1:9" x14ac:dyDescent="0.25">
      <c r="A42" s="2" t="s">
        <v>123</v>
      </c>
      <c r="B42" s="2" t="s">
        <v>6</v>
      </c>
      <c r="C42" s="3" t="s">
        <v>38</v>
      </c>
      <c r="D42" s="5">
        <v>2024</v>
      </c>
      <c r="E42" s="5"/>
      <c r="F42" s="2" t="s">
        <v>133</v>
      </c>
      <c r="G42" s="2" t="s">
        <v>125</v>
      </c>
      <c r="H42" s="2" t="s">
        <v>126</v>
      </c>
      <c r="I42" s="12"/>
    </row>
    <row r="43" spans="1:9" x14ac:dyDescent="0.25">
      <c r="A43" s="2" t="s">
        <v>127</v>
      </c>
      <c r="B43" s="2" t="s">
        <v>6</v>
      </c>
      <c r="C43" s="3" t="s">
        <v>38</v>
      </c>
      <c r="D43" s="5">
        <v>2022</v>
      </c>
      <c r="E43" s="5"/>
      <c r="F43" s="2" t="s">
        <v>124</v>
      </c>
      <c r="G43" s="2" t="s">
        <v>128</v>
      </c>
      <c r="H43" s="2" t="s">
        <v>126</v>
      </c>
      <c r="I43" s="12"/>
    </row>
    <row r="44" spans="1:9" x14ac:dyDescent="0.25">
      <c r="A44" s="2" t="s">
        <v>168</v>
      </c>
      <c r="B44" s="2" t="s">
        <v>6</v>
      </c>
      <c r="C44" s="3" t="s">
        <v>37</v>
      </c>
      <c r="D44" s="5">
        <v>2025</v>
      </c>
      <c r="E44" s="5">
        <v>1</v>
      </c>
      <c r="F44" s="2" t="s">
        <v>7</v>
      </c>
      <c r="G44" s="2" t="s">
        <v>169</v>
      </c>
      <c r="H44" s="2" t="s">
        <v>170</v>
      </c>
      <c r="I44" s="12"/>
    </row>
    <row r="45" spans="1:9" ht="30" x14ac:dyDescent="0.25">
      <c r="A45" s="2" t="s">
        <v>63</v>
      </c>
      <c r="B45" s="2" t="s">
        <v>64</v>
      </c>
      <c r="C45" s="3" t="s">
        <v>38</v>
      </c>
      <c r="D45" s="5">
        <v>2024</v>
      </c>
      <c r="E45" s="5"/>
      <c r="F45" s="2" t="s">
        <v>7</v>
      </c>
      <c r="G45" s="2" t="s">
        <v>18</v>
      </c>
      <c r="H45" s="2" t="s">
        <v>65</v>
      </c>
      <c r="I45" s="12"/>
    </row>
    <row r="46" spans="1:9" ht="30" x14ac:dyDescent="0.25">
      <c r="A46" s="2" t="s">
        <v>31</v>
      </c>
      <c r="B46" s="2" t="s">
        <v>32</v>
      </c>
      <c r="C46" s="3" t="s">
        <v>38</v>
      </c>
      <c r="D46" s="5">
        <v>2022</v>
      </c>
      <c r="E46" s="5"/>
      <c r="F46" s="2" t="s">
        <v>28</v>
      </c>
      <c r="G46" s="2" t="s">
        <v>29</v>
      </c>
      <c r="H46" s="2" t="s">
        <v>30</v>
      </c>
      <c r="I46" s="12"/>
    </row>
    <row r="47" spans="1:9" ht="30" x14ac:dyDescent="0.25">
      <c r="A47" s="2" t="s">
        <v>149</v>
      </c>
      <c r="B47" s="2" t="s">
        <v>150</v>
      </c>
      <c r="C47" s="3" t="s">
        <v>38</v>
      </c>
      <c r="D47" s="5">
        <v>2023</v>
      </c>
      <c r="E47" s="5"/>
      <c r="F47" s="2" t="s">
        <v>84</v>
      </c>
      <c r="G47" s="2" t="s">
        <v>151</v>
      </c>
      <c r="H47" s="2" t="s">
        <v>152</v>
      </c>
      <c r="I47" s="12"/>
    </row>
    <row r="48" spans="1:9" ht="45" x14ac:dyDescent="0.25">
      <c r="A48" s="2" t="s">
        <v>165</v>
      </c>
      <c r="B48" s="2" t="s">
        <v>6</v>
      </c>
      <c r="C48" s="3" t="s">
        <v>37</v>
      </c>
      <c r="D48" s="5" t="s">
        <v>222</v>
      </c>
      <c r="E48" s="5">
        <v>3</v>
      </c>
      <c r="F48" s="2" t="s">
        <v>7</v>
      </c>
      <c r="G48" s="2" t="s">
        <v>166</v>
      </c>
      <c r="H48" s="2" t="s">
        <v>167</v>
      </c>
      <c r="I48" s="12"/>
    </row>
    <row r="49" spans="1:9" ht="45" x14ac:dyDescent="0.25">
      <c r="A49" s="2" t="s">
        <v>240</v>
      </c>
      <c r="B49" s="2" t="s">
        <v>241</v>
      </c>
      <c r="C49" s="3" t="s">
        <v>37</v>
      </c>
      <c r="D49" s="5">
        <v>2023</v>
      </c>
      <c r="E49" s="5">
        <v>2</v>
      </c>
      <c r="F49" s="2" t="s">
        <v>7</v>
      </c>
      <c r="G49" s="2" t="s">
        <v>242</v>
      </c>
      <c r="H49" s="2" t="s">
        <v>243</v>
      </c>
      <c r="I49" s="12"/>
    </row>
    <row r="50" spans="1:9" ht="30" x14ac:dyDescent="0.25">
      <c r="A50" s="2" t="s">
        <v>153</v>
      </c>
      <c r="B50" s="2" t="s">
        <v>154</v>
      </c>
      <c r="C50" s="3" t="s">
        <v>38</v>
      </c>
      <c r="D50" s="5">
        <v>2006</v>
      </c>
      <c r="E50" s="5"/>
      <c r="F50" s="2" t="s">
        <v>155</v>
      </c>
      <c r="G50" s="2" t="s">
        <v>156</v>
      </c>
      <c r="H50" s="2" t="s">
        <v>157</v>
      </c>
      <c r="I50" s="12"/>
    </row>
    <row r="51" spans="1:9" ht="45" x14ac:dyDescent="0.25">
      <c r="A51" s="2" t="s">
        <v>250</v>
      </c>
      <c r="B51" s="2" t="s">
        <v>67</v>
      </c>
      <c r="C51" s="3" t="s">
        <v>37</v>
      </c>
      <c r="D51" s="5">
        <v>2024</v>
      </c>
      <c r="E51" s="5">
        <v>1</v>
      </c>
      <c r="F51" s="2" t="s">
        <v>7</v>
      </c>
      <c r="G51" s="2" t="s">
        <v>251</v>
      </c>
      <c r="H51" s="2" t="s">
        <v>252</v>
      </c>
      <c r="I51" s="12"/>
    </row>
    <row r="52" spans="1:9" ht="30" x14ac:dyDescent="0.25">
      <c r="A52" s="2" t="s">
        <v>77</v>
      </c>
      <c r="B52" s="2" t="s">
        <v>90</v>
      </c>
      <c r="C52" s="3" t="s">
        <v>38</v>
      </c>
      <c r="D52" s="5">
        <v>2023</v>
      </c>
      <c r="E52" s="5"/>
      <c r="F52" s="2" t="s">
        <v>7</v>
      </c>
      <c r="G52" s="2" t="s">
        <v>78</v>
      </c>
      <c r="H52" s="2" t="s">
        <v>79</v>
      </c>
      <c r="I52" s="12"/>
    </row>
    <row r="53" spans="1:9" x14ac:dyDescent="0.25">
      <c r="A53" s="2" t="s">
        <v>129</v>
      </c>
      <c r="B53" s="2" t="s">
        <v>6</v>
      </c>
      <c r="C53" s="3" t="s">
        <v>38</v>
      </c>
      <c r="D53" s="5">
        <v>2025</v>
      </c>
      <c r="E53" s="5"/>
      <c r="F53" s="2" t="s">
        <v>130</v>
      </c>
      <c r="G53" s="2" t="s">
        <v>131</v>
      </c>
      <c r="H53" s="2" t="s">
        <v>132</v>
      </c>
      <c r="I53" s="12"/>
    </row>
    <row r="54" spans="1:9" ht="30" x14ac:dyDescent="0.25">
      <c r="A54" s="2" t="s">
        <v>136</v>
      </c>
      <c r="B54" s="2" t="s">
        <v>137</v>
      </c>
      <c r="C54" s="3" t="s">
        <v>38</v>
      </c>
      <c r="D54" s="5">
        <v>2019</v>
      </c>
      <c r="E54" s="5">
        <v>4</v>
      </c>
      <c r="F54" s="2" t="s">
        <v>7</v>
      </c>
      <c r="G54" s="2" t="s">
        <v>138</v>
      </c>
      <c r="H54" s="2" t="s">
        <v>268</v>
      </c>
      <c r="I54" s="12"/>
    </row>
    <row r="55" spans="1:9" ht="45" x14ac:dyDescent="0.25">
      <c r="A55" s="2" t="s">
        <v>256</v>
      </c>
      <c r="B55" s="2" t="s">
        <v>257</v>
      </c>
      <c r="C55" s="3" t="s">
        <v>37</v>
      </c>
      <c r="D55" s="5">
        <v>2024</v>
      </c>
      <c r="E55" s="5">
        <v>1</v>
      </c>
      <c r="F55" s="2" t="s">
        <v>7</v>
      </c>
      <c r="G55" s="2" t="s">
        <v>258</v>
      </c>
      <c r="H55" s="2" t="s">
        <v>259</v>
      </c>
      <c r="I55" s="12"/>
    </row>
    <row r="56" spans="1:9" x14ac:dyDescent="0.25">
      <c r="A56" s="2" t="s">
        <v>188</v>
      </c>
      <c r="B56" s="2" t="s">
        <v>6</v>
      </c>
      <c r="C56" s="3" t="s">
        <v>37</v>
      </c>
      <c r="D56" s="5">
        <v>2025</v>
      </c>
      <c r="E56" s="5">
        <v>1</v>
      </c>
      <c r="F56" s="2" t="s">
        <v>7</v>
      </c>
      <c r="G56" s="2" t="s">
        <v>189</v>
      </c>
      <c r="H56" s="2" t="s">
        <v>190</v>
      </c>
      <c r="I56" s="12"/>
    </row>
    <row r="57" spans="1:9" ht="30" x14ac:dyDescent="0.25">
      <c r="A57" s="2" t="s">
        <v>23</v>
      </c>
      <c r="B57" s="2" t="s">
        <v>24</v>
      </c>
      <c r="C57" s="3" t="s">
        <v>38</v>
      </c>
      <c r="D57" s="5">
        <v>2025</v>
      </c>
      <c r="E57" s="5"/>
      <c r="F57" s="2" t="s">
        <v>7</v>
      </c>
      <c r="G57" s="2" t="s">
        <v>25</v>
      </c>
      <c r="H57" s="2" t="s">
        <v>62</v>
      </c>
      <c r="I57" s="12"/>
    </row>
    <row r="58" spans="1:9" ht="30" x14ac:dyDescent="0.25">
      <c r="A58" s="2" t="s">
        <v>39</v>
      </c>
      <c r="B58" s="2" t="s">
        <v>6</v>
      </c>
      <c r="C58" s="3" t="s">
        <v>37</v>
      </c>
      <c r="D58" s="5">
        <v>2025</v>
      </c>
      <c r="E58" s="5">
        <v>1</v>
      </c>
      <c r="F58" s="2" t="s">
        <v>7</v>
      </c>
      <c r="G58" s="2" t="s">
        <v>40</v>
      </c>
      <c r="H58" s="2" t="s">
        <v>191</v>
      </c>
      <c r="I58" s="12"/>
    </row>
    <row r="59" spans="1:9" ht="30" x14ac:dyDescent="0.25">
      <c r="A59" s="2" t="s">
        <v>9</v>
      </c>
      <c r="B59" s="2" t="s">
        <v>10</v>
      </c>
      <c r="C59" s="3" t="s">
        <v>37</v>
      </c>
      <c r="D59" s="5">
        <v>2023</v>
      </c>
      <c r="E59" s="5">
        <v>1</v>
      </c>
      <c r="F59" s="2" t="s">
        <v>7</v>
      </c>
      <c r="G59" s="2" t="s">
        <v>8</v>
      </c>
      <c r="H59" s="2" t="s">
        <v>60</v>
      </c>
      <c r="I59" s="12"/>
    </row>
    <row r="60" spans="1:9" ht="30" x14ac:dyDescent="0.25">
      <c r="A60" s="2" t="s">
        <v>105</v>
      </c>
      <c r="B60" s="2" t="s">
        <v>106</v>
      </c>
      <c r="C60" s="3" t="s">
        <v>38</v>
      </c>
      <c r="D60" s="5">
        <v>2025</v>
      </c>
      <c r="E60" s="5"/>
      <c r="F60" s="2" t="s">
        <v>7</v>
      </c>
      <c r="G60" s="2" t="s">
        <v>107</v>
      </c>
      <c r="H60" s="2" t="s">
        <v>108</v>
      </c>
      <c r="I60" s="12"/>
    </row>
    <row r="61" spans="1:9" ht="30" x14ac:dyDescent="0.25">
      <c r="A61" s="2" t="s">
        <v>112</v>
      </c>
      <c r="B61" s="2" t="s">
        <v>113</v>
      </c>
      <c r="C61" s="3" t="s">
        <v>38</v>
      </c>
      <c r="D61" s="5">
        <v>2016</v>
      </c>
      <c r="E61" s="5"/>
      <c r="F61" s="2" t="s">
        <v>7</v>
      </c>
      <c r="G61" s="2" t="s">
        <v>114</v>
      </c>
      <c r="H61" s="2" t="s">
        <v>115</v>
      </c>
      <c r="I61" s="12"/>
    </row>
    <row r="62" spans="1:9" ht="30" x14ac:dyDescent="0.25">
      <c r="A62" s="2" t="s">
        <v>120</v>
      </c>
      <c r="B62" s="2" t="s">
        <v>121</v>
      </c>
      <c r="C62" s="3" t="s">
        <v>38</v>
      </c>
      <c r="D62" s="5">
        <v>2018</v>
      </c>
      <c r="E62" s="5"/>
      <c r="F62" s="2" t="s">
        <v>7</v>
      </c>
      <c r="G62" s="2" t="s">
        <v>114</v>
      </c>
      <c r="H62" s="2" t="s">
        <v>122</v>
      </c>
      <c r="I62" s="12"/>
    </row>
    <row r="63" spans="1:9" ht="30" x14ac:dyDescent="0.25">
      <c r="A63" s="2" t="s">
        <v>185</v>
      </c>
      <c r="B63" s="2" t="s">
        <v>6</v>
      </c>
      <c r="C63" s="3" t="s">
        <v>37</v>
      </c>
      <c r="D63" s="5">
        <v>2023</v>
      </c>
      <c r="E63" s="5">
        <v>2</v>
      </c>
      <c r="F63" s="2" t="s">
        <v>7</v>
      </c>
      <c r="G63" s="2" t="s">
        <v>186</v>
      </c>
      <c r="H63" s="2" t="s">
        <v>187</v>
      </c>
      <c r="I63" s="12"/>
    </row>
    <row r="64" spans="1:9" ht="30" x14ac:dyDescent="0.25">
      <c r="A64" s="2" t="s">
        <v>201</v>
      </c>
      <c r="B64" s="2" t="s">
        <v>202</v>
      </c>
      <c r="C64" s="3" t="s">
        <v>37</v>
      </c>
      <c r="D64" s="5">
        <v>2019</v>
      </c>
      <c r="E64" s="5">
        <v>5</v>
      </c>
      <c r="F64" s="2" t="s">
        <v>7</v>
      </c>
      <c r="G64" s="2" t="s">
        <v>203</v>
      </c>
      <c r="H64" s="2" t="s">
        <v>204</v>
      </c>
      <c r="I64" s="12"/>
    </row>
    <row r="65" spans="1:9" ht="45" x14ac:dyDescent="0.25">
      <c r="A65" s="2" t="s">
        <v>194</v>
      </c>
      <c r="B65" s="2" t="s">
        <v>6</v>
      </c>
      <c r="C65" s="3" t="s">
        <v>37</v>
      </c>
      <c r="D65" s="5">
        <v>2023</v>
      </c>
      <c r="E65" s="5">
        <v>2</v>
      </c>
      <c r="F65" s="2" t="s">
        <v>7</v>
      </c>
      <c r="G65" s="2" t="s">
        <v>195</v>
      </c>
      <c r="H65" s="2" t="s">
        <v>196</v>
      </c>
      <c r="I65" s="12"/>
    </row>
    <row r="66" spans="1:9" ht="30" x14ac:dyDescent="0.25">
      <c r="A66" s="2" t="s">
        <v>212</v>
      </c>
      <c r="B66" s="2" t="s">
        <v>6</v>
      </c>
      <c r="C66" s="3" t="s">
        <v>37</v>
      </c>
      <c r="D66" s="5" t="s">
        <v>223</v>
      </c>
      <c r="E66" s="5">
        <v>4</v>
      </c>
      <c r="F66" s="2" t="s">
        <v>7</v>
      </c>
      <c r="G66" s="2" t="s">
        <v>213</v>
      </c>
      <c r="H66" s="2" t="s">
        <v>214</v>
      </c>
      <c r="I66" s="12"/>
    </row>
    <row r="67" spans="1:9" ht="30" x14ac:dyDescent="0.25">
      <c r="A67" s="2" t="s">
        <v>177</v>
      </c>
      <c r="B67" s="2" t="s">
        <v>178</v>
      </c>
      <c r="C67" s="3" t="s">
        <v>37</v>
      </c>
      <c r="D67" s="5">
        <v>2025</v>
      </c>
      <c r="E67" s="5">
        <v>1</v>
      </c>
      <c r="F67" s="2" t="s">
        <v>7</v>
      </c>
      <c r="G67" s="2" t="s">
        <v>178</v>
      </c>
      <c r="H67" s="2" t="s">
        <v>179</v>
      </c>
      <c r="I67" s="12"/>
    </row>
    <row r="68" spans="1:9" x14ac:dyDescent="0.25">
      <c r="A68" s="2" t="s">
        <v>81</v>
      </c>
      <c r="B68" s="2" t="s">
        <v>91</v>
      </c>
      <c r="C68" s="3" t="s">
        <v>37</v>
      </c>
      <c r="D68" s="5">
        <v>2025</v>
      </c>
      <c r="E68" s="5">
        <v>1</v>
      </c>
      <c r="F68" s="2" t="s">
        <v>7</v>
      </c>
      <c r="G68" s="2" t="s">
        <v>82</v>
      </c>
      <c r="H68" s="2" t="s">
        <v>192</v>
      </c>
      <c r="I68" s="12"/>
    </row>
    <row r="69" spans="1:9" x14ac:dyDescent="0.25">
      <c r="A69" s="2" t="s">
        <v>41</v>
      </c>
      <c r="B69" s="2" t="s">
        <v>42</v>
      </c>
      <c r="C69" s="3" t="s">
        <v>37</v>
      </c>
      <c r="D69" s="5">
        <v>2024</v>
      </c>
      <c r="E69" s="5">
        <v>1</v>
      </c>
      <c r="F69" s="2" t="s">
        <v>7</v>
      </c>
      <c r="G69" s="2" t="s">
        <v>43</v>
      </c>
      <c r="H69" s="2" t="s">
        <v>193</v>
      </c>
      <c r="I69" s="12"/>
    </row>
    <row r="70" spans="1:9" x14ac:dyDescent="0.25">
      <c r="A70" s="2" t="s">
        <v>44</v>
      </c>
      <c r="B70" s="2" t="s">
        <v>45</v>
      </c>
      <c r="C70" s="3" t="s">
        <v>38</v>
      </c>
      <c r="D70" s="5">
        <v>2021</v>
      </c>
      <c r="E70" s="5"/>
      <c r="F70" s="2" t="s">
        <v>7</v>
      </c>
      <c r="G70" s="2" t="s">
        <v>46</v>
      </c>
      <c r="H70" s="2" t="s">
        <v>47</v>
      </c>
      <c r="I70" s="12"/>
    </row>
    <row r="71" spans="1:9" ht="30" x14ac:dyDescent="0.25">
      <c r="A71" s="2" t="s">
        <v>205</v>
      </c>
      <c r="B71" s="2" t="s">
        <v>206</v>
      </c>
      <c r="C71" s="3" t="s">
        <v>38</v>
      </c>
      <c r="D71" s="5">
        <v>2025</v>
      </c>
      <c r="E71" s="5"/>
      <c r="F71" s="2" t="s">
        <v>7</v>
      </c>
      <c r="G71" s="2" t="s">
        <v>207</v>
      </c>
      <c r="H71" s="2" t="s">
        <v>208</v>
      </c>
      <c r="I71" s="12"/>
    </row>
    <row r="72" spans="1:9" ht="30" x14ac:dyDescent="0.25">
      <c r="A72" s="2" t="s">
        <v>16</v>
      </c>
      <c r="B72" s="2" t="s">
        <v>17</v>
      </c>
      <c r="C72" s="3" t="s">
        <v>38</v>
      </c>
      <c r="D72" s="5">
        <v>2025</v>
      </c>
      <c r="E72" s="5"/>
      <c r="F72" s="2" t="s">
        <v>7</v>
      </c>
      <c r="G72" s="2" t="s">
        <v>18</v>
      </c>
      <c r="H72" s="2" t="s">
        <v>61</v>
      </c>
      <c r="I72" s="12"/>
    </row>
    <row r="73" spans="1:9" x14ac:dyDescent="0.25">
      <c r="A73" s="2"/>
      <c r="B73" s="2"/>
      <c r="C73" s="3"/>
      <c r="D73" s="5"/>
      <c r="E73" s="5"/>
      <c r="F73" s="2"/>
      <c r="G73" s="2"/>
      <c r="H73" s="2"/>
      <c r="I73" s="12"/>
    </row>
    <row r="74" spans="1:9" x14ac:dyDescent="0.25">
      <c r="A74" s="2"/>
      <c r="B74" s="2"/>
      <c r="C74" s="3"/>
      <c r="D74" s="5"/>
      <c r="E74" s="5"/>
      <c r="F74" s="2"/>
      <c r="G74" s="2"/>
      <c r="H74" s="2"/>
      <c r="I74" s="12"/>
    </row>
    <row r="75" spans="1:9" x14ac:dyDescent="0.25">
      <c r="A75" s="2"/>
      <c r="B75" s="2"/>
      <c r="C75" s="3"/>
      <c r="D75" s="5"/>
      <c r="E75" s="5"/>
      <c r="F75" s="2"/>
      <c r="G75" s="2"/>
      <c r="H75" s="2"/>
      <c r="I75" s="12"/>
    </row>
    <row r="76" spans="1:9" x14ac:dyDescent="0.25">
      <c r="A76" s="2"/>
      <c r="B76" s="2"/>
      <c r="C76" s="3"/>
      <c r="D76" s="5"/>
      <c r="E76" s="5"/>
      <c r="F76" s="2"/>
      <c r="G76" s="2"/>
      <c r="H76" s="2"/>
      <c r="I76" s="12"/>
    </row>
    <row r="77" spans="1:9" x14ac:dyDescent="0.25">
      <c r="A77" s="2"/>
      <c r="B77" s="2"/>
      <c r="C77" s="3"/>
      <c r="D77" s="5"/>
      <c r="E77" s="5"/>
      <c r="F77" s="2"/>
      <c r="G77" s="2"/>
      <c r="H77" s="2"/>
      <c r="I77" s="12"/>
    </row>
    <row r="78" spans="1:9" x14ac:dyDescent="0.25">
      <c r="A78" s="2"/>
      <c r="B78" s="2"/>
      <c r="C78" s="3"/>
      <c r="D78" s="5"/>
      <c r="E78" s="5"/>
      <c r="F78" s="2"/>
      <c r="G78" s="2"/>
      <c r="H78" s="2"/>
      <c r="I78" s="12"/>
    </row>
    <row r="79" spans="1:9" x14ac:dyDescent="0.25">
      <c r="A79" s="2"/>
      <c r="B79" s="2"/>
      <c r="C79" s="3"/>
      <c r="D79" s="5"/>
      <c r="E79" s="5"/>
      <c r="F79" s="2"/>
      <c r="G79" s="2"/>
      <c r="H79" s="2"/>
      <c r="I79" s="12"/>
    </row>
    <row r="80" spans="1:9" x14ac:dyDescent="0.25">
      <c r="A80" s="2"/>
      <c r="B80" s="2"/>
      <c r="C80" s="3"/>
      <c r="D80" s="5"/>
      <c r="E80" s="5"/>
      <c r="F80" s="2"/>
      <c r="G80" s="2"/>
      <c r="H80" s="2"/>
      <c r="I80" s="12"/>
    </row>
    <row r="81" spans="1:9" x14ac:dyDescent="0.25">
      <c r="A81" s="2"/>
      <c r="B81" s="2"/>
      <c r="C81" s="3"/>
      <c r="D81" s="5"/>
      <c r="E81" s="5"/>
      <c r="F81" s="2"/>
      <c r="G81" s="2"/>
      <c r="H81" s="2"/>
      <c r="I81" s="12"/>
    </row>
  </sheetData>
  <sortState xmlns:xlrd2="http://schemas.microsoft.com/office/spreadsheetml/2017/richdata2" ref="A2:H72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EAB9A-4845-43BF-89A8-D78D5EF8755A}">
  <dimension ref="A1:N10"/>
  <sheetViews>
    <sheetView workbookViewId="0">
      <selection activeCell="D10" sqref="D10"/>
    </sheetView>
  </sheetViews>
  <sheetFormatPr defaultRowHeight="15" x14ac:dyDescent="0.25"/>
  <cols>
    <col min="1" max="1" width="11.42578125" style="16" bestFit="1" customWidth="1"/>
    <col min="2" max="2" width="11.85546875" style="16" bestFit="1" customWidth="1"/>
    <col min="3" max="3" width="22" style="16" bestFit="1" customWidth="1"/>
    <col min="4" max="4" width="29.7109375" style="16" bestFit="1" customWidth="1"/>
    <col min="5" max="5" width="25.7109375" style="1" customWidth="1"/>
    <col min="6" max="6" width="6.7109375" style="1" customWidth="1"/>
    <col min="7" max="7" width="10.5703125" style="20" bestFit="1" customWidth="1"/>
    <col min="8" max="8" width="10.5703125" style="15" bestFit="1" customWidth="1"/>
    <col min="9" max="9" width="8" bestFit="1" customWidth="1"/>
    <col min="10" max="10" width="13.140625" style="15" customWidth="1"/>
    <col min="11" max="11" width="17.7109375" style="14" bestFit="1" customWidth="1"/>
    <col min="12" max="12" width="17.140625" style="15" customWidth="1"/>
    <col min="13" max="13" width="14.5703125" style="15" customWidth="1"/>
    <col min="14" max="14" width="25.42578125" style="15" customWidth="1"/>
  </cols>
  <sheetData>
    <row r="1" spans="1:14" s="17" customFormat="1" ht="30" x14ac:dyDescent="0.25">
      <c r="A1" s="17" t="s">
        <v>272</v>
      </c>
      <c r="B1" s="17" t="s">
        <v>273</v>
      </c>
      <c r="C1" s="17" t="s">
        <v>271</v>
      </c>
      <c r="D1" s="17" t="s">
        <v>271</v>
      </c>
      <c r="E1" s="18" t="s">
        <v>275</v>
      </c>
      <c r="F1" s="18" t="s">
        <v>285</v>
      </c>
      <c r="G1" s="18" t="s">
        <v>277</v>
      </c>
      <c r="H1" s="18" t="s">
        <v>278</v>
      </c>
      <c r="I1" s="17" t="s">
        <v>279</v>
      </c>
      <c r="J1" s="18" t="s">
        <v>284</v>
      </c>
      <c r="K1" s="17" t="s">
        <v>287</v>
      </c>
      <c r="L1" s="18" t="s">
        <v>289</v>
      </c>
      <c r="M1" s="18" t="s">
        <v>291</v>
      </c>
      <c r="N1" s="18" t="s">
        <v>293</v>
      </c>
    </row>
    <row r="2" spans="1:14" s="11" customFormat="1" x14ac:dyDescent="0.25">
      <c r="A2" s="16" t="s">
        <v>296</v>
      </c>
      <c r="B2" s="16" t="s">
        <v>297</v>
      </c>
      <c r="C2" s="13" t="str">
        <f>A2 &amp; " " &amp; B2</f>
        <v>Оксана Акиньшина</v>
      </c>
      <c r="D2" s="16" t="s">
        <v>295</v>
      </c>
      <c r="E2" s="1"/>
      <c r="F2" s="1"/>
      <c r="G2" s="20"/>
      <c r="H2" s="15"/>
      <c r="I2"/>
      <c r="J2" s="15"/>
      <c r="K2" s="14"/>
      <c r="L2" s="15"/>
      <c r="M2" s="15"/>
      <c r="N2" s="15"/>
    </row>
    <row r="3" spans="1:14" s="11" customFormat="1" x14ac:dyDescent="0.25">
      <c r="A3" s="16" t="s">
        <v>310</v>
      </c>
      <c r="B3" s="16" t="s">
        <v>311</v>
      </c>
      <c r="C3" s="13" t="str">
        <f>A3 &amp; " " &amp; B3</f>
        <v>Любовь Аксёнова</v>
      </c>
      <c r="D3" s="16" t="s">
        <v>312</v>
      </c>
      <c r="E3" s="1"/>
      <c r="F3" s="1"/>
      <c r="G3" s="20"/>
      <c r="H3" s="15"/>
      <c r="I3"/>
      <c r="J3" s="15"/>
      <c r="K3" s="14"/>
      <c r="L3" s="15"/>
      <c r="M3" s="15"/>
      <c r="N3" s="15"/>
    </row>
    <row r="4" spans="1:14" ht="45" x14ac:dyDescent="0.25">
      <c r="A4" s="13" t="s">
        <v>282</v>
      </c>
      <c r="B4" s="13" t="s">
        <v>281</v>
      </c>
      <c r="C4" s="13" t="str">
        <f>A4 &amp; " " &amp; B4</f>
        <v>Паулина Андреева</v>
      </c>
      <c r="D4" s="13" t="s">
        <v>280</v>
      </c>
      <c r="E4" s="20" t="s">
        <v>283</v>
      </c>
      <c r="F4" s="20">
        <v>1.71</v>
      </c>
      <c r="G4" s="19">
        <v>45942</v>
      </c>
      <c r="H4" s="20">
        <v>1988</v>
      </c>
      <c r="I4" s="13">
        <f ca="1">YEAR(TODAY())-H4</f>
        <v>37</v>
      </c>
      <c r="J4" s="20" t="s">
        <v>286</v>
      </c>
      <c r="K4" s="20" t="s">
        <v>288</v>
      </c>
      <c r="L4" s="20" t="s">
        <v>290</v>
      </c>
      <c r="M4" s="20" t="s">
        <v>292</v>
      </c>
      <c r="N4" s="20" t="s">
        <v>294</v>
      </c>
    </row>
    <row r="5" spans="1:14" ht="30" x14ac:dyDescent="0.25">
      <c r="A5" s="13" t="s">
        <v>274</v>
      </c>
      <c r="B5" s="13" t="s">
        <v>270</v>
      </c>
      <c r="C5" s="13" t="str">
        <f>A5 &amp; " " &amp; B5</f>
        <v>Милош Бикович</v>
      </c>
      <c r="D5" s="13" t="s">
        <v>269</v>
      </c>
      <c r="E5" s="20" t="s">
        <v>276</v>
      </c>
      <c r="F5" s="20"/>
      <c r="G5" s="19">
        <v>45670</v>
      </c>
      <c r="H5" s="20">
        <v>1988</v>
      </c>
      <c r="I5" s="13">
        <f ca="1">YEAR(TODAY())-H5</f>
        <v>37</v>
      </c>
      <c r="J5" s="21"/>
      <c r="K5" s="13"/>
      <c r="L5" s="20"/>
      <c r="M5" s="20"/>
      <c r="N5" s="20"/>
    </row>
    <row r="6" spans="1:14" x14ac:dyDescent="0.25">
      <c r="A6" s="16" t="s">
        <v>299</v>
      </c>
      <c r="B6" s="16" t="s">
        <v>300</v>
      </c>
      <c r="C6" s="13" t="str">
        <f>A6 &amp; " " &amp; B6</f>
        <v>Алексей Кравченко</v>
      </c>
      <c r="D6" s="13" t="s">
        <v>298</v>
      </c>
    </row>
    <row r="7" spans="1:14" x14ac:dyDescent="0.25">
      <c r="A7" s="16" t="s">
        <v>303</v>
      </c>
      <c r="B7" s="16" t="s">
        <v>302</v>
      </c>
      <c r="C7" s="13" t="str">
        <f>A7 &amp; " " &amp; B7</f>
        <v>Илья Любимов</v>
      </c>
      <c r="D7" s="16" t="s">
        <v>301</v>
      </c>
    </row>
    <row r="8" spans="1:14" x14ac:dyDescent="0.25">
      <c r="A8" s="16" t="s">
        <v>304</v>
      </c>
      <c r="B8" s="16" t="s">
        <v>305</v>
      </c>
      <c r="C8" s="13" t="str">
        <f>A8 &amp; " " &amp; B8</f>
        <v>Ингрид Олеринская</v>
      </c>
      <c r="D8" s="16" t="s">
        <v>306</v>
      </c>
    </row>
    <row r="9" spans="1:14" x14ac:dyDescent="0.25">
      <c r="A9" s="16" t="s">
        <v>313</v>
      </c>
      <c r="B9" s="16" t="s">
        <v>314</v>
      </c>
      <c r="C9" s="13" t="str">
        <f>A9 &amp; " " &amp; B9</f>
        <v>Константин Хабенский</v>
      </c>
      <c r="D9" s="16" t="s">
        <v>71</v>
      </c>
    </row>
    <row r="10" spans="1:14" x14ac:dyDescent="0.25">
      <c r="A10" s="16" t="s">
        <v>308</v>
      </c>
      <c r="B10" s="16" t="s">
        <v>309</v>
      </c>
      <c r="C10" s="13" t="str">
        <f>A10 &amp; " " &amp; B10</f>
        <v>Евгений Цыганов</v>
      </c>
      <c r="D10" s="16" t="s">
        <v>307</v>
      </c>
    </row>
  </sheetData>
  <sortState xmlns:xlrd2="http://schemas.microsoft.com/office/spreadsheetml/2017/richdata2" ref="A2:N10">
    <sortCondition ref="B1:B10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Фильмы и сериалы</vt:lpstr>
      <vt:lpstr>Актеры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2025-12-01T21:27:48Z</dcterms:modified>
</cp:coreProperties>
</file>