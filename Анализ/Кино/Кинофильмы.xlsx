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735" yWindow="2130" windowWidth="26580" windowHeight="16530"/>
  </bookViews>
  <sheets>
    <sheet name="Фильмы" sheetId="1" r:id="rId1"/>
    <sheet name="Сериалы" sheetId="3" r:id="rId2"/>
    <sheet name="Актеры" sheetId="2" r:id="rId3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3" i="2" l="1"/>
  <c r="I13" i="2"/>
  <c r="D12" i="2"/>
  <c r="I12" i="2"/>
  <c r="D10" i="2"/>
  <c r="D11" i="2"/>
  <c r="I11" i="2"/>
  <c r="I10" i="2"/>
  <c r="I19" i="2" l="1"/>
  <c r="D18" i="2"/>
  <c r="I18" i="2"/>
  <c r="D9" i="2"/>
  <c r="D8" i="2"/>
  <c r="I9" i="2"/>
  <c r="D6" i="2"/>
  <c r="I8" i="2"/>
  <c r="D5" i="2"/>
  <c r="I6" i="2"/>
  <c r="I5" i="2"/>
  <c r="D3" i="2"/>
  <c r="I3" i="2"/>
  <c r="D2" i="2"/>
  <c r="I2" i="2"/>
  <c r="D29" i="2" l="1"/>
  <c r="D27" i="2"/>
  <c r="D19" i="2"/>
  <c r="D15" i="2"/>
  <c r="D14" i="2"/>
  <c r="D7" i="2"/>
  <c r="I17" i="2"/>
  <c r="I15" i="2"/>
  <c r="I14" i="2"/>
  <c r="I7" i="2"/>
  <c r="I4" i="2"/>
  <c r="D22" i="2" l="1"/>
  <c r="D24" i="2"/>
  <c r="D17" i="2"/>
  <c r="D21" i="2"/>
  <c r="D20" i="2"/>
  <c r="D4" i="2"/>
  <c r="D32" i="2"/>
  <c r="I35" i="2"/>
  <c r="D35" i="2"/>
  <c r="I26" i="2"/>
  <c r="D26" i="2" l="1"/>
</calcChain>
</file>

<file path=xl/sharedStrings.xml><?xml version="1.0" encoding="utf-8"?>
<sst xmlns="http://schemas.openxmlformats.org/spreadsheetml/2006/main" count="634" uniqueCount="495">
  <si>
    <t>Фильм</t>
  </si>
  <si>
    <t>Жанр</t>
  </si>
  <si>
    <t>Режиссер</t>
  </si>
  <si>
    <t>Год</t>
  </si>
  <si>
    <t>Страна</t>
  </si>
  <si>
    <t>Горько!</t>
  </si>
  <si>
    <t>комедия</t>
  </si>
  <si>
    <t>Россия</t>
  </si>
  <si>
    <t>Жора Крыжовников</t>
  </si>
  <si>
    <t>Слово пацана. Кровь на асфальте</t>
  </si>
  <si>
    <t>драма, криминал</t>
  </si>
  <si>
    <t>Невероятные приключения Шурика</t>
  </si>
  <si>
    <t>Роман Ким, Миша Семичев</t>
  </si>
  <si>
    <t>The Телки</t>
  </si>
  <si>
    <t>драма, триллер</t>
  </si>
  <si>
    <t>Мария Агранович</t>
  </si>
  <si>
    <t>Яга на нашу голову</t>
  </si>
  <si>
    <t>фэнтези, комедия, семейный</t>
  </si>
  <si>
    <t>Александр Войтинский</t>
  </si>
  <si>
    <t>Маме снова 17</t>
  </si>
  <si>
    <t>комедия, фантастика</t>
  </si>
  <si>
    <t>Анна Курбатова</t>
  </si>
  <si>
    <t>Светлана Ходченкова</t>
  </si>
  <si>
    <t>Пророк. История Александра Пушкина</t>
  </si>
  <si>
    <t>драма, мюзикл</t>
  </si>
  <si>
    <t>Феликс Умаров</t>
  </si>
  <si>
    <t>Большой куш</t>
  </si>
  <si>
    <t>криминал, комедия, боевик</t>
  </si>
  <si>
    <t>Великобритания, США</t>
  </si>
  <si>
    <t>Гай Ричи</t>
  </si>
  <si>
    <t>Джейсон Стэйтем</t>
  </si>
  <si>
    <t>Операция «Фортуна»: Искусство побеждать</t>
  </si>
  <si>
    <t>боевик, комедия</t>
  </si>
  <si>
    <t>Мастер</t>
  </si>
  <si>
    <t>боевик, криминал</t>
  </si>
  <si>
    <t>Дэвид Эйр</t>
  </si>
  <si>
    <t>Санкционер</t>
  </si>
  <si>
    <t>Артем Захарьян</t>
  </si>
  <si>
    <t>Челюскин. Первые</t>
  </si>
  <si>
    <t>драма, история</t>
  </si>
  <si>
    <t>Степан Коршунов</t>
  </si>
  <si>
    <t>Чемпион мира</t>
  </si>
  <si>
    <t>спорт, биография, драма</t>
  </si>
  <si>
    <t>Алексей Сидоров</t>
  </si>
  <si>
    <t>Константин Хабенский, Иван Янковски</t>
  </si>
  <si>
    <t>Кинозвезды</t>
  </si>
  <si>
    <t>Иван Васильевич меняет всё</t>
  </si>
  <si>
    <t>комедия, фантастика, приключения</t>
  </si>
  <si>
    <t>Миша Семичев, Роман Ким</t>
  </si>
  <si>
    <t>Тимур Батрутдинов, Максим Лагашкин, Марина Кравец</t>
  </si>
  <si>
    <t>Небриллиантовая рука</t>
  </si>
  <si>
    <t>Миша Семичев, Роман Ким</t>
  </si>
  <si>
    <t>Тимур Батрутдинов,Максим Лагашкин, Никита Кологривый</t>
  </si>
  <si>
    <t>Демис и Марина</t>
  </si>
  <si>
    <t>Саша Абдуллаев</t>
  </si>
  <si>
    <t>Демис Карибидис, Марина Кравец</t>
  </si>
  <si>
    <t>Тимур Батрутдинов, Марина Кравец, Павел Воля</t>
  </si>
  <si>
    <t>Иван Янковский, Никита Кологривый</t>
  </si>
  <si>
    <t>Светлана Ходченкова, Максим Лагашкин</t>
  </si>
  <si>
    <t>Юра Борисов, Аня Чиповская, Светлана Ходченкова</t>
  </si>
  <si>
    <t>Огниво</t>
  </si>
  <si>
    <t>фэнтези, приключения, семейный</t>
  </si>
  <si>
    <t>Роман Евдокимов, Ирина Старшенбаум, Ян Цапник</t>
  </si>
  <si>
    <t>Бесстыдники</t>
  </si>
  <si>
    <t>драма, комедия</t>
  </si>
  <si>
    <t>Антон Маслов, Артур Виденмеер</t>
  </si>
  <si>
    <t>Авиатор</t>
  </si>
  <si>
    <t>Егор Кончаловский</t>
  </si>
  <si>
    <t>Константин Хабенский</t>
  </si>
  <si>
    <t>Майор Гром: Чумной Доктор</t>
  </si>
  <si>
    <t>Олег Трофим</t>
  </si>
  <si>
    <t>Тихон Жизневский, Любовь Аксёнова</t>
  </si>
  <si>
    <t>Павел Пархоменко</t>
  </si>
  <si>
    <t>Ярослав Жалнин</t>
  </si>
  <si>
    <t>Повелитель ветра</t>
  </si>
  <si>
    <t>Игорь Волошин</t>
  </si>
  <si>
    <t>Фёдор Бондарчук, Евгений Ткачук</t>
  </si>
  <si>
    <t>Гагарин. Первый в космосе</t>
  </si>
  <si>
    <t>Хроники русской революции</t>
  </si>
  <si>
    <t>Андрей Кончаловский</t>
  </si>
  <si>
    <t>Звёздные войны: Пробуждение силы</t>
  </si>
  <si>
    <t>США, Великобритания</t>
  </si>
  <si>
    <t>Джей Джей Абрамс</t>
  </si>
  <si>
    <t>Звёздные войны: Последние джедаи</t>
  </si>
  <si>
    <t>фантастика, фэнтези, боевик, приключения</t>
  </si>
  <si>
    <t>фантастика, боевик, приключения</t>
  </si>
  <si>
    <t>драма, биография, история</t>
  </si>
  <si>
    <t>драма, приключения, биография</t>
  </si>
  <si>
    <t>история, драма</t>
  </si>
  <si>
    <t>США</t>
  </si>
  <si>
    <t>Райан Джонсон</t>
  </si>
  <si>
    <t>Адам Драйвер, Дейзи Ридли</t>
  </si>
  <si>
    <t>Звёздные войны: Скайуокер. Восход</t>
  </si>
  <si>
    <t>Харрисон Форд, Адам Драйвер, Дейзи Ридли</t>
  </si>
  <si>
    <t>фантастика, драма</t>
  </si>
  <si>
    <t>боевик, криминал, детектив, комедия</t>
  </si>
  <si>
    <t>Волчок</t>
  </si>
  <si>
    <t>приключения, комедия</t>
  </si>
  <si>
    <t>Константин Смирнов</t>
  </si>
  <si>
    <t>Евгений Ткачук, Юлия Хлынина</t>
  </si>
  <si>
    <t>Гуляй, Вася!</t>
  </si>
  <si>
    <t>Роман Каримов</t>
  </si>
  <si>
    <t>Сокровища гномов</t>
  </si>
  <si>
    <t>семейный, фэнтези, комедия, приключения</t>
  </si>
  <si>
    <t>Александр Бабаев</t>
  </si>
  <si>
    <t>Никита Кологривый, Анастасия Уколова</t>
  </si>
  <si>
    <t>Волшебный участок</t>
  </si>
  <si>
    <t>боевик, фэнтези, комедия, детектив</t>
  </si>
  <si>
    <t>Степан Гордеев</t>
  </si>
  <si>
    <t>СуперБобровы</t>
  </si>
  <si>
    <t>комедия, семейный, фантастика</t>
  </si>
  <si>
    <t>Дмитрий Дьяченко</t>
  </si>
  <si>
    <t>Павел Деревянко, Оксана Акиньшина, Роман Мадянов, Ирина Пегова</t>
  </si>
  <si>
    <t>Модный синдикат</t>
  </si>
  <si>
    <t>комедия, криминал</t>
  </si>
  <si>
    <t>Александр Карпиловский</t>
  </si>
  <si>
    <t>Ян Цапник, Мария Горбань, Ангелина Стречина</t>
  </si>
  <si>
    <t>СуперБобровы. Народные мстители</t>
  </si>
  <si>
    <t>комедия, семейный</t>
  </si>
  <si>
    <t>Павел Деревянко, Оксана Акиньшина, Роман Мадянов, Ирина Пегова, Роман Курцын</t>
  </si>
  <si>
    <t>Неожиданные связи</t>
  </si>
  <si>
    <t>Франция</t>
  </si>
  <si>
    <t>Жюльен Эрве</t>
  </si>
  <si>
    <t>Кристиан Клавье</t>
  </si>
  <si>
    <t>Неувольняемый</t>
  </si>
  <si>
    <t>Жером Коммандёр</t>
  </si>
  <si>
    <t>Поехавший</t>
  </si>
  <si>
    <t>Франция, Бельгия</t>
  </si>
  <si>
    <t>Филипп Мешлен</t>
  </si>
  <si>
    <t>Хаким Джемили, Кристиан Клавье</t>
  </si>
  <si>
    <t>Франция, Бельгия</t>
  </si>
  <si>
    <t>Ибица</t>
  </si>
  <si>
    <t>Арно Лемор</t>
  </si>
  <si>
    <t>Полярный</t>
  </si>
  <si>
    <t>комедия, криминал</t>
  </si>
  <si>
    <t>Михаил Старчак, Константин Статский, Илья Аксенов</t>
  </si>
  <si>
    <t>Беги</t>
  </si>
  <si>
    <t>Роман Артемьев</t>
  </si>
  <si>
    <t>Михаил Пореченков, Никита Кологривый</t>
  </si>
  <si>
    <t>Интерны</t>
  </si>
  <si>
    <t>Максим Пежемский, Заур Болотаев, Милан Килибарда</t>
  </si>
  <si>
    <t>Иван Охлобыстин, Илья Глинников, Кристина Асмус, Александр Ильин мл. Вадим Демчог</t>
  </si>
  <si>
    <t>Алдан</t>
  </si>
  <si>
    <t>драма, военный</t>
  </si>
  <si>
    <t>Дмитрий Кольцов</t>
  </si>
  <si>
    <t>Иван Охлобыстин, Дмитрий Дюжев, Джефф Монсон</t>
  </si>
  <si>
    <t>Оппенгеймер</t>
  </si>
  <si>
    <t>биография, драма, история</t>
  </si>
  <si>
    <t>Кристофер Нолан</t>
  </si>
  <si>
    <t>Киллиан Мерфи, Мэтт Дэймон, Роберт Дауни мл.</t>
  </si>
  <si>
    <t>Отступники</t>
  </si>
  <si>
    <t>криминал, драма, триллер</t>
  </si>
  <si>
    <t>США, Гонконг</t>
  </si>
  <si>
    <t>Мартин Скорсезе</t>
  </si>
  <si>
    <t>Леонардо ДиКаприо, Мэтт Дэймон, Джек Николсон, Марк Уолберг</t>
  </si>
  <si>
    <t>Зять</t>
  </si>
  <si>
    <t>комедия, мелодрама</t>
  </si>
  <si>
    <t>Анарио Мамедов</t>
  </si>
  <si>
    <t>Дмитрий Нагиев, Ян Цапник, Ирина Пегова</t>
  </si>
  <si>
    <t>Мой папа — вождь</t>
  </si>
  <si>
    <t>семейный, комедия, приключения</t>
  </si>
  <si>
    <t>Дмитрий Нагиев, Максим Лагашкин</t>
  </si>
  <si>
    <t>Отель Элеон</t>
  </si>
  <si>
    <t>Антон Федотов, Антон Маслов, Екатерина Забулонская</t>
  </si>
  <si>
    <t>Диана Пожарская, Милош Бикович, Виктор Хориняк</t>
  </si>
  <si>
    <t>Няня Оксана</t>
  </si>
  <si>
    <t>Евгения Абдель-Фаттах</t>
  </si>
  <si>
    <t>Олеся Иванченко, Виктор Хориняк</t>
  </si>
  <si>
    <t>Гранд</t>
  </si>
  <si>
    <t>Дмитрий Грибанов</t>
  </si>
  <si>
    <t>Мила Сивацкая, Ольга Смирнова, Милош Бикович</t>
  </si>
  <si>
    <t>Кухня</t>
  </si>
  <si>
    <t>Дмитрий Дьяченко, Жора Крыжовников, Антон Федотов</t>
  </si>
  <si>
    <t>Дмитрий Назаров, Елена Подкаминская, Виктор Хориняк, Дмитрий Нагиев, Сергей Лавыгин</t>
  </si>
  <si>
    <t>Химкинские ведьмы</t>
  </si>
  <si>
    <t>комедия, фэнтези, криминал</t>
  </si>
  <si>
    <t>Агата Муцениеце, Марк Богатырев, Анна Банщикова</t>
  </si>
  <si>
    <t>Милош Бикович, Паулина Андреева, Оксана Акиньшина, Алексей Кравченко, Любовь Аксёнова</t>
  </si>
  <si>
    <t>Баранкины и камни силы</t>
  </si>
  <si>
    <t>фантастика, приключения, комедия</t>
  </si>
  <si>
    <t>Миша Поляков</t>
  </si>
  <si>
    <t>Андрей Федорцов</t>
  </si>
  <si>
    <t>Телохранители</t>
  </si>
  <si>
    <t>Константин Смирнов, Владимир Битоков</t>
  </si>
  <si>
    <t>Дмитрий Лысенков, Сергей Маковецкий, Яна Кошкина, Кристина Кучеренко, Ольга Павловец, Инга Оболдина</t>
  </si>
  <si>
    <t>Про это самое</t>
  </si>
  <si>
    <t>Евгений Абызов</t>
  </si>
  <si>
    <t>Денис Власенко, Валерия Репина, Инга Оболдина</t>
  </si>
  <si>
    <t>Дмитрий Нагиев, Аглая Тарасова, Борис Дергачев, 
Марат Башаров, Анна Уколова</t>
  </si>
  <si>
    <t>Юра Борисов, Евгений Ткачук, Юлия Высоцкая</t>
  </si>
  <si>
    <t>Степан Коршунов, Стася Милославская, Кирилл Кяро</t>
  </si>
  <si>
    <t>Успешный</t>
  </si>
  <si>
    <t>Илья Куликов, Алексей Петрашевич, Владимир Боровой</t>
  </si>
  <si>
    <t>Артем Сучков, Владимир Сычев, Ольга Медынич, Александра Власова</t>
  </si>
  <si>
    <t>Кибердеревня</t>
  </si>
  <si>
    <t>приключения, фантастика, комедия</t>
  </si>
  <si>
    <t>Сергей Васильев</t>
  </si>
  <si>
    <t>Сергей Чихачёв, 
Сергей Бурунов</t>
  </si>
  <si>
    <t>Трудные подростки</t>
  </si>
  <si>
    <t>драма, комедия, спорт</t>
  </si>
  <si>
    <t>Рустам Ильясов, Александр Цой, Николай Рыбников</t>
  </si>
  <si>
    <t>Никита Волков, Виталий Андреев</t>
  </si>
  <si>
    <t>Шальная императрица</t>
  </si>
  <si>
    <t>комедия, фэнтези, приключения</t>
  </si>
  <si>
    <t>Андрей Таратухин, Елена Вернер</t>
  </si>
  <si>
    <t>Ирина Пегова, Ангелина Стречина</t>
  </si>
  <si>
    <t>Сергей Светлаков, Ян Цапник, Егор Корешков, Елена Валюшкина</t>
  </si>
  <si>
    <t>Два холма</t>
  </si>
  <si>
    <t>Ефим Петрунин, Роман Курцын, Любовь Аксёнова, Софья Райзман</t>
  </si>
  <si>
    <t>Физрук</t>
  </si>
  <si>
    <t>Сергей Сенцов, Фёдор Стуков, Дмитрий Губарев</t>
  </si>
  <si>
    <t>Дмитрий Нагиев, Анастасия Панина, 
Владимир Сычев, Карина Мишулина</t>
  </si>
  <si>
    <t>Алексей Шевченков, Виктория Заболотная, Андрей Чадов, Галина Петрова</t>
  </si>
  <si>
    <t xml:space="preserve">Пелагея Невзорова, Никита Кологривый, Светлана Камынина, Владимир Епифанцев, Анфиса Вистингаузен </t>
  </si>
  <si>
    <t xml:space="preserve">Дмитрий Грибанов, Аскар Бисембин, Сергей Малюгов </t>
  </si>
  <si>
    <t>Кол-во 
сезонов</t>
  </si>
  <si>
    <t>2018-2021</t>
  </si>
  <si>
    <t>2010-2016</t>
  </si>
  <si>
    <t xml:space="preserve">2012-2016 </t>
  </si>
  <si>
    <t xml:space="preserve">2016-2017 </t>
  </si>
  <si>
    <t>2014-2017</t>
  </si>
  <si>
    <t>Николай Наумов, Гоша Куценко, Филипп Янковский, 
Татьяна Догилева</t>
  </si>
  <si>
    <t>Наша Russia: Яйца судьбы</t>
  </si>
  <si>
    <t>Глеб Орлов</t>
  </si>
  <si>
    <t>Сергей Светлаков, Михаил Галустян, Роман Мадянов</t>
  </si>
  <si>
    <t>Комбинация</t>
  </si>
  <si>
    <r>
      <t>музыка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биография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драма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комедия</t>
    </r>
  </si>
  <si>
    <t>Никита Власов</t>
  </si>
  <si>
    <t>Никита Кологривый, Анастасия Уколова, 
Павел Прилучный</t>
  </si>
  <si>
    <t>Жизнь по вызову</t>
  </si>
  <si>
    <t>драма</t>
  </si>
  <si>
    <t>Сарик Андреасян</t>
  </si>
  <si>
    <t>Павел Прилучный, Наталья Рудова, Владимир Сычев, Кирилл Жандаров, Никита Кологривый</t>
  </si>
  <si>
    <t>Бес попутал</t>
  </si>
  <si>
    <t>комедия, фэнтези</t>
  </si>
  <si>
    <t>Дмитрий Фикс</t>
  </si>
  <si>
    <t>Иван Злобин, Павел Деревянко, Соня Присс, Алина Колесникова</t>
  </si>
  <si>
    <t>Открытый брак</t>
  </si>
  <si>
    <t>комедия, мелодрама, драма</t>
  </si>
  <si>
    <t>Иван Китаев, Анна Курбатова</t>
  </si>
  <si>
    <t>Марина Александрова, Юлия Александрова, Павел Деревянко, Равшана Куркова, Артём Ткаченко, Владимир Яглыч</t>
  </si>
  <si>
    <t>Беспринципные в Питере</t>
  </si>
  <si>
    <t>Заур Засеев</t>
  </si>
  <si>
    <t>Кристина Бабушкина, Николай Фоменко, Павел Деревянко, Анна Ковальчук, Владимир Яглыч, Стася Милославская, 
Александра Ребенок</t>
  </si>
  <si>
    <t>Беспринципные</t>
  </si>
  <si>
    <t>Роман Прыгунов</t>
  </si>
  <si>
    <t>Павел Деревянко, Оксана Акиньшина, Павел Табаков, Аглая Тарасова, Максим Виторган, Николай Фоменко, Кристина Бабушкина, Надежда Михалкова</t>
  </si>
  <si>
    <t>Первый номер</t>
  </si>
  <si>
    <t>Клим Козинский</t>
  </si>
  <si>
    <t>Евгений Цыганов, Надежда Михалкова, Павел Деревянко, Равшана Куркова, Ида Галич, Александра Ребенок, Леонид Ярмольник</t>
  </si>
  <si>
    <t>Неадекватные люди</t>
  </si>
  <si>
    <t>драма, мелодрама, комедия</t>
  </si>
  <si>
    <t>Илья Любимов, Ингрид Олеринская, Евгений Цыганов, Юлия Такшина, Анна Глаубэ</t>
  </si>
  <si>
    <t>Престиж</t>
  </si>
  <si>
    <t>детектив, драма, комедия</t>
  </si>
  <si>
    <t>Сергей Сенцов</t>
  </si>
  <si>
    <t>Ирина Розанова, Юлия Снигирь, Вера Кинчева, Любовь Толкалина, Анна Уколова, Илья Любимов, Настасья Самбурская, Ирина Дубцова</t>
  </si>
  <si>
    <t>Молодой человек</t>
  </si>
  <si>
    <t>Александр Фомин</t>
  </si>
  <si>
    <t>Павел Табаков, Данила Козловский, Ингрид Олеринская, Валентина Ляпина</t>
  </si>
  <si>
    <t>Надвое</t>
  </si>
  <si>
    <t>мелодрама, комедия</t>
  </si>
  <si>
    <t>Валерий Тодоровский</t>
  </si>
  <si>
    <t>Данила Козловский, Александр Петров, Ирина Старшенбаум, Елизавета Базыкина</t>
  </si>
  <si>
    <t>Примечания</t>
  </si>
  <si>
    <t>Михаил Пореченков, Иван Охлобыстин, Катерина Шпица, Карина Зверева, Ян Цапник, Владимир Епифанцев</t>
  </si>
  <si>
    <t>Милош Бикович</t>
  </si>
  <si>
    <t>Бикович</t>
  </si>
  <si>
    <t>Полное имя</t>
  </si>
  <si>
    <t>Имя</t>
  </si>
  <si>
    <t>Фамилия</t>
  </si>
  <si>
    <t>Милош</t>
  </si>
  <si>
    <t>Карьера</t>
  </si>
  <si>
    <t>Актер, Продюсер, Режиссер, Актер дубляжа</t>
  </si>
  <si>
    <t>Дата рождения</t>
  </si>
  <si>
    <t>Год рождения</t>
  </si>
  <si>
    <t>Возраст</t>
  </si>
  <si>
    <t>Паулина Андреева</t>
  </si>
  <si>
    <t>Андреева</t>
  </si>
  <si>
    <t>Паулина</t>
  </si>
  <si>
    <t>Актриса, Сценарист, Режиссер, Продюсер</t>
  </si>
  <si>
    <t>Место рождения</t>
  </si>
  <si>
    <t>Рост</t>
  </si>
  <si>
    <t>Ленинград, СССР</t>
  </si>
  <si>
    <t>Жанры</t>
  </si>
  <si>
    <t>драма, комедия, короткометражка</t>
  </si>
  <si>
    <t>Всего фильмов</t>
  </si>
  <si>
    <t>45, 2006 — 2025</t>
  </si>
  <si>
    <t>Лучшие фильмы</t>
  </si>
  <si>
    <t>Конёк-Горбунок</t>
  </si>
  <si>
    <t>Лучшие сериалы</t>
  </si>
  <si>
    <t>Вертинский, Метод; Спящие; Лучше, чем люди; 13 клиническая</t>
  </si>
  <si>
    <t>Оксана Акиньшина</t>
  </si>
  <si>
    <t>Оксана</t>
  </si>
  <si>
    <t>Акиньшина</t>
  </si>
  <si>
    <t>Алексей Кравченко</t>
  </si>
  <si>
    <t>Алексей</t>
  </si>
  <si>
    <t>Кравченко</t>
  </si>
  <si>
    <t>Илья Любимов</t>
  </si>
  <si>
    <t>Любимов</t>
  </si>
  <si>
    <t>Илья</t>
  </si>
  <si>
    <t>Ингрид</t>
  </si>
  <si>
    <t>Олеринская</t>
  </si>
  <si>
    <t>Ингрид Олеринская</t>
  </si>
  <si>
    <t>Евгений Цыганов</t>
  </si>
  <si>
    <t>Евгений</t>
  </si>
  <si>
    <t>Цыганов</t>
  </si>
  <si>
    <t>Любовь</t>
  </si>
  <si>
    <t>Аксёнова</t>
  </si>
  <si>
    <t>Любовь Аксёнова</t>
  </si>
  <si>
    <t>Константин</t>
  </si>
  <si>
    <t>Хабенский</t>
  </si>
  <si>
    <t>Иван Охлобыстин</t>
  </si>
  <si>
    <t>Дмитрий Дюжев</t>
  </si>
  <si>
    <t>Джефф Монсон</t>
  </si>
  <si>
    <t>Михаил Пореченков</t>
  </si>
  <si>
    <t>Никита Кологривый</t>
  </si>
  <si>
    <t>Актер</t>
  </si>
  <si>
    <t>Москва, СССР</t>
  </si>
  <si>
    <t>драма, боевик, детектив</t>
  </si>
  <si>
    <t>115, 1974 — 2026</t>
  </si>
  <si>
    <t>Иди и смотри; Хоккейные папы; Господа Головлевы; Лев Яшин. Вратарь моей мечты; Звезда</t>
  </si>
  <si>
    <t>Отчий берег; Бригада; Спецназ; Петр Лещенко. Все, что было…; Наш спецназ</t>
  </si>
  <si>
    <t>комедия, драма, мелодрама</t>
  </si>
  <si>
    <t>124, 1993 — 2025</t>
  </si>
  <si>
    <t>Время собирать камни; Чаклун и Румба; Культурная комедия; Здравствуйте, мы ваша крыша!; Брат</t>
  </si>
  <si>
    <t>Баранкины и камни силы; Убойная сила; жЫЫЫзнь; Политех; Саня, газуй!</t>
  </si>
  <si>
    <t>Олимпия, Вашингтон, США</t>
  </si>
  <si>
    <t>драма, военный, история</t>
  </si>
  <si>
    <t>12, 2007 — 2025</t>
  </si>
  <si>
    <t>Актер, Режиссер, Актер дубляжа, Сценарист</t>
  </si>
  <si>
    <t>Астрахань, СССР</t>
  </si>
  <si>
    <t>драма, комедия, мелодрама</t>
  </si>
  <si>
    <t>98, 2000 — 2025</t>
  </si>
  <si>
    <t>Остров; Бременские музыканты; Жмурки; Мне не больно; Каникулы строгого режима</t>
  </si>
  <si>
    <t>Бригада; Истребители: Последний бой; Истребители; Временно недоступен; Вербное воскресенье</t>
  </si>
  <si>
    <t>Актер, Режиссер, Сценарист, Продюсер, Композитор, Актер дубляжа</t>
  </si>
  <si>
    <t>118, 2001 — 2025</t>
  </si>
  <si>
    <t>Брестская крепость; Битва за Севастополь; Прогулка; Неадекватные люди; Батя 2. Дед</t>
  </si>
  <si>
    <t>Нежность; Красные горы; Батя 2. Дед; Оттепель;
С чего начинается Родина</t>
  </si>
  <si>
    <t>Андрей</t>
  </si>
  <si>
    <t>Федорцов</t>
  </si>
  <si>
    <t>Монсон</t>
  </si>
  <si>
    <t>Дюжев</t>
  </si>
  <si>
    <t>Охлобыстин</t>
  </si>
  <si>
    <t>Пореченков</t>
  </si>
  <si>
    <t>Джефф</t>
  </si>
  <si>
    <t>Дмитрий</t>
  </si>
  <si>
    <t>Иван</t>
  </si>
  <si>
    <t>Михаил</t>
  </si>
  <si>
    <t>Супруг/Супруга</t>
  </si>
  <si>
    <t>Юлия Снигирь один ребенок</t>
  </si>
  <si>
    <t>Никита</t>
  </si>
  <si>
    <t>Кологривый</t>
  </si>
  <si>
    <t>Алиса Кравченко (развод)двое детей
Надежда Борисова</t>
  </si>
  <si>
    <t>Иван Злобин</t>
  </si>
  <si>
    <t>Павел Деревянко</t>
  </si>
  <si>
    <t>Соня Присс</t>
  </si>
  <si>
    <t>Алина Колесникова</t>
  </si>
  <si>
    <t>Павел Табаков</t>
  </si>
  <si>
    <t>Аглая Тарасова</t>
  </si>
  <si>
    <t>Максим Виторган</t>
  </si>
  <si>
    <t>Николай Фоменко</t>
  </si>
  <si>
    <t>Анна Ковальчук</t>
  </si>
  <si>
    <t>Кристина Бабушкина</t>
  </si>
  <si>
    <t>Надежда Михалкова</t>
  </si>
  <si>
    <t>Александра Ребенок</t>
  </si>
  <si>
    <t>Владимир Яглыч</t>
  </si>
  <si>
    <t>Стася Милославская</t>
  </si>
  <si>
    <t xml:space="preserve">
Татьяна Зайцева двое детей</t>
  </si>
  <si>
    <t>Фёдор Бондарчук (развод) один ребенок</t>
  </si>
  <si>
    <t>Алексей Шевченков</t>
  </si>
  <si>
    <t>Виктория Заболотная</t>
  </si>
  <si>
    <t>Андрей Чадов</t>
  </si>
  <si>
    <t>Галина Петрова</t>
  </si>
  <si>
    <t>Актриса</t>
  </si>
  <si>
    <t>Санкт-Петербург, Россия</t>
  </si>
  <si>
    <t>комедия, мелодрама, драма</t>
  </si>
  <si>
    <t>59, 2010 — 2025</t>
  </si>
  <si>
    <t>Лёд 2; Холоп 2; Лёд; Лёд 3; Казнь</t>
  </si>
  <si>
    <t>Подкидыш; Операция «Мухаббат»; Саша и Питер; И снова здравствуйте!;
Беспринципные</t>
  </si>
  <si>
    <t>Аглая</t>
  </si>
  <si>
    <t>Тарасова</t>
  </si>
  <si>
    <t>Актриса, Актриса дубляжа, Сценарист</t>
  </si>
  <si>
    <t>Москва, СССР</t>
  </si>
  <si>
    <t>драма, комедия, детектив</t>
  </si>
  <si>
    <t>Алексей Вертков
двое детей</t>
  </si>
  <si>
    <t>83, 2004 — 2025</t>
  </si>
  <si>
    <t>Беспринципные в Питере; Я не могу без тебя; Против всех; Первый номер; Жить жизнь</t>
  </si>
  <si>
    <t>Александра</t>
  </si>
  <si>
    <t>Ребенок</t>
  </si>
  <si>
    <t>Шевченков</t>
  </si>
  <si>
    <t>Колесникова</t>
  </si>
  <si>
    <t>Чадов</t>
  </si>
  <si>
    <t>Ковальчук</t>
  </si>
  <si>
    <t>Черняховск, СССР</t>
  </si>
  <si>
    <t>Ольга Шевченковадвое детей</t>
  </si>
  <si>
    <t>153, 1993 — 2026</t>
  </si>
  <si>
    <t>Излечить страх; Турист; 72 часа; Красный призрак; Мёртвое поле</t>
  </si>
  <si>
    <t>Медное солнце; Русские горки; Операция «Карпаты»; Экспроприатор; Катя: Военная история</t>
  </si>
  <si>
    <t>комедия, короткометражка, драма</t>
  </si>
  <si>
    <t>11, 2020 — 2025</t>
  </si>
  <si>
    <t>Телохранители; Бедные смеются, богатые плачут; Три плюс три; Дайте шоу; Естественный отбор</t>
  </si>
  <si>
    <t>Актер, Продюсер</t>
  </si>
  <si>
    <t>драма, мелодрама, детектив</t>
  </si>
  <si>
    <t>42, 2001 — 2022</t>
  </si>
  <si>
    <t>Живой; Прощаться не будем</t>
  </si>
  <si>
    <t>Курсанты; Стажер; Дело чести; Мелодия любви; Игра на выживание</t>
  </si>
  <si>
    <t>Алина</t>
  </si>
  <si>
    <t>Анатолий Ильченко (развод) один ребенок
Олег Капустин один ребенок</t>
  </si>
  <si>
    <t>Нойштрелитц, ГДР</t>
  </si>
  <si>
    <t>драма, мелодрама, история</t>
  </si>
  <si>
    <t xml:space="preserve">
30, 1999 — 2025</t>
  </si>
  <si>
    <t>Адмиралъ</t>
  </si>
  <si>
    <t>Мастер и Маргарита; Екатерина. Фавориты; Беспринципные в Питере; Адмиралъ; Годунов. Продолжение</t>
  </si>
  <si>
    <t>Анна</t>
  </si>
  <si>
    <t>Евгений Ткачук</t>
  </si>
  <si>
    <t>Юлия Хлынина</t>
  </si>
  <si>
    <t>Николай Наумов</t>
  </si>
  <si>
    <t>Гоша Куценко</t>
  </si>
  <si>
    <t>Филипп Янковский</t>
  </si>
  <si>
    <t>Татьяна Догилева</t>
  </si>
  <si>
    <t>Новосибирск, Россия</t>
  </si>
  <si>
    <t>комедия, драма, триллер</t>
  </si>
  <si>
    <t>26, 2016 — 2025</t>
  </si>
  <si>
    <t>Пророк. История Александра Пушкина; Один настоящий день</t>
  </si>
  <si>
    <t>Цирк!; Фантом; Фишер; Монастырь; Сама дура</t>
  </si>
  <si>
    <t>Злобин</t>
  </si>
  <si>
    <t>Актер, Сценарист, Режиссер, Актер дубляжа, Продюсер</t>
  </si>
  <si>
    <t>Поленово, Тульская область, СССР</t>
  </si>
  <si>
    <t>Оксана Арбузова шестеро детей</t>
  </si>
  <si>
    <t>139, 1983 — 2026</t>
  </si>
  <si>
    <t>ДМБ; Три истории; Даун Хаус; Холоп; Холоп 2</t>
  </si>
  <si>
    <t>Ростов; Метод Фрейда; Грач
Интерны; Полярный</t>
  </si>
  <si>
    <t>Шверин, ГДР</t>
  </si>
  <si>
    <t>детектив, драма, комедия</t>
  </si>
  <si>
    <t>36, 2000 — 2025</t>
  </si>
  <si>
    <t>Страх над Невой; Агата и сыск. Рулетка судьбы; Варяги; Иванько; Инспектор Гаврилов</t>
  </si>
  <si>
    <t>Актер, Актер дубляжа</t>
  </si>
  <si>
    <t xml:space="preserve">
комедия, драма, мелодрама</t>
  </si>
  <si>
    <t>Светлана Ходченкова (развод)</t>
  </si>
  <si>
    <t>93, 2002 — 2026</t>
  </si>
  <si>
    <t>Моя ужасная сестра 2; Моя ужасная сестра; Один вдох; Гудбай, Америка; Мы из будущего</t>
  </si>
  <si>
    <t>Екатерина. Взлет; Екатерина. Самозванцы; Екатерина.Фавориты; Беспринципные в Питере; Мы из будущего</t>
  </si>
  <si>
    <t>Виктория</t>
  </si>
  <si>
    <t>Заболотная</t>
  </si>
  <si>
    <t>Яглыч</t>
  </si>
  <si>
    <t>Петрова</t>
  </si>
  <si>
    <t>Куценко</t>
  </si>
  <si>
    <t>Владимир</t>
  </si>
  <si>
    <t>Тамбов, СССР</t>
  </si>
  <si>
    <t xml:space="preserve">
156, 1978 — 2025</t>
  </si>
  <si>
    <t>Крутой маршрут; Дежа вю; Вор; Орел и решка; Глаза</t>
  </si>
  <si>
    <t>Между нами, девочками; Однолюбы; Братья по обмену; Брак по завещанию; Исчезнувшая</t>
  </si>
  <si>
    <t>Галина</t>
  </si>
  <si>
    <t>Актер, Продюсер, Актер дубляжа, Сценарист, Режиссер, Оператор, Композитор</t>
  </si>
  <si>
    <t>Запорожье, СССР</t>
  </si>
  <si>
    <t>Мария Порошина (развод) один ребенок
Ирина Скриниченко двое детей</t>
  </si>
  <si>
    <t>228, 1992 — 2025</t>
  </si>
  <si>
    <t>Балканский рубеж; Со мною вот что происходит; Турецкий гамбит; Упражнения в прекрасном; Красный шелк</t>
  </si>
  <si>
    <t>Инсомния; Без правил; Есенин; Турецкий гамбит; Лондонград. Знай наших</t>
  </si>
  <si>
    <t>Гоша</t>
  </si>
  <si>
    <t>Время</t>
  </si>
  <si>
    <t>1 ч 56 мин</t>
  </si>
  <si>
    <t>1 ч 37 мин</t>
  </si>
  <si>
    <t>1 ч 27 мин</t>
  </si>
  <si>
    <t>1 ч 23 мин</t>
  </si>
  <si>
    <t>1 ч 44 мин</t>
  </si>
  <si>
    <t>1 ч 48 мин</t>
  </si>
  <si>
    <t>1 ч 40 мин</t>
  </si>
  <si>
    <t>1 ч 36 мин</t>
  </si>
  <si>
    <t>2 ч 32 мин</t>
  </si>
  <si>
    <t>2 ч 18 мин</t>
  </si>
  <si>
    <t>2 ч 21 мин</t>
  </si>
  <si>
    <t>1 ч 20 мин</t>
  </si>
  <si>
    <t>1 ч 26 мин</t>
  </si>
  <si>
    <t>1 ч 46 мин</t>
  </si>
  <si>
    <t>2 ч 16 мин</t>
  </si>
  <si>
    <t>1 ч 34 мин</t>
  </si>
  <si>
    <t>1 ч 50 мин</t>
  </si>
  <si>
    <t>1 ч 42 мин</t>
  </si>
  <si>
    <t>2 ч 24 мин</t>
  </si>
  <si>
    <t>2 ч</t>
  </si>
  <si>
    <t>1 ч 32 мин</t>
  </si>
  <si>
    <t>1 ч 54 мин</t>
  </si>
  <si>
    <t>3 ч</t>
  </si>
  <si>
    <t>2 ч 31 мин</t>
  </si>
  <si>
    <t>1 ч 25 мин</t>
  </si>
  <si>
    <t>2 ч 17 мин</t>
  </si>
  <si>
    <t>1 ч 33 мин</t>
  </si>
  <si>
    <t>1 ч 35 мин</t>
  </si>
  <si>
    <t>1 ч 30 мин</t>
  </si>
  <si>
    <t>2 ч 25 мин</t>
  </si>
  <si>
    <t>1 ч 24 мин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</si>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</sst>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000000"/>
      <name val="Tahoma"/>
      <family val="2"/>
      <charset val="204"/>
    </font>
    <font>
      <sz val="10"/>
      <color theme="1"/>
      <name val="Tahoma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1" fontId="0" fillId="0" borderId="1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center" vertical="top" wrapText="1"/>
    </xf>
    <xf numFmtId="0" fontId="1" fillId="0" borderId="1" xfId="0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" fontId="0" fillId="0" borderId="1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horizontal="center" wrapText="1"/>
    </xf>
    <xf numFmtId="2" fontId="0" fillId="0" borderId="1" xfId="0" applyNumberFormat="1" applyBorder="1" applyAlignment="1">
      <alignment horizontal="center" wrapText="1"/>
    </xf>
    <xf numFmtId="0" fontId="0" fillId="0" borderId="1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2" sqref="B12"/>
    </sheetView>
  </sheetViews>
  <sheetFormatPr defaultRowHeight="15" x14ac:dyDescent="0.25"/>
  <cols>
    <col min="1" max="1" width="29.42578125" style="1" customWidth="1"/>
    <col min="2" max="2" width="25.7109375" style="1" customWidth="1"/>
    <col min="3" max="3" width="5" style="4" bestFit="1" customWidth="1"/>
    <col min="4" max="4" width="10.140625" style="4" customWidth="1"/>
    <col min="5" max="5" width="17.5703125" style="1" bestFit="1" customWidth="1"/>
    <col min="6" max="6" width="29.28515625" style="1" customWidth="1"/>
    <col min="7" max="7" width="56.140625" style="1" customWidth="1"/>
    <col min="8" max="8" width="20.140625" style="10" customWidth="1"/>
  </cols>
  <sheetData>
    <row r="1" spans="1:8" s="7" customFormat="1" x14ac:dyDescent="0.25">
      <c r="A1" s="5" t="s">
        <v>0</v>
      </c>
      <c r="B1" s="5" t="s">
        <v>1</v>
      </c>
      <c r="C1" s="6" t="s">
        <v>3</v>
      </c>
      <c r="D1" s="6" t="s">
        <v>462</v>
      </c>
      <c r="E1" s="5" t="s">
        <v>4</v>
      </c>
      <c r="F1" s="5" t="s">
        <v>2</v>
      </c>
      <c r="G1" s="5" t="s">
        <v>45</v>
      </c>
      <c r="H1" s="5" t="s">
        <v>264</v>
      </c>
    </row>
    <row r="2" spans="1:8" x14ac:dyDescent="0.25">
      <c r="A2" s="2" t="s">
        <v>66</v>
      </c>
      <c r="B2" s="2" t="s">
        <v>94</v>
      </c>
      <c r="C2" s="3">
        <v>2025</v>
      </c>
      <c r="D2" s="3" t="s">
        <v>463</v>
      </c>
      <c r="E2" s="2" t="s">
        <v>7</v>
      </c>
      <c r="F2" s="2" t="s">
        <v>67</v>
      </c>
      <c r="G2" s="2" t="s">
        <v>68</v>
      </c>
      <c r="H2" s="9"/>
    </row>
    <row r="3" spans="1:8" x14ac:dyDescent="0.25">
      <c r="A3" s="2" t="s">
        <v>142</v>
      </c>
      <c r="B3" s="2" t="s">
        <v>143</v>
      </c>
      <c r="C3" s="3">
        <v>2025</v>
      </c>
      <c r="D3" s="3" t="s">
        <v>464</v>
      </c>
      <c r="E3" s="2" t="s">
        <v>7</v>
      </c>
      <c r="F3" s="2" t="s">
        <v>144</v>
      </c>
      <c r="G3" s="2" t="s">
        <v>145</v>
      </c>
      <c r="H3" s="9"/>
    </row>
    <row r="4" spans="1:8" x14ac:dyDescent="0.25">
      <c r="A4" s="2" t="s">
        <v>136</v>
      </c>
      <c r="B4" s="2" t="s">
        <v>114</v>
      </c>
      <c r="C4" s="3">
        <v>2025</v>
      </c>
      <c r="D4" s="3" t="s">
        <v>465</v>
      </c>
      <c r="E4" s="2" t="s">
        <v>7</v>
      </c>
      <c r="F4" s="2" t="s">
        <v>137</v>
      </c>
      <c r="G4" s="2" t="s">
        <v>138</v>
      </c>
      <c r="H4" s="9"/>
    </row>
    <row r="5" spans="1:8" ht="30" x14ac:dyDescent="0.25">
      <c r="A5" s="2" t="s">
        <v>233</v>
      </c>
      <c r="B5" s="2" t="s">
        <v>234</v>
      </c>
      <c r="C5" s="3">
        <v>2025</v>
      </c>
      <c r="D5" s="3" t="s">
        <v>466</v>
      </c>
      <c r="E5" s="2" t="s">
        <v>7</v>
      </c>
      <c r="F5" s="2" t="s">
        <v>235</v>
      </c>
      <c r="G5" s="2" t="s">
        <v>236</v>
      </c>
      <c r="H5" s="9"/>
    </row>
    <row r="6" spans="1:8" ht="30" x14ac:dyDescent="0.25">
      <c r="A6" s="2" t="s">
        <v>26</v>
      </c>
      <c r="B6" s="2" t="s">
        <v>27</v>
      </c>
      <c r="C6" s="3">
        <v>2000</v>
      </c>
      <c r="D6" s="3" t="s">
        <v>467</v>
      </c>
      <c r="E6" s="2" t="s">
        <v>28</v>
      </c>
      <c r="F6" s="2" t="s">
        <v>29</v>
      </c>
      <c r="G6" s="2" t="s">
        <v>30</v>
      </c>
      <c r="H6" s="9"/>
    </row>
    <row r="7" spans="1:8" x14ac:dyDescent="0.25">
      <c r="A7" s="2" t="s">
        <v>96</v>
      </c>
      <c r="B7" s="2" t="s">
        <v>97</v>
      </c>
      <c r="C7" s="3">
        <v>2025</v>
      </c>
      <c r="D7" s="3" t="s">
        <v>494</v>
      </c>
      <c r="E7" s="2" t="s">
        <v>7</v>
      </c>
      <c r="F7" s="2" t="s">
        <v>98</v>
      </c>
      <c r="G7" s="2" t="s">
        <v>99</v>
      </c>
      <c r="H7" s="9"/>
    </row>
    <row r="8" spans="1:8" ht="30" x14ac:dyDescent="0.25">
      <c r="A8" s="2" t="s">
        <v>77</v>
      </c>
      <c r="B8" s="2" t="s">
        <v>86</v>
      </c>
      <c r="C8" s="3">
        <v>2013</v>
      </c>
      <c r="D8" s="3" t="s">
        <v>468</v>
      </c>
      <c r="E8" s="2" t="s">
        <v>7</v>
      </c>
      <c r="F8" s="2" t="s">
        <v>72</v>
      </c>
      <c r="G8" s="2" t="s">
        <v>73</v>
      </c>
      <c r="H8" s="9"/>
    </row>
    <row r="9" spans="1:8" ht="30" x14ac:dyDescent="0.25">
      <c r="A9" s="2" t="s">
        <v>5</v>
      </c>
      <c r="B9" s="2" t="s">
        <v>6</v>
      </c>
      <c r="C9" s="3">
        <v>2013</v>
      </c>
      <c r="D9" s="3" t="s">
        <v>469</v>
      </c>
      <c r="E9" s="2" t="s">
        <v>7</v>
      </c>
      <c r="F9" s="2" t="s">
        <v>8</v>
      </c>
      <c r="G9" s="2" t="s">
        <v>206</v>
      </c>
      <c r="H9" s="9"/>
    </row>
    <row r="10" spans="1:8" ht="30" x14ac:dyDescent="0.25">
      <c r="A10" s="2" t="s">
        <v>100</v>
      </c>
      <c r="B10" s="2" t="s">
        <v>6</v>
      </c>
      <c r="C10" s="3">
        <v>2016</v>
      </c>
      <c r="D10" s="3" t="s">
        <v>470</v>
      </c>
      <c r="E10" s="2" t="s">
        <v>7</v>
      </c>
      <c r="F10" s="2" t="s">
        <v>101</v>
      </c>
      <c r="G10" s="2" t="s">
        <v>208</v>
      </c>
      <c r="H10" s="9"/>
    </row>
    <row r="11" spans="1:8" ht="30" x14ac:dyDescent="0.25">
      <c r="A11" s="2" t="s">
        <v>83</v>
      </c>
      <c r="B11" s="2" t="s">
        <v>84</v>
      </c>
      <c r="C11" s="3">
        <v>2017</v>
      </c>
      <c r="D11" s="3" t="s">
        <v>471</v>
      </c>
      <c r="E11" s="2" t="s">
        <v>89</v>
      </c>
      <c r="F11" s="2" t="s">
        <v>90</v>
      </c>
      <c r="G11" s="2" t="s">
        <v>91</v>
      </c>
      <c r="H11" s="9"/>
    </row>
    <row r="12" spans="1:8" ht="30" x14ac:dyDescent="0.25">
      <c r="A12" s="2" t="s">
        <v>80</v>
      </c>
      <c r="B12" s="2" t="s">
        <v>85</v>
      </c>
      <c r="C12" s="3">
        <v>2015</v>
      </c>
      <c r="D12" s="3" t="s">
        <v>472</v>
      </c>
      <c r="E12" s="2" t="s">
        <v>81</v>
      </c>
      <c r="F12" s="2" t="s">
        <v>82</v>
      </c>
      <c r="G12" s="2" t="s">
        <v>93</v>
      </c>
      <c r="H12" s="9"/>
    </row>
    <row r="13" spans="1:8" ht="30" x14ac:dyDescent="0.25">
      <c r="A13" s="2" t="s">
        <v>92</v>
      </c>
      <c r="B13" s="2" t="s">
        <v>84</v>
      </c>
      <c r="C13" s="3">
        <v>2019</v>
      </c>
      <c r="D13" s="3" t="s">
        <v>473</v>
      </c>
      <c r="E13" s="2" t="s">
        <v>81</v>
      </c>
      <c r="F13" s="2" t="s">
        <v>82</v>
      </c>
      <c r="G13" s="2" t="s">
        <v>91</v>
      </c>
      <c r="H13" s="9"/>
    </row>
    <row r="14" spans="1:8" x14ac:dyDescent="0.25">
      <c r="A14" s="2" t="s">
        <v>155</v>
      </c>
      <c r="B14" s="2" t="s">
        <v>156</v>
      </c>
      <c r="C14" s="3">
        <v>2024</v>
      </c>
      <c r="D14" s="3" t="s">
        <v>474</v>
      </c>
      <c r="E14" s="2" t="s">
        <v>7</v>
      </c>
      <c r="F14" s="2" t="s">
        <v>157</v>
      </c>
      <c r="G14" s="2" t="s">
        <v>158</v>
      </c>
      <c r="H14" s="9"/>
    </row>
    <row r="15" spans="1:8" x14ac:dyDescent="0.25">
      <c r="A15" s="2" t="s">
        <v>131</v>
      </c>
      <c r="B15" s="2" t="s">
        <v>6</v>
      </c>
      <c r="C15" s="3">
        <v>2019</v>
      </c>
      <c r="D15" s="3" t="s">
        <v>475</v>
      </c>
      <c r="E15" s="2" t="s">
        <v>127</v>
      </c>
      <c r="F15" s="2" t="s">
        <v>132</v>
      </c>
      <c r="G15" s="2" t="s">
        <v>123</v>
      </c>
      <c r="H15" s="9"/>
    </row>
    <row r="16" spans="1:8" ht="30" x14ac:dyDescent="0.25">
      <c r="A16" s="2" t="s">
        <v>46</v>
      </c>
      <c r="B16" s="2" t="s">
        <v>47</v>
      </c>
      <c r="C16" s="3">
        <v>2023</v>
      </c>
      <c r="D16" s="3" t="s">
        <v>476</v>
      </c>
      <c r="E16" s="2" t="s">
        <v>7</v>
      </c>
      <c r="F16" s="2" t="s">
        <v>48</v>
      </c>
      <c r="G16" s="2" t="s">
        <v>49</v>
      </c>
      <c r="H16" s="9"/>
    </row>
    <row r="17" spans="1:8" ht="30" x14ac:dyDescent="0.25">
      <c r="A17" s="2" t="s">
        <v>69</v>
      </c>
      <c r="B17" s="2" t="s">
        <v>95</v>
      </c>
      <c r="C17" s="3">
        <v>2021</v>
      </c>
      <c r="D17" s="3" t="s">
        <v>477</v>
      </c>
      <c r="E17" s="2" t="s">
        <v>7</v>
      </c>
      <c r="F17" s="2" t="s">
        <v>70</v>
      </c>
      <c r="G17" s="2" t="s">
        <v>71</v>
      </c>
      <c r="H17" s="9"/>
    </row>
    <row r="18" spans="1:8" x14ac:dyDescent="0.25">
      <c r="A18" s="2" t="s">
        <v>19</v>
      </c>
      <c r="B18" s="2" t="s">
        <v>20</v>
      </c>
      <c r="C18" s="3">
        <v>2024</v>
      </c>
      <c r="D18" s="3" t="s">
        <v>468</v>
      </c>
      <c r="E18" s="2" t="s">
        <v>7</v>
      </c>
      <c r="F18" s="2" t="s">
        <v>21</v>
      </c>
      <c r="G18" s="2" t="s">
        <v>22</v>
      </c>
      <c r="H18" s="9"/>
    </row>
    <row r="19" spans="1:8" ht="30" x14ac:dyDescent="0.25">
      <c r="A19" s="2" t="s">
        <v>33</v>
      </c>
      <c r="B19" s="2" t="s">
        <v>34</v>
      </c>
      <c r="C19" s="3">
        <v>2025</v>
      </c>
      <c r="D19" s="3" t="s">
        <v>463</v>
      </c>
      <c r="E19" s="2" t="s">
        <v>28</v>
      </c>
      <c r="F19" s="2" t="s">
        <v>35</v>
      </c>
      <c r="G19" s="2" t="s">
        <v>30</v>
      </c>
      <c r="H19" s="9"/>
    </row>
    <row r="20" spans="1:8" ht="30" x14ac:dyDescent="0.25">
      <c r="A20" s="2" t="s">
        <v>159</v>
      </c>
      <c r="B20" s="2" t="s">
        <v>160</v>
      </c>
      <c r="C20" s="3">
        <v>2022</v>
      </c>
      <c r="D20" s="3" t="s">
        <v>478</v>
      </c>
      <c r="E20" s="2" t="s">
        <v>7</v>
      </c>
      <c r="F20" s="2" t="s">
        <v>67</v>
      </c>
      <c r="G20" s="2" t="s">
        <v>161</v>
      </c>
      <c r="H20" s="9"/>
    </row>
    <row r="21" spans="1:8" ht="30" x14ac:dyDescent="0.25">
      <c r="A21" s="2" t="s">
        <v>257</v>
      </c>
      <c r="B21" s="2" t="s">
        <v>6</v>
      </c>
      <c r="C21" s="3">
        <v>2022</v>
      </c>
      <c r="D21" s="3" t="s">
        <v>479</v>
      </c>
      <c r="E21" s="2" t="s">
        <v>7</v>
      </c>
      <c r="F21" s="2" t="s">
        <v>258</v>
      </c>
      <c r="G21" s="2" t="s">
        <v>259</v>
      </c>
      <c r="H21" s="9"/>
    </row>
    <row r="22" spans="1:8" x14ac:dyDescent="0.25">
      <c r="A22" s="2" t="s">
        <v>222</v>
      </c>
      <c r="B22" s="2" t="s">
        <v>6</v>
      </c>
      <c r="C22" s="3">
        <v>2010</v>
      </c>
      <c r="D22" s="3" t="s">
        <v>475</v>
      </c>
      <c r="E22" s="2" t="s">
        <v>7</v>
      </c>
      <c r="F22" s="2" t="s">
        <v>223</v>
      </c>
      <c r="G22" s="2" t="s">
        <v>224</v>
      </c>
      <c r="H22" s="9"/>
    </row>
    <row r="23" spans="1:8" ht="30" x14ac:dyDescent="0.25">
      <c r="A23" s="2" t="s">
        <v>250</v>
      </c>
      <c r="B23" s="2" t="s">
        <v>251</v>
      </c>
      <c r="C23" s="3">
        <v>2010</v>
      </c>
      <c r="D23" s="3" t="s">
        <v>480</v>
      </c>
      <c r="E23" s="2" t="s">
        <v>7</v>
      </c>
      <c r="F23" s="2" t="s">
        <v>101</v>
      </c>
      <c r="G23" s="2" t="s">
        <v>252</v>
      </c>
      <c r="H23" s="9"/>
    </row>
    <row r="24" spans="1:8" ht="30" x14ac:dyDescent="0.25">
      <c r="A24" s="2" t="s">
        <v>50</v>
      </c>
      <c r="B24" s="2" t="s">
        <v>6</v>
      </c>
      <c r="C24" s="3">
        <v>2024</v>
      </c>
      <c r="D24" s="3" t="s">
        <v>481</v>
      </c>
      <c r="E24" s="2" t="s">
        <v>7</v>
      </c>
      <c r="F24" s="2" t="s">
        <v>51</v>
      </c>
      <c r="G24" s="2" t="s">
        <v>52</v>
      </c>
      <c r="H24" s="9"/>
    </row>
    <row r="25" spans="1:8" ht="30" x14ac:dyDescent="0.25">
      <c r="A25" s="2" t="s">
        <v>11</v>
      </c>
      <c r="B25" s="2" t="s">
        <v>6</v>
      </c>
      <c r="C25" s="3">
        <v>2025</v>
      </c>
      <c r="D25" s="3" t="s">
        <v>482</v>
      </c>
      <c r="E25" s="2" t="s">
        <v>7</v>
      </c>
      <c r="F25" s="2" t="s">
        <v>12</v>
      </c>
      <c r="G25" s="2" t="s">
        <v>56</v>
      </c>
      <c r="H25" s="9"/>
    </row>
    <row r="26" spans="1:8" x14ac:dyDescent="0.25">
      <c r="A26" s="2" t="s">
        <v>120</v>
      </c>
      <c r="B26" s="2" t="s">
        <v>6</v>
      </c>
      <c r="C26" s="3">
        <v>2024</v>
      </c>
      <c r="D26" s="3" t="s">
        <v>483</v>
      </c>
      <c r="E26" s="2" t="s">
        <v>130</v>
      </c>
      <c r="F26" s="2" t="s">
        <v>122</v>
      </c>
      <c r="G26" s="2" t="s">
        <v>123</v>
      </c>
      <c r="H26" s="9"/>
    </row>
    <row r="27" spans="1:8" x14ac:dyDescent="0.25">
      <c r="A27" s="2" t="s">
        <v>124</v>
      </c>
      <c r="B27" s="2" t="s">
        <v>6</v>
      </c>
      <c r="C27" s="3">
        <v>2022</v>
      </c>
      <c r="D27" s="3" t="s">
        <v>466</v>
      </c>
      <c r="E27" s="2" t="s">
        <v>121</v>
      </c>
      <c r="F27" s="2" t="s">
        <v>125</v>
      </c>
      <c r="G27" s="2" t="s">
        <v>123</v>
      </c>
      <c r="H27" s="9"/>
    </row>
    <row r="28" spans="1:8" ht="30" x14ac:dyDescent="0.25">
      <c r="A28" s="2" t="s">
        <v>60</v>
      </c>
      <c r="B28" s="2" t="s">
        <v>61</v>
      </c>
      <c r="C28" s="3">
        <v>2024</v>
      </c>
      <c r="D28" s="3" t="s">
        <v>476</v>
      </c>
      <c r="E28" s="2" t="s">
        <v>7</v>
      </c>
      <c r="F28" s="2" t="s">
        <v>18</v>
      </c>
      <c r="G28" s="2" t="s">
        <v>62</v>
      </c>
      <c r="H28" s="9"/>
    </row>
    <row r="29" spans="1:8" ht="30" x14ac:dyDescent="0.25">
      <c r="A29" s="2" t="s">
        <v>31</v>
      </c>
      <c r="B29" s="2" t="s">
        <v>32</v>
      </c>
      <c r="C29" s="3">
        <v>2022</v>
      </c>
      <c r="D29" s="3" t="s">
        <v>484</v>
      </c>
      <c r="E29" s="2" t="s">
        <v>28</v>
      </c>
      <c r="F29" s="2" t="s">
        <v>29</v>
      </c>
      <c r="G29" s="2" t="s">
        <v>30</v>
      </c>
      <c r="H29" s="9"/>
    </row>
    <row r="30" spans="1:8" ht="30" x14ac:dyDescent="0.25">
      <c r="A30" s="2" t="s">
        <v>146</v>
      </c>
      <c r="B30" s="2" t="s">
        <v>147</v>
      </c>
      <c r="C30" s="3">
        <v>2023</v>
      </c>
      <c r="D30" s="3" t="s">
        <v>485</v>
      </c>
      <c r="E30" s="2" t="s">
        <v>81</v>
      </c>
      <c r="F30" s="2" t="s">
        <v>148</v>
      </c>
      <c r="G30" s="2" t="s">
        <v>149</v>
      </c>
      <c r="H30" s="9"/>
    </row>
    <row r="31" spans="1:8" ht="30" x14ac:dyDescent="0.25">
      <c r="A31" s="2" t="s">
        <v>150</v>
      </c>
      <c r="B31" s="2" t="s">
        <v>151</v>
      </c>
      <c r="C31" s="3">
        <v>2006</v>
      </c>
      <c r="D31" s="3" t="s">
        <v>486</v>
      </c>
      <c r="E31" s="2" t="s">
        <v>152</v>
      </c>
      <c r="F31" s="2" t="s">
        <v>153</v>
      </c>
      <c r="G31" s="2" t="s">
        <v>154</v>
      </c>
      <c r="H31" s="9"/>
    </row>
    <row r="32" spans="1:8" ht="30" x14ac:dyDescent="0.25">
      <c r="A32" s="2" t="s">
        <v>74</v>
      </c>
      <c r="B32" s="2" t="s">
        <v>87</v>
      </c>
      <c r="C32" s="3">
        <v>2023</v>
      </c>
      <c r="D32" s="3" t="s">
        <v>478</v>
      </c>
      <c r="E32" s="2" t="s">
        <v>7</v>
      </c>
      <c r="F32" s="2" t="s">
        <v>75</v>
      </c>
      <c r="G32" s="2" t="s">
        <v>76</v>
      </c>
      <c r="H32" s="9"/>
    </row>
    <row r="33" spans="1:8" x14ac:dyDescent="0.25">
      <c r="A33" s="2" t="s">
        <v>126</v>
      </c>
      <c r="B33" s="2" t="s">
        <v>6</v>
      </c>
      <c r="C33" s="3">
        <v>2025</v>
      </c>
      <c r="D33" s="3" t="s">
        <v>487</v>
      </c>
      <c r="E33" s="2" t="s">
        <v>127</v>
      </c>
      <c r="F33" s="2" t="s">
        <v>128</v>
      </c>
      <c r="G33" s="2" t="s">
        <v>129</v>
      </c>
      <c r="H33" s="9"/>
    </row>
    <row r="34" spans="1:8" ht="30" x14ac:dyDescent="0.25">
      <c r="A34" s="2" t="s">
        <v>23</v>
      </c>
      <c r="B34" s="2" t="s">
        <v>24</v>
      </c>
      <c r="C34" s="3">
        <v>2025</v>
      </c>
      <c r="D34" s="3" t="s">
        <v>488</v>
      </c>
      <c r="E34" s="2" t="s">
        <v>7</v>
      </c>
      <c r="F34" s="2" t="s">
        <v>25</v>
      </c>
      <c r="G34" s="2" t="s">
        <v>59</v>
      </c>
      <c r="H34" s="9"/>
    </row>
    <row r="35" spans="1:8" ht="30" x14ac:dyDescent="0.25">
      <c r="A35" s="2" t="s">
        <v>102</v>
      </c>
      <c r="B35" s="2" t="s">
        <v>103</v>
      </c>
      <c r="C35" s="3">
        <v>2025</v>
      </c>
      <c r="D35" s="3" t="s">
        <v>489</v>
      </c>
      <c r="E35" s="2" t="s">
        <v>7</v>
      </c>
      <c r="F35" s="2" t="s">
        <v>104</v>
      </c>
      <c r="G35" s="2" t="s">
        <v>105</v>
      </c>
      <c r="H35" s="9"/>
    </row>
    <row r="36" spans="1:8" ht="30" x14ac:dyDescent="0.25">
      <c r="A36" s="2" t="s">
        <v>109</v>
      </c>
      <c r="B36" s="2" t="s">
        <v>110</v>
      </c>
      <c r="C36" s="3">
        <v>2016</v>
      </c>
      <c r="D36" s="3" t="s">
        <v>490</v>
      </c>
      <c r="E36" s="2" t="s">
        <v>7</v>
      </c>
      <c r="F36" s="2" t="s">
        <v>111</v>
      </c>
      <c r="G36" s="2" t="s">
        <v>112</v>
      </c>
      <c r="H36" s="9"/>
    </row>
    <row r="37" spans="1:8" ht="30" x14ac:dyDescent="0.25">
      <c r="A37" s="2" t="s">
        <v>117</v>
      </c>
      <c r="B37" s="2" t="s">
        <v>118</v>
      </c>
      <c r="C37" s="3">
        <v>2018</v>
      </c>
      <c r="D37" s="3" t="s">
        <v>491</v>
      </c>
      <c r="E37" s="2" t="s">
        <v>7</v>
      </c>
      <c r="F37" s="2" t="s">
        <v>111</v>
      </c>
      <c r="G37" s="2" t="s">
        <v>119</v>
      </c>
      <c r="H37" s="9"/>
    </row>
    <row r="38" spans="1:8" x14ac:dyDescent="0.25">
      <c r="A38" s="2" t="s">
        <v>41</v>
      </c>
      <c r="B38" s="2" t="s">
        <v>42</v>
      </c>
      <c r="C38" s="3">
        <v>2021</v>
      </c>
      <c r="D38" s="3" t="s">
        <v>492</v>
      </c>
      <c r="E38" s="2" t="s">
        <v>7</v>
      </c>
      <c r="F38" s="2" t="s">
        <v>43</v>
      </c>
      <c r="G38" s="2" t="s">
        <v>44</v>
      </c>
      <c r="H38" s="9"/>
    </row>
    <row r="39" spans="1:8" ht="30" x14ac:dyDescent="0.25">
      <c r="A39" s="2" t="s">
        <v>202</v>
      </c>
      <c r="B39" s="2" t="s">
        <v>203</v>
      </c>
      <c r="C39" s="3">
        <v>2025</v>
      </c>
      <c r="D39" s="3" t="s">
        <v>494</v>
      </c>
      <c r="E39" s="2" t="s">
        <v>7</v>
      </c>
      <c r="F39" s="2" t="s">
        <v>204</v>
      </c>
      <c r="G39" s="2" t="s">
        <v>205</v>
      </c>
      <c r="H39" s="9"/>
    </row>
    <row r="40" spans="1:8" ht="30" x14ac:dyDescent="0.25">
      <c r="A40" s="2" t="s">
        <v>16</v>
      </c>
      <c r="B40" s="2" t="s">
        <v>17</v>
      </c>
      <c r="C40" s="3">
        <v>2025</v>
      </c>
      <c r="D40" s="3" t="s">
        <v>493</v>
      </c>
      <c r="E40" s="2" t="s">
        <v>7</v>
      </c>
      <c r="F40" s="2" t="s">
        <v>18</v>
      </c>
      <c r="G40" s="2" t="s">
        <v>58</v>
      </c>
      <c r="H40" s="9"/>
    </row>
    <row r="41" spans="1:8" x14ac:dyDescent="0.25">
      <c r="A41" s="2"/>
      <c r="B41" s="2"/>
      <c r="C41" s="3"/>
      <c r="D41" s="3"/>
      <c r="E41" s="2"/>
      <c r="F41" s="2"/>
      <c r="G41" s="2"/>
      <c r="H41" s="9"/>
    </row>
    <row r="42" spans="1:8" x14ac:dyDescent="0.25">
      <c r="A42" s="2"/>
      <c r="B42" s="2"/>
      <c r="C42" s="3"/>
      <c r="D42" s="3"/>
      <c r="E42" s="2"/>
      <c r="F42" s="2"/>
      <c r="G42" s="2"/>
      <c r="H42" s="9"/>
    </row>
    <row r="43" spans="1:8" x14ac:dyDescent="0.25">
      <c r="A43" s="2"/>
      <c r="B43" s="2"/>
      <c r="C43" s="3"/>
      <c r="D43" s="3"/>
      <c r="E43" s="2"/>
      <c r="F43" s="2"/>
      <c r="G43" s="2"/>
      <c r="H43" s="9"/>
    </row>
    <row r="44" spans="1:8" x14ac:dyDescent="0.25">
      <c r="A44" s="2"/>
      <c r="B44" s="2"/>
      <c r="C44" s="3"/>
      <c r="D44" s="3"/>
      <c r="E44" s="2"/>
      <c r="F44" s="2"/>
      <c r="G44" s="2"/>
      <c r="H44" s="9"/>
    </row>
    <row r="45" spans="1:8" x14ac:dyDescent="0.25">
      <c r="A45" s="2"/>
      <c r="B45" s="2"/>
      <c r="C45" s="3"/>
      <c r="D45" s="3"/>
      <c r="E45" s="2"/>
      <c r="F45" s="2"/>
      <c r="G45" s="2"/>
      <c r="H45" s="9"/>
    </row>
    <row r="46" spans="1:8" x14ac:dyDescent="0.25">
      <c r="A46" s="2"/>
      <c r="B46" s="2"/>
      <c r="C46" s="3"/>
      <c r="D46" s="3"/>
      <c r="E46" s="2"/>
      <c r="F46" s="2"/>
      <c r="G46" s="2"/>
      <c r="H46" s="9"/>
    </row>
    <row r="47" spans="1:8" x14ac:dyDescent="0.25">
      <c r="A47" s="2"/>
      <c r="B47" s="2"/>
      <c r="C47" s="3"/>
      <c r="D47" s="3"/>
      <c r="E47" s="2"/>
      <c r="F47" s="2"/>
      <c r="G47" s="2"/>
      <c r="H47" s="9"/>
    </row>
    <row r="48" spans="1:8" x14ac:dyDescent="0.25">
      <c r="A48" s="2"/>
      <c r="B48" s="2"/>
      <c r="C48" s="3"/>
      <c r="D48" s="3"/>
      <c r="E48" s="2"/>
      <c r="F48" s="2"/>
      <c r="G48" s="2"/>
      <c r="H48" s="9"/>
    </row>
    <row r="49" spans="1:8" x14ac:dyDescent="0.25">
      <c r="A49" s="2"/>
      <c r="B49" s="2"/>
      <c r="C49" s="3"/>
      <c r="D49" s="3"/>
      <c r="E49" s="2"/>
      <c r="F49" s="2"/>
      <c r="G49" s="2"/>
      <c r="H49" s="9"/>
    </row>
    <row r="50" spans="1:8" x14ac:dyDescent="0.25">
      <c r="A50" s="2"/>
      <c r="B50" s="2"/>
      <c r="C50" s="3"/>
      <c r="D50" s="3"/>
      <c r="E50" s="2"/>
      <c r="F50" s="2"/>
      <c r="G50" s="2"/>
      <c r="H50" s="9"/>
    </row>
    <row r="51" spans="1:8" x14ac:dyDescent="0.25">
      <c r="A51" s="2"/>
      <c r="B51" s="2"/>
      <c r="C51" s="3"/>
      <c r="D51" s="3"/>
      <c r="E51" s="2"/>
      <c r="F51" s="2"/>
      <c r="G51" s="2"/>
      <c r="H51" s="9"/>
    </row>
    <row r="52" spans="1:8" x14ac:dyDescent="0.25">
      <c r="A52" s="2"/>
      <c r="B52" s="2"/>
      <c r="C52" s="3"/>
      <c r="D52" s="3"/>
      <c r="E52" s="2"/>
      <c r="F52" s="2"/>
      <c r="G52" s="2"/>
      <c r="H52" s="9"/>
    </row>
    <row r="53" spans="1:8" x14ac:dyDescent="0.25">
      <c r="A53" s="2"/>
      <c r="B53" s="2"/>
      <c r="C53" s="3"/>
      <c r="D53" s="3"/>
      <c r="E53" s="2"/>
      <c r="F53" s="2"/>
      <c r="G53" s="2"/>
      <c r="H53" s="9"/>
    </row>
    <row r="54" spans="1:8" x14ac:dyDescent="0.25">
      <c r="A54" s="2"/>
      <c r="B54" s="2"/>
      <c r="C54" s="3"/>
      <c r="D54" s="3"/>
      <c r="E54" s="2"/>
      <c r="F54" s="2"/>
      <c r="G54" s="2"/>
      <c r="H54" s="9"/>
    </row>
    <row r="55" spans="1:8" x14ac:dyDescent="0.25">
      <c r="A55" s="2"/>
      <c r="B55" s="2"/>
      <c r="C55" s="3"/>
      <c r="D55" s="3"/>
      <c r="E55" s="2"/>
      <c r="F55" s="2"/>
      <c r="G55" s="2"/>
      <c r="H55" s="9"/>
    </row>
    <row r="56" spans="1:8" x14ac:dyDescent="0.25">
      <c r="A56" s="2"/>
      <c r="B56" s="2"/>
      <c r="C56" s="3"/>
      <c r="D56" s="3"/>
      <c r="E56" s="2"/>
      <c r="F56" s="2"/>
      <c r="G56" s="2"/>
      <c r="H56" s="9"/>
    </row>
    <row r="57" spans="1:8" x14ac:dyDescent="0.25">
      <c r="A57" s="2"/>
      <c r="B57" s="2"/>
      <c r="C57" s="3"/>
      <c r="D57" s="3"/>
      <c r="E57" s="2"/>
      <c r="F57" s="2"/>
      <c r="G57" s="2"/>
      <c r="H57" s="9"/>
    </row>
    <row r="58" spans="1:8" x14ac:dyDescent="0.25">
      <c r="A58" s="2"/>
      <c r="B58" s="2"/>
      <c r="C58" s="3"/>
      <c r="D58" s="3"/>
      <c r="E58" s="2"/>
      <c r="F58" s="2"/>
      <c r="G58" s="2"/>
      <c r="H58" s="9"/>
    </row>
    <row r="59" spans="1:8" x14ac:dyDescent="0.25">
      <c r="A59" s="2"/>
      <c r="B59" s="2"/>
      <c r="C59" s="3"/>
      <c r="D59" s="3"/>
      <c r="E59" s="2"/>
      <c r="F59" s="2"/>
      <c r="G59" s="2"/>
      <c r="H59" s="9"/>
    </row>
    <row r="60" spans="1:8" x14ac:dyDescent="0.25">
      <c r="A60" s="2"/>
      <c r="B60" s="2"/>
      <c r="C60" s="3"/>
      <c r="D60" s="3"/>
      <c r="E60" s="2"/>
      <c r="F60" s="2"/>
      <c r="G60" s="2"/>
      <c r="H60" s="9"/>
    </row>
    <row r="61" spans="1:8" x14ac:dyDescent="0.25">
      <c r="A61" s="2"/>
      <c r="B61" s="2"/>
      <c r="C61" s="3"/>
      <c r="D61" s="3"/>
      <c r="E61" s="2"/>
      <c r="F61" s="2"/>
      <c r="G61" s="2"/>
      <c r="H61" s="9"/>
    </row>
    <row r="62" spans="1:8" x14ac:dyDescent="0.25">
      <c r="A62" s="2"/>
      <c r="B62" s="2"/>
      <c r="C62" s="3"/>
      <c r="D62" s="3"/>
      <c r="E62" s="2"/>
      <c r="F62" s="2"/>
      <c r="G62" s="2"/>
      <c r="H62" s="9"/>
    </row>
    <row r="63" spans="1:8" x14ac:dyDescent="0.25">
      <c r="A63" s="2"/>
      <c r="B63" s="2"/>
      <c r="C63" s="3"/>
      <c r="D63" s="3"/>
      <c r="E63" s="2"/>
      <c r="F63" s="2"/>
      <c r="G63" s="2"/>
      <c r="H63" s="9"/>
    </row>
    <row r="64" spans="1:8" x14ac:dyDescent="0.25">
      <c r="A64" s="2"/>
      <c r="B64" s="2"/>
      <c r="C64" s="3"/>
      <c r="D64" s="3"/>
      <c r="E64" s="2"/>
      <c r="F64" s="2"/>
      <c r="G64" s="2"/>
      <c r="H64" s="9"/>
    </row>
    <row r="65" spans="1:8" x14ac:dyDescent="0.25">
      <c r="A65" s="2"/>
      <c r="B65" s="2"/>
      <c r="C65" s="3"/>
      <c r="D65" s="3"/>
      <c r="E65" s="2"/>
      <c r="F65" s="2"/>
      <c r="G65" s="2"/>
      <c r="H65" s="9"/>
    </row>
    <row r="66" spans="1:8" x14ac:dyDescent="0.25">
      <c r="A66" s="2"/>
      <c r="B66" s="2"/>
      <c r="C66" s="3"/>
      <c r="D66" s="3"/>
      <c r="E66" s="2"/>
      <c r="F66" s="2"/>
      <c r="G66" s="2"/>
      <c r="H66" s="9"/>
    </row>
    <row r="67" spans="1:8" x14ac:dyDescent="0.25">
      <c r="A67" s="2"/>
      <c r="B67" s="2"/>
      <c r="C67" s="3"/>
      <c r="D67" s="3"/>
      <c r="E67" s="2"/>
      <c r="F67" s="2"/>
      <c r="G67" s="2"/>
      <c r="H67" s="9"/>
    </row>
    <row r="68" spans="1:8" x14ac:dyDescent="0.25">
      <c r="A68" s="2"/>
      <c r="B68" s="2"/>
      <c r="C68" s="3"/>
      <c r="D68" s="3"/>
      <c r="E68" s="2"/>
      <c r="F68" s="2"/>
      <c r="G68" s="2"/>
      <c r="H68" s="9"/>
    </row>
    <row r="69" spans="1:8" x14ac:dyDescent="0.25">
      <c r="A69" s="2"/>
      <c r="B69" s="2"/>
      <c r="C69" s="3"/>
      <c r="D69" s="3"/>
      <c r="E69" s="2"/>
      <c r="F69" s="2"/>
      <c r="G69" s="2"/>
      <c r="H69" s="9"/>
    </row>
    <row r="70" spans="1:8" x14ac:dyDescent="0.25">
      <c r="A70" s="2"/>
      <c r="B70" s="2"/>
      <c r="C70" s="3"/>
      <c r="D70" s="3"/>
      <c r="E70" s="2"/>
      <c r="F70" s="2"/>
      <c r="G70" s="2"/>
      <c r="H70" s="9"/>
    </row>
    <row r="71" spans="1:8" x14ac:dyDescent="0.25">
      <c r="A71" s="2"/>
      <c r="B71" s="2"/>
      <c r="C71" s="3"/>
      <c r="D71" s="3"/>
      <c r="E71" s="2"/>
      <c r="F71" s="2"/>
      <c r="G71" s="2"/>
      <c r="H71" s="9"/>
    </row>
    <row r="72" spans="1:8" x14ac:dyDescent="0.25">
      <c r="A72" s="2"/>
      <c r="B72" s="2"/>
      <c r="C72" s="3"/>
      <c r="D72" s="3"/>
      <c r="E72" s="2"/>
      <c r="F72" s="2"/>
      <c r="G72" s="2"/>
      <c r="H72" s="9"/>
    </row>
    <row r="73" spans="1:8" x14ac:dyDescent="0.25">
      <c r="A73" s="2"/>
      <c r="B73" s="2"/>
      <c r="C73" s="3"/>
      <c r="D73" s="3"/>
      <c r="E73" s="2"/>
      <c r="F73" s="2"/>
      <c r="G73" s="2"/>
      <c r="H73" s="9"/>
    </row>
    <row r="74" spans="1:8" x14ac:dyDescent="0.25">
      <c r="A74" s="2"/>
      <c r="B74" s="2"/>
      <c r="C74" s="3"/>
      <c r="D74" s="3"/>
      <c r="E74" s="2"/>
      <c r="F74" s="2"/>
      <c r="G74" s="2"/>
      <c r="H74" s="9"/>
    </row>
    <row r="75" spans="1:8" x14ac:dyDescent="0.25">
      <c r="A75" s="2"/>
      <c r="B75" s="2"/>
      <c r="C75" s="3"/>
      <c r="D75" s="3"/>
      <c r="E75" s="2"/>
      <c r="F75" s="2"/>
      <c r="G75" s="2"/>
      <c r="H75" s="9"/>
    </row>
    <row r="76" spans="1:8" x14ac:dyDescent="0.25">
      <c r="A76" s="2"/>
      <c r="B76" s="2"/>
      <c r="C76" s="3"/>
      <c r="D76" s="3"/>
      <c r="E76" s="2"/>
      <c r="F76" s="2"/>
      <c r="G76" s="2"/>
      <c r="H76" s="9"/>
    </row>
    <row r="77" spans="1:8" x14ac:dyDescent="0.25">
      <c r="A77" s="2"/>
      <c r="B77" s="2"/>
      <c r="C77" s="3"/>
      <c r="D77" s="3"/>
      <c r="E77" s="2"/>
      <c r="F77" s="2"/>
      <c r="G77" s="2"/>
      <c r="H77" s="9"/>
    </row>
    <row r="78" spans="1:8" x14ac:dyDescent="0.25">
      <c r="A78" s="2"/>
      <c r="B78" s="2"/>
      <c r="C78" s="3"/>
      <c r="D78" s="3"/>
      <c r="E78" s="2"/>
      <c r="F78" s="2"/>
      <c r="G78" s="2"/>
      <c r="H78" s="9"/>
    </row>
    <row r="79" spans="1:8" x14ac:dyDescent="0.25">
      <c r="A79" s="2"/>
      <c r="B79" s="2"/>
      <c r="C79" s="3"/>
      <c r="D79" s="3"/>
      <c r="E79" s="2"/>
      <c r="F79" s="2"/>
      <c r="G79" s="2"/>
      <c r="H79" s="9"/>
    </row>
    <row r="80" spans="1:8" x14ac:dyDescent="0.25">
      <c r="A80" s="2"/>
      <c r="B80" s="2"/>
      <c r="C80" s="3"/>
      <c r="D80" s="3"/>
      <c r="E80" s="2"/>
      <c r="F80" s="2"/>
      <c r="G80" s="2"/>
      <c r="H80" s="9"/>
    </row>
  </sheetData>
  <sortState ref="A1:I1">
    <sortCondition ref="A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38" sqref="D38"/>
    </sheetView>
  </sheetViews>
  <sheetFormatPr defaultRowHeight="15" x14ac:dyDescent="0.25"/>
  <cols>
    <col min="1" max="1" width="29.42578125" style="1" customWidth="1"/>
    <col min="2" max="2" width="23" style="1" customWidth="1"/>
    <col min="3" max="3" width="9.7109375" style="4" bestFit="1" customWidth="1"/>
    <col min="4" max="4" width="8.28515625" style="4" bestFit="1" customWidth="1"/>
    <col min="5" max="5" width="8.42578125" style="1" customWidth="1"/>
    <col min="6" max="6" width="29.28515625" style="1" customWidth="1"/>
    <col min="7" max="7" width="56.140625" style="1" customWidth="1"/>
    <col min="8" max="8" width="20.140625" style="10" customWidth="1"/>
  </cols>
  <sheetData>
    <row r="1" spans="1:8" s="7" customFormat="1" ht="30" x14ac:dyDescent="0.25">
      <c r="A1" s="5" t="s">
        <v>0</v>
      </c>
      <c r="B1" s="5" t="s">
        <v>1</v>
      </c>
      <c r="C1" s="6" t="s">
        <v>3</v>
      </c>
      <c r="D1" s="6" t="s">
        <v>215</v>
      </c>
      <c r="E1" s="5" t="s">
        <v>4</v>
      </c>
      <c r="F1" s="5" t="s">
        <v>2</v>
      </c>
      <c r="G1" s="5" t="s">
        <v>45</v>
      </c>
      <c r="H1" s="5" t="s">
        <v>264</v>
      </c>
    </row>
    <row r="2" spans="1:8" ht="30" x14ac:dyDescent="0.25">
      <c r="A2" s="2" t="s">
        <v>13</v>
      </c>
      <c r="B2" s="2" t="s">
        <v>14</v>
      </c>
      <c r="C2" s="3">
        <v>2022</v>
      </c>
      <c r="D2" s="3">
        <v>1</v>
      </c>
      <c r="E2" s="2" t="s">
        <v>7</v>
      </c>
      <c r="F2" s="2" t="s">
        <v>15</v>
      </c>
      <c r="G2" s="2" t="s">
        <v>177</v>
      </c>
      <c r="H2" s="9"/>
    </row>
    <row r="3" spans="1:8" ht="30" x14ac:dyDescent="0.25">
      <c r="A3" s="2" t="s">
        <v>178</v>
      </c>
      <c r="B3" s="2" t="s">
        <v>179</v>
      </c>
      <c r="C3" s="3">
        <v>2025</v>
      </c>
      <c r="D3" s="3">
        <v>1</v>
      </c>
      <c r="E3" s="2" t="s">
        <v>7</v>
      </c>
      <c r="F3" s="2" t="s">
        <v>180</v>
      </c>
      <c r="G3" s="2" t="s">
        <v>181</v>
      </c>
      <c r="H3" s="9"/>
    </row>
    <row r="4" spans="1:8" ht="45" x14ac:dyDescent="0.25">
      <c r="A4" s="2" t="s">
        <v>244</v>
      </c>
      <c r="B4" s="2" t="s">
        <v>6</v>
      </c>
      <c r="C4" s="3">
        <v>2020</v>
      </c>
      <c r="D4" s="3">
        <v>4</v>
      </c>
      <c r="E4" s="2" t="s">
        <v>7</v>
      </c>
      <c r="F4" s="2" t="s">
        <v>245</v>
      </c>
      <c r="G4" s="2" t="s">
        <v>246</v>
      </c>
      <c r="H4" s="9"/>
    </row>
    <row r="5" spans="1:8" ht="60" x14ac:dyDescent="0.25">
      <c r="A5" s="2" t="s">
        <v>241</v>
      </c>
      <c r="B5" s="2" t="s">
        <v>156</v>
      </c>
      <c r="C5" s="3">
        <v>2025</v>
      </c>
      <c r="D5" s="3">
        <v>1</v>
      </c>
      <c r="E5" s="2" t="s">
        <v>7</v>
      </c>
      <c r="F5" s="2" t="s">
        <v>242</v>
      </c>
      <c r="G5" s="2" t="s">
        <v>243</v>
      </c>
      <c r="H5" s="9"/>
    </row>
    <row r="6" spans="1:8" ht="30" x14ac:dyDescent="0.25">
      <c r="A6" s="2" t="s">
        <v>63</v>
      </c>
      <c r="B6" s="2" t="s">
        <v>64</v>
      </c>
      <c r="C6" s="3">
        <v>2017</v>
      </c>
      <c r="D6" s="3">
        <v>1</v>
      </c>
      <c r="E6" s="2" t="s">
        <v>7</v>
      </c>
      <c r="F6" s="2" t="s">
        <v>65</v>
      </c>
      <c r="G6" s="2" t="s">
        <v>212</v>
      </c>
      <c r="H6" s="9"/>
    </row>
    <row r="7" spans="1:8" ht="30" x14ac:dyDescent="0.25">
      <c r="A7" s="2" t="s">
        <v>106</v>
      </c>
      <c r="B7" s="2" t="s">
        <v>107</v>
      </c>
      <c r="C7" s="3">
        <v>2023</v>
      </c>
      <c r="D7" s="3">
        <v>2</v>
      </c>
      <c r="E7" s="2" t="s">
        <v>7</v>
      </c>
      <c r="F7" s="2" t="s">
        <v>108</v>
      </c>
      <c r="G7" s="2" t="s">
        <v>221</v>
      </c>
      <c r="H7" s="9"/>
    </row>
    <row r="8" spans="1:8" x14ac:dyDescent="0.25">
      <c r="A8" s="2" t="s">
        <v>168</v>
      </c>
      <c r="B8" s="2" t="s">
        <v>6</v>
      </c>
      <c r="C8" s="3" t="s">
        <v>216</v>
      </c>
      <c r="D8" s="3">
        <v>5</v>
      </c>
      <c r="E8" s="2" t="s">
        <v>7</v>
      </c>
      <c r="F8" s="2" t="s">
        <v>169</v>
      </c>
      <c r="G8" s="2" t="s">
        <v>170</v>
      </c>
      <c r="H8" s="9"/>
    </row>
    <row r="9" spans="1:8" ht="30" x14ac:dyDescent="0.25">
      <c r="A9" s="2" t="s">
        <v>207</v>
      </c>
      <c r="B9" s="2" t="s">
        <v>20</v>
      </c>
      <c r="C9" s="3">
        <v>2022</v>
      </c>
      <c r="D9" s="3">
        <v>3</v>
      </c>
      <c r="E9" s="2" t="s">
        <v>7</v>
      </c>
      <c r="F9" s="2" t="s">
        <v>214</v>
      </c>
      <c r="G9" s="2" t="s">
        <v>213</v>
      </c>
      <c r="H9" s="9"/>
    </row>
    <row r="10" spans="1:8" x14ac:dyDescent="0.25">
      <c r="A10" s="2" t="s">
        <v>53</v>
      </c>
      <c r="B10" s="2" t="s">
        <v>6</v>
      </c>
      <c r="C10" s="3">
        <v>2024</v>
      </c>
      <c r="D10" s="3">
        <v>1</v>
      </c>
      <c r="E10" s="2" t="s">
        <v>7</v>
      </c>
      <c r="F10" s="2" t="s">
        <v>54</v>
      </c>
      <c r="G10" s="2" t="s">
        <v>55</v>
      </c>
      <c r="H10" s="9"/>
    </row>
    <row r="11" spans="1:8" ht="30" x14ac:dyDescent="0.25">
      <c r="A11" s="2" t="s">
        <v>229</v>
      </c>
      <c r="B11" s="2" t="s">
        <v>230</v>
      </c>
      <c r="C11" s="3">
        <v>2022</v>
      </c>
      <c r="D11" s="3">
        <v>3</v>
      </c>
      <c r="E11" s="2" t="s">
        <v>7</v>
      </c>
      <c r="F11" s="2" t="s">
        <v>231</v>
      </c>
      <c r="G11" s="2" t="s">
        <v>232</v>
      </c>
      <c r="H11" s="9"/>
    </row>
    <row r="12" spans="1:8" ht="30" x14ac:dyDescent="0.25">
      <c r="A12" s="2" t="s">
        <v>139</v>
      </c>
      <c r="B12" s="2" t="s">
        <v>6</v>
      </c>
      <c r="C12" s="3" t="s">
        <v>217</v>
      </c>
      <c r="D12" s="3">
        <v>4</v>
      </c>
      <c r="E12" s="2" t="s">
        <v>7</v>
      </c>
      <c r="F12" s="2" t="s">
        <v>140</v>
      </c>
      <c r="G12" s="2" t="s">
        <v>141</v>
      </c>
      <c r="H12" s="9"/>
    </row>
    <row r="13" spans="1:8" ht="30" x14ac:dyDescent="0.25">
      <c r="A13" s="2" t="s">
        <v>194</v>
      </c>
      <c r="B13" s="2" t="s">
        <v>195</v>
      </c>
      <c r="C13" s="3">
        <v>2023</v>
      </c>
      <c r="D13" s="3">
        <v>2</v>
      </c>
      <c r="E13" s="2" t="s">
        <v>7</v>
      </c>
      <c r="F13" s="2" t="s">
        <v>196</v>
      </c>
      <c r="G13" s="2" t="s">
        <v>197</v>
      </c>
      <c r="H13" s="9"/>
    </row>
    <row r="14" spans="1:8" ht="30" x14ac:dyDescent="0.25">
      <c r="A14" s="2" t="s">
        <v>225</v>
      </c>
      <c r="B14" s="2" t="s">
        <v>226</v>
      </c>
      <c r="C14" s="3">
        <v>2024</v>
      </c>
      <c r="D14" s="3">
        <v>1</v>
      </c>
      <c r="E14" s="2" t="s">
        <v>7</v>
      </c>
      <c r="F14" s="2" t="s">
        <v>227</v>
      </c>
      <c r="G14" s="2" t="s">
        <v>228</v>
      </c>
      <c r="H14" s="9"/>
    </row>
    <row r="15" spans="1:8" ht="30" x14ac:dyDescent="0.25">
      <c r="A15" s="2" t="s">
        <v>171</v>
      </c>
      <c r="B15" s="2" t="s">
        <v>6</v>
      </c>
      <c r="C15" s="3" t="s">
        <v>218</v>
      </c>
      <c r="D15" s="3">
        <v>6</v>
      </c>
      <c r="E15" s="2" t="s">
        <v>7</v>
      </c>
      <c r="F15" s="2" t="s">
        <v>172</v>
      </c>
      <c r="G15" s="2" t="s">
        <v>173</v>
      </c>
      <c r="H15" s="9"/>
    </row>
    <row r="16" spans="1:8" x14ac:dyDescent="0.25">
      <c r="A16" s="2" t="s">
        <v>113</v>
      </c>
      <c r="B16" s="2" t="s">
        <v>114</v>
      </c>
      <c r="C16" s="3">
        <v>2022</v>
      </c>
      <c r="D16" s="3">
        <v>1</v>
      </c>
      <c r="E16" s="2" t="s">
        <v>7</v>
      </c>
      <c r="F16" s="2" t="s">
        <v>115</v>
      </c>
      <c r="G16" s="2" t="s">
        <v>116</v>
      </c>
      <c r="H16" s="9"/>
    </row>
    <row r="17" spans="1:8" ht="30" x14ac:dyDescent="0.25">
      <c r="A17" s="2" t="s">
        <v>260</v>
      </c>
      <c r="B17" s="2" t="s">
        <v>261</v>
      </c>
      <c r="C17" s="3">
        <v>2022</v>
      </c>
      <c r="D17" s="3">
        <v>1</v>
      </c>
      <c r="E17" s="2" t="s">
        <v>7</v>
      </c>
      <c r="F17" s="2" t="s">
        <v>262</v>
      </c>
      <c r="G17" s="2" t="s">
        <v>263</v>
      </c>
      <c r="H17" s="9"/>
    </row>
    <row r="18" spans="1:8" x14ac:dyDescent="0.25">
      <c r="A18" s="2" t="s">
        <v>165</v>
      </c>
      <c r="B18" s="2" t="s">
        <v>6</v>
      </c>
      <c r="C18" s="3">
        <v>2025</v>
      </c>
      <c r="D18" s="3">
        <v>1</v>
      </c>
      <c r="E18" s="2" t="s">
        <v>7</v>
      </c>
      <c r="F18" s="2" t="s">
        <v>166</v>
      </c>
      <c r="G18" s="2" t="s">
        <v>167</v>
      </c>
      <c r="H18" s="9"/>
    </row>
    <row r="19" spans="1:8" ht="45" x14ac:dyDescent="0.25">
      <c r="A19" s="2" t="s">
        <v>162</v>
      </c>
      <c r="B19" s="2" t="s">
        <v>6</v>
      </c>
      <c r="C19" s="3" t="s">
        <v>219</v>
      </c>
      <c r="D19" s="3">
        <v>3</v>
      </c>
      <c r="E19" s="2" t="s">
        <v>7</v>
      </c>
      <c r="F19" s="2" t="s">
        <v>163</v>
      </c>
      <c r="G19" s="2" t="s">
        <v>164</v>
      </c>
      <c r="H19" s="9"/>
    </row>
    <row r="20" spans="1:8" ht="45" x14ac:dyDescent="0.25">
      <c r="A20" s="2" t="s">
        <v>237</v>
      </c>
      <c r="B20" s="2" t="s">
        <v>238</v>
      </c>
      <c r="C20" s="3">
        <v>2023</v>
      </c>
      <c r="D20" s="3">
        <v>2</v>
      </c>
      <c r="E20" s="2" t="s">
        <v>7</v>
      </c>
      <c r="F20" s="2" t="s">
        <v>239</v>
      </c>
      <c r="G20" s="2" t="s">
        <v>240</v>
      </c>
      <c r="H20" s="9"/>
    </row>
    <row r="21" spans="1:8" ht="45" x14ac:dyDescent="0.25">
      <c r="A21" s="2" t="s">
        <v>247</v>
      </c>
      <c r="B21" s="2" t="s">
        <v>64</v>
      </c>
      <c r="C21" s="3">
        <v>2024</v>
      </c>
      <c r="D21" s="3">
        <v>1</v>
      </c>
      <c r="E21" s="2" t="s">
        <v>7</v>
      </c>
      <c r="F21" s="2" t="s">
        <v>248</v>
      </c>
      <c r="G21" s="2" t="s">
        <v>249</v>
      </c>
      <c r="H21" s="9"/>
    </row>
    <row r="22" spans="1:8" ht="30" x14ac:dyDescent="0.25">
      <c r="A22" s="2" t="s">
        <v>133</v>
      </c>
      <c r="B22" s="2" t="s">
        <v>134</v>
      </c>
      <c r="C22" s="3">
        <v>2019</v>
      </c>
      <c r="D22" s="3">
        <v>4</v>
      </c>
      <c r="E22" s="2" t="s">
        <v>7</v>
      </c>
      <c r="F22" s="2" t="s">
        <v>135</v>
      </c>
      <c r="G22" s="2" t="s">
        <v>265</v>
      </c>
      <c r="H22" s="9"/>
    </row>
    <row r="23" spans="1:8" ht="45" x14ac:dyDescent="0.25">
      <c r="A23" s="2" t="s">
        <v>253</v>
      </c>
      <c r="B23" s="2" t="s">
        <v>254</v>
      </c>
      <c r="C23" s="3">
        <v>2024</v>
      </c>
      <c r="D23" s="3">
        <v>1</v>
      </c>
      <c r="E23" s="2" t="s">
        <v>7</v>
      </c>
      <c r="F23" s="2" t="s">
        <v>255</v>
      </c>
      <c r="G23" s="2" t="s">
        <v>256</v>
      </c>
      <c r="H23" s="9"/>
    </row>
    <row r="24" spans="1:8" x14ac:dyDescent="0.25">
      <c r="A24" s="2" t="s">
        <v>185</v>
      </c>
      <c r="B24" s="2" t="s">
        <v>6</v>
      </c>
      <c r="C24" s="3">
        <v>2025</v>
      </c>
      <c r="D24" s="3">
        <v>1</v>
      </c>
      <c r="E24" s="2" t="s">
        <v>7</v>
      </c>
      <c r="F24" s="2" t="s">
        <v>186</v>
      </c>
      <c r="G24" s="2" t="s">
        <v>187</v>
      </c>
      <c r="H24" s="9"/>
    </row>
    <row r="25" spans="1:8" ht="30" x14ac:dyDescent="0.25">
      <c r="A25" s="2" t="s">
        <v>36</v>
      </c>
      <c r="B25" s="2" t="s">
        <v>6</v>
      </c>
      <c r="C25" s="3">
        <v>2025</v>
      </c>
      <c r="D25" s="3">
        <v>1</v>
      </c>
      <c r="E25" s="2" t="s">
        <v>7</v>
      </c>
      <c r="F25" s="2" t="s">
        <v>37</v>
      </c>
      <c r="G25" s="2" t="s">
        <v>188</v>
      </c>
      <c r="H25" s="9"/>
    </row>
    <row r="26" spans="1:8" ht="30" x14ac:dyDescent="0.25">
      <c r="A26" s="2" t="s">
        <v>9</v>
      </c>
      <c r="B26" s="2" t="s">
        <v>10</v>
      </c>
      <c r="C26" s="3">
        <v>2023</v>
      </c>
      <c r="D26" s="3">
        <v>1</v>
      </c>
      <c r="E26" s="2" t="s">
        <v>7</v>
      </c>
      <c r="F26" s="2" t="s">
        <v>8</v>
      </c>
      <c r="G26" s="2" t="s">
        <v>57</v>
      </c>
      <c r="H26" s="9"/>
    </row>
    <row r="27" spans="1:8" ht="30" x14ac:dyDescent="0.25">
      <c r="A27" s="2" t="s">
        <v>182</v>
      </c>
      <c r="B27" s="2" t="s">
        <v>6</v>
      </c>
      <c r="C27" s="3">
        <v>2023</v>
      </c>
      <c r="D27" s="3">
        <v>2</v>
      </c>
      <c r="E27" s="2" t="s">
        <v>7</v>
      </c>
      <c r="F27" s="2" t="s">
        <v>183</v>
      </c>
      <c r="G27" s="2" t="s">
        <v>184</v>
      </c>
      <c r="H27" s="9"/>
    </row>
    <row r="28" spans="1:8" ht="30" x14ac:dyDescent="0.25">
      <c r="A28" s="2" t="s">
        <v>198</v>
      </c>
      <c r="B28" s="2" t="s">
        <v>199</v>
      </c>
      <c r="C28" s="3">
        <v>2019</v>
      </c>
      <c r="D28" s="3">
        <v>5</v>
      </c>
      <c r="E28" s="2" t="s">
        <v>7</v>
      </c>
      <c r="F28" s="2" t="s">
        <v>200</v>
      </c>
      <c r="G28" s="2" t="s">
        <v>201</v>
      </c>
      <c r="H28" s="9"/>
    </row>
    <row r="29" spans="1:8" ht="45" x14ac:dyDescent="0.25">
      <c r="A29" s="2" t="s">
        <v>191</v>
      </c>
      <c r="B29" s="2" t="s">
        <v>6</v>
      </c>
      <c r="C29" s="3">
        <v>2023</v>
      </c>
      <c r="D29" s="3">
        <v>2</v>
      </c>
      <c r="E29" s="2" t="s">
        <v>7</v>
      </c>
      <c r="F29" s="2" t="s">
        <v>192</v>
      </c>
      <c r="G29" s="2" t="s">
        <v>193</v>
      </c>
      <c r="H29" s="9"/>
    </row>
    <row r="30" spans="1:8" ht="30" x14ac:dyDescent="0.25">
      <c r="A30" s="2" t="s">
        <v>209</v>
      </c>
      <c r="B30" s="2" t="s">
        <v>6</v>
      </c>
      <c r="C30" s="3" t="s">
        <v>220</v>
      </c>
      <c r="D30" s="3">
        <v>4</v>
      </c>
      <c r="E30" s="2" t="s">
        <v>7</v>
      </c>
      <c r="F30" s="2" t="s">
        <v>210</v>
      </c>
      <c r="G30" s="2" t="s">
        <v>211</v>
      </c>
      <c r="H30" s="9"/>
    </row>
    <row r="31" spans="1:8" ht="30" x14ac:dyDescent="0.25">
      <c r="A31" s="2" t="s">
        <v>174</v>
      </c>
      <c r="B31" s="2" t="s">
        <v>175</v>
      </c>
      <c r="C31" s="3">
        <v>2025</v>
      </c>
      <c r="D31" s="3">
        <v>1</v>
      </c>
      <c r="E31" s="2" t="s">
        <v>7</v>
      </c>
      <c r="F31" s="2" t="s">
        <v>175</v>
      </c>
      <c r="G31" s="2" t="s">
        <v>176</v>
      </c>
      <c r="H31" s="9"/>
    </row>
    <row r="32" spans="1:8" x14ac:dyDescent="0.25">
      <c r="A32" s="2" t="s">
        <v>78</v>
      </c>
      <c r="B32" s="2" t="s">
        <v>88</v>
      </c>
      <c r="C32" s="3">
        <v>2025</v>
      </c>
      <c r="D32" s="3">
        <v>1</v>
      </c>
      <c r="E32" s="2" t="s">
        <v>7</v>
      </c>
      <c r="F32" s="2" t="s">
        <v>79</v>
      </c>
      <c r="G32" s="2" t="s">
        <v>189</v>
      </c>
      <c r="H32" s="9"/>
    </row>
    <row r="33" spans="1:8" x14ac:dyDescent="0.25">
      <c r="A33" s="2" t="s">
        <v>38</v>
      </c>
      <c r="B33" s="2" t="s">
        <v>39</v>
      </c>
      <c r="C33" s="3">
        <v>2024</v>
      </c>
      <c r="D33" s="3">
        <v>1</v>
      </c>
      <c r="E33" s="2" t="s">
        <v>7</v>
      </c>
      <c r="F33" s="2" t="s">
        <v>40</v>
      </c>
      <c r="G33" s="2" t="s">
        <v>190</v>
      </c>
      <c r="H33" s="9"/>
    </row>
    <row r="34" spans="1:8" x14ac:dyDescent="0.25">
      <c r="A34" s="2"/>
      <c r="B34" s="2"/>
      <c r="C34" s="3"/>
      <c r="D34" s="3"/>
      <c r="E34" s="2"/>
      <c r="F34" s="2"/>
      <c r="G34" s="2"/>
      <c r="H34" s="9"/>
    </row>
    <row r="35" spans="1:8" x14ac:dyDescent="0.25">
      <c r="A35" s="2"/>
      <c r="B35" s="2"/>
      <c r="C35" s="3"/>
      <c r="D35" s="3"/>
      <c r="E35" s="2"/>
      <c r="F35" s="2"/>
      <c r="G35" s="2"/>
      <c r="H35" s="9"/>
    </row>
    <row r="36" spans="1:8" x14ac:dyDescent="0.25">
      <c r="A36" s="2"/>
      <c r="B36" s="2"/>
      <c r="C36" s="3"/>
      <c r="D36" s="3"/>
      <c r="E36" s="2"/>
      <c r="F36" s="2"/>
      <c r="G36" s="2"/>
      <c r="H36" s="9"/>
    </row>
    <row r="37" spans="1:8" x14ac:dyDescent="0.25">
      <c r="A37" s="2"/>
      <c r="B37" s="2"/>
      <c r="C37" s="3"/>
      <c r="D37" s="3"/>
      <c r="E37" s="2"/>
      <c r="F37" s="2"/>
      <c r="G37" s="2"/>
      <c r="H37" s="9"/>
    </row>
    <row r="38" spans="1:8" x14ac:dyDescent="0.25">
      <c r="A38" s="2"/>
      <c r="B38" s="2"/>
      <c r="C38" s="3"/>
      <c r="D38" s="3"/>
      <c r="E38" s="2"/>
      <c r="F38" s="2"/>
      <c r="G38" s="2"/>
      <c r="H38" s="9"/>
    </row>
    <row r="39" spans="1:8" x14ac:dyDescent="0.25">
      <c r="A39" s="2"/>
      <c r="B39" s="2"/>
      <c r="C39" s="3"/>
      <c r="D39" s="3"/>
      <c r="E39" s="2"/>
      <c r="F39" s="2"/>
      <c r="G39" s="2"/>
      <c r="H39" s="9"/>
    </row>
    <row r="40" spans="1:8" x14ac:dyDescent="0.25">
      <c r="A40" s="2"/>
      <c r="B40" s="2"/>
      <c r="C40" s="3"/>
      <c r="D40" s="3"/>
      <c r="E40" s="2"/>
      <c r="F40" s="2"/>
      <c r="G40" s="2"/>
      <c r="H40" s="9"/>
    </row>
    <row r="41" spans="1:8" x14ac:dyDescent="0.25">
      <c r="A41" s="2"/>
      <c r="B41" s="2"/>
      <c r="C41" s="3"/>
      <c r="D41" s="3"/>
      <c r="E41" s="2"/>
      <c r="F41" s="2"/>
      <c r="G41" s="2"/>
      <c r="H41" s="9"/>
    </row>
    <row r="42" spans="1:8" x14ac:dyDescent="0.25">
      <c r="A42" s="2"/>
      <c r="B42" s="2"/>
      <c r="C42" s="3"/>
      <c r="D42" s="3"/>
      <c r="E42" s="2"/>
      <c r="F42" s="2"/>
      <c r="G42" s="2"/>
      <c r="H42" s="9"/>
    </row>
    <row r="43" spans="1:8" x14ac:dyDescent="0.25">
      <c r="A43" s="2"/>
      <c r="B43" s="2"/>
      <c r="C43" s="3"/>
      <c r="D43" s="3"/>
      <c r="E43" s="2"/>
      <c r="F43" s="2"/>
      <c r="G43" s="2"/>
      <c r="H43" s="9"/>
    </row>
    <row r="44" spans="1:8" x14ac:dyDescent="0.25">
      <c r="A44" s="2"/>
      <c r="B44" s="2"/>
      <c r="C44" s="3"/>
      <c r="D44" s="3"/>
      <c r="E44" s="2"/>
      <c r="F44" s="2"/>
      <c r="G44" s="2"/>
      <c r="H44" s="9"/>
    </row>
    <row r="45" spans="1:8" x14ac:dyDescent="0.25">
      <c r="A45" s="2"/>
      <c r="B45" s="2"/>
      <c r="C45" s="3"/>
      <c r="D45" s="3"/>
      <c r="E45" s="2"/>
      <c r="F45" s="2"/>
      <c r="G45" s="2"/>
      <c r="H45" s="9"/>
    </row>
    <row r="46" spans="1:8" x14ac:dyDescent="0.25">
      <c r="A46" s="2"/>
      <c r="B46" s="2"/>
      <c r="C46" s="3"/>
      <c r="D46" s="3"/>
      <c r="E46" s="2"/>
      <c r="F46" s="2"/>
      <c r="G46" s="2"/>
      <c r="H46" s="9"/>
    </row>
    <row r="47" spans="1:8" x14ac:dyDescent="0.25">
      <c r="A47" s="2"/>
      <c r="B47" s="2"/>
      <c r="C47" s="3"/>
      <c r="D47" s="3"/>
      <c r="E47" s="2"/>
      <c r="F47" s="2"/>
      <c r="G47" s="2"/>
      <c r="H47" s="9"/>
    </row>
    <row r="48" spans="1:8" x14ac:dyDescent="0.25">
      <c r="A48" s="2"/>
      <c r="B48" s="2"/>
      <c r="C48" s="3"/>
      <c r="D48" s="3"/>
      <c r="E48" s="2"/>
      <c r="F48" s="2"/>
      <c r="G48" s="2"/>
      <c r="H48" s="9"/>
    </row>
    <row r="49" spans="1:8" x14ac:dyDescent="0.25">
      <c r="A49" s="2"/>
      <c r="B49" s="2"/>
      <c r="C49" s="3"/>
      <c r="D49" s="3"/>
      <c r="E49" s="2"/>
      <c r="F49" s="2"/>
      <c r="G49" s="2"/>
      <c r="H49" s="9"/>
    </row>
    <row r="50" spans="1:8" x14ac:dyDescent="0.25">
      <c r="A50" s="2"/>
      <c r="B50" s="2"/>
      <c r="C50" s="3"/>
      <c r="D50" s="3"/>
      <c r="E50" s="2"/>
      <c r="F50" s="2"/>
      <c r="G50" s="2"/>
      <c r="H50" s="9"/>
    </row>
    <row r="51" spans="1:8" x14ac:dyDescent="0.25">
      <c r="A51" s="2"/>
      <c r="B51" s="2"/>
      <c r="C51" s="3"/>
      <c r="D51" s="3"/>
      <c r="E51" s="2"/>
      <c r="F51" s="2"/>
      <c r="G51" s="2"/>
      <c r="H51" s="9"/>
    </row>
    <row r="52" spans="1:8" x14ac:dyDescent="0.25">
      <c r="A52" s="2"/>
      <c r="B52" s="2"/>
      <c r="C52" s="3"/>
      <c r="D52" s="3"/>
      <c r="E52" s="2"/>
      <c r="F52" s="2"/>
      <c r="G52" s="2"/>
      <c r="H52" s="9"/>
    </row>
    <row r="53" spans="1:8" x14ac:dyDescent="0.25">
      <c r="A53" s="2"/>
      <c r="B53" s="2"/>
      <c r="C53" s="3"/>
      <c r="D53" s="3"/>
      <c r="E53" s="2"/>
      <c r="F53" s="2"/>
      <c r="G53" s="2"/>
      <c r="H53" s="9"/>
    </row>
    <row r="54" spans="1:8" x14ac:dyDescent="0.25">
      <c r="A54" s="2"/>
      <c r="B54" s="2"/>
      <c r="C54" s="3"/>
      <c r="D54" s="3"/>
      <c r="E54" s="2"/>
      <c r="F54" s="2"/>
      <c r="G54" s="2"/>
      <c r="H54" s="9"/>
    </row>
    <row r="55" spans="1:8" x14ac:dyDescent="0.25">
      <c r="A55" s="2"/>
      <c r="B55" s="2"/>
      <c r="C55" s="3"/>
      <c r="D55" s="3"/>
      <c r="E55" s="2"/>
      <c r="F55" s="2"/>
      <c r="G55" s="2"/>
      <c r="H55" s="9"/>
    </row>
    <row r="56" spans="1:8" x14ac:dyDescent="0.25">
      <c r="A56" s="2"/>
      <c r="B56" s="2"/>
      <c r="C56" s="3"/>
      <c r="D56" s="3"/>
      <c r="E56" s="2"/>
      <c r="F56" s="2"/>
      <c r="G56" s="2"/>
      <c r="H56" s="9"/>
    </row>
    <row r="57" spans="1:8" x14ac:dyDescent="0.25">
      <c r="A57" s="2"/>
      <c r="B57" s="2"/>
      <c r="C57" s="3"/>
      <c r="D57" s="3"/>
      <c r="E57" s="2"/>
      <c r="F57" s="2"/>
      <c r="G57" s="2"/>
      <c r="H57" s="9"/>
    </row>
    <row r="58" spans="1:8" x14ac:dyDescent="0.25">
      <c r="A58" s="2"/>
      <c r="B58" s="2"/>
      <c r="C58" s="3"/>
      <c r="D58" s="3"/>
      <c r="E58" s="2"/>
      <c r="F58" s="2"/>
      <c r="G58" s="2"/>
      <c r="H58" s="9"/>
    </row>
    <row r="59" spans="1:8" x14ac:dyDescent="0.25">
      <c r="A59" s="2"/>
      <c r="B59" s="2"/>
      <c r="C59" s="3"/>
      <c r="D59" s="3"/>
      <c r="E59" s="2"/>
      <c r="F59" s="2"/>
      <c r="G59" s="2"/>
      <c r="H59" s="9"/>
    </row>
    <row r="60" spans="1:8" x14ac:dyDescent="0.25">
      <c r="A60" s="2"/>
      <c r="B60" s="2"/>
      <c r="C60" s="3"/>
      <c r="D60" s="3"/>
      <c r="E60" s="2"/>
      <c r="F60" s="2"/>
      <c r="G60" s="2"/>
      <c r="H60" s="9"/>
    </row>
    <row r="61" spans="1:8" x14ac:dyDescent="0.25">
      <c r="A61" s="2"/>
      <c r="B61" s="2"/>
      <c r="C61" s="3"/>
      <c r="D61" s="3"/>
      <c r="E61" s="2"/>
      <c r="F61" s="2"/>
      <c r="G61" s="2"/>
      <c r="H61" s="9"/>
    </row>
    <row r="62" spans="1:8" x14ac:dyDescent="0.25">
      <c r="A62" s="2"/>
      <c r="B62" s="2"/>
      <c r="C62" s="3"/>
      <c r="D62" s="3"/>
      <c r="E62" s="2"/>
      <c r="F62" s="2"/>
      <c r="G62" s="2"/>
      <c r="H62" s="9"/>
    </row>
    <row r="63" spans="1:8" x14ac:dyDescent="0.25">
      <c r="A63" s="2"/>
      <c r="B63" s="2"/>
      <c r="C63" s="3"/>
      <c r="D63" s="3"/>
      <c r="E63" s="2"/>
      <c r="F63" s="2"/>
      <c r="G63" s="2"/>
      <c r="H63" s="9"/>
    </row>
    <row r="64" spans="1:8" x14ac:dyDescent="0.25">
      <c r="A64" s="2"/>
      <c r="B64" s="2"/>
      <c r="C64" s="3"/>
      <c r="D64" s="3"/>
      <c r="E64" s="2"/>
      <c r="F64" s="2"/>
      <c r="G64" s="2"/>
      <c r="H64" s="9"/>
    </row>
    <row r="65" spans="1:8" x14ac:dyDescent="0.25">
      <c r="A65" s="2"/>
      <c r="B65" s="2"/>
      <c r="C65" s="3"/>
      <c r="D65" s="3"/>
      <c r="E65" s="2"/>
      <c r="F65" s="2"/>
      <c r="G65" s="2"/>
      <c r="H65" s="9"/>
    </row>
    <row r="66" spans="1:8" x14ac:dyDescent="0.25">
      <c r="A66" s="2"/>
      <c r="B66" s="2"/>
      <c r="C66" s="3"/>
      <c r="D66" s="3"/>
      <c r="E66" s="2"/>
      <c r="F66" s="2"/>
      <c r="G66" s="2"/>
      <c r="H66" s="9"/>
    </row>
    <row r="67" spans="1:8" x14ac:dyDescent="0.25">
      <c r="A67" s="2"/>
      <c r="B67" s="2"/>
      <c r="C67" s="3"/>
      <c r="D67" s="3"/>
      <c r="E67" s="2"/>
      <c r="F67" s="2"/>
      <c r="G67" s="2"/>
      <c r="H67" s="9"/>
    </row>
    <row r="68" spans="1:8" x14ac:dyDescent="0.25">
      <c r="A68" s="2"/>
      <c r="B68" s="2"/>
      <c r="C68" s="3"/>
      <c r="D68" s="3"/>
      <c r="E68" s="2"/>
      <c r="F68" s="2"/>
      <c r="G68" s="2"/>
      <c r="H68" s="9"/>
    </row>
    <row r="69" spans="1:8" x14ac:dyDescent="0.25">
      <c r="A69" s="2"/>
      <c r="B69" s="2"/>
      <c r="C69" s="3"/>
      <c r="D69" s="3"/>
      <c r="E69" s="2"/>
      <c r="F69" s="2"/>
      <c r="G69" s="2"/>
      <c r="H69" s="9"/>
    </row>
    <row r="70" spans="1:8" x14ac:dyDescent="0.25">
      <c r="A70" s="2"/>
      <c r="B70" s="2"/>
      <c r="C70" s="3"/>
      <c r="D70" s="3"/>
      <c r="E70" s="2"/>
      <c r="F70" s="2"/>
      <c r="G70" s="2"/>
      <c r="H70" s="9"/>
    </row>
    <row r="71" spans="1:8" x14ac:dyDescent="0.25">
      <c r="A71" s="2"/>
      <c r="B71" s="2"/>
      <c r="C71" s="3"/>
      <c r="D71" s="3"/>
      <c r="E71" s="2"/>
      <c r="F71" s="2"/>
      <c r="G71" s="2"/>
      <c r="H71" s="9"/>
    </row>
    <row r="72" spans="1:8" x14ac:dyDescent="0.25">
      <c r="A72" s="2"/>
      <c r="B72" s="2"/>
      <c r="C72" s="3"/>
      <c r="D72" s="3"/>
      <c r="E72" s="2"/>
      <c r="F72" s="2"/>
      <c r="G72" s="2"/>
      <c r="H72" s="9"/>
    </row>
    <row r="73" spans="1:8" x14ac:dyDescent="0.25">
      <c r="A73" s="2"/>
      <c r="B73" s="2"/>
      <c r="C73" s="3"/>
      <c r="D73" s="3"/>
      <c r="E73" s="2"/>
      <c r="F73" s="2"/>
      <c r="G73" s="2"/>
      <c r="H73" s="9"/>
    </row>
    <row r="74" spans="1:8" x14ac:dyDescent="0.25">
      <c r="A74" s="2"/>
      <c r="B74" s="2"/>
      <c r="C74" s="3"/>
      <c r="D74" s="3"/>
      <c r="E74" s="2"/>
      <c r="F74" s="2"/>
      <c r="G74" s="2"/>
      <c r="H74" s="9"/>
    </row>
    <row r="75" spans="1:8" x14ac:dyDescent="0.25">
      <c r="A75" s="2"/>
      <c r="B75" s="2"/>
      <c r="C75" s="3"/>
      <c r="D75" s="3"/>
      <c r="E75" s="2"/>
      <c r="F75" s="2"/>
      <c r="G75" s="2"/>
      <c r="H75" s="9"/>
    </row>
    <row r="76" spans="1:8" x14ac:dyDescent="0.25">
      <c r="A76" s="2"/>
      <c r="B76" s="2"/>
      <c r="C76" s="3"/>
      <c r="D76" s="3"/>
      <c r="E76" s="2"/>
      <c r="F76" s="2"/>
      <c r="G76" s="2"/>
      <c r="H76" s="9"/>
    </row>
    <row r="77" spans="1:8" x14ac:dyDescent="0.25">
      <c r="A77" s="2"/>
      <c r="B77" s="2"/>
      <c r="C77" s="3"/>
      <c r="D77" s="3"/>
      <c r="E77" s="2"/>
      <c r="F77" s="2"/>
      <c r="G77" s="2"/>
      <c r="H77" s="9"/>
    </row>
    <row r="78" spans="1:8" x14ac:dyDescent="0.25">
      <c r="A78" s="2"/>
      <c r="B78" s="2"/>
      <c r="C78" s="3"/>
      <c r="D78" s="3"/>
      <c r="E78" s="2"/>
      <c r="F78" s="2"/>
      <c r="G78" s="2"/>
      <c r="H78" s="9"/>
    </row>
    <row r="79" spans="1:8" x14ac:dyDescent="0.25">
      <c r="A79" s="2"/>
      <c r="B79" s="2"/>
      <c r="C79" s="3"/>
      <c r="D79" s="3"/>
      <c r="E79" s="2"/>
      <c r="F79" s="2"/>
      <c r="G79" s="2"/>
      <c r="H79" s="9"/>
    </row>
    <row r="80" spans="1:8" x14ac:dyDescent="0.25">
      <c r="A80" s="2"/>
      <c r="B80" s="2"/>
      <c r="C80" s="3"/>
      <c r="D80" s="3"/>
      <c r="E80" s="2"/>
      <c r="F80" s="2"/>
      <c r="G80" s="2"/>
      <c r="H80" s="9"/>
    </row>
    <row r="81" spans="1:8" x14ac:dyDescent="0.25">
      <c r="A81" s="2"/>
      <c r="B81" s="2"/>
      <c r="C81" s="3"/>
      <c r="D81" s="3"/>
      <c r="E81" s="2"/>
      <c r="F81" s="2"/>
      <c r="G81" s="2"/>
      <c r="H81" s="9"/>
    </row>
  </sheetData>
  <sortState ref="A2:H33">
    <sortCondition ref="A1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7" sqref="D7"/>
    </sheetView>
  </sheetViews>
  <sheetFormatPr defaultRowHeight="15" x14ac:dyDescent="0.25"/>
  <cols>
    <col min="1" max="1" width="22" style="13" bestFit="1" customWidth="1"/>
    <col min="2" max="2" width="11.42578125" style="13" bestFit="1" customWidth="1"/>
    <col min="3" max="3" width="12.85546875" style="13" bestFit="1" customWidth="1"/>
    <col min="4" max="4" width="22" style="13" bestFit="1" customWidth="1"/>
    <col min="5" max="5" width="26.5703125" style="1" customWidth="1"/>
    <col min="6" max="6" width="6.7109375" style="1" customWidth="1"/>
    <col min="7" max="7" width="10.5703125" style="15" bestFit="1" customWidth="1"/>
    <col min="8" max="8" width="10.5703125" style="12" bestFit="1" customWidth="1"/>
    <col min="9" max="9" width="8" style="11" bestFit="1" customWidth="1"/>
    <col min="10" max="10" width="19.140625" style="12" customWidth="1"/>
    <col min="11" max="11" width="17.7109375" style="16" bestFit="1" customWidth="1"/>
    <col min="12" max="12" width="21.140625" style="16" customWidth="1"/>
    <col min="13" max="13" width="17.140625" style="12" customWidth="1"/>
    <col min="14" max="14" width="28.5703125" style="12" customWidth="1"/>
    <col min="15" max="15" width="28.42578125" style="12" customWidth="1"/>
  </cols>
  <sheetData>
    <row r="1" spans="1:15" s="14" customFormat="1" ht="30" x14ac:dyDescent="0.25">
      <c r="A1" s="17" t="s">
        <v>268</v>
      </c>
      <c r="B1" s="17" t="s">
        <v>269</v>
      </c>
      <c r="C1" s="17" t="s">
        <v>270</v>
      </c>
      <c r="D1" s="17" t="s">
        <v>268</v>
      </c>
      <c r="E1" s="5" t="s">
        <v>272</v>
      </c>
      <c r="F1" s="5" t="s">
        <v>282</v>
      </c>
      <c r="G1" s="5" t="s">
        <v>274</v>
      </c>
      <c r="H1" s="5" t="s">
        <v>275</v>
      </c>
      <c r="I1" s="17" t="s">
        <v>276</v>
      </c>
      <c r="J1" s="5" t="s">
        <v>281</v>
      </c>
      <c r="K1" s="18" t="s">
        <v>284</v>
      </c>
      <c r="L1" s="18" t="s">
        <v>350</v>
      </c>
      <c r="M1" s="5" t="s">
        <v>286</v>
      </c>
      <c r="N1" s="5" t="s">
        <v>288</v>
      </c>
      <c r="O1" s="5" t="s">
        <v>290</v>
      </c>
    </row>
    <row r="2" spans="1:15" s="8" customFormat="1" ht="60" x14ac:dyDescent="0.25">
      <c r="A2" s="9" t="s">
        <v>360</v>
      </c>
      <c r="B2" s="9" t="s">
        <v>381</v>
      </c>
      <c r="C2" s="9" t="s">
        <v>382</v>
      </c>
      <c r="D2" s="9" t="str">
        <f>B2 &amp; " " &amp; C2</f>
        <v>Аглая Тарасова</v>
      </c>
      <c r="E2" s="19" t="s">
        <v>375</v>
      </c>
      <c r="F2" s="19">
        <v>1.71</v>
      </c>
      <c r="G2" s="20">
        <v>45765</v>
      </c>
      <c r="H2" s="19">
        <v>1994</v>
      </c>
      <c r="I2" s="9">
        <f ca="1">YEAR(TODAY())-H2</f>
        <v>31</v>
      </c>
      <c r="J2" s="19" t="s">
        <v>376</v>
      </c>
      <c r="K2" s="21" t="s">
        <v>377</v>
      </c>
      <c r="L2" s="21"/>
      <c r="M2" s="19" t="s">
        <v>378</v>
      </c>
      <c r="N2" s="19" t="s">
        <v>379</v>
      </c>
      <c r="O2" s="19" t="s">
        <v>380</v>
      </c>
    </row>
    <row r="3" spans="1:15" s="8" customFormat="1" ht="60" x14ac:dyDescent="0.25">
      <c r="A3" s="9" t="s">
        <v>366</v>
      </c>
      <c r="B3" s="9" t="s">
        <v>389</v>
      </c>
      <c r="C3" s="9" t="s">
        <v>390</v>
      </c>
      <c r="D3" s="9" t="str">
        <f>B3 &amp; " " &amp; C3</f>
        <v>Александра Ребенок</v>
      </c>
      <c r="E3" s="19" t="s">
        <v>383</v>
      </c>
      <c r="F3" s="19"/>
      <c r="G3" s="20">
        <v>45783</v>
      </c>
      <c r="H3" s="19">
        <v>1980</v>
      </c>
      <c r="I3" s="9">
        <f ca="1">YEAR(TODAY())-H3</f>
        <v>45</v>
      </c>
      <c r="J3" s="19" t="s">
        <v>384</v>
      </c>
      <c r="K3" s="21" t="s">
        <v>385</v>
      </c>
      <c r="L3" s="21" t="s">
        <v>386</v>
      </c>
      <c r="M3" s="19" t="s">
        <v>387</v>
      </c>
      <c r="N3" s="19"/>
      <c r="O3" s="19" t="s">
        <v>388</v>
      </c>
    </row>
    <row r="4" spans="1:15" s="8" customFormat="1" ht="60" x14ac:dyDescent="0.25">
      <c r="A4" s="9" t="s">
        <v>295</v>
      </c>
      <c r="B4" s="9" t="s">
        <v>296</v>
      </c>
      <c r="C4" s="9" t="s">
        <v>297</v>
      </c>
      <c r="D4" s="9" t="str">
        <f>B4 &amp; " " &amp; C4</f>
        <v>Алексей Кравченко</v>
      </c>
      <c r="E4" s="19" t="s">
        <v>317</v>
      </c>
      <c r="F4" s="19">
        <v>1.8</v>
      </c>
      <c r="G4" s="20">
        <v>45940</v>
      </c>
      <c r="H4" s="19">
        <v>1969</v>
      </c>
      <c r="I4" s="9">
        <f ca="1">YEAR(TODAY())-H4</f>
        <v>56</v>
      </c>
      <c r="J4" s="19" t="s">
        <v>318</v>
      </c>
      <c r="K4" s="21" t="s">
        <v>319</v>
      </c>
      <c r="L4" s="21" t="s">
        <v>354</v>
      </c>
      <c r="M4" s="19" t="s">
        <v>320</v>
      </c>
      <c r="N4" s="19" t="s">
        <v>321</v>
      </c>
      <c r="O4" s="19" t="s">
        <v>322</v>
      </c>
    </row>
    <row r="5" spans="1:15" s="8" customFormat="1" ht="60" x14ac:dyDescent="0.25">
      <c r="A5" s="9" t="s">
        <v>371</v>
      </c>
      <c r="B5" s="9" t="s">
        <v>296</v>
      </c>
      <c r="C5" s="9" t="s">
        <v>391</v>
      </c>
      <c r="D5" s="9" t="str">
        <f>B5 &amp; " " &amp; C5</f>
        <v>Алексей Шевченков</v>
      </c>
      <c r="E5" s="19" t="s">
        <v>317</v>
      </c>
      <c r="F5" s="19">
        <v>1.82</v>
      </c>
      <c r="G5" s="20">
        <v>45963</v>
      </c>
      <c r="H5" s="19">
        <v>1974</v>
      </c>
      <c r="I5" s="9">
        <f ca="1">YEAR(TODAY())-H5</f>
        <v>51</v>
      </c>
      <c r="J5" s="19" t="s">
        <v>395</v>
      </c>
      <c r="K5" s="21" t="s">
        <v>332</v>
      </c>
      <c r="L5" s="21" t="s">
        <v>396</v>
      </c>
      <c r="M5" s="19" t="s">
        <v>397</v>
      </c>
      <c r="N5" s="19" t="s">
        <v>398</v>
      </c>
      <c r="O5" s="19" t="s">
        <v>399</v>
      </c>
    </row>
    <row r="6" spans="1:15" s="8" customFormat="1" ht="60" x14ac:dyDescent="0.25">
      <c r="A6" s="9" t="s">
        <v>358</v>
      </c>
      <c r="B6" s="9" t="s">
        <v>408</v>
      </c>
      <c r="C6" s="9" t="s">
        <v>392</v>
      </c>
      <c r="D6" s="9" t="str">
        <f>B6 &amp; " " &amp; C6</f>
        <v>Алина Колесникова</v>
      </c>
      <c r="E6" s="19" t="s">
        <v>375</v>
      </c>
      <c r="F6" s="19">
        <v>1.75</v>
      </c>
      <c r="G6" s="20">
        <v>45669</v>
      </c>
      <c r="H6" s="19">
        <v>2000</v>
      </c>
      <c r="I6" s="9">
        <f ca="1">YEAR(TODAY())-H6</f>
        <v>25</v>
      </c>
      <c r="J6" s="19"/>
      <c r="K6" s="21" t="s">
        <v>400</v>
      </c>
      <c r="L6" s="21"/>
      <c r="M6" s="19" t="s">
        <v>401</v>
      </c>
      <c r="N6" s="19"/>
      <c r="O6" s="19" t="s">
        <v>402</v>
      </c>
    </row>
    <row r="7" spans="1:15" s="8" customFormat="1" ht="60" x14ac:dyDescent="0.25">
      <c r="A7" s="9" t="s">
        <v>181</v>
      </c>
      <c r="B7" s="9" t="s">
        <v>340</v>
      </c>
      <c r="C7" s="9" t="s">
        <v>341</v>
      </c>
      <c r="D7" s="9" t="str">
        <f>B7 &amp; " " &amp; C7</f>
        <v>Андрей Федорцов</v>
      </c>
      <c r="E7" s="19" t="s">
        <v>317</v>
      </c>
      <c r="F7" s="19">
        <v>1.6</v>
      </c>
      <c r="G7" s="20">
        <v>45882</v>
      </c>
      <c r="H7" s="19">
        <v>1968</v>
      </c>
      <c r="I7" s="9">
        <f ca="1">YEAR(TODAY())-H7</f>
        <v>57</v>
      </c>
      <c r="J7" s="19" t="s">
        <v>283</v>
      </c>
      <c r="K7" s="21" t="s">
        <v>323</v>
      </c>
      <c r="L7" s="21"/>
      <c r="M7" s="19" t="s">
        <v>324</v>
      </c>
      <c r="N7" s="19" t="s">
        <v>325</v>
      </c>
      <c r="O7" s="19" t="s">
        <v>326</v>
      </c>
    </row>
    <row r="8" spans="1:15" s="8" customFormat="1" ht="45" x14ac:dyDescent="0.25">
      <c r="A8" s="9" t="s">
        <v>373</v>
      </c>
      <c r="B8" s="9" t="s">
        <v>340</v>
      </c>
      <c r="C8" s="9" t="s">
        <v>393</v>
      </c>
      <c r="D8" s="9" t="str">
        <f>B8 &amp; " " &amp; C8</f>
        <v>Андрей Чадов</v>
      </c>
      <c r="E8" s="19" t="s">
        <v>403</v>
      </c>
      <c r="F8" s="19">
        <v>1.76</v>
      </c>
      <c r="G8" s="20">
        <v>45799</v>
      </c>
      <c r="H8" s="19">
        <v>1980</v>
      </c>
      <c r="I8" s="9">
        <f ca="1">YEAR(TODAY())-H8</f>
        <v>45</v>
      </c>
      <c r="J8" s="19" t="s">
        <v>384</v>
      </c>
      <c r="K8" s="21" t="s">
        <v>404</v>
      </c>
      <c r="L8" s="21"/>
      <c r="M8" s="19" t="s">
        <v>405</v>
      </c>
      <c r="N8" s="19" t="s">
        <v>406</v>
      </c>
      <c r="O8" s="19" t="s">
        <v>407</v>
      </c>
    </row>
    <row r="9" spans="1:15" s="8" customFormat="1" ht="75" x14ac:dyDescent="0.25">
      <c r="A9" s="9" t="s">
        <v>363</v>
      </c>
      <c r="B9" s="9" t="s">
        <v>415</v>
      </c>
      <c r="C9" s="9" t="s">
        <v>394</v>
      </c>
      <c r="D9" s="9" t="str">
        <f>B9 &amp; " " &amp; C9</f>
        <v>Анна Ковальчук</v>
      </c>
      <c r="E9" s="19" t="s">
        <v>375</v>
      </c>
      <c r="F9" s="19">
        <v>1.75</v>
      </c>
      <c r="G9" s="20">
        <v>45823</v>
      </c>
      <c r="H9" s="19">
        <v>1977</v>
      </c>
      <c r="I9" s="9">
        <f ca="1">YEAR(TODAY())-H9</f>
        <v>48</v>
      </c>
      <c r="J9" s="19" t="s">
        <v>410</v>
      </c>
      <c r="K9" s="21" t="s">
        <v>411</v>
      </c>
      <c r="L9" s="21" t="s">
        <v>409</v>
      </c>
      <c r="M9" s="19" t="s">
        <v>412</v>
      </c>
      <c r="N9" s="19" t="s">
        <v>413</v>
      </c>
      <c r="O9" s="19" t="s">
        <v>414</v>
      </c>
    </row>
    <row r="10" spans="1:15" s="8" customFormat="1" ht="60" x14ac:dyDescent="0.25">
      <c r="A10" s="9" t="s">
        <v>372</v>
      </c>
      <c r="B10" s="9" t="s">
        <v>444</v>
      </c>
      <c r="C10" s="9" t="s">
        <v>445</v>
      </c>
      <c r="D10" s="9" t="str">
        <f>B10 &amp; " " &amp; C10</f>
        <v>Виктория Заболотная</v>
      </c>
      <c r="E10" s="19" t="s">
        <v>375</v>
      </c>
      <c r="F10" s="19">
        <v>1.65</v>
      </c>
      <c r="G10" s="20">
        <v>45875</v>
      </c>
      <c r="H10" s="19">
        <v>1990</v>
      </c>
      <c r="I10" s="9">
        <f ca="1">YEAR(TODAY())-H10</f>
        <v>35</v>
      </c>
      <c r="J10" s="19" t="s">
        <v>434</v>
      </c>
      <c r="K10" s="21" t="s">
        <v>435</v>
      </c>
      <c r="L10" s="21"/>
      <c r="M10" s="19" t="s">
        <v>436</v>
      </c>
      <c r="N10" s="19"/>
      <c r="O10" s="19" t="s">
        <v>437</v>
      </c>
    </row>
    <row r="11" spans="1:15" s="8" customFormat="1" ht="75" x14ac:dyDescent="0.25">
      <c r="A11" s="9" t="s">
        <v>367</v>
      </c>
      <c r="B11" s="9" t="s">
        <v>449</v>
      </c>
      <c r="C11" s="9" t="s">
        <v>446</v>
      </c>
      <c r="D11" s="9" t="str">
        <f>B11 &amp; " " &amp; C11</f>
        <v>Владимир Яглыч</v>
      </c>
      <c r="E11" s="19" t="s">
        <v>438</v>
      </c>
      <c r="F11" s="19">
        <v>1.85</v>
      </c>
      <c r="G11" s="20">
        <v>45671</v>
      </c>
      <c r="H11" s="19">
        <v>1983</v>
      </c>
      <c r="I11" s="9">
        <f ca="1">YEAR(TODAY())-H11</f>
        <v>42</v>
      </c>
      <c r="J11" s="19" t="s">
        <v>384</v>
      </c>
      <c r="K11" s="21" t="s">
        <v>323</v>
      </c>
      <c r="L11" s="21" t="s">
        <v>440</v>
      </c>
      <c r="M11" s="19" t="s">
        <v>441</v>
      </c>
      <c r="N11" s="19" t="s">
        <v>442</v>
      </c>
      <c r="O11" s="19" t="s">
        <v>443</v>
      </c>
    </row>
    <row r="12" spans="1:15" s="8" customFormat="1" ht="60" x14ac:dyDescent="0.25">
      <c r="A12" s="9" t="s">
        <v>374</v>
      </c>
      <c r="B12" s="9" t="s">
        <v>454</v>
      </c>
      <c r="C12" s="9" t="s">
        <v>447</v>
      </c>
      <c r="D12" s="9" t="str">
        <f>B12 &amp; " " &amp; C12</f>
        <v>Галина Петрова</v>
      </c>
      <c r="E12" s="19" t="s">
        <v>375</v>
      </c>
      <c r="F12" s="19">
        <v>1.75</v>
      </c>
      <c r="G12" s="20">
        <v>46013</v>
      </c>
      <c r="H12" s="19">
        <v>1956</v>
      </c>
      <c r="I12" s="9">
        <f ca="1">YEAR(TODAY())-H12</f>
        <v>69</v>
      </c>
      <c r="J12" s="19" t="s">
        <v>450</v>
      </c>
      <c r="K12" s="21" t="s">
        <v>377</v>
      </c>
      <c r="L12" s="21"/>
      <c r="M12" s="19" t="s">
        <v>451</v>
      </c>
      <c r="N12" s="19" t="s">
        <v>452</v>
      </c>
      <c r="O12" s="19" t="s">
        <v>453</v>
      </c>
    </row>
    <row r="13" spans="1:15" s="8" customFormat="1" ht="75" x14ac:dyDescent="0.25">
      <c r="A13" s="9" t="s">
        <v>419</v>
      </c>
      <c r="B13" s="9" t="s">
        <v>461</v>
      </c>
      <c r="C13" s="9" t="s">
        <v>448</v>
      </c>
      <c r="D13" s="9" t="str">
        <f>B13 &amp; " " &amp; C13</f>
        <v>Гоша Куценко</v>
      </c>
      <c r="E13" s="19" t="s">
        <v>455</v>
      </c>
      <c r="F13" s="19">
        <v>1.84</v>
      </c>
      <c r="G13" s="20">
        <v>45797</v>
      </c>
      <c r="H13" s="19">
        <v>1967</v>
      </c>
      <c r="I13" s="9">
        <f ca="1">YEAR(TODAY())-H13</f>
        <v>58</v>
      </c>
      <c r="J13" s="19" t="s">
        <v>456</v>
      </c>
      <c r="K13" s="21" t="s">
        <v>439</v>
      </c>
      <c r="L13" s="21" t="s">
        <v>457</v>
      </c>
      <c r="M13" s="19" t="s">
        <v>458</v>
      </c>
      <c r="N13" s="19" t="s">
        <v>459</v>
      </c>
      <c r="O13" s="19" t="s">
        <v>460</v>
      </c>
    </row>
    <row r="14" spans="1:15" s="8" customFormat="1" ht="30" x14ac:dyDescent="0.25">
      <c r="A14" s="9" t="s">
        <v>314</v>
      </c>
      <c r="B14" s="9" t="s">
        <v>346</v>
      </c>
      <c r="C14" s="9" t="s">
        <v>342</v>
      </c>
      <c r="D14" s="9" t="str">
        <f>B14 &amp; " " &amp; C14</f>
        <v>Джефф Монсон</v>
      </c>
      <c r="E14" s="19" t="s">
        <v>317</v>
      </c>
      <c r="F14" s="19">
        <v>1.75</v>
      </c>
      <c r="G14" s="20">
        <v>45675</v>
      </c>
      <c r="H14" s="19">
        <v>1971</v>
      </c>
      <c r="I14" s="9">
        <f ca="1">YEAR(TODAY())-H14</f>
        <v>54</v>
      </c>
      <c r="J14" s="19" t="s">
        <v>327</v>
      </c>
      <c r="K14" s="21" t="s">
        <v>328</v>
      </c>
      <c r="L14" s="21"/>
      <c r="M14" s="19" t="s">
        <v>329</v>
      </c>
      <c r="N14" s="19"/>
      <c r="O14" s="19"/>
    </row>
    <row r="15" spans="1:15" s="8" customFormat="1" ht="75" x14ac:dyDescent="0.25">
      <c r="A15" s="9" t="s">
        <v>313</v>
      </c>
      <c r="B15" s="9" t="s">
        <v>347</v>
      </c>
      <c r="C15" s="9" t="s">
        <v>343</v>
      </c>
      <c r="D15" s="9" t="str">
        <f>B15 &amp; " " &amp; C15</f>
        <v>Дмитрий Дюжев</v>
      </c>
      <c r="E15" s="19" t="s">
        <v>330</v>
      </c>
      <c r="F15" s="19">
        <v>1.95</v>
      </c>
      <c r="G15" s="20">
        <v>45847</v>
      </c>
      <c r="H15" s="19">
        <v>1978</v>
      </c>
      <c r="I15" s="9">
        <f ca="1">YEAR(TODAY())-H15</f>
        <v>47</v>
      </c>
      <c r="J15" s="19" t="s">
        <v>331</v>
      </c>
      <c r="K15" s="21" t="s">
        <v>332</v>
      </c>
      <c r="L15" s="21" t="s">
        <v>369</v>
      </c>
      <c r="M15" s="19" t="s">
        <v>333</v>
      </c>
      <c r="N15" s="19" t="s">
        <v>334</v>
      </c>
      <c r="O15" s="19" t="s">
        <v>335</v>
      </c>
    </row>
    <row r="16" spans="1:15" s="8" customFormat="1" x14ac:dyDescent="0.25">
      <c r="A16" s="23" t="s">
        <v>416</v>
      </c>
      <c r="B16" s="23"/>
      <c r="C16" s="23"/>
      <c r="D16" s="23"/>
      <c r="E16" s="2"/>
      <c r="F16" s="2"/>
      <c r="G16" s="19"/>
      <c r="H16" s="24"/>
      <c r="I16" s="26"/>
      <c r="J16" s="24"/>
      <c r="K16" s="25"/>
      <c r="L16" s="25"/>
      <c r="M16" s="24"/>
      <c r="N16" s="24"/>
      <c r="O16" s="24"/>
    </row>
    <row r="17" spans="1:15" ht="60" x14ac:dyDescent="0.25">
      <c r="A17" s="9" t="s">
        <v>304</v>
      </c>
      <c r="B17" s="9" t="s">
        <v>305</v>
      </c>
      <c r="C17" s="9" t="s">
        <v>306</v>
      </c>
      <c r="D17" s="9" t="str">
        <f>B17 &amp; " " &amp; C17</f>
        <v>Евгений Цыганов</v>
      </c>
      <c r="E17" s="19" t="s">
        <v>336</v>
      </c>
      <c r="F17" s="19">
        <v>1.8</v>
      </c>
      <c r="G17" s="20">
        <v>45731</v>
      </c>
      <c r="H17" s="19">
        <v>1979</v>
      </c>
      <c r="I17" s="9">
        <f ca="1">YEAR(TODAY())-H17</f>
        <v>46</v>
      </c>
      <c r="J17" s="19" t="s">
        <v>318</v>
      </c>
      <c r="K17" s="21" t="s">
        <v>332</v>
      </c>
      <c r="L17" s="21" t="s">
        <v>351</v>
      </c>
      <c r="M17" s="19" t="s">
        <v>337</v>
      </c>
      <c r="N17" s="19" t="s">
        <v>338</v>
      </c>
      <c r="O17" s="19" t="s">
        <v>339</v>
      </c>
    </row>
    <row r="18" spans="1:15" s="8" customFormat="1" ht="45" x14ac:dyDescent="0.25">
      <c r="A18" s="9" t="s">
        <v>355</v>
      </c>
      <c r="B18" s="9" t="s">
        <v>348</v>
      </c>
      <c r="C18" s="9" t="s">
        <v>427</v>
      </c>
      <c r="D18" s="9" t="str">
        <f>B18 &amp; " " &amp; C18</f>
        <v>Иван Злобин</v>
      </c>
      <c r="E18" s="19" t="s">
        <v>317</v>
      </c>
      <c r="F18" s="19"/>
      <c r="G18" s="20">
        <v>45928</v>
      </c>
      <c r="H18" s="19">
        <v>1998</v>
      </c>
      <c r="I18" s="9">
        <f ca="1">YEAR(TODAY())-H18</f>
        <v>27</v>
      </c>
      <c r="J18" s="19" t="s">
        <v>422</v>
      </c>
      <c r="K18" s="21" t="s">
        <v>423</v>
      </c>
      <c r="L18" s="21"/>
      <c r="M18" s="19" t="s">
        <v>424</v>
      </c>
      <c r="N18" s="19" t="s">
        <v>425</v>
      </c>
      <c r="O18" s="19" t="s">
        <v>426</v>
      </c>
    </row>
    <row r="19" spans="1:15" ht="45" x14ac:dyDescent="0.25">
      <c r="A19" s="9" t="s">
        <v>312</v>
      </c>
      <c r="B19" s="9" t="s">
        <v>348</v>
      </c>
      <c r="C19" s="9" t="s">
        <v>344</v>
      </c>
      <c r="D19" s="9" t="str">
        <f>B19 &amp; " " &amp; C19</f>
        <v>Иван Охлобыстин</v>
      </c>
      <c r="E19" s="19" t="s">
        <v>428</v>
      </c>
      <c r="F19" s="19">
        <v>1.8</v>
      </c>
      <c r="G19" s="20">
        <v>45860</v>
      </c>
      <c r="H19" s="19">
        <v>1966</v>
      </c>
      <c r="I19" s="9">
        <f ca="1">YEAR(TODAY())-H19</f>
        <v>59</v>
      </c>
      <c r="J19" s="19" t="s">
        <v>429</v>
      </c>
      <c r="K19" s="21" t="s">
        <v>323</v>
      </c>
      <c r="L19" s="21" t="s">
        <v>430</v>
      </c>
      <c r="M19" s="19" t="s">
        <v>431</v>
      </c>
      <c r="N19" s="19" t="s">
        <v>432</v>
      </c>
      <c r="O19" s="19" t="s">
        <v>433</v>
      </c>
    </row>
    <row r="20" spans="1:15" x14ac:dyDescent="0.25">
      <c r="A20" s="9" t="s">
        <v>298</v>
      </c>
      <c r="B20" s="9" t="s">
        <v>300</v>
      </c>
      <c r="C20" s="9" t="s">
        <v>299</v>
      </c>
      <c r="D20" s="9" t="str">
        <f>B20 &amp; " " &amp; C20</f>
        <v>Илья Любимов</v>
      </c>
      <c r="E20" s="19"/>
      <c r="F20" s="19"/>
      <c r="G20" s="19"/>
      <c r="H20" s="19"/>
      <c r="I20" s="9"/>
      <c r="J20" s="19"/>
      <c r="K20" s="21"/>
      <c r="L20" s="21"/>
      <c r="M20" s="19"/>
      <c r="N20" s="19"/>
      <c r="O20" s="19"/>
    </row>
    <row r="21" spans="1:15" x14ac:dyDescent="0.25">
      <c r="A21" s="9" t="s">
        <v>303</v>
      </c>
      <c r="B21" s="9" t="s">
        <v>301</v>
      </c>
      <c r="C21" s="9" t="s">
        <v>302</v>
      </c>
      <c r="D21" s="9" t="str">
        <f>B21 &amp; " " &amp; C21</f>
        <v>Ингрид Олеринская</v>
      </c>
      <c r="E21" s="19"/>
      <c r="F21" s="19"/>
      <c r="G21" s="19"/>
      <c r="H21" s="19"/>
      <c r="I21" s="9"/>
      <c r="J21" s="19"/>
      <c r="K21" s="21"/>
      <c r="L21" s="21"/>
      <c r="M21" s="19"/>
      <c r="N21" s="19"/>
      <c r="O21" s="19"/>
    </row>
    <row r="22" spans="1:15" x14ac:dyDescent="0.25">
      <c r="A22" s="9" t="s">
        <v>68</v>
      </c>
      <c r="B22" s="9" t="s">
        <v>310</v>
      </c>
      <c r="C22" s="9" t="s">
        <v>311</v>
      </c>
      <c r="D22" s="9" t="str">
        <f>B22 &amp; " " &amp; C22</f>
        <v>Константин Хабенский</v>
      </c>
      <c r="E22" s="19"/>
      <c r="F22" s="19"/>
      <c r="G22" s="19"/>
      <c r="H22" s="19"/>
      <c r="I22" s="9"/>
      <c r="J22" s="19"/>
      <c r="K22" s="21"/>
      <c r="L22" s="21"/>
      <c r="M22" s="19"/>
      <c r="N22" s="19"/>
      <c r="O22" s="19"/>
    </row>
    <row r="23" spans="1:15" x14ac:dyDescent="0.25">
      <c r="A23" s="23" t="s">
        <v>364</v>
      </c>
      <c r="B23" s="23"/>
      <c r="C23" s="23"/>
      <c r="D23" s="23"/>
      <c r="E23" s="2"/>
      <c r="F23" s="2"/>
      <c r="G23" s="19"/>
      <c r="H23" s="24"/>
      <c r="I23" s="26"/>
      <c r="J23" s="24"/>
      <c r="K23" s="25"/>
      <c r="L23" s="25"/>
      <c r="M23" s="24"/>
      <c r="N23" s="24"/>
      <c r="O23" s="24"/>
    </row>
    <row r="24" spans="1:15" x14ac:dyDescent="0.25">
      <c r="A24" s="9" t="s">
        <v>309</v>
      </c>
      <c r="B24" s="9" t="s">
        <v>307</v>
      </c>
      <c r="C24" s="9" t="s">
        <v>308</v>
      </c>
      <c r="D24" s="9" t="str">
        <f>B24 &amp; " " &amp; C24</f>
        <v>Любовь Аксёнова</v>
      </c>
      <c r="E24" s="19"/>
      <c r="F24" s="19"/>
      <c r="G24" s="19"/>
      <c r="H24" s="19"/>
      <c r="I24" s="9"/>
      <c r="J24" s="19"/>
      <c r="K24" s="21"/>
      <c r="L24" s="21"/>
      <c r="M24" s="19"/>
      <c r="N24" s="19"/>
      <c r="O24" s="19"/>
    </row>
    <row r="25" spans="1:15" x14ac:dyDescent="0.25">
      <c r="A25" s="23" t="s">
        <v>361</v>
      </c>
      <c r="B25" s="23"/>
      <c r="C25" s="23"/>
      <c r="D25" s="23"/>
      <c r="E25" s="2"/>
      <c r="F25" s="2"/>
      <c r="G25" s="19"/>
      <c r="H25" s="24"/>
      <c r="I25" s="26"/>
      <c r="J25" s="24"/>
      <c r="K25" s="25"/>
      <c r="L25" s="25"/>
      <c r="M25" s="24"/>
      <c r="N25" s="24"/>
      <c r="O25" s="24"/>
    </row>
    <row r="26" spans="1:15" ht="30" x14ac:dyDescent="0.25">
      <c r="A26" s="9" t="s">
        <v>266</v>
      </c>
      <c r="B26" s="9" t="s">
        <v>271</v>
      </c>
      <c r="C26" s="9" t="s">
        <v>267</v>
      </c>
      <c r="D26" s="9" t="str">
        <f>B26 &amp; " " &amp; C26</f>
        <v>Милош Бикович</v>
      </c>
      <c r="E26" s="19" t="s">
        <v>273</v>
      </c>
      <c r="F26" s="19"/>
      <c r="G26" s="20">
        <v>45670</v>
      </c>
      <c r="H26" s="19">
        <v>1988</v>
      </c>
      <c r="I26" s="9">
        <f ca="1">YEAR(TODAY())-H26</f>
        <v>37</v>
      </c>
      <c r="J26" s="22"/>
      <c r="K26" s="21"/>
      <c r="L26" s="21"/>
      <c r="M26" s="19"/>
      <c r="N26" s="19"/>
      <c r="O26" s="19"/>
    </row>
    <row r="27" spans="1:15" x14ac:dyDescent="0.25">
      <c r="A27" s="9" t="s">
        <v>315</v>
      </c>
      <c r="B27" s="9" t="s">
        <v>349</v>
      </c>
      <c r="C27" s="9" t="s">
        <v>345</v>
      </c>
      <c r="D27" s="9" t="str">
        <f>B27 &amp; " " &amp; C27</f>
        <v>Михаил Пореченков</v>
      </c>
      <c r="E27" s="19"/>
      <c r="F27" s="19"/>
      <c r="G27" s="19"/>
      <c r="H27" s="19"/>
      <c r="I27" s="9"/>
      <c r="J27" s="19"/>
      <c r="K27" s="21"/>
      <c r="L27" s="21"/>
      <c r="M27" s="19"/>
      <c r="N27" s="19"/>
      <c r="O27" s="19"/>
    </row>
    <row r="28" spans="1:15" x14ac:dyDescent="0.25">
      <c r="A28" s="23" t="s">
        <v>365</v>
      </c>
      <c r="B28" s="23"/>
      <c r="C28" s="23"/>
      <c r="D28" s="23"/>
      <c r="E28" s="2"/>
      <c r="F28" s="2"/>
      <c r="G28" s="19"/>
      <c r="H28" s="24"/>
      <c r="I28" s="26"/>
      <c r="J28" s="24"/>
      <c r="K28" s="25"/>
      <c r="L28" s="25"/>
      <c r="M28" s="24"/>
      <c r="N28" s="24"/>
      <c r="O28" s="24"/>
    </row>
    <row r="29" spans="1:15" x14ac:dyDescent="0.25">
      <c r="A29" s="9" t="s">
        <v>316</v>
      </c>
      <c r="B29" s="9" t="s">
        <v>352</v>
      </c>
      <c r="C29" s="9" t="s">
        <v>353</v>
      </c>
      <c r="D29" s="9" t="str">
        <f>B29 &amp; " " &amp; C29</f>
        <v>Никита Кологривый</v>
      </c>
      <c r="E29" s="19"/>
      <c r="F29" s="19"/>
      <c r="G29" s="19"/>
      <c r="H29" s="19"/>
      <c r="I29" s="9"/>
      <c r="J29" s="19"/>
      <c r="K29" s="21"/>
      <c r="L29" s="21"/>
      <c r="M29" s="19"/>
      <c r="N29" s="19"/>
      <c r="O29" s="19"/>
    </row>
    <row r="30" spans="1:15" x14ac:dyDescent="0.25">
      <c r="A30" s="23" t="s">
        <v>418</v>
      </c>
      <c r="B30" s="23"/>
      <c r="C30" s="23"/>
      <c r="D30" s="23"/>
      <c r="E30" s="2"/>
      <c r="F30" s="2"/>
      <c r="G30" s="19"/>
      <c r="H30" s="24"/>
      <c r="I30" s="26"/>
      <c r="J30" s="24"/>
      <c r="K30" s="25"/>
      <c r="L30" s="25"/>
      <c r="M30" s="24"/>
      <c r="N30" s="24"/>
      <c r="O30" s="24"/>
    </row>
    <row r="31" spans="1:15" x14ac:dyDescent="0.25">
      <c r="A31" s="23" t="s">
        <v>362</v>
      </c>
      <c r="B31" s="23"/>
      <c r="C31" s="23"/>
      <c r="D31" s="23"/>
      <c r="E31" s="2"/>
      <c r="F31" s="2"/>
      <c r="G31" s="19"/>
      <c r="H31" s="24"/>
      <c r="I31" s="26"/>
      <c r="J31" s="24"/>
      <c r="K31" s="25"/>
      <c r="L31" s="25"/>
      <c r="M31" s="24"/>
      <c r="N31" s="24"/>
      <c r="O31" s="24"/>
    </row>
    <row r="32" spans="1:15" x14ac:dyDescent="0.25">
      <c r="A32" s="9" t="s">
        <v>292</v>
      </c>
      <c r="B32" s="9" t="s">
        <v>293</v>
      </c>
      <c r="C32" s="9" t="s">
        <v>294</v>
      </c>
      <c r="D32" s="9" t="str">
        <f>B32 &amp; " " &amp; C32</f>
        <v>Оксана Акиньшина</v>
      </c>
      <c r="E32" s="19"/>
      <c r="F32" s="19"/>
      <c r="G32" s="19"/>
      <c r="H32" s="19"/>
      <c r="I32" s="9"/>
      <c r="J32" s="19"/>
      <c r="K32" s="21"/>
      <c r="L32" s="21"/>
      <c r="M32" s="19"/>
      <c r="N32" s="19"/>
      <c r="O32" s="19"/>
    </row>
    <row r="33" spans="1:15" x14ac:dyDescent="0.25">
      <c r="A33" s="23" t="s">
        <v>356</v>
      </c>
      <c r="B33" s="23"/>
      <c r="C33" s="23"/>
      <c r="D33" s="23"/>
      <c r="E33" s="2"/>
      <c r="F33" s="2"/>
      <c r="G33" s="19"/>
      <c r="H33" s="24"/>
      <c r="I33" s="26"/>
      <c r="J33" s="24"/>
      <c r="K33" s="25"/>
      <c r="L33" s="25"/>
      <c r="M33" s="24"/>
      <c r="N33" s="24"/>
      <c r="O33" s="24"/>
    </row>
    <row r="34" spans="1:15" x14ac:dyDescent="0.25">
      <c r="A34" s="23" t="s">
        <v>359</v>
      </c>
      <c r="B34" s="23"/>
      <c r="C34" s="23"/>
      <c r="D34" s="23"/>
      <c r="E34" s="2"/>
      <c r="F34" s="2"/>
      <c r="G34" s="19"/>
      <c r="H34" s="24"/>
      <c r="I34" s="26"/>
      <c r="J34" s="24"/>
      <c r="K34" s="25"/>
      <c r="L34" s="25"/>
      <c r="M34" s="24"/>
      <c r="N34" s="24"/>
      <c r="O34" s="24"/>
    </row>
    <row r="35" spans="1:15" ht="45" x14ac:dyDescent="0.25">
      <c r="A35" s="9" t="s">
        <v>277</v>
      </c>
      <c r="B35" s="9" t="s">
        <v>279</v>
      </c>
      <c r="C35" s="9" t="s">
        <v>278</v>
      </c>
      <c r="D35" s="9" t="str">
        <f>B35 &amp; " " &amp; C35</f>
        <v>Паулина Андреева</v>
      </c>
      <c r="E35" s="19" t="s">
        <v>280</v>
      </c>
      <c r="F35" s="19">
        <v>1.71</v>
      </c>
      <c r="G35" s="20">
        <v>45942</v>
      </c>
      <c r="H35" s="19">
        <v>1988</v>
      </c>
      <c r="I35" s="9">
        <f ca="1">YEAR(TODAY())-H35</f>
        <v>37</v>
      </c>
      <c r="J35" s="19" t="s">
        <v>283</v>
      </c>
      <c r="K35" s="21" t="s">
        <v>285</v>
      </c>
      <c r="L35" s="21" t="s">
        <v>370</v>
      </c>
      <c r="M35" s="19" t="s">
        <v>287</v>
      </c>
      <c r="N35" s="19" t="s">
        <v>289</v>
      </c>
      <c r="O35" s="19" t="s">
        <v>291</v>
      </c>
    </row>
    <row r="36" spans="1:15" x14ac:dyDescent="0.25">
      <c r="A36" s="23" t="s">
        <v>357</v>
      </c>
      <c r="B36" s="23"/>
      <c r="C36" s="23"/>
      <c r="D36" s="23"/>
      <c r="E36" s="2"/>
      <c r="F36" s="2"/>
      <c r="G36" s="19"/>
      <c r="H36" s="24"/>
      <c r="I36" s="26"/>
      <c r="J36" s="24"/>
      <c r="K36" s="25"/>
      <c r="L36" s="25"/>
      <c r="M36" s="24"/>
      <c r="N36" s="24"/>
      <c r="O36" s="24"/>
    </row>
    <row r="37" spans="1:15" x14ac:dyDescent="0.25">
      <c r="A37" s="23" t="s">
        <v>368</v>
      </c>
      <c r="B37" s="23"/>
      <c r="C37" s="23"/>
      <c r="D37" s="23"/>
      <c r="E37" s="2"/>
      <c r="F37" s="2"/>
      <c r="G37" s="19"/>
      <c r="H37" s="24"/>
      <c r="I37" s="26"/>
      <c r="J37" s="24"/>
      <c r="K37" s="25"/>
      <c r="L37" s="25"/>
      <c r="M37" s="24"/>
      <c r="N37" s="24"/>
      <c r="O37" s="24"/>
    </row>
    <row r="38" spans="1:15" x14ac:dyDescent="0.25">
      <c r="A38" s="23" t="s">
        <v>421</v>
      </c>
      <c r="B38" s="23"/>
      <c r="C38" s="23"/>
      <c r="D38" s="23"/>
      <c r="E38" s="2"/>
      <c r="F38" s="2"/>
      <c r="G38" s="19"/>
      <c r="H38" s="24"/>
      <c r="I38" s="26"/>
      <c r="J38" s="24"/>
      <c r="K38" s="25"/>
      <c r="L38" s="25"/>
      <c r="M38" s="24"/>
      <c r="N38" s="24"/>
      <c r="O38" s="24"/>
    </row>
    <row r="39" spans="1:15" x14ac:dyDescent="0.25">
      <c r="A39" s="23" t="s">
        <v>420</v>
      </c>
      <c r="B39" s="23"/>
      <c r="C39" s="23"/>
      <c r="D39" s="23"/>
      <c r="E39" s="2"/>
      <c r="F39" s="2"/>
      <c r="G39" s="19"/>
      <c r="H39" s="24"/>
      <c r="I39" s="26"/>
      <c r="J39" s="24"/>
      <c r="K39" s="25"/>
      <c r="L39" s="25"/>
      <c r="M39" s="24"/>
      <c r="N39" s="24"/>
      <c r="O39" s="24"/>
    </row>
    <row r="40" spans="1:15" x14ac:dyDescent="0.25">
      <c r="A40" s="23" t="s">
        <v>417</v>
      </c>
      <c r="B40" s="23"/>
      <c r="C40" s="23"/>
      <c r="D40" s="23"/>
      <c r="E40" s="2"/>
      <c r="F40" s="2"/>
      <c r="G40" s="19"/>
      <c r="H40" s="24"/>
      <c r="I40" s="26"/>
      <c r="J40" s="24"/>
      <c r="K40" s="25"/>
      <c r="L40" s="25"/>
      <c r="M40" s="24"/>
      <c r="N40" s="24"/>
      <c r="O40" s="24"/>
    </row>
    <row r="41" spans="1:15" x14ac:dyDescent="0.25">
      <c r="A41" s="23"/>
      <c r="B41" s="23"/>
      <c r="C41" s="23"/>
      <c r="D41" s="23"/>
      <c r="E41" s="2"/>
      <c r="F41" s="2"/>
      <c r="G41" s="19"/>
      <c r="H41" s="24"/>
      <c r="I41" s="26"/>
      <c r="J41" s="24"/>
      <c r="K41" s="25"/>
      <c r="L41" s="25"/>
      <c r="M41" s="24"/>
      <c r="N41" s="24"/>
      <c r="O41" s="24"/>
    </row>
    <row r="42" spans="1:15" x14ac:dyDescent="0.25">
      <c r="A42" s="23"/>
      <c r="B42" s="23"/>
      <c r="C42" s="23"/>
      <c r="D42" s="23"/>
      <c r="E42" s="2"/>
      <c r="F42" s="2"/>
      <c r="G42" s="19"/>
      <c r="H42" s="24"/>
      <c r="I42" s="26"/>
      <c r="J42" s="24"/>
      <c r="K42" s="25"/>
      <c r="L42" s="25"/>
      <c r="M42" s="24"/>
      <c r="N42" s="24"/>
      <c r="O42" s="24"/>
    </row>
    <row r="43" spans="1:15" x14ac:dyDescent="0.25">
      <c r="A43" s="23"/>
      <c r="B43" s="23"/>
      <c r="C43" s="23"/>
      <c r="D43" s="23"/>
      <c r="E43" s="2"/>
      <c r="F43" s="2"/>
      <c r="G43" s="19"/>
      <c r="H43" s="24"/>
      <c r="I43" s="26"/>
      <c r="J43" s="24"/>
      <c r="K43" s="25"/>
      <c r="L43" s="25"/>
      <c r="M43" s="24"/>
      <c r="N43" s="24"/>
      <c r="O43" s="24"/>
    </row>
    <row r="44" spans="1:15" x14ac:dyDescent="0.25">
      <c r="A44" s="23"/>
      <c r="B44" s="23"/>
      <c r="C44" s="23"/>
      <c r="D44" s="23"/>
      <c r="E44" s="2"/>
      <c r="F44" s="2"/>
      <c r="G44" s="19"/>
      <c r="H44" s="24"/>
      <c r="I44" s="26"/>
      <c r="J44" s="24"/>
      <c r="K44" s="25"/>
      <c r="L44" s="25"/>
      <c r="M44" s="24"/>
      <c r="N44" s="24"/>
      <c r="O44" s="24"/>
    </row>
    <row r="45" spans="1:15" x14ac:dyDescent="0.25">
      <c r="A45" s="23"/>
      <c r="B45" s="23"/>
      <c r="C45" s="23"/>
      <c r="D45" s="23"/>
      <c r="E45" s="2"/>
      <c r="F45" s="2"/>
      <c r="G45" s="19"/>
      <c r="H45" s="24"/>
      <c r="I45" s="26"/>
      <c r="J45" s="24"/>
      <c r="K45" s="25"/>
      <c r="L45" s="25"/>
      <c r="M45" s="24"/>
      <c r="N45" s="24"/>
      <c r="O45" s="24"/>
    </row>
    <row r="46" spans="1:15" x14ac:dyDescent="0.25">
      <c r="A46" s="23"/>
      <c r="B46" s="23"/>
      <c r="C46" s="23"/>
      <c r="D46" s="23"/>
      <c r="E46" s="2"/>
      <c r="F46" s="2"/>
      <c r="G46" s="19"/>
      <c r="H46" s="24"/>
      <c r="I46" s="26"/>
      <c r="J46" s="24"/>
      <c r="K46" s="25"/>
      <c r="L46" s="25"/>
      <c r="M46" s="24"/>
      <c r="N46" s="24"/>
      <c r="O46" s="24"/>
    </row>
    <row r="47" spans="1:15" x14ac:dyDescent="0.25">
      <c r="A47" s="23"/>
      <c r="B47" s="23"/>
      <c r="C47" s="23"/>
      <c r="D47" s="23"/>
      <c r="E47" s="2"/>
      <c r="F47" s="2"/>
      <c r="G47" s="19"/>
      <c r="H47" s="24"/>
      <c r="I47" s="26"/>
      <c r="J47" s="24"/>
      <c r="K47" s="25"/>
      <c r="L47" s="25"/>
      <c r="M47" s="24"/>
      <c r="N47" s="24"/>
      <c r="O47" s="24"/>
    </row>
    <row r="48" spans="1:15" x14ac:dyDescent="0.25">
      <c r="A48" s="23"/>
      <c r="B48" s="23"/>
      <c r="C48" s="23"/>
      <c r="D48" s="23"/>
      <c r="E48" s="2"/>
      <c r="F48" s="2"/>
      <c r="G48" s="19"/>
      <c r="H48" s="24"/>
      <c r="I48" s="26"/>
      <c r="J48" s="24"/>
      <c r="K48" s="25"/>
      <c r="L48" s="25"/>
      <c r="M48" s="24"/>
      <c r="N48" s="24"/>
      <c r="O48" s="24"/>
    </row>
    <row r="49" spans="1:15" x14ac:dyDescent="0.25">
      <c r="A49" s="23"/>
      <c r="B49" s="23"/>
      <c r="C49" s="23"/>
      <c r="D49" s="23"/>
      <c r="E49" s="2"/>
      <c r="F49" s="2"/>
      <c r="G49" s="19"/>
      <c r="H49" s="24"/>
      <c r="I49" s="26"/>
      <c r="J49" s="24"/>
      <c r="K49" s="25"/>
      <c r="L49" s="25"/>
      <c r="M49" s="24"/>
      <c r="N49" s="24"/>
      <c r="O49" s="24"/>
    </row>
    <row r="50" spans="1:15" x14ac:dyDescent="0.25">
      <c r="A50" s="23"/>
      <c r="B50" s="23"/>
      <c r="C50" s="23"/>
      <c r="D50" s="23"/>
      <c r="E50" s="2"/>
      <c r="F50" s="2"/>
      <c r="G50" s="19"/>
      <c r="H50" s="24"/>
      <c r="I50" s="26"/>
      <c r="J50" s="24"/>
      <c r="K50" s="25"/>
      <c r="L50" s="25"/>
      <c r="M50" s="24"/>
      <c r="N50" s="24"/>
      <c r="O50" s="24"/>
    </row>
    <row r="51" spans="1:15" x14ac:dyDescent="0.25">
      <c r="A51" s="23"/>
      <c r="B51" s="23"/>
      <c r="C51" s="23"/>
      <c r="D51" s="23"/>
      <c r="E51" s="2"/>
      <c r="F51" s="2"/>
      <c r="G51" s="19"/>
      <c r="H51" s="24"/>
      <c r="I51" s="26"/>
      <c r="J51" s="24"/>
      <c r="K51" s="25"/>
      <c r="L51" s="25"/>
      <c r="M51" s="24"/>
      <c r="N51" s="24"/>
      <c r="O51" s="24"/>
    </row>
    <row r="52" spans="1:15" x14ac:dyDescent="0.25">
      <c r="A52" s="23"/>
      <c r="B52" s="23"/>
      <c r="C52" s="23"/>
      <c r="D52" s="23"/>
      <c r="E52" s="2"/>
      <c r="F52" s="2"/>
      <c r="G52" s="19"/>
      <c r="H52" s="24"/>
      <c r="I52" s="26"/>
      <c r="J52" s="24"/>
      <c r="K52" s="25"/>
      <c r="L52" s="25"/>
      <c r="M52" s="24"/>
      <c r="N52" s="24"/>
      <c r="O52" s="24"/>
    </row>
    <row r="53" spans="1:15" x14ac:dyDescent="0.25">
      <c r="A53" s="23"/>
      <c r="B53" s="23"/>
      <c r="C53" s="23"/>
      <c r="D53" s="23"/>
      <c r="E53" s="2"/>
      <c r="F53" s="2"/>
      <c r="G53" s="19"/>
      <c r="H53" s="24"/>
      <c r="I53" s="26"/>
      <c r="J53" s="24"/>
      <c r="K53" s="25"/>
      <c r="L53" s="25"/>
      <c r="M53" s="24"/>
      <c r="N53" s="24"/>
      <c r="O53" s="24"/>
    </row>
    <row r="54" spans="1:15" x14ac:dyDescent="0.25">
      <c r="A54" s="23"/>
      <c r="B54" s="23"/>
      <c r="C54" s="23"/>
      <c r="D54" s="23"/>
      <c r="E54" s="2"/>
      <c r="F54" s="2"/>
      <c r="G54" s="19"/>
      <c r="H54" s="24"/>
      <c r="I54" s="26"/>
      <c r="J54" s="24"/>
      <c r="K54" s="25"/>
      <c r="L54" s="25"/>
      <c r="M54" s="24"/>
      <c r="N54" s="24"/>
      <c r="O54" s="24"/>
    </row>
    <row r="55" spans="1:15" x14ac:dyDescent="0.25">
      <c r="A55" s="23"/>
      <c r="B55" s="23"/>
      <c r="C55" s="23"/>
      <c r="D55" s="23"/>
      <c r="E55" s="2"/>
      <c r="F55" s="2"/>
      <c r="G55" s="19"/>
      <c r="H55" s="24"/>
      <c r="I55" s="26"/>
      <c r="J55" s="24"/>
      <c r="K55" s="25"/>
      <c r="L55" s="25"/>
      <c r="M55" s="24"/>
      <c r="N55" s="24"/>
      <c r="O55" s="24"/>
    </row>
    <row r="56" spans="1:15" x14ac:dyDescent="0.25">
      <c r="A56" s="23"/>
      <c r="B56" s="23"/>
      <c r="C56" s="23"/>
      <c r="D56" s="23"/>
      <c r="E56" s="2"/>
      <c r="F56" s="2"/>
      <c r="G56" s="19"/>
      <c r="H56" s="24"/>
      <c r="I56" s="26"/>
      <c r="J56" s="24"/>
      <c r="K56" s="25"/>
      <c r="L56" s="25"/>
      <c r="M56" s="24"/>
      <c r="N56" s="24"/>
      <c r="O56" s="24"/>
    </row>
    <row r="57" spans="1:15" x14ac:dyDescent="0.25">
      <c r="A57" s="23"/>
      <c r="B57" s="23"/>
      <c r="C57" s="23"/>
      <c r="D57" s="23"/>
      <c r="E57" s="2"/>
      <c r="F57" s="2"/>
      <c r="G57" s="19"/>
      <c r="H57" s="24"/>
      <c r="I57" s="26"/>
      <c r="J57" s="24"/>
      <c r="K57" s="25"/>
      <c r="L57" s="25"/>
      <c r="M57" s="24"/>
      <c r="N57" s="24"/>
      <c r="O57" s="24"/>
    </row>
    <row r="58" spans="1:15" x14ac:dyDescent="0.25">
      <c r="A58" s="23"/>
      <c r="B58" s="23"/>
      <c r="C58" s="23"/>
      <c r="D58" s="23"/>
      <c r="E58" s="2"/>
      <c r="F58" s="2"/>
      <c r="G58" s="19"/>
      <c r="H58" s="24"/>
      <c r="I58" s="26"/>
      <c r="J58" s="24"/>
      <c r="K58" s="25"/>
      <c r="L58" s="25"/>
      <c r="M58" s="24"/>
      <c r="N58" s="24"/>
      <c r="O58" s="24"/>
    </row>
    <row r="59" spans="1:15" x14ac:dyDescent="0.25">
      <c r="A59" s="23"/>
      <c r="B59" s="23"/>
      <c r="C59" s="23"/>
      <c r="D59" s="23"/>
      <c r="E59" s="2"/>
      <c r="F59" s="2"/>
      <c r="G59" s="19"/>
      <c r="H59" s="24"/>
      <c r="I59" s="26"/>
      <c r="J59" s="24"/>
      <c r="K59" s="25"/>
      <c r="L59" s="25"/>
      <c r="M59" s="24"/>
      <c r="N59" s="24"/>
      <c r="O59" s="24"/>
    </row>
    <row r="60" spans="1:15" x14ac:dyDescent="0.25">
      <c r="A60" s="23"/>
      <c r="B60" s="23"/>
      <c r="C60" s="23"/>
      <c r="D60" s="23"/>
      <c r="E60" s="2"/>
      <c r="F60" s="2"/>
      <c r="G60" s="19"/>
      <c r="H60" s="24"/>
      <c r="I60" s="26"/>
      <c r="J60" s="24"/>
      <c r="K60" s="25"/>
      <c r="L60" s="25"/>
      <c r="M60" s="24"/>
      <c r="N60" s="24"/>
      <c r="O60" s="24"/>
    </row>
    <row r="61" spans="1:15" x14ac:dyDescent="0.25">
      <c r="A61" s="23"/>
      <c r="B61" s="23"/>
      <c r="C61" s="23"/>
      <c r="D61" s="23"/>
      <c r="E61" s="2"/>
      <c r="F61" s="2"/>
      <c r="G61" s="19"/>
      <c r="H61" s="24"/>
      <c r="I61" s="26"/>
      <c r="J61" s="24"/>
      <c r="K61" s="25"/>
      <c r="L61" s="25"/>
      <c r="M61" s="24"/>
      <c r="N61" s="24"/>
      <c r="O61" s="24"/>
    </row>
    <row r="62" spans="1:15" x14ac:dyDescent="0.25">
      <c r="A62" s="23"/>
      <c r="B62" s="23"/>
      <c r="C62" s="23"/>
      <c r="D62" s="23"/>
      <c r="E62" s="2"/>
      <c r="F62" s="2"/>
      <c r="G62" s="19"/>
      <c r="H62" s="24"/>
      <c r="I62" s="26"/>
      <c r="J62" s="24"/>
      <c r="K62" s="25"/>
      <c r="L62" s="25"/>
      <c r="M62" s="24"/>
      <c r="N62" s="24"/>
      <c r="O62" s="24"/>
    </row>
    <row r="63" spans="1:15" x14ac:dyDescent="0.25">
      <c r="A63" s="23"/>
      <c r="B63" s="23"/>
      <c r="C63" s="23"/>
      <c r="D63" s="23"/>
      <c r="E63" s="2"/>
      <c r="F63" s="2"/>
      <c r="G63" s="19"/>
      <c r="H63" s="24"/>
      <c r="I63" s="26"/>
      <c r="J63" s="24"/>
      <c r="K63" s="25"/>
      <c r="L63" s="25"/>
      <c r="M63" s="24"/>
      <c r="N63" s="24"/>
      <c r="O63" s="24"/>
    </row>
    <row r="64" spans="1:15" x14ac:dyDescent="0.25">
      <c r="A64" s="23"/>
      <c r="B64" s="23"/>
      <c r="C64" s="23"/>
      <c r="D64" s="23"/>
      <c r="E64" s="2"/>
      <c r="F64" s="2"/>
      <c r="G64" s="19"/>
      <c r="H64" s="24"/>
      <c r="I64" s="26"/>
      <c r="J64" s="24"/>
      <c r="K64" s="25"/>
      <c r="L64" s="25"/>
      <c r="M64" s="24"/>
      <c r="N64" s="24"/>
      <c r="O64" s="24"/>
    </row>
    <row r="65" spans="1:15" x14ac:dyDescent="0.25">
      <c r="A65" s="23"/>
      <c r="B65" s="23"/>
      <c r="C65" s="23"/>
      <c r="D65" s="23"/>
      <c r="E65" s="2"/>
      <c r="F65" s="2"/>
      <c r="G65" s="19"/>
      <c r="H65" s="24"/>
      <c r="I65" s="26"/>
      <c r="J65" s="24"/>
      <c r="K65" s="25"/>
      <c r="L65" s="25"/>
      <c r="M65" s="24"/>
      <c r="N65" s="24"/>
      <c r="O65" s="24"/>
    </row>
  </sheetData>
  <sortState ref="A2:O40">
    <sortCondition ref="A1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Фильмы</vt:lpstr>
      <vt:lpstr>Сериалы</vt:lpstr>
      <vt:lpstr>Актеры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2025-12-02T11:23:19Z</dcterms:modified>
</cp:coreProperties>
</file>